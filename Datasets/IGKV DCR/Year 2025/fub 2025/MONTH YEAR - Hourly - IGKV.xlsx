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fub 2025\"/>
    </mc:Choice>
  </mc:AlternateContent>
  <xr:revisionPtr revIDLastSave="0" documentId="13_ncr:1_{E7842C12-2881-4936-854A-99A3DF2AE054}" xr6:coauthVersionLast="47" xr6:coauthVersionMax="47" xr10:uidLastSave="{00000000-0000-0000-0000-000000000000}"/>
  <bookViews>
    <workbookView xWindow="-120" yWindow="-120" windowWidth="20730" windowHeight="11040" tabRatio="913" activeTab="23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MONTHLY 31" sheetId="39" r:id="rId29"/>
  </sheets>
  <calcPr calcId="191029"/>
</workbook>
</file>

<file path=xl/calcChain.xml><?xml version="1.0" encoding="utf-8"?>
<calcChain xmlns="http://schemas.openxmlformats.org/spreadsheetml/2006/main">
  <c r="F38" i="19" l="1"/>
  <c r="H38" i="17"/>
  <c r="G38" i="17"/>
  <c r="F34" i="11"/>
  <c r="F35" i="11"/>
  <c r="F36" i="11"/>
  <c r="F37" i="11"/>
  <c r="F38" i="11"/>
  <c r="F39" i="11" s="1"/>
  <c r="Q38" i="19" l="1"/>
  <c r="C38" i="19"/>
  <c r="D38" i="19"/>
  <c r="E38" i="19"/>
  <c r="G38" i="19"/>
  <c r="H38" i="19"/>
  <c r="I38" i="19"/>
  <c r="J38" i="19"/>
  <c r="K38" i="19"/>
  <c r="L38" i="19"/>
  <c r="M38" i="19"/>
  <c r="N38" i="19"/>
  <c r="O38" i="19"/>
  <c r="P38" i="19"/>
  <c r="B38" i="19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B38" i="10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B38" i="8"/>
  <c r="H38" i="32" l="1"/>
  <c r="H39" i="32" s="1"/>
  <c r="G38" i="32"/>
  <c r="Q38" i="30"/>
  <c r="Q40" i="30" s="1"/>
  <c r="I38" i="30"/>
  <c r="G38" i="30"/>
  <c r="H38" i="30"/>
  <c r="I40" i="30"/>
  <c r="J38" i="30"/>
  <c r="K38" i="30"/>
  <c r="L38" i="30"/>
  <c r="L40" i="30" s="1"/>
  <c r="M38" i="30"/>
  <c r="N38" i="30"/>
  <c r="N40" i="30" s="1"/>
  <c r="O38" i="30"/>
  <c r="P38" i="30"/>
  <c r="F38" i="30"/>
  <c r="E38" i="30"/>
  <c r="C38" i="30"/>
  <c r="C40" i="30" s="1"/>
  <c r="D38" i="30"/>
  <c r="D39" i="30" s="1"/>
  <c r="B38" i="30"/>
  <c r="B39" i="30" s="1"/>
  <c r="Q38" i="29"/>
  <c r="Q40" i="29" s="1"/>
  <c r="P38" i="29"/>
  <c r="P39" i="29" s="1"/>
  <c r="K38" i="29"/>
  <c r="L38" i="29"/>
  <c r="L40" i="29" s="1"/>
  <c r="M38" i="29"/>
  <c r="M40" i="29" s="1"/>
  <c r="N38" i="29"/>
  <c r="N39" i="29" s="1"/>
  <c r="O38" i="29"/>
  <c r="O39" i="29" s="1"/>
  <c r="J38" i="29"/>
  <c r="J40" i="29" s="1"/>
  <c r="I38" i="29"/>
  <c r="H38" i="29"/>
  <c r="G38" i="29"/>
  <c r="G40" i="29" s="1"/>
  <c r="F38" i="29"/>
  <c r="C38" i="29"/>
  <c r="B38" i="29"/>
  <c r="B34" i="39"/>
  <c r="B35" i="39"/>
  <c r="B36" i="39"/>
  <c r="Q39" i="33"/>
  <c r="K39" i="33"/>
  <c r="J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K40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39" i="32" s="1"/>
  <c r="I38" i="32"/>
  <c r="I39" i="32" s="1"/>
  <c r="G39" i="32"/>
  <c r="F38" i="32"/>
  <c r="F39" i="32" s="1"/>
  <c r="E38" i="32"/>
  <c r="E40" i="32" s="1"/>
  <c r="D38" i="32"/>
  <c r="D40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K40" i="31"/>
  <c r="L39" i="31"/>
  <c r="K39" i="31"/>
  <c r="J39" i="31"/>
  <c r="I39" i="31"/>
  <c r="H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P40" i="30"/>
  <c r="O40" i="30"/>
  <c r="M40" i="30"/>
  <c r="K40" i="30"/>
  <c r="J40" i="30"/>
  <c r="H39" i="30"/>
  <c r="G40" i="30"/>
  <c r="F39" i="30"/>
  <c r="E40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M39" i="29"/>
  <c r="L39" i="29"/>
  <c r="K39" i="29"/>
  <c r="I40" i="29"/>
  <c r="H40" i="29"/>
  <c r="F40" i="29"/>
  <c r="E38" i="29"/>
  <c r="E39" i="29" s="1"/>
  <c r="D38" i="29"/>
  <c r="D40" i="29" s="1"/>
  <c r="C40" i="29"/>
  <c r="B40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40" i="28"/>
  <c r="Q38" i="28"/>
  <c r="Q39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O40" i="27"/>
  <c r="G39" i="27"/>
  <c r="Q38" i="27"/>
  <c r="Q39" i="27" s="1"/>
  <c r="P38" i="27"/>
  <c r="P39" i="27" s="1"/>
  <c r="O38" i="27"/>
  <c r="O39" i="27" s="1"/>
  <c r="N38" i="27"/>
  <c r="N39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I40" i="26"/>
  <c r="B40" i="26"/>
  <c r="Q39" i="26"/>
  <c r="O39" i="26"/>
  <c r="N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39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K39" i="25"/>
  <c r="J39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E40" i="24"/>
  <c r="D40" i="24"/>
  <c r="C40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40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40" i="23"/>
  <c r="P40" i="23"/>
  <c r="Q38" i="23"/>
  <c r="Q39" i="23" s="1"/>
  <c r="P38" i="23"/>
  <c r="P39" i="23" s="1"/>
  <c r="O38" i="23"/>
  <c r="O40" i="23" s="1"/>
  <c r="N38" i="23"/>
  <c r="N40" i="23" s="1"/>
  <c r="M38" i="23"/>
  <c r="M39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40" i="22"/>
  <c r="G40" i="22"/>
  <c r="N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39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B40" i="21"/>
  <c r="O39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N40" i="20"/>
  <c r="E40" i="20"/>
  <c r="B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Q39" i="19"/>
  <c r="P39" i="19"/>
  <c r="O40" i="19"/>
  <c r="N40" i="19"/>
  <c r="M39" i="19"/>
  <c r="L40" i="19"/>
  <c r="K40" i="19"/>
  <c r="J39" i="19"/>
  <c r="I40" i="19"/>
  <c r="H40" i="19"/>
  <c r="G39" i="19"/>
  <c r="F40" i="19"/>
  <c r="E39" i="19"/>
  <c r="D40" i="19"/>
  <c r="C39" i="19"/>
  <c r="B40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22" i="39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I39" i="18"/>
  <c r="H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K40" i="18" s="1"/>
  <c r="J38" i="18"/>
  <c r="J39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O39" i="17"/>
  <c r="N39" i="17"/>
  <c r="L39" i="17"/>
  <c r="Q38" i="17"/>
  <c r="Q39" i="17" s="1"/>
  <c r="P38" i="17"/>
  <c r="P40" i="17" s="1"/>
  <c r="O38" i="17"/>
  <c r="O40" i="17" s="1"/>
  <c r="N38" i="17"/>
  <c r="N40" i="17" s="1"/>
  <c r="M38" i="17"/>
  <c r="M39" i="17" s="1"/>
  <c r="L38" i="17"/>
  <c r="L40" i="17" s="1"/>
  <c r="K38" i="17"/>
  <c r="K39" i="17" s="1"/>
  <c r="J38" i="17"/>
  <c r="J40" i="17" s="1"/>
  <c r="I38" i="17"/>
  <c r="I39" i="17" s="1"/>
  <c r="H39" i="17"/>
  <c r="G39" i="17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C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M39" i="15"/>
  <c r="K39" i="15"/>
  <c r="I39" i="15"/>
  <c r="Q38" i="15"/>
  <c r="Q39" i="15" s="1"/>
  <c r="P38" i="15"/>
  <c r="P40" i="15" s="1"/>
  <c r="O38" i="15"/>
  <c r="O40" i="15" s="1"/>
  <c r="N38" i="15"/>
  <c r="N39" i="15" s="1"/>
  <c r="M38" i="15"/>
  <c r="M40" i="15" s="1"/>
  <c r="L38" i="15"/>
  <c r="L40" i="15" s="1"/>
  <c r="K38" i="15"/>
  <c r="K40" i="15" s="1"/>
  <c r="J38" i="15"/>
  <c r="J39" i="15" s="1"/>
  <c r="I38" i="15"/>
  <c r="I40" i="15" s="1"/>
  <c r="H38" i="15"/>
  <c r="H39" i="15" s="1"/>
  <c r="G38" i="15"/>
  <c r="G40" i="15" s="1"/>
  <c r="F38" i="15"/>
  <c r="F39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40" i="14"/>
  <c r="E40" i="14"/>
  <c r="D40" i="14"/>
  <c r="B40" i="14"/>
  <c r="Q39" i="14"/>
  <c r="O39" i="14"/>
  <c r="Q38" i="14"/>
  <c r="Q40" i="14" s="1"/>
  <c r="P38" i="14"/>
  <c r="P39" i="14" s="1"/>
  <c r="O38" i="14"/>
  <c r="O40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D39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40" i="1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14" i="39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E34" i="11"/>
  <c r="D34" i="11"/>
  <c r="C34" i="11"/>
  <c r="B34" i="11"/>
  <c r="B2" i="11"/>
  <c r="A14" i="39" s="1"/>
  <c r="Q39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40" i="8"/>
  <c r="P40" i="8"/>
  <c r="O40" i="8"/>
  <c r="N40" i="8"/>
  <c r="M40" i="8"/>
  <c r="L40" i="8"/>
  <c r="K40" i="8"/>
  <c r="J40" i="8"/>
  <c r="I39" i="8"/>
  <c r="H40" i="8"/>
  <c r="G40" i="8"/>
  <c r="F39" i="8"/>
  <c r="E40" i="8"/>
  <c r="D40" i="8"/>
  <c r="C39" i="8"/>
  <c r="B40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F39" i="19" l="1"/>
  <c r="H39" i="19"/>
  <c r="P40" i="19"/>
  <c r="D39" i="19"/>
  <c r="D39" i="10"/>
  <c r="O40" i="39"/>
  <c r="I39" i="25"/>
  <c r="M39" i="25"/>
  <c r="N39" i="25"/>
  <c r="O39" i="25"/>
  <c r="P39" i="25"/>
  <c r="Q39" i="25"/>
  <c r="H39" i="24"/>
  <c r="K39" i="24"/>
  <c r="P39" i="24"/>
  <c r="Q39" i="24"/>
  <c r="J40" i="24"/>
  <c r="N40" i="24"/>
  <c r="M40" i="23"/>
  <c r="K39" i="23"/>
  <c r="L39" i="23"/>
  <c r="O39" i="23"/>
  <c r="B40" i="23"/>
  <c r="C40" i="23"/>
  <c r="F40" i="22"/>
  <c r="L40" i="22"/>
  <c r="I40" i="22"/>
  <c r="J40" i="22"/>
  <c r="C40" i="22"/>
  <c r="D40" i="22"/>
  <c r="N39" i="21"/>
  <c r="D40" i="21"/>
  <c r="E40" i="21"/>
  <c r="F40" i="21"/>
  <c r="G40" i="21"/>
  <c r="H40" i="21"/>
  <c r="K40" i="21"/>
  <c r="Q40" i="21"/>
  <c r="O39" i="20"/>
  <c r="C40" i="20"/>
  <c r="D40" i="20"/>
  <c r="H40" i="20"/>
  <c r="I40" i="20"/>
  <c r="L40" i="20"/>
  <c r="P40" i="20"/>
  <c r="Q40" i="19"/>
  <c r="I39" i="19"/>
  <c r="K39" i="19"/>
  <c r="L39" i="19"/>
  <c r="O39" i="19"/>
  <c r="J40" i="19"/>
  <c r="M40" i="19"/>
  <c r="F39" i="18"/>
  <c r="K39" i="18"/>
  <c r="L39" i="18"/>
  <c r="M39" i="18"/>
  <c r="B40" i="18"/>
  <c r="G40" i="18"/>
  <c r="J40" i="18"/>
  <c r="N40" i="18"/>
  <c r="P40" i="18"/>
  <c r="E39" i="18"/>
  <c r="J39" i="17"/>
  <c r="C40" i="17"/>
  <c r="E40" i="17"/>
  <c r="G40" i="17"/>
  <c r="H40" i="17"/>
  <c r="I40" i="17"/>
  <c r="K40" i="17"/>
  <c r="F39" i="17"/>
  <c r="D40" i="16"/>
  <c r="F40" i="16"/>
  <c r="G40" i="16"/>
  <c r="H40" i="16"/>
  <c r="I40" i="16"/>
  <c r="J40" i="16"/>
  <c r="M40" i="16"/>
  <c r="N40" i="16"/>
  <c r="G39" i="15"/>
  <c r="Q40" i="15"/>
  <c r="L39" i="15"/>
  <c r="O39" i="15"/>
  <c r="P39" i="15"/>
  <c r="C40" i="15"/>
  <c r="E40" i="15"/>
  <c r="F40" i="15"/>
  <c r="H40" i="15"/>
  <c r="F40" i="14"/>
  <c r="H40" i="14"/>
  <c r="K40" i="14"/>
  <c r="L40" i="14"/>
  <c r="P40" i="14"/>
  <c r="J39" i="14"/>
  <c r="N39" i="14"/>
  <c r="H40" i="32"/>
  <c r="F40" i="32"/>
  <c r="L39" i="30"/>
  <c r="D40" i="30"/>
  <c r="E40" i="29"/>
  <c r="E39" i="33"/>
  <c r="C40" i="33"/>
  <c r="F40" i="33"/>
  <c r="I40" i="33"/>
  <c r="G40" i="32"/>
  <c r="I40" i="32"/>
  <c r="J40" i="32"/>
  <c r="D39" i="32"/>
  <c r="B40" i="32"/>
  <c r="M40" i="31"/>
  <c r="C39" i="31"/>
  <c r="G39" i="31"/>
  <c r="I39" i="30"/>
  <c r="J39" i="30"/>
  <c r="M39" i="30"/>
  <c r="N39" i="30"/>
  <c r="B40" i="30"/>
  <c r="K40" i="29"/>
  <c r="C39" i="29"/>
  <c r="N40" i="29"/>
  <c r="F39" i="29"/>
  <c r="G39" i="29"/>
  <c r="I39" i="29"/>
  <c r="J39" i="29"/>
  <c r="D39" i="28"/>
  <c r="F39" i="28"/>
  <c r="G39" i="28"/>
  <c r="L39" i="28"/>
  <c r="M39" i="28"/>
  <c r="O39" i="28"/>
  <c r="P39" i="28"/>
  <c r="P40" i="27"/>
  <c r="H39" i="27"/>
  <c r="I39" i="27"/>
  <c r="K39" i="27"/>
  <c r="L39" i="27"/>
  <c r="N40" i="27"/>
  <c r="M39" i="27"/>
  <c r="F39" i="26"/>
  <c r="H39" i="26"/>
  <c r="C40" i="26"/>
  <c r="M41" i="39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G39" i="33"/>
  <c r="O39" i="30"/>
  <c r="N39" i="31"/>
  <c r="M39" i="32"/>
  <c r="L39" i="33"/>
  <c r="H39" i="22"/>
  <c r="G39" i="23"/>
  <c r="F39" i="24"/>
  <c r="E39" i="25"/>
  <c r="D39" i="26"/>
  <c r="C39" i="27"/>
  <c r="B39" i="28"/>
  <c r="Q39" i="29"/>
  <c r="P39" i="30"/>
  <c r="O39" i="31"/>
  <c r="N39" i="32"/>
  <c r="M39" i="33"/>
  <c r="H39" i="23"/>
  <c r="G39" i="24"/>
  <c r="F39" i="25"/>
  <c r="E39" i="26"/>
  <c r="D39" i="27"/>
  <c r="C39" i="28"/>
  <c r="B39" i="29"/>
  <c r="Q39" i="30"/>
  <c r="P39" i="31"/>
  <c r="O39" i="32"/>
  <c r="N39" i="33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E39" i="30"/>
  <c r="D39" i="31"/>
  <c r="C39" i="32"/>
  <c r="B39" i="33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<sst xmlns="http://schemas.openxmlformats.org/spreadsheetml/2006/main" count="3015" uniqueCount="709">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</sst>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21" activePane="bottomRight" state="frozen"/>
      <selection pane="topRight"/>
      <selection pane="bottomLeft"/>
      <selection pane="bottomRight" activeCell="H30" sqref="H30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</v>
      </c>
      <c r="B9" s="41">
        <v>11.86</v>
      </c>
      <c r="C9" s="41">
        <v>26.45</v>
      </c>
      <c r="D9" s="41">
        <v>23.99</v>
      </c>
      <c r="E9" s="41">
        <v>10.130000000000001</v>
      </c>
      <c r="F9" s="41">
        <v>4.07</v>
      </c>
      <c r="G9" s="41">
        <v>85.84</v>
      </c>
      <c r="H9" s="41">
        <v>26.02</v>
      </c>
      <c r="I9" s="41">
        <v>11.54</v>
      </c>
      <c r="J9" s="41">
        <v>0.17</v>
      </c>
      <c r="K9" s="41">
        <v>218.05</v>
      </c>
      <c r="L9" s="41">
        <v>21.92</v>
      </c>
      <c r="M9" s="41">
        <v>88.69</v>
      </c>
      <c r="N9" s="41">
        <v>1.6</v>
      </c>
      <c r="O9" s="41">
        <v>0</v>
      </c>
      <c r="P9" s="41">
        <v>0.97</v>
      </c>
      <c r="Q9" s="41">
        <v>12.97</v>
      </c>
      <c r="R9" s="38"/>
      <c r="S9" s="38"/>
      <c r="T9" s="38"/>
      <c r="U9" s="38"/>
    </row>
    <row r="10" spans="1:21" customFormat="1">
      <c r="A10" s="40" t="s">
        <v>62</v>
      </c>
      <c r="B10" s="41">
        <v>12.83</v>
      </c>
      <c r="C10" s="41">
        <v>24.53</v>
      </c>
      <c r="D10" s="41">
        <v>24.46</v>
      </c>
      <c r="E10" s="41">
        <v>9.86</v>
      </c>
      <c r="F10" s="41">
        <v>4.1100000000000003</v>
      </c>
      <c r="G10" s="41">
        <v>85.84</v>
      </c>
      <c r="H10" s="41">
        <v>29.32</v>
      </c>
      <c r="I10" s="41">
        <v>11.59</v>
      </c>
      <c r="J10" s="41">
        <v>0.13</v>
      </c>
      <c r="K10" s="41">
        <v>192.97</v>
      </c>
      <c r="L10" s="41">
        <v>20.97</v>
      </c>
      <c r="M10" s="41">
        <v>87.86</v>
      </c>
      <c r="N10" s="41">
        <v>1.4</v>
      </c>
      <c r="O10" s="41">
        <v>0</v>
      </c>
      <c r="P10" s="41">
        <v>0.98</v>
      </c>
      <c r="Q10" s="41">
        <v>12.96</v>
      </c>
      <c r="R10" s="38"/>
      <c r="S10" s="38"/>
      <c r="T10" s="38"/>
      <c r="U10" s="38"/>
    </row>
    <row r="11" spans="1:21" customFormat="1">
      <c r="A11" s="40" t="s">
        <v>63</v>
      </c>
      <c r="B11" s="41">
        <v>13.64</v>
      </c>
      <c r="C11" s="41">
        <v>24.54</v>
      </c>
      <c r="D11" s="41">
        <v>25.11</v>
      </c>
      <c r="E11" s="41">
        <v>10.33</v>
      </c>
      <c r="F11" s="41">
        <v>4.0199999999999996</v>
      </c>
      <c r="G11" s="41">
        <v>80.47</v>
      </c>
      <c r="H11" s="41">
        <v>29.32</v>
      </c>
      <c r="I11" s="41">
        <v>11.64</v>
      </c>
      <c r="J11" s="41">
        <v>0.2</v>
      </c>
      <c r="K11" s="41">
        <v>229.58</v>
      </c>
      <c r="L11" s="41">
        <v>20.46</v>
      </c>
      <c r="M11" s="41">
        <v>90.19</v>
      </c>
      <c r="N11" s="41">
        <v>1.4</v>
      </c>
      <c r="O11" s="41">
        <v>0</v>
      </c>
      <c r="P11" s="41">
        <v>1</v>
      </c>
      <c r="Q11" s="41">
        <v>12.97</v>
      </c>
      <c r="R11" s="38"/>
      <c r="S11" s="38"/>
      <c r="T11" s="38"/>
      <c r="U11" s="38"/>
    </row>
    <row r="12" spans="1:21" customFormat="1">
      <c r="A12" s="40" t="s">
        <v>64</v>
      </c>
      <c r="B12" s="41">
        <v>13.8</v>
      </c>
      <c r="C12" s="41">
        <v>22.84</v>
      </c>
      <c r="D12" s="41">
        <v>24.35</v>
      </c>
      <c r="E12" s="41">
        <v>10.210000000000001</v>
      </c>
      <c r="F12" s="41">
        <v>3.89</v>
      </c>
      <c r="G12" s="41">
        <v>71.72</v>
      </c>
      <c r="H12" s="41">
        <v>24.9</v>
      </c>
      <c r="I12" s="41">
        <v>12.02</v>
      </c>
      <c r="J12" s="41">
        <v>0.13</v>
      </c>
      <c r="K12" s="41">
        <v>201.19</v>
      </c>
      <c r="L12" s="41">
        <v>19.96</v>
      </c>
      <c r="M12" s="41">
        <v>91.15</v>
      </c>
      <c r="N12" s="41">
        <v>1.3</v>
      </c>
      <c r="O12" s="41">
        <v>0</v>
      </c>
      <c r="P12" s="41">
        <v>0.99</v>
      </c>
      <c r="Q12" s="41">
        <v>12.97</v>
      </c>
      <c r="R12" s="38"/>
      <c r="S12" s="38"/>
      <c r="T12" s="38"/>
      <c r="U12" s="38"/>
    </row>
    <row r="13" spans="1:21" customFormat="1">
      <c r="A13" s="40" t="s">
        <v>65</v>
      </c>
      <c r="B13" s="41">
        <v>12.72</v>
      </c>
      <c r="C13" s="41">
        <v>21.19</v>
      </c>
      <c r="D13" s="41">
        <v>22.62</v>
      </c>
      <c r="E13" s="41">
        <v>9.26</v>
      </c>
      <c r="F13" s="41">
        <v>3.86</v>
      </c>
      <c r="G13" s="41">
        <v>64.63</v>
      </c>
      <c r="H13" s="41">
        <v>24.9</v>
      </c>
      <c r="I13" s="41">
        <v>11.97</v>
      </c>
      <c r="J13" s="41">
        <v>0.15</v>
      </c>
      <c r="K13" s="41">
        <v>205.22</v>
      </c>
      <c r="L13" s="41">
        <v>20.07</v>
      </c>
      <c r="M13" s="41">
        <v>89.53</v>
      </c>
      <c r="N13" s="41">
        <v>1.3</v>
      </c>
      <c r="O13" s="41">
        <v>0</v>
      </c>
      <c r="P13" s="41">
        <v>0.97</v>
      </c>
      <c r="Q13" s="41">
        <v>12.96</v>
      </c>
      <c r="R13" s="38"/>
      <c r="S13" s="38"/>
      <c r="T13" s="38"/>
      <c r="U13" s="38"/>
    </row>
    <row r="14" spans="1:21" customFormat="1">
      <c r="A14" s="40" t="s">
        <v>66</v>
      </c>
      <c r="B14" s="41">
        <v>12.28</v>
      </c>
      <c r="C14" s="41">
        <v>20.97</v>
      </c>
      <c r="D14" s="41">
        <v>22.15</v>
      </c>
      <c r="E14" s="41">
        <v>9.08</v>
      </c>
      <c r="F14" s="41">
        <v>3.84</v>
      </c>
      <c r="G14" s="41">
        <v>63.1</v>
      </c>
      <c r="H14" s="41">
        <v>23.87</v>
      </c>
      <c r="I14" s="41">
        <v>11.91</v>
      </c>
      <c r="J14" s="41">
        <v>0.14000000000000001</v>
      </c>
      <c r="K14" s="41">
        <v>237.15</v>
      </c>
      <c r="L14" s="41">
        <v>19.71</v>
      </c>
      <c r="M14" s="41">
        <v>93.4</v>
      </c>
      <c r="N14" s="41">
        <v>1.4</v>
      </c>
      <c r="O14" s="41">
        <v>0</v>
      </c>
      <c r="P14" s="41">
        <v>0.95</v>
      </c>
      <c r="Q14" s="41">
        <v>12.95</v>
      </c>
      <c r="R14" s="38"/>
      <c r="S14" s="38"/>
      <c r="T14" s="38"/>
      <c r="U14" s="38"/>
    </row>
    <row r="15" spans="1:21" customFormat="1">
      <c r="A15" s="40" t="s">
        <v>67</v>
      </c>
      <c r="B15" s="41">
        <v>12.05</v>
      </c>
      <c r="C15" s="41">
        <v>20.440000000000001</v>
      </c>
      <c r="D15" s="41">
        <v>21.7</v>
      </c>
      <c r="E15" s="41">
        <v>8.92</v>
      </c>
      <c r="F15" s="41">
        <v>3.93</v>
      </c>
      <c r="G15" s="41">
        <v>63.1</v>
      </c>
      <c r="H15" s="41">
        <v>23.03</v>
      </c>
      <c r="I15" s="41">
        <v>11.81</v>
      </c>
      <c r="J15" s="41">
        <v>0.27</v>
      </c>
      <c r="K15" s="41">
        <v>193.93</v>
      </c>
      <c r="L15" s="41">
        <v>19.79</v>
      </c>
      <c r="M15" s="41">
        <v>94.98</v>
      </c>
      <c r="N15" s="41">
        <v>7.6</v>
      </c>
      <c r="O15" s="41">
        <v>0</v>
      </c>
      <c r="P15" s="41">
        <v>0.92</v>
      </c>
      <c r="Q15" s="41">
        <v>12.96</v>
      </c>
      <c r="R15" s="38"/>
      <c r="S15" s="38"/>
      <c r="T15" s="38"/>
      <c r="U15" s="38"/>
    </row>
    <row r="16" spans="1:21" customFormat="1">
      <c r="A16" s="40" t="s">
        <v>68</v>
      </c>
      <c r="B16" s="41">
        <v>12.07</v>
      </c>
      <c r="C16" s="41">
        <v>20.25</v>
      </c>
      <c r="D16" s="41">
        <v>21.54</v>
      </c>
      <c r="E16" s="41">
        <v>9.07</v>
      </c>
      <c r="F16" s="41">
        <v>3.8</v>
      </c>
      <c r="G16" s="41">
        <v>57.75</v>
      </c>
      <c r="H16" s="41">
        <v>23.27</v>
      </c>
      <c r="I16" s="41">
        <v>12.22</v>
      </c>
      <c r="J16" s="41">
        <v>0.25</v>
      </c>
      <c r="K16" s="41">
        <v>171.87</v>
      </c>
      <c r="L16" s="41">
        <v>21.49</v>
      </c>
      <c r="M16" s="41">
        <v>94.23</v>
      </c>
      <c r="N16" s="41">
        <v>44</v>
      </c>
      <c r="O16" s="41">
        <v>0</v>
      </c>
      <c r="P16" s="41">
        <v>0.94</v>
      </c>
      <c r="Q16" s="41">
        <v>12.95</v>
      </c>
      <c r="R16" s="38"/>
      <c r="S16" s="38"/>
      <c r="T16" s="38"/>
      <c r="U16" s="38"/>
    </row>
    <row r="17" spans="1:21" customFormat="1">
      <c r="A17" s="40" t="s">
        <v>69</v>
      </c>
      <c r="B17" s="41">
        <v>12.14</v>
      </c>
      <c r="C17" s="41">
        <v>23.27</v>
      </c>
      <c r="D17" s="41">
        <v>23.24</v>
      </c>
      <c r="E17" s="41">
        <v>9.56</v>
      </c>
      <c r="F17" s="41">
        <v>4.2300000000000004</v>
      </c>
      <c r="G17" s="41">
        <v>59.33</v>
      </c>
      <c r="H17" s="41">
        <v>24.08</v>
      </c>
      <c r="I17" s="41">
        <v>12.58</v>
      </c>
      <c r="J17" s="41">
        <v>0.32</v>
      </c>
      <c r="K17" s="41">
        <v>266.52</v>
      </c>
      <c r="L17" s="41">
        <v>24.9</v>
      </c>
      <c r="M17" s="41">
        <v>82.13</v>
      </c>
      <c r="N17" s="41">
        <v>166.3</v>
      </c>
      <c r="O17" s="41">
        <v>0</v>
      </c>
      <c r="P17" s="41">
        <v>0.95</v>
      </c>
      <c r="Q17" s="41">
        <v>12.96</v>
      </c>
      <c r="R17" s="38"/>
      <c r="S17" s="38"/>
      <c r="T17" s="38"/>
      <c r="U17" s="38"/>
    </row>
    <row r="18" spans="1:21" customFormat="1">
      <c r="A18" s="40" t="s">
        <v>70</v>
      </c>
      <c r="B18" s="41">
        <v>12.02</v>
      </c>
      <c r="C18" s="41">
        <v>23.13</v>
      </c>
      <c r="D18" s="41">
        <v>22.91</v>
      </c>
      <c r="E18" s="41">
        <v>9.81</v>
      </c>
      <c r="F18" s="41">
        <v>4.49</v>
      </c>
      <c r="G18" s="41">
        <v>59.33</v>
      </c>
      <c r="H18" s="41">
        <v>25.84</v>
      </c>
      <c r="I18" s="41">
        <v>12.51</v>
      </c>
      <c r="J18" s="41">
        <v>0.38</v>
      </c>
      <c r="K18" s="41">
        <v>264.85000000000002</v>
      </c>
      <c r="L18" s="41">
        <v>27.96</v>
      </c>
      <c r="M18" s="41">
        <v>66.959999999999994</v>
      </c>
      <c r="N18" s="41">
        <v>269</v>
      </c>
      <c r="O18" s="41">
        <v>0</v>
      </c>
      <c r="P18" s="41">
        <v>0.92</v>
      </c>
      <c r="Q18" s="41">
        <v>12.96</v>
      </c>
      <c r="R18" s="38"/>
      <c r="S18" s="38"/>
      <c r="T18" s="38"/>
      <c r="U18" s="38"/>
    </row>
    <row r="19" spans="1:21" customFormat="1">
      <c r="A19" s="40" t="s">
        <v>71</v>
      </c>
      <c r="B19" s="41">
        <v>10.42</v>
      </c>
      <c r="C19" s="41">
        <v>22.96</v>
      </c>
      <c r="D19" s="41">
        <v>21.71</v>
      </c>
      <c r="E19" s="41">
        <v>10.93</v>
      </c>
      <c r="F19" s="41">
        <v>6.81</v>
      </c>
      <c r="G19" s="41">
        <v>56.68</v>
      </c>
      <c r="H19" s="41">
        <v>25.84</v>
      </c>
      <c r="I19" s="41">
        <v>12.04</v>
      </c>
      <c r="J19" s="41">
        <v>0.32</v>
      </c>
      <c r="K19" s="41">
        <v>255.93</v>
      </c>
      <c r="L19" s="41">
        <v>30.86</v>
      </c>
      <c r="M19" s="41">
        <v>54.2</v>
      </c>
      <c r="N19" s="41">
        <v>329.3</v>
      </c>
      <c r="O19" s="41">
        <v>0</v>
      </c>
      <c r="P19" s="41">
        <v>0.87</v>
      </c>
      <c r="Q19" s="41">
        <v>12.96</v>
      </c>
      <c r="R19" s="38"/>
      <c r="S19" s="38"/>
      <c r="T19" s="38"/>
      <c r="U19" s="38"/>
    </row>
    <row r="20" spans="1:21" customFormat="1">
      <c r="A20" s="40" t="s">
        <v>72</v>
      </c>
      <c r="B20" s="41">
        <v>8.15</v>
      </c>
      <c r="C20" s="41">
        <v>20.2</v>
      </c>
      <c r="D20" s="41">
        <v>18.440000000000001</v>
      </c>
      <c r="E20" s="41">
        <v>11</v>
      </c>
      <c r="F20" s="41">
        <v>7.62</v>
      </c>
      <c r="G20" s="41">
        <v>46.69</v>
      </c>
      <c r="H20" s="41">
        <v>21.07</v>
      </c>
      <c r="I20" s="41">
        <v>11.31</v>
      </c>
      <c r="J20" s="41">
        <v>0.49</v>
      </c>
      <c r="K20" s="41">
        <v>283.13</v>
      </c>
      <c r="L20" s="41">
        <v>32.25</v>
      </c>
      <c r="M20" s="41">
        <v>40.340000000000003</v>
      </c>
      <c r="N20" s="41">
        <v>351.7</v>
      </c>
      <c r="O20" s="41">
        <v>0</v>
      </c>
      <c r="P20" s="41">
        <v>0.8</v>
      </c>
      <c r="Q20" s="41">
        <v>12.95</v>
      </c>
      <c r="R20" s="38"/>
      <c r="S20" s="38"/>
      <c r="T20" s="38"/>
      <c r="U20" s="38"/>
    </row>
    <row r="21" spans="1:21" customFormat="1">
      <c r="A21" s="40" t="s">
        <v>73</v>
      </c>
      <c r="B21" s="41">
        <v>6.24</v>
      </c>
      <c r="C21" s="41">
        <v>20.329999999999998</v>
      </c>
      <c r="D21" s="41">
        <v>16.98</v>
      </c>
      <c r="E21" s="41">
        <v>10.78</v>
      </c>
      <c r="F21" s="41">
        <v>11.63</v>
      </c>
      <c r="G21" s="41">
        <v>45.38</v>
      </c>
      <c r="H21" s="41">
        <v>21.73</v>
      </c>
      <c r="I21" s="41">
        <v>9.9499999999999993</v>
      </c>
      <c r="J21" s="41">
        <v>0.86</v>
      </c>
      <c r="K21" s="41">
        <v>264.3</v>
      </c>
      <c r="L21" s="41">
        <v>33.26</v>
      </c>
      <c r="M21" s="41">
        <v>35.299999999999997</v>
      </c>
      <c r="N21" s="41">
        <v>367.2</v>
      </c>
      <c r="O21" s="41">
        <v>0</v>
      </c>
      <c r="P21" s="41">
        <v>0.73</v>
      </c>
      <c r="Q21" s="41">
        <v>12.93</v>
      </c>
      <c r="R21" s="38"/>
      <c r="S21" s="38"/>
      <c r="T21" s="38"/>
      <c r="U21" s="38"/>
    </row>
    <row r="22" spans="1:21" customFormat="1">
      <c r="A22" s="40" t="s">
        <v>74</v>
      </c>
      <c r="B22" s="41">
        <v>4.97</v>
      </c>
      <c r="C22" s="41">
        <v>17.82</v>
      </c>
      <c r="D22" s="41">
        <v>14.12</v>
      </c>
      <c r="E22" s="41">
        <v>10.09</v>
      </c>
      <c r="F22" s="41">
        <v>11.17</v>
      </c>
      <c r="G22" s="41">
        <v>42.72</v>
      </c>
      <c r="H22" s="41">
        <v>21.73</v>
      </c>
      <c r="I22" s="41">
        <v>9.15</v>
      </c>
      <c r="J22" s="41">
        <v>0.83</v>
      </c>
      <c r="K22" s="41">
        <v>289.35000000000002</v>
      </c>
      <c r="L22" s="41">
        <v>33.270000000000003</v>
      </c>
      <c r="M22" s="41">
        <v>31.74</v>
      </c>
      <c r="N22" s="41">
        <v>355.5</v>
      </c>
      <c r="O22" s="41">
        <v>0</v>
      </c>
      <c r="P22" s="41">
        <v>0.66</v>
      </c>
      <c r="Q22" s="41">
        <v>12.93</v>
      </c>
      <c r="R22" s="38"/>
      <c r="S22" s="38"/>
      <c r="T22" s="38"/>
      <c r="U22" s="38"/>
    </row>
    <row r="23" spans="1:21" customFormat="1">
      <c r="A23" s="40" t="s">
        <v>75</v>
      </c>
      <c r="B23" s="41">
        <v>4.2699999999999996</v>
      </c>
      <c r="C23" s="41">
        <v>18.28</v>
      </c>
      <c r="D23" s="41">
        <v>14.24</v>
      </c>
      <c r="E23" s="41">
        <v>9.93</v>
      </c>
      <c r="F23" s="41">
        <v>14.66</v>
      </c>
      <c r="G23" s="41">
        <v>40.03</v>
      </c>
      <c r="H23" s="41">
        <v>19.34</v>
      </c>
      <c r="I23" s="41">
        <v>8.0500000000000007</v>
      </c>
      <c r="J23" s="41">
        <v>0.96</v>
      </c>
      <c r="K23" s="41">
        <v>291.08</v>
      </c>
      <c r="L23" s="41">
        <v>33.18</v>
      </c>
      <c r="M23" s="41">
        <v>30.16</v>
      </c>
      <c r="N23" s="41">
        <v>341.8</v>
      </c>
      <c r="O23" s="41">
        <v>0</v>
      </c>
      <c r="P23" s="41">
        <v>0.57999999999999996</v>
      </c>
      <c r="Q23" s="41">
        <v>12.92</v>
      </c>
      <c r="R23" s="38"/>
      <c r="S23" s="38"/>
      <c r="T23" s="38"/>
      <c r="U23" s="38"/>
    </row>
    <row r="24" spans="1:21" customFormat="1">
      <c r="A24" s="40" t="s">
        <v>76</v>
      </c>
      <c r="B24" s="41">
        <v>4.1500000000000004</v>
      </c>
      <c r="C24" s="41">
        <v>18.829999999999998</v>
      </c>
      <c r="D24" s="41">
        <v>14.46</v>
      </c>
      <c r="E24" s="41">
        <v>10.35</v>
      </c>
      <c r="F24" s="41">
        <v>13.64</v>
      </c>
      <c r="G24" s="41">
        <v>40.03</v>
      </c>
      <c r="H24" s="41">
        <v>19.34</v>
      </c>
      <c r="I24" s="41">
        <v>6.79</v>
      </c>
      <c r="J24" s="41">
        <v>0.53</v>
      </c>
      <c r="K24" s="41">
        <v>278.38</v>
      </c>
      <c r="L24" s="41">
        <v>32.68</v>
      </c>
      <c r="M24" s="41">
        <v>31.63</v>
      </c>
      <c r="N24" s="41">
        <v>77</v>
      </c>
      <c r="O24" s="41">
        <v>0</v>
      </c>
      <c r="P24" s="41">
        <v>0.54</v>
      </c>
      <c r="Q24" s="41">
        <v>12.93</v>
      </c>
      <c r="R24" s="38"/>
      <c r="S24" s="38"/>
      <c r="T24" s="38"/>
      <c r="U24" s="38"/>
    </row>
    <row r="25" spans="1:21" customFormat="1">
      <c r="A25" s="40" t="s">
        <v>77</v>
      </c>
      <c r="B25" s="41">
        <v>4.0999999999999996</v>
      </c>
      <c r="C25" s="41">
        <v>18.55</v>
      </c>
      <c r="D25" s="41">
        <v>14.31</v>
      </c>
      <c r="E25" s="41">
        <v>10.25</v>
      </c>
      <c r="F25" s="41">
        <v>11.5</v>
      </c>
      <c r="G25" s="41">
        <v>39.630000000000003</v>
      </c>
      <c r="H25" s="41">
        <v>18.16</v>
      </c>
      <c r="I25" s="41">
        <v>6.03</v>
      </c>
      <c r="J25" s="41">
        <v>0.23</v>
      </c>
      <c r="K25" s="41">
        <v>255.43</v>
      </c>
      <c r="L25" s="41">
        <v>32.090000000000003</v>
      </c>
      <c r="M25" s="41">
        <v>35.64</v>
      </c>
      <c r="N25" s="41">
        <v>47.5</v>
      </c>
      <c r="O25" s="41">
        <v>0</v>
      </c>
      <c r="P25" s="41">
        <v>0.5</v>
      </c>
      <c r="Q25" s="41">
        <v>12.93</v>
      </c>
      <c r="R25" s="38"/>
      <c r="S25" s="38"/>
      <c r="T25" s="38"/>
      <c r="U25" s="38"/>
    </row>
    <row r="26" spans="1:21" customFormat="1">
      <c r="A26" s="40" t="s">
        <v>78</v>
      </c>
      <c r="B26" s="41">
        <v>4.4800000000000004</v>
      </c>
      <c r="C26" s="41">
        <v>20.02</v>
      </c>
      <c r="D26" s="41">
        <v>15.4</v>
      </c>
      <c r="E26" s="41">
        <v>11.06</v>
      </c>
      <c r="F26" s="41">
        <v>9.57</v>
      </c>
      <c r="G26" s="41">
        <v>40.26</v>
      </c>
      <c r="H26" s="41">
        <v>18.16</v>
      </c>
      <c r="I26" s="41">
        <v>5.79</v>
      </c>
      <c r="J26" s="41">
        <v>0.25</v>
      </c>
      <c r="K26" s="41">
        <v>213.77</v>
      </c>
      <c r="L26" s="41">
        <v>30.7</v>
      </c>
      <c r="M26" s="41">
        <v>41.15</v>
      </c>
      <c r="N26" s="41">
        <v>19.399999999999999</v>
      </c>
      <c r="O26" s="41">
        <v>0</v>
      </c>
      <c r="P26" s="41">
        <v>0.56999999999999995</v>
      </c>
      <c r="Q26" s="41">
        <v>12.93</v>
      </c>
      <c r="R26" s="38"/>
      <c r="S26" s="38"/>
      <c r="T26" s="38"/>
      <c r="U26" s="38"/>
    </row>
    <row r="27" spans="1:21" customFormat="1">
      <c r="A27" s="40" t="s">
        <v>79</v>
      </c>
      <c r="B27" s="41">
        <v>7.12</v>
      </c>
      <c r="C27" s="41">
        <v>25.36</v>
      </c>
      <c r="D27" s="41">
        <v>20.309999999999999</v>
      </c>
      <c r="E27" s="41">
        <v>9.2200000000000006</v>
      </c>
      <c r="F27" s="41">
        <v>5.17</v>
      </c>
      <c r="G27" s="41">
        <v>131.52000000000001</v>
      </c>
      <c r="H27" s="41">
        <v>20.309999999999999</v>
      </c>
      <c r="I27" s="41">
        <v>7.16</v>
      </c>
      <c r="J27" s="41">
        <v>0.48</v>
      </c>
      <c r="K27" s="41">
        <v>152.08000000000001</v>
      </c>
      <c r="L27" s="41">
        <v>27.93</v>
      </c>
      <c r="M27" s="41">
        <v>50.07</v>
      </c>
      <c r="N27" s="41">
        <v>2.2000000000000002</v>
      </c>
      <c r="O27" s="41">
        <v>0</v>
      </c>
      <c r="P27" s="41">
        <v>0.68</v>
      </c>
      <c r="Q27" s="41">
        <v>12.95</v>
      </c>
      <c r="R27" s="38"/>
      <c r="S27" s="38"/>
      <c r="T27" s="38"/>
      <c r="U27" s="38"/>
    </row>
    <row r="28" spans="1:21" customFormat="1">
      <c r="A28" s="40" t="s">
        <v>80</v>
      </c>
      <c r="B28" s="41">
        <v>11.05</v>
      </c>
      <c r="C28" s="41">
        <v>27.11</v>
      </c>
      <c r="D28" s="41">
        <v>24.37</v>
      </c>
      <c r="E28" s="41">
        <v>9.0299999999999994</v>
      </c>
      <c r="F28" s="41">
        <v>4.41</v>
      </c>
      <c r="G28" s="41">
        <v>145.38</v>
      </c>
      <c r="H28" s="41">
        <v>24.73</v>
      </c>
      <c r="I28" s="41">
        <v>8.73</v>
      </c>
      <c r="J28" s="41">
        <v>0.33</v>
      </c>
      <c r="K28" s="41">
        <v>170.32</v>
      </c>
      <c r="L28" s="41">
        <v>27.6</v>
      </c>
      <c r="M28" s="41">
        <v>52.79</v>
      </c>
      <c r="N28" s="41">
        <v>2.1</v>
      </c>
      <c r="O28" s="41">
        <v>0</v>
      </c>
      <c r="P28" s="41">
        <v>0.73</v>
      </c>
      <c r="Q28" s="41">
        <v>12.96</v>
      </c>
      <c r="R28" s="38"/>
      <c r="S28" s="38"/>
      <c r="T28" s="38"/>
      <c r="U28" s="38"/>
    </row>
    <row r="29" spans="1:21" customFormat="1">
      <c r="A29" s="40" t="s">
        <v>81</v>
      </c>
      <c r="B29" s="41">
        <v>14.63</v>
      </c>
      <c r="C29" s="41">
        <v>26.48</v>
      </c>
      <c r="D29" s="41">
        <v>26.57</v>
      </c>
      <c r="E29" s="41">
        <v>8.92</v>
      </c>
      <c r="F29" s="41">
        <v>4.1399999999999997</v>
      </c>
      <c r="G29" s="41">
        <v>145.38</v>
      </c>
      <c r="H29" s="41">
        <v>26.57</v>
      </c>
      <c r="I29" s="41">
        <v>9.52</v>
      </c>
      <c r="J29" s="41">
        <v>0.26</v>
      </c>
      <c r="K29" s="41">
        <v>183.11</v>
      </c>
      <c r="L29" s="41">
        <v>26.09</v>
      </c>
      <c r="M29" s="41">
        <v>70.22</v>
      </c>
      <c r="N29" s="41">
        <v>2.4</v>
      </c>
      <c r="O29" s="41">
        <v>0</v>
      </c>
      <c r="P29" s="41">
        <v>0.84</v>
      </c>
      <c r="Q29" s="41">
        <v>12.97</v>
      </c>
      <c r="R29" s="38"/>
      <c r="S29" s="38"/>
      <c r="T29" s="38"/>
      <c r="U29" s="38"/>
    </row>
    <row r="30" spans="1:21" customFormat="1">
      <c r="A30" s="40" t="s">
        <v>82</v>
      </c>
      <c r="B30" s="41">
        <v>16.100000000000001</v>
      </c>
      <c r="C30" s="41">
        <v>25.67</v>
      </c>
      <c r="D30" s="41">
        <v>27.56</v>
      </c>
      <c r="E30" s="41">
        <v>9.7200000000000006</v>
      </c>
      <c r="F30" s="41">
        <v>3.98</v>
      </c>
      <c r="G30" s="41">
        <v>130.55000000000001</v>
      </c>
      <c r="H30" s="41">
        <v>26.57</v>
      </c>
      <c r="I30" s="41">
        <v>10.42</v>
      </c>
      <c r="J30" s="41">
        <v>0.34</v>
      </c>
      <c r="K30" s="41">
        <v>224.41</v>
      </c>
      <c r="L30" s="41">
        <v>23.21</v>
      </c>
      <c r="M30" s="41">
        <v>71.08</v>
      </c>
      <c r="N30" s="41">
        <v>1.5</v>
      </c>
      <c r="O30" s="41">
        <v>0</v>
      </c>
      <c r="P30" s="41">
        <v>0.89</v>
      </c>
      <c r="Q30" s="41">
        <v>12.98</v>
      </c>
      <c r="R30" s="38"/>
      <c r="S30" s="38"/>
      <c r="T30" s="38"/>
      <c r="U30" s="38"/>
    </row>
    <row r="31" spans="1:21" customFormat="1">
      <c r="A31" s="40" t="s">
        <v>83</v>
      </c>
      <c r="B31" s="41">
        <v>16.440000000000001</v>
      </c>
      <c r="C31" s="41">
        <v>25.28</v>
      </c>
      <c r="D31" s="41">
        <v>27.57</v>
      </c>
      <c r="E31" s="41">
        <v>9.5299999999999994</v>
      </c>
      <c r="F31" s="41">
        <v>4.08</v>
      </c>
      <c r="G31" s="41">
        <v>115.13</v>
      </c>
      <c r="H31" s="41">
        <v>25.85</v>
      </c>
      <c r="I31" s="41">
        <v>10.85</v>
      </c>
      <c r="J31" s="41">
        <v>0.21</v>
      </c>
      <c r="K31" s="41">
        <v>215.14</v>
      </c>
      <c r="L31" s="41">
        <v>22.26</v>
      </c>
      <c r="M31" s="41">
        <v>77.349999999999994</v>
      </c>
      <c r="N31" s="41">
        <v>1.4</v>
      </c>
      <c r="O31" s="41">
        <v>0</v>
      </c>
      <c r="P31" s="41">
        <v>0.93</v>
      </c>
      <c r="Q31" s="41">
        <v>12.98</v>
      </c>
      <c r="R31" s="38"/>
      <c r="S31" s="38"/>
      <c r="T31" s="38"/>
      <c r="U31" s="38"/>
    </row>
    <row r="32" spans="1:21" customFormat="1">
      <c r="A32" s="40" t="s">
        <v>84</v>
      </c>
      <c r="B32" s="41">
        <v>16.04</v>
      </c>
      <c r="C32" s="41">
        <v>23.86</v>
      </c>
      <c r="D32" s="41">
        <v>26.57</v>
      </c>
      <c r="E32" s="41">
        <v>8.7799999999999994</v>
      </c>
      <c r="F32" s="41">
        <v>3.81</v>
      </c>
      <c r="G32" s="41">
        <v>110.63</v>
      </c>
      <c r="H32" s="41">
        <v>27.18</v>
      </c>
      <c r="I32" s="41">
        <v>11.67</v>
      </c>
      <c r="J32" s="41">
        <v>0.25</v>
      </c>
      <c r="K32" s="41">
        <v>212.81</v>
      </c>
      <c r="L32" s="41">
        <v>21.6</v>
      </c>
      <c r="M32" s="41">
        <v>79.14</v>
      </c>
      <c r="N32" s="41">
        <v>1.3</v>
      </c>
      <c r="O32" s="41">
        <v>0</v>
      </c>
      <c r="P32" s="41">
        <v>0.99</v>
      </c>
      <c r="Q32" s="41">
        <v>12.98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4.0999999999999996</v>
      </c>
      <c r="C34" s="18">
        <f t="shared" si="0"/>
        <v>17.82</v>
      </c>
      <c r="D34" s="18">
        <f t="shared" si="0"/>
        <v>14.12</v>
      </c>
      <c r="E34" s="18">
        <f t="shared" si="0"/>
        <v>8.7799999999999994</v>
      </c>
      <c r="F34" s="18">
        <f t="shared" si="0"/>
        <v>3.8</v>
      </c>
      <c r="G34" s="18">
        <f t="shared" si="0"/>
        <v>39.630000000000003</v>
      </c>
      <c r="H34" s="18">
        <f t="shared" si="0"/>
        <v>18.16</v>
      </c>
      <c r="I34" s="18">
        <f t="shared" si="0"/>
        <v>5.79</v>
      </c>
      <c r="J34" s="18">
        <f t="shared" si="0"/>
        <v>0.13</v>
      </c>
      <c r="K34" s="18">
        <f t="shared" si="0"/>
        <v>152.08000000000001</v>
      </c>
      <c r="L34" s="18">
        <f t="shared" si="0"/>
        <v>19.71</v>
      </c>
      <c r="M34" s="18">
        <f t="shared" si="0"/>
        <v>30.16</v>
      </c>
      <c r="N34" s="18">
        <f t="shared" si="0"/>
        <v>1.3</v>
      </c>
      <c r="O34" s="18">
        <f t="shared" si="0"/>
        <v>0</v>
      </c>
      <c r="P34" s="18">
        <f t="shared" si="0"/>
        <v>0.5</v>
      </c>
      <c r="Q34" s="18">
        <f t="shared" si="0"/>
        <v>12.92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16.440000000000001</v>
      </c>
      <c r="C35" s="3">
        <f t="shared" si="1"/>
        <v>27.11</v>
      </c>
      <c r="D35" s="3">
        <f t="shared" si="1"/>
        <v>27.57</v>
      </c>
      <c r="E35" s="3">
        <f t="shared" si="1"/>
        <v>11.06</v>
      </c>
      <c r="F35" s="3">
        <f t="shared" si="1"/>
        <v>14.66</v>
      </c>
      <c r="G35" s="3">
        <f t="shared" si="1"/>
        <v>145.38</v>
      </c>
      <c r="H35" s="3">
        <f t="shared" si="1"/>
        <v>29.32</v>
      </c>
      <c r="I35" s="3">
        <f t="shared" si="1"/>
        <v>12.58</v>
      </c>
      <c r="J35" s="3">
        <f t="shared" si="1"/>
        <v>0.96</v>
      </c>
      <c r="K35" s="3">
        <f t="shared" si="1"/>
        <v>291.08</v>
      </c>
      <c r="L35" s="3">
        <f t="shared" si="1"/>
        <v>33.270000000000003</v>
      </c>
      <c r="M35" s="3">
        <f t="shared" si="1"/>
        <v>94.98</v>
      </c>
      <c r="N35" s="3">
        <f t="shared" si="1"/>
        <v>367.2</v>
      </c>
      <c r="O35" s="3">
        <f t="shared" si="1"/>
        <v>0</v>
      </c>
      <c r="P35" s="3">
        <f t="shared" si="1"/>
        <v>1</v>
      </c>
      <c r="Q35" s="3">
        <f t="shared" si="1"/>
        <v>12.98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10.565416666666666</v>
      </c>
      <c r="C36" s="18">
        <f t="shared" si="2"/>
        <v>22.431666666666672</v>
      </c>
      <c r="D36" s="18">
        <f t="shared" si="2"/>
        <v>21.445000000000004</v>
      </c>
      <c r="E36" s="18">
        <f t="shared" si="2"/>
        <v>9.8258333333333336</v>
      </c>
      <c r="F36" s="18">
        <f t="shared" si="2"/>
        <v>6.3512499999999994</v>
      </c>
      <c r="G36" s="18">
        <f t="shared" si="2"/>
        <v>75.88</v>
      </c>
      <c r="H36" s="18">
        <f t="shared" si="2"/>
        <v>23.797083333333337</v>
      </c>
      <c r="I36" s="18">
        <f t="shared" si="2"/>
        <v>10.30208333333333</v>
      </c>
      <c r="J36" s="18">
        <f t="shared" si="2"/>
        <v>0.35333333333333333</v>
      </c>
      <c r="K36" s="18">
        <f t="shared" si="2"/>
        <v>227.94041666666669</v>
      </c>
      <c r="L36" s="18">
        <f t="shared" si="2"/>
        <v>26.008750000000006</v>
      </c>
      <c r="M36" s="18">
        <f t="shared" si="2"/>
        <v>65.830416666666679</v>
      </c>
      <c r="N36" s="18">
        <f t="shared" si="2"/>
        <v>99.816666666666677</v>
      </c>
      <c r="O36" s="18">
        <f t="shared" si="2"/>
        <v>0</v>
      </c>
      <c r="P36" s="18">
        <f t="shared" si="2"/>
        <v>0.82916666666666661</v>
      </c>
      <c r="Q36" s="18">
        <f t="shared" si="2"/>
        <v>12.954583333333337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4.0785856235226703</v>
      </c>
      <c r="C37" s="18">
        <f t="shared" ref="C37:Q37" si="3">STDEV(C9:C32)</f>
        <v>2.8611607049779475</v>
      </c>
      <c r="D37" s="18">
        <f t="shared" si="3"/>
        <v>4.4374248309616071</v>
      </c>
      <c r="E37" s="18">
        <f t="shared" si="3"/>
        <v>0.70448202783054148</v>
      </c>
      <c r="F37" s="18">
        <f t="shared" si="3"/>
        <v>3.5740457072330978</v>
      </c>
      <c r="G37" s="18">
        <f t="shared" si="3"/>
        <v>35.178776457453417</v>
      </c>
      <c r="H37" s="18">
        <f t="shared" si="3"/>
        <v>3.2370954226531561</v>
      </c>
      <c r="I37" s="18">
        <f t="shared" si="3"/>
        <v>2.1463882285216402</v>
      </c>
      <c r="J37" s="18">
        <f t="shared" si="3"/>
        <v>0.23300805484615419</v>
      </c>
      <c r="K37" s="18">
        <f t="shared" si="3"/>
        <v>40.481334343788674</v>
      </c>
      <c r="L37" s="18">
        <f t="shared" si="3"/>
        <v>5.1870392933189411</v>
      </c>
      <c r="M37" s="18">
        <f t="shared" si="3"/>
        <v>23.869491621180813</v>
      </c>
      <c r="N37" s="18">
        <f t="shared" si="3"/>
        <v>144.71241245601766</v>
      </c>
      <c r="O37" s="18">
        <f t="shared" si="3"/>
        <v>0</v>
      </c>
      <c r="P37" s="18">
        <f t="shared" si="3"/>
        <v>0.16279933411536454</v>
      </c>
      <c r="Q37" s="18">
        <f t="shared" si="3"/>
        <v>1.7932037558919683E-2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K23" sqref="K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85</v>
      </c>
      <c r="B9" s="41">
        <v>14.48</v>
      </c>
      <c r="C9" s="41">
        <v>23.51</v>
      </c>
      <c r="D9" s="41">
        <v>24.96</v>
      </c>
      <c r="E9" s="41">
        <v>8.18</v>
      </c>
      <c r="F9" s="41">
        <v>3.8</v>
      </c>
      <c r="G9" s="41">
        <v>104.91</v>
      </c>
      <c r="H9" s="41">
        <v>27.18</v>
      </c>
      <c r="I9" s="41">
        <v>12.35</v>
      </c>
      <c r="J9" s="41">
        <v>0.17</v>
      </c>
      <c r="K9" s="41">
        <v>226.82</v>
      </c>
      <c r="L9" s="41">
        <v>21.27</v>
      </c>
      <c r="M9" s="41">
        <v>82.84</v>
      </c>
      <c r="N9" s="41">
        <v>1.4</v>
      </c>
      <c r="O9" s="41">
        <v>0</v>
      </c>
      <c r="P9" s="41">
        <v>1.02</v>
      </c>
      <c r="Q9" s="41">
        <v>12.97</v>
      </c>
      <c r="R9" s="38"/>
      <c r="S9" s="38"/>
      <c r="T9" s="38"/>
      <c r="U9" s="38"/>
    </row>
    <row r="10" spans="1:21" customFormat="1">
      <c r="A10" s="40" t="s">
        <v>86</v>
      </c>
      <c r="B10" s="41">
        <v>13.63</v>
      </c>
      <c r="C10" s="41">
        <v>23.37</v>
      </c>
      <c r="D10" s="41">
        <v>24.49</v>
      </c>
      <c r="E10" s="41">
        <v>8.11</v>
      </c>
      <c r="F10" s="41">
        <v>3.88</v>
      </c>
      <c r="G10" s="41">
        <v>104.91</v>
      </c>
      <c r="H10" s="41">
        <v>24.78</v>
      </c>
      <c r="I10" s="41">
        <v>12.85</v>
      </c>
      <c r="J10" s="41">
        <v>0.17</v>
      </c>
      <c r="K10" s="41">
        <v>211.01</v>
      </c>
      <c r="L10" s="41">
        <v>20.8</v>
      </c>
      <c r="M10" s="41">
        <v>84.51</v>
      </c>
      <c r="N10" s="41">
        <v>1.3</v>
      </c>
      <c r="O10" s="41">
        <v>0</v>
      </c>
      <c r="P10" s="41">
        <v>1.03</v>
      </c>
      <c r="Q10" s="41">
        <v>12.98</v>
      </c>
      <c r="R10" s="38"/>
      <c r="S10" s="38"/>
      <c r="T10" s="38"/>
      <c r="U10" s="38"/>
    </row>
    <row r="11" spans="1:21" customFormat="1">
      <c r="A11" s="40" t="s">
        <v>87</v>
      </c>
      <c r="B11" s="41">
        <v>13.2</v>
      </c>
      <c r="C11" s="41">
        <v>23</v>
      </c>
      <c r="D11" s="41">
        <v>23.95</v>
      </c>
      <c r="E11" s="41">
        <v>11.22</v>
      </c>
      <c r="F11" s="41">
        <v>4.01</v>
      </c>
      <c r="G11" s="41">
        <v>90.49</v>
      </c>
      <c r="H11" s="41">
        <v>24.78</v>
      </c>
      <c r="I11" s="41">
        <v>13.08</v>
      </c>
      <c r="J11" s="41">
        <v>0.18</v>
      </c>
      <c r="K11" s="41">
        <v>162.49</v>
      </c>
      <c r="L11" s="41">
        <v>20.3</v>
      </c>
      <c r="M11" s="41">
        <v>84.27</v>
      </c>
      <c r="N11" s="41">
        <v>1.4</v>
      </c>
      <c r="O11" s="41">
        <v>0</v>
      </c>
      <c r="P11" s="41">
        <v>1.03</v>
      </c>
      <c r="Q11" s="41">
        <v>12.96</v>
      </c>
      <c r="R11" s="38"/>
      <c r="S11" s="38"/>
      <c r="T11" s="38"/>
      <c r="U11" s="38"/>
    </row>
    <row r="12" spans="1:21" customFormat="1">
      <c r="A12" s="40" t="s">
        <v>88</v>
      </c>
      <c r="B12" s="41">
        <v>12.67</v>
      </c>
      <c r="C12" s="41">
        <v>22.29</v>
      </c>
      <c r="D12" s="41">
        <v>23.13</v>
      </c>
      <c r="E12" s="41">
        <v>11.39</v>
      </c>
      <c r="F12" s="41">
        <v>3.84</v>
      </c>
      <c r="G12" s="41">
        <v>83.25</v>
      </c>
      <c r="H12" s="41">
        <v>24.32</v>
      </c>
      <c r="I12" s="41">
        <v>13.18</v>
      </c>
      <c r="J12" s="41">
        <v>0.19</v>
      </c>
      <c r="K12" s="41">
        <v>226.52</v>
      </c>
      <c r="L12" s="41">
        <v>20.09</v>
      </c>
      <c r="M12" s="41">
        <v>87.39</v>
      </c>
      <c r="N12" s="41">
        <v>1.4</v>
      </c>
      <c r="O12" s="41">
        <v>0</v>
      </c>
      <c r="P12" s="41">
        <v>1.03</v>
      </c>
      <c r="Q12" s="41">
        <v>12.96</v>
      </c>
      <c r="R12" s="38"/>
      <c r="S12" s="38"/>
      <c r="T12" s="38"/>
      <c r="U12" s="38"/>
    </row>
    <row r="13" spans="1:21" customFormat="1">
      <c r="A13" s="40" t="s">
        <v>89</v>
      </c>
      <c r="B13" s="41">
        <v>12.69</v>
      </c>
      <c r="C13" s="41">
        <v>22.75</v>
      </c>
      <c r="D13" s="41">
        <v>23.41</v>
      </c>
      <c r="E13" s="41">
        <v>11.72</v>
      </c>
      <c r="F13" s="41">
        <v>3.95</v>
      </c>
      <c r="G13" s="41">
        <v>61.21</v>
      </c>
      <c r="H13" s="41">
        <v>24.32</v>
      </c>
      <c r="I13" s="41">
        <v>13.12</v>
      </c>
      <c r="J13" s="41">
        <v>0.13</v>
      </c>
      <c r="K13" s="41">
        <v>202.95</v>
      </c>
      <c r="L13" s="41">
        <v>19.649999999999999</v>
      </c>
      <c r="M13" s="41">
        <v>88.86</v>
      </c>
      <c r="N13" s="41">
        <v>1.3</v>
      </c>
      <c r="O13" s="41">
        <v>0</v>
      </c>
      <c r="P13" s="41">
        <v>1.02</v>
      </c>
      <c r="Q13" s="41">
        <v>12.96</v>
      </c>
      <c r="R13" s="38"/>
      <c r="S13" s="38"/>
      <c r="T13" s="38"/>
      <c r="U13" s="38"/>
    </row>
    <row r="14" spans="1:21" customFormat="1">
      <c r="A14" s="40" t="s">
        <v>90</v>
      </c>
      <c r="B14" s="41">
        <v>13.4</v>
      </c>
      <c r="C14" s="41">
        <v>23.32</v>
      </c>
      <c r="D14" s="41">
        <v>24.28</v>
      </c>
      <c r="E14" s="41">
        <v>11.55</v>
      </c>
      <c r="F14" s="41">
        <v>3.86</v>
      </c>
      <c r="G14" s="41">
        <v>58.79</v>
      </c>
      <c r="H14" s="41">
        <v>23.34</v>
      </c>
      <c r="I14" s="41">
        <v>13.15</v>
      </c>
      <c r="J14" s="41">
        <v>0.22</v>
      </c>
      <c r="K14" s="41">
        <v>175.59</v>
      </c>
      <c r="L14" s="41">
        <v>19.71</v>
      </c>
      <c r="M14" s="41">
        <v>86.47</v>
      </c>
      <c r="N14" s="41">
        <v>1.3</v>
      </c>
      <c r="O14" s="41">
        <v>0</v>
      </c>
      <c r="P14" s="41">
        <v>1.01</v>
      </c>
      <c r="Q14" s="41">
        <v>12.97</v>
      </c>
      <c r="R14" s="38"/>
      <c r="S14" s="38"/>
      <c r="T14" s="38"/>
      <c r="U14" s="38"/>
    </row>
    <row r="15" spans="1:21" customFormat="1">
      <c r="A15" s="40" t="s">
        <v>91</v>
      </c>
      <c r="B15" s="41">
        <v>14.28</v>
      </c>
      <c r="C15" s="41">
        <v>22.87</v>
      </c>
      <c r="D15" s="41">
        <v>24.6</v>
      </c>
      <c r="E15" s="41">
        <v>10.95</v>
      </c>
      <c r="F15" s="41">
        <v>3.87</v>
      </c>
      <c r="G15" s="41">
        <v>58.79</v>
      </c>
      <c r="H15" s="41">
        <v>21.65</v>
      </c>
      <c r="I15" s="41">
        <v>12.85</v>
      </c>
      <c r="J15" s="41">
        <v>0.2</v>
      </c>
      <c r="K15" s="41">
        <v>177.69</v>
      </c>
      <c r="L15" s="41">
        <v>19.37</v>
      </c>
      <c r="M15" s="41">
        <v>89.51</v>
      </c>
      <c r="N15" s="41">
        <v>7.7</v>
      </c>
      <c r="O15" s="41">
        <v>0</v>
      </c>
      <c r="P15" s="41">
        <v>1</v>
      </c>
      <c r="Q15" s="41">
        <v>12.96</v>
      </c>
      <c r="R15" s="38"/>
      <c r="S15" s="38"/>
      <c r="T15" s="38"/>
      <c r="U15" s="38"/>
    </row>
    <row r="16" spans="1:21" customFormat="1">
      <c r="A16" s="40" t="s">
        <v>92</v>
      </c>
      <c r="B16" s="41">
        <v>14.55</v>
      </c>
      <c r="C16" s="41">
        <v>22.47</v>
      </c>
      <c r="D16" s="41">
        <v>24.64</v>
      </c>
      <c r="E16" s="41">
        <v>11.03</v>
      </c>
      <c r="F16" s="41">
        <v>3.95</v>
      </c>
      <c r="G16" s="41">
        <v>54.22</v>
      </c>
      <c r="H16" s="41">
        <v>21.65</v>
      </c>
      <c r="I16" s="41">
        <v>12.44</v>
      </c>
      <c r="J16" s="41">
        <v>0.44</v>
      </c>
      <c r="K16" s="41">
        <v>166.66</v>
      </c>
      <c r="L16" s="41">
        <v>21.05</v>
      </c>
      <c r="M16" s="41">
        <v>89.17</v>
      </c>
      <c r="N16" s="41">
        <v>38.9</v>
      </c>
      <c r="O16" s="41">
        <v>0</v>
      </c>
      <c r="P16" s="41">
        <v>0.97</v>
      </c>
      <c r="Q16" s="41">
        <v>12.97</v>
      </c>
      <c r="R16" s="38"/>
      <c r="S16" s="38"/>
      <c r="T16" s="38"/>
      <c r="U16" s="38"/>
    </row>
    <row r="17" spans="1:21" customFormat="1">
      <c r="A17" s="40" t="s">
        <v>93</v>
      </c>
      <c r="B17" s="41">
        <v>14.53</v>
      </c>
      <c r="C17" s="41">
        <v>22.65</v>
      </c>
      <c r="D17" s="41">
        <v>24.74</v>
      </c>
      <c r="E17" s="41">
        <v>10.93</v>
      </c>
      <c r="F17" s="41">
        <v>4.1399999999999997</v>
      </c>
      <c r="G17" s="41">
        <v>62.8</v>
      </c>
      <c r="H17" s="41">
        <v>23.43</v>
      </c>
      <c r="I17" s="41">
        <v>12.17</v>
      </c>
      <c r="J17" s="41">
        <v>0.39</v>
      </c>
      <c r="K17" s="41">
        <v>261.52999999999997</v>
      </c>
      <c r="L17" s="41">
        <v>25.13</v>
      </c>
      <c r="M17" s="41">
        <v>73.180000000000007</v>
      </c>
      <c r="N17" s="41">
        <v>175.9</v>
      </c>
      <c r="O17" s="41">
        <v>0</v>
      </c>
      <c r="P17" s="41">
        <v>0.97</v>
      </c>
      <c r="Q17" s="41">
        <v>12.97</v>
      </c>
      <c r="R17" s="38"/>
      <c r="S17" s="38"/>
      <c r="T17" s="38"/>
      <c r="U17" s="38"/>
    </row>
    <row r="18" spans="1:21" customFormat="1">
      <c r="A18" s="40" t="s">
        <v>94</v>
      </c>
      <c r="B18" s="41">
        <v>12.26</v>
      </c>
      <c r="C18" s="41">
        <v>24.14</v>
      </c>
      <c r="D18" s="41">
        <v>22.71</v>
      </c>
      <c r="E18" s="41">
        <v>10.71</v>
      </c>
      <c r="F18" s="41">
        <v>5.24</v>
      </c>
      <c r="G18" s="41">
        <v>81.290000000000006</v>
      </c>
      <c r="H18" s="41">
        <v>25.02</v>
      </c>
      <c r="I18" s="41">
        <v>13.59</v>
      </c>
      <c r="J18" s="41">
        <v>0.56999999999999995</v>
      </c>
      <c r="K18" s="41">
        <v>275.12</v>
      </c>
      <c r="L18" s="41">
        <v>28.23</v>
      </c>
      <c r="M18" s="41">
        <v>58.57</v>
      </c>
      <c r="N18" s="41">
        <v>289.5</v>
      </c>
      <c r="O18" s="41">
        <v>0</v>
      </c>
      <c r="P18" s="41">
        <v>1.03</v>
      </c>
      <c r="Q18" s="41">
        <v>12.96</v>
      </c>
      <c r="R18" s="38"/>
      <c r="S18" s="38"/>
      <c r="T18" s="38"/>
      <c r="U18" s="38"/>
    </row>
    <row r="19" spans="1:21" customFormat="1">
      <c r="A19" s="40" t="s">
        <v>95</v>
      </c>
      <c r="B19" s="41">
        <v>7.08</v>
      </c>
      <c r="C19" s="41">
        <v>25.26</v>
      </c>
      <c r="D19" s="41">
        <v>19.72</v>
      </c>
      <c r="E19" s="41">
        <v>10.93</v>
      </c>
      <c r="F19" s="41">
        <v>7.16</v>
      </c>
      <c r="G19" s="41">
        <v>81.290000000000006</v>
      </c>
      <c r="H19" s="41">
        <v>25.02</v>
      </c>
      <c r="I19" s="41">
        <v>15.83</v>
      </c>
      <c r="J19" s="41">
        <v>1</v>
      </c>
      <c r="K19" s="41">
        <v>293.14999999999998</v>
      </c>
      <c r="L19" s="41">
        <v>29.84</v>
      </c>
      <c r="M19" s="41">
        <v>45.54</v>
      </c>
      <c r="N19" s="41">
        <v>336.8</v>
      </c>
      <c r="O19" s="41">
        <v>0</v>
      </c>
      <c r="P19" s="41">
        <v>1.03</v>
      </c>
      <c r="Q19" s="41">
        <v>12.96</v>
      </c>
      <c r="R19" s="38"/>
      <c r="S19" s="38"/>
      <c r="T19" s="38"/>
      <c r="U19" s="38"/>
    </row>
    <row r="20" spans="1:21" customFormat="1">
      <c r="A20" s="40" t="s">
        <v>96</v>
      </c>
      <c r="B20" s="41">
        <v>4.92</v>
      </c>
      <c r="C20" s="41">
        <v>25.26</v>
      </c>
      <c r="D20" s="41">
        <v>18.5</v>
      </c>
      <c r="E20" s="41">
        <v>9.86</v>
      </c>
      <c r="F20" s="41">
        <v>9.3699999999999992</v>
      </c>
      <c r="G20" s="41">
        <v>69.05</v>
      </c>
      <c r="H20" s="41">
        <v>23.71</v>
      </c>
      <c r="I20" s="41">
        <v>15.5</v>
      </c>
      <c r="J20" s="41">
        <v>1.06</v>
      </c>
      <c r="K20" s="41">
        <v>300.69</v>
      </c>
      <c r="L20" s="41">
        <v>31.62</v>
      </c>
      <c r="M20" s="41">
        <v>42.22</v>
      </c>
      <c r="N20" s="41">
        <v>362.7</v>
      </c>
      <c r="O20" s="41">
        <v>0</v>
      </c>
      <c r="P20" s="41">
        <v>1.03</v>
      </c>
      <c r="Q20" s="41">
        <v>12.95</v>
      </c>
      <c r="R20" s="38"/>
      <c r="S20" s="38"/>
      <c r="T20" s="38"/>
      <c r="U20" s="38"/>
    </row>
    <row r="21" spans="1:21" customFormat="1">
      <c r="A21" s="40" t="s">
        <v>97</v>
      </c>
      <c r="B21" s="41">
        <v>4.07</v>
      </c>
      <c r="C21" s="41">
        <v>24.83</v>
      </c>
      <c r="D21" s="41">
        <v>17.559999999999999</v>
      </c>
      <c r="E21" s="41">
        <v>10.85</v>
      </c>
      <c r="F21" s="41">
        <v>8.73</v>
      </c>
      <c r="G21" s="41">
        <v>62.02</v>
      </c>
      <c r="H21" s="41">
        <v>24.52</v>
      </c>
      <c r="I21" s="41">
        <v>14.58</v>
      </c>
      <c r="J21" s="41">
        <v>1.1599999999999999</v>
      </c>
      <c r="K21" s="41">
        <v>308.52999999999997</v>
      </c>
      <c r="L21" s="41">
        <v>32.51</v>
      </c>
      <c r="M21" s="41">
        <v>37.57</v>
      </c>
      <c r="N21" s="41">
        <v>363.7</v>
      </c>
      <c r="O21" s="41">
        <v>0</v>
      </c>
      <c r="P21" s="41">
        <v>1.01</v>
      </c>
      <c r="Q21" s="41">
        <v>12.95</v>
      </c>
      <c r="R21" s="38"/>
      <c r="S21" s="38"/>
      <c r="T21" s="38"/>
      <c r="U21" s="38"/>
    </row>
    <row r="22" spans="1:21" customFormat="1">
      <c r="A22" s="40" t="s">
        <v>98</v>
      </c>
      <c r="B22" s="41">
        <v>4.07</v>
      </c>
      <c r="C22" s="41">
        <v>24.52</v>
      </c>
      <c r="D22" s="41">
        <v>17.420000000000002</v>
      </c>
      <c r="E22" s="41">
        <v>10.41</v>
      </c>
      <c r="F22" s="41">
        <v>13.55</v>
      </c>
      <c r="G22" s="41">
        <v>61.6</v>
      </c>
      <c r="H22" s="41">
        <v>24.52</v>
      </c>
      <c r="I22" s="41">
        <v>13.88</v>
      </c>
      <c r="J22" s="41">
        <v>0.74</v>
      </c>
      <c r="K22" s="41">
        <v>295.11</v>
      </c>
      <c r="L22" s="41">
        <v>33.31</v>
      </c>
      <c r="M22" s="41">
        <v>34.11</v>
      </c>
      <c r="N22" s="41">
        <v>363.8</v>
      </c>
      <c r="O22" s="41">
        <v>0</v>
      </c>
      <c r="P22" s="41">
        <v>0.99</v>
      </c>
      <c r="Q22" s="41">
        <v>12.93</v>
      </c>
      <c r="R22" s="38"/>
      <c r="S22" s="38"/>
      <c r="T22" s="38"/>
      <c r="U22" s="38"/>
    </row>
    <row r="23" spans="1:21" customFormat="1">
      <c r="A23" s="40" t="s">
        <v>99</v>
      </c>
      <c r="B23" s="41">
        <v>4.4400000000000004</v>
      </c>
      <c r="C23" s="41">
        <v>22.7</v>
      </c>
      <c r="D23" s="41">
        <v>16.559999999999999</v>
      </c>
      <c r="E23" s="41">
        <v>12.27</v>
      </c>
      <c r="F23" s="41">
        <v>15.07</v>
      </c>
      <c r="G23" s="41">
        <v>51.17</v>
      </c>
      <c r="H23" s="41">
        <v>23.73</v>
      </c>
      <c r="I23" s="41">
        <v>12.01</v>
      </c>
      <c r="J23" s="41">
        <v>0.71</v>
      </c>
      <c r="K23" s="41">
        <v>302.27</v>
      </c>
      <c r="L23" s="41">
        <v>33.22</v>
      </c>
      <c r="M23" s="41">
        <v>33.909999999999997</v>
      </c>
      <c r="N23" s="41">
        <v>340.5</v>
      </c>
      <c r="O23" s="41">
        <v>0</v>
      </c>
      <c r="P23" s="41">
        <v>0.84</v>
      </c>
      <c r="Q23" s="41">
        <v>12.93</v>
      </c>
      <c r="R23" s="38"/>
      <c r="S23" s="38"/>
      <c r="T23" s="38"/>
      <c r="U23" s="38"/>
    </row>
    <row r="24" spans="1:21" customFormat="1">
      <c r="A24" s="40" t="s">
        <v>100</v>
      </c>
      <c r="B24" s="41">
        <v>4.46</v>
      </c>
      <c r="C24" s="41">
        <v>20.96</v>
      </c>
      <c r="D24" s="41">
        <v>15.85</v>
      </c>
      <c r="E24" s="41">
        <v>16.670000000000002</v>
      </c>
      <c r="F24" s="41">
        <v>27.31</v>
      </c>
      <c r="G24" s="41">
        <v>48.93</v>
      </c>
      <c r="H24" s="41">
        <v>22.3</v>
      </c>
      <c r="I24" s="41">
        <v>10.130000000000001</v>
      </c>
      <c r="J24" s="41">
        <v>0.74</v>
      </c>
      <c r="K24" s="41">
        <v>287.55</v>
      </c>
      <c r="L24" s="41">
        <v>32.549999999999997</v>
      </c>
      <c r="M24" s="41">
        <v>33.75</v>
      </c>
      <c r="N24" s="41">
        <v>76.5</v>
      </c>
      <c r="O24" s="41">
        <v>0</v>
      </c>
      <c r="P24" s="41">
        <v>0.72</v>
      </c>
      <c r="Q24" s="41">
        <v>12.94</v>
      </c>
      <c r="R24" s="38"/>
      <c r="S24" s="38"/>
      <c r="T24" s="38"/>
      <c r="U24" s="38"/>
    </row>
    <row r="25" spans="1:21" customFormat="1">
      <c r="A25" s="40" t="s">
        <v>101</v>
      </c>
      <c r="B25" s="41">
        <v>4.54</v>
      </c>
      <c r="C25" s="41">
        <v>21.82</v>
      </c>
      <c r="D25" s="41">
        <v>16.39</v>
      </c>
      <c r="E25" s="41">
        <v>19.059999999999999</v>
      </c>
      <c r="F25" s="41">
        <v>32.61</v>
      </c>
      <c r="G25" s="41">
        <v>39.369999999999997</v>
      </c>
      <c r="H25" s="41">
        <v>19.13</v>
      </c>
      <c r="I25" s="41">
        <v>9.3000000000000007</v>
      </c>
      <c r="J25" s="41">
        <v>0.75</v>
      </c>
      <c r="K25" s="41">
        <v>278.45999999999998</v>
      </c>
      <c r="L25" s="41">
        <v>32.17</v>
      </c>
      <c r="M25" s="41">
        <v>33.9</v>
      </c>
      <c r="N25" s="41">
        <v>42.9</v>
      </c>
      <c r="O25" s="41">
        <v>0</v>
      </c>
      <c r="P25" s="41">
        <v>0.72</v>
      </c>
      <c r="Q25" s="41">
        <v>12.92</v>
      </c>
      <c r="R25" s="38"/>
      <c r="S25" s="38"/>
      <c r="T25" s="38"/>
      <c r="U25" s="38"/>
    </row>
    <row r="26" spans="1:21" customFormat="1">
      <c r="A26" s="40" t="s">
        <v>102</v>
      </c>
      <c r="B26" s="41">
        <v>5.05</v>
      </c>
      <c r="C26" s="41">
        <v>21.8</v>
      </c>
      <c r="D26" s="41">
        <v>16.79</v>
      </c>
      <c r="E26" s="41">
        <v>17.32</v>
      </c>
      <c r="F26" s="41">
        <v>27.21</v>
      </c>
      <c r="G26" s="41">
        <v>44.47</v>
      </c>
      <c r="H26" s="41">
        <v>18.22</v>
      </c>
      <c r="I26" s="41">
        <v>9.08</v>
      </c>
      <c r="J26" s="41">
        <v>0.4</v>
      </c>
      <c r="K26" s="41">
        <v>271.18</v>
      </c>
      <c r="L26" s="41">
        <v>30.95</v>
      </c>
      <c r="M26" s="41">
        <v>40.98</v>
      </c>
      <c r="N26" s="41">
        <v>18.399999999999999</v>
      </c>
      <c r="O26" s="41">
        <v>0</v>
      </c>
      <c r="P26" s="41">
        <v>0.76</v>
      </c>
      <c r="Q26" s="41">
        <v>12.93</v>
      </c>
      <c r="R26" s="38"/>
      <c r="S26" s="38"/>
      <c r="T26" s="38"/>
      <c r="U26" s="38"/>
    </row>
    <row r="27" spans="1:21" customFormat="1">
      <c r="A27" s="40" t="s">
        <v>103</v>
      </c>
      <c r="B27" s="41">
        <v>5.93</v>
      </c>
      <c r="C27" s="41">
        <v>22.13</v>
      </c>
      <c r="D27" s="41">
        <v>17.559999999999999</v>
      </c>
      <c r="E27" s="41">
        <v>11.76</v>
      </c>
      <c r="F27" s="41">
        <v>5.98</v>
      </c>
      <c r="G27" s="41">
        <v>67.040000000000006</v>
      </c>
      <c r="H27" s="41">
        <v>18.22</v>
      </c>
      <c r="I27" s="41">
        <v>9.42</v>
      </c>
      <c r="J27" s="41">
        <v>0.28999999999999998</v>
      </c>
      <c r="K27" s="41">
        <v>270.41000000000003</v>
      </c>
      <c r="L27" s="41">
        <v>29</v>
      </c>
      <c r="M27" s="41">
        <v>57.48</v>
      </c>
      <c r="N27" s="41">
        <v>2.1</v>
      </c>
      <c r="O27" s="41">
        <v>0</v>
      </c>
      <c r="P27" s="41">
        <v>0.76</v>
      </c>
      <c r="Q27" s="41">
        <v>12.94</v>
      </c>
      <c r="R27" s="38"/>
      <c r="S27" s="38"/>
      <c r="T27" s="38"/>
      <c r="U27" s="38"/>
    </row>
    <row r="28" spans="1:21" customFormat="1">
      <c r="A28" s="40" t="s">
        <v>104</v>
      </c>
      <c r="B28" s="41">
        <v>6.22</v>
      </c>
      <c r="C28" s="41">
        <v>22.98</v>
      </c>
      <c r="D28" s="41">
        <v>18.34</v>
      </c>
      <c r="E28" s="41">
        <v>9.02</v>
      </c>
      <c r="F28" s="41">
        <v>4.1900000000000004</v>
      </c>
      <c r="G28" s="41">
        <v>70.489999999999995</v>
      </c>
      <c r="H28" s="41">
        <v>19.46</v>
      </c>
      <c r="I28" s="41">
        <v>9.35</v>
      </c>
      <c r="J28" s="41">
        <v>0.33</v>
      </c>
      <c r="K28" s="41">
        <v>186.39</v>
      </c>
      <c r="L28" s="41">
        <v>26.07</v>
      </c>
      <c r="M28" s="41">
        <v>63.11</v>
      </c>
      <c r="N28" s="41">
        <v>1.8</v>
      </c>
      <c r="O28" s="41">
        <v>0</v>
      </c>
      <c r="P28" s="41">
        <v>0.78</v>
      </c>
      <c r="Q28" s="41">
        <v>12.95</v>
      </c>
      <c r="R28" s="38"/>
      <c r="S28" s="38"/>
      <c r="T28" s="38"/>
      <c r="U28" s="38"/>
    </row>
    <row r="29" spans="1:21" customFormat="1">
      <c r="A29" s="40" t="s">
        <v>105</v>
      </c>
      <c r="B29" s="41">
        <v>6.98</v>
      </c>
      <c r="C29" s="41">
        <v>23.18</v>
      </c>
      <c r="D29" s="41">
        <v>19.03</v>
      </c>
      <c r="E29" s="41">
        <v>8.67</v>
      </c>
      <c r="F29" s="41">
        <v>4.0999999999999996</v>
      </c>
      <c r="G29" s="41">
        <v>70.489999999999995</v>
      </c>
      <c r="H29" s="41">
        <v>20.66</v>
      </c>
      <c r="I29" s="41">
        <v>9.9</v>
      </c>
      <c r="J29" s="41">
        <v>0.31</v>
      </c>
      <c r="K29" s="41">
        <v>216.12</v>
      </c>
      <c r="L29" s="41">
        <v>24.43</v>
      </c>
      <c r="M29" s="41">
        <v>69.069999999999993</v>
      </c>
      <c r="N29" s="41">
        <v>1.5</v>
      </c>
      <c r="O29" s="41">
        <v>0</v>
      </c>
      <c r="P29" s="41">
        <v>0.85</v>
      </c>
      <c r="Q29" s="41">
        <v>12.95</v>
      </c>
      <c r="R29" s="38"/>
      <c r="S29" s="38"/>
      <c r="T29" s="38"/>
      <c r="U29" s="38"/>
    </row>
    <row r="30" spans="1:21" customFormat="1">
      <c r="A30" s="40" t="s">
        <v>106</v>
      </c>
      <c r="B30" s="41">
        <v>7.67</v>
      </c>
      <c r="C30" s="41">
        <v>23.01</v>
      </c>
      <c r="D30" s="41">
        <v>19.41</v>
      </c>
      <c r="E30" s="41">
        <v>8.65</v>
      </c>
      <c r="F30" s="41">
        <v>4.03</v>
      </c>
      <c r="G30" s="41">
        <v>71.77</v>
      </c>
      <c r="H30" s="41">
        <v>20.66</v>
      </c>
      <c r="I30" s="41">
        <v>10.55</v>
      </c>
      <c r="J30" s="41">
        <v>0.27</v>
      </c>
      <c r="K30" s="41">
        <v>215.19</v>
      </c>
      <c r="L30" s="41">
        <v>23.62</v>
      </c>
      <c r="M30" s="41">
        <v>73.2</v>
      </c>
      <c r="N30" s="41">
        <v>1.6</v>
      </c>
      <c r="O30" s="41">
        <v>0</v>
      </c>
      <c r="P30" s="41">
        <v>0.89</v>
      </c>
      <c r="Q30" s="41">
        <v>12.94</v>
      </c>
      <c r="R30" s="38"/>
      <c r="S30" s="38"/>
      <c r="T30" s="38"/>
      <c r="U30" s="38"/>
    </row>
    <row r="31" spans="1:21" customFormat="1">
      <c r="A31" s="40" t="s">
        <v>107</v>
      </c>
      <c r="B31" s="41">
        <v>8.3800000000000008</v>
      </c>
      <c r="C31" s="41">
        <v>22.72</v>
      </c>
      <c r="D31" s="41">
        <v>19.88</v>
      </c>
      <c r="E31" s="41">
        <v>8.57</v>
      </c>
      <c r="F31" s="41">
        <v>4.21</v>
      </c>
      <c r="G31" s="41">
        <v>77.040000000000006</v>
      </c>
      <c r="H31" s="41">
        <v>20.5</v>
      </c>
      <c r="I31" s="41">
        <v>11.55</v>
      </c>
      <c r="J31" s="41">
        <v>0.25</v>
      </c>
      <c r="K31" s="41">
        <v>175.09</v>
      </c>
      <c r="L31" s="41">
        <v>22.91</v>
      </c>
      <c r="M31" s="41">
        <v>73.66</v>
      </c>
      <c r="N31" s="41">
        <v>1.3</v>
      </c>
      <c r="O31" s="41">
        <v>0</v>
      </c>
      <c r="P31" s="41">
        <v>1.01</v>
      </c>
      <c r="Q31" s="41">
        <v>12.95</v>
      </c>
      <c r="R31" s="38"/>
      <c r="S31" s="38"/>
      <c r="T31" s="38"/>
      <c r="U31" s="38"/>
    </row>
    <row r="32" spans="1:21" customFormat="1">
      <c r="A32" s="40" t="s">
        <v>108</v>
      </c>
      <c r="B32" s="41">
        <v>11</v>
      </c>
      <c r="C32" s="41">
        <v>23.6</v>
      </c>
      <c r="D32" s="41">
        <v>22.5</v>
      </c>
      <c r="E32" s="41">
        <v>8.84</v>
      </c>
      <c r="F32" s="41">
        <v>3.99</v>
      </c>
      <c r="G32" s="41">
        <v>80.69</v>
      </c>
      <c r="H32" s="41">
        <v>24.4</v>
      </c>
      <c r="I32" s="41">
        <v>12.98</v>
      </c>
      <c r="J32" s="41">
        <v>0.26</v>
      </c>
      <c r="K32" s="41">
        <v>179.1</v>
      </c>
      <c r="L32" s="41">
        <v>22.61</v>
      </c>
      <c r="M32" s="41">
        <v>75.16</v>
      </c>
      <c r="N32" s="41">
        <v>1.6</v>
      </c>
      <c r="O32" s="41">
        <v>0</v>
      </c>
      <c r="P32" s="41">
        <v>1.1000000000000001</v>
      </c>
      <c r="Q32" s="41">
        <v>12.94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4.07</v>
      </c>
      <c r="C34" s="18">
        <f t="shared" si="0"/>
        <v>20.96</v>
      </c>
      <c r="D34" s="18">
        <f t="shared" si="0"/>
        <v>15.85</v>
      </c>
      <c r="E34" s="18">
        <f t="shared" si="0"/>
        <v>8.11</v>
      </c>
      <c r="F34" s="18">
        <f t="shared" si="0"/>
        <v>3.8</v>
      </c>
      <c r="G34" s="18">
        <f t="shared" si="0"/>
        <v>39.369999999999997</v>
      </c>
      <c r="H34" s="18">
        <f t="shared" si="0"/>
        <v>18.22</v>
      </c>
      <c r="I34" s="18">
        <f t="shared" si="0"/>
        <v>9.08</v>
      </c>
      <c r="J34" s="18">
        <f t="shared" si="0"/>
        <v>0.13</v>
      </c>
      <c r="K34" s="18">
        <f t="shared" si="0"/>
        <v>162.49</v>
      </c>
      <c r="L34" s="18">
        <f t="shared" si="0"/>
        <v>19.37</v>
      </c>
      <c r="M34" s="18">
        <f t="shared" si="0"/>
        <v>33.75</v>
      </c>
      <c r="N34" s="18">
        <f t="shared" si="0"/>
        <v>1.3</v>
      </c>
      <c r="O34" s="18">
        <f t="shared" si="0"/>
        <v>0</v>
      </c>
      <c r="P34" s="18">
        <f t="shared" si="0"/>
        <v>0.72</v>
      </c>
      <c r="Q34" s="18">
        <f t="shared" si="0"/>
        <v>12.92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14.55</v>
      </c>
      <c r="C35" s="3">
        <f t="shared" si="1"/>
        <v>25.26</v>
      </c>
      <c r="D35" s="3">
        <f t="shared" si="1"/>
        <v>24.96</v>
      </c>
      <c r="E35" s="3">
        <f t="shared" si="1"/>
        <v>19.059999999999999</v>
      </c>
      <c r="F35" s="3">
        <f t="shared" si="1"/>
        <v>32.61</v>
      </c>
      <c r="G35" s="3">
        <f t="shared" si="1"/>
        <v>104.91</v>
      </c>
      <c r="H35" s="3">
        <f t="shared" si="1"/>
        <v>27.18</v>
      </c>
      <c r="I35" s="3">
        <f t="shared" si="1"/>
        <v>15.83</v>
      </c>
      <c r="J35" s="3">
        <f t="shared" si="1"/>
        <v>1.1599999999999999</v>
      </c>
      <c r="K35" s="3">
        <f t="shared" si="1"/>
        <v>308.52999999999997</v>
      </c>
      <c r="L35" s="3">
        <f t="shared" si="1"/>
        <v>33.31</v>
      </c>
      <c r="M35" s="3">
        <f t="shared" si="1"/>
        <v>89.51</v>
      </c>
      <c r="N35" s="3">
        <f t="shared" si="1"/>
        <v>363.8</v>
      </c>
      <c r="O35" s="3">
        <f t="shared" si="1"/>
        <v>0</v>
      </c>
      <c r="P35" s="3">
        <f t="shared" si="1"/>
        <v>1.1000000000000001</v>
      </c>
      <c r="Q35" s="3">
        <f t="shared" si="1"/>
        <v>12.98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9.1874999999999982</v>
      </c>
      <c r="C36" s="18">
        <f t="shared" si="2"/>
        <v>23.130833333333332</v>
      </c>
      <c r="D36" s="18">
        <f t="shared" si="2"/>
        <v>20.684166666666666</v>
      </c>
      <c r="E36" s="18">
        <f t="shared" si="2"/>
        <v>11.194583333333334</v>
      </c>
      <c r="F36" s="18">
        <f t="shared" si="2"/>
        <v>8.6687499999999993</v>
      </c>
      <c r="G36" s="18">
        <f t="shared" si="2"/>
        <v>69.00333333333333</v>
      </c>
      <c r="H36" s="18">
        <f t="shared" si="2"/>
        <v>22.730000000000004</v>
      </c>
      <c r="I36" s="18">
        <f t="shared" si="2"/>
        <v>12.201666666666668</v>
      </c>
      <c r="J36" s="18">
        <f t="shared" si="2"/>
        <v>0.45541666666666664</v>
      </c>
      <c r="K36" s="18">
        <f t="shared" si="2"/>
        <v>236.06750000000002</v>
      </c>
      <c r="L36" s="18">
        <f t="shared" si="2"/>
        <v>25.850416666666664</v>
      </c>
      <c r="M36" s="18">
        <f t="shared" si="2"/>
        <v>64.101250000000007</v>
      </c>
      <c r="N36" s="18">
        <f t="shared" si="2"/>
        <v>101.47083333333336</v>
      </c>
      <c r="O36" s="18">
        <f t="shared" si="2"/>
        <v>0</v>
      </c>
      <c r="P36" s="18">
        <f t="shared" si="2"/>
        <v>0.94166666666666698</v>
      </c>
      <c r="Q36" s="18">
        <f t="shared" si="2"/>
        <v>12.951666666666666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4.106341066755391</v>
      </c>
      <c r="C37" s="18">
        <f t="shared" ref="C37:Q37" si="3">STDEV(C9:C32)</f>
        <v>1.0746441945721088</v>
      </c>
      <c r="D37" s="18">
        <f t="shared" si="3"/>
        <v>3.2635548991414662</v>
      </c>
      <c r="E37" s="18">
        <f t="shared" si="3"/>
        <v>2.8197471042425071</v>
      </c>
      <c r="F37" s="18">
        <f t="shared" si="3"/>
        <v>8.4906395070766276</v>
      </c>
      <c r="G37" s="18">
        <f t="shared" si="3"/>
        <v>16.931054993366669</v>
      </c>
      <c r="H37" s="18">
        <f t="shared" si="3"/>
        <v>2.4331496853470047</v>
      </c>
      <c r="I37" s="18">
        <f t="shared" si="3"/>
        <v>1.9365492992448674</v>
      </c>
      <c r="J37" s="18">
        <f t="shared" si="3"/>
        <v>0.30981030895732298</v>
      </c>
      <c r="K37" s="18">
        <f t="shared" si="3"/>
        <v>50.66959943123409</v>
      </c>
      <c r="L37" s="18">
        <f t="shared" si="3"/>
        <v>5.1427141194599457</v>
      </c>
      <c r="M37" s="18">
        <f t="shared" si="3"/>
        <v>21.150905071085855</v>
      </c>
      <c r="N37" s="18">
        <f t="shared" si="3"/>
        <v>147.85780913098398</v>
      </c>
      <c r="O37" s="18">
        <f t="shared" si="3"/>
        <v>0</v>
      </c>
      <c r="P37" s="18">
        <f t="shared" si="3"/>
        <v>0.11746106354564805</v>
      </c>
      <c r="Q37" s="18">
        <f t="shared" si="3"/>
        <v>1.5510632164581192E-2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18" sqref="H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109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38"/>
      <c r="S9" s="38"/>
      <c r="T9" s="38"/>
      <c r="U9" s="38"/>
    </row>
    <row r="10" spans="1:21" customFormat="1">
      <c r="A10" s="39" t="s">
        <v>110</v>
      </c>
      <c r="B10" s="8" t="s">
        <v>4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4</v>
      </c>
      <c r="I10" s="8" t="s">
        <v>4</v>
      </c>
      <c r="J10" s="8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8" t="s">
        <v>4</v>
      </c>
      <c r="P10" s="8" t="s">
        <v>4</v>
      </c>
      <c r="Q10" s="8" t="s">
        <v>4</v>
      </c>
      <c r="R10" s="38"/>
      <c r="S10" s="38"/>
      <c r="T10" s="38"/>
      <c r="U10" s="38"/>
    </row>
    <row r="11" spans="1:21" customFormat="1">
      <c r="A11" s="39" t="s">
        <v>111</v>
      </c>
      <c r="B11" s="8" t="s">
        <v>4</v>
      </c>
      <c r="C11" s="8" t="s">
        <v>4</v>
      </c>
      <c r="D11" s="8" t="s">
        <v>4</v>
      </c>
      <c r="E11" s="8" t="s">
        <v>4</v>
      </c>
      <c r="F11" s="8" t="s">
        <v>4</v>
      </c>
      <c r="G11" s="8" t="s">
        <v>4</v>
      </c>
      <c r="H11" s="8" t="s">
        <v>4</v>
      </c>
      <c r="I11" s="8" t="s">
        <v>4</v>
      </c>
      <c r="J11" s="8" t="s">
        <v>4</v>
      </c>
      <c r="K11" s="8" t="s">
        <v>4</v>
      </c>
      <c r="L11" s="8" t="s">
        <v>4</v>
      </c>
      <c r="M11" s="8" t="s">
        <v>4</v>
      </c>
      <c r="N11" s="8" t="s">
        <v>4</v>
      </c>
      <c r="O11" s="8" t="s">
        <v>4</v>
      </c>
      <c r="P11" s="8" t="s">
        <v>4</v>
      </c>
      <c r="Q11" s="8" t="s">
        <v>4</v>
      </c>
      <c r="R11" s="38"/>
      <c r="S11" s="38"/>
      <c r="T11" s="38"/>
      <c r="U11" s="38"/>
    </row>
    <row r="12" spans="1:21" customFormat="1">
      <c r="A12" s="39" t="s">
        <v>112</v>
      </c>
      <c r="B12" s="8" t="s">
        <v>4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 t="s">
        <v>4</v>
      </c>
      <c r="J12" s="8" t="s">
        <v>4</v>
      </c>
      <c r="K12" s="8" t="s">
        <v>4</v>
      </c>
      <c r="L12" s="8" t="s">
        <v>4</v>
      </c>
      <c r="M12" s="8" t="s">
        <v>4</v>
      </c>
      <c r="N12" s="8" t="s">
        <v>4</v>
      </c>
      <c r="O12" s="8" t="s">
        <v>4</v>
      </c>
      <c r="P12" s="8" t="s">
        <v>4</v>
      </c>
      <c r="Q12" s="8" t="s">
        <v>4</v>
      </c>
      <c r="R12" s="38"/>
      <c r="S12" s="38"/>
      <c r="T12" s="38"/>
      <c r="U12" s="38"/>
    </row>
    <row r="13" spans="1:21" customFormat="1">
      <c r="A13" s="39" t="s">
        <v>113</v>
      </c>
      <c r="B13" s="8" t="s">
        <v>4</v>
      </c>
      <c r="C13" s="8" t="s">
        <v>4</v>
      </c>
      <c r="D13" s="8" t="s">
        <v>4</v>
      </c>
      <c r="E13" s="8" t="s">
        <v>4</v>
      </c>
      <c r="F13" s="8" t="s">
        <v>4</v>
      </c>
      <c r="G13" s="8" t="s">
        <v>4</v>
      </c>
      <c r="H13" s="8" t="s">
        <v>4</v>
      </c>
      <c r="I13" s="8" t="s">
        <v>4</v>
      </c>
      <c r="J13" s="8" t="s">
        <v>4</v>
      </c>
      <c r="K13" s="8" t="s">
        <v>4</v>
      </c>
      <c r="L13" s="8" t="s">
        <v>4</v>
      </c>
      <c r="M13" s="8" t="s">
        <v>4</v>
      </c>
      <c r="N13" s="8" t="s">
        <v>4</v>
      </c>
      <c r="O13" s="8" t="s">
        <v>4</v>
      </c>
      <c r="P13" s="8" t="s">
        <v>4</v>
      </c>
      <c r="Q13" s="8" t="s">
        <v>4</v>
      </c>
      <c r="R13" s="38"/>
      <c r="S13" s="38"/>
      <c r="T13" s="38"/>
      <c r="U13" s="38"/>
    </row>
    <row r="14" spans="1:21" customFormat="1">
      <c r="A14" s="39" t="s">
        <v>114</v>
      </c>
      <c r="B14" s="8" t="s">
        <v>4</v>
      </c>
      <c r="C14" s="8" t="s">
        <v>4</v>
      </c>
      <c r="D14" s="8" t="s">
        <v>4</v>
      </c>
      <c r="E14" s="8" t="s">
        <v>4</v>
      </c>
      <c r="F14" s="8" t="s">
        <v>4</v>
      </c>
      <c r="G14" s="8" t="s">
        <v>4</v>
      </c>
      <c r="H14" s="8" t="s">
        <v>4</v>
      </c>
      <c r="I14" s="8" t="s">
        <v>4</v>
      </c>
      <c r="J14" s="8" t="s">
        <v>4</v>
      </c>
      <c r="K14" s="8" t="s">
        <v>4</v>
      </c>
      <c r="L14" s="8" t="s">
        <v>4</v>
      </c>
      <c r="M14" s="8" t="s">
        <v>4</v>
      </c>
      <c r="N14" s="8" t="s">
        <v>4</v>
      </c>
      <c r="O14" s="8" t="s">
        <v>4</v>
      </c>
      <c r="P14" s="8" t="s">
        <v>4</v>
      </c>
      <c r="Q14" s="8" t="s">
        <v>4</v>
      </c>
      <c r="R14" s="38"/>
      <c r="S14" s="38"/>
      <c r="T14" s="38"/>
      <c r="U14" s="38"/>
    </row>
    <row r="15" spans="1:21" customFormat="1">
      <c r="A15" s="39" t="s">
        <v>115</v>
      </c>
      <c r="B15" s="8" t="s">
        <v>4</v>
      </c>
      <c r="C15" s="8" t="s">
        <v>4</v>
      </c>
      <c r="D15" s="8" t="s">
        <v>4</v>
      </c>
      <c r="E15" s="8" t="s">
        <v>4</v>
      </c>
      <c r="F15" s="8" t="s">
        <v>4</v>
      </c>
      <c r="G15" s="8" t="s">
        <v>4</v>
      </c>
      <c r="H15" s="8" t="s">
        <v>4</v>
      </c>
      <c r="I15" s="8" t="s">
        <v>4</v>
      </c>
      <c r="J15" s="8" t="s">
        <v>4</v>
      </c>
      <c r="K15" s="8" t="s">
        <v>4</v>
      </c>
      <c r="L15" s="8" t="s">
        <v>4</v>
      </c>
      <c r="M15" s="8" t="s">
        <v>4</v>
      </c>
      <c r="N15" s="8" t="s">
        <v>4</v>
      </c>
      <c r="O15" s="8" t="s">
        <v>4</v>
      </c>
      <c r="P15" s="8" t="s">
        <v>4</v>
      </c>
      <c r="Q15" s="8" t="s">
        <v>4</v>
      </c>
      <c r="R15" s="38"/>
      <c r="S15" s="38"/>
      <c r="T15" s="38"/>
      <c r="U15" s="38"/>
    </row>
    <row r="16" spans="1:21" customFormat="1">
      <c r="A16" s="39" t="s">
        <v>116</v>
      </c>
      <c r="B16" s="8" t="s">
        <v>4</v>
      </c>
      <c r="C16" s="8" t="s">
        <v>4</v>
      </c>
      <c r="D16" s="8" t="s">
        <v>4</v>
      </c>
      <c r="E16" s="8" t="s">
        <v>4</v>
      </c>
      <c r="F16" s="8" t="s">
        <v>4</v>
      </c>
      <c r="G16" s="8" t="s">
        <v>4</v>
      </c>
      <c r="H16" s="8" t="s">
        <v>4</v>
      </c>
      <c r="I16" s="8" t="s">
        <v>4</v>
      </c>
      <c r="J16" s="8" t="s">
        <v>4</v>
      </c>
      <c r="K16" s="8" t="s">
        <v>4</v>
      </c>
      <c r="L16" s="8" t="s">
        <v>4</v>
      </c>
      <c r="M16" s="8" t="s">
        <v>4</v>
      </c>
      <c r="N16" s="8" t="s">
        <v>4</v>
      </c>
      <c r="O16" s="8" t="s">
        <v>4</v>
      </c>
      <c r="P16" s="8" t="s">
        <v>4</v>
      </c>
      <c r="Q16" s="8" t="s">
        <v>4</v>
      </c>
      <c r="R16" s="38"/>
      <c r="S16" s="38"/>
      <c r="T16" s="38"/>
      <c r="U16" s="38"/>
    </row>
    <row r="17" spans="1:21" customFormat="1">
      <c r="A17" s="39" t="s">
        <v>117</v>
      </c>
      <c r="B17" s="8" t="s">
        <v>4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  <c r="H17" s="8" t="s">
        <v>4</v>
      </c>
      <c r="I17" s="8" t="s">
        <v>4</v>
      </c>
      <c r="J17" s="8" t="s">
        <v>4</v>
      </c>
      <c r="K17" s="8" t="s">
        <v>4</v>
      </c>
      <c r="L17" s="8" t="s">
        <v>4</v>
      </c>
      <c r="M17" s="8" t="s">
        <v>4</v>
      </c>
      <c r="N17" s="8" t="s">
        <v>4</v>
      </c>
      <c r="O17" s="8" t="s">
        <v>4</v>
      </c>
      <c r="P17" s="8" t="s">
        <v>4</v>
      </c>
      <c r="Q17" s="8" t="s">
        <v>4</v>
      </c>
      <c r="R17" s="38"/>
      <c r="S17" s="38"/>
      <c r="T17" s="38"/>
      <c r="U17" s="38"/>
    </row>
    <row r="18" spans="1:21" customFormat="1">
      <c r="A18" s="39" t="s">
        <v>118</v>
      </c>
      <c r="B18" s="8" t="s">
        <v>4</v>
      </c>
      <c r="C18" s="8" t="s">
        <v>4</v>
      </c>
      <c r="D18" s="8" t="s">
        <v>4</v>
      </c>
      <c r="E18" s="8" t="s">
        <v>4</v>
      </c>
      <c r="F18" s="8" t="s">
        <v>4</v>
      </c>
      <c r="G18" s="8" t="s">
        <v>4</v>
      </c>
      <c r="H18" s="8" t="s">
        <v>4</v>
      </c>
      <c r="I18" s="8" t="s">
        <v>4</v>
      </c>
      <c r="J18" s="8" t="s">
        <v>4</v>
      </c>
      <c r="K18" s="8" t="s">
        <v>4</v>
      </c>
      <c r="L18" s="8" t="s">
        <v>4</v>
      </c>
      <c r="M18" s="8" t="s">
        <v>4</v>
      </c>
      <c r="N18" s="8" t="s">
        <v>4</v>
      </c>
      <c r="O18" s="8" t="s">
        <v>4</v>
      </c>
      <c r="P18" s="8" t="s">
        <v>4</v>
      </c>
      <c r="Q18" s="8" t="s">
        <v>4</v>
      </c>
      <c r="R18" s="38"/>
      <c r="S18" s="38"/>
      <c r="T18" s="38"/>
      <c r="U18" s="38"/>
    </row>
    <row r="19" spans="1:21" customFormat="1">
      <c r="A19" s="39" t="s">
        <v>119</v>
      </c>
      <c r="B19" s="42">
        <v>43.01</v>
      </c>
      <c r="C19" s="42">
        <v>52.26</v>
      </c>
      <c r="D19" s="42">
        <v>63.26</v>
      </c>
      <c r="E19" s="42">
        <v>9.69</v>
      </c>
      <c r="F19" s="42">
        <v>5.25</v>
      </c>
      <c r="G19" s="42">
        <v>75.83</v>
      </c>
      <c r="H19" s="42">
        <v>29.11</v>
      </c>
      <c r="I19" s="42">
        <v>9.35</v>
      </c>
      <c r="J19" s="42">
        <v>1.42</v>
      </c>
      <c r="K19" s="42">
        <v>58.14</v>
      </c>
      <c r="L19" s="42">
        <v>26.02</v>
      </c>
      <c r="M19" s="42">
        <v>26.65</v>
      </c>
      <c r="N19" s="42">
        <v>510.5</v>
      </c>
      <c r="O19" s="42">
        <v>0</v>
      </c>
      <c r="P19" s="42">
        <v>1.07</v>
      </c>
      <c r="Q19" s="42">
        <v>7.96</v>
      </c>
      <c r="R19" s="38"/>
      <c r="S19" s="38"/>
      <c r="T19" s="38"/>
      <c r="U19" s="38"/>
    </row>
    <row r="20" spans="1:21" customFormat="1">
      <c r="A20" s="39" t="s">
        <v>120</v>
      </c>
      <c r="B20" s="42">
        <v>33.090000000000003</v>
      </c>
      <c r="C20" s="42">
        <v>50.82</v>
      </c>
      <c r="D20" s="42">
        <v>54.62</v>
      </c>
      <c r="E20" s="42">
        <v>9.1199999999999992</v>
      </c>
      <c r="F20" s="42">
        <v>5.89</v>
      </c>
      <c r="G20" s="42">
        <v>72.56</v>
      </c>
      <c r="H20" s="42">
        <v>27.25</v>
      </c>
      <c r="I20" s="42">
        <v>8.09</v>
      </c>
      <c r="J20" s="42">
        <v>1.45</v>
      </c>
      <c r="K20" s="42">
        <v>54.57</v>
      </c>
      <c r="L20" s="42">
        <v>27.08</v>
      </c>
      <c r="M20" s="42">
        <v>16.059999999999999</v>
      </c>
      <c r="N20" s="42">
        <v>557.29999999999995</v>
      </c>
      <c r="O20" s="42">
        <v>0</v>
      </c>
      <c r="P20" s="42">
        <v>0.96</v>
      </c>
      <c r="Q20" s="42">
        <v>7.39</v>
      </c>
      <c r="R20" s="38"/>
      <c r="S20" s="38"/>
      <c r="T20" s="38"/>
      <c r="U20" s="38"/>
    </row>
    <row r="21" spans="1:21" customFormat="1">
      <c r="A21" s="39" t="s">
        <v>121</v>
      </c>
      <c r="B21" s="42">
        <v>24.93</v>
      </c>
      <c r="C21" s="42">
        <v>50.22</v>
      </c>
      <c r="D21" s="42">
        <v>47.78</v>
      </c>
      <c r="E21" s="42">
        <v>8.2899999999999991</v>
      </c>
      <c r="F21" s="42">
        <v>6.74</v>
      </c>
      <c r="G21" s="42">
        <v>61.62</v>
      </c>
      <c r="H21" s="42">
        <v>22.16</v>
      </c>
      <c r="I21" s="42">
        <v>6.93</v>
      </c>
      <c r="J21" s="42">
        <v>1.08</v>
      </c>
      <c r="K21" s="42">
        <v>353.56</v>
      </c>
      <c r="L21" s="42">
        <v>28.48</v>
      </c>
      <c r="M21" s="42">
        <v>13.22</v>
      </c>
      <c r="N21" s="42">
        <v>561.4</v>
      </c>
      <c r="O21" s="42">
        <v>0</v>
      </c>
      <c r="P21" s="42">
        <v>0.85</v>
      </c>
      <c r="Q21" s="42">
        <v>6.82</v>
      </c>
      <c r="R21" s="38"/>
      <c r="S21" s="38"/>
      <c r="T21" s="38"/>
      <c r="U21" s="38"/>
    </row>
    <row r="22" spans="1:21" customFormat="1">
      <c r="A22" s="39" t="s">
        <v>122</v>
      </c>
      <c r="B22" s="42">
        <v>16.329999999999998</v>
      </c>
      <c r="C22" s="42">
        <v>50.06</v>
      </c>
      <c r="D22" s="42">
        <v>40.799999999999997</v>
      </c>
      <c r="E22" s="42">
        <v>8.2200000000000006</v>
      </c>
      <c r="F22" s="42">
        <v>6.26</v>
      </c>
      <c r="G22" s="42">
        <v>47.74</v>
      </c>
      <c r="H22" s="42">
        <v>14.52</v>
      </c>
      <c r="I22" s="42">
        <v>6.09</v>
      </c>
      <c r="J22" s="42">
        <v>1.32</v>
      </c>
      <c r="K22" s="42">
        <v>324.27</v>
      </c>
      <c r="L22" s="42">
        <v>29.68</v>
      </c>
      <c r="M22" s="42">
        <v>11.06</v>
      </c>
      <c r="N22" s="42">
        <v>554.70000000000005</v>
      </c>
      <c r="O22" s="42">
        <v>0</v>
      </c>
      <c r="P22" s="42">
        <v>0.76</v>
      </c>
      <c r="Q22" s="42">
        <v>6.29</v>
      </c>
      <c r="R22" s="38"/>
      <c r="S22" s="38"/>
      <c r="T22" s="38"/>
      <c r="U22" s="38"/>
    </row>
    <row r="23" spans="1:21" customFormat="1">
      <c r="A23" s="39" t="s">
        <v>123</v>
      </c>
      <c r="B23" s="42">
        <v>9.6</v>
      </c>
      <c r="C23" s="42">
        <v>47.43</v>
      </c>
      <c r="D23" s="42">
        <v>34.03</v>
      </c>
      <c r="E23" s="42">
        <v>7.94</v>
      </c>
      <c r="F23" s="42">
        <v>6.8</v>
      </c>
      <c r="G23" s="42">
        <v>38.39</v>
      </c>
      <c r="H23" s="42">
        <v>13.59</v>
      </c>
      <c r="I23" s="42">
        <v>5.19</v>
      </c>
      <c r="J23" s="42">
        <v>0.79</v>
      </c>
      <c r="K23" s="42">
        <v>341.12</v>
      </c>
      <c r="L23" s="42">
        <v>30.37</v>
      </c>
      <c r="M23" s="42">
        <v>9.7100000000000009</v>
      </c>
      <c r="N23" s="42">
        <v>511.5</v>
      </c>
      <c r="O23" s="42">
        <v>0</v>
      </c>
      <c r="P23" s="42">
        <v>0.6</v>
      </c>
      <c r="Q23" s="42">
        <v>5.66</v>
      </c>
      <c r="R23" s="38"/>
      <c r="S23" s="38"/>
      <c r="T23" s="38"/>
      <c r="U23" s="38"/>
    </row>
    <row r="24" spans="1:21" customFormat="1">
      <c r="A24" s="39" t="s">
        <v>124</v>
      </c>
      <c r="B24" s="42">
        <v>7.27</v>
      </c>
      <c r="C24" s="42">
        <v>44.45</v>
      </c>
      <c r="D24" s="42">
        <v>30.6</v>
      </c>
      <c r="E24" s="42">
        <v>8.11</v>
      </c>
      <c r="F24" s="42">
        <v>8.18</v>
      </c>
      <c r="G24" s="42">
        <v>36.93</v>
      </c>
      <c r="H24" s="42">
        <v>13.59</v>
      </c>
      <c r="I24" s="42">
        <v>4.5999999999999996</v>
      </c>
      <c r="J24" s="42">
        <v>0.84</v>
      </c>
      <c r="K24" s="42">
        <v>345.41</v>
      </c>
      <c r="L24" s="42">
        <v>28.93</v>
      </c>
      <c r="M24" s="42">
        <v>11.13</v>
      </c>
      <c r="N24" s="42">
        <v>116.3</v>
      </c>
      <c r="O24" s="42">
        <v>0</v>
      </c>
      <c r="P24" s="42">
        <v>0.56000000000000005</v>
      </c>
      <c r="Q24" s="42">
        <v>5.33</v>
      </c>
      <c r="R24" s="38"/>
      <c r="S24" s="38"/>
      <c r="T24" s="38"/>
      <c r="U24" s="38"/>
    </row>
    <row r="25" spans="1:21" customFormat="1">
      <c r="A25" s="39" t="s">
        <v>125</v>
      </c>
      <c r="B25" s="42">
        <v>7.16</v>
      </c>
      <c r="C25" s="42">
        <v>44.96</v>
      </c>
      <c r="D25" s="42">
        <v>30.78</v>
      </c>
      <c r="E25" s="42">
        <v>8.5399999999999991</v>
      </c>
      <c r="F25" s="42">
        <v>7.63</v>
      </c>
      <c r="G25" s="42">
        <v>36.93</v>
      </c>
      <c r="H25" s="42">
        <v>12.01</v>
      </c>
      <c r="I25" s="42">
        <v>4</v>
      </c>
      <c r="J25" s="42">
        <v>1.07</v>
      </c>
      <c r="K25" s="42">
        <v>45.45</v>
      </c>
      <c r="L25" s="42">
        <v>28.17</v>
      </c>
      <c r="M25" s="42">
        <v>13.42</v>
      </c>
      <c r="N25" s="42">
        <v>91.8</v>
      </c>
      <c r="O25" s="42">
        <v>0</v>
      </c>
      <c r="P25" s="42">
        <v>0.54</v>
      </c>
      <c r="Q25" s="42">
        <v>5.23</v>
      </c>
      <c r="R25" s="38"/>
      <c r="S25" s="38"/>
      <c r="T25" s="38"/>
      <c r="U25" s="38"/>
    </row>
    <row r="26" spans="1:21" customFormat="1">
      <c r="A26" s="39" t="s">
        <v>126</v>
      </c>
      <c r="B26" s="42">
        <v>15.89</v>
      </c>
      <c r="C26" s="42">
        <v>50.36</v>
      </c>
      <c r="D26" s="42">
        <v>40.6</v>
      </c>
      <c r="E26" s="42">
        <v>7.58</v>
      </c>
      <c r="F26" s="42">
        <v>6</v>
      </c>
      <c r="G26" s="42">
        <v>52.3</v>
      </c>
      <c r="H26" s="42">
        <v>13.53</v>
      </c>
      <c r="I26" s="42">
        <v>3.73</v>
      </c>
      <c r="J26" s="42">
        <v>0.72</v>
      </c>
      <c r="K26" s="42">
        <v>58.89</v>
      </c>
      <c r="L26" s="42">
        <v>26.86</v>
      </c>
      <c r="M26" s="42">
        <v>15.46</v>
      </c>
      <c r="N26" s="42">
        <v>26.9</v>
      </c>
      <c r="O26" s="42">
        <v>0</v>
      </c>
      <c r="P26" s="42">
        <v>0.59</v>
      </c>
      <c r="Q26" s="42">
        <v>5.76</v>
      </c>
      <c r="R26" s="38"/>
      <c r="S26" s="38"/>
      <c r="T26" s="38"/>
      <c r="U26" s="38"/>
    </row>
    <row r="27" spans="1:21" customFormat="1">
      <c r="A27" s="39" t="s">
        <v>127</v>
      </c>
      <c r="B27" s="42">
        <v>22.61</v>
      </c>
      <c r="C27" s="42">
        <v>51.38</v>
      </c>
      <c r="D27" s="42">
        <v>46.46</v>
      </c>
      <c r="E27" s="42">
        <v>8.11</v>
      </c>
      <c r="F27" s="42">
        <v>4.99</v>
      </c>
      <c r="G27" s="42">
        <v>74.37</v>
      </c>
      <c r="H27" s="42">
        <v>18.88</v>
      </c>
      <c r="I27" s="42">
        <v>3.94</v>
      </c>
      <c r="J27" s="42">
        <v>0.25</v>
      </c>
      <c r="K27" s="42">
        <v>163.72999999999999</v>
      </c>
      <c r="L27" s="42">
        <v>24</v>
      </c>
      <c r="M27" s="42">
        <v>39.33</v>
      </c>
      <c r="N27" s="42">
        <v>26.9</v>
      </c>
      <c r="O27" s="42">
        <v>0</v>
      </c>
      <c r="P27" s="42">
        <v>0.64</v>
      </c>
      <c r="Q27" s="42">
        <v>6.34</v>
      </c>
      <c r="R27" s="38"/>
      <c r="S27" s="38"/>
      <c r="T27" s="38"/>
      <c r="U27" s="38"/>
    </row>
    <row r="28" spans="1:21" customFormat="1">
      <c r="A28" s="39" t="s">
        <v>128</v>
      </c>
      <c r="B28" s="42">
        <v>26.09</v>
      </c>
      <c r="C28" s="42">
        <v>51.64</v>
      </c>
      <c r="D28" s="42">
        <v>49.44</v>
      </c>
      <c r="E28" s="42">
        <v>8.3000000000000007</v>
      </c>
      <c r="F28" s="42">
        <v>4.7699999999999996</v>
      </c>
      <c r="G28" s="42">
        <v>78.510000000000005</v>
      </c>
      <c r="H28" s="42">
        <v>20.91</v>
      </c>
      <c r="I28" s="42">
        <v>4.57</v>
      </c>
      <c r="J28" s="42">
        <v>0.24</v>
      </c>
      <c r="K28" s="42">
        <v>177.85</v>
      </c>
      <c r="L28" s="42">
        <v>19.03</v>
      </c>
      <c r="M28" s="42">
        <v>51.26</v>
      </c>
      <c r="N28" s="42">
        <v>26.9</v>
      </c>
      <c r="O28" s="42">
        <v>0</v>
      </c>
      <c r="P28" s="42">
        <v>0.71</v>
      </c>
      <c r="Q28" s="42">
        <v>6.63</v>
      </c>
      <c r="R28" s="38"/>
      <c r="S28" s="38"/>
      <c r="T28" s="38"/>
      <c r="U28" s="38"/>
    </row>
    <row r="29" spans="1:21" customFormat="1">
      <c r="A29" s="39" t="s">
        <v>129</v>
      </c>
      <c r="B29" s="42">
        <v>25.89</v>
      </c>
      <c r="C29" s="42">
        <v>50.92</v>
      </c>
      <c r="D29" s="42">
        <v>48.92</v>
      </c>
      <c r="E29" s="42">
        <v>7.91</v>
      </c>
      <c r="F29" s="42">
        <v>4.57</v>
      </c>
      <c r="G29" s="42">
        <v>78.510000000000005</v>
      </c>
      <c r="H29" s="42">
        <v>20.91</v>
      </c>
      <c r="I29" s="42">
        <v>4.92</v>
      </c>
      <c r="J29" s="42">
        <v>0.23</v>
      </c>
      <c r="K29" s="42">
        <v>191.91</v>
      </c>
      <c r="L29" s="42">
        <v>16.8</v>
      </c>
      <c r="M29" s="42">
        <v>58.26</v>
      </c>
      <c r="N29" s="42">
        <v>26.9</v>
      </c>
      <c r="O29" s="42">
        <v>0</v>
      </c>
      <c r="P29" s="42">
        <v>0.76</v>
      </c>
      <c r="Q29" s="42">
        <v>6.62</v>
      </c>
      <c r="R29" s="38"/>
      <c r="S29" s="38"/>
      <c r="T29" s="38"/>
      <c r="U29" s="38"/>
    </row>
    <row r="30" spans="1:21" customFormat="1">
      <c r="A30" s="39" t="s">
        <v>130</v>
      </c>
      <c r="B30" s="42">
        <v>24.06</v>
      </c>
      <c r="C30" s="42">
        <v>49.45</v>
      </c>
      <c r="D30" s="42">
        <v>46.68</v>
      </c>
      <c r="E30" s="42">
        <v>7.81</v>
      </c>
      <c r="F30" s="42">
        <v>4.67</v>
      </c>
      <c r="G30" s="42">
        <v>65.48</v>
      </c>
      <c r="H30" s="42">
        <v>17.59</v>
      </c>
      <c r="I30" s="42">
        <v>5.27</v>
      </c>
      <c r="J30" s="42">
        <v>0.27</v>
      </c>
      <c r="K30" s="42">
        <v>171.47</v>
      </c>
      <c r="L30" s="42">
        <v>15.67</v>
      </c>
      <c r="M30" s="42">
        <v>59.36</v>
      </c>
      <c r="N30" s="42">
        <v>26.9</v>
      </c>
      <c r="O30" s="42">
        <v>0</v>
      </c>
      <c r="P30" s="42">
        <v>0.81</v>
      </c>
      <c r="Q30" s="42">
        <v>6.53</v>
      </c>
      <c r="R30" s="38"/>
      <c r="S30" s="38"/>
      <c r="T30" s="38"/>
      <c r="U30" s="38"/>
    </row>
    <row r="31" spans="1:21" customFormat="1">
      <c r="A31" s="39" t="s">
        <v>131</v>
      </c>
      <c r="B31" s="42">
        <v>37.53</v>
      </c>
      <c r="C31" s="42">
        <v>49.83</v>
      </c>
      <c r="D31" s="42">
        <v>57.57</v>
      </c>
      <c r="E31" s="42">
        <v>8.14</v>
      </c>
      <c r="F31" s="42">
        <v>4.6500000000000004</v>
      </c>
      <c r="G31" s="42">
        <v>71.22</v>
      </c>
      <c r="H31" s="42">
        <v>27.59</v>
      </c>
      <c r="I31" s="42">
        <v>6.12</v>
      </c>
      <c r="J31" s="42">
        <v>0.25</v>
      </c>
      <c r="K31" s="42">
        <v>182.29</v>
      </c>
      <c r="L31" s="42">
        <v>15.69</v>
      </c>
      <c r="M31" s="42">
        <v>64.59</v>
      </c>
      <c r="N31" s="42">
        <v>26.9</v>
      </c>
      <c r="O31" s="42">
        <v>0</v>
      </c>
      <c r="P31" s="42">
        <v>0.97</v>
      </c>
      <c r="Q31" s="42">
        <v>7.36</v>
      </c>
      <c r="R31" s="38"/>
      <c r="S31" s="38"/>
      <c r="T31" s="38"/>
      <c r="U31" s="38"/>
    </row>
    <row r="32" spans="1:21" customFormat="1">
      <c r="A32" s="39" t="s">
        <v>132</v>
      </c>
      <c r="B32" s="42">
        <v>46.44</v>
      </c>
      <c r="C32" s="42">
        <v>49.36</v>
      </c>
      <c r="D32" s="42">
        <v>63.94</v>
      </c>
      <c r="E32" s="42">
        <v>8.09</v>
      </c>
      <c r="F32" s="42">
        <v>4.66</v>
      </c>
      <c r="G32" s="42">
        <v>76.7</v>
      </c>
      <c r="H32" s="42">
        <v>29.56</v>
      </c>
      <c r="I32" s="42">
        <v>7.31</v>
      </c>
      <c r="J32" s="42">
        <v>0.2</v>
      </c>
      <c r="K32" s="42">
        <v>206.99</v>
      </c>
      <c r="L32" s="42">
        <v>14.82</v>
      </c>
      <c r="M32" s="42">
        <v>69.19</v>
      </c>
      <c r="N32" s="42">
        <v>26.9</v>
      </c>
      <c r="O32" s="42">
        <v>0</v>
      </c>
      <c r="P32" s="42">
        <v>1.03</v>
      </c>
      <c r="Q32" s="42">
        <v>7.99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7.16</v>
      </c>
      <c r="C34" s="18">
        <f t="shared" si="0"/>
        <v>44.45</v>
      </c>
      <c r="D34" s="18">
        <f t="shared" si="0"/>
        <v>30.6</v>
      </c>
      <c r="E34" s="18">
        <f t="shared" si="0"/>
        <v>7.58</v>
      </c>
      <c r="F34" s="18">
        <f t="shared" si="0"/>
        <v>4.57</v>
      </c>
      <c r="G34" s="18">
        <f t="shared" si="0"/>
        <v>36.93</v>
      </c>
      <c r="H34" s="18">
        <f t="shared" si="0"/>
        <v>12.01</v>
      </c>
      <c r="I34" s="18">
        <f t="shared" si="0"/>
        <v>3.73</v>
      </c>
      <c r="J34" s="18">
        <f t="shared" si="0"/>
        <v>0.2</v>
      </c>
      <c r="K34" s="18">
        <f t="shared" si="0"/>
        <v>45.45</v>
      </c>
      <c r="L34" s="18">
        <f t="shared" si="0"/>
        <v>14.82</v>
      </c>
      <c r="M34" s="18">
        <f t="shared" si="0"/>
        <v>9.7100000000000009</v>
      </c>
      <c r="N34" s="18">
        <f t="shared" si="0"/>
        <v>26.9</v>
      </c>
      <c r="O34" s="18">
        <f t="shared" si="0"/>
        <v>0</v>
      </c>
      <c r="P34" s="18">
        <f t="shared" si="0"/>
        <v>0.54</v>
      </c>
      <c r="Q34" s="18">
        <f t="shared" si="0"/>
        <v>5.23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46.44</v>
      </c>
      <c r="C35" s="3">
        <f t="shared" si="1"/>
        <v>52.26</v>
      </c>
      <c r="D35" s="3">
        <f t="shared" si="1"/>
        <v>63.94</v>
      </c>
      <c r="E35" s="3">
        <f t="shared" si="1"/>
        <v>9.69</v>
      </c>
      <c r="F35" s="3">
        <f t="shared" si="1"/>
        <v>8.18</v>
      </c>
      <c r="G35" s="3">
        <f t="shared" si="1"/>
        <v>78.510000000000005</v>
      </c>
      <c r="H35" s="3">
        <f t="shared" si="1"/>
        <v>29.56</v>
      </c>
      <c r="I35" s="3">
        <f t="shared" si="1"/>
        <v>9.35</v>
      </c>
      <c r="J35" s="3">
        <f t="shared" si="1"/>
        <v>1.45</v>
      </c>
      <c r="K35" s="3">
        <f t="shared" si="1"/>
        <v>353.56</v>
      </c>
      <c r="L35" s="3">
        <f t="shared" si="1"/>
        <v>30.37</v>
      </c>
      <c r="M35" s="3">
        <f t="shared" si="1"/>
        <v>69.19</v>
      </c>
      <c r="N35" s="3">
        <f t="shared" si="1"/>
        <v>561.4</v>
      </c>
      <c r="O35" s="3">
        <f t="shared" si="1"/>
        <v>0</v>
      </c>
      <c r="P35" s="3">
        <f t="shared" si="1"/>
        <v>1.07</v>
      </c>
      <c r="Q35" s="3">
        <f t="shared" si="1"/>
        <v>7.99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24.278571428571432</v>
      </c>
      <c r="C36" s="18">
        <f t="shared" si="2"/>
        <v>49.510000000000005</v>
      </c>
      <c r="D36" s="18">
        <f t="shared" si="2"/>
        <v>46.82</v>
      </c>
      <c r="E36" s="18">
        <f t="shared" si="2"/>
        <v>8.2750000000000004</v>
      </c>
      <c r="F36" s="18">
        <f t="shared" si="2"/>
        <v>5.7900000000000009</v>
      </c>
      <c r="G36" s="18">
        <f t="shared" si="2"/>
        <v>61.935000000000009</v>
      </c>
      <c r="H36" s="18">
        <f t="shared" si="2"/>
        <v>20.085714285714285</v>
      </c>
      <c r="I36" s="18">
        <f t="shared" si="2"/>
        <v>5.722142857142857</v>
      </c>
      <c r="J36" s="18">
        <f t="shared" si="2"/>
        <v>0.72357142857142864</v>
      </c>
      <c r="K36" s="18">
        <f t="shared" si="2"/>
        <v>191.1178571428571</v>
      </c>
      <c r="L36" s="18">
        <f t="shared" si="2"/>
        <v>23.685714285714287</v>
      </c>
      <c r="M36" s="18">
        <f t="shared" si="2"/>
        <v>32.764285714285712</v>
      </c>
      <c r="N36" s="18">
        <f t="shared" si="2"/>
        <v>220.84285714285718</v>
      </c>
      <c r="O36" s="18">
        <f t="shared" si="2"/>
        <v>0</v>
      </c>
      <c r="P36" s="18">
        <f t="shared" si="2"/>
        <v>0.77500000000000013</v>
      </c>
      <c r="Q36" s="18">
        <f t="shared" si="2"/>
        <v>6.5649999999999995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12.513735749870316</v>
      </c>
      <c r="C37" s="18">
        <f t="shared" ref="C37:Q37" si="3">STDEV(C9:C32)</f>
        <v>2.3466932545113832</v>
      </c>
      <c r="D37" s="18">
        <f t="shared" si="3"/>
        <v>10.781032489444666</v>
      </c>
      <c r="E37" s="18">
        <f t="shared" si="3"/>
        <v>0.54363095513833204</v>
      </c>
      <c r="F37" s="18">
        <f t="shared" si="3"/>
        <v>1.1957167145852092</v>
      </c>
      <c r="G37" s="18">
        <f t="shared" si="3"/>
        <v>16.234183189989952</v>
      </c>
      <c r="H37" s="18">
        <f t="shared" si="3"/>
        <v>6.2986283174448907</v>
      </c>
      <c r="I37" s="18">
        <f t="shared" si="3"/>
        <v>1.6840892474588722</v>
      </c>
      <c r="J37" s="18">
        <f t="shared" si="3"/>
        <v>0.48352244626692975</v>
      </c>
      <c r="K37" s="18">
        <f t="shared" si="3"/>
        <v>113.37414650199118</v>
      </c>
      <c r="L37" s="18">
        <f t="shared" si="3"/>
        <v>5.9110414470726553</v>
      </c>
      <c r="M37" s="18">
        <f t="shared" si="3"/>
        <v>23.080006570551561</v>
      </c>
      <c r="N37" s="18">
        <f t="shared" si="3"/>
        <v>248.05459918297061</v>
      </c>
      <c r="O37" s="18">
        <f t="shared" si="3"/>
        <v>0</v>
      </c>
      <c r="P37" s="18">
        <f t="shared" si="3"/>
        <v>0.17981828434454411</v>
      </c>
      <c r="Q37" s="18">
        <f t="shared" si="3"/>
        <v>0.88854028955014508</v>
      </c>
      <c r="R37" s="18"/>
      <c r="S37" s="18"/>
      <c r="T37" s="18"/>
      <c r="U37" s="18"/>
    </row>
    <row r="38" spans="1:21">
      <c r="A38" s="34" t="s">
        <v>52</v>
      </c>
      <c r="B38" s="34">
        <f>COUNT(B9:B32)+10</f>
        <v>24</v>
      </c>
      <c r="C38" s="34">
        <f t="shared" ref="C38:Q38" si="4">COUNT(C9:C32)+10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F9" sqref="F9:F32"/>
    </sheetView>
  </sheetViews>
  <sheetFormatPr defaultColWidth="8.85546875" defaultRowHeight="15"/>
  <cols>
    <col min="1" max="1" width="16.140625" style="1" bestFit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45692.041666666664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4">
        <v>45692.041666666664</v>
      </c>
      <c r="B9" s="42">
        <v>49.63</v>
      </c>
      <c r="C9" s="42">
        <v>47.24</v>
      </c>
      <c r="D9" s="42">
        <v>65.319999999999993</v>
      </c>
      <c r="E9" s="42">
        <v>8.1300000000000008</v>
      </c>
      <c r="F9" s="42">
        <v>4.5999999999999996</v>
      </c>
      <c r="G9" s="42">
        <v>76.7</v>
      </c>
      <c r="H9" s="42">
        <v>29.56</v>
      </c>
      <c r="I9" s="42">
        <v>7.96</v>
      </c>
      <c r="J9" s="42">
        <v>0.21</v>
      </c>
      <c r="K9" s="42">
        <v>182.95</v>
      </c>
      <c r="L9" s="42">
        <v>14.36</v>
      </c>
      <c r="M9" s="42">
        <v>70.739999999999995</v>
      </c>
      <c r="N9" s="42">
        <v>0</v>
      </c>
      <c r="O9" s="42">
        <v>0</v>
      </c>
      <c r="P9" s="42">
        <v>1.1000000000000001</v>
      </c>
      <c r="Q9" s="42">
        <v>7.99</v>
      </c>
      <c r="R9" s="38"/>
      <c r="S9" s="38"/>
      <c r="T9" s="38"/>
      <c r="U9" s="38"/>
    </row>
    <row r="10" spans="1:21" customFormat="1">
      <c r="A10" s="44">
        <v>45692.083333333336</v>
      </c>
      <c r="B10" s="42">
        <v>84.71</v>
      </c>
      <c r="C10" s="42">
        <v>47.48</v>
      </c>
      <c r="D10" s="42">
        <v>94.28</v>
      </c>
      <c r="E10" s="42">
        <v>8.98</v>
      </c>
      <c r="F10" s="42">
        <v>4.6399999999999997</v>
      </c>
      <c r="G10" s="42">
        <v>93.18</v>
      </c>
      <c r="H10" s="42">
        <v>35.78</v>
      </c>
      <c r="I10" s="42">
        <v>9.4</v>
      </c>
      <c r="J10" s="42">
        <v>0.21</v>
      </c>
      <c r="K10" s="42">
        <v>176.24</v>
      </c>
      <c r="L10" s="42">
        <v>14.72</v>
      </c>
      <c r="M10" s="42">
        <v>68.36</v>
      </c>
      <c r="N10" s="42">
        <v>0</v>
      </c>
      <c r="O10" s="42">
        <v>0</v>
      </c>
      <c r="P10" s="42">
        <v>1.32</v>
      </c>
      <c r="Q10" s="42">
        <v>10.1</v>
      </c>
      <c r="R10" s="38"/>
      <c r="S10" s="38"/>
      <c r="T10" s="38"/>
      <c r="U10" s="38"/>
    </row>
    <row r="11" spans="1:21" customFormat="1">
      <c r="A11" s="44">
        <v>45692.125</v>
      </c>
      <c r="B11" s="42">
        <v>102.91</v>
      </c>
      <c r="C11" s="42">
        <v>48.23</v>
      </c>
      <c r="D11" s="42">
        <v>109.04</v>
      </c>
      <c r="E11" s="42">
        <v>8.49</v>
      </c>
      <c r="F11" s="42">
        <v>4.6500000000000004</v>
      </c>
      <c r="G11" s="42">
        <v>110.17</v>
      </c>
      <c r="H11" s="42">
        <v>43.06</v>
      </c>
      <c r="I11" s="42">
        <v>11.62</v>
      </c>
      <c r="J11" s="42">
        <v>0.22</v>
      </c>
      <c r="K11" s="42">
        <v>203.24</v>
      </c>
      <c r="L11" s="42">
        <v>14.03</v>
      </c>
      <c r="M11" s="42">
        <v>77.13</v>
      </c>
      <c r="N11" s="42">
        <v>0</v>
      </c>
      <c r="O11" s="42">
        <v>0</v>
      </c>
      <c r="P11" s="42">
        <v>1.44</v>
      </c>
      <c r="Q11" s="42">
        <v>11.35</v>
      </c>
      <c r="R11" s="38"/>
      <c r="S11" s="38"/>
      <c r="T11" s="38"/>
      <c r="U11" s="38"/>
    </row>
    <row r="12" spans="1:21" customFormat="1">
      <c r="A12" s="44">
        <v>45692.166666666664</v>
      </c>
      <c r="B12" s="42">
        <v>99.85</v>
      </c>
      <c r="C12" s="42">
        <v>46.09</v>
      </c>
      <c r="D12" s="42">
        <v>105.7</v>
      </c>
      <c r="E12" s="42">
        <v>8.41</v>
      </c>
      <c r="F12" s="42">
        <v>4.66</v>
      </c>
      <c r="G12" s="42">
        <v>120.96</v>
      </c>
      <c r="H12" s="42">
        <v>43.06</v>
      </c>
      <c r="I12" s="42">
        <v>12.38</v>
      </c>
      <c r="J12" s="42">
        <v>0.19</v>
      </c>
      <c r="K12" s="42">
        <v>192.51</v>
      </c>
      <c r="L12" s="42">
        <v>12.75</v>
      </c>
      <c r="M12" s="42">
        <v>77.319999999999993</v>
      </c>
      <c r="N12" s="42">
        <v>0</v>
      </c>
      <c r="O12" s="42">
        <v>0</v>
      </c>
      <c r="P12" s="42">
        <v>1.47</v>
      </c>
      <c r="Q12" s="42">
        <v>11.26</v>
      </c>
      <c r="R12" s="38"/>
      <c r="S12" s="38"/>
      <c r="T12" s="38"/>
      <c r="U12" s="38"/>
    </row>
    <row r="13" spans="1:21" customFormat="1">
      <c r="A13" s="44">
        <v>45692.208333333336</v>
      </c>
      <c r="B13" s="42">
        <v>114.09</v>
      </c>
      <c r="C13" s="42">
        <v>48.33</v>
      </c>
      <c r="D13" s="42">
        <v>118.29</v>
      </c>
      <c r="E13" s="42">
        <v>8.81</v>
      </c>
      <c r="F13" s="42">
        <v>4.6100000000000003</v>
      </c>
      <c r="G13" s="42">
        <v>139.62</v>
      </c>
      <c r="H13" s="42">
        <v>44.93</v>
      </c>
      <c r="I13" s="42">
        <v>13.32</v>
      </c>
      <c r="J13" s="42">
        <v>0.44</v>
      </c>
      <c r="K13" s="42">
        <v>188.01</v>
      </c>
      <c r="L13" s="42">
        <v>13.68</v>
      </c>
      <c r="M13" s="42">
        <v>81.13</v>
      </c>
      <c r="N13" s="42">
        <v>0</v>
      </c>
      <c r="O13" s="42">
        <v>0</v>
      </c>
      <c r="P13" s="42">
        <v>1.57</v>
      </c>
      <c r="Q13" s="42">
        <v>12</v>
      </c>
      <c r="R13" s="38"/>
      <c r="S13" s="38"/>
      <c r="T13" s="38"/>
      <c r="U13" s="38"/>
    </row>
    <row r="14" spans="1:21" customFormat="1">
      <c r="A14" s="44">
        <v>45692.25</v>
      </c>
      <c r="B14" s="42">
        <v>112.02</v>
      </c>
      <c r="C14" s="42">
        <v>47.54</v>
      </c>
      <c r="D14" s="42">
        <v>116.22</v>
      </c>
      <c r="E14" s="42">
        <v>8.8699999999999992</v>
      </c>
      <c r="F14" s="42">
        <v>4.7300000000000004</v>
      </c>
      <c r="G14" s="42">
        <v>139.62</v>
      </c>
      <c r="H14" s="42">
        <v>44.93</v>
      </c>
      <c r="I14" s="42">
        <v>13.81</v>
      </c>
      <c r="J14" s="42">
        <v>0.21</v>
      </c>
      <c r="K14" s="42">
        <v>204.18</v>
      </c>
      <c r="L14" s="42">
        <v>11.39</v>
      </c>
      <c r="M14" s="42">
        <v>83.14</v>
      </c>
      <c r="N14" s="42">
        <v>0</v>
      </c>
      <c r="O14" s="42">
        <v>0</v>
      </c>
      <c r="P14" s="42">
        <v>1.55</v>
      </c>
      <c r="Q14" s="42">
        <v>11.88</v>
      </c>
      <c r="R14" s="38"/>
      <c r="S14" s="38"/>
      <c r="T14" s="38"/>
      <c r="U14" s="38"/>
    </row>
    <row r="15" spans="1:21" customFormat="1">
      <c r="A15" s="44">
        <v>45692.291666666664</v>
      </c>
      <c r="B15" s="42">
        <v>100.36</v>
      </c>
      <c r="C15" s="42">
        <v>46.18</v>
      </c>
      <c r="D15" s="42">
        <v>106.16</v>
      </c>
      <c r="E15" s="42">
        <v>8.67</v>
      </c>
      <c r="F15" s="42">
        <v>4.6900000000000004</v>
      </c>
      <c r="G15" s="42">
        <v>125.25</v>
      </c>
      <c r="H15" s="42">
        <v>42.72</v>
      </c>
      <c r="I15" s="42">
        <v>13.6</v>
      </c>
      <c r="J15" s="42">
        <v>0.16</v>
      </c>
      <c r="K15" s="42">
        <v>205.15</v>
      </c>
      <c r="L15" s="42">
        <v>10.83</v>
      </c>
      <c r="M15" s="42">
        <v>84.93</v>
      </c>
      <c r="N15" s="42">
        <v>1.1000000000000001</v>
      </c>
      <c r="O15" s="42">
        <v>0</v>
      </c>
      <c r="P15" s="42">
        <v>1.52</v>
      </c>
      <c r="Q15" s="42">
        <v>11.2</v>
      </c>
      <c r="R15" s="38"/>
      <c r="S15" s="38"/>
      <c r="T15" s="38"/>
      <c r="U15" s="38"/>
    </row>
    <row r="16" spans="1:21" customFormat="1">
      <c r="A16" s="44">
        <v>45692.333333333336</v>
      </c>
      <c r="B16" s="42">
        <v>88.99</v>
      </c>
      <c r="C16" s="42">
        <v>47.4</v>
      </c>
      <c r="D16" s="42">
        <v>96.76</v>
      </c>
      <c r="E16" s="42">
        <v>8.51</v>
      </c>
      <c r="F16" s="42">
        <v>4.63</v>
      </c>
      <c r="G16" s="42">
        <v>109.99</v>
      </c>
      <c r="H16" s="42">
        <v>43.61</v>
      </c>
      <c r="I16" s="42">
        <v>13.4</v>
      </c>
      <c r="J16" s="42">
        <v>0.14000000000000001</v>
      </c>
      <c r="K16" s="42">
        <v>164.97</v>
      </c>
      <c r="L16" s="42">
        <v>14.29</v>
      </c>
      <c r="M16" s="42">
        <v>84.13</v>
      </c>
      <c r="N16" s="42">
        <v>25.8</v>
      </c>
      <c r="O16" s="42">
        <v>0</v>
      </c>
      <c r="P16" s="42">
        <v>1.53</v>
      </c>
      <c r="Q16" s="42">
        <v>10.48</v>
      </c>
      <c r="R16" s="38"/>
      <c r="S16" s="38"/>
      <c r="T16" s="38"/>
      <c r="U16" s="38"/>
    </row>
    <row r="17" spans="1:21" customFormat="1">
      <c r="A17" s="44">
        <v>45692.375</v>
      </c>
      <c r="B17" s="42">
        <v>78.790000000000006</v>
      </c>
      <c r="C17" s="42">
        <v>53.65</v>
      </c>
      <c r="D17" s="42">
        <v>90.44</v>
      </c>
      <c r="E17" s="42">
        <v>9.5</v>
      </c>
      <c r="F17" s="42">
        <v>4.72</v>
      </c>
      <c r="G17" s="42">
        <v>109.99</v>
      </c>
      <c r="H17" s="42">
        <v>43.61</v>
      </c>
      <c r="I17" s="42">
        <v>13.62</v>
      </c>
      <c r="J17" s="42">
        <v>0.28000000000000003</v>
      </c>
      <c r="K17" s="42">
        <v>232.42</v>
      </c>
      <c r="L17" s="42">
        <v>21.83</v>
      </c>
      <c r="M17" s="42">
        <v>51.29</v>
      </c>
      <c r="N17" s="42">
        <v>301.5</v>
      </c>
      <c r="O17" s="42">
        <v>0</v>
      </c>
      <c r="P17" s="42">
        <v>1.52</v>
      </c>
      <c r="Q17" s="42">
        <v>9.9499999999999993</v>
      </c>
      <c r="R17" s="38"/>
      <c r="S17" s="38"/>
      <c r="T17" s="38"/>
      <c r="U17" s="38"/>
    </row>
    <row r="18" spans="1:21" customFormat="1">
      <c r="A18" s="44">
        <v>45692.416666666664</v>
      </c>
      <c r="B18" s="42">
        <v>57.52</v>
      </c>
      <c r="C18" s="42">
        <v>55.36</v>
      </c>
      <c r="D18" s="42">
        <v>76.06</v>
      </c>
      <c r="E18" s="42">
        <v>11.16</v>
      </c>
      <c r="F18" s="42">
        <v>4.9000000000000004</v>
      </c>
      <c r="G18" s="42">
        <v>88.39</v>
      </c>
      <c r="H18" s="42">
        <v>40.58</v>
      </c>
      <c r="I18" s="42">
        <v>13.23</v>
      </c>
      <c r="J18" s="42">
        <v>0.93</v>
      </c>
      <c r="K18" s="42">
        <v>78.14</v>
      </c>
      <c r="L18" s="42">
        <v>24.24</v>
      </c>
      <c r="M18" s="42">
        <v>32.99</v>
      </c>
      <c r="N18" s="42">
        <v>387.8</v>
      </c>
      <c r="O18" s="42">
        <v>0</v>
      </c>
      <c r="P18" s="42">
        <v>1.4</v>
      </c>
      <c r="Q18" s="42">
        <v>9</v>
      </c>
      <c r="R18" s="38"/>
      <c r="S18" s="38"/>
      <c r="T18" s="38"/>
      <c r="U18" s="38"/>
    </row>
    <row r="19" spans="1:21" customFormat="1">
      <c r="A19" s="44">
        <v>45692.458333333336</v>
      </c>
      <c r="B19" s="42">
        <v>41.29</v>
      </c>
      <c r="C19" s="42">
        <v>56.1</v>
      </c>
      <c r="D19" s="42">
        <v>63.57</v>
      </c>
      <c r="E19" s="42">
        <v>10.1</v>
      </c>
      <c r="F19" s="42">
        <v>5.1100000000000003</v>
      </c>
      <c r="G19" s="42">
        <v>83.34</v>
      </c>
      <c r="H19" s="42">
        <v>36.01</v>
      </c>
      <c r="I19" s="42">
        <v>11.63</v>
      </c>
      <c r="J19" s="42">
        <v>1.24</v>
      </c>
      <c r="K19" s="42">
        <v>57.84</v>
      </c>
      <c r="L19" s="42">
        <v>26.3</v>
      </c>
      <c r="M19" s="42">
        <v>26.46</v>
      </c>
      <c r="N19" s="42">
        <v>478.8</v>
      </c>
      <c r="O19" s="42">
        <v>0</v>
      </c>
      <c r="P19" s="42">
        <v>1.2</v>
      </c>
      <c r="Q19" s="42">
        <v>7.99</v>
      </c>
      <c r="R19" s="38"/>
      <c r="S19" s="38"/>
      <c r="T19" s="38"/>
      <c r="U19" s="38"/>
    </row>
    <row r="20" spans="1:21" customFormat="1">
      <c r="A20" s="44">
        <v>45692.5</v>
      </c>
      <c r="B20" s="42">
        <v>33.06</v>
      </c>
      <c r="C20" s="42">
        <v>56.41</v>
      </c>
      <c r="D20" s="42">
        <v>57.44</v>
      </c>
      <c r="E20" s="42">
        <v>14.16</v>
      </c>
      <c r="F20" s="42">
        <v>5.37</v>
      </c>
      <c r="G20" s="42">
        <v>72.510000000000005</v>
      </c>
      <c r="H20" s="42">
        <v>33.18</v>
      </c>
      <c r="I20" s="42">
        <v>9.94</v>
      </c>
      <c r="J20" s="42">
        <v>1.02</v>
      </c>
      <c r="K20" s="42">
        <v>113.08</v>
      </c>
      <c r="L20" s="42">
        <v>28.48</v>
      </c>
      <c r="M20" s="42">
        <v>22.03</v>
      </c>
      <c r="N20" s="42">
        <v>530.6</v>
      </c>
      <c r="O20" s="42">
        <v>0</v>
      </c>
      <c r="P20" s="42">
        <v>1.04</v>
      </c>
      <c r="Q20" s="42">
        <v>7.5</v>
      </c>
      <c r="R20" s="38"/>
      <c r="S20" s="38"/>
      <c r="T20" s="38"/>
      <c r="U20" s="38"/>
    </row>
    <row r="21" spans="1:21" customFormat="1">
      <c r="A21" s="44">
        <v>45692.541666666664</v>
      </c>
      <c r="B21" s="42">
        <v>26.94</v>
      </c>
      <c r="C21" s="42">
        <v>55.98</v>
      </c>
      <c r="D21" s="42">
        <v>52.41</v>
      </c>
      <c r="E21" s="42">
        <v>12.58</v>
      </c>
      <c r="F21" s="42">
        <v>5.69</v>
      </c>
      <c r="G21" s="42">
        <v>65.7</v>
      </c>
      <c r="H21" s="42">
        <v>28.53</v>
      </c>
      <c r="I21" s="42">
        <v>8.3800000000000008</v>
      </c>
      <c r="J21" s="42">
        <v>0.73</v>
      </c>
      <c r="K21" s="42">
        <v>312.16000000000003</v>
      </c>
      <c r="L21" s="42">
        <v>29.6</v>
      </c>
      <c r="M21" s="42">
        <v>18.02</v>
      </c>
      <c r="N21" s="42">
        <v>536.5</v>
      </c>
      <c r="O21" s="42">
        <v>0</v>
      </c>
      <c r="P21" s="42">
        <v>0.91</v>
      </c>
      <c r="Q21" s="42">
        <v>7.16</v>
      </c>
      <c r="R21" s="38"/>
      <c r="S21" s="38"/>
      <c r="T21" s="38"/>
      <c r="U21" s="38"/>
    </row>
    <row r="22" spans="1:21" customFormat="1">
      <c r="A22" s="44">
        <v>45692.583333333336</v>
      </c>
      <c r="B22" s="42">
        <v>15.7</v>
      </c>
      <c r="C22" s="42">
        <v>53.87</v>
      </c>
      <c r="D22" s="42">
        <v>42.28</v>
      </c>
      <c r="E22" s="42">
        <v>11.57</v>
      </c>
      <c r="F22" s="42">
        <v>6.67</v>
      </c>
      <c r="G22" s="42">
        <v>50.13</v>
      </c>
      <c r="H22" s="42">
        <v>24.53</v>
      </c>
      <c r="I22" s="42">
        <v>7.14</v>
      </c>
      <c r="J22" s="42">
        <v>0.56000000000000005</v>
      </c>
      <c r="K22" s="42">
        <v>303.25</v>
      </c>
      <c r="L22" s="42">
        <v>30.13</v>
      </c>
      <c r="M22" s="42">
        <v>15.46</v>
      </c>
      <c r="N22" s="42">
        <v>524.1</v>
      </c>
      <c r="O22" s="42">
        <v>0</v>
      </c>
      <c r="P22" s="42">
        <v>0.79</v>
      </c>
      <c r="Q22" s="42">
        <v>6.35</v>
      </c>
      <c r="R22" s="38"/>
      <c r="S22" s="38"/>
      <c r="T22" s="38"/>
      <c r="U22" s="38"/>
    </row>
    <row r="23" spans="1:21" customFormat="1">
      <c r="A23" s="44">
        <v>45692.625</v>
      </c>
      <c r="B23" s="42">
        <v>10.39</v>
      </c>
      <c r="C23" s="42">
        <v>51.52</v>
      </c>
      <c r="D23" s="42">
        <v>36.799999999999997</v>
      </c>
      <c r="E23" s="42">
        <v>10.77</v>
      </c>
      <c r="F23" s="42">
        <v>8.02</v>
      </c>
      <c r="G23" s="42">
        <v>46.7</v>
      </c>
      <c r="H23" s="42">
        <v>22.38</v>
      </c>
      <c r="I23" s="42">
        <v>6.3</v>
      </c>
      <c r="J23" s="42">
        <v>0.99</v>
      </c>
      <c r="K23" s="42">
        <v>310.32</v>
      </c>
      <c r="L23" s="42">
        <v>30.33</v>
      </c>
      <c r="M23" s="42">
        <v>13.83</v>
      </c>
      <c r="N23" s="42">
        <v>411</v>
      </c>
      <c r="O23" s="42">
        <v>0</v>
      </c>
      <c r="P23" s="42">
        <v>0.7</v>
      </c>
      <c r="Q23" s="42">
        <v>5.85</v>
      </c>
      <c r="R23" s="38"/>
      <c r="S23" s="38"/>
      <c r="T23" s="38"/>
      <c r="U23" s="38"/>
    </row>
    <row r="24" spans="1:21" customFormat="1">
      <c r="A24" s="44">
        <v>45692.666666666664</v>
      </c>
      <c r="B24" s="42">
        <v>8.41</v>
      </c>
      <c r="C24" s="42">
        <v>48.82</v>
      </c>
      <c r="D24" s="42">
        <v>33.799999999999997</v>
      </c>
      <c r="E24" s="42">
        <v>9.36</v>
      </c>
      <c r="F24" s="42">
        <v>9.61</v>
      </c>
      <c r="G24" s="42">
        <v>46.7</v>
      </c>
      <c r="H24" s="42">
        <v>21.93</v>
      </c>
      <c r="I24" s="42">
        <v>5.84</v>
      </c>
      <c r="J24" s="42">
        <v>0.69</v>
      </c>
      <c r="K24" s="42">
        <v>332.89</v>
      </c>
      <c r="L24" s="42">
        <v>29.28</v>
      </c>
      <c r="M24" s="42">
        <v>11.59</v>
      </c>
      <c r="N24" s="42">
        <v>97.9</v>
      </c>
      <c r="O24" s="42">
        <v>0</v>
      </c>
      <c r="P24" s="42">
        <v>0.67</v>
      </c>
      <c r="Q24" s="42">
        <v>5.61</v>
      </c>
      <c r="R24" s="38"/>
      <c r="S24" s="38"/>
      <c r="T24" s="38"/>
      <c r="U24" s="38"/>
    </row>
    <row r="25" spans="1:21" customFormat="1">
      <c r="A25" s="44">
        <v>45692.708333333336</v>
      </c>
      <c r="B25" s="42">
        <v>9.57</v>
      </c>
      <c r="C25" s="42">
        <v>49.27</v>
      </c>
      <c r="D25" s="42">
        <v>34.97</v>
      </c>
      <c r="E25" s="42">
        <v>9.1300000000000008</v>
      </c>
      <c r="F25" s="42">
        <v>9.58</v>
      </c>
      <c r="G25" s="42">
        <v>43.22</v>
      </c>
      <c r="H25" s="42">
        <v>20.71</v>
      </c>
      <c r="I25" s="42">
        <v>5.31</v>
      </c>
      <c r="J25" s="42">
        <v>0.69</v>
      </c>
      <c r="K25" s="42">
        <v>343.47</v>
      </c>
      <c r="L25" s="42">
        <v>28.9</v>
      </c>
      <c r="M25" s="42">
        <v>12.39</v>
      </c>
      <c r="N25" s="42">
        <v>79.400000000000006</v>
      </c>
      <c r="O25" s="42">
        <v>0</v>
      </c>
      <c r="P25" s="42">
        <v>0.63</v>
      </c>
      <c r="Q25" s="42">
        <v>5.61</v>
      </c>
      <c r="R25" s="38"/>
      <c r="S25" s="38"/>
      <c r="T25" s="38"/>
      <c r="U25" s="38"/>
    </row>
    <row r="26" spans="1:21" customFormat="1">
      <c r="A26" s="44">
        <v>45692.75</v>
      </c>
      <c r="B26" s="42">
        <v>15.6</v>
      </c>
      <c r="C26" s="42">
        <v>53.54</v>
      </c>
      <c r="D26" s="42">
        <v>42.03</v>
      </c>
      <c r="E26" s="42">
        <v>8.43</v>
      </c>
      <c r="F26" s="42">
        <v>7.05</v>
      </c>
      <c r="G26" s="42">
        <v>54.1</v>
      </c>
      <c r="H26" s="42">
        <v>19.21</v>
      </c>
      <c r="I26" s="42">
        <v>4.9000000000000004</v>
      </c>
      <c r="J26" s="42">
        <v>0.56000000000000005</v>
      </c>
      <c r="K26" s="42">
        <v>121.07</v>
      </c>
      <c r="L26" s="42">
        <v>27.61</v>
      </c>
      <c r="M26" s="42">
        <v>24.07</v>
      </c>
      <c r="N26" s="42">
        <v>26.7</v>
      </c>
      <c r="O26" s="42">
        <v>0</v>
      </c>
      <c r="P26" s="42">
        <v>0.66</v>
      </c>
      <c r="Q26" s="42">
        <v>6</v>
      </c>
      <c r="R26" s="38"/>
      <c r="S26" s="38"/>
      <c r="T26" s="38"/>
      <c r="U26" s="38"/>
    </row>
    <row r="27" spans="1:21" customFormat="1">
      <c r="A27" s="44">
        <v>45692.791666666664</v>
      </c>
      <c r="B27" s="42">
        <v>16.97</v>
      </c>
      <c r="C27" s="42">
        <v>53.81</v>
      </c>
      <c r="D27" s="42">
        <v>42.97</v>
      </c>
      <c r="E27" s="42">
        <v>8.99</v>
      </c>
      <c r="F27" s="42">
        <v>4.88</v>
      </c>
      <c r="G27" s="42">
        <v>69.33</v>
      </c>
      <c r="H27" s="42">
        <v>22.32</v>
      </c>
      <c r="I27" s="42">
        <v>5.21</v>
      </c>
      <c r="J27" s="42">
        <v>0.33</v>
      </c>
      <c r="K27" s="42">
        <v>159.97999999999999</v>
      </c>
      <c r="L27" s="42">
        <v>23.04</v>
      </c>
      <c r="M27" s="42">
        <v>48.36</v>
      </c>
      <c r="N27" s="42">
        <v>0</v>
      </c>
      <c r="O27" s="42">
        <v>0</v>
      </c>
      <c r="P27" s="42">
        <v>0.71</v>
      </c>
      <c r="Q27" s="42">
        <v>6.23</v>
      </c>
      <c r="R27" s="38"/>
      <c r="S27" s="38"/>
      <c r="T27" s="38"/>
      <c r="U27" s="38"/>
    </row>
    <row r="28" spans="1:21" customFormat="1">
      <c r="A28" s="44">
        <v>45692.833333333336</v>
      </c>
      <c r="B28" s="42">
        <v>20.57</v>
      </c>
      <c r="C28" s="42">
        <v>52.76</v>
      </c>
      <c r="D28" s="42">
        <v>44.96</v>
      </c>
      <c r="E28" s="42">
        <v>8.58</v>
      </c>
      <c r="F28" s="42">
        <v>4.6399999999999997</v>
      </c>
      <c r="G28" s="42">
        <v>78.86</v>
      </c>
      <c r="H28" s="42">
        <v>22.32</v>
      </c>
      <c r="I28" s="42">
        <v>6.15</v>
      </c>
      <c r="J28" s="42">
        <v>0.2</v>
      </c>
      <c r="K28" s="42">
        <v>205.57</v>
      </c>
      <c r="L28" s="42">
        <v>19.850000000000001</v>
      </c>
      <c r="M28" s="42">
        <v>50.99</v>
      </c>
      <c r="N28" s="42">
        <v>0</v>
      </c>
      <c r="O28" s="42">
        <v>0</v>
      </c>
      <c r="P28" s="42">
        <v>0.79</v>
      </c>
      <c r="Q28" s="42">
        <v>6.41</v>
      </c>
      <c r="R28" s="38"/>
      <c r="S28" s="38"/>
      <c r="T28" s="38"/>
      <c r="U28" s="38"/>
    </row>
    <row r="29" spans="1:21" customFormat="1">
      <c r="A29" s="44">
        <v>45692.875</v>
      </c>
      <c r="B29" s="42">
        <v>21.33</v>
      </c>
      <c r="C29" s="42">
        <v>50.75</v>
      </c>
      <c r="D29" s="42">
        <v>44.48</v>
      </c>
      <c r="E29" s="42">
        <v>8.3000000000000007</v>
      </c>
      <c r="F29" s="42">
        <v>4.54</v>
      </c>
      <c r="G29" s="42">
        <v>78.86</v>
      </c>
      <c r="H29" s="42">
        <v>21.9</v>
      </c>
      <c r="I29" s="42">
        <v>6.3</v>
      </c>
      <c r="J29" s="42">
        <v>0.25</v>
      </c>
      <c r="K29" s="42">
        <v>191.61</v>
      </c>
      <c r="L29" s="42">
        <v>18.14</v>
      </c>
      <c r="M29" s="42">
        <v>57.21</v>
      </c>
      <c r="N29" s="42">
        <v>0</v>
      </c>
      <c r="O29" s="42">
        <v>0</v>
      </c>
      <c r="P29" s="42">
        <v>0.8</v>
      </c>
      <c r="Q29" s="42">
        <v>6.42</v>
      </c>
      <c r="R29" s="38"/>
      <c r="S29" s="38"/>
      <c r="T29" s="38"/>
      <c r="U29" s="38"/>
    </row>
    <row r="30" spans="1:21" customFormat="1">
      <c r="A30" s="44">
        <v>45692.916666666664</v>
      </c>
      <c r="B30" s="42">
        <v>22.89</v>
      </c>
      <c r="C30" s="42">
        <v>49.01</v>
      </c>
      <c r="D30" s="42">
        <v>44.89</v>
      </c>
      <c r="E30" s="42">
        <v>8.23</v>
      </c>
      <c r="F30" s="42">
        <v>4.3899999999999997</v>
      </c>
      <c r="G30" s="42">
        <v>81.8</v>
      </c>
      <c r="H30" s="42">
        <v>20.45</v>
      </c>
      <c r="I30" s="42">
        <v>6.3</v>
      </c>
      <c r="J30" s="42">
        <v>0.26</v>
      </c>
      <c r="K30" s="42">
        <v>180.7</v>
      </c>
      <c r="L30" s="42">
        <v>17</v>
      </c>
      <c r="M30" s="42">
        <v>60.88</v>
      </c>
      <c r="N30" s="42">
        <v>0</v>
      </c>
      <c r="O30" s="42">
        <v>0</v>
      </c>
      <c r="P30" s="42">
        <v>0.79</v>
      </c>
      <c r="Q30" s="42">
        <v>6.5</v>
      </c>
      <c r="R30" s="38"/>
      <c r="S30" s="38"/>
      <c r="T30" s="38"/>
      <c r="U30" s="38"/>
    </row>
    <row r="31" spans="1:21" customFormat="1">
      <c r="A31" s="44">
        <v>45692.958333333336</v>
      </c>
      <c r="B31" s="42">
        <v>24.12</v>
      </c>
      <c r="C31" s="42">
        <v>47.34</v>
      </c>
      <c r="D31" s="42">
        <v>45.12</v>
      </c>
      <c r="E31" s="42">
        <v>8.1199999999999992</v>
      </c>
      <c r="F31" s="42">
        <v>4.5199999999999996</v>
      </c>
      <c r="G31" s="42">
        <v>85.5</v>
      </c>
      <c r="H31" s="42">
        <v>23.77</v>
      </c>
      <c r="I31" s="42">
        <v>6.37</v>
      </c>
      <c r="J31" s="42">
        <v>0.23</v>
      </c>
      <c r="K31" s="42">
        <v>204.22</v>
      </c>
      <c r="L31" s="42">
        <v>16.239999999999998</v>
      </c>
      <c r="M31" s="42">
        <v>64.06</v>
      </c>
      <c r="N31" s="42">
        <v>0</v>
      </c>
      <c r="O31" s="42">
        <v>0</v>
      </c>
      <c r="P31" s="42">
        <v>0.82</v>
      </c>
      <c r="Q31" s="42">
        <v>6.53</v>
      </c>
      <c r="R31" s="38"/>
      <c r="S31" s="38"/>
      <c r="T31" s="38"/>
      <c r="U31" s="38"/>
    </row>
    <row r="32" spans="1:21" customFormat="1">
      <c r="A32" s="42">
        <v>45693</v>
      </c>
      <c r="B32" s="42">
        <v>25.12</v>
      </c>
      <c r="C32" s="42">
        <v>46.23</v>
      </c>
      <c r="D32" s="42">
        <v>45.83</v>
      </c>
      <c r="E32" s="42">
        <v>7.89</v>
      </c>
      <c r="F32" s="42">
        <v>4.63</v>
      </c>
      <c r="G32" s="42">
        <v>85.5</v>
      </c>
      <c r="H32" s="42">
        <v>26.1</v>
      </c>
      <c r="I32" s="42">
        <v>7</v>
      </c>
      <c r="J32" s="42">
        <v>0.19</v>
      </c>
      <c r="K32" s="42">
        <v>200.25</v>
      </c>
      <c r="L32" s="42">
        <v>15.3</v>
      </c>
      <c r="M32" s="42">
        <v>69.510000000000005</v>
      </c>
      <c r="N32" s="42">
        <v>0</v>
      </c>
      <c r="O32" s="42">
        <v>0</v>
      </c>
      <c r="P32" s="42">
        <v>0.85</v>
      </c>
      <c r="Q32" s="42">
        <v>6.55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8.41</v>
      </c>
      <c r="C34" s="18">
        <f t="shared" si="0"/>
        <v>46.09</v>
      </c>
      <c r="D34" s="18">
        <f t="shared" si="0"/>
        <v>33.799999999999997</v>
      </c>
      <c r="E34" s="18">
        <f t="shared" si="0"/>
        <v>7.89</v>
      </c>
      <c r="F34" s="18">
        <f t="shared" si="0"/>
        <v>4.3899999999999997</v>
      </c>
      <c r="G34" s="18">
        <f t="shared" si="0"/>
        <v>43.22</v>
      </c>
      <c r="H34" s="18">
        <f t="shared" si="0"/>
        <v>19.21</v>
      </c>
      <c r="I34" s="18">
        <f t="shared" si="0"/>
        <v>4.9000000000000004</v>
      </c>
      <c r="J34" s="18">
        <f t="shared" si="0"/>
        <v>0.14000000000000001</v>
      </c>
      <c r="K34" s="18">
        <f t="shared" si="0"/>
        <v>57.84</v>
      </c>
      <c r="L34" s="18">
        <f t="shared" si="0"/>
        <v>10.83</v>
      </c>
      <c r="M34" s="18">
        <f t="shared" si="0"/>
        <v>11.59</v>
      </c>
      <c r="N34" s="18">
        <f t="shared" si="0"/>
        <v>0</v>
      </c>
      <c r="O34" s="18">
        <f t="shared" si="0"/>
        <v>0</v>
      </c>
      <c r="P34" s="18">
        <f t="shared" si="0"/>
        <v>0.63</v>
      </c>
      <c r="Q34" s="18">
        <f t="shared" si="0"/>
        <v>5.61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114.09</v>
      </c>
      <c r="C35" s="3">
        <f t="shared" si="1"/>
        <v>56.41</v>
      </c>
      <c r="D35" s="3">
        <f t="shared" si="1"/>
        <v>118.29</v>
      </c>
      <c r="E35" s="3">
        <f t="shared" si="1"/>
        <v>14.16</v>
      </c>
      <c r="F35" s="3">
        <f t="shared" si="1"/>
        <v>9.61</v>
      </c>
      <c r="G35" s="3">
        <f t="shared" si="1"/>
        <v>139.62</v>
      </c>
      <c r="H35" s="3">
        <f t="shared" si="1"/>
        <v>44.93</v>
      </c>
      <c r="I35" s="3">
        <f t="shared" si="1"/>
        <v>13.81</v>
      </c>
      <c r="J35" s="3">
        <f t="shared" si="1"/>
        <v>1.24</v>
      </c>
      <c r="K35" s="3">
        <f t="shared" si="1"/>
        <v>343.47</v>
      </c>
      <c r="L35" s="3">
        <f t="shared" si="1"/>
        <v>30.33</v>
      </c>
      <c r="M35" s="3">
        <f t="shared" si="1"/>
        <v>84.93</v>
      </c>
      <c r="N35" s="3">
        <f t="shared" si="1"/>
        <v>536.5</v>
      </c>
      <c r="O35" s="3">
        <f t="shared" si="1"/>
        <v>0</v>
      </c>
      <c r="P35" s="3">
        <f t="shared" si="1"/>
        <v>1.57</v>
      </c>
      <c r="Q35" s="3">
        <f t="shared" si="1"/>
        <v>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49.201249999999987</v>
      </c>
      <c r="C36" s="18">
        <f t="shared" si="2"/>
        <v>50.537916666666661</v>
      </c>
      <c r="D36" s="18">
        <f t="shared" si="2"/>
        <v>67.075833333333335</v>
      </c>
      <c r="E36" s="18">
        <f t="shared" si="2"/>
        <v>9.4058333333333337</v>
      </c>
      <c r="F36" s="18">
        <f t="shared" si="2"/>
        <v>5.4804166666666658</v>
      </c>
      <c r="G36" s="18">
        <f t="shared" si="2"/>
        <v>85.671666666666667</v>
      </c>
      <c r="H36" s="18">
        <f t="shared" si="2"/>
        <v>31.46583333333334</v>
      </c>
      <c r="I36" s="18">
        <f t="shared" si="2"/>
        <v>9.1295833333333345</v>
      </c>
      <c r="J36" s="18">
        <f t="shared" si="2"/>
        <v>0.45541666666666664</v>
      </c>
      <c r="K36" s="18">
        <f t="shared" si="2"/>
        <v>202.67583333333337</v>
      </c>
      <c r="L36" s="18">
        <f t="shared" si="2"/>
        <v>20.513333333333335</v>
      </c>
      <c r="M36" s="18">
        <f t="shared" si="2"/>
        <v>50.25083333333334</v>
      </c>
      <c r="N36" s="18">
        <f t="shared" si="2"/>
        <v>141.71666666666667</v>
      </c>
      <c r="O36" s="18">
        <f t="shared" si="2"/>
        <v>0</v>
      </c>
      <c r="P36" s="18">
        <f t="shared" si="2"/>
        <v>1.0741666666666667</v>
      </c>
      <c r="Q36" s="18">
        <f t="shared" si="2"/>
        <v>8.163333333333334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37.509647606808556</v>
      </c>
      <c r="C37" s="18">
        <f t="shared" ref="C37:Q37" si="3">STDEV(C9:C32)</f>
        <v>3.5414133498495697</v>
      </c>
      <c r="D37" s="18">
        <f t="shared" si="3"/>
        <v>29.261045765238183</v>
      </c>
      <c r="E37" s="18">
        <f t="shared" si="3"/>
        <v>1.5722786473547055</v>
      </c>
      <c r="F37" s="18">
        <f t="shared" si="3"/>
        <v>1.5547304510307678</v>
      </c>
      <c r="G37" s="18">
        <f t="shared" si="3"/>
        <v>28.446653607222</v>
      </c>
      <c r="H37" s="18">
        <f t="shared" si="3"/>
        <v>9.6598721373600096</v>
      </c>
      <c r="I37" s="18">
        <f t="shared" si="3"/>
        <v>3.2837736499426886</v>
      </c>
      <c r="J37" s="18">
        <f t="shared" si="3"/>
        <v>0.32701521260541128</v>
      </c>
      <c r="K37" s="18">
        <f t="shared" si="3"/>
        <v>74.544403570108315</v>
      </c>
      <c r="L37" s="18">
        <f t="shared" si="3"/>
        <v>6.8776232413003902</v>
      </c>
      <c r="M37" s="18">
        <f t="shared" si="3"/>
        <v>26.512064016326534</v>
      </c>
      <c r="N37" s="18">
        <f t="shared" si="3"/>
        <v>210.46250655797738</v>
      </c>
      <c r="O37" s="18">
        <f t="shared" si="3"/>
        <v>0</v>
      </c>
      <c r="P37" s="18">
        <f t="shared" si="3"/>
        <v>0.34993063494835952</v>
      </c>
      <c r="Q37" s="18">
        <f t="shared" si="3"/>
        <v>2.2483127329016153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T34" sqref="T3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325</v>
      </c>
      <c r="B9" s="42">
        <v>31.43</v>
      </c>
      <c r="C9" s="42">
        <v>47.25</v>
      </c>
      <c r="D9" s="42">
        <v>51.44</v>
      </c>
      <c r="E9" s="42">
        <v>8.07</v>
      </c>
      <c r="F9" s="42">
        <v>4.6500000000000004</v>
      </c>
      <c r="G9" s="42">
        <v>85.35</v>
      </c>
      <c r="H9" s="42">
        <v>26.25</v>
      </c>
      <c r="I9" s="42">
        <v>7.42</v>
      </c>
      <c r="J9" s="42">
        <v>0.2</v>
      </c>
      <c r="K9" s="42">
        <v>211.03</v>
      </c>
      <c r="L9" s="42">
        <v>14.84</v>
      </c>
      <c r="M9" s="42">
        <v>68.95</v>
      </c>
      <c r="N9" s="42">
        <v>0</v>
      </c>
      <c r="O9" s="42">
        <v>0</v>
      </c>
      <c r="P9" s="42">
        <v>0.94</v>
      </c>
      <c r="Q9" s="42">
        <v>6.83</v>
      </c>
      <c r="R9" s="38"/>
      <c r="S9" s="38"/>
      <c r="T9" s="38"/>
      <c r="U9" s="38"/>
    </row>
    <row r="10" spans="1:21" customFormat="1">
      <c r="A10" s="40" t="s">
        <v>326</v>
      </c>
      <c r="B10" s="42">
        <v>55.72</v>
      </c>
      <c r="C10" s="42">
        <v>50.16</v>
      </c>
      <c r="D10" s="42">
        <v>72.44</v>
      </c>
      <c r="E10" s="42">
        <v>8.3800000000000008</v>
      </c>
      <c r="F10" s="42">
        <v>4.71</v>
      </c>
      <c r="G10" s="42">
        <v>104.83</v>
      </c>
      <c r="H10" s="42">
        <v>33.28</v>
      </c>
      <c r="I10" s="42">
        <v>8.73</v>
      </c>
      <c r="J10" s="42">
        <v>0.22</v>
      </c>
      <c r="K10" s="42">
        <v>151.79</v>
      </c>
      <c r="L10" s="42">
        <v>14.83</v>
      </c>
      <c r="M10" s="42">
        <v>70.08</v>
      </c>
      <c r="N10" s="42">
        <v>0</v>
      </c>
      <c r="O10" s="42">
        <v>0</v>
      </c>
      <c r="P10" s="42">
        <v>1.18</v>
      </c>
      <c r="Q10" s="42">
        <v>8.31</v>
      </c>
      <c r="R10" s="38"/>
      <c r="S10" s="38"/>
      <c r="T10" s="38"/>
      <c r="U10" s="38"/>
    </row>
    <row r="11" spans="1:21" customFormat="1">
      <c r="A11" s="40" t="s">
        <v>327</v>
      </c>
      <c r="B11" s="42">
        <v>87.24</v>
      </c>
      <c r="C11" s="42">
        <v>52.21</v>
      </c>
      <c r="D11" s="42">
        <v>98.61</v>
      </c>
      <c r="E11" s="42">
        <v>8.24</v>
      </c>
      <c r="F11" s="42">
        <v>4.53</v>
      </c>
      <c r="G11" s="42">
        <v>121.03</v>
      </c>
      <c r="H11" s="42">
        <v>41.08</v>
      </c>
      <c r="I11" s="42">
        <v>10.73</v>
      </c>
      <c r="J11" s="42">
        <v>0.27</v>
      </c>
      <c r="K11" s="42">
        <v>204.95</v>
      </c>
      <c r="L11" s="42">
        <v>14.41</v>
      </c>
      <c r="M11" s="42">
        <v>75.23</v>
      </c>
      <c r="N11" s="42">
        <v>0</v>
      </c>
      <c r="O11" s="42">
        <v>0</v>
      </c>
      <c r="P11" s="42">
        <v>1.39</v>
      </c>
      <c r="Q11" s="42">
        <v>10.38</v>
      </c>
      <c r="R11" s="38"/>
      <c r="S11" s="38"/>
      <c r="T11" s="38"/>
      <c r="U11" s="38"/>
    </row>
    <row r="12" spans="1:21" customFormat="1">
      <c r="A12" s="40" t="s">
        <v>328</v>
      </c>
      <c r="B12" s="42">
        <v>91.3</v>
      </c>
      <c r="C12" s="42">
        <v>51.48</v>
      </c>
      <c r="D12" s="42">
        <v>101.47</v>
      </c>
      <c r="E12" s="42">
        <v>8.5</v>
      </c>
      <c r="F12" s="42">
        <v>4.5999999999999996</v>
      </c>
      <c r="G12" s="42">
        <v>121.03</v>
      </c>
      <c r="H12" s="42">
        <v>41.96</v>
      </c>
      <c r="I12" s="42">
        <v>11.75</v>
      </c>
      <c r="J12" s="42">
        <v>0.18</v>
      </c>
      <c r="K12" s="42">
        <v>201.7</v>
      </c>
      <c r="L12" s="42">
        <v>13.09</v>
      </c>
      <c r="M12" s="42">
        <v>79.97</v>
      </c>
      <c r="N12" s="42">
        <v>0</v>
      </c>
      <c r="O12" s="42">
        <v>0</v>
      </c>
      <c r="P12" s="42">
        <v>1.44</v>
      </c>
      <c r="Q12" s="42">
        <v>10.68</v>
      </c>
      <c r="R12" s="38"/>
      <c r="S12" s="38"/>
      <c r="T12" s="38"/>
      <c r="U12" s="38"/>
    </row>
    <row r="13" spans="1:21" customFormat="1">
      <c r="A13" s="40" t="s">
        <v>329</v>
      </c>
      <c r="B13" s="42">
        <v>89.97</v>
      </c>
      <c r="C13" s="42">
        <v>50.68</v>
      </c>
      <c r="D13" s="42">
        <v>100.17</v>
      </c>
      <c r="E13" s="42">
        <v>8.41</v>
      </c>
      <c r="F13" s="42">
        <v>4.45</v>
      </c>
      <c r="G13" s="42">
        <v>119.15</v>
      </c>
      <c r="H13" s="42">
        <v>41.96</v>
      </c>
      <c r="I13" s="42">
        <v>12.23</v>
      </c>
      <c r="J13" s="42">
        <v>0.17</v>
      </c>
      <c r="K13" s="42">
        <v>188.89</v>
      </c>
      <c r="L13" s="42">
        <v>12.38</v>
      </c>
      <c r="M13" s="42">
        <v>80.19</v>
      </c>
      <c r="N13" s="42">
        <v>0</v>
      </c>
      <c r="O13" s="42">
        <v>0</v>
      </c>
      <c r="P13" s="42">
        <v>1.45</v>
      </c>
      <c r="Q13" s="42">
        <v>10.63</v>
      </c>
      <c r="R13" s="38"/>
      <c r="S13" s="38"/>
      <c r="T13" s="38"/>
      <c r="U13" s="38"/>
    </row>
    <row r="14" spans="1:21" customFormat="1">
      <c r="A14" s="40" t="s">
        <v>330</v>
      </c>
      <c r="B14" s="42">
        <v>81.92</v>
      </c>
      <c r="C14" s="42">
        <v>48.19</v>
      </c>
      <c r="D14" s="42">
        <v>92.42</v>
      </c>
      <c r="E14" s="42">
        <v>8.42</v>
      </c>
      <c r="F14" s="42">
        <v>4.59</v>
      </c>
      <c r="G14" s="42">
        <v>118.9</v>
      </c>
      <c r="H14" s="42">
        <v>37.56</v>
      </c>
      <c r="I14" s="42">
        <v>12.28</v>
      </c>
      <c r="J14" s="42">
        <v>0.19</v>
      </c>
      <c r="K14" s="42">
        <v>190.48</v>
      </c>
      <c r="L14" s="42">
        <v>11.93</v>
      </c>
      <c r="M14" s="42">
        <v>82.4</v>
      </c>
      <c r="N14" s="42">
        <v>0</v>
      </c>
      <c r="O14" s="42">
        <v>0</v>
      </c>
      <c r="P14" s="42">
        <v>1.44</v>
      </c>
      <c r="Q14" s="42">
        <v>10.11</v>
      </c>
      <c r="R14" s="38"/>
      <c r="S14" s="38"/>
      <c r="T14" s="38"/>
      <c r="U14" s="38"/>
    </row>
    <row r="15" spans="1:21" customFormat="1">
      <c r="A15" s="40" t="s">
        <v>331</v>
      </c>
      <c r="B15" s="42">
        <v>72.87</v>
      </c>
      <c r="C15" s="42">
        <v>45.35</v>
      </c>
      <c r="D15" s="42">
        <v>83.68</v>
      </c>
      <c r="E15" s="42">
        <v>8.2899999999999991</v>
      </c>
      <c r="F15" s="42">
        <v>4.54</v>
      </c>
      <c r="G15" s="42">
        <v>118.9</v>
      </c>
      <c r="H15" s="42">
        <v>38.799999999999997</v>
      </c>
      <c r="I15" s="42">
        <v>12.23</v>
      </c>
      <c r="J15" s="42">
        <v>0.24</v>
      </c>
      <c r="K15" s="42">
        <v>179.31</v>
      </c>
      <c r="L15" s="42">
        <v>11.37</v>
      </c>
      <c r="M15" s="42">
        <v>84.64</v>
      </c>
      <c r="N15" s="42">
        <v>1.3</v>
      </c>
      <c r="O15" s="42">
        <v>0</v>
      </c>
      <c r="P15" s="42">
        <v>1.42</v>
      </c>
      <c r="Q15" s="42">
        <v>9.49</v>
      </c>
      <c r="R15" s="38"/>
      <c r="S15" s="38"/>
      <c r="T15" s="38"/>
      <c r="U15" s="38"/>
    </row>
    <row r="16" spans="1:21" customFormat="1">
      <c r="A16" s="40" t="s">
        <v>332</v>
      </c>
      <c r="B16" s="42">
        <v>65.05</v>
      </c>
      <c r="C16" s="42">
        <v>44.35</v>
      </c>
      <c r="D16" s="42">
        <v>76.44</v>
      </c>
      <c r="E16" s="42">
        <v>8.17</v>
      </c>
      <c r="F16" s="42">
        <v>4.5199999999999996</v>
      </c>
      <c r="G16" s="42">
        <v>118.59</v>
      </c>
      <c r="H16" s="42">
        <v>40.1</v>
      </c>
      <c r="I16" s="42">
        <v>12.48</v>
      </c>
      <c r="J16" s="42">
        <v>0.19</v>
      </c>
      <c r="K16" s="42">
        <v>171.3</v>
      </c>
      <c r="L16" s="42">
        <v>14.29</v>
      </c>
      <c r="M16" s="42">
        <v>84.14</v>
      </c>
      <c r="N16" s="42">
        <v>27</v>
      </c>
      <c r="O16" s="42">
        <v>0</v>
      </c>
      <c r="P16" s="42">
        <v>1.4</v>
      </c>
      <c r="Q16" s="42">
        <v>8.9600000000000009</v>
      </c>
      <c r="R16" s="38"/>
      <c r="S16" s="38"/>
      <c r="T16" s="38"/>
      <c r="U16" s="38"/>
    </row>
    <row r="17" spans="1:21" customFormat="1">
      <c r="A17" s="40" t="s">
        <v>333</v>
      </c>
      <c r="B17" s="8" t="s">
        <v>4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  <c r="H17" s="8" t="s">
        <v>4</v>
      </c>
      <c r="I17" s="8" t="s">
        <v>4</v>
      </c>
      <c r="J17" s="8" t="s">
        <v>4</v>
      </c>
      <c r="K17" s="8" t="s">
        <v>4</v>
      </c>
      <c r="L17" s="8" t="s">
        <v>4</v>
      </c>
      <c r="M17" s="8" t="s">
        <v>4</v>
      </c>
      <c r="N17" s="8" t="s">
        <v>4</v>
      </c>
      <c r="O17" s="8" t="s">
        <v>4</v>
      </c>
      <c r="P17" s="8" t="s">
        <v>4</v>
      </c>
      <c r="Q17" s="8" t="s">
        <v>4</v>
      </c>
      <c r="R17" s="38"/>
      <c r="S17" s="38"/>
      <c r="T17" s="38"/>
      <c r="U17" s="38"/>
    </row>
    <row r="18" spans="1:21" customFormat="1">
      <c r="A18" s="40" t="s">
        <v>334</v>
      </c>
      <c r="B18" s="8" t="s">
        <v>4</v>
      </c>
      <c r="C18" s="8" t="s">
        <v>4</v>
      </c>
      <c r="D18" s="8" t="s">
        <v>4</v>
      </c>
      <c r="E18" s="8" t="s">
        <v>4</v>
      </c>
      <c r="F18" s="8" t="s">
        <v>4</v>
      </c>
      <c r="G18" s="8" t="s">
        <v>4</v>
      </c>
      <c r="H18" s="8" t="s">
        <v>4</v>
      </c>
      <c r="I18" s="8" t="s">
        <v>4</v>
      </c>
      <c r="J18" s="8" t="s">
        <v>4</v>
      </c>
      <c r="K18" s="8" t="s">
        <v>4</v>
      </c>
      <c r="L18" s="8" t="s">
        <v>4</v>
      </c>
      <c r="M18" s="8" t="s">
        <v>4</v>
      </c>
      <c r="N18" s="8" t="s">
        <v>4</v>
      </c>
      <c r="O18" s="8" t="s">
        <v>4</v>
      </c>
      <c r="P18" s="8" t="s">
        <v>4</v>
      </c>
      <c r="Q18" s="8" t="s">
        <v>4</v>
      </c>
      <c r="R18" s="38"/>
      <c r="S18" s="38"/>
      <c r="T18" s="38"/>
      <c r="U18" s="38"/>
    </row>
    <row r="19" spans="1:21" customFormat="1">
      <c r="A19" s="40" t="s">
        <v>335</v>
      </c>
      <c r="B19" s="8" t="s">
        <v>4</v>
      </c>
      <c r="C19" s="8" t="s">
        <v>4</v>
      </c>
      <c r="D19" s="8" t="s">
        <v>4</v>
      </c>
      <c r="E19" s="8" t="s">
        <v>4</v>
      </c>
      <c r="F19" s="8" t="s">
        <v>4</v>
      </c>
      <c r="G19" s="8" t="s">
        <v>4</v>
      </c>
      <c r="H19" s="8" t="s">
        <v>4</v>
      </c>
      <c r="I19" s="8" t="s">
        <v>4</v>
      </c>
      <c r="J19" s="8" t="s">
        <v>4</v>
      </c>
      <c r="K19" s="8" t="s">
        <v>4</v>
      </c>
      <c r="L19" s="8" t="s">
        <v>4</v>
      </c>
      <c r="M19" s="8" t="s">
        <v>4</v>
      </c>
      <c r="N19" s="8" t="s">
        <v>4</v>
      </c>
      <c r="O19" s="8" t="s">
        <v>4</v>
      </c>
      <c r="P19" s="8" t="s">
        <v>4</v>
      </c>
      <c r="Q19" s="8" t="s">
        <v>4</v>
      </c>
      <c r="R19" s="38"/>
      <c r="S19" s="38"/>
      <c r="T19" s="38"/>
      <c r="U19" s="38"/>
    </row>
    <row r="20" spans="1:21" customFormat="1">
      <c r="A20" s="40" t="s">
        <v>336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 t="s">
        <v>4</v>
      </c>
      <c r="I20" s="8" t="s">
        <v>4</v>
      </c>
      <c r="J20" s="8" t="s">
        <v>4</v>
      </c>
      <c r="K20" s="8" t="s">
        <v>4</v>
      </c>
      <c r="L20" s="8" t="s">
        <v>4</v>
      </c>
      <c r="M20" s="8" t="s">
        <v>4</v>
      </c>
      <c r="N20" s="8" t="s">
        <v>4</v>
      </c>
      <c r="O20" s="8" t="s">
        <v>4</v>
      </c>
      <c r="P20" s="8" t="s">
        <v>4</v>
      </c>
      <c r="Q20" s="8" t="s">
        <v>4</v>
      </c>
      <c r="R20" s="38"/>
      <c r="S20" s="38"/>
      <c r="T20" s="38"/>
      <c r="U20" s="38"/>
    </row>
    <row r="21" spans="1:21" customFormat="1">
      <c r="A21" s="40" t="s">
        <v>337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  <c r="M21" s="8" t="s">
        <v>4</v>
      </c>
      <c r="N21" s="8" t="s">
        <v>4</v>
      </c>
      <c r="O21" s="8" t="s">
        <v>4</v>
      </c>
      <c r="P21" s="8" t="s">
        <v>4</v>
      </c>
      <c r="Q21" s="8" t="s">
        <v>4</v>
      </c>
      <c r="R21" s="38"/>
      <c r="S21" s="38"/>
      <c r="T21" s="38"/>
      <c r="U21" s="38"/>
    </row>
    <row r="22" spans="1:21" customFormat="1">
      <c r="A22" s="40" t="s">
        <v>338</v>
      </c>
      <c r="B22" s="8" t="s">
        <v>4</v>
      </c>
      <c r="C22" s="8" t="s">
        <v>4</v>
      </c>
      <c r="D22" s="8" t="s">
        <v>4</v>
      </c>
      <c r="E22" s="8" t="s">
        <v>4</v>
      </c>
      <c r="F22" s="8" t="s">
        <v>4</v>
      </c>
      <c r="G22" s="8" t="s">
        <v>4</v>
      </c>
      <c r="H22" s="8" t="s">
        <v>4</v>
      </c>
      <c r="I22" s="8" t="s">
        <v>4</v>
      </c>
      <c r="J22" s="8" t="s">
        <v>4</v>
      </c>
      <c r="K22" s="8" t="s">
        <v>4</v>
      </c>
      <c r="L22" s="8" t="s">
        <v>4</v>
      </c>
      <c r="M22" s="8" t="s">
        <v>4</v>
      </c>
      <c r="N22" s="8" t="s">
        <v>4</v>
      </c>
      <c r="O22" s="8" t="s">
        <v>4</v>
      </c>
      <c r="P22" s="8" t="s">
        <v>4</v>
      </c>
      <c r="Q22" s="8" t="s">
        <v>4</v>
      </c>
      <c r="R22" s="38"/>
      <c r="S22" s="38"/>
      <c r="T22" s="38"/>
      <c r="U22" s="38"/>
    </row>
    <row r="23" spans="1:21" customFormat="1">
      <c r="A23" s="40" t="s">
        <v>339</v>
      </c>
      <c r="B23" s="41">
        <v>3.88</v>
      </c>
      <c r="C23" s="41">
        <v>17.39</v>
      </c>
      <c r="D23" s="41">
        <v>13.55</v>
      </c>
      <c r="E23" s="41">
        <v>9.83</v>
      </c>
      <c r="F23" s="41">
        <v>1.3</v>
      </c>
      <c r="G23" s="41">
        <v>41.07</v>
      </c>
      <c r="H23" s="41">
        <v>27.49</v>
      </c>
      <c r="I23" s="41">
        <v>7.47</v>
      </c>
      <c r="J23" s="41">
        <v>0.8</v>
      </c>
      <c r="K23" s="41">
        <v>305.32</v>
      </c>
      <c r="L23" s="41">
        <v>33.369999999999997</v>
      </c>
      <c r="M23" s="41">
        <v>26.25</v>
      </c>
      <c r="N23" s="41">
        <v>87.6</v>
      </c>
      <c r="O23" s="41">
        <v>0</v>
      </c>
      <c r="P23" s="41">
        <v>0.49</v>
      </c>
      <c r="Q23" s="41">
        <v>12.93</v>
      </c>
      <c r="R23" s="38"/>
      <c r="S23" s="38"/>
      <c r="T23" s="38"/>
      <c r="U23" s="38"/>
    </row>
    <row r="24" spans="1:21" customFormat="1">
      <c r="A24" s="40" t="s">
        <v>340</v>
      </c>
      <c r="B24" s="41">
        <v>4.13</v>
      </c>
      <c r="C24" s="41">
        <v>17.170000000000002</v>
      </c>
      <c r="D24" s="41">
        <v>13.39</v>
      </c>
      <c r="E24" s="41">
        <v>10.47</v>
      </c>
      <c r="F24" s="41">
        <v>2.6</v>
      </c>
      <c r="G24" s="41">
        <v>41.07</v>
      </c>
      <c r="H24" s="41">
        <v>27.49</v>
      </c>
      <c r="I24" s="41">
        <v>7.44</v>
      </c>
      <c r="J24" s="41">
        <v>0.78</v>
      </c>
      <c r="K24" s="41">
        <v>286.69</v>
      </c>
      <c r="L24" s="41">
        <v>33.57</v>
      </c>
      <c r="M24" s="41">
        <v>27.07</v>
      </c>
      <c r="N24" s="41">
        <v>87.6</v>
      </c>
      <c r="O24" s="41">
        <v>0</v>
      </c>
      <c r="P24" s="41">
        <v>0.56000000000000005</v>
      </c>
      <c r="Q24" s="41">
        <v>12.94</v>
      </c>
      <c r="R24" s="38"/>
      <c r="S24" s="38"/>
      <c r="T24" s="38"/>
      <c r="U24" s="38"/>
    </row>
    <row r="25" spans="1:21" customFormat="1">
      <c r="A25" s="40" t="s">
        <v>341</v>
      </c>
      <c r="B25" s="41">
        <v>3.92</v>
      </c>
      <c r="C25" s="41">
        <v>19.34</v>
      </c>
      <c r="D25" s="41">
        <v>14.6</v>
      </c>
      <c r="E25" s="41">
        <v>12.28</v>
      </c>
      <c r="F25" s="41">
        <v>3.5</v>
      </c>
      <c r="G25" s="41">
        <v>33.6</v>
      </c>
      <c r="H25" s="41">
        <v>25.97</v>
      </c>
      <c r="I25" s="41">
        <v>6.65</v>
      </c>
      <c r="J25" s="41">
        <v>0.48</v>
      </c>
      <c r="K25" s="41">
        <v>288.3</v>
      </c>
      <c r="L25" s="41">
        <v>32.89</v>
      </c>
      <c r="M25" s="41">
        <v>29.63</v>
      </c>
      <c r="N25" s="41">
        <v>43.8</v>
      </c>
      <c r="O25" s="41">
        <v>0</v>
      </c>
      <c r="P25" s="41">
        <v>0.45</v>
      </c>
      <c r="Q25" s="41">
        <v>12.95</v>
      </c>
      <c r="R25" s="38"/>
      <c r="S25" s="38"/>
      <c r="T25" s="38"/>
      <c r="U25" s="38"/>
    </row>
    <row r="26" spans="1:21" customFormat="1">
      <c r="A26" s="40" t="s">
        <v>342</v>
      </c>
      <c r="B26" s="41">
        <v>4</v>
      </c>
      <c r="C26" s="41">
        <v>19.39</v>
      </c>
      <c r="D26" s="41">
        <v>14.61</v>
      </c>
      <c r="E26" s="41">
        <v>11.01</v>
      </c>
      <c r="F26" s="41">
        <v>2.6</v>
      </c>
      <c r="G26" s="41">
        <v>36.53</v>
      </c>
      <c r="H26" s="41">
        <v>21.93</v>
      </c>
      <c r="I26" s="41">
        <v>6.69</v>
      </c>
      <c r="J26" s="41">
        <v>0.4</v>
      </c>
      <c r="K26" s="41">
        <v>255.71</v>
      </c>
      <c r="L26" s="41">
        <v>31.5</v>
      </c>
      <c r="M26" s="41">
        <v>39.049999999999997</v>
      </c>
      <c r="N26" s="41">
        <v>18.8</v>
      </c>
      <c r="O26" s="41">
        <v>0</v>
      </c>
      <c r="P26" s="41">
        <v>0.44</v>
      </c>
      <c r="Q26" s="41">
        <v>12.94</v>
      </c>
      <c r="R26" s="38"/>
      <c r="S26" s="38"/>
      <c r="T26" s="38"/>
      <c r="U26" s="38"/>
    </row>
    <row r="27" spans="1:21" customFormat="1">
      <c r="A27" s="40" t="s">
        <v>343</v>
      </c>
      <c r="B27" s="41">
        <v>4.53</v>
      </c>
      <c r="C27" s="41">
        <v>19.489999999999998</v>
      </c>
      <c r="D27" s="41">
        <v>15.17</v>
      </c>
      <c r="E27" s="41">
        <v>10.1</v>
      </c>
      <c r="F27" s="41">
        <v>5.9</v>
      </c>
      <c r="G27" s="41">
        <v>63.55</v>
      </c>
      <c r="H27" s="41">
        <v>21.34</v>
      </c>
      <c r="I27" s="41">
        <v>6.64</v>
      </c>
      <c r="J27" s="41">
        <v>0.3</v>
      </c>
      <c r="K27" s="41">
        <v>168.25</v>
      </c>
      <c r="L27" s="41">
        <v>28.15</v>
      </c>
      <c r="M27" s="41">
        <v>54.82</v>
      </c>
      <c r="N27" s="41">
        <v>2</v>
      </c>
      <c r="O27" s="41">
        <v>0</v>
      </c>
      <c r="P27" s="41">
        <v>0.47</v>
      </c>
      <c r="Q27" s="41">
        <v>12.94</v>
      </c>
      <c r="R27" s="38"/>
      <c r="S27" s="38"/>
      <c r="T27" s="38"/>
      <c r="U27" s="38"/>
    </row>
    <row r="28" spans="1:21" customFormat="1">
      <c r="A28" s="40" t="s">
        <v>344</v>
      </c>
      <c r="B28" s="41">
        <v>5.24</v>
      </c>
      <c r="C28" s="41">
        <v>20.149999999999999</v>
      </c>
      <c r="D28" s="41">
        <v>16.079999999999998</v>
      </c>
      <c r="E28" s="41">
        <v>10.37</v>
      </c>
      <c r="F28" s="41">
        <v>6.5</v>
      </c>
      <c r="G28" s="41">
        <v>65.86</v>
      </c>
      <c r="H28" s="41">
        <v>19.97</v>
      </c>
      <c r="I28" s="41">
        <v>7.11</v>
      </c>
      <c r="J28" s="41">
        <v>0.25</v>
      </c>
      <c r="K28" s="41">
        <v>195.11</v>
      </c>
      <c r="L28" s="41">
        <v>26</v>
      </c>
      <c r="M28" s="41">
        <v>60.01</v>
      </c>
      <c r="N28" s="41">
        <v>1.5</v>
      </c>
      <c r="O28" s="41">
        <v>0</v>
      </c>
      <c r="P28" s="41">
        <v>0.53</v>
      </c>
      <c r="Q28" s="41">
        <v>12.94</v>
      </c>
      <c r="R28" s="38"/>
      <c r="S28" s="38"/>
      <c r="T28" s="38"/>
      <c r="U28" s="38"/>
    </row>
    <row r="29" spans="1:21" customFormat="1">
      <c r="A29" s="40" t="s">
        <v>345</v>
      </c>
      <c r="B29" s="41">
        <v>6.59</v>
      </c>
      <c r="C29" s="41">
        <v>22.91</v>
      </c>
      <c r="D29" s="41">
        <v>18.61</v>
      </c>
      <c r="E29" s="41">
        <v>10.39</v>
      </c>
      <c r="F29" s="41">
        <v>3.54</v>
      </c>
      <c r="G29" s="41">
        <v>65.86</v>
      </c>
      <c r="H29" s="41">
        <v>19.98</v>
      </c>
      <c r="I29" s="41">
        <v>8.15</v>
      </c>
      <c r="J29" s="41">
        <v>0.19</v>
      </c>
      <c r="K29" s="41">
        <v>189.93</v>
      </c>
      <c r="L29" s="41">
        <v>24.69</v>
      </c>
      <c r="M29" s="41">
        <v>63.25</v>
      </c>
      <c r="N29" s="41">
        <v>1.1000000000000001</v>
      </c>
      <c r="O29" s="41">
        <v>0</v>
      </c>
      <c r="P29" s="41">
        <v>0.66</v>
      </c>
      <c r="Q29" s="41">
        <v>12.95</v>
      </c>
      <c r="R29" s="38"/>
      <c r="S29" s="38"/>
      <c r="T29" s="38"/>
      <c r="U29" s="38"/>
    </row>
    <row r="30" spans="1:21" customFormat="1">
      <c r="A30" s="40" t="s">
        <v>346</v>
      </c>
      <c r="B30" s="41">
        <v>8.5299999999999994</v>
      </c>
      <c r="C30" s="41">
        <v>22.58</v>
      </c>
      <c r="D30" s="41">
        <v>19.77</v>
      </c>
      <c r="E30" s="41">
        <v>10.32</v>
      </c>
      <c r="F30" s="41">
        <v>2.6</v>
      </c>
      <c r="G30" s="41">
        <v>86.22</v>
      </c>
      <c r="H30" s="41">
        <v>19.98</v>
      </c>
      <c r="I30" s="41">
        <v>9.44</v>
      </c>
      <c r="J30" s="41">
        <v>0.23</v>
      </c>
      <c r="K30" s="41">
        <v>189.1</v>
      </c>
      <c r="L30" s="41">
        <v>23.87</v>
      </c>
      <c r="M30" s="41">
        <v>69.23</v>
      </c>
      <c r="N30" s="41">
        <v>1.5</v>
      </c>
      <c r="O30" s="41">
        <v>0</v>
      </c>
      <c r="P30" s="41">
        <v>0.73</v>
      </c>
      <c r="Q30" s="41">
        <v>12.93</v>
      </c>
      <c r="R30" s="38"/>
      <c r="S30" s="38"/>
      <c r="T30" s="38"/>
      <c r="U30" s="38"/>
    </row>
    <row r="31" spans="1:21" customFormat="1">
      <c r="A31" s="40" t="s">
        <v>347</v>
      </c>
      <c r="B31" s="41">
        <v>10.050000000000001</v>
      </c>
      <c r="C31" s="41">
        <v>21.62</v>
      </c>
      <c r="D31" s="41">
        <v>20.6</v>
      </c>
      <c r="E31" s="41">
        <v>10.52</v>
      </c>
      <c r="F31" s="41">
        <v>2.6</v>
      </c>
      <c r="G31" s="41">
        <v>86.22</v>
      </c>
      <c r="H31" s="41">
        <v>19.2</v>
      </c>
      <c r="I31" s="41">
        <v>10.46</v>
      </c>
      <c r="J31" s="41">
        <v>0.16</v>
      </c>
      <c r="K31" s="41">
        <v>194.78</v>
      </c>
      <c r="L31" s="41">
        <v>22.8</v>
      </c>
      <c r="M31" s="41">
        <v>70.33</v>
      </c>
      <c r="N31" s="41">
        <v>1.1000000000000001</v>
      </c>
      <c r="O31" s="41">
        <v>0</v>
      </c>
      <c r="P31" s="41">
        <v>0.77</v>
      </c>
      <c r="Q31" s="41">
        <v>12.95</v>
      </c>
      <c r="R31" s="38"/>
      <c r="S31" s="38"/>
      <c r="T31" s="38"/>
      <c r="U31" s="38"/>
    </row>
    <row r="32" spans="1:21" customFormat="1">
      <c r="A32" s="40" t="s">
        <v>348</v>
      </c>
      <c r="B32" s="41">
        <v>12.52</v>
      </c>
      <c r="C32" s="41">
        <v>21.87</v>
      </c>
      <c r="D32" s="41">
        <v>22.82</v>
      </c>
      <c r="E32" s="41">
        <v>10.68</v>
      </c>
      <c r="F32" s="41">
        <v>2.6</v>
      </c>
      <c r="G32" s="41">
        <v>75.209999999999994</v>
      </c>
      <c r="H32" s="41">
        <v>19.2</v>
      </c>
      <c r="I32" s="41">
        <v>10.94</v>
      </c>
      <c r="J32" s="41">
        <v>0.23</v>
      </c>
      <c r="K32" s="41">
        <v>328.95</v>
      </c>
      <c r="L32" s="41">
        <v>23</v>
      </c>
      <c r="M32" s="41">
        <v>66.7</v>
      </c>
      <c r="N32" s="41">
        <v>1.5</v>
      </c>
      <c r="O32" s="41">
        <v>0</v>
      </c>
      <c r="P32" s="41">
        <v>0.8</v>
      </c>
      <c r="Q32" s="41">
        <v>12.95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3.88</v>
      </c>
      <c r="C34" s="18">
        <f t="shared" si="0"/>
        <v>17.170000000000002</v>
      </c>
      <c r="D34" s="18">
        <f t="shared" si="0"/>
        <v>13.39</v>
      </c>
      <c r="E34" s="18">
        <f t="shared" si="0"/>
        <v>8.07</v>
      </c>
      <c r="F34" s="18">
        <f t="shared" si="0"/>
        <v>1.3</v>
      </c>
      <c r="G34" s="18">
        <f t="shared" si="0"/>
        <v>33.6</v>
      </c>
      <c r="H34" s="18">
        <f t="shared" si="0"/>
        <v>19.2</v>
      </c>
      <c r="I34" s="18">
        <f t="shared" si="0"/>
        <v>6.64</v>
      </c>
      <c r="J34" s="18">
        <f t="shared" si="0"/>
        <v>0.16</v>
      </c>
      <c r="K34" s="18">
        <f t="shared" si="0"/>
        <v>151.79</v>
      </c>
      <c r="L34" s="18">
        <f t="shared" si="0"/>
        <v>11.37</v>
      </c>
      <c r="M34" s="18">
        <f t="shared" si="0"/>
        <v>26.25</v>
      </c>
      <c r="N34" s="18">
        <f t="shared" si="0"/>
        <v>0</v>
      </c>
      <c r="O34" s="18">
        <f t="shared" si="0"/>
        <v>0</v>
      </c>
      <c r="P34" s="18">
        <f t="shared" si="0"/>
        <v>0.44</v>
      </c>
      <c r="Q34" s="18">
        <f t="shared" si="0"/>
        <v>6.83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91.3</v>
      </c>
      <c r="C35" s="3">
        <f t="shared" si="1"/>
        <v>52.21</v>
      </c>
      <c r="D35" s="3">
        <f t="shared" si="1"/>
        <v>101.47</v>
      </c>
      <c r="E35" s="3">
        <f t="shared" si="1"/>
        <v>12.28</v>
      </c>
      <c r="F35" s="3">
        <f t="shared" si="1"/>
        <v>6.5</v>
      </c>
      <c r="G35" s="3">
        <f t="shared" si="1"/>
        <v>121.03</v>
      </c>
      <c r="H35" s="3">
        <f t="shared" si="1"/>
        <v>41.96</v>
      </c>
      <c r="I35" s="3">
        <f t="shared" si="1"/>
        <v>12.48</v>
      </c>
      <c r="J35" s="3">
        <f t="shared" si="1"/>
        <v>0.8</v>
      </c>
      <c r="K35" s="3">
        <f t="shared" si="1"/>
        <v>328.95</v>
      </c>
      <c r="L35" s="3">
        <f t="shared" si="1"/>
        <v>33.57</v>
      </c>
      <c r="M35" s="3">
        <f t="shared" si="1"/>
        <v>84.64</v>
      </c>
      <c r="N35" s="3">
        <f t="shared" si="1"/>
        <v>87.6</v>
      </c>
      <c r="O35" s="3">
        <f t="shared" si="1"/>
        <v>0</v>
      </c>
      <c r="P35" s="3">
        <f t="shared" si="1"/>
        <v>1.45</v>
      </c>
      <c r="Q35" s="3">
        <f t="shared" si="1"/>
        <v>12.95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35.493888888888883</v>
      </c>
      <c r="C36" s="18">
        <f t="shared" si="2"/>
        <v>32.865555555555559</v>
      </c>
      <c r="D36" s="18">
        <f t="shared" si="2"/>
        <v>46.992777777777782</v>
      </c>
      <c r="E36" s="18">
        <f t="shared" si="2"/>
        <v>9.5805555555555557</v>
      </c>
      <c r="F36" s="18">
        <f t="shared" si="2"/>
        <v>3.9072222222222215</v>
      </c>
      <c r="G36" s="18">
        <f t="shared" si="2"/>
        <v>83.498333333333335</v>
      </c>
      <c r="H36" s="18">
        <f t="shared" si="2"/>
        <v>29.085555555555558</v>
      </c>
      <c r="I36" s="18">
        <f t="shared" si="2"/>
        <v>9.3800000000000026</v>
      </c>
      <c r="J36" s="18">
        <f t="shared" si="2"/>
        <v>0.30444444444444452</v>
      </c>
      <c r="K36" s="18">
        <f t="shared" si="2"/>
        <v>216.755</v>
      </c>
      <c r="L36" s="18">
        <f t="shared" si="2"/>
        <v>21.498888888888885</v>
      </c>
      <c r="M36" s="18">
        <f t="shared" si="2"/>
        <v>62.885555555555555</v>
      </c>
      <c r="N36" s="18">
        <f t="shared" si="2"/>
        <v>15.266666666666671</v>
      </c>
      <c r="O36" s="18">
        <f t="shared" si="2"/>
        <v>0</v>
      </c>
      <c r="P36" s="18">
        <f t="shared" si="2"/>
        <v>0.91999999999999993</v>
      </c>
      <c r="Q36" s="18">
        <f t="shared" si="2"/>
        <v>11.378333333333334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36.132765827429679</v>
      </c>
      <c r="C37" s="18">
        <f t="shared" ref="C37:Q37" si="3">STDEV(C9:C32)</f>
        <v>14.77258558842427</v>
      </c>
      <c r="D37" s="18">
        <f t="shared" si="3"/>
        <v>36.416980494003809</v>
      </c>
      <c r="E37" s="18">
        <f t="shared" si="3"/>
        <v>1.2702499625350359</v>
      </c>
      <c r="F37" s="18">
        <f t="shared" si="3"/>
        <v>1.3270214571409236</v>
      </c>
      <c r="G37" s="18">
        <f t="shared" si="3"/>
        <v>32.253232441744167</v>
      </c>
      <c r="H37" s="18">
        <f t="shared" si="3"/>
        <v>8.9405409904890067</v>
      </c>
      <c r="I37" s="18">
        <f t="shared" si="3"/>
        <v>2.2471707702326986</v>
      </c>
      <c r="J37" s="18">
        <f t="shared" si="3"/>
        <v>0.19445919645253928</v>
      </c>
      <c r="K37" s="18">
        <f t="shared" si="3"/>
        <v>52.188255750075569</v>
      </c>
      <c r="L37" s="18">
        <f t="shared" si="3"/>
        <v>8.1879408378052343</v>
      </c>
      <c r="M37" s="18">
        <f t="shared" si="3"/>
        <v>19.734600615110196</v>
      </c>
      <c r="N37" s="18">
        <f t="shared" si="3"/>
        <v>28.868851522623714</v>
      </c>
      <c r="O37" s="18">
        <f t="shared" si="3"/>
        <v>0</v>
      </c>
      <c r="P37" s="18">
        <f t="shared" si="3"/>
        <v>0.40959090063422204</v>
      </c>
      <c r="Q37" s="18">
        <f t="shared" si="3"/>
        <v>1.9944076225049581</v>
      </c>
      <c r="R37" s="18"/>
      <c r="S37" s="18"/>
      <c r="T37" s="18"/>
      <c r="U37" s="18"/>
    </row>
    <row r="38" spans="1:21">
      <c r="A38" s="34" t="s">
        <v>52</v>
      </c>
      <c r="B38" s="34">
        <f>COUNT(B9:B32)+6</f>
        <v>24</v>
      </c>
      <c r="C38" s="34">
        <f t="shared" ref="C38:Q38" si="4">COUNT(C9:C32)+6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349</v>
      </c>
      <c r="B9" s="41">
        <v>17.41</v>
      </c>
      <c r="C9" s="41">
        <v>23.21</v>
      </c>
      <c r="D9" s="41">
        <v>27.44</v>
      </c>
      <c r="E9" s="41">
        <v>11.14</v>
      </c>
      <c r="F9" s="41">
        <v>3.92</v>
      </c>
      <c r="G9" s="41">
        <v>78.16</v>
      </c>
      <c r="H9" s="41">
        <v>19.57</v>
      </c>
      <c r="I9" s="41">
        <v>11.44</v>
      </c>
      <c r="J9" s="41">
        <v>0.38</v>
      </c>
      <c r="K9" s="41">
        <v>166.75</v>
      </c>
      <c r="L9" s="41">
        <v>23.81</v>
      </c>
      <c r="M9" s="41">
        <v>67.66</v>
      </c>
      <c r="N9" s="41">
        <v>1.5</v>
      </c>
      <c r="O9" s="41">
        <v>0</v>
      </c>
      <c r="P9" s="41">
        <v>0.85</v>
      </c>
      <c r="Q9" s="41">
        <v>12.98</v>
      </c>
      <c r="R9" s="38"/>
      <c r="S9" s="38"/>
      <c r="T9" s="38"/>
      <c r="U9" s="38"/>
    </row>
    <row r="10" spans="1:21" customFormat="1">
      <c r="A10" s="40" t="s">
        <v>350</v>
      </c>
      <c r="B10" s="41">
        <v>18.59</v>
      </c>
      <c r="C10" s="41">
        <v>23.67</v>
      </c>
      <c r="D10" s="41">
        <v>28.34</v>
      </c>
      <c r="E10" s="41">
        <v>10.74</v>
      </c>
      <c r="F10" s="41">
        <v>3.86</v>
      </c>
      <c r="G10" s="41">
        <v>82.82</v>
      </c>
      <c r="H10" s="41">
        <v>20.45</v>
      </c>
      <c r="I10" s="41">
        <v>11.62</v>
      </c>
      <c r="J10" s="41">
        <v>0.57999999999999996</v>
      </c>
      <c r="K10" s="41">
        <v>51.7</v>
      </c>
      <c r="L10" s="41">
        <v>23.87</v>
      </c>
      <c r="M10" s="41">
        <v>59.72</v>
      </c>
      <c r="N10" s="41">
        <v>1.4</v>
      </c>
      <c r="O10" s="41">
        <v>0</v>
      </c>
      <c r="P10" s="41">
        <v>0.85</v>
      </c>
      <c r="Q10" s="41">
        <v>12.99</v>
      </c>
      <c r="R10" s="38"/>
      <c r="S10" s="38"/>
      <c r="T10" s="38"/>
      <c r="U10" s="38"/>
    </row>
    <row r="11" spans="1:21" customFormat="1">
      <c r="A11" s="40" t="s">
        <v>351</v>
      </c>
      <c r="B11" s="41">
        <v>16.89</v>
      </c>
      <c r="C11" s="41">
        <v>24.83</v>
      </c>
      <c r="D11" s="41">
        <v>27.44</v>
      </c>
      <c r="E11" s="41">
        <v>10.45</v>
      </c>
      <c r="F11" s="41">
        <v>3.79</v>
      </c>
      <c r="G11" s="41">
        <v>82.82</v>
      </c>
      <c r="H11" s="41">
        <v>20.55</v>
      </c>
      <c r="I11" s="41">
        <v>11.33</v>
      </c>
      <c r="J11" s="41">
        <v>0.65</v>
      </c>
      <c r="K11" s="41">
        <v>328.48</v>
      </c>
      <c r="L11" s="41">
        <v>23.15</v>
      </c>
      <c r="M11" s="41">
        <v>62.61</v>
      </c>
      <c r="N11" s="41">
        <v>1.5</v>
      </c>
      <c r="O11" s="41">
        <v>0</v>
      </c>
      <c r="P11" s="41">
        <v>0.75</v>
      </c>
      <c r="Q11" s="41">
        <v>12.99</v>
      </c>
      <c r="R11" s="38"/>
      <c r="S11" s="38"/>
      <c r="T11" s="38"/>
      <c r="U11" s="38"/>
    </row>
    <row r="12" spans="1:21" customFormat="1">
      <c r="A12" s="40" t="s">
        <v>352</v>
      </c>
      <c r="B12" s="41">
        <v>14.33</v>
      </c>
      <c r="C12" s="41">
        <v>25.18</v>
      </c>
      <c r="D12" s="41">
        <v>25.87</v>
      </c>
      <c r="E12" s="41">
        <v>9.94</v>
      </c>
      <c r="F12" s="41">
        <v>3.93</v>
      </c>
      <c r="G12" s="41">
        <v>68.44</v>
      </c>
      <c r="H12" s="41">
        <v>20.55</v>
      </c>
      <c r="I12" s="41">
        <v>10.68</v>
      </c>
      <c r="J12" s="41">
        <v>0.77</v>
      </c>
      <c r="K12" s="41">
        <v>45.45</v>
      </c>
      <c r="L12" s="41">
        <v>22.69</v>
      </c>
      <c r="M12" s="41">
        <v>65.38</v>
      </c>
      <c r="N12" s="41">
        <v>1.5</v>
      </c>
      <c r="O12" s="41">
        <v>0</v>
      </c>
      <c r="P12" s="41">
        <v>0.7</v>
      </c>
      <c r="Q12" s="41">
        <v>12.99</v>
      </c>
      <c r="R12" s="38"/>
      <c r="S12" s="38"/>
      <c r="T12" s="38"/>
      <c r="U12" s="38"/>
    </row>
    <row r="13" spans="1:21" customFormat="1">
      <c r="A13" s="40" t="s">
        <v>353</v>
      </c>
      <c r="B13" s="41">
        <v>10.85</v>
      </c>
      <c r="C13" s="41">
        <v>25.28</v>
      </c>
      <c r="D13" s="41">
        <v>23.14</v>
      </c>
      <c r="E13" s="41">
        <v>9.99</v>
      </c>
      <c r="F13" s="41">
        <v>3.92</v>
      </c>
      <c r="G13" s="41">
        <v>60.24</v>
      </c>
      <c r="H13" s="41">
        <v>18.59</v>
      </c>
      <c r="I13" s="41">
        <v>10.09</v>
      </c>
      <c r="J13" s="41">
        <v>0.92</v>
      </c>
      <c r="K13" s="41">
        <v>53.26</v>
      </c>
      <c r="L13" s="41">
        <v>22.09</v>
      </c>
      <c r="M13" s="41">
        <v>67.11</v>
      </c>
      <c r="N13" s="41">
        <v>1.7</v>
      </c>
      <c r="O13" s="41">
        <v>0</v>
      </c>
      <c r="P13" s="41">
        <v>0.65</v>
      </c>
      <c r="Q13" s="41">
        <v>12.97</v>
      </c>
      <c r="R13" s="38"/>
      <c r="S13" s="38"/>
      <c r="T13" s="38"/>
      <c r="U13" s="38"/>
    </row>
    <row r="14" spans="1:21" customFormat="1">
      <c r="A14" s="40" t="s">
        <v>354</v>
      </c>
      <c r="B14" s="41">
        <v>8.44</v>
      </c>
      <c r="C14" s="41">
        <v>25.13</v>
      </c>
      <c r="D14" s="41">
        <v>21.25</v>
      </c>
      <c r="E14" s="41">
        <v>9.7100000000000009</v>
      </c>
      <c r="F14" s="41">
        <v>3.84</v>
      </c>
      <c r="G14" s="41">
        <v>56.76</v>
      </c>
      <c r="H14" s="41">
        <v>17.71</v>
      </c>
      <c r="I14" s="41">
        <v>9.39</v>
      </c>
      <c r="J14" s="41">
        <v>1.21</v>
      </c>
      <c r="K14" s="41">
        <v>47.57</v>
      </c>
      <c r="L14" s="41">
        <v>21.42</v>
      </c>
      <c r="M14" s="41">
        <v>67.2</v>
      </c>
      <c r="N14" s="41">
        <v>1.4</v>
      </c>
      <c r="O14" s="41">
        <v>0</v>
      </c>
      <c r="P14" s="41">
        <v>0.62</v>
      </c>
      <c r="Q14" s="41">
        <v>12.97</v>
      </c>
      <c r="R14" s="38"/>
      <c r="S14" s="38"/>
      <c r="T14" s="38"/>
      <c r="U14" s="38"/>
    </row>
    <row r="15" spans="1:21" customFormat="1">
      <c r="A15" s="40" t="s">
        <v>355</v>
      </c>
      <c r="B15" s="41">
        <v>6.98</v>
      </c>
      <c r="C15" s="41">
        <v>24.86</v>
      </c>
      <c r="D15" s="41">
        <v>19.86</v>
      </c>
      <c r="E15" s="41">
        <v>9.92</v>
      </c>
      <c r="F15" s="41">
        <v>3.68</v>
      </c>
      <c r="G15" s="41">
        <v>61.3</v>
      </c>
      <c r="H15" s="41">
        <v>17.600000000000001</v>
      </c>
      <c r="I15" s="41">
        <v>8.9499999999999993</v>
      </c>
      <c r="J15" s="41">
        <v>1.32</v>
      </c>
      <c r="K15" s="41">
        <v>54.38</v>
      </c>
      <c r="L15" s="41">
        <v>21.14</v>
      </c>
      <c r="M15" s="41">
        <v>66.53</v>
      </c>
      <c r="N15" s="41">
        <v>8.6999999999999993</v>
      </c>
      <c r="O15" s="41">
        <v>0</v>
      </c>
      <c r="P15" s="41">
        <v>0.67</v>
      </c>
      <c r="Q15" s="41">
        <v>12.95</v>
      </c>
      <c r="R15" s="38"/>
      <c r="S15" s="38"/>
      <c r="T15" s="38"/>
      <c r="U15" s="38"/>
    </row>
    <row r="16" spans="1:21" customFormat="1">
      <c r="A16" s="40" t="s">
        <v>356</v>
      </c>
      <c r="B16" s="41">
        <v>7.63</v>
      </c>
      <c r="C16" s="41">
        <v>24.41</v>
      </c>
      <c r="D16" s="41">
        <v>19.96</v>
      </c>
      <c r="E16" s="41">
        <v>9.2100000000000009</v>
      </c>
      <c r="F16" s="41">
        <v>4.3899999999999997</v>
      </c>
      <c r="G16" s="41">
        <v>61.3</v>
      </c>
      <c r="H16" s="41">
        <v>19.38</v>
      </c>
      <c r="I16" s="41">
        <v>8.89</v>
      </c>
      <c r="J16" s="41">
        <v>1.2</v>
      </c>
      <c r="K16" s="41">
        <v>55.22</v>
      </c>
      <c r="L16" s="41">
        <v>21.49</v>
      </c>
      <c r="M16" s="41">
        <v>66.92</v>
      </c>
      <c r="N16" s="41">
        <v>41.5</v>
      </c>
      <c r="O16" s="41">
        <v>0</v>
      </c>
      <c r="P16" s="41">
        <v>0.67</v>
      </c>
      <c r="Q16" s="41">
        <v>12.95</v>
      </c>
      <c r="R16" s="38"/>
      <c r="S16" s="38"/>
      <c r="T16" s="38"/>
      <c r="U16" s="38"/>
    </row>
    <row r="17" spans="1:21" customFormat="1">
      <c r="A17" s="40" t="s">
        <v>357</v>
      </c>
      <c r="B17" s="41">
        <v>7.68</v>
      </c>
      <c r="C17" s="41">
        <v>23.64</v>
      </c>
      <c r="D17" s="41">
        <v>19.829999999999998</v>
      </c>
      <c r="E17" s="41">
        <v>8.7100000000000009</v>
      </c>
      <c r="F17" s="41">
        <v>12.01</v>
      </c>
      <c r="G17" s="41">
        <v>59.89</v>
      </c>
      <c r="H17" s="41">
        <v>19.63</v>
      </c>
      <c r="I17" s="41">
        <v>8.81</v>
      </c>
      <c r="J17" s="41">
        <v>1.48</v>
      </c>
      <c r="K17" s="41">
        <v>56.86</v>
      </c>
      <c r="L17" s="41">
        <v>23.33</v>
      </c>
      <c r="M17" s="41">
        <v>64.34</v>
      </c>
      <c r="N17" s="41">
        <v>169.9</v>
      </c>
      <c r="O17" s="41">
        <v>0</v>
      </c>
      <c r="P17" s="41">
        <v>0.68</v>
      </c>
      <c r="Q17" s="41">
        <v>12.95</v>
      </c>
      <c r="R17" s="38"/>
      <c r="S17" s="38"/>
      <c r="T17" s="38"/>
      <c r="U17" s="38"/>
    </row>
    <row r="18" spans="1:21" customFormat="1">
      <c r="A18" s="40" t="s">
        <v>358</v>
      </c>
      <c r="B18" s="41">
        <v>7.82</v>
      </c>
      <c r="C18" s="41">
        <v>23.86</v>
      </c>
      <c r="D18" s="41">
        <v>20.09</v>
      </c>
      <c r="E18" s="41">
        <v>9.7899999999999991</v>
      </c>
      <c r="F18" s="41">
        <v>17.13</v>
      </c>
      <c r="G18" s="41">
        <v>59.89</v>
      </c>
      <c r="H18" s="41">
        <v>21.11</v>
      </c>
      <c r="I18" s="41">
        <v>8.75</v>
      </c>
      <c r="J18" s="41">
        <v>1.77</v>
      </c>
      <c r="K18" s="41">
        <v>52.24</v>
      </c>
      <c r="L18" s="41">
        <v>24.88</v>
      </c>
      <c r="M18" s="41">
        <v>56.93</v>
      </c>
      <c r="N18" s="41">
        <v>256.39999999999998</v>
      </c>
      <c r="O18" s="41">
        <v>0</v>
      </c>
      <c r="P18" s="41">
        <v>0.67</v>
      </c>
      <c r="Q18" s="41">
        <v>12.95</v>
      </c>
      <c r="R18" s="38"/>
      <c r="S18" s="38"/>
      <c r="T18" s="38"/>
      <c r="U18" s="38"/>
    </row>
    <row r="19" spans="1:21" customFormat="1">
      <c r="A19" s="40" t="s">
        <v>359</v>
      </c>
      <c r="B19" s="41">
        <v>8.08</v>
      </c>
      <c r="C19" s="41">
        <v>25.43</v>
      </c>
      <c r="D19" s="41">
        <v>21.11</v>
      </c>
      <c r="E19" s="41">
        <v>12.63</v>
      </c>
      <c r="F19" s="41">
        <v>24.83</v>
      </c>
      <c r="G19" s="41">
        <v>60.98</v>
      </c>
      <c r="H19" s="41">
        <v>21.11</v>
      </c>
      <c r="I19" s="41">
        <v>8.6999999999999993</v>
      </c>
      <c r="J19" s="41">
        <v>1.62</v>
      </c>
      <c r="K19" s="41">
        <v>55.63</v>
      </c>
      <c r="L19" s="41">
        <v>26.24</v>
      </c>
      <c r="M19" s="41">
        <v>49.81</v>
      </c>
      <c r="N19" s="41">
        <v>307.7</v>
      </c>
      <c r="O19" s="41">
        <v>0</v>
      </c>
      <c r="P19" s="41">
        <v>0.67</v>
      </c>
      <c r="Q19" s="41">
        <v>12.95</v>
      </c>
      <c r="R19" s="38"/>
      <c r="S19" s="38"/>
      <c r="T19" s="38"/>
      <c r="U19" s="38"/>
    </row>
    <row r="20" spans="1:21" customFormat="1">
      <c r="A20" s="40" t="s">
        <v>360</v>
      </c>
      <c r="B20" s="41">
        <v>8.1300000000000008</v>
      </c>
      <c r="C20" s="41">
        <v>26.33</v>
      </c>
      <c r="D20" s="41">
        <v>21.03</v>
      </c>
      <c r="E20" s="41">
        <v>11.32</v>
      </c>
      <c r="F20" s="41">
        <v>44.3</v>
      </c>
      <c r="G20" s="41">
        <v>68.02</v>
      </c>
      <c r="H20" s="41">
        <v>25.37</v>
      </c>
      <c r="I20" s="41">
        <v>8.57</v>
      </c>
      <c r="J20" s="41">
        <v>1.41</v>
      </c>
      <c r="K20" s="41">
        <v>52.94</v>
      </c>
      <c r="L20" s="41">
        <v>28.51</v>
      </c>
      <c r="M20" s="41">
        <v>45.19</v>
      </c>
      <c r="N20" s="41">
        <v>320.10000000000002</v>
      </c>
      <c r="O20" s="41">
        <v>0</v>
      </c>
      <c r="P20" s="41">
        <v>0.64</v>
      </c>
      <c r="Q20" s="41">
        <v>12.96</v>
      </c>
      <c r="R20" s="38"/>
      <c r="S20" s="38"/>
      <c r="T20" s="38"/>
      <c r="U20" s="38"/>
    </row>
    <row r="21" spans="1:21" customFormat="1">
      <c r="A21" s="40" t="s">
        <v>361</v>
      </c>
      <c r="B21" s="41">
        <v>6.1</v>
      </c>
      <c r="C21" s="41">
        <v>26.72</v>
      </c>
      <c r="D21" s="41">
        <v>20.2</v>
      </c>
      <c r="E21" s="41">
        <v>9.82</v>
      </c>
      <c r="F21" s="41">
        <v>51.66</v>
      </c>
      <c r="G21" s="41">
        <v>74.45</v>
      </c>
      <c r="H21" s="41">
        <v>31.82</v>
      </c>
      <c r="I21" s="41">
        <v>8.39</v>
      </c>
      <c r="J21" s="41">
        <v>1.19</v>
      </c>
      <c r="K21" s="41">
        <v>56.86</v>
      </c>
      <c r="L21" s="41">
        <v>29.33</v>
      </c>
      <c r="M21" s="41">
        <v>40.409999999999997</v>
      </c>
      <c r="N21" s="41">
        <v>348.2</v>
      </c>
      <c r="O21" s="41">
        <v>0</v>
      </c>
      <c r="P21" s="41">
        <v>0.56000000000000005</v>
      </c>
      <c r="Q21" s="41">
        <v>12.96</v>
      </c>
      <c r="R21" s="38"/>
      <c r="S21" s="38"/>
      <c r="T21" s="38"/>
      <c r="U21" s="38"/>
    </row>
    <row r="22" spans="1:21" customFormat="1">
      <c r="A22" s="40" t="s">
        <v>362</v>
      </c>
      <c r="B22" s="41">
        <v>4.6100000000000003</v>
      </c>
      <c r="C22" s="41">
        <v>25.79</v>
      </c>
      <c r="D22" s="41">
        <v>18.52</v>
      </c>
      <c r="E22" s="41">
        <v>10</v>
      </c>
      <c r="F22" s="41">
        <v>53.23</v>
      </c>
      <c r="G22" s="41">
        <v>74.45</v>
      </c>
      <c r="H22" s="41">
        <v>31.82</v>
      </c>
      <c r="I22" s="41">
        <v>8.16</v>
      </c>
      <c r="J22" s="41">
        <v>0.9</v>
      </c>
      <c r="K22" s="41">
        <v>18.46</v>
      </c>
      <c r="L22" s="41">
        <v>29.75</v>
      </c>
      <c r="M22" s="41">
        <v>38.33</v>
      </c>
      <c r="N22" s="41">
        <v>331.6</v>
      </c>
      <c r="O22" s="41">
        <v>0</v>
      </c>
      <c r="P22" s="41">
        <v>0.55000000000000004</v>
      </c>
      <c r="Q22" s="41">
        <v>12.96</v>
      </c>
      <c r="R22" s="38"/>
      <c r="S22" s="38"/>
      <c r="T22" s="38"/>
      <c r="U22" s="38"/>
    </row>
    <row r="23" spans="1:21" customFormat="1">
      <c r="A23" s="40" t="s">
        <v>363</v>
      </c>
      <c r="B23" s="41">
        <v>4.1399999999999997</v>
      </c>
      <c r="C23" s="41">
        <v>24.43</v>
      </c>
      <c r="D23" s="41">
        <v>17.440000000000001</v>
      </c>
      <c r="E23" s="41">
        <v>9.84</v>
      </c>
      <c r="F23" s="41">
        <v>46.92</v>
      </c>
      <c r="G23" s="41">
        <v>67.510000000000005</v>
      </c>
      <c r="H23" s="41">
        <v>31.09</v>
      </c>
      <c r="I23" s="41">
        <v>7.86</v>
      </c>
      <c r="J23" s="41">
        <v>1</v>
      </c>
      <c r="K23" s="41">
        <v>67.59</v>
      </c>
      <c r="L23" s="41">
        <v>30.25</v>
      </c>
      <c r="M23" s="41">
        <v>36.090000000000003</v>
      </c>
      <c r="N23" s="41">
        <v>308.89999999999998</v>
      </c>
      <c r="O23" s="41">
        <v>0</v>
      </c>
      <c r="P23" s="41">
        <v>0.61</v>
      </c>
      <c r="Q23" s="41">
        <v>12.94</v>
      </c>
      <c r="R23" s="38"/>
      <c r="S23" s="38"/>
      <c r="T23" s="38"/>
      <c r="U23" s="38"/>
    </row>
    <row r="24" spans="1:21" customFormat="1">
      <c r="A24" s="40" t="s">
        <v>364</v>
      </c>
      <c r="B24" s="41">
        <v>4.09</v>
      </c>
      <c r="C24" s="41">
        <v>23.79</v>
      </c>
      <c r="D24" s="41">
        <v>17.059999999999999</v>
      </c>
      <c r="E24" s="41">
        <v>10.39</v>
      </c>
      <c r="F24" s="41">
        <v>51.26</v>
      </c>
      <c r="G24" s="41">
        <v>65.81</v>
      </c>
      <c r="H24" s="41">
        <v>30.13</v>
      </c>
      <c r="I24" s="41">
        <v>7.55</v>
      </c>
      <c r="J24" s="41">
        <v>1</v>
      </c>
      <c r="K24" s="41">
        <v>36.619999999999997</v>
      </c>
      <c r="L24" s="41">
        <v>29.61</v>
      </c>
      <c r="M24" s="41">
        <v>37.74</v>
      </c>
      <c r="N24" s="41">
        <v>70.3</v>
      </c>
      <c r="O24" s="41">
        <v>0</v>
      </c>
      <c r="P24" s="41">
        <v>0.6</v>
      </c>
      <c r="Q24" s="41">
        <v>12.95</v>
      </c>
      <c r="R24" s="38"/>
      <c r="S24" s="38"/>
      <c r="T24" s="38"/>
      <c r="U24" s="38"/>
    </row>
    <row r="25" spans="1:21" customFormat="1">
      <c r="A25" s="40" t="s">
        <v>365</v>
      </c>
      <c r="B25" s="41">
        <v>4.76</v>
      </c>
      <c r="C25" s="41">
        <v>24.14</v>
      </c>
      <c r="D25" s="41">
        <v>17.420000000000002</v>
      </c>
      <c r="E25" s="41">
        <v>11.93</v>
      </c>
      <c r="F25" s="41">
        <v>55.67</v>
      </c>
      <c r="G25" s="41">
        <v>65.81</v>
      </c>
      <c r="H25" s="41">
        <v>31.3</v>
      </c>
      <c r="I25" s="41">
        <v>7.19</v>
      </c>
      <c r="J25" s="41">
        <v>1.0900000000000001</v>
      </c>
      <c r="K25" s="41">
        <v>35.19</v>
      </c>
      <c r="L25" s="41">
        <v>28.98</v>
      </c>
      <c r="M25" s="41">
        <v>39.74</v>
      </c>
      <c r="N25" s="41">
        <v>48.1</v>
      </c>
      <c r="O25" s="41">
        <v>0</v>
      </c>
      <c r="P25" s="41">
        <v>0.69</v>
      </c>
      <c r="Q25" s="41">
        <v>12.93</v>
      </c>
      <c r="R25" s="38"/>
      <c r="S25" s="38"/>
      <c r="T25" s="38"/>
      <c r="U25" s="38"/>
    </row>
    <row r="26" spans="1:21" customFormat="1">
      <c r="A26" s="40" t="s">
        <v>366</v>
      </c>
      <c r="B26" s="41">
        <v>5.51</v>
      </c>
      <c r="C26" s="41">
        <v>23.81</v>
      </c>
      <c r="D26" s="41">
        <v>18.21</v>
      </c>
      <c r="E26" s="41">
        <v>13.2</v>
      </c>
      <c r="F26" s="41">
        <v>41.04</v>
      </c>
      <c r="G26" s="41">
        <v>70.77</v>
      </c>
      <c r="H26" s="41">
        <v>31.42</v>
      </c>
      <c r="I26" s="41">
        <v>7.24</v>
      </c>
      <c r="J26" s="41">
        <v>0.93</v>
      </c>
      <c r="K26" s="41">
        <v>56.27</v>
      </c>
      <c r="L26" s="41">
        <v>27.88</v>
      </c>
      <c r="M26" s="41">
        <v>41.74</v>
      </c>
      <c r="N26" s="41">
        <v>19.5</v>
      </c>
      <c r="O26" s="41">
        <v>0</v>
      </c>
      <c r="P26" s="41">
        <v>0.75</v>
      </c>
      <c r="Q26" s="41">
        <v>12.94</v>
      </c>
      <c r="R26" s="38"/>
      <c r="S26" s="38"/>
      <c r="T26" s="38"/>
      <c r="U26" s="38"/>
    </row>
    <row r="27" spans="1:21" customFormat="1">
      <c r="A27" s="40" t="s">
        <v>367</v>
      </c>
      <c r="B27" s="41">
        <v>7.41</v>
      </c>
      <c r="C27" s="41">
        <v>24.33</v>
      </c>
      <c r="D27" s="41">
        <v>19.98</v>
      </c>
      <c r="E27" s="41">
        <v>11.45</v>
      </c>
      <c r="F27" s="41">
        <v>36.68</v>
      </c>
      <c r="G27" s="41">
        <v>77.069999999999993</v>
      </c>
      <c r="H27" s="41">
        <v>31.42</v>
      </c>
      <c r="I27" s="41">
        <v>7.61</v>
      </c>
      <c r="J27" s="41">
        <v>0.74</v>
      </c>
      <c r="K27" s="41">
        <v>50.94</v>
      </c>
      <c r="L27" s="41">
        <v>26.72</v>
      </c>
      <c r="M27" s="41">
        <v>46.17</v>
      </c>
      <c r="N27" s="41">
        <v>1.7</v>
      </c>
      <c r="O27" s="41">
        <v>0</v>
      </c>
      <c r="P27" s="41">
        <v>0.76</v>
      </c>
      <c r="Q27" s="41">
        <v>12.94</v>
      </c>
      <c r="R27" s="38"/>
      <c r="S27" s="38"/>
      <c r="T27" s="38"/>
      <c r="U27" s="38"/>
    </row>
    <row r="28" spans="1:21" customFormat="1">
      <c r="A28" s="40" t="s">
        <v>368</v>
      </c>
      <c r="B28" s="41">
        <v>8.42</v>
      </c>
      <c r="C28" s="41">
        <v>24.35</v>
      </c>
      <c r="D28" s="41">
        <v>20.57</v>
      </c>
      <c r="E28" s="41">
        <v>10.79</v>
      </c>
      <c r="F28" s="41">
        <v>33.65</v>
      </c>
      <c r="G28" s="41">
        <v>80.55</v>
      </c>
      <c r="H28" s="41">
        <v>29.61</v>
      </c>
      <c r="I28" s="41">
        <v>7.96</v>
      </c>
      <c r="J28" s="41">
        <v>0.82</v>
      </c>
      <c r="K28" s="41">
        <v>53.56</v>
      </c>
      <c r="L28" s="41">
        <v>25.62</v>
      </c>
      <c r="M28" s="41">
        <v>48.75</v>
      </c>
      <c r="N28" s="41">
        <v>1.4</v>
      </c>
      <c r="O28" s="41">
        <v>0</v>
      </c>
      <c r="P28" s="41">
        <v>0.81</v>
      </c>
      <c r="Q28" s="41">
        <v>12.95</v>
      </c>
      <c r="R28" s="38"/>
      <c r="S28" s="38"/>
      <c r="T28" s="38"/>
      <c r="U28" s="38"/>
    </row>
    <row r="29" spans="1:21" customFormat="1">
      <c r="A29" s="40" t="s">
        <v>369</v>
      </c>
      <c r="B29" s="41">
        <v>9.1</v>
      </c>
      <c r="C29" s="41">
        <v>23.82</v>
      </c>
      <c r="D29" s="41">
        <v>21.04</v>
      </c>
      <c r="E29" s="41">
        <v>10.84</v>
      </c>
      <c r="F29" s="41">
        <v>18.39</v>
      </c>
      <c r="G29" s="41">
        <v>81.66</v>
      </c>
      <c r="H29" s="41">
        <v>28.02</v>
      </c>
      <c r="I29" s="41">
        <v>8.2899999999999991</v>
      </c>
      <c r="J29" s="41">
        <v>1.0900000000000001</v>
      </c>
      <c r="K29" s="41">
        <v>57.98</v>
      </c>
      <c r="L29" s="41">
        <v>24.75</v>
      </c>
      <c r="M29" s="41">
        <v>47.74</v>
      </c>
      <c r="N29" s="41">
        <v>1.3</v>
      </c>
      <c r="O29" s="41">
        <v>0</v>
      </c>
      <c r="P29" s="41">
        <v>0.83</v>
      </c>
      <c r="Q29" s="41">
        <v>12.95</v>
      </c>
      <c r="R29" s="38"/>
      <c r="S29" s="38"/>
      <c r="T29" s="38"/>
      <c r="U29" s="38"/>
    </row>
    <row r="30" spans="1:21" customFormat="1">
      <c r="A30" s="40" t="s">
        <v>370</v>
      </c>
      <c r="B30" s="41">
        <v>9.1300000000000008</v>
      </c>
      <c r="C30" s="41">
        <v>24.85</v>
      </c>
      <c r="D30" s="41">
        <v>21.22</v>
      </c>
      <c r="E30" s="41">
        <v>10.67</v>
      </c>
      <c r="F30" s="41">
        <v>11.09</v>
      </c>
      <c r="G30" s="41">
        <v>81.66</v>
      </c>
      <c r="H30" s="41">
        <v>27.02</v>
      </c>
      <c r="I30" s="41">
        <v>8.3800000000000008</v>
      </c>
      <c r="J30" s="41">
        <v>0.98</v>
      </c>
      <c r="K30" s="41">
        <v>47.94</v>
      </c>
      <c r="L30" s="41">
        <v>24.18</v>
      </c>
      <c r="M30" s="41">
        <v>40.75</v>
      </c>
      <c r="N30" s="41">
        <v>1.5</v>
      </c>
      <c r="O30" s="41">
        <v>0</v>
      </c>
      <c r="P30" s="41">
        <v>0.77</v>
      </c>
      <c r="Q30" s="41">
        <v>12.95</v>
      </c>
      <c r="R30" s="38"/>
      <c r="S30" s="38"/>
      <c r="T30" s="38"/>
      <c r="U30" s="38"/>
    </row>
    <row r="31" spans="1:21" customFormat="1">
      <c r="A31" s="40" t="s">
        <v>371</v>
      </c>
      <c r="B31" s="41">
        <v>8.94</v>
      </c>
      <c r="C31" s="41">
        <v>26.3</v>
      </c>
      <c r="D31" s="41">
        <v>22.26</v>
      </c>
      <c r="E31" s="41">
        <v>10.79</v>
      </c>
      <c r="F31" s="41">
        <v>7.55</v>
      </c>
      <c r="G31" s="41">
        <v>78.010000000000005</v>
      </c>
      <c r="H31" s="41">
        <v>26.48</v>
      </c>
      <c r="I31" s="41">
        <v>8.32</v>
      </c>
      <c r="J31" s="41">
        <v>0.93</v>
      </c>
      <c r="K31" s="41">
        <v>59.31</v>
      </c>
      <c r="L31" s="41">
        <v>23.15</v>
      </c>
      <c r="M31" s="41">
        <v>34.04</v>
      </c>
      <c r="N31" s="41">
        <v>1.4</v>
      </c>
      <c r="O31" s="41">
        <v>0</v>
      </c>
      <c r="P31" s="41">
        <v>0.71</v>
      </c>
      <c r="Q31" s="41">
        <v>12.96</v>
      </c>
      <c r="R31" s="38"/>
      <c r="S31" s="38"/>
      <c r="T31" s="38"/>
      <c r="U31" s="38"/>
    </row>
    <row r="32" spans="1:21" customFormat="1">
      <c r="A32" s="40" t="s">
        <v>372</v>
      </c>
      <c r="B32" s="41">
        <v>9.09</v>
      </c>
      <c r="C32" s="41">
        <v>26.34</v>
      </c>
      <c r="D32" s="41">
        <v>22.35</v>
      </c>
      <c r="E32" s="41">
        <v>10.61</v>
      </c>
      <c r="F32" s="41">
        <v>7.92</v>
      </c>
      <c r="G32" s="41">
        <v>65.739999999999995</v>
      </c>
      <c r="H32" s="41">
        <v>22.64</v>
      </c>
      <c r="I32" s="41">
        <v>8.34</v>
      </c>
      <c r="J32" s="41">
        <v>0.93</v>
      </c>
      <c r="K32" s="41">
        <v>55.4</v>
      </c>
      <c r="L32" s="41">
        <v>22.13</v>
      </c>
      <c r="M32" s="41">
        <v>33</v>
      </c>
      <c r="N32" s="41">
        <v>1.3</v>
      </c>
      <c r="O32" s="41">
        <v>0</v>
      </c>
      <c r="P32" s="41">
        <v>0.68</v>
      </c>
      <c r="Q32" s="41">
        <v>12.96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4.09</v>
      </c>
      <c r="C34" s="18">
        <f t="shared" si="0"/>
        <v>23.21</v>
      </c>
      <c r="D34" s="18">
        <f t="shared" si="0"/>
        <v>17.059999999999999</v>
      </c>
      <c r="E34" s="18">
        <f t="shared" si="0"/>
        <v>8.7100000000000009</v>
      </c>
      <c r="F34" s="18">
        <f t="shared" si="0"/>
        <v>3.68</v>
      </c>
      <c r="G34" s="18">
        <f t="shared" si="0"/>
        <v>56.76</v>
      </c>
      <c r="H34" s="18">
        <f t="shared" si="0"/>
        <v>17.600000000000001</v>
      </c>
      <c r="I34" s="18">
        <f t="shared" si="0"/>
        <v>7.19</v>
      </c>
      <c r="J34" s="18">
        <f t="shared" si="0"/>
        <v>0.38</v>
      </c>
      <c r="K34" s="18">
        <f t="shared" si="0"/>
        <v>18.46</v>
      </c>
      <c r="L34" s="18">
        <f t="shared" si="0"/>
        <v>21.14</v>
      </c>
      <c r="M34" s="18">
        <f t="shared" si="0"/>
        <v>33</v>
      </c>
      <c r="N34" s="18">
        <f t="shared" si="0"/>
        <v>1.3</v>
      </c>
      <c r="O34" s="18">
        <f t="shared" si="0"/>
        <v>0</v>
      </c>
      <c r="P34" s="18">
        <f t="shared" si="0"/>
        <v>0.55000000000000004</v>
      </c>
      <c r="Q34" s="18">
        <f t="shared" si="0"/>
        <v>12.93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18.59</v>
      </c>
      <c r="C35" s="3">
        <f t="shared" si="1"/>
        <v>26.72</v>
      </c>
      <c r="D35" s="3">
        <f t="shared" si="1"/>
        <v>28.34</v>
      </c>
      <c r="E35" s="3">
        <f t="shared" si="1"/>
        <v>13.2</v>
      </c>
      <c r="F35" s="3">
        <f t="shared" si="1"/>
        <v>55.67</v>
      </c>
      <c r="G35" s="3">
        <f t="shared" si="1"/>
        <v>82.82</v>
      </c>
      <c r="H35" s="3">
        <f t="shared" si="1"/>
        <v>31.82</v>
      </c>
      <c r="I35" s="3">
        <f t="shared" si="1"/>
        <v>11.62</v>
      </c>
      <c r="J35" s="3">
        <f t="shared" si="1"/>
        <v>1.77</v>
      </c>
      <c r="K35" s="3">
        <f t="shared" si="1"/>
        <v>328.48</v>
      </c>
      <c r="L35" s="3">
        <f t="shared" si="1"/>
        <v>30.25</v>
      </c>
      <c r="M35" s="3">
        <f t="shared" si="1"/>
        <v>67.66</v>
      </c>
      <c r="N35" s="3">
        <f t="shared" si="1"/>
        <v>348.2</v>
      </c>
      <c r="O35" s="3">
        <f t="shared" si="1"/>
        <v>0</v>
      </c>
      <c r="P35" s="3">
        <f t="shared" si="1"/>
        <v>0.85</v>
      </c>
      <c r="Q35" s="3">
        <f t="shared" si="1"/>
        <v>12.99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8.9220833333333314</v>
      </c>
      <c r="C36" s="18">
        <f t="shared" si="2"/>
        <v>24.770833333333339</v>
      </c>
      <c r="D36" s="18">
        <f t="shared" si="2"/>
        <v>21.317916666666665</v>
      </c>
      <c r="E36" s="18">
        <f t="shared" si="2"/>
        <v>10.578333333333331</v>
      </c>
      <c r="F36" s="18">
        <f t="shared" si="2"/>
        <v>22.694166666666664</v>
      </c>
      <c r="G36" s="18">
        <f t="shared" si="2"/>
        <v>70.171250000000001</v>
      </c>
      <c r="H36" s="18">
        <f t="shared" si="2"/>
        <v>24.766249999999999</v>
      </c>
      <c r="I36" s="18">
        <f t="shared" si="2"/>
        <v>8.8545833333333359</v>
      </c>
      <c r="J36" s="18">
        <f t="shared" si="2"/>
        <v>1.0379166666666666</v>
      </c>
      <c r="K36" s="18">
        <f t="shared" si="2"/>
        <v>67.358333333333334</v>
      </c>
      <c r="L36" s="18">
        <f t="shared" si="2"/>
        <v>25.20708333333333</v>
      </c>
      <c r="M36" s="18">
        <f t="shared" si="2"/>
        <v>50.995833333333337</v>
      </c>
      <c r="N36" s="18">
        <f t="shared" si="2"/>
        <v>93.687500000000043</v>
      </c>
      <c r="O36" s="18">
        <f t="shared" si="2"/>
        <v>0</v>
      </c>
      <c r="P36" s="18">
        <f t="shared" si="2"/>
        <v>0.6974999999999999</v>
      </c>
      <c r="Q36" s="18">
        <f t="shared" si="2"/>
        <v>12.957916666666664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4.0438552194943806</v>
      </c>
      <c r="C37" s="18">
        <f t="shared" ref="C37:Q37" si="3">STDEV(C9:C32)</f>
        <v>0.99212077046517133</v>
      </c>
      <c r="D37" s="18">
        <f t="shared" si="3"/>
        <v>3.1458792635095953</v>
      </c>
      <c r="E37" s="18">
        <f t="shared" si="3"/>
        <v>1.024918519207499</v>
      </c>
      <c r="F37" s="18">
        <f t="shared" si="3"/>
        <v>19.729077617141357</v>
      </c>
      <c r="G37" s="18">
        <f t="shared" si="3"/>
        <v>8.6116121363514591</v>
      </c>
      <c r="H37" s="18">
        <f t="shared" si="3"/>
        <v>5.3122547513723797</v>
      </c>
      <c r="I37" s="18">
        <f t="shared" si="3"/>
        <v>1.2844182549400165</v>
      </c>
      <c r="J37" s="18">
        <f t="shared" si="3"/>
        <v>0.32622983584752252</v>
      </c>
      <c r="K37" s="18">
        <f t="shared" si="3"/>
        <v>61.189440952324226</v>
      </c>
      <c r="L37" s="18">
        <f t="shared" si="3"/>
        <v>2.9897323992024307</v>
      </c>
      <c r="M37" s="18">
        <f t="shared" si="3"/>
        <v>12.509358554669166</v>
      </c>
      <c r="N37" s="18">
        <f t="shared" si="3"/>
        <v>134.67752568232396</v>
      </c>
      <c r="O37" s="18">
        <f t="shared" si="3"/>
        <v>0</v>
      </c>
      <c r="P37" s="18">
        <f t="shared" si="3"/>
        <v>8.4609075471689138E-2</v>
      </c>
      <c r="Q37" s="18">
        <f t="shared" si="3"/>
        <v>1.6412923504696732E-2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16" activePane="bottomRight" state="frozen"/>
      <selection activeCell="G19" sqref="G19"/>
      <selection pane="topRight" activeCell="G19" sqref="G19"/>
      <selection pane="bottomLeft" activeCell="G19" sqref="G19"/>
      <selection pane="bottomRight" activeCell="J23" sqref="J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373</v>
      </c>
      <c r="B9" s="41">
        <v>9.66</v>
      </c>
      <c r="C9" s="41">
        <v>26.29</v>
      </c>
      <c r="D9" s="41">
        <v>22.54</v>
      </c>
      <c r="E9" s="41">
        <v>9.94</v>
      </c>
      <c r="F9" s="42">
        <v>4.5999999999999996</v>
      </c>
      <c r="G9" s="41">
        <v>65.290000000000006</v>
      </c>
      <c r="H9" s="41">
        <v>20.74</v>
      </c>
      <c r="I9" s="41">
        <v>7.89</v>
      </c>
      <c r="J9" s="41">
        <v>0.9</v>
      </c>
      <c r="K9" s="41">
        <v>58.86</v>
      </c>
      <c r="L9" s="41">
        <v>21.25</v>
      </c>
      <c r="M9" s="41">
        <v>34.39</v>
      </c>
      <c r="N9" s="41">
        <v>1.3</v>
      </c>
      <c r="O9" s="41">
        <v>0</v>
      </c>
      <c r="P9" s="41">
        <v>0.66</v>
      </c>
      <c r="Q9" s="41">
        <v>12.97</v>
      </c>
      <c r="R9" s="38"/>
      <c r="S9" s="38"/>
      <c r="T9" s="38"/>
      <c r="U9" s="38"/>
    </row>
    <row r="10" spans="1:21" customFormat="1">
      <c r="A10" s="40" t="s">
        <v>374</v>
      </c>
      <c r="B10" s="41">
        <v>11.92</v>
      </c>
      <c r="C10" s="41">
        <v>25.93</v>
      </c>
      <c r="D10" s="41">
        <v>24.34</v>
      </c>
      <c r="E10" s="41">
        <v>9.5</v>
      </c>
      <c r="F10" s="42">
        <v>4.6399999999999997</v>
      </c>
      <c r="G10" s="41">
        <v>64.08</v>
      </c>
      <c r="H10" s="41">
        <v>20.74</v>
      </c>
      <c r="I10" s="41">
        <v>7.5</v>
      </c>
      <c r="J10" s="41">
        <v>0.48</v>
      </c>
      <c r="K10" s="41">
        <v>62.85</v>
      </c>
      <c r="L10" s="41">
        <v>20.55</v>
      </c>
      <c r="M10" s="41">
        <v>35.36</v>
      </c>
      <c r="N10" s="41">
        <v>1.1000000000000001</v>
      </c>
      <c r="O10" s="41">
        <v>0</v>
      </c>
      <c r="P10" s="41">
        <v>0.63</v>
      </c>
      <c r="Q10" s="41">
        <v>12.98</v>
      </c>
      <c r="R10" s="38"/>
      <c r="S10" s="38"/>
      <c r="T10" s="38"/>
      <c r="U10" s="38"/>
    </row>
    <row r="11" spans="1:21" customFormat="1">
      <c r="A11" s="40" t="s">
        <v>375</v>
      </c>
      <c r="B11" s="41">
        <v>12</v>
      </c>
      <c r="C11" s="41">
        <v>25.75</v>
      </c>
      <c r="D11" s="41">
        <v>24.43</v>
      </c>
      <c r="E11" s="41">
        <v>9.64</v>
      </c>
      <c r="F11" s="42">
        <v>4.6500000000000004</v>
      </c>
      <c r="G11" s="41">
        <v>60.38</v>
      </c>
      <c r="H11" s="41">
        <v>21.48</v>
      </c>
      <c r="I11" s="41">
        <v>7.39</v>
      </c>
      <c r="J11" s="41">
        <v>0.56000000000000005</v>
      </c>
      <c r="K11" s="41">
        <v>167.6</v>
      </c>
      <c r="L11" s="41">
        <v>20.18</v>
      </c>
      <c r="M11" s="41">
        <v>48.38</v>
      </c>
      <c r="N11" s="41">
        <v>1.8</v>
      </c>
      <c r="O11" s="41">
        <v>0</v>
      </c>
      <c r="P11" s="41">
        <v>0.67</v>
      </c>
      <c r="Q11" s="41">
        <v>12.97</v>
      </c>
      <c r="R11" s="38"/>
      <c r="S11" s="38"/>
      <c r="T11" s="38"/>
      <c r="U11" s="38"/>
    </row>
    <row r="12" spans="1:21" customFormat="1">
      <c r="A12" s="40" t="s">
        <v>376</v>
      </c>
      <c r="B12" s="41">
        <v>11.46</v>
      </c>
      <c r="C12" s="41">
        <v>24.06</v>
      </c>
      <c r="D12" s="41">
        <v>23.11</v>
      </c>
      <c r="E12" s="41">
        <v>9.1199999999999992</v>
      </c>
      <c r="F12" s="42">
        <v>4.66</v>
      </c>
      <c r="G12" s="41">
        <v>60.38</v>
      </c>
      <c r="H12" s="41">
        <v>21.48</v>
      </c>
      <c r="I12" s="41">
        <v>7.28</v>
      </c>
      <c r="J12" s="41">
        <v>0.17</v>
      </c>
      <c r="K12" s="41">
        <v>193.44</v>
      </c>
      <c r="L12" s="41">
        <v>18.36</v>
      </c>
      <c r="M12" s="41">
        <v>53.67</v>
      </c>
      <c r="N12" s="41">
        <v>1.3</v>
      </c>
      <c r="O12" s="41">
        <v>0</v>
      </c>
      <c r="P12" s="41">
        <v>0.66</v>
      </c>
      <c r="Q12" s="41">
        <v>12.97</v>
      </c>
      <c r="R12" s="38"/>
      <c r="S12" s="38"/>
      <c r="T12" s="38"/>
      <c r="U12" s="38"/>
    </row>
    <row r="13" spans="1:21" customFormat="1">
      <c r="A13" s="40" t="s">
        <v>377</v>
      </c>
      <c r="B13" s="41">
        <v>10.79</v>
      </c>
      <c r="C13" s="41">
        <v>22.77</v>
      </c>
      <c r="D13" s="41">
        <v>21.9</v>
      </c>
      <c r="E13" s="41">
        <v>8.56</v>
      </c>
      <c r="F13" s="42">
        <v>4.6100000000000003</v>
      </c>
      <c r="G13" s="41">
        <v>55.07</v>
      </c>
      <c r="H13" s="41">
        <v>18.48</v>
      </c>
      <c r="I13" s="41">
        <v>6.98</v>
      </c>
      <c r="J13" s="41">
        <v>0.14000000000000001</v>
      </c>
      <c r="K13" s="41">
        <v>178.52</v>
      </c>
      <c r="L13" s="41">
        <v>17.82</v>
      </c>
      <c r="M13" s="41">
        <v>55.21</v>
      </c>
      <c r="N13" s="41">
        <v>1.3</v>
      </c>
      <c r="O13" s="41">
        <v>0</v>
      </c>
      <c r="P13" s="41">
        <v>0.64</v>
      </c>
      <c r="Q13" s="41">
        <v>12.96</v>
      </c>
      <c r="R13" s="38"/>
      <c r="S13" s="38"/>
      <c r="T13" s="38"/>
      <c r="U13" s="38"/>
    </row>
    <row r="14" spans="1:21" customFormat="1">
      <c r="A14" s="40" t="s">
        <v>378</v>
      </c>
      <c r="B14" s="41">
        <v>10.91</v>
      </c>
      <c r="C14" s="41">
        <v>23.08</v>
      </c>
      <c r="D14" s="41">
        <v>22.16</v>
      </c>
      <c r="E14" s="41">
        <v>8.68</v>
      </c>
      <c r="F14" s="42">
        <v>4.7300000000000004</v>
      </c>
      <c r="G14" s="41">
        <v>52.48</v>
      </c>
      <c r="H14" s="41">
        <v>14.92</v>
      </c>
      <c r="I14" s="41">
        <v>6.73</v>
      </c>
      <c r="J14" s="41">
        <v>0.17</v>
      </c>
      <c r="K14" s="41">
        <v>223.36</v>
      </c>
      <c r="L14" s="41">
        <v>17.850000000000001</v>
      </c>
      <c r="M14" s="41">
        <v>54.38</v>
      </c>
      <c r="N14" s="41">
        <v>1.4</v>
      </c>
      <c r="O14" s="41">
        <v>0</v>
      </c>
      <c r="P14" s="41">
        <v>0.62</v>
      </c>
      <c r="Q14" s="41">
        <v>12.95</v>
      </c>
      <c r="R14" s="38"/>
      <c r="S14" s="38"/>
      <c r="T14" s="38"/>
      <c r="U14" s="38"/>
    </row>
    <row r="15" spans="1:21" customFormat="1">
      <c r="A15" s="40" t="s">
        <v>379</v>
      </c>
      <c r="B15" s="41">
        <v>15.5</v>
      </c>
      <c r="C15" s="41">
        <v>24.38</v>
      </c>
      <c r="D15" s="41">
        <v>26.52</v>
      </c>
      <c r="E15" s="41">
        <v>8.07</v>
      </c>
      <c r="F15" s="42">
        <v>4.6900000000000004</v>
      </c>
      <c r="G15" s="41">
        <v>54.89</v>
      </c>
      <c r="H15" s="41">
        <v>14</v>
      </c>
      <c r="I15" s="41">
        <v>6.51</v>
      </c>
      <c r="J15" s="41">
        <v>0.35</v>
      </c>
      <c r="K15" s="41">
        <v>188.75</v>
      </c>
      <c r="L15" s="41">
        <v>17.12</v>
      </c>
      <c r="M15" s="41">
        <v>57.6</v>
      </c>
      <c r="N15" s="41">
        <v>8.5</v>
      </c>
      <c r="O15" s="41">
        <v>0</v>
      </c>
      <c r="P15" s="41">
        <v>0.61</v>
      </c>
      <c r="Q15" s="41">
        <v>12.97</v>
      </c>
      <c r="R15" s="38"/>
      <c r="S15" s="38"/>
      <c r="T15" s="38"/>
      <c r="U15" s="38"/>
    </row>
    <row r="16" spans="1:21" customFormat="1">
      <c r="A16" s="40" t="s">
        <v>380</v>
      </c>
      <c r="B16" s="41">
        <v>16.5</v>
      </c>
      <c r="C16" s="41">
        <v>25.05</v>
      </c>
      <c r="D16" s="41">
        <v>27.61</v>
      </c>
      <c r="E16" s="41">
        <v>8.64</v>
      </c>
      <c r="F16" s="42">
        <v>4.63</v>
      </c>
      <c r="G16" s="41">
        <v>55.86</v>
      </c>
      <c r="H16" s="41">
        <v>14.56</v>
      </c>
      <c r="I16" s="41">
        <v>6.78</v>
      </c>
      <c r="J16" s="41">
        <v>0.57999999999999996</v>
      </c>
      <c r="K16" s="41">
        <v>64.16</v>
      </c>
      <c r="L16" s="41">
        <v>19.329999999999998</v>
      </c>
      <c r="M16" s="41">
        <v>39.79</v>
      </c>
      <c r="N16" s="41">
        <v>41.9</v>
      </c>
      <c r="O16" s="41">
        <v>0</v>
      </c>
      <c r="P16" s="41">
        <v>0.55000000000000004</v>
      </c>
      <c r="Q16" s="41">
        <v>13</v>
      </c>
      <c r="R16" s="38"/>
      <c r="S16" s="38"/>
      <c r="T16" s="38"/>
      <c r="U16" s="38"/>
    </row>
    <row r="17" spans="1:21" customFormat="1">
      <c r="A17" s="40" t="s">
        <v>381</v>
      </c>
      <c r="B17" s="41">
        <v>16.05</v>
      </c>
      <c r="C17" s="41">
        <v>25.64</v>
      </c>
      <c r="D17" s="41">
        <v>27.44</v>
      </c>
      <c r="E17" s="41">
        <v>8.3000000000000007</v>
      </c>
      <c r="F17" s="42">
        <v>4.72</v>
      </c>
      <c r="G17" s="41">
        <v>68.540000000000006</v>
      </c>
      <c r="H17" s="41">
        <v>16.63</v>
      </c>
      <c r="I17" s="41">
        <v>7.17</v>
      </c>
      <c r="J17" s="41">
        <v>0.72</v>
      </c>
      <c r="K17" s="41">
        <v>106.83</v>
      </c>
      <c r="L17" s="41">
        <v>22.71</v>
      </c>
      <c r="M17" s="41">
        <v>35.590000000000003</v>
      </c>
      <c r="N17" s="41">
        <v>193.9</v>
      </c>
      <c r="O17" s="41">
        <v>0</v>
      </c>
      <c r="P17" s="41">
        <v>0.56000000000000005</v>
      </c>
      <c r="Q17" s="41">
        <v>13</v>
      </c>
      <c r="R17" s="38"/>
      <c r="S17" s="38"/>
      <c r="T17" s="38"/>
      <c r="U17" s="38"/>
    </row>
    <row r="18" spans="1:21" customFormat="1">
      <c r="A18" s="40" t="s">
        <v>382</v>
      </c>
      <c r="B18" s="41">
        <v>12.83</v>
      </c>
      <c r="C18" s="41">
        <v>27.1</v>
      </c>
      <c r="D18" s="41">
        <v>25.24</v>
      </c>
      <c r="E18" s="41">
        <v>7.84</v>
      </c>
      <c r="F18" s="42">
        <v>4.9000000000000004</v>
      </c>
      <c r="G18" s="41">
        <v>68.540000000000006</v>
      </c>
      <c r="H18" s="41">
        <v>23.02</v>
      </c>
      <c r="I18" s="41">
        <v>7.26</v>
      </c>
      <c r="J18" s="41">
        <v>1.1599999999999999</v>
      </c>
      <c r="K18" s="41">
        <v>66.17</v>
      </c>
      <c r="L18" s="41">
        <v>24.16</v>
      </c>
      <c r="M18" s="41">
        <v>24.87</v>
      </c>
      <c r="N18" s="41">
        <v>281.8</v>
      </c>
      <c r="O18" s="41">
        <v>0</v>
      </c>
      <c r="P18" s="41">
        <v>0.56000000000000005</v>
      </c>
      <c r="Q18" s="41">
        <v>12.99</v>
      </c>
      <c r="R18" s="38"/>
      <c r="S18" s="38"/>
      <c r="T18" s="38"/>
      <c r="U18" s="38"/>
    </row>
    <row r="19" spans="1:21" customFormat="1">
      <c r="A19" s="40" t="s">
        <v>383</v>
      </c>
      <c r="B19" s="41">
        <v>11.96</v>
      </c>
      <c r="C19" s="41">
        <v>28.1</v>
      </c>
      <c r="D19" s="41">
        <v>25.42</v>
      </c>
      <c r="E19" s="41">
        <v>8.42</v>
      </c>
      <c r="F19" s="42">
        <v>5.1100000000000003</v>
      </c>
      <c r="G19" s="41">
        <v>61.15</v>
      </c>
      <c r="H19" s="41">
        <v>24.02</v>
      </c>
      <c r="I19" s="41">
        <v>7.21</v>
      </c>
      <c r="J19" s="41">
        <v>1.08</v>
      </c>
      <c r="K19" s="41">
        <v>66.34</v>
      </c>
      <c r="L19" s="41">
        <v>26.16</v>
      </c>
      <c r="M19" s="41">
        <v>23.47</v>
      </c>
      <c r="N19" s="41">
        <v>330.1</v>
      </c>
      <c r="O19" s="41">
        <v>0</v>
      </c>
      <c r="P19" s="41">
        <v>0.55000000000000004</v>
      </c>
      <c r="Q19" s="41">
        <v>12.98</v>
      </c>
      <c r="R19" s="38"/>
      <c r="S19" s="38"/>
      <c r="T19" s="38"/>
      <c r="U19" s="38"/>
    </row>
    <row r="20" spans="1:21" customFormat="1">
      <c r="A20" s="40" t="s">
        <v>384</v>
      </c>
      <c r="B20" s="41">
        <v>12.56</v>
      </c>
      <c r="C20" s="41">
        <v>28.87</v>
      </c>
      <c r="D20" s="41">
        <v>26.5</v>
      </c>
      <c r="E20" s="41">
        <v>8.94</v>
      </c>
      <c r="F20" s="42">
        <v>5.37</v>
      </c>
      <c r="G20" s="41">
        <v>61.27</v>
      </c>
      <c r="H20" s="41">
        <v>26.41</v>
      </c>
      <c r="I20" s="41">
        <v>7.12</v>
      </c>
      <c r="J20" s="41">
        <v>1.21</v>
      </c>
      <c r="K20" s="41">
        <v>61.78</v>
      </c>
      <c r="L20" s="41">
        <v>28.1</v>
      </c>
      <c r="M20" s="41">
        <v>17.440000000000001</v>
      </c>
      <c r="N20" s="41">
        <v>343.9</v>
      </c>
      <c r="O20" s="41">
        <v>0</v>
      </c>
      <c r="P20" s="41">
        <v>0.54</v>
      </c>
      <c r="Q20" s="41">
        <v>13</v>
      </c>
      <c r="R20" s="38"/>
      <c r="S20" s="38"/>
      <c r="T20" s="38"/>
      <c r="U20" s="38"/>
    </row>
    <row r="21" spans="1:21" customFormat="1">
      <c r="A21" s="40" t="s">
        <v>385</v>
      </c>
      <c r="B21" s="41">
        <v>12.5</v>
      </c>
      <c r="C21" s="41">
        <v>28.52</v>
      </c>
      <c r="D21" s="41">
        <v>26.28</v>
      </c>
      <c r="E21" s="41">
        <v>8.02</v>
      </c>
      <c r="F21" s="42">
        <v>5.69</v>
      </c>
      <c r="G21" s="41">
        <v>61.27</v>
      </c>
      <c r="H21" s="41">
        <v>28.35</v>
      </c>
      <c r="I21" s="41">
        <v>6.86</v>
      </c>
      <c r="J21" s="41">
        <v>0.79</v>
      </c>
      <c r="K21" s="41">
        <v>83.62</v>
      </c>
      <c r="L21" s="41">
        <v>28.87</v>
      </c>
      <c r="M21" s="41">
        <v>14.43</v>
      </c>
      <c r="N21" s="41">
        <v>365.9</v>
      </c>
      <c r="O21" s="41">
        <v>0</v>
      </c>
      <c r="P21" s="41">
        <v>0.59</v>
      </c>
      <c r="Q21" s="41">
        <v>12.98</v>
      </c>
      <c r="R21" s="38"/>
      <c r="S21" s="38"/>
      <c r="T21" s="38"/>
      <c r="U21" s="38"/>
    </row>
    <row r="22" spans="1:21" customFormat="1">
      <c r="A22" s="40" t="s">
        <v>386</v>
      </c>
      <c r="B22" s="41">
        <v>10.79</v>
      </c>
      <c r="C22" s="41">
        <v>25.06</v>
      </c>
      <c r="D22" s="41">
        <v>23.09</v>
      </c>
      <c r="E22" s="41">
        <v>8.0399999999999991</v>
      </c>
      <c r="F22" s="42">
        <v>6.67</v>
      </c>
      <c r="G22" s="41">
        <v>58.64</v>
      </c>
      <c r="H22" s="41">
        <v>28.35</v>
      </c>
      <c r="I22" s="41">
        <v>6.56</v>
      </c>
      <c r="J22" s="41">
        <v>1.1000000000000001</v>
      </c>
      <c r="K22" s="41">
        <v>70.209999999999994</v>
      </c>
      <c r="L22" s="41">
        <v>29.57</v>
      </c>
      <c r="M22" s="41">
        <v>16.489999999999998</v>
      </c>
      <c r="N22" s="41">
        <v>342.9</v>
      </c>
      <c r="O22" s="41">
        <v>0</v>
      </c>
      <c r="P22" s="41">
        <v>0.57999999999999996</v>
      </c>
      <c r="Q22" s="41">
        <v>12.97</v>
      </c>
      <c r="R22" s="38"/>
      <c r="S22" s="38"/>
      <c r="T22" s="38"/>
      <c r="U22" s="38"/>
    </row>
    <row r="23" spans="1:21" customFormat="1">
      <c r="A23" s="40" t="s">
        <v>387</v>
      </c>
      <c r="B23" s="41">
        <v>10.51</v>
      </c>
      <c r="C23" s="41">
        <v>24.13</v>
      </c>
      <c r="D23" s="41">
        <v>22.2</v>
      </c>
      <c r="E23" s="41">
        <v>11.3</v>
      </c>
      <c r="F23" s="42">
        <v>8.02</v>
      </c>
      <c r="G23" s="41">
        <v>57.78</v>
      </c>
      <c r="H23" s="41">
        <v>29.44</v>
      </c>
      <c r="I23" s="41">
        <v>6.4</v>
      </c>
      <c r="J23" s="41">
        <v>0.91</v>
      </c>
      <c r="K23" s="41">
        <v>345.51</v>
      </c>
      <c r="L23" s="41">
        <v>29.13</v>
      </c>
      <c r="M23" s="41">
        <v>17.850000000000001</v>
      </c>
      <c r="N23" s="41">
        <v>188.9</v>
      </c>
      <c r="O23" s="41">
        <v>0</v>
      </c>
      <c r="P23" s="41">
        <v>0.47</v>
      </c>
      <c r="Q23" s="41">
        <v>12.96</v>
      </c>
      <c r="R23" s="38"/>
      <c r="S23" s="38"/>
      <c r="T23" s="38"/>
      <c r="U23" s="38"/>
    </row>
    <row r="24" spans="1:21" customFormat="1">
      <c r="A24" s="40" t="s">
        <v>388</v>
      </c>
      <c r="B24" s="41">
        <v>11.53</v>
      </c>
      <c r="C24" s="41">
        <v>24.51</v>
      </c>
      <c r="D24" s="41">
        <v>23.39</v>
      </c>
      <c r="E24" s="41">
        <v>37.35</v>
      </c>
      <c r="F24" s="42">
        <v>9.61</v>
      </c>
      <c r="G24" s="41">
        <v>58.87</v>
      </c>
      <c r="H24" s="41">
        <v>29.44</v>
      </c>
      <c r="I24" s="41">
        <v>6.37</v>
      </c>
      <c r="J24" s="41">
        <v>0.69</v>
      </c>
      <c r="K24" s="41">
        <v>49.51</v>
      </c>
      <c r="L24" s="41">
        <v>28.96</v>
      </c>
      <c r="M24" s="41">
        <v>20.010000000000002</v>
      </c>
      <c r="N24" s="41">
        <v>90.5</v>
      </c>
      <c r="O24" s="41">
        <v>0</v>
      </c>
      <c r="P24" s="41">
        <v>0.51</v>
      </c>
      <c r="Q24" s="41">
        <v>12.98</v>
      </c>
      <c r="R24" s="38"/>
      <c r="S24" s="38"/>
      <c r="T24" s="38"/>
      <c r="U24" s="38"/>
    </row>
    <row r="25" spans="1:21" customFormat="1">
      <c r="A25" s="40" t="s">
        <v>389</v>
      </c>
      <c r="B25" s="41">
        <v>11.42</v>
      </c>
      <c r="C25" s="41">
        <v>25.68</v>
      </c>
      <c r="D25" s="41">
        <v>23.44</v>
      </c>
      <c r="E25" s="41">
        <v>25.97</v>
      </c>
      <c r="F25" s="42">
        <v>9.58</v>
      </c>
      <c r="G25" s="41">
        <v>65.45</v>
      </c>
      <c r="H25" s="41">
        <v>28.95</v>
      </c>
      <c r="I25" s="41">
        <v>6.46</v>
      </c>
      <c r="J25" s="41">
        <v>0.63</v>
      </c>
      <c r="K25" s="41">
        <v>358.91</v>
      </c>
      <c r="L25" s="41">
        <v>28.35</v>
      </c>
      <c r="M25" s="41">
        <v>23.39</v>
      </c>
      <c r="N25" s="41">
        <v>50.2</v>
      </c>
      <c r="O25" s="41">
        <v>0</v>
      </c>
      <c r="P25" s="41">
        <v>0.52</v>
      </c>
      <c r="Q25" s="41">
        <v>12.98</v>
      </c>
      <c r="R25" s="38"/>
      <c r="S25" s="38"/>
      <c r="T25" s="38"/>
      <c r="U25" s="38"/>
    </row>
    <row r="26" spans="1:21" customFormat="1">
      <c r="A26" s="40" t="s">
        <v>390</v>
      </c>
      <c r="B26" s="41">
        <v>9.82</v>
      </c>
      <c r="C26" s="41">
        <v>29.58</v>
      </c>
      <c r="D26" s="41">
        <v>23.92</v>
      </c>
      <c r="E26" s="41">
        <v>10.64</v>
      </c>
      <c r="F26" s="42">
        <v>7.05</v>
      </c>
      <c r="G26" s="41">
        <v>70.62</v>
      </c>
      <c r="H26" s="41">
        <v>27.33</v>
      </c>
      <c r="I26" s="41">
        <v>6.7</v>
      </c>
      <c r="J26" s="41">
        <v>0.57999999999999996</v>
      </c>
      <c r="K26" s="41">
        <v>130.91999999999999</v>
      </c>
      <c r="L26" s="41">
        <v>27.67</v>
      </c>
      <c r="M26" s="41">
        <v>30.9</v>
      </c>
      <c r="N26" s="41">
        <v>20.7</v>
      </c>
      <c r="O26" s="41">
        <v>0</v>
      </c>
      <c r="P26" s="41">
        <v>0.5</v>
      </c>
      <c r="Q26" s="41">
        <v>12.98</v>
      </c>
      <c r="R26" s="38"/>
      <c r="S26" s="38"/>
      <c r="T26" s="38"/>
      <c r="U26" s="38"/>
    </row>
    <row r="27" spans="1:21" customFormat="1">
      <c r="A27" s="40" t="s">
        <v>391</v>
      </c>
      <c r="B27" s="41">
        <v>8.39</v>
      </c>
      <c r="C27" s="41">
        <v>29.54</v>
      </c>
      <c r="D27" s="41">
        <v>23.51</v>
      </c>
      <c r="E27" s="41">
        <v>9.8699999999999992</v>
      </c>
      <c r="F27" s="42">
        <v>4.88</v>
      </c>
      <c r="G27" s="41">
        <v>169.27</v>
      </c>
      <c r="H27" s="41">
        <v>40.15</v>
      </c>
      <c r="I27" s="41">
        <v>8.25</v>
      </c>
      <c r="J27" s="41">
        <v>0.25</v>
      </c>
      <c r="K27" s="41">
        <v>181.89</v>
      </c>
      <c r="L27" s="41">
        <v>24.77</v>
      </c>
      <c r="M27" s="41">
        <v>45.94</v>
      </c>
      <c r="N27" s="41">
        <v>2.4</v>
      </c>
      <c r="O27" s="41">
        <v>0</v>
      </c>
      <c r="P27" s="41">
        <v>0.56999999999999995</v>
      </c>
      <c r="Q27" s="41">
        <v>12.98</v>
      </c>
      <c r="R27" s="38"/>
      <c r="S27" s="38"/>
      <c r="T27" s="38"/>
      <c r="U27" s="38"/>
    </row>
    <row r="28" spans="1:21" customFormat="1">
      <c r="A28" s="40" t="s">
        <v>392</v>
      </c>
      <c r="B28" s="41">
        <v>15.47</v>
      </c>
      <c r="C28" s="41">
        <v>30.58</v>
      </c>
      <c r="D28" s="41">
        <v>29.73</v>
      </c>
      <c r="E28" s="41">
        <v>9.64</v>
      </c>
      <c r="F28" s="42">
        <v>4.6399999999999997</v>
      </c>
      <c r="G28" s="41">
        <v>169.27</v>
      </c>
      <c r="H28" s="41">
        <v>40.15</v>
      </c>
      <c r="I28" s="41">
        <v>12.38</v>
      </c>
      <c r="J28" s="41">
        <v>0.26</v>
      </c>
      <c r="K28" s="41">
        <v>171.67</v>
      </c>
      <c r="L28" s="41">
        <v>23.55</v>
      </c>
      <c r="M28" s="41">
        <v>53.72</v>
      </c>
      <c r="N28" s="41">
        <v>1.5</v>
      </c>
      <c r="O28" s="41">
        <v>0</v>
      </c>
      <c r="P28" s="41">
        <v>0.74</v>
      </c>
      <c r="Q28" s="41">
        <v>13.01</v>
      </c>
      <c r="R28" s="38"/>
      <c r="S28" s="38"/>
      <c r="T28" s="38"/>
      <c r="U28" s="38"/>
    </row>
    <row r="29" spans="1:21" customFormat="1">
      <c r="A29" s="40" t="s">
        <v>393</v>
      </c>
      <c r="B29" s="41">
        <v>19.579999999999998</v>
      </c>
      <c r="C29" s="41">
        <v>31.13</v>
      </c>
      <c r="D29" s="41">
        <v>33.31</v>
      </c>
      <c r="E29" s="41">
        <v>10.220000000000001</v>
      </c>
      <c r="F29" s="42">
        <v>4.54</v>
      </c>
      <c r="G29" s="41">
        <v>149.07</v>
      </c>
      <c r="H29" s="41">
        <v>36.96</v>
      </c>
      <c r="I29" s="41">
        <v>16.93</v>
      </c>
      <c r="J29" s="41">
        <v>0.27</v>
      </c>
      <c r="K29" s="41">
        <v>190.02</v>
      </c>
      <c r="L29" s="41">
        <v>22.2</v>
      </c>
      <c r="M29" s="41">
        <v>58.76</v>
      </c>
      <c r="N29" s="41">
        <v>1.5</v>
      </c>
      <c r="O29" s="41">
        <v>0</v>
      </c>
      <c r="P29" s="41">
        <v>0.88</v>
      </c>
      <c r="Q29" s="41">
        <v>13.03</v>
      </c>
      <c r="R29" s="38"/>
      <c r="S29" s="38"/>
      <c r="T29" s="38"/>
      <c r="U29" s="38"/>
    </row>
    <row r="30" spans="1:21" customFormat="1">
      <c r="A30" s="40" t="s">
        <v>394</v>
      </c>
      <c r="B30" s="41">
        <v>22.73</v>
      </c>
      <c r="C30" s="41">
        <v>30.93</v>
      </c>
      <c r="D30" s="41">
        <v>35.57</v>
      </c>
      <c r="E30" s="41">
        <v>10.210000000000001</v>
      </c>
      <c r="F30" s="42">
        <v>4.3899999999999997</v>
      </c>
      <c r="G30" s="41">
        <v>123.52</v>
      </c>
      <c r="H30" s="41">
        <v>35.04</v>
      </c>
      <c r="I30" s="41">
        <v>19.03</v>
      </c>
      <c r="J30" s="41">
        <v>0.28000000000000003</v>
      </c>
      <c r="K30" s="41">
        <v>179.88</v>
      </c>
      <c r="L30" s="41">
        <v>20.99</v>
      </c>
      <c r="M30" s="41">
        <v>63.18</v>
      </c>
      <c r="N30" s="41">
        <v>1.4</v>
      </c>
      <c r="O30" s="41">
        <v>0</v>
      </c>
      <c r="P30" s="41">
        <v>0.98</v>
      </c>
      <c r="Q30" s="41">
        <v>13.05</v>
      </c>
      <c r="R30" s="38"/>
      <c r="S30" s="38"/>
      <c r="T30" s="38"/>
      <c r="U30" s="38"/>
    </row>
    <row r="31" spans="1:21" customFormat="1">
      <c r="A31" s="40" t="s">
        <v>395</v>
      </c>
      <c r="B31" s="41">
        <v>25.08</v>
      </c>
      <c r="C31" s="41">
        <v>30.29</v>
      </c>
      <c r="D31" s="41">
        <v>36.57</v>
      </c>
      <c r="E31" s="41">
        <v>9.9700000000000006</v>
      </c>
      <c r="F31" s="42">
        <v>4.5199999999999996</v>
      </c>
      <c r="G31" s="41">
        <v>113.32</v>
      </c>
      <c r="H31" s="41">
        <v>33.590000000000003</v>
      </c>
      <c r="I31" s="41">
        <v>19.02</v>
      </c>
      <c r="J31" s="41">
        <v>0.28999999999999998</v>
      </c>
      <c r="K31" s="41">
        <v>187.42</v>
      </c>
      <c r="L31" s="41">
        <v>19.989999999999998</v>
      </c>
      <c r="M31" s="41">
        <v>64.680000000000007</v>
      </c>
      <c r="N31" s="41">
        <v>1.4</v>
      </c>
      <c r="O31" s="41">
        <v>0</v>
      </c>
      <c r="P31" s="41">
        <v>1.0900000000000001</v>
      </c>
      <c r="Q31" s="41">
        <v>13.04</v>
      </c>
      <c r="R31" s="38"/>
      <c r="S31" s="38"/>
      <c r="T31" s="38"/>
      <c r="U31" s="38"/>
    </row>
    <row r="32" spans="1:21" customFormat="1">
      <c r="A32" s="40" t="s">
        <v>396</v>
      </c>
      <c r="B32" s="41">
        <v>30.41</v>
      </c>
      <c r="C32" s="41">
        <v>28.41</v>
      </c>
      <c r="D32" s="41">
        <v>40.44</v>
      </c>
      <c r="E32" s="41">
        <v>10.46</v>
      </c>
      <c r="F32" s="42">
        <v>4.63</v>
      </c>
      <c r="G32" s="41">
        <v>113.32</v>
      </c>
      <c r="H32" s="41">
        <v>29.57</v>
      </c>
      <c r="I32" s="41">
        <v>18.55</v>
      </c>
      <c r="J32" s="41">
        <v>0.22</v>
      </c>
      <c r="K32" s="41">
        <v>224.06</v>
      </c>
      <c r="L32" s="41">
        <v>19.920000000000002</v>
      </c>
      <c r="M32" s="41">
        <v>62.46</v>
      </c>
      <c r="N32" s="41">
        <v>1.3</v>
      </c>
      <c r="O32" s="41">
        <v>0</v>
      </c>
      <c r="P32" s="41">
        <v>1.1200000000000001</v>
      </c>
      <c r="Q32" s="41">
        <v>13.06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8.39</v>
      </c>
      <c r="C34" s="18">
        <f t="shared" si="0"/>
        <v>22.77</v>
      </c>
      <c r="D34" s="18">
        <f t="shared" si="0"/>
        <v>21.9</v>
      </c>
      <c r="E34" s="18">
        <f t="shared" si="0"/>
        <v>7.84</v>
      </c>
      <c r="F34" s="18">
        <f t="shared" si="0"/>
        <v>4.3899999999999997</v>
      </c>
      <c r="G34" s="18">
        <f t="shared" si="0"/>
        <v>52.48</v>
      </c>
      <c r="H34" s="18">
        <f t="shared" si="0"/>
        <v>14</v>
      </c>
      <c r="I34" s="18">
        <f t="shared" si="0"/>
        <v>6.37</v>
      </c>
      <c r="J34" s="18">
        <f t="shared" si="0"/>
        <v>0.14000000000000001</v>
      </c>
      <c r="K34" s="18">
        <f t="shared" si="0"/>
        <v>49.51</v>
      </c>
      <c r="L34" s="18">
        <f t="shared" si="0"/>
        <v>17.12</v>
      </c>
      <c r="M34" s="18">
        <f t="shared" si="0"/>
        <v>14.43</v>
      </c>
      <c r="N34" s="18">
        <f t="shared" si="0"/>
        <v>1.1000000000000001</v>
      </c>
      <c r="O34" s="18">
        <f t="shared" si="0"/>
        <v>0</v>
      </c>
      <c r="P34" s="18">
        <f t="shared" si="0"/>
        <v>0.47</v>
      </c>
      <c r="Q34" s="18">
        <f t="shared" si="0"/>
        <v>12.95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30.41</v>
      </c>
      <c r="C35" s="3">
        <f t="shared" si="1"/>
        <v>31.13</v>
      </c>
      <c r="D35" s="3">
        <f t="shared" si="1"/>
        <v>40.44</v>
      </c>
      <c r="E35" s="3">
        <f t="shared" si="1"/>
        <v>37.35</v>
      </c>
      <c r="F35" s="3">
        <f t="shared" si="1"/>
        <v>9.61</v>
      </c>
      <c r="G35" s="3">
        <f t="shared" si="1"/>
        <v>169.27</v>
      </c>
      <c r="H35" s="3">
        <f t="shared" si="1"/>
        <v>40.15</v>
      </c>
      <c r="I35" s="3">
        <f t="shared" si="1"/>
        <v>19.03</v>
      </c>
      <c r="J35" s="3">
        <f t="shared" si="1"/>
        <v>1.21</v>
      </c>
      <c r="K35" s="3">
        <f t="shared" si="1"/>
        <v>358.91</v>
      </c>
      <c r="L35" s="3">
        <f t="shared" si="1"/>
        <v>29.57</v>
      </c>
      <c r="M35" s="3">
        <f t="shared" si="1"/>
        <v>64.680000000000007</v>
      </c>
      <c r="N35" s="3">
        <f t="shared" si="1"/>
        <v>365.9</v>
      </c>
      <c r="O35" s="3">
        <f t="shared" si="1"/>
        <v>0</v>
      </c>
      <c r="P35" s="3">
        <f t="shared" si="1"/>
        <v>1.1200000000000001</v>
      </c>
      <c r="Q35" s="3">
        <f t="shared" si="1"/>
        <v>13.06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14.182083333333333</v>
      </c>
      <c r="C36" s="18">
        <f t="shared" si="2"/>
        <v>26.89083333333333</v>
      </c>
      <c r="D36" s="18">
        <f t="shared" si="2"/>
        <v>26.610833333333336</v>
      </c>
      <c r="E36" s="18">
        <f t="shared" si="2"/>
        <v>11.139166666666668</v>
      </c>
      <c r="F36" s="18">
        <f t="shared" si="2"/>
        <v>5.4804166666666658</v>
      </c>
      <c r="G36" s="18">
        <f t="shared" si="2"/>
        <v>80.763749999999987</v>
      </c>
      <c r="H36" s="18">
        <f t="shared" si="2"/>
        <v>25.991666666666671</v>
      </c>
      <c r="I36" s="18">
        <f t="shared" si="2"/>
        <v>9.1387500000000017</v>
      </c>
      <c r="J36" s="18">
        <f t="shared" si="2"/>
        <v>0.57458333333333333</v>
      </c>
      <c r="K36" s="18">
        <f t="shared" si="2"/>
        <v>150.51166666666668</v>
      </c>
      <c r="L36" s="18">
        <f t="shared" si="2"/>
        <v>23.231666666666666</v>
      </c>
      <c r="M36" s="18">
        <f t="shared" si="2"/>
        <v>39.664999999999999</v>
      </c>
      <c r="N36" s="18">
        <f t="shared" si="2"/>
        <v>94.870833333333337</v>
      </c>
      <c r="O36" s="18">
        <f t="shared" si="2"/>
        <v>0</v>
      </c>
      <c r="P36" s="18">
        <f t="shared" si="2"/>
        <v>0.65833333333333333</v>
      </c>
      <c r="Q36" s="18">
        <f t="shared" si="2"/>
        <v>12.989999999999997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5.3607972956387355</v>
      </c>
      <c r="C37" s="18">
        <f t="shared" ref="C37:Q37" si="3">STDEV(C9:C32)</f>
        <v>2.6006151724856021</v>
      </c>
      <c r="D37" s="18">
        <f t="shared" si="3"/>
        <v>5.0229741031165487</v>
      </c>
      <c r="E37" s="18">
        <f t="shared" si="3"/>
        <v>6.6068323770147961</v>
      </c>
      <c r="F37" s="18">
        <f t="shared" si="3"/>
        <v>1.5547304510307678</v>
      </c>
      <c r="G37" s="18">
        <f t="shared" si="3"/>
        <v>37.099716372114045</v>
      </c>
      <c r="H37" s="18">
        <f t="shared" si="3"/>
        <v>7.714963814993979</v>
      </c>
      <c r="I37" s="18">
        <f t="shared" si="3"/>
        <v>4.3989853696743157</v>
      </c>
      <c r="J37" s="18">
        <f t="shared" si="3"/>
        <v>0.34558053445919301</v>
      </c>
      <c r="K37" s="18">
        <f t="shared" si="3"/>
        <v>86.174459379072175</v>
      </c>
      <c r="L37" s="18">
        <f t="shared" si="3"/>
        <v>4.1905490629839255</v>
      </c>
      <c r="M37" s="18">
        <f t="shared" si="3"/>
        <v>17.153639999061184</v>
      </c>
      <c r="N37" s="18">
        <f t="shared" si="3"/>
        <v>136.47275402284407</v>
      </c>
      <c r="O37" s="18">
        <f t="shared" si="3"/>
        <v>0</v>
      </c>
      <c r="P37" s="18">
        <f t="shared" si="3"/>
        <v>0.17948396238556569</v>
      </c>
      <c r="Q37" s="18">
        <f t="shared" si="3"/>
        <v>2.9042697203764591E-2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16" activePane="bottomRight" state="frozen"/>
      <selection activeCell="G19" sqref="G19"/>
      <selection pane="topRight" activeCell="G19" sqref="G19"/>
      <selection pane="bottomLeft" activeCell="G19" sqref="G19"/>
      <selection pane="bottomRight" activeCell="K20" sqref="K2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397</v>
      </c>
      <c r="B9" s="41">
        <v>32.909999999999997</v>
      </c>
      <c r="C9" s="41">
        <v>28.02</v>
      </c>
      <c r="D9" s="41">
        <v>42.22</v>
      </c>
      <c r="E9" s="41">
        <v>10.029999999999999</v>
      </c>
      <c r="F9" s="41">
        <v>4</v>
      </c>
      <c r="G9" s="41">
        <v>112.24</v>
      </c>
      <c r="H9" s="41">
        <v>29.57</v>
      </c>
      <c r="I9" s="41">
        <v>17.989999999999998</v>
      </c>
      <c r="J9" s="41">
        <v>0.25</v>
      </c>
      <c r="K9" s="41">
        <v>181.46</v>
      </c>
      <c r="L9" s="41">
        <v>19.670000000000002</v>
      </c>
      <c r="M9" s="41">
        <v>67.84</v>
      </c>
      <c r="N9" s="41">
        <v>1.6</v>
      </c>
      <c r="O9" s="41">
        <v>0</v>
      </c>
      <c r="P9" s="41">
        <v>1.1200000000000001</v>
      </c>
      <c r="Q9" s="41">
        <v>13.07</v>
      </c>
      <c r="R9" s="38"/>
      <c r="S9" s="38"/>
      <c r="T9" s="38"/>
      <c r="U9" s="38"/>
    </row>
    <row r="10" spans="1:21" customFormat="1">
      <c r="A10" s="40" t="s">
        <v>398</v>
      </c>
      <c r="B10" s="41">
        <v>32.71</v>
      </c>
      <c r="C10" s="41">
        <v>27.21</v>
      </c>
      <c r="D10" s="41">
        <v>41.79</v>
      </c>
      <c r="E10" s="41">
        <v>9.92</v>
      </c>
      <c r="F10" s="41">
        <v>4.22</v>
      </c>
      <c r="G10" s="41">
        <v>96.59</v>
      </c>
      <c r="H10" s="41">
        <v>27.39</v>
      </c>
      <c r="I10" s="41">
        <v>17.25</v>
      </c>
      <c r="J10" s="41">
        <v>0.22</v>
      </c>
      <c r="K10" s="41">
        <v>214.45</v>
      </c>
      <c r="L10" s="41">
        <v>18.71</v>
      </c>
      <c r="M10" s="41">
        <v>71.73</v>
      </c>
      <c r="N10" s="41">
        <v>1.5</v>
      </c>
      <c r="O10" s="41">
        <v>0</v>
      </c>
      <c r="P10" s="41">
        <v>1.1200000000000001</v>
      </c>
      <c r="Q10" s="41">
        <v>13.06</v>
      </c>
      <c r="R10" s="38"/>
      <c r="S10" s="38"/>
      <c r="T10" s="38"/>
      <c r="U10" s="38"/>
    </row>
    <row r="11" spans="1:21" customFormat="1">
      <c r="A11" s="40" t="s">
        <v>399</v>
      </c>
      <c r="B11" s="41">
        <v>31.28</v>
      </c>
      <c r="C11" s="41">
        <v>25.86</v>
      </c>
      <c r="D11" s="41">
        <v>39.950000000000003</v>
      </c>
      <c r="E11" s="41">
        <v>10</v>
      </c>
      <c r="F11" s="41">
        <v>4.37</v>
      </c>
      <c r="G11" s="41">
        <v>94.34</v>
      </c>
      <c r="H11" s="41">
        <v>23.12</v>
      </c>
      <c r="I11" s="41">
        <v>16.510000000000002</v>
      </c>
      <c r="J11" s="41">
        <v>0.36</v>
      </c>
      <c r="K11" s="41">
        <v>217.53</v>
      </c>
      <c r="L11" s="41">
        <v>18.27</v>
      </c>
      <c r="M11" s="41">
        <v>71.67</v>
      </c>
      <c r="N11" s="41">
        <v>1.2</v>
      </c>
      <c r="O11" s="41">
        <v>0</v>
      </c>
      <c r="P11" s="41">
        <v>1.1100000000000001</v>
      </c>
      <c r="Q11" s="41">
        <v>13.05</v>
      </c>
      <c r="R11" s="38"/>
      <c r="S11" s="38"/>
      <c r="T11" s="38"/>
      <c r="U11" s="38"/>
    </row>
    <row r="12" spans="1:21" customFormat="1">
      <c r="A12" s="40" t="s">
        <v>400</v>
      </c>
      <c r="B12" s="41">
        <v>30.19</v>
      </c>
      <c r="C12" s="41">
        <v>25.79</v>
      </c>
      <c r="D12" s="41">
        <v>38.81</v>
      </c>
      <c r="E12" s="41">
        <v>10.68</v>
      </c>
      <c r="F12" s="41">
        <v>6.67</v>
      </c>
      <c r="G12" s="41">
        <v>81.95</v>
      </c>
      <c r="H12" s="41">
        <v>22.84</v>
      </c>
      <c r="I12" s="41">
        <v>15.92</v>
      </c>
      <c r="J12" s="41">
        <v>0.66</v>
      </c>
      <c r="K12" s="41">
        <v>50.89</v>
      </c>
      <c r="L12" s="41">
        <v>19.28</v>
      </c>
      <c r="M12" s="41">
        <v>57.54</v>
      </c>
      <c r="N12" s="41">
        <v>1.2</v>
      </c>
      <c r="O12" s="41">
        <v>0</v>
      </c>
      <c r="P12" s="41">
        <v>0.97</v>
      </c>
      <c r="Q12" s="41">
        <v>13.06</v>
      </c>
      <c r="R12" s="38"/>
      <c r="S12" s="38"/>
      <c r="T12" s="38"/>
      <c r="U12" s="38"/>
    </row>
    <row r="13" spans="1:21" customFormat="1">
      <c r="A13" s="40" t="s">
        <v>401</v>
      </c>
      <c r="B13" s="41">
        <v>28.53</v>
      </c>
      <c r="C13" s="41">
        <v>25.7</v>
      </c>
      <c r="D13" s="41">
        <v>37.659999999999997</v>
      </c>
      <c r="E13" s="41">
        <v>10.34</v>
      </c>
      <c r="F13" s="41">
        <v>3.97</v>
      </c>
      <c r="G13" s="41">
        <v>81.95</v>
      </c>
      <c r="H13" s="41">
        <v>22.21</v>
      </c>
      <c r="I13" s="41">
        <v>15.29</v>
      </c>
      <c r="J13" s="41">
        <v>0.49</v>
      </c>
      <c r="K13" s="41">
        <v>69.849999999999994</v>
      </c>
      <c r="L13" s="41">
        <v>18.829999999999998</v>
      </c>
      <c r="M13" s="41">
        <v>60.87</v>
      </c>
      <c r="N13" s="41">
        <v>1.4</v>
      </c>
      <c r="O13" s="41">
        <v>0</v>
      </c>
      <c r="P13" s="41">
        <v>0.9</v>
      </c>
      <c r="Q13" s="41">
        <v>13.04</v>
      </c>
      <c r="R13" s="38"/>
      <c r="S13" s="38"/>
      <c r="T13" s="38"/>
      <c r="U13" s="38"/>
    </row>
    <row r="14" spans="1:21" customFormat="1">
      <c r="A14" s="40" t="s">
        <v>402</v>
      </c>
      <c r="B14" s="41">
        <v>27.28</v>
      </c>
      <c r="C14" s="41">
        <v>26.08</v>
      </c>
      <c r="D14" s="41">
        <v>36.549999999999997</v>
      </c>
      <c r="E14" s="41">
        <v>10.29</v>
      </c>
      <c r="F14" s="41">
        <v>4.09</v>
      </c>
      <c r="G14" s="41">
        <v>90.16</v>
      </c>
      <c r="H14" s="41">
        <v>21.72</v>
      </c>
      <c r="I14" s="41">
        <v>14.38</v>
      </c>
      <c r="J14" s="41">
        <v>0.68</v>
      </c>
      <c r="K14" s="41">
        <v>102.83</v>
      </c>
      <c r="L14" s="41">
        <v>18.690000000000001</v>
      </c>
      <c r="M14" s="41">
        <v>54.14</v>
      </c>
      <c r="N14" s="41">
        <v>1.5</v>
      </c>
      <c r="O14" s="41">
        <v>0</v>
      </c>
      <c r="P14" s="41">
        <v>0.86</v>
      </c>
      <c r="Q14" s="41">
        <v>13.05</v>
      </c>
      <c r="R14" s="38"/>
      <c r="S14" s="38"/>
      <c r="T14" s="38"/>
      <c r="U14" s="38"/>
    </row>
    <row r="15" spans="1:21" customFormat="1">
      <c r="A15" s="40" t="s">
        <v>403</v>
      </c>
      <c r="B15" s="41">
        <v>25.75</v>
      </c>
      <c r="C15" s="41">
        <v>26.11</v>
      </c>
      <c r="D15" s="41">
        <v>35.64</v>
      </c>
      <c r="E15" s="41">
        <v>10.220000000000001</v>
      </c>
      <c r="F15" s="41">
        <v>4.25</v>
      </c>
      <c r="G15" s="41">
        <v>90.16</v>
      </c>
      <c r="H15" s="41">
        <v>19.809999999999999</v>
      </c>
      <c r="I15" s="41">
        <v>14.13</v>
      </c>
      <c r="J15" s="41">
        <v>0.39</v>
      </c>
      <c r="K15" s="41">
        <v>170.74</v>
      </c>
      <c r="L15" s="41">
        <v>18.04</v>
      </c>
      <c r="M15" s="41">
        <v>62.73</v>
      </c>
      <c r="N15" s="41">
        <v>8.9</v>
      </c>
      <c r="O15" s="41">
        <v>0</v>
      </c>
      <c r="P15" s="41">
        <v>0.81</v>
      </c>
      <c r="Q15" s="41">
        <v>13.04</v>
      </c>
      <c r="R15" s="38"/>
      <c r="S15" s="38"/>
      <c r="T15" s="38"/>
      <c r="U15" s="38"/>
    </row>
    <row r="16" spans="1:21" customFormat="1">
      <c r="A16" s="40" t="s">
        <v>404</v>
      </c>
      <c r="B16" s="41">
        <v>25.33</v>
      </c>
      <c r="C16" s="41">
        <v>26.74</v>
      </c>
      <c r="D16" s="41">
        <v>35.590000000000003</v>
      </c>
      <c r="E16" s="41">
        <v>10.33</v>
      </c>
      <c r="F16" s="41">
        <v>7.74</v>
      </c>
      <c r="G16" s="41">
        <v>90.79</v>
      </c>
      <c r="H16" s="41">
        <v>22.06</v>
      </c>
      <c r="I16" s="41">
        <v>14.2</v>
      </c>
      <c r="J16" s="41">
        <v>0.56000000000000005</v>
      </c>
      <c r="K16" s="41">
        <v>83.18</v>
      </c>
      <c r="L16" s="41">
        <v>19.2</v>
      </c>
      <c r="M16" s="41">
        <v>54.83</v>
      </c>
      <c r="N16" s="41">
        <v>41.4</v>
      </c>
      <c r="O16" s="41">
        <v>0</v>
      </c>
      <c r="P16" s="41">
        <v>0.82</v>
      </c>
      <c r="Q16" s="41">
        <v>13.02</v>
      </c>
      <c r="R16" s="38"/>
      <c r="S16" s="38"/>
      <c r="T16" s="38"/>
      <c r="U16" s="38"/>
    </row>
    <row r="17" spans="1:21" customFormat="1">
      <c r="A17" s="40" t="s">
        <v>405</v>
      </c>
      <c r="B17" s="41">
        <v>24.83</v>
      </c>
      <c r="C17" s="41">
        <v>27.39</v>
      </c>
      <c r="D17" s="41">
        <v>35.47</v>
      </c>
      <c r="E17" s="41">
        <v>10.14</v>
      </c>
      <c r="F17" s="41">
        <v>12.62</v>
      </c>
      <c r="G17" s="41">
        <v>92.98</v>
      </c>
      <c r="H17" s="41">
        <v>25.04</v>
      </c>
      <c r="I17" s="41">
        <v>15.86</v>
      </c>
      <c r="J17" s="41">
        <v>0.74</v>
      </c>
      <c r="K17" s="41">
        <v>64.77</v>
      </c>
      <c r="L17" s="41">
        <v>22.41</v>
      </c>
      <c r="M17" s="41">
        <v>42.47</v>
      </c>
      <c r="N17" s="41">
        <v>202.7</v>
      </c>
      <c r="O17" s="41">
        <v>0</v>
      </c>
      <c r="P17" s="41">
        <v>0.85</v>
      </c>
      <c r="Q17" s="41">
        <v>13.04</v>
      </c>
      <c r="R17" s="38"/>
      <c r="S17" s="38"/>
      <c r="T17" s="38"/>
      <c r="U17" s="38"/>
    </row>
    <row r="18" spans="1:21" customFormat="1">
      <c r="A18" s="40" t="s">
        <v>406</v>
      </c>
      <c r="B18" s="41">
        <v>21.92</v>
      </c>
      <c r="C18" s="41">
        <v>27.13</v>
      </c>
      <c r="D18" s="41">
        <v>33.090000000000003</v>
      </c>
      <c r="E18" s="41">
        <v>10.27</v>
      </c>
      <c r="F18" s="41">
        <v>15.36</v>
      </c>
      <c r="G18" s="41">
        <v>92.98</v>
      </c>
      <c r="H18" s="41">
        <v>25.04</v>
      </c>
      <c r="I18" s="41">
        <v>15.76</v>
      </c>
      <c r="J18" s="41">
        <v>1.1299999999999999</v>
      </c>
      <c r="K18" s="41">
        <v>67.760000000000005</v>
      </c>
      <c r="L18" s="41">
        <v>24.86</v>
      </c>
      <c r="M18" s="41">
        <v>31.02</v>
      </c>
      <c r="N18" s="41">
        <v>290.5</v>
      </c>
      <c r="O18" s="41">
        <v>0</v>
      </c>
      <c r="P18" s="41">
        <v>0.83</v>
      </c>
      <c r="Q18" s="41">
        <v>13.03</v>
      </c>
      <c r="R18" s="38"/>
      <c r="S18" s="38"/>
      <c r="T18" s="38"/>
      <c r="U18" s="38"/>
    </row>
    <row r="19" spans="1:21" customFormat="1">
      <c r="A19" s="40" t="s">
        <v>407</v>
      </c>
      <c r="B19" s="41">
        <v>21.49</v>
      </c>
      <c r="C19" s="41">
        <v>26.64</v>
      </c>
      <c r="D19" s="41">
        <v>32.33</v>
      </c>
      <c r="E19" s="41">
        <v>12.04</v>
      </c>
      <c r="F19" s="41">
        <v>27.25</v>
      </c>
      <c r="G19" s="41">
        <v>72.48</v>
      </c>
      <c r="H19" s="41">
        <v>24.9</v>
      </c>
      <c r="I19" s="41">
        <v>14.49</v>
      </c>
      <c r="J19" s="41">
        <v>1.21</v>
      </c>
      <c r="K19" s="41">
        <v>58.57</v>
      </c>
      <c r="L19" s="41">
        <v>26.94</v>
      </c>
      <c r="M19" s="41">
        <v>25.52</v>
      </c>
      <c r="N19" s="41">
        <v>342.3</v>
      </c>
      <c r="O19" s="41">
        <v>0</v>
      </c>
      <c r="P19" s="41">
        <v>0.79</v>
      </c>
      <c r="Q19" s="41">
        <v>13.01</v>
      </c>
      <c r="R19" s="38"/>
      <c r="S19" s="38"/>
      <c r="T19" s="38"/>
      <c r="U19" s="38"/>
    </row>
    <row r="20" spans="1:21" customFormat="1">
      <c r="A20" s="40" t="s">
        <v>408</v>
      </c>
      <c r="B20" s="41">
        <v>18.690000000000001</v>
      </c>
      <c r="C20" s="41">
        <v>26.09</v>
      </c>
      <c r="D20" s="41">
        <v>29.97</v>
      </c>
      <c r="E20" s="41">
        <v>12.03</v>
      </c>
      <c r="F20" s="41">
        <v>38.630000000000003</v>
      </c>
      <c r="G20" s="41">
        <v>75.97</v>
      </c>
      <c r="H20" s="41">
        <v>26.14</v>
      </c>
      <c r="I20" s="41">
        <v>13.38</v>
      </c>
      <c r="J20" s="41">
        <v>0.81</v>
      </c>
      <c r="K20" s="41">
        <v>341.83</v>
      </c>
      <c r="L20" s="41">
        <v>28.69</v>
      </c>
      <c r="M20" s="41">
        <v>22.05</v>
      </c>
      <c r="N20" s="41">
        <v>353.8</v>
      </c>
      <c r="O20" s="41">
        <v>0</v>
      </c>
      <c r="P20" s="41">
        <v>0.75</v>
      </c>
      <c r="Q20" s="41">
        <v>13.02</v>
      </c>
      <c r="R20" s="38"/>
      <c r="S20" s="38"/>
      <c r="T20" s="38"/>
      <c r="U20" s="38"/>
    </row>
    <row r="21" spans="1:21" customFormat="1">
      <c r="A21" s="40" t="s">
        <v>409</v>
      </c>
      <c r="B21" s="41">
        <v>15.8</v>
      </c>
      <c r="C21" s="41">
        <v>25.84</v>
      </c>
      <c r="D21" s="41">
        <v>27.37</v>
      </c>
      <c r="E21" s="41">
        <v>11.7</v>
      </c>
      <c r="F21" s="41">
        <v>46.53</v>
      </c>
      <c r="G21" s="41">
        <v>75.97</v>
      </c>
      <c r="H21" s="41">
        <v>26.14</v>
      </c>
      <c r="I21" s="41">
        <v>12.54</v>
      </c>
      <c r="J21" s="41">
        <v>0.75</v>
      </c>
      <c r="K21" s="41">
        <v>71.37</v>
      </c>
      <c r="L21" s="41">
        <v>30.29</v>
      </c>
      <c r="M21" s="41">
        <v>17.25</v>
      </c>
      <c r="N21" s="41">
        <v>381.1</v>
      </c>
      <c r="O21" s="41">
        <v>0</v>
      </c>
      <c r="P21" s="41">
        <v>0.7</v>
      </c>
      <c r="Q21" s="41">
        <v>13</v>
      </c>
      <c r="R21" s="38"/>
      <c r="S21" s="38"/>
      <c r="T21" s="38"/>
      <c r="U21" s="38"/>
    </row>
    <row r="22" spans="1:21" customFormat="1">
      <c r="A22" s="40" t="s">
        <v>410</v>
      </c>
      <c r="B22" s="41">
        <v>10.55</v>
      </c>
      <c r="C22" s="41">
        <v>27.64</v>
      </c>
      <c r="D22" s="41">
        <v>23.56</v>
      </c>
      <c r="E22" s="41">
        <v>14.07</v>
      </c>
      <c r="F22" s="41">
        <v>40.299999999999997</v>
      </c>
      <c r="G22" s="41">
        <v>60.9</v>
      </c>
      <c r="H22" s="41">
        <v>24.46</v>
      </c>
      <c r="I22" s="41">
        <v>11.53</v>
      </c>
      <c r="J22" s="41">
        <v>0.73</v>
      </c>
      <c r="K22" s="41">
        <v>345.17</v>
      </c>
      <c r="L22" s="41">
        <v>31.24</v>
      </c>
      <c r="M22" s="41">
        <v>19.64</v>
      </c>
      <c r="N22" s="41">
        <v>363.4</v>
      </c>
      <c r="O22" s="41">
        <v>0</v>
      </c>
      <c r="P22" s="41">
        <v>0.56000000000000005</v>
      </c>
      <c r="Q22" s="41">
        <v>12.99</v>
      </c>
      <c r="R22" s="38"/>
      <c r="S22" s="38"/>
      <c r="T22" s="38"/>
      <c r="U22" s="38"/>
    </row>
    <row r="23" spans="1:21" customFormat="1">
      <c r="A23" s="40" t="s">
        <v>411</v>
      </c>
      <c r="B23" s="41">
        <v>6.47</v>
      </c>
      <c r="C23" s="41">
        <v>28.19</v>
      </c>
      <c r="D23" s="41">
        <v>21.08</v>
      </c>
      <c r="E23" s="41">
        <v>14.71</v>
      </c>
      <c r="F23" s="41">
        <v>43.29</v>
      </c>
      <c r="G23" s="41">
        <v>63.43</v>
      </c>
      <c r="H23" s="41">
        <v>26.66</v>
      </c>
      <c r="I23" s="41">
        <v>10.23</v>
      </c>
      <c r="J23" s="41">
        <v>1.45</v>
      </c>
      <c r="K23" s="41">
        <v>49.75</v>
      </c>
      <c r="L23" s="41">
        <v>31.18</v>
      </c>
      <c r="M23" s="41">
        <v>20.3</v>
      </c>
      <c r="N23" s="41">
        <v>320.10000000000002</v>
      </c>
      <c r="O23" s="41">
        <v>0</v>
      </c>
      <c r="P23" s="41">
        <v>0.62</v>
      </c>
      <c r="Q23" s="41">
        <v>12.97</v>
      </c>
      <c r="R23" s="38"/>
      <c r="S23" s="38"/>
      <c r="T23" s="38"/>
      <c r="U23" s="38"/>
    </row>
    <row r="24" spans="1:21" customFormat="1">
      <c r="A24" s="40" t="s">
        <v>412</v>
      </c>
      <c r="B24" s="41">
        <v>4.03</v>
      </c>
      <c r="C24" s="41">
        <v>27.46</v>
      </c>
      <c r="D24" s="41">
        <v>18.93</v>
      </c>
      <c r="E24" s="41">
        <v>16.75</v>
      </c>
      <c r="F24" s="41">
        <v>35.21</v>
      </c>
      <c r="G24" s="41">
        <v>69.14</v>
      </c>
      <c r="H24" s="41">
        <v>30.23</v>
      </c>
      <c r="I24" s="41">
        <v>9.58</v>
      </c>
      <c r="J24" s="41">
        <v>0.94</v>
      </c>
      <c r="K24" s="41">
        <v>354.03</v>
      </c>
      <c r="L24" s="41">
        <v>30.01</v>
      </c>
      <c r="M24" s="41">
        <v>23.22</v>
      </c>
      <c r="N24" s="41">
        <v>67.099999999999994</v>
      </c>
      <c r="O24" s="41">
        <v>0</v>
      </c>
      <c r="P24" s="41">
        <v>0.63</v>
      </c>
      <c r="Q24" s="41">
        <v>12.96</v>
      </c>
      <c r="R24" s="38"/>
      <c r="S24" s="38"/>
      <c r="T24" s="38"/>
      <c r="U24" s="38"/>
    </row>
    <row r="25" spans="1:21" customFormat="1">
      <c r="A25" s="40" t="s">
        <v>413</v>
      </c>
      <c r="B25" s="41">
        <v>4.5199999999999996</v>
      </c>
      <c r="C25" s="41">
        <v>26.91</v>
      </c>
      <c r="D25" s="41">
        <v>19.04</v>
      </c>
      <c r="E25" s="41">
        <v>17.989999999999998</v>
      </c>
      <c r="F25" s="41">
        <v>39.049999999999997</v>
      </c>
      <c r="G25" s="41">
        <v>71.7</v>
      </c>
      <c r="H25" s="41">
        <v>30.23</v>
      </c>
      <c r="I25" s="41">
        <v>8.8800000000000008</v>
      </c>
      <c r="J25" s="41">
        <v>1.1599999999999999</v>
      </c>
      <c r="K25" s="41">
        <v>359.34</v>
      </c>
      <c r="L25" s="41">
        <v>29.95</v>
      </c>
      <c r="M25" s="41">
        <v>23.53</v>
      </c>
      <c r="N25" s="41">
        <v>47</v>
      </c>
      <c r="O25" s="41">
        <v>0</v>
      </c>
      <c r="P25" s="41">
        <v>0.64</v>
      </c>
      <c r="Q25" s="41">
        <v>12.96</v>
      </c>
      <c r="R25" s="38"/>
      <c r="S25" s="38"/>
      <c r="T25" s="38"/>
      <c r="U25" s="38"/>
    </row>
    <row r="26" spans="1:21" customFormat="1">
      <c r="A26" s="40" t="s">
        <v>414</v>
      </c>
      <c r="B26" s="41">
        <v>5.87</v>
      </c>
      <c r="C26" s="41">
        <v>28.11</v>
      </c>
      <c r="D26" s="41">
        <v>20.46</v>
      </c>
      <c r="E26" s="41">
        <v>13.25</v>
      </c>
      <c r="F26" s="41">
        <v>34.71</v>
      </c>
      <c r="G26" s="41">
        <v>71.7</v>
      </c>
      <c r="H26" s="41">
        <v>29</v>
      </c>
      <c r="I26" s="41">
        <v>8.4499999999999993</v>
      </c>
      <c r="J26" s="41">
        <v>0.85</v>
      </c>
      <c r="K26" s="41">
        <v>53.91</v>
      </c>
      <c r="L26" s="41">
        <v>28.93</v>
      </c>
      <c r="M26" s="41">
        <v>25.7</v>
      </c>
      <c r="N26" s="41">
        <v>18.2</v>
      </c>
      <c r="O26" s="41">
        <v>0</v>
      </c>
      <c r="P26" s="41">
        <v>0.73</v>
      </c>
      <c r="Q26" s="41">
        <v>12.97</v>
      </c>
      <c r="R26" s="38"/>
      <c r="S26" s="38"/>
      <c r="T26" s="38"/>
      <c r="U26" s="38"/>
    </row>
    <row r="27" spans="1:21" customFormat="1">
      <c r="A27" s="40" t="s">
        <v>415</v>
      </c>
      <c r="B27" s="41">
        <v>8.35</v>
      </c>
      <c r="C27" s="41">
        <v>27.32</v>
      </c>
      <c r="D27" s="41">
        <v>21.61</v>
      </c>
      <c r="E27" s="41">
        <v>11.2</v>
      </c>
      <c r="F27" s="41">
        <v>39.549999999999997</v>
      </c>
      <c r="G27" s="41">
        <v>71.47</v>
      </c>
      <c r="H27" s="41">
        <v>29.27</v>
      </c>
      <c r="I27" s="41">
        <v>8.7899999999999991</v>
      </c>
      <c r="J27" s="41">
        <v>0.59</v>
      </c>
      <c r="K27" s="41">
        <v>105.17</v>
      </c>
      <c r="L27" s="41">
        <v>26.78</v>
      </c>
      <c r="M27" s="41">
        <v>39.369999999999997</v>
      </c>
      <c r="N27" s="41">
        <v>1.8</v>
      </c>
      <c r="O27" s="41">
        <v>0</v>
      </c>
      <c r="P27" s="41">
        <v>0.78</v>
      </c>
      <c r="Q27" s="41">
        <v>12.96</v>
      </c>
      <c r="R27" s="38"/>
      <c r="S27" s="38"/>
      <c r="T27" s="38"/>
      <c r="U27" s="38"/>
    </row>
    <row r="28" spans="1:21" customFormat="1">
      <c r="A28" s="40" t="s">
        <v>416</v>
      </c>
      <c r="B28" s="41">
        <v>11.1</v>
      </c>
      <c r="C28" s="41">
        <v>25.57</v>
      </c>
      <c r="D28" s="41">
        <v>23.23</v>
      </c>
      <c r="E28" s="41">
        <v>11.14</v>
      </c>
      <c r="F28" s="41">
        <v>22.08</v>
      </c>
      <c r="G28" s="41">
        <v>101.99</v>
      </c>
      <c r="H28" s="41">
        <v>29.27</v>
      </c>
      <c r="I28" s="41">
        <v>10.18</v>
      </c>
      <c r="J28" s="41">
        <v>0.47</v>
      </c>
      <c r="K28" s="41">
        <v>130.19999999999999</v>
      </c>
      <c r="L28" s="41">
        <v>24</v>
      </c>
      <c r="M28" s="41">
        <v>43.47</v>
      </c>
      <c r="N28" s="41">
        <v>1.6</v>
      </c>
      <c r="O28" s="41">
        <v>0</v>
      </c>
      <c r="P28" s="41">
        <v>0.86</v>
      </c>
      <c r="Q28" s="41">
        <v>12.97</v>
      </c>
      <c r="R28" s="38"/>
      <c r="S28" s="38"/>
      <c r="T28" s="38"/>
      <c r="U28" s="38"/>
    </row>
    <row r="29" spans="1:21" customFormat="1">
      <c r="A29" s="40" t="s">
        <v>417</v>
      </c>
      <c r="B29" s="41">
        <v>13.4</v>
      </c>
      <c r="C29" s="41">
        <v>24.78</v>
      </c>
      <c r="D29" s="41">
        <v>25.03</v>
      </c>
      <c r="E29" s="41">
        <v>10.99</v>
      </c>
      <c r="F29" s="41">
        <v>9.17</v>
      </c>
      <c r="G29" s="41">
        <v>102.06</v>
      </c>
      <c r="H29" s="41">
        <v>29.22</v>
      </c>
      <c r="I29" s="41">
        <v>12.09</v>
      </c>
      <c r="J29" s="41">
        <v>0.23</v>
      </c>
      <c r="K29" s="41">
        <v>185.71</v>
      </c>
      <c r="L29" s="41">
        <v>22.87</v>
      </c>
      <c r="M29" s="41">
        <v>55.56</v>
      </c>
      <c r="N29" s="41">
        <v>1.6</v>
      </c>
      <c r="O29" s="41">
        <v>0</v>
      </c>
      <c r="P29" s="41">
        <v>0.92</v>
      </c>
      <c r="Q29" s="41">
        <v>12.98</v>
      </c>
      <c r="R29" s="38"/>
      <c r="S29" s="38"/>
      <c r="T29" s="38"/>
      <c r="U29" s="38"/>
    </row>
    <row r="30" spans="1:21" customFormat="1">
      <c r="A30" s="40" t="s">
        <v>418</v>
      </c>
      <c r="B30" s="41">
        <v>16.059999999999999</v>
      </c>
      <c r="C30" s="41">
        <v>24.82</v>
      </c>
      <c r="D30" s="41">
        <v>27.2</v>
      </c>
      <c r="E30" s="41">
        <v>11.07</v>
      </c>
      <c r="F30" s="41">
        <v>4.16</v>
      </c>
      <c r="G30" s="41">
        <v>108.29</v>
      </c>
      <c r="H30" s="41">
        <v>28.89</v>
      </c>
      <c r="I30" s="41">
        <v>12.69</v>
      </c>
      <c r="J30" s="41">
        <v>0.27</v>
      </c>
      <c r="K30" s="41">
        <v>173.23</v>
      </c>
      <c r="L30" s="41">
        <v>20.190000000000001</v>
      </c>
      <c r="M30" s="41">
        <v>60.17</v>
      </c>
      <c r="N30" s="41">
        <v>1.2</v>
      </c>
      <c r="O30" s="41">
        <v>0</v>
      </c>
      <c r="P30" s="41">
        <v>0.99</v>
      </c>
      <c r="Q30" s="41">
        <v>12.98</v>
      </c>
      <c r="R30" s="38"/>
      <c r="S30" s="38"/>
      <c r="T30" s="38"/>
      <c r="U30" s="38"/>
    </row>
    <row r="31" spans="1:21" customFormat="1">
      <c r="A31" s="40" t="s">
        <v>419</v>
      </c>
      <c r="B31" s="41">
        <v>23.02</v>
      </c>
      <c r="C31" s="41">
        <v>25.89</v>
      </c>
      <c r="D31" s="41">
        <v>33.340000000000003</v>
      </c>
      <c r="E31" s="41">
        <v>11.32</v>
      </c>
      <c r="F31" s="41">
        <v>3.58</v>
      </c>
      <c r="G31" s="41">
        <v>117.26</v>
      </c>
      <c r="H31" s="41">
        <v>27.83</v>
      </c>
      <c r="I31" s="41">
        <v>12.9</v>
      </c>
      <c r="J31" s="41">
        <v>0.2</v>
      </c>
      <c r="K31" s="41">
        <v>122.14</v>
      </c>
      <c r="L31" s="41">
        <v>20.38</v>
      </c>
      <c r="M31" s="41">
        <v>50.44</v>
      </c>
      <c r="N31" s="41">
        <v>0.9</v>
      </c>
      <c r="O31" s="41">
        <v>0</v>
      </c>
      <c r="P31" s="41">
        <v>1.01</v>
      </c>
      <c r="Q31" s="41">
        <v>13.03</v>
      </c>
      <c r="R31" s="38"/>
      <c r="S31" s="38"/>
      <c r="T31" s="38"/>
      <c r="U31" s="38"/>
    </row>
    <row r="32" spans="1:21" customFormat="1">
      <c r="A32" s="40" t="s">
        <v>420</v>
      </c>
      <c r="B32" s="41">
        <v>25</v>
      </c>
      <c r="C32" s="41">
        <v>27.45</v>
      </c>
      <c r="D32" s="41">
        <v>35.74</v>
      </c>
      <c r="E32" s="41">
        <v>11.85</v>
      </c>
      <c r="F32" s="41">
        <v>3.75</v>
      </c>
      <c r="G32" s="41">
        <v>140.65</v>
      </c>
      <c r="H32" s="41">
        <v>26.82</v>
      </c>
      <c r="I32" s="41">
        <v>12.91</v>
      </c>
      <c r="J32" s="41">
        <v>0.28999999999999998</v>
      </c>
      <c r="K32" s="41">
        <v>117.12</v>
      </c>
      <c r="L32" s="41">
        <v>20.13</v>
      </c>
      <c r="M32" s="41">
        <v>47</v>
      </c>
      <c r="N32" s="41">
        <v>0.9</v>
      </c>
      <c r="O32" s="41">
        <v>0</v>
      </c>
      <c r="P32" s="41">
        <v>0.94</v>
      </c>
      <c r="Q32" s="41">
        <v>13.04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4.03</v>
      </c>
      <c r="C34" s="18">
        <f t="shared" si="0"/>
        <v>24.78</v>
      </c>
      <c r="D34" s="18">
        <f t="shared" si="0"/>
        <v>18.93</v>
      </c>
      <c r="E34" s="18">
        <f t="shared" si="0"/>
        <v>9.92</v>
      </c>
      <c r="F34" s="18">
        <f t="shared" si="0"/>
        <v>3.58</v>
      </c>
      <c r="G34" s="18">
        <f t="shared" si="0"/>
        <v>60.9</v>
      </c>
      <c r="H34" s="18">
        <f t="shared" si="0"/>
        <v>19.809999999999999</v>
      </c>
      <c r="I34" s="18">
        <f t="shared" si="0"/>
        <v>8.4499999999999993</v>
      </c>
      <c r="J34" s="18">
        <f t="shared" si="0"/>
        <v>0.2</v>
      </c>
      <c r="K34" s="18">
        <f t="shared" si="0"/>
        <v>49.75</v>
      </c>
      <c r="L34" s="18">
        <f t="shared" si="0"/>
        <v>18.04</v>
      </c>
      <c r="M34" s="18">
        <f t="shared" si="0"/>
        <v>17.25</v>
      </c>
      <c r="N34" s="18">
        <f t="shared" si="0"/>
        <v>0.9</v>
      </c>
      <c r="O34" s="18">
        <f t="shared" si="0"/>
        <v>0</v>
      </c>
      <c r="P34" s="18">
        <f t="shared" si="0"/>
        <v>0.56000000000000005</v>
      </c>
      <c r="Q34" s="18">
        <f t="shared" si="0"/>
        <v>12.96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32.909999999999997</v>
      </c>
      <c r="C35" s="3">
        <f t="shared" si="1"/>
        <v>28.19</v>
      </c>
      <c r="D35" s="3">
        <f t="shared" si="1"/>
        <v>42.22</v>
      </c>
      <c r="E35" s="3">
        <f t="shared" si="1"/>
        <v>17.989999999999998</v>
      </c>
      <c r="F35" s="3">
        <f t="shared" si="1"/>
        <v>46.53</v>
      </c>
      <c r="G35" s="3">
        <f t="shared" si="1"/>
        <v>140.65</v>
      </c>
      <c r="H35" s="3">
        <f t="shared" si="1"/>
        <v>30.23</v>
      </c>
      <c r="I35" s="3">
        <f t="shared" si="1"/>
        <v>17.989999999999998</v>
      </c>
      <c r="J35" s="3">
        <f t="shared" si="1"/>
        <v>1.45</v>
      </c>
      <c r="K35" s="3">
        <f t="shared" si="1"/>
        <v>359.34</v>
      </c>
      <c r="L35" s="3">
        <f t="shared" si="1"/>
        <v>31.24</v>
      </c>
      <c r="M35" s="3">
        <f t="shared" si="1"/>
        <v>71.73</v>
      </c>
      <c r="N35" s="3">
        <f t="shared" si="1"/>
        <v>381.1</v>
      </c>
      <c r="O35" s="3">
        <f t="shared" si="1"/>
        <v>0</v>
      </c>
      <c r="P35" s="3">
        <f t="shared" si="1"/>
        <v>1.1200000000000001</v>
      </c>
      <c r="Q35" s="3">
        <f t="shared" si="1"/>
        <v>13.07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19.378333333333334</v>
      </c>
      <c r="C36" s="18">
        <f t="shared" si="2"/>
        <v>26.614166666666666</v>
      </c>
      <c r="D36" s="18">
        <f t="shared" si="2"/>
        <v>30.6525</v>
      </c>
      <c r="E36" s="18">
        <f t="shared" si="2"/>
        <v>11.76375</v>
      </c>
      <c r="F36" s="18">
        <f t="shared" si="2"/>
        <v>18.939583333333335</v>
      </c>
      <c r="G36" s="18">
        <f t="shared" si="2"/>
        <v>88.631250000000009</v>
      </c>
      <c r="H36" s="18">
        <f t="shared" si="2"/>
        <v>26.16083333333334</v>
      </c>
      <c r="I36" s="18">
        <f t="shared" si="2"/>
        <v>13.163749999999999</v>
      </c>
      <c r="J36" s="18">
        <f t="shared" si="2"/>
        <v>0.64291666666666658</v>
      </c>
      <c r="K36" s="18">
        <f t="shared" si="2"/>
        <v>153.79166666666666</v>
      </c>
      <c r="L36" s="18">
        <f t="shared" si="2"/>
        <v>23.730833333333337</v>
      </c>
      <c r="M36" s="18">
        <f t="shared" si="2"/>
        <v>43.669166666666662</v>
      </c>
      <c r="N36" s="18">
        <f t="shared" si="2"/>
        <v>102.20416666666665</v>
      </c>
      <c r="O36" s="18">
        <f t="shared" si="2"/>
        <v>0</v>
      </c>
      <c r="P36" s="18">
        <f t="shared" si="2"/>
        <v>0.84625000000000006</v>
      </c>
      <c r="Q36" s="18">
        <f t="shared" si="2"/>
        <v>13.012500000000003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9.4654101023567367</v>
      </c>
      <c r="C37" s="18">
        <f t="shared" ref="C37:Q37" si="3">STDEV(C9:C32)</f>
        <v>0.99310631098968261</v>
      </c>
      <c r="D37" s="18">
        <f t="shared" si="3"/>
        <v>7.5721791992851744</v>
      </c>
      <c r="E37" s="18">
        <f t="shared" si="3"/>
        <v>2.1485663824978833</v>
      </c>
      <c r="F37" s="18">
        <f t="shared" si="3"/>
        <v>16.207200621722237</v>
      </c>
      <c r="G37" s="18">
        <f t="shared" si="3"/>
        <v>18.989590354924069</v>
      </c>
      <c r="H37" s="18">
        <f t="shared" si="3"/>
        <v>3.0479599972649343</v>
      </c>
      <c r="I37" s="18">
        <f t="shared" si="3"/>
        <v>2.7759069219140748</v>
      </c>
      <c r="J37" s="18">
        <f t="shared" si="3"/>
        <v>0.35122740269773534</v>
      </c>
      <c r="K37" s="18">
        <f t="shared" si="3"/>
        <v>103.62854943484935</v>
      </c>
      <c r="L37" s="18">
        <f t="shared" si="3"/>
        <v>4.8385399492594461</v>
      </c>
      <c r="M37" s="18">
        <f t="shared" si="3"/>
        <v>18.245857163290204</v>
      </c>
      <c r="N37" s="18">
        <f t="shared" si="3"/>
        <v>148.28653074124895</v>
      </c>
      <c r="O37" s="18">
        <f t="shared" si="3"/>
        <v>0</v>
      </c>
      <c r="P37" s="18">
        <f t="shared" si="3"/>
        <v>0.15827363481723927</v>
      </c>
      <c r="Q37" s="18">
        <f t="shared" si="3"/>
        <v>3.6623822135681917E-2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2" activePane="bottomRight" state="frozen"/>
      <selection activeCell="G19" sqref="G19"/>
      <selection pane="topRight" activeCell="G19" sqref="G19"/>
      <selection pane="bottomLeft" activeCell="G19" sqref="G19"/>
      <selection pane="bottomRight" activeCell="H23" sqref="H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421</v>
      </c>
      <c r="B9" s="41">
        <v>26.58</v>
      </c>
      <c r="C9" s="41">
        <v>28.42</v>
      </c>
      <c r="D9" s="41">
        <v>37.51</v>
      </c>
      <c r="E9" s="41">
        <v>11.54</v>
      </c>
      <c r="F9" s="41">
        <v>4.37</v>
      </c>
      <c r="G9" s="41">
        <v>142.41999999999999</v>
      </c>
      <c r="H9" s="41">
        <v>29.96</v>
      </c>
      <c r="I9" s="41">
        <v>12.44</v>
      </c>
      <c r="J9" s="41">
        <v>0.34</v>
      </c>
      <c r="K9" s="41">
        <v>105.17</v>
      </c>
      <c r="L9" s="41">
        <v>19.559999999999999</v>
      </c>
      <c r="M9" s="41">
        <v>44.58</v>
      </c>
      <c r="N9" s="41">
        <v>1</v>
      </c>
      <c r="O9" s="41">
        <v>0</v>
      </c>
      <c r="P9" s="41">
        <v>0.89</v>
      </c>
      <c r="Q9" s="41">
        <v>13.05</v>
      </c>
      <c r="R9" s="38"/>
      <c r="S9" s="38"/>
      <c r="T9" s="38"/>
      <c r="U9" s="38"/>
    </row>
    <row r="10" spans="1:21" customFormat="1">
      <c r="A10" s="40" t="s">
        <v>422</v>
      </c>
      <c r="B10" s="41">
        <v>26.73</v>
      </c>
      <c r="C10" s="41">
        <v>28.59</v>
      </c>
      <c r="D10" s="41">
        <v>37.67</v>
      </c>
      <c r="E10" s="41">
        <v>11.8</v>
      </c>
      <c r="F10" s="41">
        <v>4.92</v>
      </c>
      <c r="G10" s="41">
        <v>151.03</v>
      </c>
      <c r="H10" s="41">
        <v>29.96</v>
      </c>
      <c r="I10" s="41">
        <v>11.63</v>
      </c>
      <c r="J10" s="41">
        <v>0.42</v>
      </c>
      <c r="K10" s="41">
        <v>80.209999999999994</v>
      </c>
      <c r="L10" s="41">
        <v>19.32</v>
      </c>
      <c r="M10" s="41">
        <v>42.25</v>
      </c>
      <c r="N10" s="41">
        <v>0.9</v>
      </c>
      <c r="O10" s="41">
        <v>0</v>
      </c>
      <c r="P10" s="41">
        <v>0.83</v>
      </c>
      <c r="Q10" s="41">
        <v>13.05</v>
      </c>
      <c r="R10" s="38"/>
      <c r="S10" s="38"/>
      <c r="T10" s="38"/>
      <c r="U10" s="38"/>
    </row>
    <row r="11" spans="1:21" customFormat="1">
      <c r="A11" s="40" t="s">
        <v>423</v>
      </c>
      <c r="B11" s="41">
        <v>25.68</v>
      </c>
      <c r="C11" s="41">
        <v>28.47</v>
      </c>
      <c r="D11" s="41">
        <v>36.799999999999997</v>
      </c>
      <c r="E11" s="41">
        <v>10.87</v>
      </c>
      <c r="F11" s="41">
        <v>3.97</v>
      </c>
      <c r="G11" s="41">
        <v>151.03</v>
      </c>
      <c r="H11" s="41">
        <v>27.41</v>
      </c>
      <c r="I11" s="41">
        <v>10.84</v>
      </c>
      <c r="J11" s="41">
        <v>0.19</v>
      </c>
      <c r="K11" s="41">
        <v>178.37</v>
      </c>
      <c r="L11" s="41">
        <v>18.59</v>
      </c>
      <c r="M11" s="41">
        <v>59.62</v>
      </c>
      <c r="N11" s="41">
        <v>1.6</v>
      </c>
      <c r="O11" s="41">
        <v>0</v>
      </c>
      <c r="P11" s="41">
        <v>0.77</v>
      </c>
      <c r="Q11" s="41">
        <v>13.04</v>
      </c>
      <c r="R11" s="38"/>
      <c r="S11" s="38"/>
      <c r="T11" s="38"/>
      <c r="U11" s="38"/>
    </row>
    <row r="12" spans="1:21" customFormat="1">
      <c r="A12" s="40" t="s">
        <v>424</v>
      </c>
      <c r="B12" s="41">
        <v>28.84</v>
      </c>
      <c r="C12" s="41">
        <v>28.79</v>
      </c>
      <c r="D12" s="41">
        <v>39.53</v>
      </c>
      <c r="E12" s="41">
        <v>11.06</v>
      </c>
      <c r="F12" s="41">
        <v>3.69</v>
      </c>
      <c r="G12" s="41">
        <v>147.38999999999999</v>
      </c>
      <c r="H12" s="41">
        <v>26.51</v>
      </c>
      <c r="I12" s="41">
        <v>10.26</v>
      </c>
      <c r="J12" s="41">
        <v>0.23</v>
      </c>
      <c r="K12" s="41">
        <v>165.41</v>
      </c>
      <c r="L12" s="41">
        <v>16.86</v>
      </c>
      <c r="M12" s="41">
        <v>59.88</v>
      </c>
      <c r="N12" s="41">
        <v>1.1000000000000001</v>
      </c>
      <c r="O12" s="41">
        <v>0</v>
      </c>
      <c r="P12" s="41">
        <v>0.79</v>
      </c>
      <c r="Q12" s="41">
        <v>13.04</v>
      </c>
      <c r="R12" s="38"/>
      <c r="S12" s="38"/>
      <c r="T12" s="38"/>
      <c r="U12" s="38"/>
    </row>
    <row r="13" spans="1:21" customFormat="1">
      <c r="A13" s="40" t="s">
        <v>425</v>
      </c>
      <c r="B13" s="41">
        <v>29.01</v>
      </c>
      <c r="C13" s="41">
        <v>28.71</v>
      </c>
      <c r="D13" s="41">
        <v>39.619999999999997</v>
      </c>
      <c r="E13" s="41">
        <v>10.7</v>
      </c>
      <c r="F13" s="41">
        <v>3.63</v>
      </c>
      <c r="G13" s="41">
        <v>136.66</v>
      </c>
      <c r="H13" s="41">
        <v>23.62</v>
      </c>
      <c r="I13" s="41">
        <v>9.84</v>
      </c>
      <c r="J13" s="41">
        <v>0.2</v>
      </c>
      <c r="K13" s="41">
        <v>207.78</v>
      </c>
      <c r="L13" s="41">
        <v>15.31</v>
      </c>
      <c r="M13" s="41">
        <v>73.69</v>
      </c>
      <c r="N13" s="41">
        <v>1.3</v>
      </c>
      <c r="O13" s="41">
        <v>0</v>
      </c>
      <c r="P13" s="41">
        <v>0.78</v>
      </c>
      <c r="Q13" s="41">
        <v>13.05</v>
      </c>
      <c r="R13" s="38"/>
      <c r="S13" s="38"/>
      <c r="T13" s="38"/>
      <c r="U13" s="38"/>
    </row>
    <row r="14" spans="1:21" customFormat="1">
      <c r="A14" s="40" t="s">
        <v>426</v>
      </c>
      <c r="B14" s="41">
        <v>25.81</v>
      </c>
      <c r="C14" s="41">
        <v>26.27</v>
      </c>
      <c r="D14" s="41">
        <v>35.770000000000003</v>
      </c>
      <c r="E14" s="41">
        <v>9.85</v>
      </c>
      <c r="F14" s="41">
        <v>3.67</v>
      </c>
      <c r="G14" s="41">
        <v>113.75</v>
      </c>
      <c r="H14" s="41">
        <v>20.09</v>
      </c>
      <c r="I14" s="41">
        <v>9.3800000000000008</v>
      </c>
      <c r="J14" s="41">
        <v>0.18</v>
      </c>
      <c r="K14" s="41">
        <v>216.06</v>
      </c>
      <c r="L14" s="41">
        <v>13.87</v>
      </c>
      <c r="M14" s="41">
        <v>77.17</v>
      </c>
      <c r="N14" s="41">
        <v>1</v>
      </c>
      <c r="O14" s="41">
        <v>0</v>
      </c>
      <c r="P14" s="41">
        <v>0.75</v>
      </c>
      <c r="Q14" s="41">
        <v>13.03</v>
      </c>
      <c r="R14" s="38"/>
      <c r="S14" s="38"/>
      <c r="T14" s="38"/>
      <c r="U14" s="38"/>
    </row>
    <row r="15" spans="1:21" customFormat="1">
      <c r="A15" s="40" t="s">
        <v>427</v>
      </c>
      <c r="B15" s="41">
        <v>21.99</v>
      </c>
      <c r="C15" s="41">
        <v>24.59</v>
      </c>
      <c r="D15" s="41">
        <v>31.83</v>
      </c>
      <c r="E15" s="41">
        <v>9.31</v>
      </c>
      <c r="F15" s="41">
        <v>3.73</v>
      </c>
      <c r="G15" s="41">
        <v>101.29</v>
      </c>
      <c r="H15" s="41">
        <v>17.760000000000002</v>
      </c>
      <c r="I15" s="41">
        <v>9.0399999999999991</v>
      </c>
      <c r="J15" s="41">
        <v>0.19</v>
      </c>
      <c r="K15" s="41">
        <v>180.47</v>
      </c>
      <c r="L15" s="41">
        <v>13.38</v>
      </c>
      <c r="M15" s="41">
        <v>77.650000000000006</v>
      </c>
      <c r="N15" s="41">
        <v>7.4</v>
      </c>
      <c r="O15" s="41">
        <v>0</v>
      </c>
      <c r="P15" s="41">
        <v>0.73</v>
      </c>
      <c r="Q15" s="41">
        <v>13.03</v>
      </c>
      <c r="R15" s="38"/>
      <c r="S15" s="38"/>
      <c r="T15" s="38"/>
      <c r="U15" s="38"/>
    </row>
    <row r="16" spans="1:21" customFormat="1">
      <c r="A16" s="40" t="s">
        <v>428</v>
      </c>
      <c r="B16" s="41">
        <v>19.23</v>
      </c>
      <c r="C16" s="41">
        <v>23.1</v>
      </c>
      <c r="D16" s="41">
        <v>28.84</v>
      </c>
      <c r="E16" s="41">
        <v>9.5</v>
      </c>
      <c r="F16" s="41">
        <v>8.2200000000000006</v>
      </c>
      <c r="G16" s="41">
        <v>81.010000000000005</v>
      </c>
      <c r="H16" s="41">
        <v>17.170000000000002</v>
      </c>
      <c r="I16" s="41">
        <v>8.85</v>
      </c>
      <c r="J16" s="41">
        <v>0.11</v>
      </c>
      <c r="K16" s="41">
        <v>172.93</v>
      </c>
      <c r="L16" s="41">
        <v>16.34</v>
      </c>
      <c r="M16" s="41">
        <v>78.38</v>
      </c>
      <c r="N16" s="41">
        <v>31</v>
      </c>
      <c r="O16" s="41">
        <v>0</v>
      </c>
      <c r="P16" s="41">
        <v>0.78</v>
      </c>
      <c r="Q16" s="41">
        <v>13</v>
      </c>
      <c r="R16" s="38"/>
      <c r="S16" s="38"/>
      <c r="T16" s="38"/>
      <c r="U16" s="38"/>
    </row>
    <row r="17" spans="1:21" customFormat="1">
      <c r="A17" s="40" t="s">
        <v>429</v>
      </c>
      <c r="B17" s="41">
        <v>17.71</v>
      </c>
      <c r="C17" s="41">
        <v>25.69</v>
      </c>
      <c r="D17" s="41">
        <v>28</v>
      </c>
      <c r="E17" s="41">
        <v>9.7100000000000009</v>
      </c>
      <c r="F17" s="41">
        <v>17.329999999999998</v>
      </c>
      <c r="G17" s="41">
        <v>78.91</v>
      </c>
      <c r="H17" s="41">
        <v>20.02</v>
      </c>
      <c r="I17" s="41">
        <v>9.41</v>
      </c>
      <c r="J17" s="41">
        <v>0.85</v>
      </c>
      <c r="K17" s="41">
        <v>143.74</v>
      </c>
      <c r="L17" s="41">
        <v>22.22</v>
      </c>
      <c r="M17" s="41">
        <v>50.72</v>
      </c>
      <c r="N17" s="41">
        <v>264.10000000000002</v>
      </c>
      <c r="O17" s="41">
        <v>0</v>
      </c>
      <c r="P17" s="41">
        <v>0.76</v>
      </c>
      <c r="Q17" s="41">
        <v>13.02</v>
      </c>
      <c r="R17" s="38"/>
      <c r="S17" s="38"/>
      <c r="T17" s="38"/>
      <c r="U17" s="38"/>
    </row>
    <row r="18" spans="1:21" customFormat="1">
      <c r="A18" s="40" t="s">
        <v>430</v>
      </c>
      <c r="B18" s="41">
        <v>14.26</v>
      </c>
      <c r="C18" s="41">
        <v>27.02</v>
      </c>
      <c r="D18" s="41">
        <v>26.54</v>
      </c>
      <c r="E18" s="41">
        <v>10.44</v>
      </c>
      <c r="F18" s="41">
        <v>36.35</v>
      </c>
      <c r="G18" s="41">
        <v>77.040000000000006</v>
      </c>
      <c r="H18" s="41">
        <v>26.97</v>
      </c>
      <c r="I18" s="41">
        <v>10.16</v>
      </c>
      <c r="J18" s="41">
        <v>0.56999999999999995</v>
      </c>
      <c r="K18" s="41">
        <v>97.96</v>
      </c>
      <c r="L18" s="41">
        <v>26.06</v>
      </c>
      <c r="M18" s="41">
        <v>27.53</v>
      </c>
      <c r="N18" s="41">
        <v>363.6</v>
      </c>
      <c r="O18" s="41">
        <v>0</v>
      </c>
      <c r="P18" s="41">
        <v>0.73</v>
      </c>
      <c r="Q18" s="41">
        <v>13</v>
      </c>
      <c r="R18" s="38"/>
      <c r="S18" s="38"/>
      <c r="T18" s="38"/>
      <c r="U18" s="38"/>
    </row>
    <row r="19" spans="1:21" customFormat="1">
      <c r="A19" s="40" t="s">
        <v>431</v>
      </c>
      <c r="B19" s="41">
        <v>8.42</v>
      </c>
      <c r="C19" s="41">
        <v>26.99</v>
      </c>
      <c r="D19" s="41">
        <v>22.21</v>
      </c>
      <c r="E19" s="41">
        <v>10.43</v>
      </c>
      <c r="F19" s="41">
        <v>42.51</v>
      </c>
      <c r="G19" s="41">
        <v>73.48</v>
      </c>
      <c r="H19" s="41">
        <v>33.18</v>
      </c>
      <c r="I19" s="41">
        <v>10.199999999999999</v>
      </c>
      <c r="J19" s="41">
        <v>0.75</v>
      </c>
      <c r="K19" s="41">
        <v>74.98</v>
      </c>
      <c r="L19" s="41">
        <v>28.26</v>
      </c>
      <c r="M19" s="41">
        <v>21.98</v>
      </c>
      <c r="N19" s="41">
        <v>397.5</v>
      </c>
      <c r="O19" s="41">
        <v>0</v>
      </c>
      <c r="P19" s="41">
        <v>0.69</v>
      </c>
      <c r="Q19" s="41">
        <v>12.98</v>
      </c>
      <c r="R19" s="38"/>
      <c r="S19" s="38"/>
      <c r="T19" s="38"/>
      <c r="U19" s="38"/>
    </row>
    <row r="20" spans="1:21" customFormat="1">
      <c r="A20" s="40" t="s">
        <v>432</v>
      </c>
      <c r="B20" s="41">
        <v>4.67</v>
      </c>
      <c r="C20" s="41">
        <v>26.53</v>
      </c>
      <c r="D20" s="41">
        <v>18.95</v>
      </c>
      <c r="E20" s="41">
        <v>10.54</v>
      </c>
      <c r="F20" s="41">
        <v>56.17</v>
      </c>
      <c r="G20" s="41">
        <v>63.76</v>
      </c>
      <c r="H20" s="41">
        <v>33.18</v>
      </c>
      <c r="I20" s="41">
        <v>9.93</v>
      </c>
      <c r="J20" s="41">
        <v>1.01</v>
      </c>
      <c r="K20" s="41">
        <v>81.39</v>
      </c>
      <c r="L20" s="41">
        <v>29.77</v>
      </c>
      <c r="M20" s="41">
        <v>17.82</v>
      </c>
      <c r="N20" s="41">
        <v>401.1</v>
      </c>
      <c r="O20" s="41">
        <v>0</v>
      </c>
      <c r="P20" s="41">
        <v>0.68</v>
      </c>
      <c r="Q20" s="41">
        <v>12.98</v>
      </c>
      <c r="R20" s="38"/>
      <c r="S20" s="38"/>
      <c r="T20" s="38"/>
      <c r="U20" s="38"/>
    </row>
    <row r="21" spans="1:21" customFormat="1">
      <c r="A21" s="40" t="s">
        <v>433</v>
      </c>
      <c r="B21" s="41">
        <v>3.94</v>
      </c>
      <c r="C21" s="41">
        <v>24.4</v>
      </c>
      <c r="D21" s="41">
        <v>17.22</v>
      </c>
      <c r="E21" s="41">
        <v>10.6</v>
      </c>
      <c r="F21" s="41">
        <v>57.38</v>
      </c>
      <c r="G21" s="41">
        <v>63.76</v>
      </c>
      <c r="H21" s="41">
        <v>31.64</v>
      </c>
      <c r="I21" s="41">
        <v>9.4700000000000006</v>
      </c>
      <c r="J21" s="41">
        <v>1.1299999999999999</v>
      </c>
      <c r="K21" s="41">
        <v>55.34</v>
      </c>
      <c r="L21" s="41">
        <v>31.09</v>
      </c>
      <c r="M21" s="41">
        <v>13.1</v>
      </c>
      <c r="N21" s="41">
        <v>418.1</v>
      </c>
      <c r="O21" s="41">
        <v>0</v>
      </c>
      <c r="P21" s="41">
        <v>0.64</v>
      </c>
      <c r="Q21" s="41">
        <v>12.97</v>
      </c>
      <c r="R21" s="38"/>
      <c r="S21" s="38"/>
      <c r="T21" s="38"/>
      <c r="U21" s="38"/>
    </row>
    <row r="22" spans="1:21" customFormat="1">
      <c r="A22" s="40" t="s">
        <v>434</v>
      </c>
      <c r="B22" s="41">
        <v>4.1900000000000004</v>
      </c>
      <c r="C22" s="41">
        <v>22.61</v>
      </c>
      <c r="D22" s="41">
        <v>16.28</v>
      </c>
      <c r="E22" s="41">
        <v>10.27</v>
      </c>
      <c r="F22" s="41">
        <v>61.4</v>
      </c>
      <c r="G22" s="41">
        <v>61.53</v>
      </c>
      <c r="H22" s="41">
        <v>30.27</v>
      </c>
      <c r="I22" s="41">
        <v>8.8800000000000008</v>
      </c>
      <c r="J22" s="41">
        <v>0.89</v>
      </c>
      <c r="K22" s="41">
        <v>330.98</v>
      </c>
      <c r="L22" s="41">
        <v>32.22</v>
      </c>
      <c r="M22" s="41">
        <v>9.68</v>
      </c>
      <c r="N22" s="41">
        <v>402.8</v>
      </c>
      <c r="O22" s="41">
        <v>0</v>
      </c>
      <c r="P22" s="41">
        <v>0.65</v>
      </c>
      <c r="Q22" s="41">
        <v>12.96</v>
      </c>
      <c r="R22" s="38"/>
      <c r="S22" s="38"/>
      <c r="T22" s="38"/>
      <c r="U22" s="38"/>
    </row>
    <row r="23" spans="1:21" customFormat="1">
      <c r="A23" s="40" t="s">
        <v>435</v>
      </c>
      <c r="B23" s="41">
        <v>4.2300000000000004</v>
      </c>
      <c r="C23" s="41">
        <v>20.41</v>
      </c>
      <c r="D23" s="41">
        <v>15.41</v>
      </c>
      <c r="E23" s="41">
        <v>11.24</v>
      </c>
      <c r="F23" s="41">
        <v>54.12</v>
      </c>
      <c r="G23" s="41">
        <v>52.91</v>
      </c>
      <c r="H23" s="41">
        <v>29.48</v>
      </c>
      <c r="I23" s="41">
        <v>8</v>
      </c>
      <c r="J23" s="41">
        <v>0.42</v>
      </c>
      <c r="K23" s="41">
        <v>302.92</v>
      </c>
      <c r="L23" s="41">
        <v>32.47</v>
      </c>
      <c r="M23" s="41">
        <v>9.86</v>
      </c>
      <c r="N23" s="41">
        <v>398.4</v>
      </c>
      <c r="O23" s="41">
        <v>0</v>
      </c>
      <c r="P23" s="41">
        <v>0.5</v>
      </c>
      <c r="Q23" s="41">
        <v>12.94</v>
      </c>
      <c r="R23" s="38"/>
      <c r="S23" s="38"/>
      <c r="T23" s="38"/>
      <c r="U23" s="38"/>
    </row>
    <row r="24" spans="1:21" customFormat="1">
      <c r="A24" s="40" t="s">
        <v>436</v>
      </c>
      <c r="B24" s="41">
        <v>4.13</v>
      </c>
      <c r="C24" s="41">
        <v>18.27</v>
      </c>
      <c r="D24" s="41">
        <v>14.21</v>
      </c>
      <c r="E24" s="41">
        <v>28.88</v>
      </c>
      <c r="F24" s="41">
        <v>56.22</v>
      </c>
      <c r="G24" s="41">
        <v>51.84</v>
      </c>
      <c r="H24" s="41">
        <v>27.24</v>
      </c>
      <c r="I24" s="41">
        <v>7.26</v>
      </c>
      <c r="J24" s="41">
        <v>0.49</v>
      </c>
      <c r="K24" s="41">
        <v>317.45999999999998</v>
      </c>
      <c r="L24" s="41">
        <v>31.17</v>
      </c>
      <c r="M24" s="41">
        <v>10.72</v>
      </c>
      <c r="N24" s="41">
        <v>58.3</v>
      </c>
      <c r="O24" s="41">
        <v>0</v>
      </c>
      <c r="P24" s="41">
        <v>0.46</v>
      </c>
      <c r="Q24" s="41">
        <v>12.92</v>
      </c>
      <c r="R24" s="38"/>
      <c r="S24" s="38"/>
      <c r="T24" s="38"/>
      <c r="U24" s="38"/>
    </row>
    <row r="25" spans="1:21" customFormat="1">
      <c r="A25" s="40" t="s">
        <v>437</v>
      </c>
      <c r="B25" s="41">
        <v>4.4800000000000004</v>
      </c>
      <c r="C25" s="41">
        <v>18.100000000000001</v>
      </c>
      <c r="D25" s="41">
        <v>14.4</v>
      </c>
      <c r="E25" s="41">
        <v>26.82</v>
      </c>
      <c r="F25" s="41">
        <v>79.87</v>
      </c>
      <c r="G25" s="41">
        <v>40.86</v>
      </c>
      <c r="H25" s="41">
        <v>23.43</v>
      </c>
      <c r="I25" s="41">
        <v>6.65</v>
      </c>
      <c r="J25" s="41">
        <v>0.49</v>
      </c>
      <c r="K25" s="41">
        <v>134.33000000000001</v>
      </c>
      <c r="L25" s="41">
        <v>30.77</v>
      </c>
      <c r="M25" s="41">
        <v>14.34</v>
      </c>
      <c r="N25" s="41">
        <v>43.6</v>
      </c>
      <c r="O25" s="41">
        <v>0</v>
      </c>
      <c r="P25" s="41">
        <v>0.47</v>
      </c>
      <c r="Q25" s="41">
        <v>12.94</v>
      </c>
      <c r="R25" s="38"/>
      <c r="S25" s="38"/>
      <c r="T25" s="38"/>
      <c r="U25" s="38"/>
    </row>
    <row r="26" spans="1:21" customFormat="1">
      <c r="A26" s="40" t="s">
        <v>438</v>
      </c>
      <c r="B26" s="41">
        <v>4.68</v>
      </c>
      <c r="C26" s="41">
        <v>17.98</v>
      </c>
      <c r="D26" s="41">
        <v>14.39</v>
      </c>
      <c r="E26" s="41">
        <v>17.350000000000001</v>
      </c>
      <c r="F26" s="41">
        <v>79.41</v>
      </c>
      <c r="G26" s="41">
        <v>39.47</v>
      </c>
      <c r="H26" s="41">
        <v>21.69</v>
      </c>
      <c r="I26" s="41">
        <v>6.67</v>
      </c>
      <c r="J26" s="41">
        <v>0.26</v>
      </c>
      <c r="K26" s="41">
        <v>171.69</v>
      </c>
      <c r="L26" s="41">
        <v>28.75</v>
      </c>
      <c r="M26" s="41">
        <v>27.81</v>
      </c>
      <c r="N26" s="41">
        <v>17</v>
      </c>
      <c r="O26" s="41">
        <v>0</v>
      </c>
      <c r="P26" s="41">
        <v>0.48</v>
      </c>
      <c r="Q26" s="41">
        <v>12.93</v>
      </c>
      <c r="R26" s="38"/>
      <c r="S26" s="38"/>
      <c r="T26" s="38"/>
      <c r="U26" s="38"/>
    </row>
    <row r="27" spans="1:21" customFormat="1">
      <c r="A27" s="40" t="s">
        <v>439</v>
      </c>
      <c r="B27" s="41">
        <v>4.7300000000000004</v>
      </c>
      <c r="C27" s="41">
        <v>18.75</v>
      </c>
      <c r="D27" s="41">
        <v>14.93</v>
      </c>
      <c r="E27" s="41">
        <v>11.22</v>
      </c>
      <c r="F27" s="41">
        <v>70.8</v>
      </c>
      <c r="G27" s="41">
        <v>51.35</v>
      </c>
      <c r="H27" s="41">
        <v>23.35</v>
      </c>
      <c r="I27" s="41">
        <v>6.59</v>
      </c>
      <c r="J27" s="41">
        <v>0.27</v>
      </c>
      <c r="K27" s="41">
        <v>186.67</v>
      </c>
      <c r="L27" s="41">
        <v>25.01</v>
      </c>
      <c r="M27" s="41">
        <v>40.770000000000003</v>
      </c>
      <c r="N27" s="41">
        <v>1.7</v>
      </c>
      <c r="O27" s="41">
        <v>0</v>
      </c>
      <c r="P27" s="41">
        <v>0.42</v>
      </c>
      <c r="Q27" s="41">
        <v>12.93</v>
      </c>
      <c r="R27" s="38"/>
      <c r="S27" s="38"/>
      <c r="T27" s="38"/>
      <c r="U27" s="38"/>
    </row>
    <row r="28" spans="1:21" customFormat="1">
      <c r="A28" s="40" t="s">
        <v>440</v>
      </c>
      <c r="B28" s="41">
        <v>4.8499999999999996</v>
      </c>
      <c r="C28" s="41">
        <v>19.09</v>
      </c>
      <c r="D28" s="41">
        <v>15.15</v>
      </c>
      <c r="E28" s="41">
        <v>11.51</v>
      </c>
      <c r="F28" s="41">
        <v>40.159999999999997</v>
      </c>
      <c r="G28" s="41">
        <v>54.71</v>
      </c>
      <c r="H28" s="41">
        <v>23.35</v>
      </c>
      <c r="I28" s="41">
        <v>6.82</v>
      </c>
      <c r="J28" s="41">
        <v>0.26</v>
      </c>
      <c r="K28" s="41">
        <v>188.91</v>
      </c>
      <c r="L28" s="41">
        <v>22.35</v>
      </c>
      <c r="M28" s="41">
        <v>47.48</v>
      </c>
      <c r="N28" s="41">
        <v>1.1000000000000001</v>
      </c>
      <c r="O28" s="41">
        <v>0</v>
      </c>
      <c r="P28" s="41">
        <v>0.43</v>
      </c>
      <c r="Q28" s="41">
        <v>12.95</v>
      </c>
      <c r="R28" s="38"/>
      <c r="S28" s="38"/>
      <c r="T28" s="38"/>
      <c r="U28" s="38"/>
    </row>
    <row r="29" spans="1:21" customFormat="1">
      <c r="A29" s="40" t="s">
        <v>441</v>
      </c>
      <c r="B29" s="41">
        <v>5.14</v>
      </c>
      <c r="C29" s="41">
        <v>19.09</v>
      </c>
      <c r="D29" s="41">
        <v>15.45</v>
      </c>
      <c r="E29" s="41">
        <v>11.08</v>
      </c>
      <c r="F29" s="41">
        <v>29.23</v>
      </c>
      <c r="G29" s="41">
        <v>57.59</v>
      </c>
      <c r="H29" s="41">
        <v>23.03</v>
      </c>
      <c r="I29" s="41">
        <v>7.19</v>
      </c>
      <c r="J29" s="41">
        <v>0.25</v>
      </c>
      <c r="K29" s="41">
        <v>184.57</v>
      </c>
      <c r="L29" s="41">
        <v>21.1</v>
      </c>
      <c r="M29" s="41">
        <v>49.64</v>
      </c>
      <c r="N29" s="41">
        <v>1</v>
      </c>
      <c r="O29" s="41">
        <v>0</v>
      </c>
      <c r="P29" s="41">
        <v>0.47</v>
      </c>
      <c r="Q29" s="41">
        <v>12.94</v>
      </c>
      <c r="R29" s="38"/>
      <c r="S29" s="38"/>
      <c r="T29" s="38"/>
      <c r="U29" s="38"/>
    </row>
    <row r="30" spans="1:21" customFormat="1">
      <c r="A30" s="40" t="s">
        <v>442</v>
      </c>
      <c r="B30" s="41">
        <v>8.43</v>
      </c>
      <c r="C30" s="41">
        <v>20.62</v>
      </c>
      <c r="D30" s="41">
        <v>18.89</v>
      </c>
      <c r="E30" s="41">
        <v>11.43</v>
      </c>
      <c r="F30" s="41">
        <v>17.559999999999999</v>
      </c>
      <c r="G30" s="41">
        <v>59.25</v>
      </c>
      <c r="H30" s="41">
        <v>21.16</v>
      </c>
      <c r="I30" s="41">
        <v>7.88</v>
      </c>
      <c r="J30" s="41">
        <v>0.23</v>
      </c>
      <c r="K30" s="41">
        <v>170.49</v>
      </c>
      <c r="L30" s="41">
        <v>19.93</v>
      </c>
      <c r="M30" s="41">
        <v>53.98</v>
      </c>
      <c r="N30" s="41">
        <v>1</v>
      </c>
      <c r="O30" s="41">
        <v>0</v>
      </c>
      <c r="P30" s="41">
        <v>0.54</v>
      </c>
      <c r="Q30" s="41">
        <v>12.95</v>
      </c>
      <c r="R30" s="38"/>
      <c r="S30" s="38"/>
      <c r="T30" s="38"/>
      <c r="U30" s="38"/>
    </row>
    <row r="31" spans="1:21" customFormat="1">
      <c r="A31" s="40" t="s">
        <v>443</v>
      </c>
      <c r="B31" s="41">
        <v>17.05</v>
      </c>
      <c r="C31" s="41">
        <v>22.93</v>
      </c>
      <c r="D31" s="41">
        <v>26.91</v>
      </c>
      <c r="E31" s="41">
        <v>11.83</v>
      </c>
      <c r="F31" s="41">
        <v>12.13</v>
      </c>
      <c r="G31" s="41">
        <v>62.7</v>
      </c>
      <c r="H31" s="41">
        <v>21.89</v>
      </c>
      <c r="I31" s="41">
        <v>8.7100000000000009</v>
      </c>
      <c r="J31" s="41">
        <v>0.27</v>
      </c>
      <c r="K31" s="41">
        <v>206.08</v>
      </c>
      <c r="L31" s="41">
        <v>19.54</v>
      </c>
      <c r="M31" s="41">
        <v>58.12</v>
      </c>
      <c r="N31" s="41">
        <v>1.4</v>
      </c>
      <c r="O31" s="41">
        <v>0</v>
      </c>
      <c r="P31" s="41">
        <v>0.63</v>
      </c>
      <c r="Q31" s="41">
        <v>13</v>
      </c>
      <c r="R31" s="38"/>
      <c r="S31" s="38"/>
      <c r="T31" s="38"/>
      <c r="U31" s="38"/>
    </row>
    <row r="32" spans="1:21" customFormat="1">
      <c r="A32" s="40" t="s">
        <v>444</v>
      </c>
      <c r="B32" s="41">
        <v>20.43</v>
      </c>
      <c r="C32" s="41">
        <v>24.43</v>
      </c>
      <c r="D32" s="41">
        <v>30.37</v>
      </c>
      <c r="E32" s="41">
        <v>11.88</v>
      </c>
      <c r="F32" s="41">
        <v>11.84</v>
      </c>
      <c r="G32" s="41">
        <v>67.56</v>
      </c>
      <c r="H32" s="41">
        <v>21.89</v>
      </c>
      <c r="I32" s="41">
        <v>9.18</v>
      </c>
      <c r="J32" s="41">
        <v>0.24</v>
      </c>
      <c r="K32" s="41">
        <v>195.2</v>
      </c>
      <c r="L32" s="41">
        <v>18.07</v>
      </c>
      <c r="M32" s="41">
        <v>65.41</v>
      </c>
      <c r="N32" s="41">
        <v>1.3</v>
      </c>
      <c r="O32" s="41">
        <v>0</v>
      </c>
      <c r="P32" s="41">
        <v>0.78</v>
      </c>
      <c r="Q32" s="41">
        <v>13.01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3.94</v>
      </c>
      <c r="C34" s="18">
        <f t="shared" si="0"/>
        <v>17.98</v>
      </c>
      <c r="D34" s="18">
        <f t="shared" si="0"/>
        <v>14.21</v>
      </c>
      <c r="E34" s="18">
        <f t="shared" si="0"/>
        <v>9.31</v>
      </c>
      <c r="F34" s="18">
        <f t="shared" si="0"/>
        <v>3.63</v>
      </c>
      <c r="G34" s="18">
        <f t="shared" si="0"/>
        <v>39.47</v>
      </c>
      <c r="H34" s="18">
        <f t="shared" si="0"/>
        <v>17.170000000000002</v>
      </c>
      <c r="I34" s="18">
        <f t="shared" si="0"/>
        <v>6.59</v>
      </c>
      <c r="J34" s="18">
        <f t="shared" si="0"/>
        <v>0.11</v>
      </c>
      <c r="K34" s="18">
        <f t="shared" si="0"/>
        <v>55.34</v>
      </c>
      <c r="L34" s="18">
        <f t="shared" si="0"/>
        <v>13.38</v>
      </c>
      <c r="M34" s="18">
        <f t="shared" si="0"/>
        <v>9.68</v>
      </c>
      <c r="N34" s="18">
        <f t="shared" si="0"/>
        <v>0.9</v>
      </c>
      <c r="O34" s="18">
        <f t="shared" si="0"/>
        <v>0</v>
      </c>
      <c r="P34" s="18">
        <f t="shared" si="0"/>
        <v>0.42</v>
      </c>
      <c r="Q34" s="18">
        <f t="shared" si="0"/>
        <v>12.92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29.01</v>
      </c>
      <c r="C35" s="3">
        <f t="shared" si="1"/>
        <v>28.79</v>
      </c>
      <c r="D35" s="3">
        <f t="shared" si="1"/>
        <v>39.619999999999997</v>
      </c>
      <c r="E35" s="3">
        <f t="shared" si="1"/>
        <v>28.88</v>
      </c>
      <c r="F35" s="3">
        <f t="shared" si="1"/>
        <v>79.87</v>
      </c>
      <c r="G35" s="3">
        <f t="shared" si="1"/>
        <v>151.03</v>
      </c>
      <c r="H35" s="3">
        <f t="shared" si="1"/>
        <v>33.18</v>
      </c>
      <c r="I35" s="3">
        <f t="shared" si="1"/>
        <v>12.44</v>
      </c>
      <c r="J35" s="3">
        <f t="shared" si="1"/>
        <v>1.1299999999999999</v>
      </c>
      <c r="K35" s="3">
        <f t="shared" si="1"/>
        <v>330.98</v>
      </c>
      <c r="L35" s="3">
        <f t="shared" si="1"/>
        <v>32.47</v>
      </c>
      <c r="M35" s="3">
        <f t="shared" si="1"/>
        <v>78.38</v>
      </c>
      <c r="N35" s="3">
        <f t="shared" si="1"/>
        <v>418.1</v>
      </c>
      <c r="O35" s="3">
        <f t="shared" si="1"/>
        <v>0</v>
      </c>
      <c r="P35" s="3">
        <f t="shared" si="1"/>
        <v>0.89</v>
      </c>
      <c r="Q35" s="3">
        <f t="shared" si="1"/>
        <v>13.05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13.967083333333337</v>
      </c>
      <c r="C36" s="18">
        <f t="shared" si="2"/>
        <v>23.743749999999995</v>
      </c>
      <c r="D36" s="18">
        <f t="shared" si="2"/>
        <v>24.869999999999994</v>
      </c>
      <c r="E36" s="18">
        <f t="shared" si="2"/>
        <v>12.494166666666665</v>
      </c>
      <c r="F36" s="18">
        <f t="shared" si="2"/>
        <v>31.611666666666661</v>
      </c>
      <c r="G36" s="18">
        <f t="shared" si="2"/>
        <v>82.55416666666666</v>
      </c>
      <c r="H36" s="18">
        <f t="shared" si="2"/>
        <v>25.177083333333332</v>
      </c>
      <c r="I36" s="18">
        <f t="shared" si="2"/>
        <v>8.9699999999999971</v>
      </c>
      <c r="J36" s="18">
        <f t="shared" si="2"/>
        <v>0.42666666666666658</v>
      </c>
      <c r="K36" s="18">
        <f t="shared" si="2"/>
        <v>172.87958333333333</v>
      </c>
      <c r="L36" s="18">
        <f t="shared" si="2"/>
        <v>23.00041666666667</v>
      </c>
      <c r="M36" s="18">
        <f t="shared" si="2"/>
        <v>43.0075</v>
      </c>
      <c r="N36" s="18">
        <f t="shared" si="2"/>
        <v>117.3875</v>
      </c>
      <c r="O36" s="18">
        <f t="shared" si="2"/>
        <v>0</v>
      </c>
      <c r="P36" s="18">
        <f t="shared" si="2"/>
        <v>0.65208333333333346</v>
      </c>
      <c r="Q36" s="18">
        <f t="shared" si="2"/>
        <v>12.987916666666665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9.6965863465119622</v>
      </c>
      <c r="C37" s="18">
        <f t="shared" ref="C37:Q37" si="3">STDEV(C9:C32)</f>
        <v>3.8738957052020431</v>
      </c>
      <c r="D37" s="18">
        <f t="shared" si="3"/>
        <v>9.4252491605861906</v>
      </c>
      <c r="E37" s="18">
        <f t="shared" si="3"/>
        <v>4.9756231129697612</v>
      </c>
      <c r="F37" s="18">
        <f t="shared" si="3"/>
        <v>26.941381886811495</v>
      </c>
      <c r="G37" s="18">
        <f t="shared" si="3"/>
        <v>37.092770526914265</v>
      </c>
      <c r="H37" s="18">
        <f t="shared" si="3"/>
        <v>4.7207732225601093</v>
      </c>
      <c r="I37" s="18">
        <f t="shared" si="3"/>
        <v>1.5991383549464766</v>
      </c>
      <c r="J37" s="18">
        <f t="shared" si="3"/>
        <v>0.29058661309520939</v>
      </c>
      <c r="K37" s="18">
        <f t="shared" si="3"/>
        <v>72.567179338941855</v>
      </c>
      <c r="L37" s="18">
        <f t="shared" si="3"/>
        <v>6.2536420547769636</v>
      </c>
      <c r="M37" s="18">
        <f t="shared" si="3"/>
        <v>23.422377121035339</v>
      </c>
      <c r="N37" s="18">
        <f t="shared" si="3"/>
        <v>173.52184002998385</v>
      </c>
      <c r="O37" s="18">
        <f t="shared" si="3"/>
        <v>0</v>
      </c>
      <c r="P37" s="18">
        <f t="shared" si="3"/>
        <v>0.14419127292733691</v>
      </c>
      <c r="Q37" s="18">
        <f t="shared" si="3"/>
        <v>4.4132130330817247E-2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17" activePane="bottomRight" state="frozen"/>
      <selection activeCell="G19" sqref="G19"/>
      <selection pane="topRight" activeCell="G19" sqref="G19"/>
      <selection pane="bottomLeft" activeCell="G19" sqref="G19"/>
      <selection pane="bottomRight" activeCell="L25" sqref="L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445</v>
      </c>
      <c r="B9" s="41">
        <v>21.4</v>
      </c>
      <c r="C9" s="41">
        <v>24.36</v>
      </c>
      <c r="D9" s="41">
        <v>31.13</v>
      </c>
      <c r="E9" s="41">
        <v>11.43</v>
      </c>
      <c r="F9" s="41">
        <v>12.36</v>
      </c>
      <c r="G9" s="41">
        <v>70.709999999999994</v>
      </c>
      <c r="H9" s="41">
        <v>20.76</v>
      </c>
      <c r="I9" s="41">
        <v>9.5</v>
      </c>
      <c r="J9" s="41">
        <v>0.27</v>
      </c>
      <c r="K9" s="41">
        <v>208.31</v>
      </c>
      <c r="L9" s="41">
        <v>17.16</v>
      </c>
      <c r="M9" s="41">
        <v>65.599999999999994</v>
      </c>
      <c r="N9" s="41">
        <v>1</v>
      </c>
      <c r="O9" s="41">
        <v>0</v>
      </c>
      <c r="P9" s="41">
        <v>0.79</v>
      </c>
      <c r="Q9" s="41">
        <v>13.02</v>
      </c>
      <c r="R9" s="38"/>
      <c r="S9" s="38"/>
      <c r="T9" s="38"/>
      <c r="U9" s="38"/>
    </row>
    <row r="10" spans="1:21" customFormat="1">
      <c r="A10" s="40" t="s">
        <v>446</v>
      </c>
      <c r="B10" s="41">
        <v>21.32</v>
      </c>
      <c r="C10" s="41">
        <v>24.21</v>
      </c>
      <c r="D10" s="41">
        <v>31.1</v>
      </c>
      <c r="E10" s="41">
        <v>11.44</v>
      </c>
      <c r="F10" s="41">
        <v>13.92</v>
      </c>
      <c r="G10" s="41">
        <v>75.430000000000007</v>
      </c>
      <c r="H10" s="41">
        <v>19.059999999999999</v>
      </c>
      <c r="I10" s="41">
        <v>9.58</v>
      </c>
      <c r="J10" s="41">
        <v>0.24</v>
      </c>
      <c r="K10" s="41">
        <v>224.94</v>
      </c>
      <c r="L10" s="41">
        <v>16.59</v>
      </c>
      <c r="M10" s="41">
        <v>68.739999999999995</v>
      </c>
      <c r="N10" s="41">
        <v>1.2</v>
      </c>
      <c r="O10" s="41">
        <v>0</v>
      </c>
      <c r="P10" s="41">
        <v>0.8</v>
      </c>
      <c r="Q10" s="41">
        <v>13.02</v>
      </c>
      <c r="R10" s="38"/>
      <c r="S10" s="38"/>
      <c r="T10" s="38"/>
      <c r="U10" s="38"/>
    </row>
    <row r="11" spans="1:21" customFormat="1">
      <c r="A11" s="40" t="s">
        <v>447</v>
      </c>
      <c r="B11" s="41">
        <v>21.93</v>
      </c>
      <c r="C11" s="41">
        <v>23.66</v>
      </c>
      <c r="D11" s="41">
        <v>31.29</v>
      </c>
      <c r="E11" s="41">
        <v>10.47</v>
      </c>
      <c r="F11" s="41">
        <v>9.09</v>
      </c>
      <c r="G11" s="41">
        <v>75.430000000000007</v>
      </c>
      <c r="H11" s="41">
        <v>17.34</v>
      </c>
      <c r="I11" s="41">
        <v>9.7799999999999994</v>
      </c>
      <c r="J11" s="41">
        <v>0.2</v>
      </c>
      <c r="K11" s="41">
        <v>230.97</v>
      </c>
      <c r="L11" s="41">
        <v>16.559999999999999</v>
      </c>
      <c r="M11" s="41">
        <v>62.46</v>
      </c>
      <c r="N11" s="41">
        <v>0.8</v>
      </c>
      <c r="O11" s="41">
        <v>0</v>
      </c>
      <c r="P11" s="41">
        <v>0.83</v>
      </c>
      <c r="Q11" s="41">
        <v>13.01</v>
      </c>
      <c r="R11" s="38"/>
      <c r="S11" s="38"/>
      <c r="T11" s="38"/>
      <c r="U11" s="38"/>
    </row>
    <row r="12" spans="1:21" customFormat="1">
      <c r="A12" s="40" t="s">
        <v>448</v>
      </c>
      <c r="B12" s="41">
        <v>26.34</v>
      </c>
      <c r="C12" s="41">
        <v>24.49</v>
      </c>
      <c r="D12" s="41">
        <v>35.15</v>
      </c>
      <c r="E12" s="41">
        <v>10.77</v>
      </c>
      <c r="F12" s="41">
        <v>7.29</v>
      </c>
      <c r="G12" s="41">
        <v>67.36</v>
      </c>
      <c r="H12" s="41">
        <v>17.170000000000002</v>
      </c>
      <c r="I12" s="41">
        <v>10.029999999999999</v>
      </c>
      <c r="J12" s="41">
        <v>0.21</v>
      </c>
      <c r="K12" s="41">
        <v>177.15</v>
      </c>
      <c r="L12" s="41">
        <v>16.55</v>
      </c>
      <c r="M12" s="41">
        <v>70.31</v>
      </c>
      <c r="N12" s="41">
        <v>1.2</v>
      </c>
      <c r="O12" s="41">
        <v>0</v>
      </c>
      <c r="P12" s="41">
        <v>0.85</v>
      </c>
      <c r="Q12" s="41">
        <v>13.03</v>
      </c>
      <c r="R12" s="38"/>
      <c r="S12" s="38"/>
      <c r="T12" s="38"/>
      <c r="U12" s="38"/>
    </row>
    <row r="13" spans="1:21" customFormat="1">
      <c r="A13" s="40" t="s">
        <v>449</v>
      </c>
      <c r="B13" s="41">
        <v>26.5</v>
      </c>
      <c r="C13" s="41">
        <v>23.91</v>
      </c>
      <c r="D13" s="41">
        <v>34.99</v>
      </c>
      <c r="E13" s="41">
        <v>11.08</v>
      </c>
      <c r="F13" s="41">
        <v>6.16</v>
      </c>
      <c r="G13" s="41">
        <v>61.43</v>
      </c>
      <c r="H13" s="41">
        <v>17.170000000000002</v>
      </c>
      <c r="I13" s="41">
        <v>10.3</v>
      </c>
      <c r="J13" s="41">
        <v>0.19</v>
      </c>
      <c r="K13" s="41">
        <v>191.38</v>
      </c>
      <c r="L13" s="41">
        <v>15.9</v>
      </c>
      <c r="M13" s="41">
        <v>71.03</v>
      </c>
      <c r="N13" s="41">
        <v>1.2</v>
      </c>
      <c r="O13" s="41">
        <v>0</v>
      </c>
      <c r="P13" s="41">
        <v>0.8</v>
      </c>
      <c r="Q13" s="41">
        <v>13.05</v>
      </c>
      <c r="R13" s="38"/>
      <c r="S13" s="38"/>
      <c r="T13" s="38"/>
      <c r="U13" s="38"/>
    </row>
    <row r="14" spans="1:21" customFormat="1">
      <c r="A14" s="40" t="s">
        <v>450</v>
      </c>
      <c r="B14" s="41">
        <v>27.37</v>
      </c>
      <c r="C14" s="41">
        <v>23.66</v>
      </c>
      <c r="D14" s="41">
        <v>35.659999999999997</v>
      </c>
      <c r="E14" s="41">
        <v>10.99</v>
      </c>
      <c r="F14" s="41">
        <v>5.38</v>
      </c>
      <c r="G14" s="41">
        <v>64.09</v>
      </c>
      <c r="H14" s="41">
        <v>15.85</v>
      </c>
      <c r="I14" s="41">
        <v>10.91</v>
      </c>
      <c r="J14" s="41">
        <v>0.2</v>
      </c>
      <c r="K14" s="41">
        <v>212.58</v>
      </c>
      <c r="L14" s="41">
        <v>15.1</v>
      </c>
      <c r="M14" s="41">
        <v>75.209999999999994</v>
      </c>
      <c r="N14" s="41">
        <v>1.4</v>
      </c>
      <c r="O14" s="41">
        <v>0</v>
      </c>
      <c r="P14" s="41">
        <v>0.82</v>
      </c>
      <c r="Q14" s="41">
        <v>13.02</v>
      </c>
      <c r="R14" s="38"/>
      <c r="S14" s="38"/>
      <c r="T14" s="38"/>
      <c r="U14" s="38"/>
    </row>
    <row r="15" spans="1:21" customFormat="1">
      <c r="A15" s="40" t="s">
        <v>451</v>
      </c>
      <c r="B15" s="41">
        <v>25.44</v>
      </c>
      <c r="C15" s="41">
        <v>22.51</v>
      </c>
      <c r="D15" s="41">
        <v>33.51</v>
      </c>
      <c r="E15" s="41">
        <v>10.7</v>
      </c>
      <c r="F15" s="41">
        <v>8.8000000000000007</v>
      </c>
      <c r="G15" s="41">
        <v>66.45</v>
      </c>
      <c r="H15" s="41">
        <v>13.56</v>
      </c>
      <c r="I15" s="41">
        <v>10.86</v>
      </c>
      <c r="J15" s="41">
        <v>0.2</v>
      </c>
      <c r="K15" s="41">
        <v>185.18</v>
      </c>
      <c r="L15" s="41">
        <v>15.01</v>
      </c>
      <c r="M15" s="41">
        <v>74.849999999999994</v>
      </c>
      <c r="N15" s="41">
        <v>8.6999999999999993</v>
      </c>
      <c r="O15" s="41">
        <v>0</v>
      </c>
      <c r="P15" s="41">
        <v>0.8</v>
      </c>
      <c r="Q15" s="41">
        <v>13.04</v>
      </c>
      <c r="R15" s="38"/>
      <c r="S15" s="38"/>
      <c r="T15" s="38"/>
      <c r="U15" s="38"/>
    </row>
    <row r="16" spans="1:21" customFormat="1">
      <c r="A16" s="40" t="s">
        <v>452</v>
      </c>
      <c r="B16" s="41">
        <v>23.47</v>
      </c>
      <c r="C16" s="41">
        <v>22.05</v>
      </c>
      <c r="D16" s="41">
        <v>31.6</v>
      </c>
      <c r="E16" s="41">
        <v>11.13</v>
      </c>
      <c r="F16" s="41">
        <v>15.76</v>
      </c>
      <c r="G16" s="41">
        <v>82.32</v>
      </c>
      <c r="H16" s="41">
        <v>21.18</v>
      </c>
      <c r="I16" s="41">
        <v>11.94</v>
      </c>
      <c r="J16" s="41">
        <v>0.22</v>
      </c>
      <c r="K16" s="41">
        <v>220.03</v>
      </c>
      <c r="L16" s="41">
        <v>17.829999999999998</v>
      </c>
      <c r="M16" s="41">
        <v>72.27</v>
      </c>
      <c r="N16" s="41">
        <v>36.9</v>
      </c>
      <c r="O16" s="41">
        <v>0</v>
      </c>
      <c r="P16" s="41">
        <v>0.89</v>
      </c>
      <c r="Q16" s="41">
        <v>13.02</v>
      </c>
      <c r="R16" s="38"/>
      <c r="S16" s="38"/>
      <c r="T16" s="38"/>
      <c r="U16" s="38"/>
    </row>
    <row r="17" spans="1:21" customFormat="1">
      <c r="A17" s="40" t="s">
        <v>453</v>
      </c>
      <c r="B17" s="41">
        <v>22.19</v>
      </c>
      <c r="C17" s="41">
        <v>23.83</v>
      </c>
      <c r="D17" s="41">
        <v>30.85</v>
      </c>
      <c r="E17" s="41">
        <v>11.22</v>
      </c>
      <c r="F17" s="41">
        <v>22.13</v>
      </c>
      <c r="G17" s="41">
        <v>85.87</v>
      </c>
      <c r="H17" s="41">
        <v>25.41</v>
      </c>
      <c r="I17" s="41">
        <v>12.9</v>
      </c>
      <c r="J17" s="41">
        <v>0.39</v>
      </c>
      <c r="K17" s="41">
        <v>307.13</v>
      </c>
      <c r="L17" s="41">
        <v>22.78</v>
      </c>
      <c r="M17" s="41">
        <v>53.55</v>
      </c>
      <c r="N17" s="41">
        <v>217.8</v>
      </c>
      <c r="O17" s="41">
        <v>0</v>
      </c>
      <c r="P17" s="41">
        <v>0.93</v>
      </c>
      <c r="Q17" s="41">
        <v>13.02</v>
      </c>
      <c r="R17" s="38"/>
      <c r="S17" s="38"/>
      <c r="T17" s="38"/>
      <c r="U17" s="38"/>
    </row>
    <row r="18" spans="1:21" customFormat="1">
      <c r="A18" s="40" t="s">
        <v>454</v>
      </c>
      <c r="B18" s="41">
        <v>16.350000000000001</v>
      </c>
      <c r="C18" s="41">
        <v>25.28</v>
      </c>
      <c r="D18" s="41">
        <v>27.48</v>
      </c>
      <c r="E18" s="41">
        <v>10.83</v>
      </c>
      <c r="F18" s="41">
        <v>40.270000000000003</v>
      </c>
      <c r="G18" s="41">
        <v>85.87</v>
      </c>
      <c r="H18" s="41">
        <v>27.59</v>
      </c>
      <c r="I18" s="41">
        <v>13.2</v>
      </c>
      <c r="J18" s="41">
        <v>0.48</v>
      </c>
      <c r="K18" s="41">
        <v>272.94</v>
      </c>
      <c r="L18" s="41">
        <v>27.17</v>
      </c>
      <c r="M18" s="41">
        <v>38.14</v>
      </c>
      <c r="N18" s="41">
        <v>308.5</v>
      </c>
      <c r="O18" s="41">
        <v>0</v>
      </c>
      <c r="P18" s="41">
        <v>0.99</v>
      </c>
      <c r="Q18" s="41">
        <v>12.99</v>
      </c>
      <c r="R18" s="38"/>
      <c r="S18" s="38"/>
      <c r="T18" s="38"/>
      <c r="U18" s="38"/>
    </row>
    <row r="19" spans="1:21" customFormat="1">
      <c r="A19" s="40" t="s">
        <v>455</v>
      </c>
      <c r="B19" s="41">
        <v>11.09</v>
      </c>
      <c r="C19" s="41">
        <v>25.1</v>
      </c>
      <c r="D19" s="41">
        <v>23.36</v>
      </c>
      <c r="E19" s="41">
        <v>10.039999999999999</v>
      </c>
      <c r="F19" s="41">
        <v>38.32</v>
      </c>
      <c r="G19" s="41">
        <v>78.61</v>
      </c>
      <c r="H19" s="41">
        <v>27.59</v>
      </c>
      <c r="I19" s="41">
        <v>13</v>
      </c>
      <c r="J19" s="41">
        <v>0.63</v>
      </c>
      <c r="K19" s="41">
        <v>280.76</v>
      </c>
      <c r="L19" s="41">
        <v>30.03</v>
      </c>
      <c r="M19" s="41">
        <v>23.45</v>
      </c>
      <c r="N19" s="41">
        <v>347.8</v>
      </c>
      <c r="O19" s="41">
        <v>0</v>
      </c>
      <c r="P19" s="41">
        <v>0.95</v>
      </c>
      <c r="Q19" s="41">
        <v>12.98</v>
      </c>
      <c r="R19" s="38"/>
      <c r="S19" s="38"/>
      <c r="T19" s="38"/>
      <c r="U19" s="38"/>
    </row>
    <row r="20" spans="1:21" customFormat="1">
      <c r="A20" s="40" t="s">
        <v>456</v>
      </c>
      <c r="B20" s="41">
        <v>6.62</v>
      </c>
      <c r="C20" s="41">
        <v>23.82</v>
      </c>
      <c r="D20" s="41">
        <v>19.11</v>
      </c>
      <c r="E20" s="41">
        <v>10.42</v>
      </c>
      <c r="F20" s="41">
        <v>38.020000000000003</v>
      </c>
      <c r="G20" s="41">
        <v>59.14</v>
      </c>
      <c r="H20" s="41">
        <v>26.45</v>
      </c>
      <c r="I20" s="41">
        <v>11.97</v>
      </c>
      <c r="J20" s="41">
        <v>0.81</v>
      </c>
      <c r="K20" s="41">
        <v>281.64999999999998</v>
      </c>
      <c r="L20" s="41">
        <v>31.64</v>
      </c>
      <c r="M20" s="41">
        <v>19.97</v>
      </c>
      <c r="N20" s="41">
        <v>363.3</v>
      </c>
      <c r="O20" s="41">
        <v>0</v>
      </c>
      <c r="P20" s="41">
        <v>0.84</v>
      </c>
      <c r="Q20" s="41">
        <v>12.95</v>
      </c>
      <c r="R20" s="38"/>
      <c r="S20" s="38"/>
      <c r="T20" s="38"/>
      <c r="U20" s="38"/>
    </row>
    <row r="21" spans="1:21" customFormat="1">
      <c r="A21" s="40" t="s">
        <v>457</v>
      </c>
      <c r="B21" s="41">
        <v>4.96</v>
      </c>
      <c r="C21" s="41">
        <v>21.56</v>
      </c>
      <c r="D21" s="41">
        <v>16.09</v>
      </c>
      <c r="E21" s="41">
        <v>10.51</v>
      </c>
      <c r="F21" s="41">
        <v>36.979999999999997</v>
      </c>
      <c r="G21" s="41">
        <v>54.99</v>
      </c>
      <c r="H21" s="41">
        <v>24.74</v>
      </c>
      <c r="I21" s="41">
        <v>10.86</v>
      </c>
      <c r="J21" s="41">
        <v>0.65</v>
      </c>
      <c r="K21" s="41">
        <v>280.45999999999998</v>
      </c>
      <c r="L21" s="41">
        <v>33.36</v>
      </c>
      <c r="M21" s="41">
        <v>20.91</v>
      </c>
      <c r="N21" s="41">
        <v>368.9</v>
      </c>
      <c r="O21" s="41">
        <v>0</v>
      </c>
      <c r="P21" s="41">
        <v>0.76</v>
      </c>
      <c r="Q21" s="41">
        <v>12.95</v>
      </c>
      <c r="R21" s="38"/>
      <c r="S21" s="38"/>
      <c r="T21" s="38"/>
      <c r="U21" s="38"/>
    </row>
    <row r="22" spans="1:21" customFormat="1">
      <c r="A22" s="40" t="s">
        <v>458</v>
      </c>
      <c r="B22" s="41">
        <v>3.96</v>
      </c>
      <c r="C22" s="41">
        <v>19.510000000000002</v>
      </c>
      <c r="D22" s="41">
        <v>14.72</v>
      </c>
      <c r="E22" s="41">
        <v>12.01</v>
      </c>
      <c r="F22" s="41">
        <v>33.22</v>
      </c>
      <c r="G22" s="41">
        <v>53.56</v>
      </c>
      <c r="H22" s="41">
        <v>24.74</v>
      </c>
      <c r="I22" s="41">
        <v>9.84</v>
      </c>
      <c r="J22" s="41">
        <v>0.76</v>
      </c>
      <c r="K22" s="41">
        <v>323.05</v>
      </c>
      <c r="L22" s="41">
        <v>33.520000000000003</v>
      </c>
      <c r="M22" s="41">
        <v>20.239999999999998</v>
      </c>
      <c r="N22" s="41">
        <v>348.1</v>
      </c>
      <c r="O22" s="41">
        <v>0</v>
      </c>
      <c r="P22" s="41">
        <v>0.7</v>
      </c>
      <c r="Q22" s="41">
        <v>12.94</v>
      </c>
      <c r="R22" s="38"/>
      <c r="S22" s="38"/>
      <c r="T22" s="38"/>
      <c r="U22" s="38"/>
    </row>
    <row r="23" spans="1:21" customFormat="1">
      <c r="A23" s="40" t="s">
        <v>459</v>
      </c>
      <c r="B23" s="41">
        <v>3.54</v>
      </c>
      <c r="C23" s="41">
        <v>18.93</v>
      </c>
      <c r="D23" s="41">
        <v>14.03</v>
      </c>
      <c r="E23" s="41">
        <v>18.07</v>
      </c>
      <c r="F23" s="41">
        <v>29.1</v>
      </c>
      <c r="G23" s="41">
        <v>52.86</v>
      </c>
      <c r="H23" s="41">
        <v>34.840000000000003</v>
      </c>
      <c r="I23" s="41">
        <v>9.1999999999999993</v>
      </c>
      <c r="J23" s="41">
        <v>0.76</v>
      </c>
      <c r="K23" s="41">
        <v>308.45</v>
      </c>
      <c r="L23" s="41">
        <v>33.42</v>
      </c>
      <c r="M23" s="41">
        <v>21.72</v>
      </c>
      <c r="N23" s="41">
        <v>301.89999999999998</v>
      </c>
      <c r="O23" s="41">
        <v>0</v>
      </c>
      <c r="P23" s="41">
        <v>0.69</v>
      </c>
      <c r="Q23" s="41">
        <v>12.94</v>
      </c>
      <c r="R23" s="38"/>
      <c r="S23" s="38"/>
      <c r="T23" s="38"/>
      <c r="U23" s="38"/>
    </row>
    <row r="24" spans="1:21" customFormat="1">
      <c r="A24" s="40" t="s">
        <v>460</v>
      </c>
      <c r="B24" s="41">
        <v>3.5</v>
      </c>
      <c r="C24" s="41">
        <v>19.239999999999998</v>
      </c>
      <c r="D24" s="41">
        <v>14.21</v>
      </c>
      <c r="E24" s="41">
        <v>19.11</v>
      </c>
      <c r="F24" s="41">
        <v>33.64</v>
      </c>
      <c r="G24" s="41">
        <v>52.86</v>
      </c>
      <c r="H24" s="41">
        <v>34.840000000000003</v>
      </c>
      <c r="I24" s="41">
        <v>9.27</v>
      </c>
      <c r="J24" s="41">
        <v>0.72</v>
      </c>
      <c r="K24" s="41">
        <v>302.97000000000003</v>
      </c>
      <c r="L24" s="41">
        <v>32.630000000000003</v>
      </c>
      <c r="M24" s="41">
        <v>24.1</v>
      </c>
      <c r="N24" s="41">
        <v>73.5</v>
      </c>
      <c r="O24" s="41">
        <v>0</v>
      </c>
      <c r="P24" s="41">
        <v>0.67</v>
      </c>
      <c r="Q24" s="41">
        <v>12.94</v>
      </c>
      <c r="R24" s="38"/>
      <c r="S24" s="38"/>
      <c r="T24" s="38"/>
      <c r="U24" s="38"/>
    </row>
    <row r="25" spans="1:21" customFormat="1">
      <c r="A25" s="40" t="s">
        <v>461</v>
      </c>
      <c r="B25" s="41">
        <v>3.56</v>
      </c>
      <c r="C25" s="41">
        <v>19.809999999999999</v>
      </c>
      <c r="D25" s="41">
        <v>14.55</v>
      </c>
      <c r="E25" s="41">
        <v>17.760000000000002</v>
      </c>
      <c r="F25" s="41">
        <v>37.08</v>
      </c>
      <c r="G25" s="41">
        <v>52.71</v>
      </c>
      <c r="H25" s="41">
        <v>32.79</v>
      </c>
      <c r="I25" s="41">
        <v>8.2200000000000006</v>
      </c>
      <c r="J25" s="41">
        <v>0.56999999999999995</v>
      </c>
      <c r="K25" s="41">
        <v>315.48</v>
      </c>
      <c r="L25" s="41">
        <v>32.11</v>
      </c>
      <c r="M25" s="41">
        <v>25.22</v>
      </c>
      <c r="N25" s="41">
        <v>57.4</v>
      </c>
      <c r="O25" s="41">
        <v>0</v>
      </c>
      <c r="P25" s="41">
        <v>0.63</v>
      </c>
      <c r="Q25" s="41">
        <v>12.95</v>
      </c>
      <c r="R25" s="38"/>
      <c r="S25" s="38"/>
      <c r="T25" s="38"/>
      <c r="U25" s="38"/>
    </row>
    <row r="26" spans="1:21" customFormat="1">
      <c r="A26" s="40" t="s">
        <v>462</v>
      </c>
      <c r="B26" s="41">
        <v>3.7</v>
      </c>
      <c r="C26" s="41">
        <v>20.41</v>
      </c>
      <c r="D26" s="41">
        <v>14.97</v>
      </c>
      <c r="E26" s="41">
        <v>15.46</v>
      </c>
      <c r="F26" s="41">
        <v>35.61</v>
      </c>
      <c r="G26" s="41">
        <v>56.32</v>
      </c>
      <c r="H26" s="41">
        <v>31.77</v>
      </c>
      <c r="I26" s="41">
        <v>7.7</v>
      </c>
      <c r="J26" s="41">
        <v>0.25</v>
      </c>
      <c r="K26" s="41">
        <v>179.17</v>
      </c>
      <c r="L26" s="41">
        <v>30.91</v>
      </c>
      <c r="M26" s="41">
        <v>42.17</v>
      </c>
      <c r="N26" s="41">
        <v>20.9</v>
      </c>
      <c r="O26" s="41">
        <v>0</v>
      </c>
      <c r="P26" s="41">
        <v>0.64</v>
      </c>
      <c r="Q26" s="41">
        <v>12.94</v>
      </c>
      <c r="R26" s="38"/>
      <c r="S26" s="38"/>
      <c r="T26" s="38"/>
      <c r="U26" s="38"/>
    </row>
    <row r="27" spans="1:21" customFormat="1">
      <c r="A27" s="40" t="s">
        <v>463</v>
      </c>
      <c r="B27" s="41">
        <v>4</v>
      </c>
      <c r="C27" s="41">
        <v>20.48</v>
      </c>
      <c r="D27" s="41">
        <v>15.26</v>
      </c>
      <c r="E27" s="41">
        <v>8.34</v>
      </c>
      <c r="F27" s="41">
        <v>42.35</v>
      </c>
      <c r="G27" s="41">
        <v>68.36</v>
      </c>
      <c r="H27" s="41">
        <v>32.82</v>
      </c>
      <c r="I27" s="41">
        <v>7.77</v>
      </c>
      <c r="J27" s="41">
        <v>0.27</v>
      </c>
      <c r="K27" s="41">
        <v>174.36</v>
      </c>
      <c r="L27" s="41">
        <v>26.91</v>
      </c>
      <c r="M27" s="41">
        <v>51.98</v>
      </c>
      <c r="N27" s="41">
        <v>2.1</v>
      </c>
      <c r="O27" s="41">
        <v>0</v>
      </c>
      <c r="P27" s="41">
        <v>0.7</v>
      </c>
      <c r="Q27" s="41">
        <v>12.95</v>
      </c>
      <c r="R27" s="38"/>
      <c r="S27" s="38"/>
      <c r="T27" s="38"/>
      <c r="U27" s="38"/>
    </row>
    <row r="28" spans="1:21" customFormat="1">
      <c r="A28" s="40" t="s">
        <v>464</v>
      </c>
      <c r="B28" s="41">
        <v>5.96</v>
      </c>
      <c r="C28" s="41">
        <v>20.78</v>
      </c>
      <c r="D28" s="41">
        <v>16.989999999999998</v>
      </c>
      <c r="E28" s="41">
        <v>8.9600000000000009</v>
      </c>
      <c r="F28" s="41">
        <v>40.19</v>
      </c>
      <c r="G28" s="41">
        <v>73.489999999999995</v>
      </c>
      <c r="H28" s="41">
        <v>32.82</v>
      </c>
      <c r="I28" s="41">
        <v>8.2899999999999991</v>
      </c>
      <c r="J28" s="41">
        <v>0.23</v>
      </c>
      <c r="K28" s="41">
        <v>169.14</v>
      </c>
      <c r="L28" s="41">
        <v>24.92</v>
      </c>
      <c r="M28" s="41">
        <v>53.15</v>
      </c>
      <c r="N28" s="41">
        <v>1.4</v>
      </c>
      <c r="O28" s="41">
        <v>0</v>
      </c>
      <c r="P28" s="41">
        <v>0.82</v>
      </c>
      <c r="Q28" s="41">
        <v>12.94</v>
      </c>
      <c r="R28" s="38"/>
      <c r="S28" s="38"/>
      <c r="T28" s="38"/>
      <c r="U28" s="38"/>
    </row>
    <row r="29" spans="1:21" customFormat="1">
      <c r="A29" s="40" t="s">
        <v>465</v>
      </c>
      <c r="B29" s="41">
        <v>10.88</v>
      </c>
      <c r="C29" s="41">
        <v>22.93</v>
      </c>
      <c r="D29" s="41">
        <v>22.06</v>
      </c>
      <c r="E29" s="41">
        <v>8.75</v>
      </c>
      <c r="F29" s="41">
        <v>33.97</v>
      </c>
      <c r="G29" s="41">
        <v>94.24</v>
      </c>
      <c r="H29" s="41">
        <v>33</v>
      </c>
      <c r="I29" s="41">
        <v>9.49</v>
      </c>
      <c r="J29" s="41">
        <v>0.24</v>
      </c>
      <c r="K29" s="41">
        <v>175.29</v>
      </c>
      <c r="L29" s="41">
        <v>24.19</v>
      </c>
      <c r="M29" s="41">
        <v>61.97</v>
      </c>
      <c r="N29" s="41">
        <v>1.8</v>
      </c>
      <c r="O29" s="41">
        <v>0</v>
      </c>
      <c r="P29" s="41">
        <v>0.92</v>
      </c>
      <c r="Q29" s="41">
        <v>12.96</v>
      </c>
      <c r="R29" s="38"/>
      <c r="S29" s="38"/>
      <c r="T29" s="38"/>
      <c r="U29" s="38"/>
    </row>
    <row r="30" spans="1:21" customFormat="1">
      <c r="A30" s="40" t="s">
        <v>466</v>
      </c>
      <c r="B30" s="41">
        <v>12.31</v>
      </c>
      <c r="C30" s="41">
        <v>23.27</v>
      </c>
      <c r="D30" s="41">
        <v>23.27</v>
      </c>
      <c r="E30" s="41">
        <v>8.83</v>
      </c>
      <c r="F30" s="41">
        <v>26.52</v>
      </c>
      <c r="G30" s="41">
        <v>94.24</v>
      </c>
      <c r="H30" s="41">
        <v>33</v>
      </c>
      <c r="I30" s="41">
        <v>10.31</v>
      </c>
      <c r="J30" s="41">
        <v>0.2</v>
      </c>
      <c r="K30" s="41">
        <v>190.4</v>
      </c>
      <c r="L30" s="41">
        <v>22.53</v>
      </c>
      <c r="M30" s="41">
        <v>65.069999999999993</v>
      </c>
      <c r="N30" s="41">
        <v>1.4</v>
      </c>
      <c r="O30" s="41">
        <v>0</v>
      </c>
      <c r="P30" s="41">
        <v>0.98</v>
      </c>
      <c r="Q30" s="41">
        <v>12.98</v>
      </c>
      <c r="R30" s="38"/>
      <c r="S30" s="38"/>
      <c r="T30" s="38"/>
      <c r="U30" s="38"/>
    </row>
    <row r="31" spans="1:21" customFormat="1">
      <c r="A31" s="40" t="s">
        <v>467</v>
      </c>
      <c r="B31" s="41">
        <v>12.81</v>
      </c>
      <c r="C31" s="41">
        <v>22.92</v>
      </c>
      <c r="D31" s="41">
        <v>23.43</v>
      </c>
      <c r="E31" s="41">
        <v>8.66</v>
      </c>
      <c r="F31" s="41">
        <v>22.48</v>
      </c>
      <c r="G31" s="41">
        <v>92.09</v>
      </c>
      <c r="H31" s="41">
        <v>31.35</v>
      </c>
      <c r="I31" s="41">
        <v>10.95</v>
      </c>
      <c r="J31" s="41">
        <v>0.2</v>
      </c>
      <c r="K31" s="41">
        <v>212.99</v>
      </c>
      <c r="L31" s="41">
        <v>22.07</v>
      </c>
      <c r="M31" s="41">
        <v>67.900000000000006</v>
      </c>
      <c r="N31" s="41">
        <v>1.5</v>
      </c>
      <c r="O31" s="41">
        <v>0</v>
      </c>
      <c r="P31" s="41">
        <v>1.02</v>
      </c>
      <c r="Q31" s="41">
        <v>12.97</v>
      </c>
      <c r="R31" s="38"/>
      <c r="S31" s="38"/>
      <c r="T31" s="38"/>
      <c r="U31" s="38"/>
    </row>
    <row r="32" spans="1:21" customFormat="1">
      <c r="A32" s="40" t="s">
        <v>468</v>
      </c>
      <c r="B32" s="41">
        <v>12.93</v>
      </c>
      <c r="C32" s="41">
        <v>22.51</v>
      </c>
      <c r="D32" s="41">
        <v>23.41</v>
      </c>
      <c r="E32" s="41">
        <v>8.56</v>
      </c>
      <c r="F32" s="41">
        <v>19.05</v>
      </c>
      <c r="G32" s="41">
        <v>97.22</v>
      </c>
      <c r="H32" s="41">
        <v>31.35</v>
      </c>
      <c r="I32" s="41">
        <v>11.61</v>
      </c>
      <c r="J32" s="41">
        <v>0.22</v>
      </c>
      <c r="K32" s="41">
        <v>184.26</v>
      </c>
      <c r="L32" s="41">
        <v>21.21</v>
      </c>
      <c r="M32" s="41">
        <v>69.819999999999993</v>
      </c>
      <c r="N32" s="41">
        <v>1.3</v>
      </c>
      <c r="O32" s="41">
        <v>0</v>
      </c>
      <c r="P32" s="41">
        <v>1.05</v>
      </c>
      <c r="Q32" s="41">
        <v>12.97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</v>
      </c>
      <c r="C34" s="18">
        <f t="shared" si="0"/>
        <v>18.93</v>
      </c>
      <c r="D34" s="18">
        <f t="shared" si="0"/>
        <v>14.03</v>
      </c>
      <c r="E34" s="18">
        <f t="shared" si="0"/>
        <v>8.34</v>
      </c>
      <c r="F34" s="18">
        <f t="shared" si="0"/>
        <v>5.38</v>
      </c>
      <c r="G34" s="18">
        <f t="shared" si="0"/>
        <v>52.71</v>
      </c>
      <c r="H34" s="18">
        <f t="shared" si="0"/>
        <v>13.56</v>
      </c>
      <c r="I34" s="18">
        <f t="shared" si="0"/>
        <v>7.7</v>
      </c>
      <c r="J34" s="18">
        <f t="shared" si="0"/>
        <v>0.19</v>
      </c>
      <c r="K34" s="18">
        <f t="shared" si="0"/>
        <v>169.14</v>
      </c>
      <c r="L34" s="18">
        <f t="shared" si="0"/>
        <v>15.01</v>
      </c>
      <c r="M34" s="18">
        <f t="shared" si="0"/>
        <v>19.97</v>
      </c>
      <c r="N34" s="18">
        <f t="shared" si="0"/>
        <v>0.8</v>
      </c>
      <c r="O34" s="18">
        <f t="shared" si="0"/>
        <v>0</v>
      </c>
      <c r="P34" s="18">
        <f t="shared" si="0"/>
        <v>0.63</v>
      </c>
      <c r="Q34" s="18">
        <f t="shared" si="0"/>
        <v>12.94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27.37</v>
      </c>
      <c r="C35" s="3">
        <f t="shared" si="1"/>
        <v>25.28</v>
      </c>
      <c r="D35" s="3">
        <f t="shared" si="1"/>
        <v>35.659999999999997</v>
      </c>
      <c r="E35" s="3">
        <f t="shared" si="1"/>
        <v>19.11</v>
      </c>
      <c r="F35" s="3">
        <f t="shared" si="1"/>
        <v>42.35</v>
      </c>
      <c r="G35" s="3">
        <f t="shared" si="1"/>
        <v>97.22</v>
      </c>
      <c r="H35" s="3">
        <f t="shared" si="1"/>
        <v>34.840000000000003</v>
      </c>
      <c r="I35" s="3">
        <f t="shared" si="1"/>
        <v>13.2</v>
      </c>
      <c r="J35" s="3">
        <f t="shared" si="1"/>
        <v>0.81</v>
      </c>
      <c r="K35" s="3">
        <f t="shared" si="1"/>
        <v>323.05</v>
      </c>
      <c r="L35" s="3">
        <f t="shared" si="1"/>
        <v>33.520000000000003</v>
      </c>
      <c r="M35" s="3">
        <f t="shared" si="1"/>
        <v>75.209999999999994</v>
      </c>
      <c r="N35" s="3">
        <f t="shared" si="1"/>
        <v>368.9</v>
      </c>
      <c r="O35" s="3">
        <f t="shared" si="1"/>
        <v>0</v>
      </c>
      <c r="P35" s="3">
        <f t="shared" si="1"/>
        <v>1.05</v>
      </c>
      <c r="Q35" s="3">
        <f t="shared" si="1"/>
        <v>13.05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13.838749999999999</v>
      </c>
      <c r="C36" s="18">
        <f t="shared" si="2"/>
        <v>22.467916666666667</v>
      </c>
      <c r="D36" s="18">
        <f t="shared" si="2"/>
        <v>24.092500000000001</v>
      </c>
      <c r="E36" s="18">
        <f t="shared" si="2"/>
        <v>11.480833333333335</v>
      </c>
      <c r="F36" s="18">
        <f t="shared" si="2"/>
        <v>25.32041666666667</v>
      </c>
      <c r="G36" s="18">
        <f t="shared" si="2"/>
        <v>71.485416666666652</v>
      </c>
      <c r="H36" s="18">
        <f t="shared" si="2"/>
        <v>26.13291666666667</v>
      </c>
      <c r="I36" s="18">
        <f t="shared" si="2"/>
        <v>10.311666666666666</v>
      </c>
      <c r="J36" s="18">
        <f t="shared" si="2"/>
        <v>0.37958333333333333</v>
      </c>
      <c r="K36" s="18">
        <f t="shared" si="2"/>
        <v>233.71</v>
      </c>
      <c r="L36" s="18">
        <f t="shared" si="2"/>
        <v>24.170833333333338</v>
      </c>
      <c r="M36" s="18">
        <f t="shared" si="2"/>
        <v>50.826249999999995</v>
      </c>
      <c r="N36" s="18">
        <f t="shared" si="2"/>
        <v>102.91666666666669</v>
      </c>
      <c r="O36" s="18">
        <f t="shared" si="2"/>
        <v>0</v>
      </c>
      <c r="P36" s="18">
        <f t="shared" si="2"/>
        <v>0.82791666666666675</v>
      </c>
      <c r="Q36" s="18">
        <f t="shared" si="2"/>
        <v>12.9825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8.8735877320918206</v>
      </c>
      <c r="C37" s="18">
        <f t="shared" ref="C37:Q37" si="3">STDEV(C9:C32)</f>
        <v>1.9336178732392153</v>
      </c>
      <c r="D37" s="18">
        <f t="shared" si="3"/>
        <v>7.8354563419724492</v>
      </c>
      <c r="E37" s="18">
        <f t="shared" si="3"/>
        <v>3.0335542601501837</v>
      </c>
      <c r="F37" s="18">
        <f t="shared" si="3"/>
        <v>12.752210542956217</v>
      </c>
      <c r="G37" s="18">
        <f t="shared" si="3"/>
        <v>14.700151723312519</v>
      </c>
      <c r="H37" s="18">
        <f t="shared" si="3"/>
        <v>6.852099315992989</v>
      </c>
      <c r="I37" s="18">
        <f t="shared" si="3"/>
        <v>1.57757289273241</v>
      </c>
      <c r="J37" s="18">
        <f t="shared" si="3"/>
        <v>0.22379103542419182</v>
      </c>
      <c r="K37" s="18">
        <f t="shared" si="3"/>
        <v>53.656231535663139</v>
      </c>
      <c r="L37" s="18">
        <f t="shared" si="3"/>
        <v>6.7881616366875583</v>
      </c>
      <c r="M37" s="18">
        <f t="shared" si="3"/>
        <v>20.926828175812986</v>
      </c>
      <c r="N37" s="18">
        <f t="shared" si="3"/>
        <v>147.49438210868638</v>
      </c>
      <c r="O37" s="18">
        <f t="shared" si="3"/>
        <v>0</v>
      </c>
      <c r="P37" s="18">
        <f t="shared" si="3"/>
        <v>0.12043324568683966</v>
      </c>
      <c r="Q37" s="18">
        <f t="shared" si="3"/>
        <v>3.7329321730639166E-2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17" activePane="bottomRight" state="frozen"/>
      <selection activeCell="G19" sqref="G19"/>
      <selection pane="topRight" activeCell="G19" sqref="G19"/>
      <selection pane="bottomLeft" activeCell="G19" sqref="G19"/>
      <selection pane="bottomRight" activeCell="J22" sqref="J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469</v>
      </c>
      <c r="B9" s="41">
        <v>12.57</v>
      </c>
      <c r="C9" s="41">
        <v>22.89</v>
      </c>
      <c r="D9" s="41">
        <v>23.15</v>
      </c>
      <c r="E9" s="41">
        <v>8.91</v>
      </c>
      <c r="F9" s="41">
        <v>11.91</v>
      </c>
      <c r="G9" s="41">
        <v>98.73</v>
      </c>
      <c r="H9" s="41">
        <v>32.659999999999997</v>
      </c>
      <c r="I9" s="41">
        <v>13.27</v>
      </c>
      <c r="J9" s="41">
        <v>0.22</v>
      </c>
      <c r="K9" s="41">
        <v>209.8</v>
      </c>
      <c r="L9" s="41">
        <v>20.86</v>
      </c>
      <c r="M9" s="41">
        <v>72.91</v>
      </c>
      <c r="N9" s="41">
        <v>1.4</v>
      </c>
      <c r="O9" s="41">
        <v>0</v>
      </c>
      <c r="P9" s="41">
        <v>1.1100000000000001</v>
      </c>
      <c r="Q9" s="41">
        <v>12.99</v>
      </c>
      <c r="R9" s="38"/>
      <c r="S9" s="38"/>
      <c r="T9" s="38"/>
      <c r="U9" s="38"/>
    </row>
    <row r="10" spans="1:21" customFormat="1">
      <c r="A10" s="40" t="s">
        <v>470</v>
      </c>
      <c r="B10" s="41">
        <v>11.95</v>
      </c>
      <c r="C10" s="41">
        <v>22.9</v>
      </c>
      <c r="D10" s="41">
        <v>22.83</v>
      </c>
      <c r="E10" s="41">
        <v>9.15</v>
      </c>
      <c r="F10" s="41">
        <v>11.61</v>
      </c>
      <c r="G10" s="41">
        <v>98.73</v>
      </c>
      <c r="H10" s="41">
        <v>32.659999999999997</v>
      </c>
      <c r="I10" s="41">
        <v>14.47</v>
      </c>
      <c r="J10" s="41">
        <v>0.19</v>
      </c>
      <c r="K10" s="41">
        <v>221.51</v>
      </c>
      <c r="L10" s="41">
        <v>20.73</v>
      </c>
      <c r="M10" s="41">
        <v>72.209999999999994</v>
      </c>
      <c r="N10" s="41">
        <v>1.4</v>
      </c>
      <c r="O10" s="41">
        <v>0</v>
      </c>
      <c r="P10" s="41">
        <v>1.1599999999999999</v>
      </c>
      <c r="Q10" s="41">
        <v>13</v>
      </c>
      <c r="R10" s="38"/>
      <c r="S10" s="38"/>
      <c r="T10" s="38"/>
      <c r="U10" s="38"/>
    </row>
    <row r="11" spans="1:21" customFormat="1">
      <c r="A11" s="40" t="s">
        <v>471</v>
      </c>
      <c r="B11" s="41">
        <v>11.07</v>
      </c>
      <c r="C11" s="41">
        <v>23.01</v>
      </c>
      <c r="D11" s="41">
        <v>22.24</v>
      </c>
      <c r="E11" s="41">
        <v>8.83</v>
      </c>
      <c r="F11" s="41">
        <v>10.66</v>
      </c>
      <c r="G11" s="41">
        <v>96.35</v>
      </c>
      <c r="H11" s="41">
        <v>31.84</v>
      </c>
      <c r="I11" s="41">
        <v>14.68</v>
      </c>
      <c r="J11" s="41">
        <v>0.21</v>
      </c>
      <c r="K11" s="41">
        <v>193.63</v>
      </c>
      <c r="L11" s="41">
        <v>21.05</v>
      </c>
      <c r="M11" s="41">
        <v>64.760000000000005</v>
      </c>
      <c r="N11" s="41">
        <v>1.3</v>
      </c>
      <c r="O11" s="41">
        <v>0</v>
      </c>
      <c r="P11" s="41">
        <v>1.1599999999999999</v>
      </c>
      <c r="Q11" s="41">
        <v>12.98</v>
      </c>
      <c r="R11" s="38"/>
      <c r="S11" s="38"/>
      <c r="T11" s="38"/>
      <c r="U11" s="38"/>
    </row>
    <row r="12" spans="1:21" customFormat="1">
      <c r="A12" s="40" t="s">
        <v>472</v>
      </c>
      <c r="B12" s="41">
        <v>10.09</v>
      </c>
      <c r="C12" s="41">
        <v>23.49</v>
      </c>
      <c r="D12" s="41">
        <v>21.72</v>
      </c>
      <c r="E12" s="41">
        <v>8.98</v>
      </c>
      <c r="F12" s="41">
        <v>9.18</v>
      </c>
      <c r="G12" s="41">
        <v>93.65</v>
      </c>
      <c r="H12" s="41">
        <v>31.84</v>
      </c>
      <c r="I12" s="41">
        <v>14.57</v>
      </c>
      <c r="J12" s="41">
        <v>0.22</v>
      </c>
      <c r="K12" s="41">
        <v>214.91</v>
      </c>
      <c r="L12" s="41">
        <v>20.82</v>
      </c>
      <c r="M12" s="41">
        <v>73.099999999999994</v>
      </c>
      <c r="N12" s="41">
        <v>1.8</v>
      </c>
      <c r="O12" s="41">
        <v>0</v>
      </c>
      <c r="P12" s="41">
        <v>1.1399999999999999</v>
      </c>
      <c r="Q12" s="41">
        <v>12.98</v>
      </c>
      <c r="R12" s="38"/>
      <c r="S12" s="38"/>
      <c r="T12" s="38"/>
      <c r="U12" s="38"/>
    </row>
    <row r="13" spans="1:21" customFormat="1">
      <c r="A13" s="40" t="s">
        <v>473</v>
      </c>
      <c r="B13" s="41">
        <v>11.38</v>
      </c>
      <c r="C13" s="41">
        <v>23.82</v>
      </c>
      <c r="D13" s="41">
        <v>22.92</v>
      </c>
      <c r="E13" s="41">
        <v>8.68</v>
      </c>
      <c r="F13" s="41">
        <v>8.9600000000000009</v>
      </c>
      <c r="G13" s="41">
        <v>88.02</v>
      </c>
      <c r="H13" s="41">
        <v>28.95</v>
      </c>
      <c r="I13" s="41">
        <v>14.1</v>
      </c>
      <c r="J13" s="41">
        <v>0.27</v>
      </c>
      <c r="K13" s="41">
        <v>176.22</v>
      </c>
      <c r="L13" s="41">
        <v>19.670000000000002</v>
      </c>
      <c r="M13" s="41">
        <v>76.510000000000005</v>
      </c>
      <c r="N13" s="41">
        <v>1.5</v>
      </c>
      <c r="O13" s="41">
        <v>0</v>
      </c>
      <c r="P13" s="41">
        <v>1.1399999999999999</v>
      </c>
      <c r="Q13" s="41">
        <v>12.96</v>
      </c>
      <c r="R13" s="38"/>
      <c r="S13" s="38"/>
      <c r="T13" s="38"/>
      <c r="U13" s="38"/>
    </row>
    <row r="14" spans="1:21" customFormat="1">
      <c r="A14" s="40" t="s">
        <v>474</v>
      </c>
      <c r="B14" s="41">
        <v>12.19</v>
      </c>
      <c r="C14" s="41">
        <v>23.8</v>
      </c>
      <c r="D14" s="41">
        <v>23.47</v>
      </c>
      <c r="E14" s="41">
        <v>8.5</v>
      </c>
      <c r="F14" s="41">
        <v>6.58</v>
      </c>
      <c r="G14" s="41">
        <v>78.319999999999993</v>
      </c>
      <c r="H14" s="41">
        <v>25.67</v>
      </c>
      <c r="I14" s="41">
        <v>14</v>
      </c>
      <c r="J14" s="41">
        <v>0.31</v>
      </c>
      <c r="K14" s="41">
        <v>239.59</v>
      </c>
      <c r="L14" s="41">
        <v>19.25</v>
      </c>
      <c r="M14" s="41">
        <v>76.53</v>
      </c>
      <c r="N14" s="41">
        <v>1.6</v>
      </c>
      <c r="O14" s="41">
        <v>0</v>
      </c>
      <c r="P14" s="41">
        <v>1.1499999999999999</v>
      </c>
      <c r="Q14" s="41">
        <v>12.98</v>
      </c>
      <c r="R14" s="38"/>
      <c r="S14" s="38"/>
      <c r="T14" s="38"/>
      <c r="U14" s="38"/>
    </row>
    <row r="15" spans="1:21" customFormat="1">
      <c r="A15" s="40" t="s">
        <v>475</v>
      </c>
      <c r="B15" s="41">
        <v>12.08</v>
      </c>
      <c r="C15" s="41">
        <v>23.17</v>
      </c>
      <c r="D15" s="41">
        <v>23.15</v>
      </c>
      <c r="E15" s="41">
        <v>8.08</v>
      </c>
      <c r="F15" s="41">
        <v>7.39</v>
      </c>
      <c r="G15" s="41">
        <v>75.459999999999994</v>
      </c>
      <c r="H15" s="41">
        <v>23.61</v>
      </c>
      <c r="I15" s="41">
        <v>13.6</v>
      </c>
      <c r="J15" s="41">
        <v>0.26</v>
      </c>
      <c r="K15" s="41">
        <v>179.22</v>
      </c>
      <c r="L15" s="41">
        <v>19.190000000000001</v>
      </c>
      <c r="M15" s="41">
        <v>78.680000000000007</v>
      </c>
      <c r="N15" s="41">
        <v>8.8000000000000007</v>
      </c>
      <c r="O15" s="41">
        <v>0</v>
      </c>
      <c r="P15" s="41">
        <v>1.1399999999999999</v>
      </c>
      <c r="Q15" s="41">
        <v>12.99</v>
      </c>
      <c r="R15" s="38"/>
      <c r="S15" s="38"/>
      <c r="T15" s="38"/>
      <c r="U15" s="38"/>
    </row>
    <row r="16" spans="1:21" customFormat="1">
      <c r="A16" s="40" t="s">
        <v>476</v>
      </c>
      <c r="B16" s="41">
        <v>11.83</v>
      </c>
      <c r="C16" s="41">
        <v>22.16</v>
      </c>
      <c r="D16" s="41">
        <v>22.37</v>
      </c>
      <c r="E16" s="41">
        <v>8.7899999999999991</v>
      </c>
      <c r="F16" s="41">
        <v>18.149999999999999</v>
      </c>
      <c r="G16" s="41">
        <v>71.5</v>
      </c>
      <c r="H16" s="41">
        <v>23.59</v>
      </c>
      <c r="I16" s="41">
        <v>13.41</v>
      </c>
      <c r="J16" s="41">
        <v>0.33</v>
      </c>
      <c r="K16" s="41">
        <v>174.17</v>
      </c>
      <c r="L16" s="41">
        <v>21.2</v>
      </c>
      <c r="M16" s="41">
        <v>79.86</v>
      </c>
      <c r="N16" s="41">
        <v>43.8</v>
      </c>
      <c r="O16" s="41">
        <v>0</v>
      </c>
      <c r="P16" s="41">
        <v>1.1299999999999999</v>
      </c>
      <c r="Q16" s="41">
        <v>12.97</v>
      </c>
      <c r="R16" s="38"/>
      <c r="S16" s="38"/>
      <c r="T16" s="38"/>
      <c r="U16" s="38"/>
    </row>
    <row r="17" spans="1:21" customFormat="1">
      <c r="A17" s="40" t="s">
        <v>477</v>
      </c>
      <c r="B17" s="41">
        <v>11.58</v>
      </c>
      <c r="C17" s="41">
        <v>22.27</v>
      </c>
      <c r="D17" s="41">
        <v>22.08</v>
      </c>
      <c r="E17" s="41">
        <v>8.5</v>
      </c>
      <c r="F17" s="41">
        <v>20.48</v>
      </c>
      <c r="G17" s="41">
        <v>72.95</v>
      </c>
      <c r="H17" s="41">
        <v>27.6</v>
      </c>
      <c r="I17" s="41">
        <v>13.25</v>
      </c>
      <c r="J17" s="41">
        <v>0.27</v>
      </c>
      <c r="K17" s="41">
        <v>258.43</v>
      </c>
      <c r="L17" s="41">
        <v>25.44</v>
      </c>
      <c r="M17" s="41">
        <v>67.709999999999994</v>
      </c>
      <c r="N17" s="41">
        <v>150.6</v>
      </c>
      <c r="O17" s="41">
        <v>0</v>
      </c>
      <c r="P17" s="41">
        <v>1.1299999999999999</v>
      </c>
      <c r="Q17" s="41">
        <v>12.97</v>
      </c>
      <c r="R17" s="38"/>
      <c r="S17" s="38"/>
      <c r="T17" s="38"/>
      <c r="U17" s="38"/>
    </row>
    <row r="18" spans="1:21" customFormat="1">
      <c r="A18" s="40" t="s">
        <v>478</v>
      </c>
      <c r="B18" s="41">
        <v>10.49</v>
      </c>
      <c r="C18" s="41">
        <v>23.06</v>
      </c>
      <c r="D18" s="41">
        <v>21.4</v>
      </c>
      <c r="E18" s="41">
        <v>9.16</v>
      </c>
      <c r="F18" s="41">
        <v>18.899999999999999</v>
      </c>
      <c r="G18" s="41">
        <v>72.95</v>
      </c>
      <c r="H18" s="41">
        <v>27.6</v>
      </c>
      <c r="I18" s="41">
        <v>13.58</v>
      </c>
      <c r="J18" s="41">
        <v>0.62</v>
      </c>
      <c r="K18" s="41">
        <v>262.13</v>
      </c>
      <c r="L18" s="41">
        <v>28.4</v>
      </c>
      <c r="M18" s="41">
        <v>52.79</v>
      </c>
      <c r="N18" s="41">
        <v>235.8</v>
      </c>
      <c r="O18" s="41">
        <v>0</v>
      </c>
      <c r="P18" s="41">
        <v>1.1299999999999999</v>
      </c>
      <c r="Q18" s="41">
        <v>12.96</v>
      </c>
      <c r="R18" s="38"/>
      <c r="S18" s="38"/>
      <c r="T18" s="38"/>
      <c r="U18" s="38"/>
    </row>
    <row r="19" spans="1:21" customFormat="1">
      <c r="A19" s="40" t="s">
        <v>479</v>
      </c>
      <c r="B19" s="41">
        <v>6.21</v>
      </c>
      <c r="C19" s="41">
        <v>24.5</v>
      </c>
      <c r="D19" s="41">
        <v>18.64</v>
      </c>
      <c r="E19" s="41">
        <v>12</v>
      </c>
      <c r="F19" s="41">
        <v>28.93</v>
      </c>
      <c r="G19" s="41">
        <v>72.430000000000007</v>
      </c>
      <c r="H19" s="41">
        <v>29.22</v>
      </c>
      <c r="I19" s="41">
        <v>14.75</v>
      </c>
      <c r="J19" s="41">
        <v>0.89</v>
      </c>
      <c r="K19" s="41">
        <v>292.63</v>
      </c>
      <c r="L19" s="41">
        <v>30.54</v>
      </c>
      <c r="M19" s="41">
        <v>47.65</v>
      </c>
      <c r="N19" s="41">
        <v>280.8</v>
      </c>
      <c r="O19" s="41">
        <v>0</v>
      </c>
      <c r="P19" s="41">
        <v>1.06</v>
      </c>
      <c r="Q19" s="41">
        <v>12.95</v>
      </c>
      <c r="R19" s="38"/>
      <c r="S19" s="38"/>
      <c r="T19" s="38"/>
      <c r="U19" s="38"/>
    </row>
    <row r="20" spans="1:21" customFormat="1">
      <c r="A20" s="40" t="s">
        <v>480</v>
      </c>
      <c r="B20" s="41">
        <v>4.24</v>
      </c>
      <c r="C20" s="41">
        <v>24.68</v>
      </c>
      <c r="D20" s="41">
        <v>17.64</v>
      </c>
      <c r="E20" s="41">
        <v>12.44</v>
      </c>
      <c r="F20" s="41">
        <v>32.909999999999997</v>
      </c>
      <c r="G20" s="41">
        <v>72.540000000000006</v>
      </c>
      <c r="H20" s="41">
        <v>29.45</v>
      </c>
      <c r="I20" s="41">
        <v>14.86</v>
      </c>
      <c r="J20" s="41">
        <v>0.98</v>
      </c>
      <c r="K20" s="41">
        <v>285.68</v>
      </c>
      <c r="L20" s="41">
        <v>32.450000000000003</v>
      </c>
      <c r="M20" s="41">
        <v>43.17</v>
      </c>
      <c r="N20" s="41">
        <v>306</v>
      </c>
      <c r="O20" s="41">
        <v>0</v>
      </c>
      <c r="P20" s="41">
        <v>1.05</v>
      </c>
      <c r="Q20" s="41">
        <v>12.95</v>
      </c>
      <c r="R20" s="38"/>
      <c r="S20" s="38"/>
      <c r="T20" s="38"/>
      <c r="U20" s="38"/>
    </row>
    <row r="21" spans="1:21" customFormat="1">
      <c r="A21" s="40" t="s">
        <v>481</v>
      </c>
      <c r="B21" s="41">
        <v>3.75</v>
      </c>
      <c r="C21" s="41">
        <v>23.54</v>
      </c>
      <c r="D21" s="41">
        <v>16.64</v>
      </c>
      <c r="E21" s="41">
        <v>13.65</v>
      </c>
      <c r="F21" s="41">
        <v>42.03</v>
      </c>
      <c r="G21" s="41">
        <v>72.540000000000006</v>
      </c>
      <c r="H21" s="41">
        <v>31.53</v>
      </c>
      <c r="I21" s="41">
        <v>13.95</v>
      </c>
      <c r="J21" s="41">
        <v>1.2</v>
      </c>
      <c r="K21" s="41">
        <v>308.29000000000002</v>
      </c>
      <c r="L21" s="41">
        <v>32.94</v>
      </c>
      <c r="M21" s="41">
        <v>37.520000000000003</v>
      </c>
      <c r="N21" s="41">
        <v>313.5</v>
      </c>
      <c r="O21" s="41">
        <v>0</v>
      </c>
      <c r="P21" s="41">
        <v>0.97</v>
      </c>
      <c r="Q21" s="41">
        <v>12.96</v>
      </c>
      <c r="R21" s="38"/>
      <c r="S21" s="38"/>
      <c r="T21" s="38"/>
      <c r="U21" s="38"/>
    </row>
    <row r="22" spans="1:21" customFormat="1">
      <c r="A22" s="40" t="s">
        <v>482</v>
      </c>
      <c r="B22" s="41">
        <v>3.69</v>
      </c>
      <c r="C22" s="41">
        <v>23.13</v>
      </c>
      <c r="D22" s="41">
        <v>16.39</v>
      </c>
      <c r="E22" s="41">
        <v>14.17</v>
      </c>
      <c r="F22" s="41">
        <v>39.44</v>
      </c>
      <c r="G22" s="41">
        <v>74.41</v>
      </c>
      <c r="H22" s="41">
        <v>31.69</v>
      </c>
      <c r="I22" s="41">
        <v>13.2</v>
      </c>
      <c r="J22" s="41">
        <v>1.02</v>
      </c>
      <c r="K22" s="41">
        <v>287.97000000000003</v>
      </c>
      <c r="L22" s="41">
        <v>33.81</v>
      </c>
      <c r="M22" s="41">
        <v>35.68</v>
      </c>
      <c r="N22" s="41">
        <v>299.5</v>
      </c>
      <c r="O22" s="41">
        <v>0</v>
      </c>
      <c r="P22" s="41">
        <v>0.93</v>
      </c>
      <c r="Q22" s="41">
        <v>12.95</v>
      </c>
      <c r="R22" s="38"/>
      <c r="S22" s="38"/>
      <c r="T22" s="38"/>
      <c r="U22" s="38"/>
    </row>
    <row r="23" spans="1:21" customFormat="1">
      <c r="A23" s="40" t="s">
        <v>483</v>
      </c>
      <c r="B23" s="41">
        <v>3.75</v>
      </c>
      <c r="C23" s="41">
        <v>21.85</v>
      </c>
      <c r="D23" s="41">
        <v>15.77</v>
      </c>
      <c r="E23" s="41">
        <v>19.399999999999999</v>
      </c>
      <c r="F23" s="41">
        <v>41.77</v>
      </c>
      <c r="G23" s="41">
        <v>74.41</v>
      </c>
      <c r="H23" s="41">
        <v>31.69</v>
      </c>
      <c r="I23" s="41">
        <v>12.24</v>
      </c>
      <c r="J23" s="41">
        <v>0.77</v>
      </c>
      <c r="K23" s="41">
        <v>277.99</v>
      </c>
      <c r="L23" s="41">
        <v>33.630000000000003</v>
      </c>
      <c r="M23" s="41">
        <v>35</v>
      </c>
      <c r="N23" s="41">
        <v>265.39999999999998</v>
      </c>
      <c r="O23" s="41">
        <v>0</v>
      </c>
      <c r="P23" s="41">
        <v>0.89</v>
      </c>
      <c r="Q23" s="41">
        <v>12.94</v>
      </c>
      <c r="R23" s="38"/>
      <c r="S23" s="38"/>
      <c r="T23" s="38"/>
      <c r="U23" s="38"/>
    </row>
    <row r="24" spans="1:21" customFormat="1">
      <c r="A24" s="40" t="s">
        <v>484</v>
      </c>
      <c r="B24" s="41">
        <v>3.95</v>
      </c>
      <c r="C24" s="41">
        <v>21.51</v>
      </c>
      <c r="D24" s="41">
        <v>15.57</v>
      </c>
      <c r="E24" s="41">
        <v>17.66</v>
      </c>
      <c r="F24" s="41">
        <v>50.24</v>
      </c>
      <c r="G24" s="41">
        <v>69.599999999999994</v>
      </c>
      <c r="H24" s="41">
        <v>32.53</v>
      </c>
      <c r="I24" s="41">
        <v>11.16</v>
      </c>
      <c r="J24" s="41">
        <v>1.25</v>
      </c>
      <c r="K24" s="41">
        <v>301.24</v>
      </c>
      <c r="L24" s="41">
        <v>33.049999999999997</v>
      </c>
      <c r="M24" s="41">
        <v>33.590000000000003</v>
      </c>
      <c r="N24" s="41">
        <v>91.2</v>
      </c>
      <c r="O24" s="41">
        <v>0</v>
      </c>
      <c r="P24" s="41">
        <v>0.88</v>
      </c>
      <c r="Q24" s="41">
        <v>12.94</v>
      </c>
      <c r="R24" s="38"/>
      <c r="S24" s="38"/>
      <c r="T24" s="38"/>
      <c r="U24" s="38"/>
    </row>
    <row r="25" spans="1:21" customFormat="1">
      <c r="A25" s="40" t="s">
        <v>485</v>
      </c>
      <c r="B25" s="41">
        <v>4.1100000000000003</v>
      </c>
      <c r="C25" s="41">
        <v>21.24</v>
      </c>
      <c r="D25" s="41">
        <v>15.71</v>
      </c>
      <c r="E25" s="41">
        <v>17.079999999999998</v>
      </c>
      <c r="F25" s="41">
        <v>33.799999999999997</v>
      </c>
      <c r="G25" s="41">
        <v>67.86</v>
      </c>
      <c r="H25" s="41">
        <v>33.07</v>
      </c>
      <c r="I25" s="41">
        <v>10.039999999999999</v>
      </c>
      <c r="J25" s="41">
        <v>1.2</v>
      </c>
      <c r="K25" s="41">
        <v>306.31</v>
      </c>
      <c r="L25" s="41">
        <v>32.4</v>
      </c>
      <c r="M25" s="41">
        <v>32.340000000000003</v>
      </c>
      <c r="N25" s="41">
        <v>54</v>
      </c>
      <c r="O25" s="41">
        <v>0</v>
      </c>
      <c r="P25" s="41">
        <v>0.82</v>
      </c>
      <c r="Q25" s="41">
        <v>12.92</v>
      </c>
      <c r="R25" s="38"/>
      <c r="S25" s="38"/>
      <c r="T25" s="38"/>
      <c r="U25" s="38"/>
    </row>
    <row r="26" spans="1:21" customFormat="1">
      <c r="A26" s="40" t="s">
        <v>486</v>
      </c>
      <c r="B26" s="41">
        <v>4.6500000000000004</v>
      </c>
      <c r="C26" s="41">
        <v>22.12</v>
      </c>
      <c r="D26" s="41">
        <v>16.64</v>
      </c>
      <c r="E26" s="41">
        <v>17.16</v>
      </c>
      <c r="F26" s="41">
        <v>40.47</v>
      </c>
      <c r="G26" s="41">
        <v>61.82</v>
      </c>
      <c r="H26" s="41">
        <v>33.07</v>
      </c>
      <c r="I26" s="41">
        <v>8.92</v>
      </c>
      <c r="J26" s="41">
        <v>1.1399999999999999</v>
      </c>
      <c r="K26" s="41">
        <v>310.04000000000002</v>
      </c>
      <c r="L26" s="41">
        <v>31.51</v>
      </c>
      <c r="M26" s="41">
        <v>34.130000000000003</v>
      </c>
      <c r="N26" s="41">
        <v>19.3</v>
      </c>
      <c r="O26" s="41">
        <v>0</v>
      </c>
      <c r="P26" s="41">
        <v>0.82</v>
      </c>
      <c r="Q26" s="41">
        <v>12.93</v>
      </c>
      <c r="R26" s="38"/>
      <c r="S26" s="38"/>
      <c r="T26" s="38"/>
      <c r="U26" s="38"/>
    </row>
    <row r="27" spans="1:21" customFormat="1">
      <c r="A27" s="40" t="s">
        <v>487</v>
      </c>
      <c r="B27" s="41">
        <v>5.26</v>
      </c>
      <c r="C27" s="41">
        <v>22.65</v>
      </c>
      <c r="D27" s="41">
        <v>17.34</v>
      </c>
      <c r="E27" s="41">
        <v>13.65</v>
      </c>
      <c r="F27" s="41">
        <v>37.35</v>
      </c>
      <c r="G27" s="41">
        <v>63.74</v>
      </c>
      <c r="H27" s="41">
        <v>27.61</v>
      </c>
      <c r="I27" s="41">
        <v>8.75</v>
      </c>
      <c r="J27" s="41">
        <v>0.35</v>
      </c>
      <c r="K27" s="41">
        <v>251.39</v>
      </c>
      <c r="L27" s="41">
        <v>29.66</v>
      </c>
      <c r="M27" s="41">
        <v>51.44</v>
      </c>
      <c r="N27" s="41">
        <v>2</v>
      </c>
      <c r="O27" s="41">
        <v>0</v>
      </c>
      <c r="P27" s="41">
        <v>0.84</v>
      </c>
      <c r="Q27" s="41">
        <v>12.93</v>
      </c>
      <c r="R27" s="38"/>
      <c r="S27" s="38"/>
      <c r="T27" s="38"/>
      <c r="U27" s="38"/>
    </row>
    <row r="28" spans="1:21" customFormat="1">
      <c r="A28" s="40" t="s">
        <v>488</v>
      </c>
      <c r="B28" s="41">
        <v>5.72</v>
      </c>
      <c r="C28" s="41">
        <v>22.37</v>
      </c>
      <c r="D28" s="41">
        <v>17.43</v>
      </c>
      <c r="E28" s="41">
        <v>11.4</v>
      </c>
      <c r="F28" s="41">
        <v>16.18</v>
      </c>
      <c r="G28" s="41">
        <v>88.15</v>
      </c>
      <c r="H28" s="41">
        <v>42.93</v>
      </c>
      <c r="I28" s="41">
        <v>9.49</v>
      </c>
      <c r="J28" s="41">
        <v>0.25</v>
      </c>
      <c r="K28" s="41">
        <v>214.86</v>
      </c>
      <c r="L28" s="41">
        <v>26.08</v>
      </c>
      <c r="M28" s="41">
        <v>57.47</v>
      </c>
      <c r="N28" s="41">
        <v>1.6</v>
      </c>
      <c r="O28" s="41">
        <v>0</v>
      </c>
      <c r="P28" s="41">
        <v>0.86</v>
      </c>
      <c r="Q28" s="41">
        <v>12.94</v>
      </c>
      <c r="R28" s="38"/>
      <c r="S28" s="38"/>
      <c r="T28" s="38"/>
      <c r="U28" s="38"/>
    </row>
    <row r="29" spans="1:21" customFormat="1">
      <c r="A29" s="40" t="s">
        <v>489</v>
      </c>
      <c r="B29" s="41">
        <v>5.72</v>
      </c>
      <c r="C29" s="41">
        <v>22.17</v>
      </c>
      <c r="D29" s="41">
        <v>17.53</v>
      </c>
      <c r="E29" s="41">
        <v>10.99</v>
      </c>
      <c r="F29" s="41">
        <v>20.2</v>
      </c>
      <c r="G29" s="41">
        <v>95.28</v>
      </c>
      <c r="H29" s="41">
        <v>43.23</v>
      </c>
      <c r="I29" s="41">
        <v>10.49</v>
      </c>
      <c r="J29" s="41">
        <v>0.17</v>
      </c>
      <c r="K29" s="41">
        <v>190</v>
      </c>
      <c r="L29" s="41">
        <v>24.59</v>
      </c>
      <c r="M29" s="41">
        <v>61.83</v>
      </c>
      <c r="N29" s="41">
        <v>1.3</v>
      </c>
      <c r="O29" s="41">
        <v>0</v>
      </c>
      <c r="P29" s="41">
        <v>0.92</v>
      </c>
      <c r="Q29" s="41">
        <v>12.94</v>
      </c>
      <c r="R29" s="38"/>
      <c r="S29" s="38"/>
      <c r="T29" s="38"/>
      <c r="U29" s="38"/>
    </row>
    <row r="30" spans="1:21" customFormat="1">
      <c r="A30" s="40" t="s">
        <v>490</v>
      </c>
      <c r="B30" s="41">
        <v>6.07</v>
      </c>
      <c r="C30" s="41">
        <v>22.15</v>
      </c>
      <c r="D30" s="41">
        <v>17.63</v>
      </c>
      <c r="E30" s="41">
        <v>11.24</v>
      </c>
      <c r="F30" s="41">
        <v>22.17</v>
      </c>
      <c r="G30" s="41">
        <v>185.6</v>
      </c>
      <c r="H30" s="41">
        <v>57.58</v>
      </c>
      <c r="I30" s="41">
        <v>12.78</v>
      </c>
      <c r="J30" s="41">
        <v>0.18</v>
      </c>
      <c r="K30" s="41">
        <v>192.87</v>
      </c>
      <c r="L30" s="41">
        <v>23.97</v>
      </c>
      <c r="M30" s="41">
        <v>66.45</v>
      </c>
      <c r="N30" s="41">
        <v>1.2</v>
      </c>
      <c r="O30" s="41">
        <v>0</v>
      </c>
      <c r="P30" s="41">
        <v>0.99</v>
      </c>
      <c r="Q30" s="41">
        <v>12.94</v>
      </c>
      <c r="R30" s="38"/>
      <c r="S30" s="38"/>
      <c r="T30" s="38"/>
      <c r="U30" s="38"/>
    </row>
    <row r="31" spans="1:21" customFormat="1">
      <c r="A31" s="40" t="s">
        <v>491</v>
      </c>
      <c r="B31" s="41">
        <v>6.16</v>
      </c>
      <c r="C31" s="41">
        <v>21.84</v>
      </c>
      <c r="D31" s="41">
        <v>17.68</v>
      </c>
      <c r="E31" s="41">
        <v>10.99</v>
      </c>
      <c r="F31" s="41">
        <v>19.510000000000002</v>
      </c>
      <c r="G31" s="41">
        <v>185.6</v>
      </c>
      <c r="H31" s="41">
        <v>57.58</v>
      </c>
      <c r="I31" s="41">
        <v>13.61</v>
      </c>
      <c r="J31" s="41">
        <v>0.19</v>
      </c>
      <c r="K31" s="41">
        <v>183.26</v>
      </c>
      <c r="L31" s="41">
        <v>23.5</v>
      </c>
      <c r="M31" s="41">
        <v>67.97</v>
      </c>
      <c r="N31" s="41">
        <v>1.3</v>
      </c>
      <c r="O31" s="41">
        <v>0</v>
      </c>
      <c r="P31" s="41">
        <v>1.01</v>
      </c>
      <c r="Q31" s="41">
        <v>12.95</v>
      </c>
      <c r="R31" s="38"/>
      <c r="S31" s="38"/>
      <c r="T31" s="38"/>
      <c r="U31" s="38"/>
    </row>
    <row r="32" spans="1:21" customFormat="1">
      <c r="A32" s="40" t="s">
        <v>492</v>
      </c>
      <c r="B32" s="41">
        <v>6.12</v>
      </c>
      <c r="C32" s="41">
        <v>21.55</v>
      </c>
      <c r="D32" s="41">
        <v>17.52</v>
      </c>
      <c r="E32" s="41">
        <v>11.02</v>
      </c>
      <c r="F32" s="41">
        <v>16.23</v>
      </c>
      <c r="G32" s="41">
        <v>101.38</v>
      </c>
      <c r="H32" s="41">
        <v>45.08</v>
      </c>
      <c r="I32" s="41">
        <v>13.81</v>
      </c>
      <c r="J32" s="41">
        <v>0.18</v>
      </c>
      <c r="K32" s="41">
        <v>211.59</v>
      </c>
      <c r="L32" s="41">
        <v>23.11</v>
      </c>
      <c r="M32" s="41">
        <v>68.260000000000005</v>
      </c>
      <c r="N32" s="41">
        <v>1.4</v>
      </c>
      <c r="O32" s="41">
        <v>0</v>
      </c>
      <c r="P32" s="41">
        <v>1</v>
      </c>
      <c r="Q32" s="41">
        <v>12.94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3.69</v>
      </c>
      <c r="C34" s="18">
        <f t="shared" si="0"/>
        <v>21.24</v>
      </c>
      <c r="D34" s="18">
        <f t="shared" si="0"/>
        <v>15.57</v>
      </c>
      <c r="E34" s="18">
        <f t="shared" si="0"/>
        <v>8.08</v>
      </c>
      <c r="F34" s="18">
        <f t="shared" si="0"/>
        <v>6.58</v>
      </c>
      <c r="G34" s="18">
        <f t="shared" si="0"/>
        <v>61.82</v>
      </c>
      <c r="H34" s="18">
        <f t="shared" si="0"/>
        <v>23.59</v>
      </c>
      <c r="I34" s="18">
        <f t="shared" si="0"/>
        <v>8.75</v>
      </c>
      <c r="J34" s="18">
        <f t="shared" si="0"/>
        <v>0.17</v>
      </c>
      <c r="K34" s="18">
        <f t="shared" si="0"/>
        <v>174.17</v>
      </c>
      <c r="L34" s="18">
        <f t="shared" si="0"/>
        <v>19.190000000000001</v>
      </c>
      <c r="M34" s="18">
        <f t="shared" si="0"/>
        <v>32.340000000000003</v>
      </c>
      <c r="N34" s="18">
        <f t="shared" si="0"/>
        <v>1.2</v>
      </c>
      <c r="O34" s="18">
        <f t="shared" si="0"/>
        <v>0</v>
      </c>
      <c r="P34" s="18">
        <f t="shared" si="0"/>
        <v>0.82</v>
      </c>
      <c r="Q34" s="18">
        <f t="shared" si="0"/>
        <v>12.92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12.57</v>
      </c>
      <c r="C35" s="3">
        <f t="shared" si="1"/>
        <v>24.68</v>
      </c>
      <c r="D35" s="3">
        <f t="shared" si="1"/>
        <v>23.47</v>
      </c>
      <c r="E35" s="3">
        <f t="shared" si="1"/>
        <v>19.399999999999999</v>
      </c>
      <c r="F35" s="3">
        <f t="shared" si="1"/>
        <v>50.24</v>
      </c>
      <c r="G35" s="3">
        <f t="shared" si="1"/>
        <v>185.6</v>
      </c>
      <c r="H35" s="3">
        <f t="shared" si="1"/>
        <v>57.58</v>
      </c>
      <c r="I35" s="3">
        <f t="shared" si="1"/>
        <v>14.86</v>
      </c>
      <c r="J35" s="3">
        <f t="shared" si="1"/>
        <v>1.25</v>
      </c>
      <c r="K35" s="3">
        <f t="shared" si="1"/>
        <v>310.04000000000002</v>
      </c>
      <c r="L35" s="3">
        <f t="shared" si="1"/>
        <v>33.81</v>
      </c>
      <c r="M35" s="3">
        <f t="shared" si="1"/>
        <v>79.86</v>
      </c>
      <c r="N35" s="3">
        <f t="shared" si="1"/>
        <v>313.5</v>
      </c>
      <c r="O35" s="3">
        <f t="shared" si="1"/>
        <v>0</v>
      </c>
      <c r="P35" s="3">
        <f t="shared" si="1"/>
        <v>1.1599999999999999</v>
      </c>
      <c r="Q35" s="3">
        <f t="shared" si="1"/>
        <v>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7.6929166666666662</v>
      </c>
      <c r="C36" s="18">
        <f t="shared" si="2"/>
        <v>22.744583333333335</v>
      </c>
      <c r="D36" s="18">
        <f t="shared" si="2"/>
        <v>19.310833333333328</v>
      </c>
      <c r="E36" s="18">
        <f t="shared" si="2"/>
        <v>11.684583333333334</v>
      </c>
      <c r="F36" s="18">
        <f t="shared" si="2"/>
        <v>23.543749999999999</v>
      </c>
      <c r="G36" s="18">
        <f t="shared" si="2"/>
        <v>88.834166666666661</v>
      </c>
      <c r="H36" s="18">
        <f t="shared" si="2"/>
        <v>33.845000000000006</v>
      </c>
      <c r="I36" s="18">
        <f t="shared" si="2"/>
        <v>12.790833333333332</v>
      </c>
      <c r="J36" s="18">
        <f t="shared" si="2"/>
        <v>0.52791666666666659</v>
      </c>
      <c r="K36" s="18">
        <f t="shared" si="2"/>
        <v>239.32208333333335</v>
      </c>
      <c r="L36" s="18">
        <f t="shared" si="2"/>
        <v>26.160416666666674</v>
      </c>
      <c r="M36" s="18">
        <f t="shared" si="2"/>
        <v>57.814999999999998</v>
      </c>
      <c r="N36" s="18">
        <f t="shared" si="2"/>
        <v>86.9375</v>
      </c>
      <c r="O36" s="18">
        <f t="shared" si="2"/>
        <v>0</v>
      </c>
      <c r="P36" s="18">
        <f t="shared" si="2"/>
        <v>1.0179166666666666</v>
      </c>
      <c r="Q36" s="18">
        <f t="shared" si="2"/>
        <v>12.956666666666665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3.4305449930405181</v>
      </c>
      <c r="C37" s="18">
        <f t="shared" ref="C37:Q37" si="3">STDEV(C9:C32)</f>
        <v>0.91969739431045938</v>
      </c>
      <c r="D37" s="18">
        <f t="shared" si="3"/>
        <v>2.8951622567230642</v>
      </c>
      <c r="E37" s="18">
        <f t="shared" si="3"/>
        <v>3.3441967634625791</v>
      </c>
      <c r="F37" s="18">
        <f t="shared" si="3"/>
        <v>13.099819053678971</v>
      </c>
      <c r="G37" s="18">
        <f t="shared" si="3"/>
        <v>32.088823317224609</v>
      </c>
      <c r="H37" s="18">
        <f t="shared" si="3"/>
        <v>9.1134425319200094</v>
      </c>
      <c r="I37" s="18">
        <f t="shared" si="3"/>
        <v>1.9133760662803643</v>
      </c>
      <c r="J37" s="18">
        <f t="shared" si="3"/>
        <v>0.40291307905721108</v>
      </c>
      <c r="K37" s="18">
        <f t="shared" si="3"/>
        <v>47.901527159023651</v>
      </c>
      <c r="L37" s="18">
        <f t="shared" si="3"/>
        <v>5.3191912421922121</v>
      </c>
      <c r="M37" s="18">
        <f t="shared" si="3"/>
        <v>16.605170488631583</v>
      </c>
      <c r="N37" s="18">
        <f t="shared" si="3"/>
        <v>121.83738561134959</v>
      </c>
      <c r="O37" s="18">
        <f t="shared" si="3"/>
        <v>0</v>
      </c>
      <c r="P37" s="18">
        <f t="shared" si="3"/>
        <v>0.12204700329992799</v>
      </c>
      <c r="Q37" s="18">
        <f t="shared" si="3"/>
        <v>2.1602468994693185E-2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I31" sqref="I3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493</v>
      </c>
      <c r="B9" s="41">
        <v>7.02</v>
      </c>
      <c r="C9" s="41">
        <v>21.73</v>
      </c>
      <c r="D9" s="41">
        <v>18.329999999999998</v>
      </c>
      <c r="E9" s="41">
        <v>11.08</v>
      </c>
      <c r="F9" s="41">
        <v>4.47</v>
      </c>
      <c r="G9" s="41">
        <v>96.23</v>
      </c>
      <c r="H9" s="41">
        <v>39.96</v>
      </c>
      <c r="I9" s="41">
        <v>13.7</v>
      </c>
      <c r="J9" s="41">
        <v>0.21</v>
      </c>
      <c r="K9" s="41">
        <v>161.37</v>
      </c>
      <c r="L9" s="41">
        <v>23.24</v>
      </c>
      <c r="M9" s="41">
        <v>66.75</v>
      </c>
      <c r="N9" s="41">
        <v>1.4</v>
      </c>
      <c r="O9" s="41">
        <v>0</v>
      </c>
      <c r="P9" s="41">
        <v>1.05</v>
      </c>
      <c r="Q9" s="41">
        <v>12.94</v>
      </c>
      <c r="R9" s="38"/>
      <c r="S9" s="38"/>
      <c r="T9" s="38"/>
      <c r="U9" s="38"/>
    </row>
    <row r="10" spans="1:21" customFormat="1">
      <c r="A10" s="40" t="s">
        <v>494</v>
      </c>
      <c r="B10" s="41">
        <v>10.95</v>
      </c>
      <c r="C10" s="41">
        <v>22.87</v>
      </c>
      <c r="D10" s="41">
        <v>22.08</v>
      </c>
      <c r="E10" s="41">
        <v>11.24</v>
      </c>
      <c r="F10" s="41">
        <v>3.83</v>
      </c>
      <c r="G10" s="41">
        <v>96.23</v>
      </c>
      <c r="H10" s="41">
        <v>38.68</v>
      </c>
      <c r="I10" s="41">
        <v>13.65</v>
      </c>
      <c r="J10" s="41">
        <v>0.18</v>
      </c>
      <c r="K10" s="41">
        <v>186.25</v>
      </c>
      <c r="L10" s="41">
        <v>23.34</v>
      </c>
      <c r="M10" s="41">
        <v>71.78</v>
      </c>
      <c r="N10" s="41">
        <v>2</v>
      </c>
      <c r="O10" s="41">
        <v>0</v>
      </c>
      <c r="P10" s="41">
        <v>1.06</v>
      </c>
      <c r="Q10" s="41">
        <v>12.97</v>
      </c>
      <c r="R10" s="38"/>
      <c r="S10" s="38"/>
      <c r="T10" s="38"/>
      <c r="U10" s="38"/>
    </row>
    <row r="11" spans="1:21" customFormat="1">
      <c r="A11" s="40" t="s">
        <v>495</v>
      </c>
      <c r="B11" s="41">
        <v>14.23</v>
      </c>
      <c r="C11" s="41">
        <v>23.22</v>
      </c>
      <c r="D11" s="41">
        <v>24.9</v>
      </c>
      <c r="E11" s="41">
        <v>10.33</v>
      </c>
      <c r="F11" s="41">
        <v>3.84</v>
      </c>
      <c r="G11" s="41">
        <v>81.63</v>
      </c>
      <c r="H11" s="41">
        <v>37.11</v>
      </c>
      <c r="I11" s="41">
        <v>13.45</v>
      </c>
      <c r="J11" s="41">
        <v>0.24</v>
      </c>
      <c r="K11" s="41">
        <v>170.62</v>
      </c>
      <c r="L11" s="41">
        <v>22.82</v>
      </c>
      <c r="M11" s="41">
        <v>73.06</v>
      </c>
      <c r="N11" s="41">
        <v>1.8</v>
      </c>
      <c r="O11" s="41">
        <v>0</v>
      </c>
      <c r="P11" s="41">
        <v>1.06</v>
      </c>
      <c r="Q11" s="41">
        <v>12.97</v>
      </c>
      <c r="R11" s="38"/>
      <c r="S11" s="38"/>
      <c r="T11" s="38"/>
      <c r="U11" s="38"/>
    </row>
    <row r="12" spans="1:21" customFormat="1">
      <c r="A12" s="40" t="s">
        <v>496</v>
      </c>
      <c r="B12" s="41">
        <v>15.09</v>
      </c>
      <c r="C12" s="41">
        <v>23.24</v>
      </c>
      <c r="D12" s="41">
        <v>25.38</v>
      </c>
      <c r="E12" s="41">
        <v>10.3</v>
      </c>
      <c r="F12" s="41">
        <v>3.74</v>
      </c>
      <c r="G12" s="41">
        <v>85.74</v>
      </c>
      <c r="H12" s="41">
        <v>33.83</v>
      </c>
      <c r="I12" s="41">
        <v>13.35</v>
      </c>
      <c r="J12" s="41">
        <v>0.22</v>
      </c>
      <c r="K12" s="41">
        <v>180.7</v>
      </c>
      <c r="L12" s="41">
        <v>21.63</v>
      </c>
      <c r="M12" s="41">
        <v>77.05</v>
      </c>
      <c r="N12" s="41">
        <v>1.7</v>
      </c>
      <c r="O12" s="41">
        <v>0</v>
      </c>
      <c r="P12" s="41">
        <v>1.07</v>
      </c>
      <c r="Q12" s="41">
        <v>12.98</v>
      </c>
      <c r="R12" s="38"/>
      <c r="S12" s="38"/>
      <c r="T12" s="38"/>
      <c r="U12" s="38"/>
    </row>
    <row r="13" spans="1:21" customFormat="1">
      <c r="A13" s="40" t="s">
        <v>497</v>
      </c>
      <c r="B13" s="41">
        <v>15.68</v>
      </c>
      <c r="C13" s="41">
        <v>22.8</v>
      </c>
      <c r="D13" s="41">
        <v>25.68</v>
      </c>
      <c r="E13" s="41">
        <v>10.06</v>
      </c>
      <c r="F13" s="41">
        <v>3.83</v>
      </c>
      <c r="G13" s="41">
        <v>85.74</v>
      </c>
      <c r="H13" s="41">
        <v>30.79</v>
      </c>
      <c r="I13" s="41">
        <v>13.28</v>
      </c>
      <c r="J13" s="41">
        <v>0.19</v>
      </c>
      <c r="K13" s="41">
        <v>193.49</v>
      </c>
      <c r="L13" s="41">
        <v>21.15</v>
      </c>
      <c r="M13" s="41">
        <v>81.03</v>
      </c>
      <c r="N13" s="41">
        <v>1.7</v>
      </c>
      <c r="O13" s="41">
        <v>0</v>
      </c>
      <c r="P13" s="41">
        <v>1.08</v>
      </c>
      <c r="Q13" s="41">
        <v>12.99</v>
      </c>
      <c r="R13" s="38"/>
      <c r="S13" s="38"/>
      <c r="T13" s="38"/>
      <c r="U13" s="38"/>
    </row>
    <row r="14" spans="1:21" customFormat="1">
      <c r="A14" s="40" t="s">
        <v>498</v>
      </c>
      <c r="B14" s="41">
        <v>15.68</v>
      </c>
      <c r="C14" s="41">
        <v>21.98</v>
      </c>
      <c r="D14" s="41">
        <v>25.41</v>
      </c>
      <c r="E14" s="41">
        <v>10.09</v>
      </c>
      <c r="F14" s="41">
        <v>3.84</v>
      </c>
      <c r="G14" s="41">
        <v>85.09</v>
      </c>
      <c r="H14" s="41">
        <v>27.79</v>
      </c>
      <c r="I14" s="41">
        <v>13.28</v>
      </c>
      <c r="J14" s="41">
        <v>0.22</v>
      </c>
      <c r="K14" s="41">
        <v>205.67</v>
      </c>
      <c r="L14" s="41">
        <v>20.78</v>
      </c>
      <c r="M14" s="41">
        <v>81.760000000000005</v>
      </c>
      <c r="N14" s="41">
        <v>1.7</v>
      </c>
      <c r="O14" s="41">
        <v>0</v>
      </c>
      <c r="P14" s="41">
        <v>1.06</v>
      </c>
      <c r="Q14" s="41">
        <v>12.97</v>
      </c>
      <c r="R14" s="38"/>
      <c r="S14" s="38"/>
      <c r="T14" s="38"/>
      <c r="U14" s="38"/>
    </row>
    <row r="15" spans="1:21" customFormat="1">
      <c r="A15" s="40" t="s">
        <v>499</v>
      </c>
      <c r="B15" s="41">
        <v>14.56</v>
      </c>
      <c r="C15" s="41">
        <v>20.94</v>
      </c>
      <c r="D15" s="41">
        <v>23.96</v>
      </c>
      <c r="E15" s="41">
        <v>9.94</v>
      </c>
      <c r="F15" s="41">
        <v>4.0199999999999996</v>
      </c>
      <c r="G15" s="41">
        <v>76.02</v>
      </c>
      <c r="H15" s="41">
        <v>27.79</v>
      </c>
      <c r="I15" s="41">
        <v>12.96</v>
      </c>
      <c r="J15" s="41">
        <v>0.2</v>
      </c>
      <c r="K15" s="41">
        <v>190.98</v>
      </c>
      <c r="L15" s="41">
        <v>20.399999999999999</v>
      </c>
      <c r="M15" s="41">
        <v>82.26</v>
      </c>
      <c r="N15" s="41">
        <v>9.1</v>
      </c>
      <c r="O15" s="41">
        <v>0</v>
      </c>
      <c r="P15" s="41">
        <v>0.97</v>
      </c>
      <c r="Q15" s="41">
        <v>12.97</v>
      </c>
      <c r="R15" s="38"/>
      <c r="S15" s="38"/>
      <c r="T15" s="38"/>
      <c r="U15" s="38"/>
    </row>
    <row r="16" spans="1:21" customFormat="1">
      <c r="A16" s="40" t="s">
        <v>500</v>
      </c>
      <c r="B16" s="41">
        <v>13.87</v>
      </c>
      <c r="C16" s="41">
        <v>21.52</v>
      </c>
      <c r="D16" s="41">
        <v>23.4</v>
      </c>
      <c r="E16" s="41">
        <v>10.1</v>
      </c>
      <c r="F16" s="41">
        <v>5.61</v>
      </c>
      <c r="G16" s="41">
        <v>87.11</v>
      </c>
      <c r="H16" s="41">
        <v>28.43</v>
      </c>
      <c r="I16" s="41">
        <v>12.77</v>
      </c>
      <c r="J16" s="41">
        <v>0.28000000000000003</v>
      </c>
      <c r="K16" s="41">
        <v>200.83</v>
      </c>
      <c r="L16" s="41">
        <v>22.62</v>
      </c>
      <c r="M16" s="41">
        <v>81.34</v>
      </c>
      <c r="N16" s="41">
        <v>43.8</v>
      </c>
      <c r="O16" s="41">
        <v>0</v>
      </c>
      <c r="P16" s="41">
        <v>0.96</v>
      </c>
      <c r="Q16" s="41">
        <v>12.96</v>
      </c>
      <c r="R16" s="38"/>
      <c r="S16" s="38"/>
      <c r="T16" s="38"/>
      <c r="U16" s="38"/>
    </row>
    <row r="17" spans="1:21" customFormat="1">
      <c r="A17" s="40" t="s">
        <v>501</v>
      </c>
      <c r="B17" s="41">
        <v>12.52</v>
      </c>
      <c r="C17" s="41">
        <v>23.05</v>
      </c>
      <c r="D17" s="41">
        <v>22.75</v>
      </c>
      <c r="E17" s="41">
        <v>10.050000000000001</v>
      </c>
      <c r="F17" s="41">
        <v>11.67</v>
      </c>
      <c r="G17" s="41">
        <v>98.41</v>
      </c>
      <c r="H17" s="41">
        <v>30.89</v>
      </c>
      <c r="I17" s="41">
        <v>13.52</v>
      </c>
      <c r="J17" s="41">
        <v>0.31</v>
      </c>
      <c r="K17" s="41">
        <v>269.51</v>
      </c>
      <c r="L17" s="41">
        <v>25.61</v>
      </c>
      <c r="M17" s="41">
        <v>69.08</v>
      </c>
      <c r="N17" s="41">
        <v>149.80000000000001</v>
      </c>
      <c r="O17" s="41">
        <v>0</v>
      </c>
      <c r="P17" s="41">
        <v>1.01</v>
      </c>
      <c r="Q17" s="41">
        <v>12.98</v>
      </c>
      <c r="R17" s="38"/>
      <c r="S17" s="38"/>
      <c r="T17" s="38"/>
      <c r="U17" s="38"/>
    </row>
    <row r="18" spans="1:21" customFormat="1">
      <c r="A18" s="40" t="s">
        <v>502</v>
      </c>
      <c r="B18" s="41">
        <v>9.4</v>
      </c>
      <c r="C18" s="41">
        <v>24.29</v>
      </c>
      <c r="D18" s="41">
        <v>21.09</v>
      </c>
      <c r="E18" s="41">
        <v>10.050000000000001</v>
      </c>
      <c r="F18" s="41">
        <v>17.670000000000002</v>
      </c>
      <c r="G18" s="41">
        <v>98.41</v>
      </c>
      <c r="H18" s="41">
        <v>38.26</v>
      </c>
      <c r="I18" s="41">
        <v>14.44</v>
      </c>
      <c r="J18" s="41">
        <v>0.84</v>
      </c>
      <c r="K18" s="41">
        <v>280.44</v>
      </c>
      <c r="L18" s="41">
        <v>28.6</v>
      </c>
      <c r="M18" s="41">
        <v>59.48</v>
      </c>
      <c r="N18" s="41">
        <v>244.5</v>
      </c>
      <c r="O18" s="41">
        <v>0</v>
      </c>
      <c r="P18" s="41">
        <v>1.01</v>
      </c>
      <c r="Q18" s="41">
        <v>12.96</v>
      </c>
      <c r="R18" s="38"/>
      <c r="S18" s="38"/>
      <c r="T18" s="38"/>
      <c r="U18" s="38"/>
    </row>
    <row r="19" spans="1:21" customFormat="1">
      <c r="A19" s="40" t="s">
        <v>503</v>
      </c>
      <c r="B19" s="41">
        <v>5.73</v>
      </c>
      <c r="C19" s="41">
        <v>25.11</v>
      </c>
      <c r="D19" s="41">
        <v>18.920000000000002</v>
      </c>
      <c r="E19" s="41">
        <v>12.3</v>
      </c>
      <c r="F19" s="41">
        <v>46.94</v>
      </c>
      <c r="G19" s="41">
        <v>91.06</v>
      </c>
      <c r="H19" s="41">
        <v>41.35</v>
      </c>
      <c r="I19" s="41">
        <v>14.5</v>
      </c>
      <c r="J19" s="41">
        <v>1.1499999999999999</v>
      </c>
      <c r="K19" s="41">
        <v>264.81</v>
      </c>
      <c r="L19" s="41">
        <v>30.38</v>
      </c>
      <c r="M19" s="41">
        <v>51.3</v>
      </c>
      <c r="N19" s="41">
        <v>309.8</v>
      </c>
      <c r="O19" s="41">
        <v>0</v>
      </c>
      <c r="P19" s="41">
        <v>1.04</v>
      </c>
      <c r="Q19" s="41">
        <v>12.97</v>
      </c>
      <c r="R19" s="38"/>
      <c r="S19" s="38"/>
      <c r="T19" s="38"/>
      <c r="U19" s="38"/>
    </row>
    <row r="20" spans="1:21" customFormat="1">
      <c r="A20" s="40" t="s">
        <v>504</v>
      </c>
      <c r="B20" s="41">
        <v>4.88</v>
      </c>
      <c r="C20" s="41">
        <v>24.37</v>
      </c>
      <c r="D20" s="41">
        <v>18</v>
      </c>
      <c r="E20" s="41">
        <v>15.95</v>
      </c>
      <c r="F20" s="41">
        <v>93.99</v>
      </c>
      <c r="G20" s="41">
        <v>85.36</v>
      </c>
      <c r="H20" s="41">
        <v>41.35</v>
      </c>
      <c r="I20" s="41">
        <v>13.5</v>
      </c>
      <c r="J20" s="41">
        <v>1.3</v>
      </c>
      <c r="K20" s="41">
        <v>299.79000000000002</v>
      </c>
      <c r="L20" s="41">
        <v>31.87</v>
      </c>
      <c r="M20" s="41">
        <v>44.63</v>
      </c>
      <c r="N20" s="41">
        <v>323.39999999999998</v>
      </c>
      <c r="O20" s="41">
        <v>0</v>
      </c>
      <c r="P20" s="41">
        <v>1.01</v>
      </c>
      <c r="Q20" s="41">
        <v>12.94</v>
      </c>
      <c r="R20" s="38"/>
      <c r="S20" s="38"/>
      <c r="T20" s="38"/>
      <c r="U20" s="38"/>
    </row>
    <row r="21" spans="1:21" customFormat="1">
      <c r="A21" s="40" t="s">
        <v>505</v>
      </c>
      <c r="B21" s="41">
        <v>4.53</v>
      </c>
      <c r="C21" s="41">
        <v>23.94</v>
      </c>
      <c r="D21" s="41">
        <v>17.489999999999998</v>
      </c>
      <c r="E21" s="41">
        <v>15.17</v>
      </c>
      <c r="F21" s="41">
        <v>99.82</v>
      </c>
      <c r="G21" s="41">
        <v>77.45</v>
      </c>
      <c r="H21" s="41">
        <v>41.52</v>
      </c>
      <c r="I21" s="41">
        <v>12.74</v>
      </c>
      <c r="J21" s="41">
        <v>1.27</v>
      </c>
      <c r="K21" s="41">
        <v>312.86</v>
      </c>
      <c r="L21" s="41">
        <v>32.94</v>
      </c>
      <c r="M21" s="41">
        <v>37.89</v>
      </c>
      <c r="N21" s="41">
        <v>348.7</v>
      </c>
      <c r="O21" s="41">
        <v>0</v>
      </c>
      <c r="P21" s="41">
        <v>0.98</v>
      </c>
      <c r="Q21" s="41">
        <v>12.95</v>
      </c>
      <c r="R21" s="38"/>
      <c r="S21" s="38"/>
      <c r="T21" s="38"/>
      <c r="U21" s="38"/>
    </row>
    <row r="22" spans="1:21" customFormat="1">
      <c r="A22" s="40" t="s">
        <v>506</v>
      </c>
      <c r="B22" s="41">
        <v>4.43</v>
      </c>
      <c r="C22" s="41">
        <v>22.96</v>
      </c>
      <c r="D22" s="41">
        <v>16.78</v>
      </c>
      <c r="E22" s="41">
        <v>14.95</v>
      </c>
      <c r="F22" s="41">
        <v>90.04</v>
      </c>
      <c r="G22" s="41">
        <v>77.45</v>
      </c>
      <c r="H22" s="41">
        <v>41.52</v>
      </c>
      <c r="I22" s="41">
        <v>11.51</v>
      </c>
      <c r="J22" s="41">
        <v>1.39</v>
      </c>
      <c r="K22" s="41">
        <v>323.66000000000003</v>
      </c>
      <c r="L22" s="41">
        <v>33.409999999999997</v>
      </c>
      <c r="M22" s="41">
        <v>27.12</v>
      </c>
      <c r="N22" s="41">
        <v>338.4</v>
      </c>
      <c r="O22" s="41">
        <v>0</v>
      </c>
      <c r="P22" s="41">
        <v>0.9</v>
      </c>
      <c r="Q22" s="41">
        <v>12.94</v>
      </c>
      <c r="R22" s="38"/>
      <c r="S22" s="38"/>
      <c r="T22" s="38"/>
      <c r="U22" s="38"/>
    </row>
    <row r="23" spans="1:21" customFormat="1">
      <c r="A23" s="40" t="s">
        <v>507</v>
      </c>
      <c r="B23" s="41">
        <v>3.79</v>
      </c>
      <c r="C23" s="41">
        <v>21.69</v>
      </c>
      <c r="D23" s="41">
        <v>15.72</v>
      </c>
      <c r="E23" s="41">
        <v>13.3</v>
      </c>
      <c r="F23" s="41">
        <v>40.72</v>
      </c>
      <c r="G23" s="41">
        <v>39.340000000000003</v>
      </c>
      <c r="H23" s="41">
        <v>41.09</v>
      </c>
      <c r="I23" s="41">
        <v>8.24</v>
      </c>
      <c r="J23" s="41">
        <v>1.43</v>
      </c>
      <c r="K23" s="41">
        <v>308.68</v>
      </c>
      <c r="L23" s="41">
        <v>33.6</v>
      </c>
      <c r="M23" s="41">
        <v>23.76</v>
      </c>
      <c r="N23" s="41">
        <v>333</v>
      </c>
      <c r="O23" s="41">
        <v>0</v>
      </c>
      <c r="P23" s="41">
        <v>0.46</v>
      </c>
      <c r="Q23" s="41">
        <v>12.94</v>
      </c>
      <c r="R23" s="38"/>
      <c r="S23" s="38"/>
      <c r="T23" s="38"/>
      <c r="U23" s="38"/>
    </row>
    <row r="24" spans="1:21" customFormat="1">
      <c r="A24" s="40" t="s">
        <v>508</v>
      </c>
      <c r="B24" s="41">
        <v>3.85</v>
      </c>
      <c r="C24" s="41">
        <v>20.02</v>
      </c>
      <c r="D24" s="41">
        <v>14.69</v>
      </c>
      <c r="E24" s="41">
        <v>12.26</v>
      </c>
      <c r="F24" s="41">
        <v>89.16</v>
      </c>
      <c r="G24" s="10" t="s">
        <v>12</v>
      </c>
      <c r="H24" s="10" t="s">
        <v>12</v>
      </c>
      <c r="I24" s="41">
        <v>4.9000000000000004</v>
      </c>
      <c r="J24" s="41">
        <v>1.49</v>
      </c>
      <c r="K24" s="41">
        <v>298.13</v>
      </c>
      <c r="L24" s="41">
        <v>33.06</v>
      </c>
      <c r="M24" s="41">
        <v>24.64</v>
      </c>
      <c r="N24" s="41">
        <v>69.2</v>
      </c>
      <c r="O24" s="41">
        <v>0</v>
      </c>
      <c r="P24" s="41">
        <v>0.31</v>
      </c>
      <c r="Q24" s="41">
        <v>12.95</v>
      </c>
      <c r="R24" s="38"/>
      <c r="S24" s="38"/>
      <c r="T24" s="38"/>
      <c r="U24" s="38"/>
    </row>
    <row r="25" spans="1:21" customFormat="1">
      <c r="A25" s="40" t="s">
        <v>509</v>
      </c>
      <c r="B25" s="41">
        <v>4.25</v>
      </c>
      <c r="C25" s="41">
        <v>20.46</v>
      </c>
      <c r="D25" s="41">
        <v>15.45</v>
      </c>
      <c r="E25" s="41">
        <v>8.0299999999999994</v>
      </c>
      <c r="F25" s="41">
        <v>107.65</v>
      </c>
      <c r="G25" s="41">
        <v>35.72</v>
      </c>
      <c r="H25" s="41">
        <v>21.58</v>
      </c>
      <c r="I25" s="41">
        <v>4.63</v>
      </c>
      <c r="J25" s="41">
        <v>1.62</v>
      </c>
      <c r="K25" s="41">
        <v>309.86</v>
      </c>
      <c r="L25" s="41">
        <v>32.659999999999997</v>
      </c>
      <c r="M25" s="41">
        <v>21.71</v>
      </c>
      <c r="N25" s="41">
        <v>55.5</v>
      </c>
      <c r="O25" s="41">
        <v>0</v>
      </c>
      <c r="P25" s="41">
        <v>0.32</v>
      </c>
      <c r="Q25" s="41">
        <v>12.94</v>
      </c>
      <c r="R25" s="38"/>
      <c r="S25" s="38"/>
      <c r="T25" s="38"/>
      <c r="U25" s="38"/>
    </row>
    <row r="26" spans="1:21" customFormat="1">
      <c r="A26" s="40" t="s">
        <v>510</v>
      </c>
      <c r="B26" s="41">
        <v>4.47</v>
      </c>
      <c r="C26" s="41">
        <v>22.15</v>
      </c>
      <c r="D26" s="41">
        <v>16.510000000000002</v>
      </c>
      <c r="E26" s="41">
        <v>8.51</v>
      </c>
      <c r="F26" s="41">
        <v>68.77</v>
      </c>
      <c r="G26" s="41">
        <v>36.24</v>
      </c>
      <c r="H26" s="41">
        <v>23.94</v>
      </c>
      <c r="I26" s="41">
        <v>4.9000000000000004</v>
      </c>
      <c r="J26" s="41">
        <v>1.39</v>
      </c>
      <c r="K26" s="41">
        <v>309.52</v>
      </c>
      <c r="L26" s="41">
        <v>31.58</v>
      </c>
      <c r="M26" s="41">
        <v>25.19</v>
      </c>
      <c r="N26" s="41">
        <v>21.8</v>
      </c>
      <c r="O26" s="41">
        <v>0</v>
      </c>
      <c r="P26" s="41">
        <v>0.37</v>
      </c>
      <c r="Q26" s="41">
        <v>12.93</v>
      </c>
      <c r="R26" s="38"/>
      <c r="S26" s="38"/>
      <c r="T26" s="38"/>
      <c r="U26" s="38"/>
    </row>
    <row r="27" spans="1:21" customFormat="1">
      <c r="A27" s="40" t="s">
        <v>511</v>
      </c>
      <c r="B27" s="41">
        <v>5.16</v>
      </c>
      <c r="C27" s="41">
        <v>24.13</v>
      </c>
      <c r="D27" s="41">
        <v>18.02</v>
      </c>
      <c r="E27" s="41">
        <v>9.36</v>
      </c>
      <c r="F27" s="41">
        <v>32.72</v>
      </c>
      <c r="G27" s="41">
        <v>40.96</v>
      </c>
      <c r="H27" s="41">
        <v>25.77</v>
      </c>
      <c r="I27" s="41">
        <v>5.45</v>
      </c>
      <c r="J27" s="41">
        <v>1.0900000000000001</v>
      </c>
      <c r="K27" s="41">
        <v>307.3</v>
      </c>
      <c r="L27" s="41">
        <v>30.09</v>
      </c>
      <c r="M27" s="41">
        <v>24.86</v>
      </c>
      <c r="N27" s="41">
        <v>1.4</v>
      </c>
      <c r="O27" s="41">
        <v>0</v>
      </c>
      <c r="P27" s="41">
        <v>0.41</v>
      </c>
      <c r="Q27" s="41">
        <v>12.95</v>
      </c>
      <c r="R27" s="38"/>
      <c r="S27" s="38"/>
      <c r="T27" s="38"/>
      <c r="U27" s="38"/>
    </row>
    <row r="28" spans="1:21" customFormat="1">
      <c r="A28" s="40" t="s">
        <v>512</v>
      </c>
      <c r="B28" s="41">
        <v>5.04</v>
      </c>
      <c r="C28" s="41">
        <v>24.73</v>
      </c>
      <c r="D28" s="41">
        <v>18.309999999999999</v>
      </c>
      <c r="E28" s="41">
        <v>9.07</v>
      </c>
      <c r="F28" s="41">
        <v>30.07</v>
      </c>
      <c r="G28" s="41">
        <v>43.41</v>
      </c>
      <c r="H28" s="41">
        <v>26.43</v>
      </c>
      <c r="I28" s="41">
        <v>5.89</v>
      </c>
      <c r="J28" s="41">
        <v>0.91</v>
      </c>
      <c r="K28" s="41">
        <v>314.63</v>
      </c>
      <c r="L28" s="41">
        <v>29.34</v>
      </c>
      <c r="M28" s="41">
        <v>26.01</v>
      </c>
      <c r="N28" s="41">
        <v>1.1000000000000001</v>
      </c>
      <c r="O28" s="41">
        <v>0</v>
      </c>
      <c r="P28" s="41">
        <v>0.44</v>
      </c>
      <c r="Q28" s="41">
        <v>12.95</v>
      </c>
      <c r="R28" s="38"/>
      <c r="S28" s="38"/>
      <c r="T28" s="38"/>
      <c r="U28" s="38"/>
    </row>
    <row r="29" spans="1:21" customFormat="1">
      <c r="A29" s="40" t="s">
        <v>513</v>
      </c>
      <c r="B29" s="41">
        <v>6.11</v>
      </c>
      <c r="C29" s="41">
        <v>24.9</v>
      </c>
      <c r="D29" s="41">
        <v>18.73</v>
      </c>
      <c r="E29" s="41">
        <v>9.1</v>
      </c>
      <c r="F29" s="41">
        <v>16.850000000000001</v>
      </c>
      <c r="G29" s="41">
        <v>44.79</v>
      </c>
      <c r="H29" s="41">
        <v>26.91</v>
      </c>
      <c r="I29" s="41">
        <v>6.34</v>
      </c>
      <c r="J29" s="41">
        <v>0.92</v>
      </c>
      <c r="K29" s="41">
        <v>314.14999999999998</v>
      </c>
      <c r="L29" s="41">
        <v>27.99</v>
      </c>
      <c r="M29" s="41">
        <v>28.51</v>
      </c>
      <c r="N29" s="41">
        <v>0.9</v>
      </c>
      <c r="O29" s="41">
        <v>0</v>
      </c>
      <c r="P29" s="41">
        <v>0.56999999999999995</v>
      </c>
      <c r="Q29" s="41">
        <v>12.95</v>
      </c>
      <c r="R29" s="38"/>
      <c r="S29" s="38"/>
      <c r="T29" s="38"/>
      <c r="U29" s="38"/>
    </row>
    <row r="30" spans="1:21" customFormat="1">
      <c r="A30" s="40" t="s">
        <v>514</v>
      </c>
      <c r="B30" s="41">
        <v>7.3</v>
      </c>
      <c r="C30" s="41">
        <v>23.53</v>
      </c>
      <c r="D30" s="41">
        <v>19.03</v>
      </c>
      <c r="E30" s="41">
        <v>9.15</v>
      </c>
      <c r="F30" s="41">
        <v>8.6</v>
      </c>
      <c r="G30" s="41">
        <v>49.41</v>
      </c>
      <c r="H30" s="41">
        <v>28.16</v>
      </c>
      <c r="I30" s="41">
        <v>6.82</v>
      </c>
      <c r="J30" s="41">
        <v>0.32</v>
      </c>
      <c r="K30" s="41">
        <v>346.54</v>
      </c>
      <c r="L30" s="41">
        <v>26.7</v>
      </c>
      <c r="M30" s="41">
        <v>42.24</v>
      </c>
      <c r="N30" s="41">
        <v>1.8</v>
      </c>
      <c r="O30" s="41">
        <v>0</v>
      </c>
      <c r="P30" s="41">
        <v>0.6</v>
      </c>
      <c r="Q30" s="41">
        <v>12.94</v>
      </c>
      <c r="R30" s="38"/>
      <c r="S30" s="38"/>
      <c r="T30" s="38"/>
      <c r="U30" s="38"/>
    </row>
    <row r="31" spans="1:21" customFormat="1">
      <c r="A31" s="40" t="s">
        <v>515</v>
      </c>
      <c r="B31" s="41">
        <v>9.98</v>
      </c>
      <c r="C31" s="41">
        <v>22.84</v>
      </c>
      <c r="D31" s="41">
        <v>21.29</v>
      </c>
      <c r="E31" s="41">
        <v>9.2799999999999994</v>
      </c>
      <c r="F31" s="41">
        <v>13.57</v>
      </c>
      <c r="G31" s="41">
        <v>52.99</v>
      </c>
      <c r="H31" s="41">
        <v>28.16</v>
      </c>
      <c r="I31" s="41">
        <v>7.52</v>
      </c>
      <c r="J31" s="41">
        <v>0.31</v>
      </c>
      <c r="K31" s="41">
        <v>71.25</v>
      </c>
      <c r="L31" s="41">
        <v>24.82</v>
      </c>
      <c r="M31" s="41">
        <v>38.93</v>
      </c>
      <c r="N31" s="41">
        <v>1</v>
      </c>
      <c r="O31" s="41">
        <v>0</v>
      </c>
      <c r="P31" s="41">
        <v>0.67</v>
      </c>
      <c r="Q31" s="41">
        <v>12.95</v>
      </c>
      <c r="R31" s="38"/>
      <c r="S31" s="38"/>
      <c r="T31" s="38"/>
      <c r="U31" s="38"/>
    </row>
    <row r="32" spans="1:21" customFormat="1">
      <c r="A32" s="40" t="s">
        <v>516</v>
      </c>
      <c r="B32" s="41">
        <v>13.39</v>
      </c>
      <c r="C32" s="41">
        <v>22.96</v>
      </c>
      <c r="D32" s="41">
        <v>24.08</v>
      </c>
      <c r="E32" s="41">
        <v>9.2200000000000006</v>
      </c>
      <c r="F32" s="41">
        <v>9.51</v>
      </c>
      <c r="G32" s="41">
        <v>80.8</v>
      </c>
      <c r="H32" s="41">
        <v>31.67</v>
      </c>
      <c r="I32" s="41">
        <v>8.34</v>
      </c>
      <c r="J32" s="41">
        <v>0.47</v>
      </c>
      <c r="K32" s="41">
        <v>142.85</v>
      </c>
      <c r="L32" s="41">
        <v>23.68</v>
      </c>
      <c r="M32" s="41">
        <v>44.07</v>
      </c>
      <c r="N32" s="41">
        <v>1.1000000000000001</v>
      </c>
      <c r="O32" s="41">
        <v>0</v>
      </c>
      <c r="P32" s="41">
        <v>0.72</v>
      </c>
      <c r="Q32" s="41">
        <v>12.96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3.79</v>
      </c>
      <c r="C34" s="18">
        <f t="shared" si="0"/>
        <v>20.02</v>
      </c>
      <c r="D34" s="18">
        <f t="shared" si="0"/>
        <v>14.69</v>
      </c>
      <c r="E34" s="18">
        <f t="shared" si="0"/>
        <v>8.0299999999999994</v>
      </c>
      <c r="F34" s="18">
        <f t="shared" si="0"/>
        <v>3.74</v>
      </c>
      <c r="G34" s="18">
        <f t="shared" si="0"/>
        <v>35.72</v>
      </c>
      <c r="H34" s="18">
        <f t="shared" si="0"/>
        <v>21.58</v>
      </c>
      <c r="I34" s="18">
        <f t="shared" si="0"/>
        <v>4.63</v>
      </c>
      <c r="J34" s="18">
        <f t="shared" si="0"/>
        <v>0.18</v>
      </c>
      <c r="K34" s="18">
        <f t="shared" si="0"/>
        <v>71.25</v>
      </c>
      <c r="L34" s="18">
        <f t="shared" si="0"/>
        <v>20.399999999999999</v>
      </c>
      <c r="M34" s="18">
        <f t="shared" si="0"/>
        <v>21.71</v>
      </c>
      <c r="N34" s="18">
        <f t="shared" si="0"/>
        <v>0.9</v>
      </c>
      <c r="O34" s="18">
        <f t="shared" si="0"/>
        <v>0</v>
      </c>
      <c r="P34" s="18">
        <f t="shared" si="0"/>
        <v>0.31</v>
      </c>
      <c r="Q34" s="18">
        <f t="shared" si="0"/>
        <v>12.93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15.68</v>
      </c>
      <c r="C35" s="3">
        <f t="shared" si="1"/>
        <v>25.11</v>
      </c>
      <c r="D35" s="3">
        <f t="shared" si="1"/>
        <v>25.68</v>
      </c>
      <c r="E35" s="3">
        <f t="shared" si="1"/>
        <v>15.95</v>
      </c>
      <c r="F35" s="3">
        <f t="shared" si="1"/>
        <v>107.65</v>
      </c>
      <c r="G35" s="3">
        <f t="shared" si="1"/>
        <v>98.41</v>
      </c>
      <c r="H35" s="3">
        <f t="shared" si="1"/>
        <v>41.52</v>
      </c>
      <c r="I35" s="3">
        <f t="shared" si="1"/>
        <v>14.5</v>
      </c>
      <c r="J35" s="3">
        <f t="shared" si="1"/>
        <v>1.62</v>
      </c>
      <c r="K35" s="3">
        <f t="shared" si="1"/>
        <v>346.54</v>
      </c>
      <c r="L35" s="3">
        <f t="shared" si="1"/>
        <v>33.6</v>
      </c>
      <c r="M35" s="3">
        <f t="shared" si="1"/>
        <v>82.26</v>
      </c>
      <c r="N35" s="3">
        <f t="shared" si="1"/>
        <v>348.7</v>
      </c>
      <c r="O35" s="3">
        <f t="shared" si="1"/>
        <v>0</v>
      </c>
      <c r="P35" s="3">
        <f t="shared" si="1"/>
        <v>1.08</v>
      </c>
      <c r="Q35" s="3">
        <f t="shared" si="1"/>
        <v>12.99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8.829583333333332</v>
      </c>
      <c r="C36" s="18">
        <f t="shared" si="2"/>
        <v>22.892916666666665</v>
      </c>
      <c r="D36" s="18">
        <f t="shared" si="2"/>
        <v>20.250000000000004</v>
      </c>
      <c r="E36" s="18">
        <f t="shared" si="2"/>
        <v>10.78708333333333</v>
      </c>
      <c r="F36" s="18">
        <f t="shared" si="2"/>
        <v>33.78875</v>
      </c>
      <c r="G36" s="18">
        <f t="shared" si="2"/>
        <v>71.547391304347826</v>
      </c>
      <c r="H36" s="18">
        <f t="shared" si="2"/>
        <v>32.73826086956521</v>
      </c>
      <c r="I36" s="18">
        <f t="shared" si="2"/>
        <v>10.403333333333332</v>
      </c>
      <c r="J36" s="18">
        <f t="shared" si="2"/>
        <v>0.74791666666666667</v>
      </c>
      <c r="K36" s="18">
        <f t="shared" si="2"/>
        <v>248.49541666666667</v>
      </c>
      <c r="L36" s="18">
        <f t="shared" si="2"/>
        <v>27.179583333333341</v>
      </c>
      <c r="M36" s="18">
        <f t="shared" si="2"/>
        <v>50.185416666666669</v>
      </c>
      <c r="N36" s="18">
        <f t="shared" si="2"/>
        <v>94.358333333333334</v>
      </c>
      <c r="O36" s="18">
        <f t="shared" si="2"/>
        <v>0</v>
      </c>
      <c r="P36" s="18">
        <f t="shared" si="2"/>
        <v>0.79708333333333359</v>
      </c>
      <c r="Q36" s="18">
        <f t="shared" si="2"/>
        <v>12.956249999999997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4.4481432170862218</v>
      </c>
      <c r="C37" s="18">
        <f t="shared" ref="C37:Q37" si="3">STDEV(C9:C32)</f>
        <v>1.3802062831540691</v>
      </c>
      <c r="D37" s="18">
        <f t="shared" si="3"/>
        <v>3.5199135364874539</v>
      </c>
      <c r="E37" s="18">
        <f t="shared" si="3"/>
        <v>2.1470049496038008</v>
      </c>
      <c r="F37" s="18">
        <f t="shared" si="3"/>
        <v>36.6119395247079</v>
      </c>
      <c r="G37" s="18">
        <f t="shared" si="3"/>
        <v>22.546754295219763</v>
      </c>
      <c r="H37" s="18">
        <f t="shared" si="3"/>
        <v>6.5802947241082697</v>
      </c>
      <c r="I37" s="18">
        <f t="shared" si="3"/>
        <v>3.6862808719177513</v>
      </c>
      <c r="J37" s="18">
        <f t="shared" si="3"/>
        <v>0.52845121667548167</v>
      </c>
      <c r="K37" s="18">
        <f t="shared" si="3"/>
        <v>73.610297600691069</v>
      </c>
      <c r="L37" s="18">
        <f t="shared" si="3"/>
        <v>4.6151597825904078</v>
      </c>
      <c r="M37" s="18">
        <f t="shared" si="3"/>
        <v>22.651843571995297</v>
      </c>
      <c r="N37" s="18">
        <f t="shared" si="3"/>
        <v>136.16932207866174</v>
      </c>
      <c r="O37" s="18">
        <f t="shared" si="3"/>
        <v>0</v>
      </c>
      <c r="P37" s="18">
        <f t="shared" si="3"/>
        <v>0.28529891520034273</v>
      </c>
      <c r="Q37" s="18">
        <f t="shared" si="3"/>
        <v>1.5828565262236617E-2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L22" sqref="L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517</v>
      </c>
      <c r="B9" s="41">
        <v>13.22</v>
      </c>
      <c r="C9" s="41">
        <v>23.32</v>
      </c>
      <c r="D9" s="41">
        <v>24.13</v>
      </c>
      <c r="E9" s="41">
        <v>9.43</v>
      </c>
      <c r="F9" s="41">
        <v>8.07</v>
      </c>
      <c r="G9" s="41">
        <v>80.8</v>
      </c>
      <c r="H9" s="41">
        <v>31.67</v>
      </c>
      <c r="I9" s="41">
        <v>8.5500000000000007</v>
      </c>
      <c r="J9" s="41">
        <v>0.14000000000000001</v>
      </c>
      <c r="K9" s="41">
        <v>106.43</v>
      </c>
      <c r="L9" s="41">
        <v>23.31</v>
      </c>
      <c r="M9" s="41">
        <v>49.03</v>
      </c>
      <c r="N9" s="41">
        <v>1.2</v>
      </c>
      <c r="O9" s="41">
        <v>0</v>
      </c>
      <c r="P9" s="41">
        <v>0.74</v>
      </c>
      <c r="Q9" s="41">
        <v>12.97</v>
      </c>
      <c r="R9" s="38"/>
      <c r="S9" s="38"/>
      <c r="T9" s="38"/>
      <c r="U9" s="38"/>
    </row>
    <row r="10" spans="1:21" customFormat="1">
      <c r="A10" s="40" t="s">
        <v>518</v>
      </c>
      <c r="B10" s="41">
        <v>13.45</v>
      </c>
      <c r="C10" s="41">
        <v>23.51</v>
      </c>
      <c r="D10" s="41">
        <v>24.42</v>
      </c>
      <c r="E10" s="41">
        <v>9</v>
      </c>
      <c r="F10" s="41">
        <v>8.7899999999999991</v>
      </c>
      <c r="G10" s="41">
        <v>84.57</v>
      </c>
      <c r="H10" s="41">
        <v>31.34</v>
      </c>
      <c r="I10" s="41">
        <v>8.84</v>
      </c>
      <c r="J10" s="41">
        <v>0.22</v>
      </c>
      <c r="K10" s="41">
        <v>159.79</v>
      </c>
      <c r="L10" s="41">
        <v>21.85</v>
      </c>
      <c r="M10" s="41">
        <v>57.35</v>
      </c>
      <c r="N10" s="41">
        <v>1.3</v>
      </c>
      <c r="O10" s="41">
        <v>0</v>
      </c>
      <c r="P10" s="41">
        <v>0.69</v>
      </c>
      <c r="Q10" s="41">
        <v>13</v>
      </c>
      <c r="R10" s="38"/>
      <c r="S10" s="38"/>
      <c r="T10" s="38"/>
      <c r="U10" s="38"/>
    </row>
    <row r="11" spans="1:21" customFormat="1">
      <c r="A11" s="40" t="s">
        <v>519</v>
      </c>
      <c r="B11" s="41">
        <v>14.96</v>
      </c>
      <c r="C11" s="41">
        <v>23.89</v>
      </c>
      <c r="D11" s="41">
        <v>25.83</v>
      </c>
      <c r="E11" s="41">
        <v>11.67</v>
      </c>
      <c r="F11" s="41">
        <v>9.09</v>
      </c>
      <c r="G11" s="41">
        <v>84.99</v>
      </c>
      <c r="H11" s="41">
        <v>31.34</v>
      </c>
      <c r="I11" s="41">
        <v>9.19</v>
      </c>
      <c r="J11" s="41">
        <v>0.26</v>
      </c>
      <c r="K11" s="41">
        <v>168.66</v>
      </c>
      <c r="L11" s="41">
        <v>20.46</v>
      </c>
      <c r="M11" s="41">
        <v>59.85</v>
      </c>
      <c r="N11" s="41">
        <v>1</v>
      </c>
      <c r="O11" s="41">
        <v>0</v>
      </c>
      <c r="P11" s="41">
        <v>0.74</v>
      </c>
      <c r="Q11" s="41">
        <v>13</v>
      </c>
      <c r="R11" s="38"/>
      <c r="S11" s="38"/>
      <c r="T11" s="38"/>
      <c r="U11" s="38"/>
    </row>
    <row r="12" spans="1:21" customFormat="1">
      <c r="A12" s="40" t="s">
        <v>520</v>
      </c>
      <c r="B12" s="41">
        <v>15.21</v>
      </c>
      <c r="C12" s="41">
        <v>23.71</v>
      </c>
      <c r="D12" s="41">
        <v>25.93</v>
      </c>
      <c r="E12" s="41">
        <v>11.58</v>
      </c>
      <c r="F12" s="41">
        <v>8.08</v>
      </c>
      <c r="G12" s="41">
        <v>95.06</v>
      </c>
      <c r="H12" s="41">
        <v>27.03</v>
      </c>
      <c r="I12" s="41">
        <v>9.57</v>
      </c>
      <c r="J12" s="41">
        <v>0.22</v>
      </c>
      <c r="K12" s="41">
        <v>190.07</v>
      </c>
      <c r="L12" s="41">
        <v>19.29</v>
      </c>
      <c r="M12" s="41">
        <v>65.739999999999995</v>
      </c>
      <c r="N12" s="41">
        <v>1.3</v>
      </c>
      <c r="O12" s="41">
        <v>0</v>
      </c>
      <c r="P12" s="41">
        <v>0.76</v>
      </c>
      <c r="Q12" s="41">
        <v>12.99</v>
      </c>
      <c r="R12" s="38"/>
      <c r="S12" s="38"/>
      <c r="T12" s="38"/>
      <c r="U12" s="38"/>
    </row>
    <row r="13" spans="1:21" customFormat="1">
      <c r="A13" s="40" t="s">
        <v>521</v>
      </c>
      <c r="B13" s="41">
        <v>15</v>
      </c>
      <c r="C13" s="41">
        <v>22.78</v>
      </c>
      <c r="D13" s="41">
        <v>25.28</v>
      </c>
      <c r="E13" s="41">
        <v>11.19</v>
      </c>
      <c r="F13" s="41">
        <v>6.98</v>
      </c>
      <c r="G13" s="41">
        <v>95.06</v>
      </c>
      <c r="H13" s="41">
        <v>25.99</v>
      </c>
      <c r="I13" s="41">
        <v>9.69</v>
      </c>
      <c r="J13" s="41">
        <v>0.28000000000000003</v>
      </c>
      <c r="K13" s="41">
        <v>189.01</v>
      </c>
      <c r="L13" s="41">
        <v>18.440000000000001</v>
      </c>
      <c r="M13" s="41">
        <v>70.98</v>
      </c>
      <c r="N13" s="41">
        <v>1.2</v>
      </c>
      <c r="O13" s="41">
        <v>0</v>
      </c>
      <c r="P13" s="41">
        <v>0.75</v>
      </c>
      <c r="Q13" s="41">
        <v>12.98</v>
      </c>
      <c r="R13" s="38"/>
      <c r="S13" s="38"/>
      <c r="T13" s="38"/>
      <c r="U13" s="38"/>
    </row>
    <row r="14" spans="1:21" customFormat="1">
      <c r="A14" s="40" t="s">
        <v>522</v>
      </c>
      <c r="B14" s="41">
        <v>14.12</v>
      </c>
      <c r="C14" s="41">
        <v>21.61</v>
      </c>
      <c r="D14" s="41">
        <v>23.96</v>
      </c>
      <c r="E14" s="41">
        <v>10.88</v>
      </c>
      <c r="F14" s="41">
        <v>8.08</v>
      </c>
      <c r="G14" s="41">
        <v>81.83</v>
      </c>
      <c r="H14" s="41">
        <v>22.18</v>
      </c>
      <c r="I14" s="41">
        <v>9.69</v>
      </c>
      <c r="J14" s="41">
        <v>0.18</v>
      </c>
      <c r="K14" s="41">
        <v>167.64</v>
      </c>
      <c r="L14" s="41">
        <v>17.440000000000001</v>
      </c>
      <c r="M14" s="41">
        <v>68.27</v>
      </c>
      <c r="N14" s="41">
        <v>1</v>
      </c>
      <c r="O14" s="41">
        <v>0</v>
      </c>
      <c r="P14" s="41">
        <v>0.74</v>
      </c>
      <c r="Q14" s="41">
        <v>12.99</v>
      </c>
      <c r="R14" s="38"/>
      <c r="S14" s="38"/>
      <c r="T14" s="38"/>
      <c r="U14" s="38"/>
    </row>
    <row r="15" spans="1:21" customFormat="1">
      <c r="A15" s="40" t="s">
        <v>523</v>
      </c>
      <c r="B15" s="41">
        <v>18.96</v>
      </c>
      <c r="C15" s="41">
        <v>22.18</v>
      </c>
      <c r="D15" s="41">
        <v>28.15</v>
      </c>
      <c r="E15" s="41">
        <v>10.95</v>
      </c>
      <c r="F15" s="41">
        <v>7.02</v>
      </c>
      <c r="G15" s="41">
        <v>77.19</v>
      </c>
      <c r="H15" s="41">
        <v>22.32</v>
      </c>
      <c r="I15" s="41">
        <v>9.8000000000000007</v>
      </c>
      <c r="J15" s="41">
        <v>0.25</v>
      </c>
      <c r="K15" s="41">
        <v>240</v>
      </c>
      <c r="L15" s="41">
        <v>17.18</v>
      </c>
      <c r="M15" s="41">
        <v>74.17</v>
      </c>
      <c r="N15" s="41">
        <v>9.6</v>
      </c>
      <c r="O15" s="41">
        <v>0</v>
      </c>
      <c r="P15" s="41">
        <v>0.81</v>
      </c>
      <c r="Q15" s="41">
        <v>12.99</v>
      </c>
      <c r="R15" s="38"/>
      <c r="S15" s="38"/>
      <c r="T15" s="38"/>
      <c r="U15" s="38"/>
    </row>
    <row r="16" spans="1:21" customFormat="1">
      <c r="A16" s="40" t="s">
        <v>524</v>
      </c>
      <c r="B16" s="41">
        <v>19.920000000000002</v>
      </c>
      <c r="C16" s="41">
        <v>22.61</v>
      </c>
      <c r="D16" s="41">
        <v>29.14</v>
      </c>
      <c r="E16" s="41">
        <v>10.62</v>
      </c>
      <c r="F16" s="41">
        <v>14.13</v>
      </c>
      <c r="G16" s="41">
        <v>77.19</v>
      </c>
      <c r="H16" s="41">
        <v>22.32</v>
      </c>
      <c r="I16" s="41">
        <v>10.08</v>
      </c>
      <c r="J16" s="41">
        <v>0.4</v>
      </c>
      <c r="K16" s="41">
        <v>186.2</v>
      </c>
      <c r="L16" s="41">
        <v>20.16</v>
      </c>
      <c r="M16" s="41">
        <v>75.599999999999994</v>
      </c>
      <c r="N16" s="41">
        <v>36.5</v>
      </c>
      <c r="O16" s="41">
        <v>0</v>
      </c>
      <c r="P16" s="41">
        <v>0.82</v>
      </c>
      <c r="Q16" s="41">
        <v>12.99</v>
      </c>
      <c r="R16" s="38"/>
      <c r="S16" s="38"/>
      <c r="T16" s="38"/>
      <c r="U16" s="38"/>
    </row>
    <row r="17" spans="1:21" customFormat="1">
      <c r="A17" s="40" t="s">
        <v>525</v>
      </c>
      <c r="B17" s="41">
        <v>20.149999999999999</v>
      </c>
      <c r="C17" s="41">
        <v>24.52</v>
      </c>
      <c r="D17" s="41">
        <v>29.71</v>
      </c>
      <c r="E17" s="41">
        <v>10.4</v>
      </c>
      <c r="F17" s="41">
        <v>26.15</v>
      </c>
      <c r="G17" s="41">
        <v>75.11</v>
      </c>
      <c r="H17" s="41">
        <v>23.18</v>
      </c>
      <c r="I17" s="41">
        <v>10.42</v>
      </c>
      <c r="J17" s="41">
        <v>0.97</v>
      </c>
      <c r="K17" s="41">
        <v>61.98</v>
      </c>
      <c r="L17" s="41">
        <v>23.42</v>
      </c>
      <c r="M17" s="41">
        <v>47.12</v>
      </c>
      <c r="N17" s="41">
        <v>233.7</v>
      </c>
      <c r="O17" s="41">
        <v>0</v>
      </c>
      <c r="P17" s="41">
        <v>0.82</v>
      </c>
      <c r="Q17" s="41">
        <v>13</v>
      </c>
      <c r="R17" s="38"/>
      <c r="S17" s="38"/>
      <c r="T17" s="38"/>
      <c r="U17" s="38"/>
    </row>
    <row r="18" spans="1:21" customFormat="1">
      <c r="A18" s="40" t="s">
        <v>526</v>
      </c>
      <c r="B18" s="41">
        <v>17.87</v>
      </c>
      <c r="C18" s="41">
        <v>24.53</v>
      </c>
      <c r="D18" s="41">
        <v>28.31</v>
      </c>
      <c r="E18" s="41">
        <v>10.74</v>
      </c>
      <c r="F18" s="41">
        <v>25.82</v>
      </c>
      <c r="G18" s="41">
        <v>75.11</v>
      </c>
      <c r="H18" s="41">
        <v>24.92</v>
      </c>
      <c r="I18" s="41">
        <v>10.32</v>
      </c>
      <c r="J18" s="41">
        <v>1.08</v>
      </c>
      <c r="K18" s="41">
        <v>55.66</v>
      </c>
      <c r="L18" s="41">
        <v>25.25</v>
      </c>
      <c r="M18" s="41">
        <v>40.04</v>
      </c>
      <c r="N18" s="41">
        <v>315.89999999999998</v>
      </c>
      <c r="O18" s="41">
        <v>0</v>
      </c>
      <c r="P18" s="41">
        <v>0.8</v>
      </c>
      <c r="Q18" s="41">
        <v>13</v>
      </c>
      <c r="R18" s="38"/>
      <c r="S18" s="38"/>
      <c r="T18" s="38"/>
      <c r="U18" s="38"/>
    </row>
    <row r="19" spans="1:21" customFormat="1">
      <c r="A19" s="40" t="s">
        <v>527</v>
      </c>
      <c r="B19" s="41">
        <v>14.57</v>
      </c>
      <c r="C19" s="41">
        <v>24.81</v>
      </c>
      <c r="D19" s="41">
        <v>25.89</v>
      </c>
      <c r="E19" s="41">
        <v>10.57</v>
      </c>
      <c r="F19" s="41">
        <v>38.19</v>
      </c>
      <c r="G19" s="41">
        <v>70.77</v>
      </c>
      <c r="H19" s="41">
        <v>24.92</v>
      </c>
      <c r="I19" s="41">
        <v>9.8800000000000008</v>
      </c>
      <c r="J19" s="41">
        <v>1.23</v>
      </c>
      <c r="K19" s="41">
        <v>50.54</v>
      </c>
      <c r="L19" s="41">
        <v>26.96</v>
      </c>
      <c r="M19" s="41">
        <v>34.340000000000003</v>
      </c>
      <c r="N19" s="41">
        <v>358.4</v>
      </c>
      <c r="O19" s="41">
        <v>0</v>
      </c>
      <c r="P19" s="41">
        <v>0.76</v>
      </c>
      <c r="Q19" s="41">
        <v>13</v>
      </c>
      <c r="R19" s="38"/>
      <c r="S19" s="38"/>
      <c r="T19" s="38"/>
      <c r="U19" s="38"/>
    </row>
    <row r="20" spans="1:21" customFormat="1">
      <c r="A20" s="40" t="s">
        <v>528</v>
      </c>
      <c r="B20" s="41">
        <v>8.7100000000000009</v>
      </c>
      <c r="C20" s="41">
        <v>26.6</v>
      </c>
      <c r="D20" s="41">
        <v>21.65</v>
      </c>
      <c r="E20" s="41">
        <v>11.66</v>
      </c>
      <c r="F20" s="41">
        <v>59.2</v>
      </c>
      <c r="G20" s="41">
        <v>60.05</v>
      </c>
      <c r="H20" s="41">
        <v>25.74</v>
      </c>
      <c r="I20" s="41">
        <v>9.59</v>
      </c>
      <c r="J20" s="41">
        <v>1.05</v>
      </c>
      <c r="K20" s="41">
        <v>345.32</v>
      </c>
      <c r="L20" s="41">
        <v>28.39</v>
      </c>
      <c r="M20" s="41">
        <v>28.8</v>
      </c>
      <c r="N20" s="41">
        <v>362.9</v>
      </c>
      <c r="O20" s="41">
        <v>0</v>
      </c>
      <c r="P20" s="41">
        <v>0.64</v>
      </c>
      <c r="Q20" s="41">
        <v>12.98</v>
      </c>
      <c r="R20" s="38"/>
      <c r="S20" s="38"/>
      <c r="T20" s="38"/>
      <c r="U20" s="38"/>
    </row>
    <row r="21" spans="1:21" customFormat="1">
      <c r="A21" s="40" t="s">
        <v>529</v>
      </c>
      <c r="B21" s="41">
        <v>4.18</v>
      </c>
      <c r="C21" s="41">
        <v>26.48</v>
      </c>
      <c r="D21" s="41">
        <v>18.45</v>
      </c>
      <c r="E21" s="41">
        <v>12.77</v>
      </c>
      <c r="F21" s="41">
        <v>77.11</v>
      </c>
      <c r="G21" s="41">
        <v>59.12</v>
      </c>
      <c r="H21" s="41">
        <v>34.53</v>
      </c>
      <c r="I21" s="41">
        <v>8.81</v>
      </c>
      <c r="J21" s="41">
        <v>1.53</v>
      </c>
      <c r="K21" s="41">
        <v>356.56</v>
      </c>
      <c r="L21" s="41">
        <v>29.38</v>
      </c>
      <c r="M21" s="41">
        <v>23.98</v>
      </c>
      <c r="N21" s="41">
        <v>375.2</v>
      </c>
      <c r="O21" s="41">
        <v>0</v>
      </c>
      <c r="P21" s="41">
        <v>0.56000000000000005</v>
      </c>
      <c r="Q21" s="41">
        <v>12.97</v>
      </c>
      <c r="R21" s="38"/>
      <c r="S21" s="38"/>
      <c r="T21" s="38"/>
      <c r="U21" s="38"/>
    </row>
    <row r="22" spans="1:21" customFormat="1">
      <c r="A22" s="40" t="s">
        <v>530</v>
      </c>
      <c r="B22" s="41">
        <v>5.8</v>
      </c>
      <c r="C22" s="41">
        <v>23.2</v>
      </c>
      <c r="D22" s="41">
        <v>17.8</v>
      </c>
      <c r="E22" s="41">
        <v>13.12</v>
      </c>
      <c r="F22" s="41">
        <v>76.53</v>
      </c>
      <c r="G22" s="41">
        <v>62.59</v>
      </c>
      <c r="H22" s="41">
        <v>34.53</v>
      </c>
      <c r="I22" s="41">
        <v>8.07</v>
      </c>
      <c r="J22" s="41">
        <v>1.07</v>
      </c>
      <c r="K22" s="41">
        <v>337.07</v>
      </c>
      <c r="L22" s="41">
        <v>29.84</v>
      </c>
      <c r="M22" s="41">
        <v>22.41</v>
      </c>
      <c r="N22" s="41">
        <v>371.4</v>
      </c>
      <c r="O22" s="41">
        <v>0</v>
      </c>
      <c r="P22" s="41">
        <v>0.52</v>
      </c>
      <c r="Q22" s="41">
        <v>12.96</v>
      </c>
      <c r="R22" s="38"/>
      <c r="S22" s="38"/>
      <c r="T22" s="38"/>
      <c r="U22" s="38"/>
    </row>
    <row r="23" spans="1:21" customFormat="1">
      <c r="A23" s="40" t="s">
        <v>531</v>
      </c>
      <c r="B23" s="41">
        <v>3.51</v>
      </c>
      <c r="C23" s="41">
        <v>23.57</v>
      </c>
      <c r="D23" s="41">
        <v>16.48</v>
      </c>
      <c r="E23" s="41">
        <v>10.55</v>
      </c>
      <c r="F23" s="41">
        <v>41.74</v>
      </c>
      <c r="G23" s="41">
        <v>62.59</v>
      </c>
      <c r="H23" s="41">
        <v>32.96</v>
      </c>
      <c r="I23" s="41">
        <v>7.52</v>
      </c>
      <c r="J23" s="41">
        <v>1.1399999999999999</v>
      </c>
      <c r="K23" s="41">
        <v>353.32</v>
      </c>
      <c r="L23" s="41">
        <v>29.86</v>
      </c>
      <c r="M23" s="41">
        <v>22.97</v>
      </c>
      <c r="N23" s="41">
        <v>352</v>
      </c>
      <c r="O23" s="41">
        <v>0</v>
      </c>
      <c r="P23" s="41">
        <v>0.59</v>
      </c>
      <c r="Q23" s="41">
        <v>12.95</v>
      </c>
      <c r="R23" s="38"/>
      <c r="S23" s="38"/>
      <c r="T23" s="38"/>
      <c r="U23" s="38"/>
    </row>
    <row r="24" spans="1:21" customFormat="1">
      <c r="A24" s="40" t="s">
        <v>532</v>
      </c>
      <c r="B24" s="41">
        <v>2.8</v>
      </c>
      <c r="C24" s="41">
        <v>23.06</v>
      </c>
      <c r="D24" s="41">
        <v>15.64</v>
      </c>
      <c r="E24" s="41">
        <v>11.91</v>
      </c>
      <c r="F24" s="41">
        <v>44.22</v>
      </c>
      <c r="G24" s="41">
        <v>61.89</v>
      </c>
      <c r="H24" s="41">
        <v>32.96</v>
      </c>
      <c r="I24" s="41">
        <v>7.13</v>
      </c>
      <c r="J24" s="41">
        <v>0.8</v>
      </c>
      <c r="K24" s="41">
        <v>347.69</v>
      </c>
      <c r="L24" s="41">
        <v>29.51</v>
      </c>
      <c r="M24" s="41">
        <v>22.62</v>
      </c>
      <c r="N24" s="41">
        <v>55.8</v>
      </c>
      <c r="O24" s="41">
        <v>0</v>
      </c>
      <c r="P24" s="41">
        <v>0.57999999999999996</v>
      </c>
      <c r="Q24" s="41">
        <v>12.95</v>
      </c>
      <c r="R24" s="38"/>
      <c r="S24" s="38"/>
      <c r="T24" s="38"/>
      <c r="U24" s="38"/>
    </row>
    <row r="25" spans="1:21" customFormat="1">
      <c r="A25" s="40" t="s">
        <v>533</v>
      </c>
      <c r="B25" s="41">
        <v>2.93</v>
      </c>
      <c r="C25" s="41">
        <v>21.2</v>
      </c>
      <c r="D25" s="41">
        <v>14.52</v>
      </c>
      <c r="E25" s="41">
        <v>10.69</v>
      </c>
      <c r="F25" s="41">
        <v>51.24</v>
      </c>
      <c r="G25" s="41">
        <v>60.07</v>
      </c>
      <c r="H25" s="41">
        <v>32.93</v>
      </c>
      <c r="I25" s="41">
        <v>6.8</v>
      </c>
      <c r="J25" s="41">
        <v>0.83</v>
      </c>
      <c r="K25" s="41">
        <v>307.63</v>
      </c>
      <c r="L25" s="41">
        <v>29.51</v>
      </c>
      <c r="M25" s="41">
        <v>23.57</v>
      </c>
      <c r="N25" s="41">
        <v>49.2</v>
      </c>
      <c r="O25" s="41">
        <v>0</v>
      </c>
      <c r="P25" s="41">
        <v>0.61</v>
      </c>
      <c r="Q25" s="41">
        <v>12.93</v>
      </c>
      <c r="R25" s="38"/>
      <c r="S25" s="38"/>
      <c r="T25" s="38"/>
      <c r="U25" s="38"/>
    </row>
    <row r="26" spans="1:21" customFormat="1">
      <c r="A26" s="40" t="s">
        <v>534</v>
      </c>
      <c r="B26" s="41">
        <v>3.94</v>
      </c>
      <c r="C26" s="41">
        <v>19.82</v>
      </c>
      <c r="D26" s="41">
        <v>14.43</v>
      </c>
      <c r="E26" s="41">
        <v>10.8</v>
      </c>
      <c r="F26" s="41">
        <v>45.86</v>
      </c>
      <c r="G26" s="41">
        <v>54.65</v>
      </c>
      <c r="H26" s="41">
        <v>28.5</v>
      </c>
      <c r="I26" s="41">
        <v>6.46</v>
      </c>
      <c r="J26" s="41">
        <v>0.28999999999999998</v>
      </c>
      <c r="K26" s="41">
        <v>266.45</v>
      </c>
      <c r="L26" s="41">
        <v>28.68</v>
      </c>
      <c r="M26" s="41">
        <v>33.93</v>
      </c>
      <c r="N26" s="41">
        <v>21.2</v>
      </c>
      <c r="O26" s="41">
        <v>0</v>
      </c>
      <c r="P26" s="41">
        <v>0.62</v>
      </c>
      <c r="Q26" s="41">
        <v>12.92</v>
      </c>
      <c r="R26" s="38"/>
      <c r="S26" s="38"/>
      <c r="T26" s="38"/>
      <c r="U26" s="38"/>
    </row>
    <row r="27" spans="1:21" customFormat="1">
      <c r="A27" s="40" t="s">
        <v>535</v>
      </c>
      <c r="B27" s="41">
        <v>4.6500000000000004</v>
      </c>
      <c r="C27" s="41">
        <v>18.7</v>
      </c>
      <c r="D27" s="41">
        <v>14.39</v>
      </c>
      <c r="E27" s="41">
        <v>11.96</v>
      </c>
      <c r="F27" s="41">
        <v>34.71</v>
      </c>
      <c r="G27" s="41">
        <v>52.64</v>
      </c>
      <c r="H27" s="41">
        <v>28</v>
      </c>
      <c r="I27" s="41">
        <v>6.61</v>
      </c>
      <c r="J27" s="41">
        <v>0.26</v>
      </c>
      <c r="K27" s="41">
        <v>175.91</v>
      </c>
      <c r="L27" s="41">
        <v>24.85</v>
      </c>
      <c r="M27" s="41">
        <v>47.93</v>
      </c>
      <c r="N27" s="41">
        <v>2</v>
      </c>
      <c r="O27" s="41">
        <v>0</v>
      </c>
      <c r="P27" s="41">
        <v>0.65</v>
      </c>
      <c r="Q27" s="41">
        <v>12.92</v>
      </c>
      <c r="R27" s="38"/>
      <c r="S27" s="38"/>
      <c r="T27" s="38"/>
      <c r="U27" s="38"/>
    </row>
    <row r="28" spans="1:21" customFormat="1">
      <c r="A28" s="40" t="s">
        <v>536</v>
      </c>
      <c r="B28" s="41">
        <v>4.66</v>
      </c>
      <c r="C28" s="41">
        <v>19.079999999999998</v>
      </c>
      <c r="D28" s="41">
        <v>15.04</v>
      </c>
      <c r="E28" s="41">
        <v>12.23</v>
      </c>
      <c r="F28" s="41">
        <v>31.82</v>
      </c>
      <c r="G28" s="41">
        <v>52.64</v>
      </c>
      <c r="H28" s="41">
        <v>28</v>
      </c>
      <c r="I28" s="41">
        <v>7.27</v>
      </c>
      <c r="J28" s="41">
        <v>0.22</v>
      </c>
      <c r="K28" s="41">
        <v>187.46</v>
      </c>
      <c r="L28" s="41">
        <v>22.71</v>
      </c>
      <c r="M28" s="41">
        <v>55.75</v>
      </c>
      <c r="N28" s="41">
        <v>1.4</v>
      </c>
      <c r="O28" s="41">
        <v>0</v>
      </c>
      <c r="P28" s="41">
        <v>0.7</v>
      </c>
      <c r="Q28" s="41">
        <v>12.92</v>
      </c>
      <c r="R28" s="38"/>
      <c r="S28" s="38"/>
      <c r="T28" s="38"/>
      <c r="U28" s="38"/>
    </row>
    <row r="29" spans="1:21" customFormat="1">
      <c r="A29" s="40" t="s">
        <v>537</v>
      </c>
      <c r="B29" s="41">
        <v>6.83</v>
      </c>
      <c r="C29" s="41">
        <v>21.21</v>
      </c>
      <c r="D29" s="41">
        <v>17.91</v>
      </c>
      <c r="E29" s="41">
        <v>12.12</v>
      </c>
      <c r="F29" s="41">
        <v>24.06</v>
      </c>
      <c r="G29" s="41">
        <v>56.09</v>
      </c>
      <c r="H29" s="41">
        <v>22.9</v>
      </c>
      <c r="I29" s="41">
        <v>8.19</v>
      </c>
      <c r="J29" s="41">
        <v>0.18</v>
      </c>
      <c r="K29" s="41">
        <v>208.57</v>
      </c>
      <c r="L29" s="41">
        <v>22.48</v>
      </c>
      <c r="M29" s="41">
        <v>50.72</v>
      </c>
      <c r="N29" s="41">
        <v>0.9</v>
      </c>
      <c r="O29" s="41">
        <v>0</v>
      </c>
      <c r="P29" s="41">
        <v>0.72</v>
      </c>
      <c r="Q29" s="41">
        <v>12.93</v>
      </c>
      <c r="R29" s="38"/>
      <c r="S29" s="38"/>
      <c r="T29" s="38"/>
      <c r="U29" s="38"/>
    </row>
    <row r="30" spans="1:21" customFormat="1">
      <c r="A30" s="40" t="s">
        <v>538</v>
      </c>
      <c r="B30" s="41">
        <v>7.38</v>
      </c>
      <c r="C30" s="41">
        <v>23.59</v>
      </c>
      <c r="D30" s="41">
        <v>19.27</v>
      </c>
      <c r="E30" s="41">
        <v>12.75</v>
      </c>
      <c r="F30" s="41">
        <v>20.73</v>
      </c>
      <c r="G30" s="41">
        <v>64.45</v>
      </c>
      <c r="H30" s="41">
        <v>23.26</v>
      </c>
      <c r="I30" s="41">
        <v>9.17</v>
      </c>
      <c r="J30" s="41">
        <v>0.91</v>
      </c>
      <c r="K30" s="41">
        <v>309.88</v>
      </c>
      <c r="L30" s="41">
        <v>24.02</v>
      </c>
      <c r="M30" s="41">
        <v>39.78</v>
      </c>
      <c r="N30" s="41">
        <v>0.8</v>
      </c>
      <c r="O30" s="41">
        <v>0</v>
      </c>
      <c r="P30" s="41">
        <v>0.76</v>
      </c>
      <c r="Q30" s="41">
        <v>12.96</v>
      </c>
      <c r="R30" s="38"/>
      <c r="S30" s="38"/>
      <c r="T30" s="38"/>
      <c r="U30" s="38"/>
    </row>
    <row r="31" spans="1:21" customFormat="1">
      <c r="A31" s="40" t="s">
        <v>539</v>
      </c>
      <c r="B31" s="41">
        <v>7.04</v>
      </c>
      <c r="C31" s="41">
        <v>24.78</v>
      </c>
      <c r="D31" s="41">
        <v>19.940000000000001</v>
      </c>
      <c r="E31" s="41">
        <v>12.94</v>
      </c>
      <c r="F31" s="41">
        <v>18.940000000000001</v>
      </c>
      <c r="G31" s="41">
        <v>64.45</v>
      </c>
      <c r="H31" s="41">
        <v>23.26</v>
      </c>
      <c r="I31" s="41">
        <v>9.15</v>
      </c>
      <c r="J31" s="41">
        <v>0.98</v>
      </c>
      <c r="K31" s="41">
        <v>350.02</v>
      </c>
      <c r="L31" s="41">
        <v>23.62</v>
      </c>
      <c r="M31" s="41">
        <v>30.38</v>
      </c>
      <c r="N31" s="41">
        <v>1.2</v>
      </c>
      <c r="O31" s="41">
        <v>0</v>
      </c>
      <c r="P31" s="41">
        <v>0.74</v>
      </c>
      <c r="Q31" s="41">
        <v>12.96</v>
      </c>
      <c r="R31" s="38"/>
      <c r="S31" s="38"/>
      <c r="T31" s="38"/>
      <c r="U31" s="38"/>
    </row>
    <row r="32" spans="1:21" customFormat="1">
      <c r="A32" s="40" t="s">
        <v>540</v>
      </c>
      <c r="B32" s="41">
        <v>6.65</v>
      </c>
      <c r="C32" s="41">
        <v>24.52</v>
      </c>
      <c r="D32" s="41">
        <v>19.45</v>
      </c>
      <c r="E32" s="41">
        <v>12.84</v>
      </c>
      <c r="F32" s="41">
        <v>8.65</v>
      </c>
      <c r="G32" s="41">
        <v>58.84</v>
      </c>
      <c r="H32" s="41">
        <v>23.6</v>
      </c>
      <c r="I32" s="41">
        <v>8.76</v>
      </c>
      <c r="J32" s="41">
        <v>0.73</v>
      </c>
      <c r="K32" s="41">
        <v>28.14</v>
      </c>
      <c r="L32" s="41">
        <v>22.22</v>
      </c>
      <c r="M32" s="41">
        <v>33.909999999999997</v>
      </c>
      <c r="N32" s="41">
        <v>1.3</v>
      </c>
      <c r="O32" s="41">
        <v>0</v>
      </c>
      <c r="P32" s="41">
        <v>0.7</v>
      </c>
      <c r="Q32" s="41">
        <v>12.95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2.8</v>
      </c>
      <c r="C34" s="18">
        <f t="shared" si="0"/>
        <v>18.7</v>
      </c>
      <c r="D34" s="18">
        <f t="shared" si="0"/>
        <v>14.39</v>
      </c>
      <c r="E34" s="18">
        <f t="shared" si="0"/>
        <v>9</v>
      </c>
      <c r="F34" s="18">
        <f t="shared" si="0"/>
        <v>6.98</v>
      </c>
      <c r="G34" s="18">
        <f t="shared" si="0"/>
        <v>52.64</v>
      </c>
      <c r="H34" s="18">
        <f t="shared" si="0"/>
        <v>22.18</v>
      </c>
      <c r="I34" s="18">
        <f t="shared" si="0"/>
        <v>6.46</v>
      </c>
      <c r="J34" s="18">
        <f t="shared" si="0"/>
        <v>0.14000000000000001</v>
      </c>
      <c r="K34" s="18">
        <f t="shared" si="0"/>
        <v>28.14</v>
      </c>
      <c r="L34" s="18">
        <f t="shared" si="0"/>
        <v>17.18</v>
      </c>
      <c r="M34" s="18">
        <f t="shared" si="0"/>
        <v>22.41</v>
      </c>
      <c r="N34" s="18">
        <f t="shared" si="0"/>
        <v>0.8</v>
      </c>
      <c r="O34" s="18">
        <f t="shared" si="0"/>
        <v>0</v>
      </c>
      <c r="P34" s="18">
        <f t="shared" si="0"/>
        <v>0.52</v>
      </c>
      <c r="Q34" s="18">
        <f t="shared" si="0"/>
        <v>12.92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20.149999999999999</v>
      </c>
      <c r="C35" s="3">
        <f t="shared" si="1"/>
        <v>26.6</v>
      </c>
      <c r="D35" s="3">
        <f t="shared" si="1"/>
        <v>29.71</v>
      </c>
      <c r="E35" s="3">
        <f t="shared" si="1"/>
        <v>13.12</v>
      </c>
      <c r="F35" s="3">
        <f t="shared" si="1"/>
        <v>77.11</v>
      </c>
      <c r="G35" s="3">
        <f t="shared" si="1"/>
        <v>95.06</v>
      </c>
      <c r="H35" s="3">
        <f t="shared" si="1"/>
        <v>34.53</v>
      </c>
      <c r="I35" s="3">
        <f t="shared" si="1"/>
        <v>10.42</v>
      </c>
      <c r="J35" s="3">
        <f t="shared" si="1"/>
        <v>1.53</v>
      </c>
      <c r="K35" s="3">
        <f t="shared" si="1"/>
        <v>356.56</v>
      </c>
      <c r="L35" s="3">
        <f t="shared" si="1"/>
        <v>29.86</v>
      </c>
      <c r="M35" s="3">
        <f t="shared" si="1"/>
        <v>75.599999999999994</v>
      </c>
      <c r="N35" s="3">
        <f t="shared" si="1"/>
        <v>375.2</v>
      </c>
      <c r="O35" s="3">
        <f t="shared" si="1"/>
        <v>0</v>
      </c>
      <c r="P35" s="3">
        <f t="shared" si="1"/>
        <v>0.82</v>
      </c>
      <c r="Q35" s="3">
        <f t="shared" si="1"/>
        <v>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10.271250000000002</v>
      </c>
      <c r="C36" s="18">
        <f t="shared" si="2"/>
        <v>23.053333333333331</v>
      </c>
      <c r="D36" s="18">
        <f t="shared" si="2"/>
        <v>21.488333333333333</v>
      </c>
      <c r="E36" s="18">
        <f t="shared" si="2"/>
        <v>11.390416666666667</v>
      </c>
      <c r="F36" s="18">
        <f t="shared" si="2"/>
        <v>28.967083333333338</v>
      </c>
      <c r="G36" s="18">
        <f t="shared" si="2"/>
        <v>69.489583333333343</v>
      </c>
      <c r="H36" s="18">
        <f t="shared" si="2"/>
        <v>27.432499999999994</v>
      </c>
      <c r="I36" s="18">
        <f t="shared" si="2"/>
        <v>8.7316666666666674</v>
      </c>
      <c r="J36" s="18">
        <f t="shared" si="2"/>
        <v>0.63416666666666677</v>
      </c>
      <c r="K36" s="18">
        <f t="shared" si="2"/>
        <v>214.58333333333337</v>
      </c>
      <c r="L36" s="18">
        <f t="shared" si="2"/>
        <v>24.11791666666667</v>
      </c>
      <c r="M36" s="18">
        <f t="shared" si="2"/>
        <v>44.968333333333334</v>
      </c>
      <c r="N36" s="18">
        <f t="shared" si="2"/>
        <v>106.51666666666667</v>
      </c>
      <c r="O36" s="18">
        <f t="shared" si="2"/>
        <v>0</v>
      </c>
      <c r="P36" s="18">
        <f t="shared" si="2"/>
        <v>0.70083333333333331</v>
      </c>
      <c r="Q36" s="18">
        <f t="shared" si="2"/>
        <v>12.967083333333328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5.9220959219431446</v>
      </c>
      <c r="C37" s="18">
        <f t="shared" ref="C37:Q37" si="3">STDEV(C9:C32)</f>
        <v>2.0216387383520824</v>
      </c>
      <c r="D37" s="18">
        <f t="shared" si="3"/>
        <v>5.1407973215688241</v>
      </c>
      <c r="E37" s="18">
        <f t="shared" si="3"/>
        <v>1.0940967255812148</v>
      </c>
      <c r="F37" s="18">
        <f t="shared" si="3"/>
        <v>21.58624551586065</v>
      </c>
      <c r="G37" s="18">
        <f t="shared" si="3"/>
        <v>12.869087153588859</v>
      </c>
      <c r="H37" s="18">
        <f t="shared" si="3"/>
        <v>4.3142173959051826</v>
      </c>
      <c r="I37" s="18">
        <f t="shared" si="3"/>
        <v>1.2131692833833703</v>
      </c>
      <c r="J37" s="18">
        <f t="shared" si="3"/>
        <v>0.43017606776221556</v>
      </c>
      <c r="K37" s="18">
        <f t="shared" si="3"/>
        <v>106.76912473698297</v>
      </c>
      <c r="L37" s="18">
        <f t="shared" si="3"/>
        <v>4.1317476870296801</v>
      </c>
      <c r="M37" s="18">
        <f t="shared" si="3"/>
        <v>17.777921741566846</v>
      </c>
      <c r="N37" s="18">
        <f t="shared" si="3"/>
        <v>154.96145289735108</v>
      </c>
      <c r="O37" s="18">
        <f t="shared" si="3"/>
        <v>0</v>
      </c>
      <c r="P37" s="18">
        <f t="shared" si="3"/>
        <v>8.6019040696341142E-2</v>
      </c>
      <c r="Q37" s="18">
        <f t="shared" si="3"/>
        <v>2.8204095704219289E-2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I35" sqref="I3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541</v>
      </c>
      <c r="B9" s="41">
        <v>8.75</v>
      </c>
      <c r="C9" s="41">
        <v>25.03</v>
      </c>
      <c r="D9" s="41">
        <v>21.43</v>
      </c>
      <c r="E9" s="41">
        <v>13.73</v>
      </c>
      <c r="F9" s="27" t="s">
        <v>8</v>
      </c>
      <c r="G9" s="41">
        <v>73.150000000000006</v>
      </c>
      <c r="H9" s="41">
        <v>23.6</v>
      </c>
      <c r="I9" s="41">
        <v>8.32</v>
      </c>
      <c r="J9" s="41">
        <v>0.95</v>
      </c>
      <c r="K9" s="41">
        <v>43.77</v>
      </c>
      <c r="L9" s="41">
        <v>21.77</v>
      </c>
      <c r="M9" s="41">
        <v>32.64</v>
      </c>
      <c r="N9" s="41">
        <v>1.4</v>
      </c>
      <c r="O9" s="41">
        <v>0</v>
      </c>
      <c r="P9" s="41">
        <v>0.71</v>
      </c>
      <c r="Q9" s="41">
        <v>12.95</v>
      </c>
      <c r="R9" s="38"/>
      <c r="S9" s="38"/>
      <c r="T9" s="38"/>
      <c r="U9" s="38"/>
    </row>
    <row r="10" spans="1:21" customFormat="1">
      <c r="A10" s="40" t="s">
        <v>542</v>
      </c>
      <c r="B10" s="41">
        <v>9.8699999999999992</v>
      </c>
      <c r="C10" s="41">
        <v>25.24</v>
      </c>
      <c r="D10" s="41">
        <v>22.33</v>
      </c>
      <c r="E10" s="41">
        <v>13.8</v>
      </c>
      <c r="F10" s="27" t="s">
        <v>8</v>
      </c>
      <c r="G10" s="41">
        <v>73.150000000000006</v>
      </c>
      <c r="H10" s="41">
        <v>24.96</v>
      </c>
      <c r="I10" s="41">
        <v>8</v>
      </c>
      <c r="J10" s="41">
        <v>0.61</v>
      </c>
      <c r="K10" s="41">
        <v>57.85</v>
      </c>
      <c r="L10" s="41">
        <v>20.420000000000002</v>
      </c>
      <c r="M10" s="41">
        <v>37.97</v>
      </c>
      <c r="N10" s="41">
        <v>1.2</v>
      </c>
      <c r="O10" s="41">
        <v>0</v>
      </c>
      <c r="P10" s="41">
        <v>0.75</v>
      </c>
      <c r="Q10" s="41">
        <v>12.97</v>
      </c>
      <c r="R10" s="38"/>
      <c r="S10" s="38"/>
      <c r="T10" s="38"/>
      <c r="U10" s="38"/>
    </row>
    <row r="11" spans="1:21" customFormat="1">
      <c r="A11" s="40" t="s">
        <v>543</v>
      </c>
      <c r="B11" s="41">
        <v>11.91</v>
      </c>
      <c r="C11" s="41">
        <v>24.87</v>
      </c>
      <c r="D11" s="41">
        <v>23.44</v>
      </c>
      <c r="E11" s="41">
        <v>9.94</v>
      </c>
      <c r="F11" s="27" t="s">
        <v>8</v>
      </c>
      <c r="G11" s="41">
        <v>70.27</v>
      </c>
      <c r="H11" s="41">
        <v>24.96</v>
      </c>
      <c r="I11" s="41">
        <v>7.71</v>
      </c>
      <c r="J11" s="41">
        <v>0.27</v>
      </c>
      <c r="K11" s="41">
        <v>165.06</v>
      </c>
      <c r="L11" s="41">
        <v>19.239999999999998</v>
      </c>
      <c r="M11" s="41">
        <v>55.09</v>
      </c>
      <c r="N11" s="41">
        <v>1.2</v>
      </c>
      <c r="O11" s="41">
        <v>0</v>
      </c>
      <c r="P11" s="41">
        <v>0.77</v>
      </c>
      <c r="Q11" s="41">
        <v>12.98</v>
      </c>
      <c r="R11" s="38"/>
      <c r="S11" s="38"/>
      <c r="T11" s="38"/>
      <c r="U11" s="38"/>
    </row>
    <row r="12" spans="1:21" customFormat="1">
      <c r="A12" s="40" t="s">
        <v>544</v>
      </c>
      <c r="B12" s="41">
        <v>12.98</v>
      </c>
      <c r="C12" s="41">
        <v>23.93</v>
      </c>
      <c r="D12" s="41">
        <v>24.23</v>
      </c>
      <c r="E12" s="41">
        <v>9.4700000000000006</v>
      </c>
      <c r="F12" s="27" t="s">
        <v>8</v>
      </c>
      <c r="G12" s="41">
        <v>70.02</v>
      </c>
      <c r="H12" s="41">
        <v>23.86</v>
      </c>
      <c r="I12" s="41">
        <v>7.66</v>
      </c>
      <c r="J12" s="41">
        <v>0.37</v>
      </c>
      <c r="K12" s="41">
        <v>179.1</v>
      </c>
      <c r="L12" s="41">
        <v>18.16</v>
      </c>
      <c r="M12" s="41">
        <v>56.7</v>
      </c>
      <c r="N12" s="41">
        <v>1.2</v>
      </c>
      <c r="O12" s="41">
        <v>0</v>
      </c>
      <c r="P12" s="41">
        <v>0.77</v>
      </c>
      <c r="Q12" s="41">
        <v>12.97</v>
      </c>
      <c r="R12" s="38"/>
      <c r="S12" s="38"/>
      <c r="T12" s="38"/>
      <c r="U12" s="38"/>
    </row>
    <row r="13" spans="1:21" customFormat="1">
      <c r="A13" s="40" t="s">
        <v>545</v>
      </c>
      <c r="B13" s="41">
        <v>13.6</v>
      </c>
      <c r="C13" s="41">
        <v>23.85</v>
      </c>
      <c r="D13" s="41">
        <v>24.67</v>
      </c>
      <c r="E13" s="41">
        <v>9.3000000000000007</v>
      </c>
      <c r="F13" s="27" t="s">
        <v>8</v>
      </c>
      <c r="G13" s="41">
        <v>68.78</v>
      </c>
      <c r="H13" s="41">
        <v>23.86</v>
      </c>
      <c r="I13" s="41">
        <v>7.63</v>
      </c>
      <c r="J13" s="41">
        <v>0.22</v>
      </c>
      <c r="K13" s="41">
        <v>204.33</v>
      </c>
      <c r="L13" s="41">
        <v>16.25</v>
      </c>
      <c r="M13" s="41">
        <v>67.86</v>
      </c>
      <c r="N13" s="41">
        <v>1.4</v>
      </c>
      <c r="O13" s="41">
        <v>0</v>
      </c>
      <c r="P13" s="41">
        <v>0.77</v>
      </c>
      <c r="Q13" s="41">
        <v>12.96</v>
      </c>
      <c r="R13" s="38"/>
      <c r="S13" s="38"/>
      <c r="T13" s="38"/>
      <c r="U13" s="38"/>
    </row>
    <row r="14" spans="1:21" customFormat="1">
      <c r="A14" s="40" t="s">
        <v>546</v>
      </c>
      <c r="B14" s="41">
        <v>13.1</v>
      </c>
      <c r="C14" s="41">
        <v>22.53</v>
      </c>
      <c r="D14" s="41">
        <v>23.62</v>
      </c>
      <c r="E14" s="41">
        <v>8.5500000000000007</v>
      </c>
      <c r="F14" s="27" t="s">
        <v>8</v>
      </c>
      <c r="G14" s="41">
        <v>59.57</v>
      </c>
      <c r="H14" s="41">
        <v>17.28</v>
      </c>
      <c r="I14" s="41">
        <v>7.63</v>
      </c>
      <c r="J14" s="41">
        <v>0.19</v>
      </c>
      <c r="K14" s="41">
        <v>212.62</v>
      </c>
      <c r="L14" s="41">
        <v>14.46</v>
      </c>
      <c r="M14" s="41">
        <v>72.44</v>
      </c>
      <c r="N14" s="41">
        <v>1</v>
      </c>
      <c r="O14" s="41">
        <v>0</v>
      </c>
      <c r="P14" s="41">
        <v>0.77</v>
      </c>
      <c r="Q14" s="41">
        <v>12.96</v>
      </c>
      <c r="R14" s="38"/>
      <c r="S14" s="38"/>
      <c r="T14" s="38"/>
      <c r="U14" s="38"/>
    </row>
    <row r="15" spans="1:21" customFormat="1">
      <c r="A15" s="40" t="s">
        <v>547</v>
      </c>
      <c r="B15" s="41">
        <v>12.7</v>
      </c>
      <c r="C15" s="41">
        <v>21.55</v>
      </c>
      <c r="D15" s="41">
        <v>22.79</v>
      </c>
      <c r="E15" s="41">
        <v>8.3699999999999992</v>
      </c>
      <c r="F15" s="27" t="s">
        <v>8</v>
      </c>
      <c r="G15" s="41">
        <v>64.88</v>
      </c>
      <c r="H15" s="41">
        <v>17.28</v>
      </c>
      <c r="I15" s="41">
        <v>7.88</v>
      </c>
      <c r="J15" s="41">
        <v>0.25</v>
      </c>
      <c r="K15" s="41">
        <v>200.34</v>
      </c>
      <c r="L15" s="41">
        <v>14.14</v>
      </c>
      <c r="M15" s="41">
        <v>73</v>
      </c>
      <c r="N15" s="41">
        <v>9.1</v>
      </c>
      <c r="O15" s="41">
        <v>0</v>
      </c>
      <c r="P15" s="41">
        <v>0.81</v>
      </c>
      <c r="Q15" s="41">
        <v>12.98</v>
      </c>
      <c r="R15" s="38"/>
      <c r="S15" s="38"/>
      <c r="T15" s="38"/>
      <c r="U15" s="38"/>
    </row>
    <row r="16" spans="1:21" customFormat="1">
      <c r="A16" s="40" t="s">
        <v>548</v>
      </c>
      <c r="B16" s="41">
        <v>12.96</v>
      </c>
      <c r="C16" s="41">
        <v>20.77</v>
      </c>
      <c r="D16" s="41">
        <v>22.16</v>
      </c>
      <c r="E16" s="41">
        <v>8.8699999999999992</v>
      </c>
      <c r="F16" s="27" t="s">
        <v>8</v>
      </c>
      <c r="G16" s="41">
        <v>64.88</v>
      </c>
      <c r="H16" s="41">
        <v>15.93</v>
      </c>
      <c r="I16" s="41">
        <v>8.35</v>
      </c>
      <c r="J16" s="41">
        <v>0.36</v>
      </c>
      <c r="K16" s="41">
        <v>180.74</v>
      </c>
      <c r="L16" s="41">
        <v>16.68</v>
      </c>
      <c r="M16" s="41">
        <v>70.150000000000006</v>
      </c>
      <c r="N16" s="41">
        <v>34.1</v>
      </c>
      <c r="O16" s="41">
        <v>0</v>
      </c>
      <c r="P16" s="41">
        <v>0.78</v>
      </c>
      <c r="Q16" s="41">
        <v>12.97</v>
      </c>
      <c r="R16" s="38"/>
      <c r="S16" s="38"/>
      <c r="T16" s="38"/>
      <c r="U16" s="38"/>
    </row>
    <row r="17" spans="1:21" customFormat="1">
      <c r="A17" s="40" t="s">
        <v>549</v>
      </c>
      <c r="B17" s="41">
        <v>12.18</v>
      </c>
      <c r="C17" s="41">
        <v>20.92</v>
      </c>
      <c r="D17" s="41">
        <v>21.74</v>
      </c>
      <c r="E17" s="41">
        <v>8.8000000000000007</v>
      </c>
      <c r="F17" s="27" t="s">
        <v>8</v>
      </c>
      <c r="G17" s="41">
        <v>66.709999999999994</v>
      </c>
      <c r="H17" s="41">
        <v>18.77</v>
      </c>
      <c r="I17" s="41">
        <v>8.99</v>
      </c>
      <c r="J17" s="41">
        <v>0.56000000000000005</v>
      </c>
      <c r="K17" s="41">
        <v>279.11</v>
      </c>
      <c r="L17" s="41">
        <v>21.47</v>
      </c>
      <c r="M17" s="41">
        <v>53.9</v>
      </c>
      <c r="N17" s="41">
        <v>266.89999999999998</v>
      </c>
      <c r="O17" s="41">
        <v>0</v>
      </c>
      <c r="P17" s="41">
        <v>0.79</v>
      </c>
      <c r="Q17" s="41">
        <v>12.97</v>
      </c>
      <c r="R17" s="38"/>
      <c r="S17" s="38"/>
      <c r="T17" s="38"/>
      <c r="U17" s="38"/>
    </row>
    <row r="18" spans="1:21" customFormat="1">
      <c r="A18" s="40" t="s">
        <v>550</v>
      </c>
      <c r="B18" s="41">
        <v>9.26</v>
      </c>
      <c r="C18" s="41">
        <v>23.66</v>
      </c>
      <c r="D18" s="41">
        <v>19.95</v>
      </c>
      <c r="E18" s="41">
        <v>9.91</v>
      </c>
      <c r="F18" s="27" t="s">
        <v>8</v>
      </c>
      <c r="G18" s="41">
        <v>70.33</v>
      </c>
      <c r="H18" s="41">
        <v>26.06</v>
      </c>
      <c r="I18" s="41">
        <v>9.1999999999999993</v>
      </c>
      <c r="J18" s="41">
        <v>0.66</v>
      </c>
      <c r="K18" s="41">
        <v>319.14999999999998</v>
      </c>
      <c r="L18" s="41">
        <v>25.63</v>
      </c>
      <c r="M18" s="41">
        <v>33.31</v>
      </c>
      <c r="N18" s="41">
        <v>333</v>
      </c>
      <c r="O18" s="41">
        <v>0</v>
      </c>
      <c r="P18" s="41">
        <v>0.79</v>
      </c>
      <c r="Q18" s="41">
        <v>12.96</v>
      </c>
      <c r="R18" s="38"/>
      <c r="S18" s="38"/>
      <c r="T18" s="38"/>
      <c r="U18" s="38"/>
    </row>
    <row r="19" spans="1:21" customFormat="1">
      <c r="A19" s="40" t="s">
        <v>551</v>
      </c>
      <c r="B19" s="41">
        <v>7.64</v>
      </c>
      <c r="C19" s="41">
        <v>24.09</v>
      </c>
      <c r="D19" s="41">
        <v>20.05</v>
      </c>
      <c r="E19" s="41">
        <v>10.34</v>
      </c>
      <c r="F19" s="27" t="s">
        <v>8</v>
      </c>
      <c r="G19" s="41">
        <v>70.33</v>
      </c>
      <c r="H19" s="41">
        <v>26.38</v>
      </c>
      <c r="I19" s="41">
        <v>9.15</v>
      </c>
      <c r="J19" s="41">
        <v>0.81</v>
      </c>
      <c r="K19" s="41">
        <v>106.33</v>
      </c>
      <c r="L19" s="41">
        <v>27.41</v>
      </c>
      <c r="M19" s="41">
        <v>18.84</v>
      </c>
      <c r="N19" s="41">
        <v>381.9</v>
      </c>
      <c r="O19" s="41">
        <v>0</v>
      </c>
      <c r="P19" s="41">
        <v>0.75</v>
      </c>
      <c r="Q19" s="41">
        <v>12.95</v>
      </c>
      <c r="R19" s="38"/>
      <c r="S19" s="38"/>
      <c r="T19" s="38"/>
      <c r="U19" s="38"/>
    </row>
    <row r="20" spans="1:21" customFormat="1">
      <c r="A20" s="40" t="s">
        <v>552</v>
      </c>
      <c r="B20" s="41">
        <v>7</v>
      </c>
      <c r="C20" s="41">
        <v>22.7</v>
      </c>
      <c r="D20" s="41">
        <v>18.829999999999998</v>
      </c>
      <c r="E20" s="41">
        <v>9.99</v>
      </c>
      <c r="F20" s="27" t="s">
        <v>8</v>
      </c>
      <c r="G20" s="41">
        <v>70.25</v>
      </c>
      <c r="H20" s="41">
        <v>26.38</v>
      </c>
      <c r="I20" s="41">
        <v>8.43</v>
      </c>
      <c r="J20" s="41">
        <v>0.43</v>
      </c>
      <c r="K20" s="41">
        <v>0.85</v>
      </c>
      <c r="L20" s="41">
        <v>27.32</v>
      </c>
      <c r="M20" s="41">
        <v>12.85</v>
      </c>
      <c r="N20" s="41">
        <v>385.1</v>
      </c>
      <c r="O20" s="41">
        <v>0</v>
      </c>
      <c r="P20" s="41">
        <v>0.67</v>
      </c>
      <c r="Q20" s="41">
        <v>12.96</v>
      </c>
      <c r="R20" s="38"/>
      <c r="S20" s="38"/>
      <c r="T20" s="38"/>
      <c r="U20" s="38"/>
    </row>
    <row r="21" spans="1:21" customFormat="1">
      <c r="A21" s="40" t="s">
        <v>553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  <c r="M21" s="8" t="s">
        <v>4</v>
      </c>
      <c r="N21" s="8" t="s">
        <v>4</v>
      </c>
      <c r="O21" s="8" t="s">
        <v>4</v>
      </c>
      <c r="P21" s="8" t="s">
        <v>4</v>
      </c>
      <c r="Q21" s="8" t="s">
        <v>4</v>
      </c>
      <c r="R21" s="38"/>
      <c r="S21" s="38"/>
      <c r="T21" s="38"/>
      <c r="U21" s="38"/>
    </row>
    <row r="22" spans="1:21" customFormat="1">
      <c r="A22" s="40" t="s">
        <v>554</v>
      </c>
      <c r="B22" s="41">
        <v>5.42</v>
      </c>
      <c r="C22" s="41">
        <v>23.22</v>
      </c>
      <c r="D22" s="41">
        <v>17.09</v>
      </c>
      <c r="E22" s="41">
        <v>31.97</v>
      </c>
      <c r="F22" s="27" t="s">
        <v>8</v>
      </c>
      <c r="G22" s="41">
        <v>60.36</v>
      </c>
      <c r="H22" s="41">
        <v>104.41</v>
      </c>
      <c r="I22" s="41">
        <v>7.46</v>
      </c>
      <c r="J22" s="41">
        <v>0.59</v>
      </c>
      <c r="K22" s="41">
        <v>355.53</v>
      </c>
      <c r="L22" s="41">
        <v>30.49</v>
      </c>
      <c r="M22" s="41">
        <v>11.88</v>
      </c>
      <c r="N22" s="41">
        <v>364.6</v>
      </c>
      <c r="O22" s="41">
        <v>0</v>
      </c>
      <c r="P22" s="41">
        <v>0.41</v>
      </c>
      <c r="Q22" s="24" t="s">
        <v>14</v>
      </c>
      <c r="R22" s="38"/>
      <c r="S22" s="38"/>
      <c r="T22" s="38"/>
      <c r="U22" s="38"/>
    </row>
    <row r="23" spans="1:21" customFormat="1">
      <c r="A23" s="40" t="s">
        <v>555</v>
      </c>
      <c r="B23" s="41">
        <v>3.43</v>
      </c>
      <c r="C23" s="41">
        <v>22.92</v>
      </c>
      <c r="D23" s="41">
        <v>16.07</v>
      </c>
      <c r="E23" s="41">
        <v>31.97</v>
      </c>
      <c r="F23" s="27" t="s">
        <v>8</v>
      </c>
      <c r="G23" s="41">
        <v>67.489999999999995</v>
      </c>
      <c r="H23" s="41">
        <v>104.41</v>
      </c>
      <c r="I23" s="41">
        <v>7.33</v>
      </c>
      <c r="J23" s="41">
        <v>0.81</v>
      </c>
      <c r="K23" s="41">
        <v>346.24</v>
      </c>
      <c r="L23" s="41">
        <v>30.03</v>
      </c>
      <c r="M23" s="41">
        <v>11.14</v>
      </c>
      <c r="N23" s="41">
        <v>346.5</v>
      </c>
      <c r="O23" s="41">
        <v>0</v>
      </c>
      <c r="P23" s="41">
        <v>0.52</v>
      </c>
      <c r="Q23" s="24" t="s">
        <v>14</v>
      </c>
      <c r="R23" s="38"/>
      <c r="S23" s="38"/>
      <c r="T23" s="38"/>
      <c r="U23" s="38"/>
    </row>
    <row r="24" spans="1:21" customFormat="1">
      <c r="A24" s="40" t="s">
        <v>556</v>
      </c>
      <c r="B24" s="41">
        <v>3.48</v>
      </c>
      <c r="C24" s="41">
        <v>21.73</v>
      </c>
      <c r="D24" s="41">
        <v>15.46</v>
      </c>
      <c r="E24" s="41">
        <v>31.97</v>
      </c>
      <c r="F24" s="27" t="s">
        <v>8</v>
      </c>
      <c r="G24" s="41">
        <v>67.489999999999995</v>
      </c>
      <c r="H24" s="41">
        <v>45.26</v>
      </c>
      <c r="I24" s="41">
        <v>6.92</v>
      </c>
      <c r="J24" s="41">
        <v>0.89</v>
      </c>
      <c r="K24" s="41">
        <v>352.37</v>
      </c>
      <c r="L24" s="41">
        <v>29.11</v>
      </c>
      <c r="M24" s="41">
        <v>11.61</v>
      </c>
      <c r="N24" s="41">
        <v>46.7</v>
      </c>
      <c r="O24" s="41">
        <v>0</v>
      </c>
      <c r="P24" s="41">
        <v>0.48</v>
      </c>
      <c r="Q24" s="24" t="s">
        <v>14</v>
      </c>
      <c r="R24" s="38"/>
      <c r="S24" s="38"/>
      <c r="T24" s="38"/>
      <c r="U24" s="38"/>
    </row>
    <row r="25" spans="1:21" customFormat="1">
      <c r="A25" s="40" t="s">
        <v>557</v>
      </c>
      <c r="B25" s="41">
        <v>3.51</v>
      </c>
      <c r="C25" s="41">
        <v>20.37</v>
      </c>
      <c r="D25" s="41">
        <v>14.72</v>
      </c>
      <c r="E25" s="41">
        <v>31.97</v>
      </c>
      <c r="F25" s="27" t="s">
        <v>8</v>
      </c>
      <c r="G25" s="41">
        <v>55.8</v>
      </c>
      <c r="H25" s="41">
        <v>33.33</v>
      </c>
      <c r="I25" s="41">
        <v>6.44</v>
      </c>
      <c r="J25" s="41">
        <v>0.86</v>
      </c>
      <c r="K25" s="41">
        <v>358.97</v>
      </c>
      <c r="L25" s="41">
        <v>28.92</v>
      </c>
      <c r="M25" s="41">
        <v>12.31</v>
      </c>
      <c r="N25" s="41">
        <v>50.2</v>
      </c>
      <c r="O25" s="41">
        <v>0</v>
      </c>
      <c r="P25" s="41">
        <v>0.44</v>
      </c>
      <c r="Q25" s="24" t="s">
        <v>14</v>
      </c>
      <c r="R25" s="38"/>
      <c r="S25" s="38"/>
      <c r="T25" s="38"/>
      <c r="U25" s="38"/>
    </row>
    <row r="26" spans="1:21" customFormat="1">
      <c r="A26" s="40" t="s">
        <v>558</v>
      </c>
      <c r="B26" s="41">
        <v>4.76</v>
      </c>
      <c r="C26" s="41">
        <v>21.05</v>
      </c>
      <c r="D26" s="41">
        <v>16.16</v>
      </c>
      <c r="E26" s="41">
        <v>31.97</v>
      </c>
      <c r="F26" s="27" t="s">
        <v>8</v>
      </c>
      <c r="G26" s="41">
        <v>42.48</v>
      </c>
      <c r="H26" s="41">
        <v>33.33</v>
      </c>
      <c r="I26" s="41">
        <v>6.33</v>
      </c>
      <c r="J26" s="41">
        <v>0.57999999999999996</v>
      </c>
      <c r="K26" s="41">
        <v>179.72</v>
      </c>
      <c r="L26" s="41">
        <v>28.37</v>
      </c>
      <c r="M26" s="41">
        <v>26.17</v>
      </c>
      <c r="N26" s="41">
        <v>19.600000000000001</v>
      </c>
      <c r="O26" s="41">
        <v>0</v>
      </c>
      <c r="P26" s="41">
        <v>0.47</v>
      </c>
      <c r="Q26" s="24" t="s">
        <v>14</v>
      </c>
      <c r="R26" s="38"/>
      <c r="S26" s="38"/>
      <c r="T26" s="38"/>
      <c r="U26" s="38"/>
    </row>
    <row r="27" spans="1:21" customFormat="1">
      <c r="A27" s="40" t="s">
        <v>559</v>
      </c>
      <c r="B27" s="41">
        <v>4.6500000000000004</v>
      </c>
      <c r="C27" s="41">
        <v>22.19</v>
      </c>
      <c r="D27" s="41">
        <v>16.420000000000002</v>
      </c>
      <c r="E27" s="41">
        <v>11.17</v>
      </c>
      <c r="F27" s="27" t="s">
        <v>8</v>
      </c>
      <c r="G27" s="41">
        <v>56.17</v>
      </c>
      <c r="H27" s="41">
        <v>26.39</v>
      </c>
      <c r="I27" s="41">
        <v>9.18</v>
      </c>
      <c r="J27" s="41">
        <v>0.31</v>
      </c>
      <c r="K27" s="41">
        <v>197.36</v>
      </c>
      <c r="L27" s="41">
        <v>24.5</v>
      </c>
      <c r="M27" s="41">
        <v>36.83</v>
      </c>
      <c r="N27" s="41">
        <v>1.9</v>
      </c>
      <c r="O27" s="41">
        <v>0</v>
      </c>
      <c r="P27" s="41">
        <v>0.4</v>
      </c>
      <c r="Q27" s="24" t="s">
        <v>14</v>
      </c>
      <c r="R27" s="38"/>
      <c r="S27" s="38"/>
      <c r="T27" s="38"/>
      <c r="U27" s="38"/>
    </row>
    <row r="28" spans="1:21" customFormat="1">
      <c r="A28" s="40" t="s">
        <v>560</v>
      </c>
      <c r="B28" s="41">
        <v>4.29</v>
      </c>
      <c r="C28" s="41">
        <v>22.15</v>
      </c>
      <c r="D28" s="41">
        <v>16.37</v>
      </c>
      <c r="E28" s="41">
        <v>10.93</v>
      </c>
      <c r="F28" s="27" t="s">
        <v>8</v>
      </c>
      <c r="G28" s="41">
        <v>60.41</v>
      </c>
      <c r="H28" s="41">
        <v>26.39</v>
      </c>
      <c r="I28" s="41">
        <v>9.42</v>
      </c>
      <c r="J28" s="41">
        <v>0.22</v>
      </c>
      <c r="K28" s="41">
        <v>210.34</v>
      </c>
      <c r="L28" s="41">
        <v>21.77</v>
      </c>
      <c r="M28" s="41">
        <v>43.48</v>
      </c>
      <c r="N28" s="41">
        <v>1.3</v>
      </c>
      <c r="O28" s="41">
        <v>0</v>
      </c>
      <c r="P28" s="41">
        <v>0.42</v>
      </c>
      <c r="Q28" s="24" t="s">
        <v>14</v>
      </c>
      <c r="R28" s="38"/>
      <c r="S28" s="38"/>
      <c r="T28" s="38"/>
      <c r="U28" s="38"/>
    </row>
    <row r="29" spans="1:21" customFormat="1">
      <c r="A29" s="40" t="s">
        <v>561</v>
      </c>
      <c r="B29" s="41">
        <v>3.94</v>
      </c>
      <c r="C29" s="41">
        <v>21.74</v>
      </c>
      <c r="D29" s="41">
        <v>15.87</v>
      </c>
      <c r="E29" s="41">
        <v>10.65</v>
      </c>
      <c r="F29" s="27" t="s">
        <v>8</v>
      </c>
      <c r="G29" s="41">
        <v>61.52</v>
      </c>
      <c r="H29" s="41">
        <v>23.4</v>
      </c>
      <c r="I29" s="41">
        <v>9.26</v>
      </c>
      <c r="J29" s="41">
        <v>0.18</v>
      </c>
      <c r="K29" s="41">
        <v>193.75</v>
      </c>
      <c r="L29" s="41">
        <v>20.16</v>
      </c>
      <c r="M29" s="41">
        <v>44.1</v>
      </c>
      <c r="N29" s="41">
        <v>0.7</v>
      </c>
      <c r="O29" s="41">
        <v>0</v>
      </c>
      <c r="P29" s="41">
        <v>0.43</v>
      </c>
      <c r="Q29" s="24" t="s">
        <v>14</v>
      </c>
      <c r="R29" s="38"/>
      <c r="S29" s="38"/>
      <c r="T29" s="38"/>
      <c r="U29" s="38"/>
    </row>
    <row r="30" spans="1:21" customFormat="1">
      <c r="A30" s="40" t="s">
        <v>562</v>
      </c>
      <c r="B30" s="41">
        <v>3.7</v>
      </c>
      <c r="C30" s="41">
        <v>20.88</v>
      </c>
      <c r="D30" s="41">
        <v>15.23</v>
      </c>
      <c r="E30" s="41">
        <v>10.51</v>
      </c>
      <c r="F30" s="27" t="s">
        <v>8</v>
      </c>
      <c r="G30" s="41">
        <v>194.55</v>
      </c>
      <c r="H30" s="41">
        <v>29.28</v>
      </c>
      <c r="I30" s="41">
        <v>9.23</v>
      </c>
      <c r="J30" s="41">
        <v>0.24</v>
      </c>
      <c r="K30" s="41">
        <v>195.58</v>
      </c>
      <c r="L30" s="41">
        <v>19.760000000000002</v>
      </c>
      <c r="M30" s="41">
        <v>52.28</v>
      </c>
      <c r="N30" s="41">
        <v>0.9</v>
      </c>
      <c r="O30" s="41">
        <v>0</v>
      </c>
      <c r="P30" s="41">
        <v>0.47</v>
      </c>
      <c r="Q30" s="24" t="s">
        <v>14</v>
      </c>
      <c r="R30" s="38"/>
      <c r="S30" s="38"/>
      <c r="T30" s="38"/>
      <c r="U30" s="38"/>
    </row>
    <row r="31" spans="1:21" customFormat="1">
      <c r="A31" s="40" t="s">
        <v>563</v>
      </c>
      <c r="B31" s="41">
        <v>3.47</v>
      </c>
      <c r="C31" s="41">
        <v>20.52</v>
      </c>
      <c r="D31" s="41">
        <v>14.86</v>
      </c>
      <c r="E31" s="41">
        <v>10.56</v>
      </c>
      <c r="F31" s="27" t="s">
        <v>8</v>
      </c>
      <c r="G31" s="41">
        <v>194.55</v>
      </c>
      <c r="H31" s="41">
        <v>29.28</v>
      </c>
      <c r="I31" s="41">
        <v>9.43</v>
      </c>
      <c r="J31" s="41">
        <v>0.22</v>
      </c>
      <c r="K31" s="41">
        <v>175.36</v>
      </c>
      <c r="L31" s="41">
        <v>19.05</v>
      </c>
      <c r="M31" s="41">
        <v>53.15</v>
      </c>
      <c r="N31" s="41">
        <v>1</v>
      </c>
      <c r="O31" s="41">
        <v>0</v>
      </c>
      <c r="P31" s="41">
        <v>0.52</v>
      </c>
      <c r="Q31" s="24" t="s">
        <v>14</v>
      </c>
      <c r="R31" s="38"/>
      <c r="S31" s="38"/>
      <c r="T31" s="38"/>
      <c r="U31" s="38"/>
    </row>
    <row r="32" spans="1:21" customFormat="1">
      <c r="A32" s="40" t="s">
        <v>564</v>
      </c>
      <c r="B32" s="41">
        <v>4.82</v>
      </c>
      <c r="C32" s="41">
        <v>22</v>
      </c>
      <c r="D32" s="41">
        <v>16.71</v>
      </c>
      <c r="E32" s="41">
        <v>10.11</v>
      </c>
      <c r="F32" s="27" t="s">
        <v>8</v>
      </c>
      <c r="G32" s="41">
        <v>79.78</v>
      </c>
      <c r="H32" s="41">
        <v>23.17</v>
      </c>
      <c r="I32" s="41">
        <v>9.7100000000000009</v>
      </c>
      <c r="J32" s="41">
        <v>0.23</v>
      </c>
      <c r="K32" s="41">
        <v>171.64</v>
      </c>
      <c r="L32" s="41">
        <v>18.41</v>
      </c>
      <c r="M32" s="41">
        <v>57.96</v>
      </c>
      <c r="N32" s="41">
        <v>1</v>
      </c>
      <c r="O32" s="41">
        <v>0</v>
      </c>
      <c r="P32" s="41">
        <v>0.63</v>
      </c>
      <c r="Q32" s="24" t="s">
        <v>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3.43</v>
      </c>
      <c r="C34" s="18">
        <f t="shared" si="0"/>
        <v>20.37</v>
      </c>
      <c r="D34" s="18">
        <f t="shared" si="0"/>
        <v>14.72</v>
      </c>
      <c r="E34" s="18">
        <f t="shared" si="0"/>
        <v>8.3699999999999992</v>
      </c>
      <c r="F34" s="18">
        <f t="shared" si="0"/>
        <v>0</v>
      </c>
      <c r="G34" s="18">
        <f t="shared" si="0"/>
        <v>42.48</v>
      </c>
      <c r="H34" s="18">
        <f t="shared" si="0"/>
        <v>15.93</v>
      </c>
      <c r="I34" s="18">
        <f t="shared" si="0"/>
        <v>6.33</v>
      </c>
      <c r="J34" s="18">
        <f t="shared" si="0"/>
        <v>0.18</v>
      </c>
      <c r="K34" s="18">
        <f t="shared" si="0"/>
        <v>0.85</v>
      </c>
      <c r="L34" s="18">
        <f t="shared" si="0"/>
        <v>14.14</v>
      </c>
      <c r="M34" s="18">
        <f t="shared" si="0"/>
        <v>11.14</v>
      </c>
      <c r="N34" s="18">
        <f t="shared" si="0"/>
        <v>0.7</v>
      </c>
      <c r="O34" s="18">
        <f t="shared" si="0"/>
        <v>0</v>
      </c>
      <c r="P34" s="18">
        <f t="shared" si="0"/>
        <v>0.4</v>
      </c>
      <c r="Q34" s="18">
        <f t="shared" si="0"/>
        <v>12.95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13.6</v>
      </c>
      <c r="C35" s="3">
        <f t="shared" si="1"/>
        <v>25.24</v>
      </c>
      <c r="D35" s="3">
        <f t="shared" si="1"/>
        <v>24.67</v>
      </c>
      <c r="E35" s="3">
        <f t="shared" si="1"/>
        <v>31.97</v>
      </c>
      <c r="F35" s="3">
        <f t="shared" si="1"/>
        <v>0</v>
      </c>
      <c r="G35" s="3">
        <f t="shared" si="1"/>
        <v>194.55</v>
      </c>
      <c r="H35" s="3">
        <f t="shared" si="1"/>
        <v>104.41</v>
      </c>
      <c r="I35" s="3">
        <f t="shared" si="1"/>
        <v>9.7100000000000009</v>
      </c>
      <c r="J35" s="3">
        <f t="shared" si="1"/>
        <v>0.95</v>
      </c>
      <c r="K35" s="3">
        <f t="shared" si="1"/>
        <v>358.97</v>
      </c>
      <c r="L35" s="3">
        <f t="shared" si="1"/>
        <v>30.49</v>
      </c>
      <c r="M35" s="3">
        <f t="shared" si="1"/>
        <v>73</v>
      </c>
      <c r="N35" s="3">
        <f t="shared" si="1"/>
        <v>385.1</v>
      </c>
      <c r="O35" s="3">
        <f t="shared" si="1"/>
        <v>0</v>
      </c>
      <c r="P35" s="3">
        <f t="shared" si="1"/>
        <v>0.81</v>
      </c>
      <c r="Q35" s="3">
        <f t="shared" si="1"/>
        <v>12.98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7.713913043478259</v>
      </c>
      <c r="C36" s="18">
        <f t="shared" si="2"/>
        <v>22.517826086956525</v>
      </c>
      <c r="D36" s="18">
        <f t="shared" si="2"/>
        <v>19.139130434782611</v>
      </c>
      <c r="E36" s="18">
        <f t="shared" si="2"/>
        <v>14.993478260869564</v>
      </c>
      <c r="F36" s="18">
        <v>0</v>
      </c>
      <c r="G36" s="18">
        <f t="shared" si="2"/>
        <v>76.648695652173927</v>
      </c>
      <c r="H36" s="18">
        <f t="shared" si="2"/>
        <v>32.520434782608689</v>
      </c>
      <c r="I36" s="18">
        <f t="shared" si="2"/>
        <v>8.2460869565217383</v>
      </c>
      <c r="J36" s="18">
        <f t="shared" si="2"/>
        <v>0.47000000000000008</v>
      </c>
      <c r="K36" s="18">
        <f t="shared" si="2"/>
        <v>203.74391304347824</v>
      </c>
      <c r="L36" s="18">
        <f t="shared" si="2"/>
        <v>22.326956521739131</v>
      </c>
      <c r="M36" s="18">
        <f t="shared" si="2"/>
        <v>41.115652173913041</v>
      </c>
      <c r="N36" s="18">
        <f t="shared" si="2"/>
        <v>97.908695652173904</v>
      </c>
      <c r="O36" s="18">
        <f t="shared" si="2"/>
        <v>0</v>
      </c>
      <c r="P36" s="18">
        <f t="shared" si="2"/>
        <v>0.62260869565217403</v>
      </c>
      <c r="Q36" s="18">
        <f t="shared" si="2"/>
        <v>12.965000000000002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3.9065187235631451</v>
      </c>
      <c r="C37" s="18">
        <f t="shared" ref="C37:Q37" si="3">STDEV(C9:C32)</f>
        <v>1.4955994739773295</v>
      </c>
      <c r="D37" s="18">
        <f t="shared" si="3"/>
        <v>3.4517122405125589</v>
      </c>
      <c r="E37" s="18">
        <f t="shared" si="3"/>
        <v>9.2438508350616289</v>
      </c>
      <c r="F37" s="18" t="e">
        <f t="shared" si="3"/>
        <v>#DIV/0!</v>
      </c>
      <c r="G37" s="18">
        <f t="shared" si="3"/>
        <v>37.969920667471349</v>
      </c>
      <c r="H37" s="18">
        <f t="shared" si="3"/>
        <v>23.506779772161835</v>
      </c>
      <c r="I37" s="18">
        <f t="shared" si="3"/>
        <v>0.99670246828062026</v>
      </c>
      <c r="J37" s="18">
        <f t="shared" si="3"/>
        <v>0.25924716181491897</v>
      </c>
      <c r="K37" s="18">
        <f t="shared" si="3"/>
        <v>98.037010902614611</v>
      </c>
      <c r="L37" s="18">
        <f t="shared" si="3"/>
        <v>5.1581854057257299</v>
      </c>
      <c r="M37" s="18">
        <f t="shared" si="3"/>
        <v>21.16873097628304</v>
      </c>
      <c r="N37" s="18">
        <f t="shared" si="3"/>
        <v>153.02073511617331</v>
      </c>
      <c r="O37" s="18">
        <f t="shared" si="3"/>
        <v>0</v>
      </c>
      <c r="P37" s="18">
        <f t="shared" si="3"/>
        <v>0.15658913788244341</v>
      </c>
      <c r="Q37" s="18">
        <f t="shared" si="3"/>
        <v>1.0000000000000273E-2</v>
      </c>
      <c r="R37" s="18"/>
      <c r="S37" s="18"/>
      <c r="T37" s="18"/>
      <c r="U37" s="18"/>
    </row>
    <row r="38" spans="1:21">
      <c r="A38" s="34" t="s">
        <v>52</v>
      </c>
      <c r="B38" s="34">
        <f>COUNT(B9:B32)+1</f>
        <v>24</v>
      </c>
      <c r="C38" s="34">
        <f t="shared" ref="C38:P38" si="4">COUNT(C9:C32)+1</f>
        <v>24</v>
      </c>
      <c r="D38" s="34">
        <f t="shared" si="4"/>
        <v>24</v>
      </c>
      <c r="E38" s="34">
        <f t="shared" si="4"/>
        <v>24</v>
      </c>
      <c r="F38" s="34">
        <f>COUNT(F9:F32)</f>
        <v>0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COUNT(Q9:Q32)+12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L22" sqref="L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565</v>
      </c>
      <c r="B9" s="41">
        <v>12.81</v>
      </c>
      <c r="C9" s="41">
        <v>24.65</v>
      </c>
      <c r="D9" s="41">
        <v>24.5</v>
      </c>
      <c r="E9" s="41">
        <v>9.89</v>
      </c>
      <c r="F9" s="41">
        <v>8.3800000000000008</v>
      </c>
      <c r="G9" s="41">
        <v>67.05</v>
      </c>
      <c r="H9" s="41">
        <v>19.98</v>
      </c>
      <c r="I9" s="41">
        <v>9.98</v>
      </c>
      <c r="J9" s="41">
        <v>0.25</v>
      </c>
      <c r="K9" s="41">
        <v>173.01</v>
      </c>
      <c r="L9" s="41">
        <v>18.149999999999999</v>
      </c>
      <c r="M9" s="41">
        <v>62.32</v>
      </c>
      <c r="N9" s="41">
        <v>1.2</v>
      </c>
      <c r="O9" s="41">
        <v>0</v>
      </c>
      <c r="P9" s="41">
        <v>0.67</v>
      </c>
      <c r="Q9" s="41">
        <v>-52.32</v>
      </c>
      <c r="R9" s="38"/>
      <c r="S9" s="38"/>
      <c r="T9" s="38"/>
      <c r="U9" s="38"/>
    </row>
    <row r="10" spans="1:21" customFormat="1">
      <c r="A10" s="40" t="s">
        <v>566</v>
      </c>
      <c r="B10" s="41">
        <v>14.4</v>
      </c>
      <c r="C10" s="41">
        <v>25.03</v>
      </c>
      <c r="D10" s="41">
        <v>25.96</v>
      </c>
      <c r="E10" s="41">
        <v>9.83</v>
      </c>
      <c r="F10" s="41">
        <v>7.26</v>
      </c>
      <c r="G10" s="41">
        <v>93.41</v>
      </c>
      <c r="H10" s="41">
        <v>19.98</v>
      </c>
      <c r="I10" s="41">
        <v>10.130000000000001</v>
      </c>
      <c r="J10" s="41">
        <v>0.26</v>
      </c>
      <c r="K10" s="41">
        <v>211.8</v>
      </c>
      <c r="L10" s="41">
        <v>16.48</v>
      </c>
      <c r="M10" s="41">
        <v>64.819999999999993</v>
      </c>
      <c r="N10" s="41">
        <v>1.5</v>
      </c>
      <c r="O10" s="41">
        <v>0</v>
      </c>
      <c r="P10" s="41">
        <v>0.68</v>
      </c>
      <c r="Q10" s="41">
        <v>-52.37</v>
      </c>
      <c r="R10" s="38"/>
      <c r="S10" s="38"/>
      <c r="T10" s="38"/>
      <c r="U10" s="38"/>
    </row>
    <row r="11" spans="1:21" customFormat="1">
      <c r="A11" s="40" t="s">
        <v>567</v>
      </c>
      <c r="B11" s="41">
        <v>14.39</v>
      </c>
      <c r="C11" s="41">
        <v>24.75</v>
      </c>
      <c r="D11" s="41">
        <v>25.82</v>
      </c>
      <c r="E11" s="41">
        <v>10.25</v>
      </c>
      <c r="F11" s="41">
        <v>8.39</v>
      </c>
      <c r="G11" s="41">
        <v>93.41</v>
      </c>
      <c r="H11" s="41">
        <v>19.78</v>
      </c>
      <c r="I11" s="41">
        <v>10.210000000000001</v>
      </c>
      <c r="J11" s="41">
        <v>0.2</v>
      </c>
      <c r="K11" s="41">
        <v>186.64</v>
      </c>
      <c r="L11" s="41">
        <v>16.23</v>
      </c>
      <c r="M11" s="41">
        <v>67.44</v>
      </c>
      <c r="N11" s="41">
        <v>1</v>
      </c>
      <c r="O11" s="41">
        <v>0</v>
      </c>
      <c r="P11" s="41">
        <v>0.69</v>
      </c>
      <c r="Q11" s="41">
        <v>-52.38</v>
      </c>
      <c r="R11" s="38"/>
      <c r="S11" s="38"/>
      <c r="T11" s="38"/>
      <c r="U11" s="38"/>
    </row>
    <row r="12" spans="1:21" customFormat="1">
      <c r="A12" s="40" t="s">
        <v>568</v>
      </c>
      <c r="B12" s="41">
        <v>14.06</v>
      </c>
      <c r="C12" s="41">
        <v>23.98</v>
      </c>
      <c r="D12" s="41">
        <v>25.15</v>
      </c>
      <c r="E12" s="41">
        <v>10.41</v>
      </c>
      <c r="F12" s="41">
        <v>7.69</v>
      </c>
      <c r="G12" s="41">
        <v>57.02</v>
      </c>
      <c r="H12" s="41">
        <v>18.16</v>
      </c>
      <c r="I12" s="41">
        <v>10.34</v>
      </c>
      <c r="J12" s="41">
        <v>0.27</v>
      </c>
      <c r="K12" s="41">
        <v>208.65</v>
      </c>
      <c r="L12" s="41">
        <v>15.87</v>
      </c>
      <c r="M12" s="41">
        <v>73.010000000000005</v>
      </c>
      <c r="N12" s="41">
        <v>1.4</v>
      </c>
      <c r="O12" s="41">
        <v>0</v>
      </c>
      <c r="P12" s="41">
        <v>0.69</v>
      </c>
      <c r="Q12" s="41">
        <v>-51.73</v>
      </c>
      <c r="R12" s="38"/>
      <c r="S12" s="38"/>
      <c r="T12" s="38"/>
      <c r="U12" s="38"/>
    </row>
    <row r="13" spans="1:21" customFormat="1">
      <c r="A13" s="40" t="s">
        <v>569</v>
      </c>
      <c r="B13" s="41">
        <v>16.48</v>
      </c>
      <c r="C13" s="41">
        <v>23.81</v>
      </c>
      <c r="D13" s="41">
        <v>26.94</v>
      </c>
      <c r="E13" s="41">
        <v>10.5</v>
      </c>
      <c r="F13" s="41">
        <v>4.22</v>
      </c>
      <c r="G13" s="41">
        <v>69.63</v>
      </c>
      <c r="H13" s="41">
        <v>10.64</v>
      </c>
      <c r="I13" s="41">
        <v>10.65</v>
      </c>
      <c r="J13" s="41">
        <v>0.23</v>
      </c>
      <c r="K13" s="41">
        <v>203.26</v>
      </c>
      <c r="L13" s="41">
        <v>16.68</v>
      </c>
      <c r="M13" s="41">
        <v>70.88</v>
      </c>
      <c r="N13" s="41">
        <v>1.5</v>
      </c>
      <c r="O13" s="41">
        <v>0</v>
      </c>
      <c r="P13" s="41">
        <v>0.66</v>
      </c>
      <c r="Q13" s="41">
        <v>-51.31</v>
      </c>
      <c r="R13" s="38"/>
      <c r="S13" s="38"/>
      <c r="T13" s="38"/>
      <c r="U13" s="38"/>
    </row>
    <row r="14" spans="1:21" customFormat="1">
      <c r="A14" s="40" t="s">
        <v>570</v>
      </c>
      <c r="B14" s="41">
        <v>18.09</v>
      </c>
      <c r="C14" s="41">
        <v>23.38</v>
      </c>
      <c r="D14" s="41">
        <v>27.94</v>
      </c>
      <c r="E14" s="41">
        <v>10.49</v>
      </c>
      <c r="F14" s="41">
        <v>4.53</v>
      </c>
      <c r="G14" s="41">
        <v>69.63</v>
      </c>
      <c r="H14" s="41">
        <v>22.67</v>
      </c>
      <c r="I14" s="41">
        <v>11.02</v>
      </c>
      <c r="J14" s="41">
        <v>0.22</v>
      </c>
      <c r="K14" s="41">
        <v>198.51</v>
      </c>
      <c r="L14" s="41">
        <v>15.81</v>
      </c>
      <c r="M14" s="41">
        <v>72.52</v>
      </c>
      <c r="N14" s="41">
        <v>1.4</v>
      </c>
      <c r="O14" s="41">
        <v>0</v>
      </c>
      <c r="P14" s="41">
        <v>0.68</v>
      </c>
      <c r="Q14" s="41">
        <v>-51.28</v>
      </c>
      <c r="R14" s="38"/>
      <c r="S14" s="38"/>
      <c r="T14" s="38"/>
      <c r="U14" s="38"/>
    </row>
    <row r="15" spans="1:21" customFormat="1">
      <c r="A15" s="40" t="s">
        <v>571</v>
      </c>
      <c r="B15" s="41">
        <v>21.81</v>
      </c>
      <c r="C15" s="41">
        <v>23.77</v>
      </c>
      <c r="D15" s="41">
        <v>31.27</v>
      </c>
      <c r="E15" s="41">
        <v>11.03</v>
      </c>
      <c r="F15" s="41">
        <v>6.44</v>
      </c>
      <c r="G15" s="41">
        <v>78.010000000000005</v>
      </c>
      <c r="H15" s="41">
        <v>23.82</v>
      </c>
      <c r="I15" s="41">
        <v>11.53</v>
      </c>
      <c r="J15" s="41">
        <v>0.28000000000000003</v>
      </c>
      <c r="K15" s="41">
        <v>182.75</v>
      </c>
      <c r="L15" s="41">
        <v>15.3</v>
      </c>
      <c r="M15" s="41">
        <v>71.22</v>
      </c>
      <c r="N15" s="41">
        <v>9.1999999999999993</v>
      </c>
      <c r="O15" s="41">
        <v>0</v>
      </c>
      <c r="P15" s="41">
        <v>0.73</v>
      </c>
      <c r="Q15" s="41">
        <v>-51.27</v>
      </c>
      <c r="R15" s="38"/>
      <c r="S15" s="38"/>
      <c r="T15" s="38"/>
      <c r="U15" s="38"/>
    </row>
    <row r="16" spans="1:21" customFormat="1">
      <c r="A16" s="40" t="s">
        <v>572</v>
      </c>
      <c r="B16" s="41">
        <v>25.7</v>
      </c>
      <c r="C16" s="41">
        <v>24.46</v>
      </c>
      <c r="D16" s="41">
        <v>34.74</v>
      </c>
      <c r="E16" s="41">
        <v>11.27</v>
      </c>
      <c r="F16" s="41">
        <v>11.78</v>
      </c>
      <c r="G16" s="41">
        <v>100.14</v>
      </c>
      <c r="H16" s="41">
        <v>34.049999999999997</v>
      </c>
      <c r="I16" s="41">
        <v>12.57</v>
      </c>
      <c r="J16" s="41">
        <v>0.73</v>
      </c>
      <c r="K16" s="41">
        <v>167.18</v>
      </c>
      <c r="L16" s="41">
        <v>18.32</v>
      </c>
      <c r="M16" s="41">
        <v>71.540000000000006</v>
      </c>
      <c r="N16" s="41">
        <v>33.5</v>
      </c>
      <c r="O16" s="41">
        <v>0</v>
      </c>
      <c r="P16" s="41">
        <v>0.76</v>
      </c>
      <c r="Q16" s="41">
        <v>-51.26</v>
      </c>
      <c r="R16" s="38"/>
      <c r="S16" s="38"/>
      <c r="T16" s="38"/>
      <c r="U16" s="38"/>
    </row>
    <row r="17" spans="1:21" customFormat="1">
      <c r="A17" s="40" t="s">
        <v>573</v>
      </c>
      <c r="B17" s="41">
        <v>25.92</v>
      </c>
      <c r="C17" s="41">
        <v>24.97</v>
      </c>
      <c r="D17" s="41">
        <v>35</v>
      </c>
      <c r="E17" s="41">
        <v>11.43</v>
      </c>
      <c r="F17" s="41">
        <v>20.34</v>
      </c>
      <c r="G17" s="41">
        <v>100.14</v>
      </c>
      <c r="H17" s="41">
        <v>34.049999999999997</v>
      </c>
      <c r="I17" s="41">
        <v>13.32</v>
      </c>
      <c r="J17" s="41">
        <v>0.55000000000000004</v>
      </c>
      <c r="K17" s="41">
        <v>149.43</v>
      </c>
      <c r="L17" s="41">
        <v>22.69</v>
      </c>
      <c r="M17" s="41">
        <v>47.09</v>
      </c>
      <c r="N17" s="41">
        <v>243.5</v>
      </c>
      <c r="O17" s="41">
        <v>0</v>
      </c>
      <c r="P17" s="41">
        <v>0.82</v>
      </c>
      <c r="Q17" s="41">
        <v>-51.21</v>
      </c>
      <c r="R17" s="38"/>
      <c r="S17" s="38"/>
      <c r="T17" s="38"/>
      <c r="U17" s="38"/>
    </row>
    <row r="18" spans="1:21" customFormat="1">
      <c r="A18" s="40" t="s">
        <v>574</v>
      </c>
      <c r="B18" s="41">
        <v>22.5</v>
      </c>
      <c r="C18" s="41">
        <v>25.62</v>
      </c>
      <c r="D18" s="41">
        <v>32.619999999999997</v>
      </c>
      <c r="E18" s="41">
        <v>12.49</v>
      </c>
      <c r="F18" s="41">
        <v>29.97</v>
      </c>
      <c r="G18" s="41">
        <v>93.59</v>
      </c>
      <c r="H18" s="41">
        <v>33.4</v>
      </c>
      <c r="I18" s="41">
        <v>13.35</v>
      </c>
      <c r="J18" s="41">
        <v>0.45</v>
      </c>
      <c r="K18" s="41">
        <v>90.62</v>
      </c>
      <c r="L18" s="41">
        <v>26.39</v>
      </c>
      <c r="M18" s="41">
        <v>32.28</v>
      </c>
      <c r="N18" s="41">
        <v>293.3</v>
      </c>
      <c r="O18" s="41">
        <v>0</v>
      </c>
      <c r="P18" s="41">
        <v>0.85</v>
      </c>
      <c r="Q18" s="41">
        <v>-51.94</v>
      </c>
      <c r="R18" s="38"/>
      <c r="S18" s="38"/>
      <c r="T18" s="38"/>
      <c r="U18" s="38"/>
    </row>
    <row r="19" spans="1:21" customFormat="1">
      <c r="A19" s="40" t="s">
        <v>575</v>
      </c>
      <c r="B19" s="41">
        <v>18.57</v>
      </c>
      <c r="C19" s="41">
        <v>26.71</v>
      </c>
      <c r="D19" s="41">
        <v>29.77</v>
      </c>
      <c r="E19" s="41">
        <v>13.57</v>
      </c>
      <c r="F19" s="41">
        <v>42.62</v>
      </c>
      <c r="G19" s="41">
        <v>107.96</v>
      </c>
      <c r="H19" s="41">
        <v>39.94</v>
      </c>
      <c r="I19" s="41">
        <v>13.29</v>
      </c>
      <c r="J19" s="41">
        <v>0.81</v>
      </c>
      <c r="K19" s="41">
        <v>82.46</v>
      </c>
      <c r="L19" s="41">
        <v>28.76</v>
      </c>
      <c r="M19" s="41">
        <v>26.29</v>
      </c>
      <c r="N19" s="41">
        <v>349.9</v>
      </c>
      <c r="O19" s="41">
        <v>0</v>
      </c>
      <c r="P19" s="41">
        <v>0.86</v>
      </c>
      <c r="Q19" s="41">
        <v>-52.06</v>
      </c>
      <c r="R19" s="38"/>
      <c r="S19" s="38"/>
      <c r="T19" s="38"/>
      <c r="U19" s="38"/>
    </row>
    <row r="20" spans="1:21" customFormat="1">
      <c r="A20" s="40" t="s">
        <v>576</v>
      </c>
      <c r="B20" s="41">
        <v>14.21</v>
      </c>
      <c r="C20" s="41">
        <v>27.67</v>
      </c>
      <c r="D20" s="41">
        <v>26.83</v>
      </c>
      <c r="E20" s="41">
        <v>13.26</v>
      </c>
      <c r="F20" s="41">
        <v>48.98</v>
      </c>
      <c r="G20" s="41">
        <v>107.96</v>
      </c>
      <c r="H20" s="41">
        <v>45.41</v>
      </c>
      <c r="I20" s="41">
        <v>13.09</v>
      </c>
      <c r="J20" s="41">
        <v>0.98</v>
      </c>
      <c r="K20" s="41">
        <v>66.69</v>
      </c>
      <c r="L20" s="41">
        <v>30.38</v>
      </c>
      <c r="M20" s="41">
        <v>19.96</v>
      </c>
      <c r="N20" s="41">
        <v>358.7</v>
      </c>
      <c r="O20" s="41">
        <v>0</v>
      </c>
      <c r="P20" s="41">
        <v>0.81</v>
      </c>
      <c r="Q20" s="41">
        <v>-52.06</v>
      </c>
      <c r="R20" s="38"/>
      <c r="S20" s="38"/>
      <c r="T20" s="38"/>
      <c r="U20" s="38"/>
    </row>
    <row r="21" spans="1:21" customFormat="1">
      <c r="A21" s="40" t="s">
        <v>577</v>
      </c>
      <c r="B21" s="41">
        <v>8.74</v>
      </c>
      <c r="C21" s="41">
        <v>27.69</v>
      </c>
      <c r="D21" s="41">
        <v>22.82</v>
      </c>
      <c r="E21" s="41">
        <v>13.47</v>
      </c>
      <c r="F21" s="41">
        <v>37.47</v>
      </c>
      <c r="G21" s="41">
        <v>84.54</v>
      </c>
      <c r="H21" s="41">
        <v>45.41</v>
      </c>
      <c r="I21" s="41">
        <v>12.38</v>
      </c>
      <c r="J21" s="41">
        <v>0.82</v>
      </c>
      <c r="K21" s="41">
        <v>41.34</v>
      </c>
      <c r="L21" s="41">
        <v>30.89</v>
      </c>
      <c r="M21" s="41">
        <v>17.09</v>
      </c>
      <c r="N21" s="41">
        <v>381.9</v>
      </c>
      <c r="O21" s="41">
        <v>0</v>
      </c>
      <c r="P21" s="41">
        <v>0.75</v>
      </c>
      <c r="Q21" s="41">
        <v>-52.11</v>
      </c>
      <c r="R21" s="38"/>
      <c r="S21" s="38"/>
      <c r="T21" s="38"/>
      <c r="U21" s="38"/>
    </row>
    <row r="22" spans="1:21" customFormat="1">
      <c r="A22" s="40" t="s">
        <v>578</v>
      </c>
      <c r="B22" s="41">
        <v>5.97</v>
      </c>
      <c r="C22" s="41">
        <v>26.29</v>
      </c>
      <c r="D22" s="41">
        <v>19.87</v>
      </c>
      <c r="E22" s="41">
        <v>16.29</v>
      </c>
      <c r="F22" s="41">
        <v>32.229999999999997</v>
      </c>
      <c r="G22" s="41">
        <v>68.92</v>
      </c>
      <c r="H22" s="41">
        <v>45.41</v>
      </c>
      <c r="I22" s="41">
        <v>11.13</v>
      </c>
      <c r="J22" s="41">
        <v>1.17</v>
      </c>
      <c r="K22" s="41">
        <v>334.51</v>
      </c>
      <c r="L22" s="41">
        <v>32.03</v>
      </c>
      <c r="M22" s="41">
        <v>15.79</v>
      </c>
      <c r="N22" s="41">
        <v>354.4</v>
      </c>
      <c r="O22" s="41">
        <v>0</v>
      </c>
      <c r="P22" s="41">
        <v>0.67</v>
      </c>
      <c r="Q22" s="41">
        <v>-51.32</v>
      </c>
      <c r="R22" s="38"/>
      <c r="S22" s="38"/>
      <c r="T22" s="38"/>
      <c r="U22" s="38"/>
    </row>
    <row r="23" spans="1:21" customFormat="1">
      <c r="A23" s="40" t="s">
        <v>579</v>
      </c>
      <c r="B23" s="41">
        <v>4.67</v>
      </c>
      <c r="C23" s="41">
        <v>24.88</v>
      </c>
      <c r="D23" s="41">
        <v>17.989999999999998</v>
      </c>
      <c r="E23" s="41">
        <v>12.18</v>
      </c>
      <c r="F23" s="41">
        <v>35.72</v>
      </c>
      <c r="G23" s="41">
        <v>63.96</v>
      </c>
      <c r="H23" s="41">
        <v>45.41</v>
      </c>
      <c r="I23" s="41">
        <v>10.36</v>
      </c>
      <c r="J23" s="41">
        <v>1.18</v>
      </c>
      <c r="K23" s="41">
        <v>320.29000000000002</v>
      </c>
      <c r="L23" s="41">
        <v>31.9</v>
      </c>
      <c r="M23" s="41">
        <v>14.41</v>
      </c>
      <c r="N23" s="41">
        <v>342.1</v>
      </c>
      <c r="O23" s="41">
        <v>0</v>
      </c>
      <c r="P23" s="41">
        <v>0.65</v>
      </c>
      <c r="Q23" s="41">
        <v>-51.15</v>
      </c>
      <c r="R23" s="38"/>
      <c r="S23" s="38"/>
      <c r="T23" s="38"/>
      <c r="U23" s="38"/>
    </row>
    <row r="24" spans="1:21" customFormat="1">
      <c r="A24" s="40" t="s">
        <v>580</v>
      </c>
      <c r="B24" s="41">
        <v>5.13</v>
      </c>
      <c r="C24" s="41">
        <v>23.17</v>
      </c>
      <c r="D24" s="41">
        <v>17.36</v>
      </c>
      <c r="E24" s="41">
        <v>13.66</v>
      </c>
      <c r="F24" s="41">
        <v>36.049999999999997</v>
      </c>
      <c r="G24" s="41">
        <v>63.96</v>
      </c>
      <c r="H24" s="41">
        <v>42.62</v>
      </c>
      <c r="I24" s="41">
        <v>9.0299999999999994</v>
      </c>
      <c r="J24" s="41">
        <v>1.1200000000000001</v>
      </c>
      <c r="K24" s="41">
        <v>338.22</v>
      </c>
      <c r="L24" s="41">
        <v>31.06</v>
      </c>
      <c r="M24" s="41">
        <v>14.84</v>
      </c>
      <c r="N24" s="41">
        <v>51.5</v>
      </c>
      <c r="O24" s="41">
        <v>0</v>
      </c>
      <c r="P24" s="41">
        <v>0.6</v>
      </c>
      <c r="Q24" s="41">
        <v>-51.14</v>
      </c>
      <c r="R24" s="38"/>
      <c r="S24" s="38"/>
      <c r="T24" s="38"/>
      <c r="U24" s="38"/>
    </row>
    <row r="25" spans="1:21" customFormat="1">
      <c r="A25" s="40" t="s">
        <v>581</v>
      </c>
      <c r="B25" s="41">
        <v>5.09</v>
      </c>
      <c r="C25" s="41">
        <v>23.61</v>
      </c>
      <c r="D25" s="41">
        <v>17.57</v>
      </c>
      <c r="E25" s="41">
        <v>15.47</v>
      </c>
      <c r="F25" s="41">
        <v>32.39</v>
      </c>
      <c r="G25" s="41">
        <v>49.14</v>
      </c>
      <c r="H25" s="41">
        <v>40.520000000000003</v>
      </c>
      <c r="I25" s="41">
        <v>8.0500000000000007</v>
      </c>
      <c r="J25" s="41">
        <v>1.18</v>
      </c>
      <c r="K25" s="41">
        <v>57.09</v>
      </c>
      <c r="L25" s="41">
        <v>30.63</v>
      </c>
      <c r="M25" s="41">
        <v>16.190000000000001</v>
      </c>
      <c r="N25" s="41">
        <v>56.9</v>
      </c>
      <c r="O25" s="41">
        <v>0</v>
      </c>
      <c r="P25" s="41">
        <v>0.56000000000000005</v>
      </c>
      <c r="Q25" s="41">
        <v>-51.17</v>
      </c>
      <c r="R25" s="38"/>
      <c r="S25" s="38"/>
      <c r="T25" s="38"/>
      <c r="U25" s="38"/>
    </row>
    <row r="26" spans="1:21" customFormat="1">
      <c r="A26" s="40" t="s">
        <v>582</v>
      </c>
      <c r="B26" s="41">
        <v>5.38</v>
      </c>
      <c r="C26" s="41">
        <v>25.26</v>
      </c>
      <c r="D26" s="41">
        <v>18.87</v>
      </c>
      <c r="E26" s="41">
        <v>13.41</v>
      </c>
      <c r="F26" s="41">
        <v>37.14</v>
      </c>
      <c r="G26" s="41">
        <v>41.62</v>
      </c>
      <c r="H26" s="41">
        <v>39.380000000000003</v>
      </c>
      <c r="I26" s="41">
        <v>7.46</v>
      </c>
      <c r="J26" s="41">
        <v>0.35</v>
      </c>
      <c r="K26" s="41">
        <v>194.85</v>
      </c>
      <c r="L26" s="41">
        <v>30.1</v>
      </c>
      <c r="M26" s="41">
        <v>31.48</v>
      </c>
      <c r="N26" s="41">
        <v>21.1</v>
      </c>
      <c r="O26" s="41">
        <v>0</v>
      </c>
      <c r="P26" s="41">
        <v>0.56000000000000005</v>
      </c>
      <c r="Q26" s="41">
        <v>-51.25</v>
      </c>
      <c r="R26" s="38"/>
      <c r="S26" s="38"/>
      <c r="T26" s="38"/>
      <c r="U26" s="38"/>
    </row>
    <row r="27" spans="1:21" customFormat="1">
      <c r="A27" s="40" t="s">
        <v>583</v>
      </c>
      <c r="B27" s="41">
        <v>6.03</v>
      </c>
      <c r="C27" s="41">
        <v>24.84</v>
      </c>
      <c r="D27" s="41">
        <v>19.12</v>
      </c>
      <c r="E27" s="41">
        <v>9.8699999999999992</v>
      </c>
      <c r="F27" s="41">
        <v>38.68</v>
      </c>
      <c r="G27" s="41">
        <v>54.5</v>
      </c>
      <c r="H27" s="41">
        <v>36.32</v>
      </c>
      <c r="I27" s="41">
        <v>7.32</v>
      </c>
      <c r="J27" s="41">
        <v>0.25</v>
      </c>
      <c r="K27" s="41">
        <v>167.73</v>
      </c>
      <c r="L27" s="41">
        <v>25.65</v>
      </c>
      <c r="M27" s="41">
        <v>44.12</v>
      </c>
      <c r="N27" s="41">
        <v>2.2000000000000002</v>
      </c>
      <c r="O27" s="41">
        <v>0</v>
      </c>
      <c r="P27" s="41">
        <v>0.66</v>
      </c>
      <c r="Q27" s="41">
        <v>-51.28</v>
      </c>
      <c r="R27" s="38"/>
      <c r="S27" s="38"/>
      <c r="T27" s="38"/>
      <c r="U27" s="38"/>
    </row>
    <row r="28" spans="1:21" customFormat="1">
      <c r="A28" s="40" t="s">
        <v>584</v>
      </c>
      <c r="B28" s="41">
        <v>7.25</v>
      </c>
      <c r="C28" s="41">
        <v>24.07</v>
      </c>
      <c r="D28" s="41">
        <v>19.079999999999998</v>
      </c>
      <c r="E28" s="41">
        <v>9.5500000000000007</v>
      </c>
      <c r="F28" s="41">
        <v>25.79</v>
      </c>
      <c r="G28" s="41">
        <v>169.61</v>
      </c>
      <c r="H28" s="41">
        <v>45.32</v>
      </c>
      <c r="I28" s="41">
        <v>8.48</v>
      </c>
      <c r="J28" s="41">
        <v>0.26</v>
      </c>
      <c r="K28" s="41">
        <v>240.88</v>
      </c>
      <c r="L28" s="41">
        <v>23.13</v>
      </c>
      <c r="M28" s="41">
        <v>47.78</v>
      </c>
      <c r="N28" s="41">
        <v>1.4</v>
      </c>
      <c r="O28" s="41">
        <v>0</v>
      </c>
      <c r="P28" s="41">
        <v>0.72</v>
      </c>
      <c r="Q28" s="41">
        <v>-52.09</v>
      </c>
      <c r="R28" s="38"/>
      <c r="S28" s="38"/>
      <c r="T28" s="38"/>
      <c r="U28" s="38"/>
    </row>
    <row r="29" spans="1:21" customFormat="1">
      <c r="A29" s="40" t="s">
        <v>585</v>
      </c>
      <c r="B29" s="41">
        <v>8</v>
      </c>
      <c r="C29" s="41">
        <v>21.83</v>
      </c>
      <c r="D29" s="41">
        <v>18.87</v>
      </c>
      <c r="E29" s="41">
        <v>9.59</v>
      </c>
      <c r="F29" s="41">
        <v>23.25</v>
      </c>
      <c r="G29" s="41">
        <v>169.61</v>
      </c>
      <c r="H29" s="41">
        <v>45.32</v>
      </c>
      <c r="I29" s="41">
        <v>9.06</v>
      </c>
      <c r="J29" s="41">
        <v>0.17</v>
      </c>
      <c r="K29" s="41">
        <v>206.23</v>
      </c>
      <c r="L29" s="41">
        <v>21.68</v>
      </c>
      <c r="M29" s="41">
        <v>57.68</v>
      </c>
      <c r="N29" s="41">
        <v>1</v>
      </c>
      <c r="O29" s="41">
        <v>0</v>
      </c>
      <c r="P29" s="41">
        <v>0.76</v>
      </c>
      <c r="Q29" s="41">
        <v>-52.36</v>
      </c>
      <c r="R29" s="38"/>
      <c r="S29" s="38"/>
      <c r="T29" s="38"/>
      <c r="U29" s="38"/>
    </row>
    <row r="30" spans="1:21" customFormat="1">
      <c r="A30" s="40" t="s">
        <v>586</v>
      </c>
      <c r="B30" s="41">
        <v>8.6199999999999992</v>
      </c>
      <c r="C30" s="41">
        <v>21.08</v>
      </c>
      <c r="D30" s="41">
        <v>19.100000000000001</v>
      </c>
      <c r="E30" s="41">
        <v>9.4499999999999993</v>
      </c>
      <c r="F30" s="41">
        <v>17.84</v>
      </c>
      <c r="G30" s="41">
        <v>74.41</v>
      </c>
      <c r="H30" s="41">
        <v>34.090000000000003</v>
      </c>
      <c r="I30" s="41">
        <v>9.42</v>
      </c>
      <c r="J30" s="41">
        <v>0.22</v>
      </c>
      <c r="K30" s="41">
        <v>167.81</v>
      </c>
      <c r="L30" s="41">
        <v>20.37</v>
      </c>
      <c r="M30" s="41">
        <v>62.08</v>
      </c>
      <c r="N30" s="41">
        <v>1</v>
      </c>
      <c r="O30" s="41">
        <v>0</v>
      </c>
      <c r="P30" s="41">
        <v>0.79</v>
      </c>
      <c r="Q30" s="41">
        <v>-52.43</v>
      </c>
      <c r="R30" s="38"/>
      <c r="S30" s="38"/>
      <c r="T30" s="38"/>
      <c r="U30" s="38"/>
    </row>
    <row r="31" spans="1:21" customFormat="1">
      <c r="A31" s="40" t="s">
        <v>587</v>
      </c>
      <c r="B31" s="41">
        <v>8.5299999999999994</v>
      </c>
      <c r="C31" s="41">
        <v>21.35</v>
      </c>
      <c r="D31" s="41">
        <v>19.13</v>
      </c>
      <c r="E31" s="41">
        <v>9.18</v>
      </c>
      <c r="F31" s="41">
        <v>15.1</v>
      </c>
      <c r="G31" s="41">
        <v>74.41</v>
      </c>
      <c r="H31" s="41">
        <v>29.43</v>
      </c>
      <c r="I31" s="41">
        <v>9.5299999999999994</v>
      </c>
      <c r="J31" s="41">
        <v>0.23</v>
      </c>
      <c r="K31" s="41">
        <v>191.61</v>
      </c>
      <c r="L31" s="41">
        <v>19.98</v>
      </c>
      <c r="M31" s="41">
        <v>59.83</v>
      </c>
      <c r="N31" s="41">
        <v>1</v>
      </c>
      <c r="O31" s="41">
        <v>0</v>
      </c>
      <c r="P31" s="41">
        <v>0.79</v>
      </c>
      <c r="Q31" s="41">
        <v>-52.46</v>
      </c>
      <c r="R31" s="38"/>
      <c r="S31" s="38"/>
      <c r="T31" s="38"/>
      <c r="U31" s="38"/>
    </row>
    <row r="32" spans="1:21" customFormat="1">
      <c r="A32" s="40" t="s">
        <v>588</v>
      </c>
      <c r="B32" s="41">
        <v>9.6999999999999993</v>
      </c>
      <c r="C32" s="41">
        <v>22.72</v>
      </c>
      <c r="D32" s="41">
        <v>20.92</v>
      </c>
      <c r="E32" s="41">
        <v>9.35</v>
      </c>
      <c r="F32" s="41">
        <v>12.03</v>
      </c>
      <c r="G32" s="41">
        <v>59.77</v>
      </c>
      <c r="H32" s="41">
        <v>22.53</v>
      </c>
      <c r="I32" s="41">
        <v>9.48</v>
      </c>
      <c r="J32" s="41">
        <v>0.28000000000000003</v>
      </c>
      <c r="K32" s="41">
        <v>177.07</v>
      </c>
      <c r="L32" s="41">
        <v>19.420000000000002</v>
      </c>
      <c r="M32" s="41">
        <v>61.04</v>
      </c>
      <c r="N32" s="41">
        <v>1</v>
      </c>
      <c r="O32" s="41">
        <v>0</v>
      </c>
      <c r="P32" s="41">
        <v>0.79</v>
      </c>
      <c r="Q32" s="41">
        <v>-51.48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4.67</v>
      </c>
      <c r="C34" s="18">
        <f t="shared" si="0"/>
        <v>21.08</v>
      </c>
      <c r="D34" s="18">
        <f t="shared" si="0"/>
        <v>17.36</v>
      </c>
      <c r="E34" s="18">
        <f t="shared" si="0"/>
        <v>9.18</v>
      </c>
      <c r="F34" s="18">
        <f t="shared" si="0"/>
        <v>4.22</v>
      </c>
      <c r="G34" s="18">
        <f t="shared" si="0"/>
        <v>41.62</v>
      </c>
      <c r="H34" s="18">
        <f t="shared" si="0"/>
        <v>10.64</v>
      </c>
      <c r="I34" s="18">
        <f t="shared" si="0"/>
        <v>7.32</v>
      </c>
      <c r="J34" s="18">
        <f t="shared" si="0"/>
        <v>0.17</v>
      </c>
      <c r="K34" s="18">
        <f t="shared" si="0"/>
        <v>41.34</v>
      </c>
      <c r="L34" s="18">
        <f t="shared" si="0"/>
        <v>15.3</v>
      </c>
      <c r="M34" s="18">
        <f t="shared" si="0"/>
        <v>14.41</v>
      </c>
      <c r="N34" s="18">
        <f t="shared" si="0"/>
        <v>1</v>
      </c>
      <c r="O34" s="18">
        <f t="shared" si="0"/>
        <v>0</v>
      </c>
      <c r="P34" s="18">
        <f t="shared" si="0"/>
        <v>0.56000000000000005</v>
      </c>
      <c r="Q34" s="18">
        <f t="shared" si="0"/>
        <v>-52.46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25.92</v>
      </c>
      <c r="C35" s="3">
        <f t="shared" si="1"/>
        <v>27.69</v>
      </c>
      <c r="D35" s="3">
        <f t="shared" si="1"/>
        <v>35</v>
      </c>
      <c r="E35" s="3">
        <f t="shared" si="1"/>
        <v>16.29</v>
      </c>
      <c r="F35" s="3">
        <f t="shared" si="1"/>
        <v>48.98</v>
      </c>
      <c r="G35" s="3">
        <f t="shared" si="1"/>
        <v>169.61</v>
      </c>
      <c r="H35" s="3">
        <f t="shared" si="1"/>
        <v>45.41</v>
      </c>
      <c r="I35" s="3">
        <f t="shared" si="1"/>
        <v>13.35</v>
      </c>
      <c r="J35" s="3">
        <f t="shared" si="1"/>
        <v>1.18</v>
      </c>
      <c r="K35" s="3">
        <f t="shared" si="1"/>
        <v>338.22</v>
      </c>
      <c r="L35" s="3">
        <f t="shared" si="1"/>
        <v>32.03</v>
      </c>
      <c r="M35" s="3">
        <f t="shared" si="1"/>
        <v>73.010000000000005</v>
      </c>
      <c r="N35" s="3">
        <f t="shared" si="1"/>
        <v>381.9</v>
      </c>
      <c r="O35" s="3">
        <f t="shared" si="1"/>
        <v>0</v>
      </c>
      <c r="P35" s="3">
        <f t="shared" si="1"/>
        <v>0.86</v>
      </c>
      <c r="Q35" s="3">
        <f t="shared" si="1"/>
        <v>-51.14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12.585416666666665</v>
      </c>
      <c r="C36" s="18">
        <f t="shared" si="2"/>
        <v>24.399583333333339</v>
      </c>
      <c r="D36" s="18">
        <f t="shared" si="2"/>
        <v>24.051666666666666</v>
      </c>
      <c r="E36" s="18">
        <f t="shared" si="2"/>
        <v>11.495416666666669</v>
      </c>
      <c r="F36" s="18">
        <f t="shared" si="2"/>
        <v>22.678749999999997</v>
      </c>
      <c r="G36" s="18">
        <f t="shared" si="2"/>
        <v>83.850000000000023</v>
      </c>
      <c r="H36" s="18">
        <f t="shared" si="2"/>
        <v>33.068333333333335</v>
      </c>
      <c r="I36" s="18">
        <f t="shared" si="2"/>
        <v>10.465833333333331</v>
      </c>
      <c r="J36" s="18">
        <f t="shared" si="2"/>
        <v>0.51916666666666667</v>
      </c>
      <c r="K36" s="18">
        <f t="shared" si="2"/>
        <v>181.60958333333329</v>
      </c>
      <c r="L36" s="18">
        <f t="shared" si="2"/>
        <v>23.245833333333334</v>
      </c>
      <c r="M36" s="18">
        <f t="shared" si="2"/>
        <v>46.73749999999999</v>
      </c>
      <c r="N36" s="18">
        <f t="shared" si="2"/>
        <v>104.64999999999999</v>
      </c>
      <c r="O36" s="18">
        <f t="shared" si="2"/>
        <v>0</v>
      </c>
      <c r="P36" s="18">
        <f t="shared" si="2"/>
        <v>0.71666666666666667</v>
      </c>
      <c r="Q36" s="18">
        <f t="shared" si="2"/>
        <v>-51.726249999999993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6.7364750033689429</v>
      </c>
      <c r="C37" s="18">
        <f t="shared" ref="C37:Q37" si="3">STDEV(C9:C32)</f>
        <v>1.7187899665972466</v>
      </c>
      <c r="D37" s="18">
        <f t="shared" si="3"/>
        <v>5.6549637039289156</v>
      </c>
      <c r="E37" s="18">
        <f t="shared" si="3"/>
        <v>2.0266635231907344</v>
      </c>
      <c r="F37" s="18">
        <f t="shared" si="3"/>
        <v>13.97862943847718</v>
      </c>
      <c r="G37" s="18">
        <f t="shared" si="3"/>
        <v>32.129758656179554</v>
      </c>
      <c r="H37" s="18">
        <f t="shared" si="3"/>
        <v>10.873531751626215</v>
      </c>
      <c r="I37" s="18">
        <f t="shared" si="3"/>
        <v>1.8352204385226081</v>
      </c>
      <c r="J37" s="18">
        <f t="shared" si="3"/>
        <v>0.37007539380705839</v>
      </c>
      <c r="K37" s="18">
        <f t="shared" si="3"/>
        <v>78.622379183757246</v>
      </c>
      <c r="L37" s="18">
        <f t="shared" si="3"/>
        <v>6.1415986565365133</v>
      </c>
      <c r="M37" s="18">
        <f t="shared" si="3"/>
        <v>22.164686219691703</v>
      </c>
      <c r="N37" s="18">
        <f t="shared" si="3"/>
        <v>151.74591177073086</v>
      </c>
      <c r="O37" s="18">
        <f t="shared" si="3"/>
        <v>0</v>
      </c>
      <c r="P37" s="18">
        <f t="shared" si="3"/>
        <v>8.3648678706094354E-2</v>
      </c>
      <c r="Q37" s="18">
        <f t="shared" si="3"/>
        <v>0.50557597373430563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17" activePane="bottomRight" state="frozen"/>
      <selection activeCell="G19" sqref="G19"/>
      <selection pane="topRight" activeCell="G19" sqref="G19"/>
      <selection pane="bottomLeft" activeCell="G19" sqref="G19"/>
      <selection pane="bottomRight" activeCell="Q25" sqref="Q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589</v>
      </c>
      <c r="B9" s="41">
        <v>9.92</v>
      </c>
      <c r="C9" s="41">
        <v>22.6</v>
      </c>
      <c r="D9" s="41">
        <v>19.87</v>
      </c>
      <c r="E9" s="41">
        <v>10.119999999999999</v>
      </c>
      <c r="F9" s="41">
        <v>4.37</v>
      </c>
      <c r="G9" s="41">
        <v>59.77</v>
      </c>
      <c r="H9" s="41">
        <v>19.45</v>
      </c>
      <c r="I9" s="41">
        <v>9.26</v>
      </c>
      <c r="J9" s="41">
        <v>0.26</v>
      </c>
      <c r="K9" s="41">
        <v>186.1</v>
      </c>
      <c r="L9" s="41">
        <v>18.420000000000002</v>
      </c>
      <c r="M9" s="41">
        <v>63.41</v>
      </c>
      <c r="N9" s="41">
        <v>1.3</v>
      </c>
      <c r="O9" s="41">
        <v>0</v>
      </c>
      <c r="P9" s="41">
        <v>0.68</v>
      </c>
      <c r="Q9" s="41">
        <v>-51.33</v>
      </c>
      <c r="R9" s="38"/>
      <c r="S9" s="38"/>
      <c r="T9" s="38"/>
      <c r="U9" s="38"/>
    </row>
    <row r="10" spans="1:21" customFormat="1">
      <c r="A10" s="40" t="s">
        <v>590</v>
      </c>
      <c r="B10" s="41">
        <v>9.2799999999999994</v>
      </c>
      <c r="C10" s="41">
        <v>20.23</v>
      </c>
      <c r="D10" s="41">
        <v>19.170000000000002</v>
      </c>
      <c r="E10" s="41">
        <v>9.68</v>
      </c>
      <c r="F10" s="41">
        <v>4.92</v>
      </c>
      <c r="G10" s="41">
        <v>49.6</v>
      </c>
      <c r="H10" s="41">
        <v>19.45</v>
      </c>
      <c r="I10" s="41">
        <v>8.89</v>
      </c>
      <c r="J10" s="41">
        <v>0.27</v>
      </c>
      <c r="K10" s="41">
        <v>168.31</v>
      </c>
      <c r="L10" s="41">
        <v>17.760000000000002</v>
      </c>
      <c r="M10" s="41">
        <v>64.650000000000006</v>
      </c>
      <c r="N10" s="41">
        <v>1</v>
      </c>
      <c r="O10" s="41">
        <v>0</v>
      </c>
      <c r="P10" s="41">
        <v>0.66</v>
      </c>
      <c r="Q10" s="41">
        <v>-51.35</v>
      </c>
      <c r="R10" s="38"/>
      <c r="S10" s="38"/>
      <c r="T10" s="38"/>
      <c r="U10" s="38"/>
    </row>
    <row r="11" spans="1:21" customFormat="1">
      <c r="A11" s="40" t="s">
        <v>591</v>
      </c>
      <c r="B11" s="41">
        <v>9.35</v>
      </c>
      <c r="C11" s="41">
        <v>22.06</v>
      </c>
      <c r="D11" s="41">
        <v>20.239999999999998</v>
      </c>
      <c r="E11" s="41">
        <v>10.59</v>
      </c>
      <c r="F11" s="41">
        <v>3.97</v>
      </c>
      <c r="G11" s="41">
        <v>50.92</v>
      </c>
      <c r="H11" s="41">
        <v>16.73</v>
      </c>
      <c r="I11" s="41">
        <v>9.09</v>
      </c>
      <c r="J11" s="41">
        <v>0.26</v>
      </c>
      <c r="K11" s="41">
        <v>148.68</v>
      </c>
      <c r="L11" s="41">
        <v>18.05</v>
      </c>
      <c r="M11" s="41">
        <v>65.23</v>
      </c>
      <c r="N11" s="41">
        <v>1</v>
      </c>
      <c r="O11" s="41">
        <v>0</v>
      </c>
      <c r="P11" s="41">
        <v>0.67</v>
      </c>
      <c r="Q11" s="41">
        <v>-51.36</v>
      </c>
      <c r="R11" s="38"/>
      <c r="S11" s="38"/>
      <c r="T11" s="38"/>
      <c r="U11" s="38"/>
    </row>
    <row r="12" spans="1:21" customFormat="1">
      <c r="A12" s="40" t="s">
        <v>592</v>
      </c>
      <c r="B12" s="41">
        <v>14.16</v>
      </c>
      <c r="C12" s="41">
        <v>25.08</v>
      </c>
      <c r="D12" s="41">
        <v>25.81</v>
      </c>
      <c r="E12" s="41">
        <v>10.94</v>
      </c>
      <c r="F12" s="41">
        <v>3.69</v>
      </c>
      <c r="G12" s="41">
        <v>67.52</v>
      </c>
      <c r="H12" s="41">
        <v>19.57</v>
      </c>
      <c r="I12" s="41">
        <v>9.44</v>
      </c>
      <c r="J12" s="41">
        <v>0.23</v>
      </c>
      <c r="K12" s="41">
        <v>189.97</v>
      </c>
      <c r="L12" s="41">
        <v>17.53</v>
      </c>
      <c r="M12" s="41">
        <v>70.28</v>
      </c>
      <c r="N12" s="41">
        <v>1.3</v>
      </c>
      <c r="O12" s="41">
        <v>0</v>
      </c>
      <c r="P12" s="41">
        <v>0.69</v>
      </c>
      <c r="Q12" s="41">
        <v>-51.34</v>
      </c>
      <c r="R12" s="38"/>
      <c r="S12" s="38"/>
      <c r="T12" s="38"/>
      <c r="U12" s="38"/>
    </row>
    <row r="13" spans="1:21" customFormat="1">
      <c r="A13" s="40" t="s">
        <v>593</v>
      </c>
      <c r="B13" s="41">
        <v>15.99</v>
      </c>
      <c r="C13" s="41">
        <v>24.8</v>
      </c>
      <c r="D13" s="41">
        <v>27.13</v>
      </c>
      <c r="E13" s="41">
        <v>10.7</v>
      </c>
      <c r="F13" s="41">
        <v>3.63</v>
      </c>
      <c r="G13" s="41">
        <v>71</v>
      </c>
      <c r="H13" s="41">
        <v>19.57</v>
      </c>
      <c r="I13" s="41">
        <v>9.5500000000000007</v>
      </c>
      <c r="J13" s="41">
        <v>0.24</v>
      </c>
      <c r="K13" s="41">
        <v>194.36</v>
      </c>
      <c r="L13" s="41">
        <v>16.329999999999998</v>
      </c>
      <c r="M13" s="41">
        <v>75.94</v>
      </c>
      <c r="N13" s="41">
        <v>1.3</v>
      </c>
      <c r="O13" s="41">
        <v>0</v>
      </c>
      <c r="P13" s="41">
        <v>0.75</v>
      </c>
      <c r="Q13" s="41">
        <v>-51.32</v>
      </c>
      <c r="R13" s="38"/>
      <c r="S13" s="38"/>
      <c r="T13" s="38"/>
      <c r="U13" s="38"/>
    </row>
    <row r="14" spans="1:21" customFormat="1">
      <c r="A14" s="40" t="s">
        <v>594</v>
      </c>
      <c r="B14" s="41">
        <v>15.01</v>
      </c>
      <c r="C14" s="41">
        <v>25.17</v>
      </c>
      <c r="D14" s="41">
        <v>26.43</v>
      </c>
      <c r="E14" s="41">
        <v>9.9499999999999993</v>
      </c>
      <c r="F14" s="41">
        <v>3.67</v>
      </c>
      <c r="G14" s="41">
        <v>71</v>
      </c>
      <c r="H14" s="41">
        <v>18.79</v>
      </c>
      <c r="I14" s="41">
        <v>9.58</v>
      </c>
      <c r="J14" s="41">
        <v>0.2</v>
      </c>
      <c r="K14" s="41">
        <v>189.05</v>
      </c>
      <c r="L14" s="41">
        <v>15.3</v>
      </c>
      <c r="M14" s="41">
        <v>77.81</v>
      </c>
      <c r="N14" s="41">
        <v>1.1000000000000001</v>
      </c>
      <c r="O14" s="41">
        <v>0</v>
      </c>
      <c r="P14" s="41">
        <v>0.76</v>
      </c>
      <c r="Q14" s="41">
        <v>-52.25</v>
      </c>
      <c r="R14" s="38"/>
      <c r="S14" s="38"/>
      <c r="T14" s="38"/>
      <c r="U14" s="38"/>
    </row>
    <row r="15" spans="1:21" customFormat="1">
      <c r="A15" s="40" t="s">
        <v>595</v>
      </c>
      <c r="B15" s="41">
        <v>13.1</v>
      </c>
      <c r="C15" s="41">
        <v>24.63</v>
      </c>
      <c r="D15" s="41">
        <v>24.72</v>
      </c>
      <c r="E15" s="41">
        <v>9.82</v>
      </c>
      <c r="F15" s="41">
        <v>3.73</v>
      </c>
      <c r="G15" s="41">
        <v>66.17</v>
      </c>
      <c r="H15" s="41">
        <v>16.149999999999999</v>
      </c>
      <c r="I15" s="41">
        <v>9.4700000000000006</v>
      </c>
      <c r="J15" s="41">
        <v>0.2</v>
      </c>
      <c r="K15" s="41">
        <v>217.26</v>
      </c>
      <c r="L15" s="41">
        <v>14.97</v>
      </c>
      <c r="M15" s="41">
        <v>79.510000000000005</v>
      </c>
      <c r="N15" s="41">
        <v>10.3</v>
      </c>
      <c r="O15" s="41">
        <v>0</v>
      </c>
      <c r="P15" s="41">
        <v>0.77</v>
      </c>
      <c r="Q15" s="41">
        <v>-52.36</v>
      </c>
      <c r="R15" s="38"/>
      <c r="S15" s="38"/>
      <c r="T15" s="38"/>
      <c r="U15" s="38"/>
    </row>
    <row r="16" spans="1:21" customFormat="1">
      <c r="A16" s="40" t="s">
        <v>596</v>
      </c>
      <c r="B16" s="41">
        <v>12.06</v>
      </c>
      <c r="C16" s="41">
        <v>23.5</v>
      </c>
      <c r="D16" s="41">
        <v>23.27</v>
      </c>
      <c r="E16" s="41">
        <v>9.61</v>
      </c>
      <c r="F16" s="41">
        <v>8.2200000000000006</v>
      </c>
      <c r="G16" s="41">
        <v>66.17</v>
      </c>
      <c r="H16" s="41">
        <v>17.71</v>
      </c>
      <c r="I16" s="41">
        <v>9.49</v>
      </c>
      <c r="J16" s="41">
        <v>0.48</v>
      </c>
      <c r="K16" s="41">
        <v>173.39</v>
      </c>
      <c r="L16" s="41">
        <v>18.53</v>
      </c>
      <c r="M16" s="41">
        <v>77.84</v>
      </c>
      <c r="N16" s="41">
        <v>36.6</v>
      </c>
      <c r="O16" s="41">
        <v>0</v>
      </c>
      <c r="P16" s="41">
        <v>0.79</v>
      </c>
      <c r="Q16" s="41">
        <v>-52.37</v>
      </c>
      <c r="R16" s="38"/>
      <c r="S16" s="38"/>
      <c r="T16" s="38"/>
      <c r="U16" s="38"/>
    </row>
    <row r="17" spans="1:21" customFormat="1">
      <c r="A17" s="40" t="s">
        <v>597</v>
      </c>
      <c r="B17" s="41">
        <v>10.95</v>
      </c>
      <c r="C17" s="41">
        <v>25.71</v>
      </c>
      <c r="D17" s="41">
        <v>22.67</v>
      </c>
      <c r="E17" s="41">
        <v>10.3</v>
      </c>
      <c r="F17" s="41">
        <v>17.329999999999998</v>
      </c>
      <c r="G17" s="41">
        <v>74.180000000000007</v>
      </c>
      <c r="H17" s="41">
        <v>20.32</v>
      </c>
      <c r="I17" s="41">
        <v>10.06</v>
      </c>
      <c r="J17" s="41">
        <v>0.33</v>
      </c>
      <c r="K17" s="41">
        <v>269.10000000000002</v>
      </c>
      <c r="L17" s="41">
        <v>24.39</v>
      </c>
      <c r="M17" s="41">
        <v>56.61</v>
      </c>
      <c r="N17" s="41">
        <v>242.7</v>
      </c>
      <c r="O17" s="41">
        <v>0</v>
      </c>
      <c r="P17" s="41">
        <v>0.83</v>
      </c>
      <c r="Q17" s="41">
        <v>-52.35</v>
      </c>
      <c r="R17" s="38"/>
      <c r="S17" s="38"/>
      <c r="T17" s="38"/>
      <c r="U17" s="38"/>
    </row>
    <row r="18" spans="1:21" customFormat="1">
      <c r="A18" s="40" t="s">
        <v>598</v>
      </c>
      <c r="B18" s="41">
        <v>8.4</v>
      </c>
      <c r="C18" s="41">
        <v>25.79</v>
      </c>
      <c r="D18" s="41">
        <v>21.52</v>
      </c>
      <c r="E18" s="41">
        <v>10.64</v>
      </c>
      <c r="F18" s="41">
        <v>36.35</v>
      </c>
      <c r="G18" s="41">
        <v>74.180000000000007</v>
      </c>
      <c r="H18" s="41">
        <v>27.87</v>
      </c>
      <c r="I18" s="41">
        <v>10.48</v>
      </c>
      <c r="J18" s="41">
        <v>0.55000000000000004</v>
      </c>
      <c r="K18" s="41">
        <v>287.45999999999998</v>
      </c>
      <c r="L18" s="41">
        <v>27.94</v>
      </c>
      <c r="M18" s="41">
        <v>37.65</v>
      </c>
      <c r="N18" s="41">
        <v>316.39999999999998</v>
      </c>
      <c r="O18" s="41">
        <v>0</v>
      </c>
      <c r="P18" s="41">
        <v>0.82</v>
      </c>
      <c r="Q18" s="41">
        <v>-51.3</v>
      </c>
      <c r="R18" s="38"/>
      <c r="S18" s="38"/>
      <c r="T18" s="38"/>
      <c r="U18" s="38"/>
    </row>
    <row r="19" spans="1:21" customFormat="1">
      <c r="A19" s="40" t="s">
        <v>599</v>
      </c>
      <c r="B19" s="41">
        <v>5.09</v>
      </c>
      <c r="C19" s="41">
        <v>25.68</v>
      </c>
      <c r="D19" s="41">
        <v>18.850000000000001</v>
      </c>
      <c r="E19" s="41">
        <v>12.67</v>
      </c>
      <c r="F19" s="41">
        <v>42.51</v>
      </c>
      <c r="G19" s="41">
        <v>72.84</v>
      </c>
      <c r="H19" s="41">
        <v>29.92</v>
      </c>
      <c r="I19" s="41">
        <v>10.92</v>
      </c>
      <c r="J19" s="41">
        <v>0.66</v>
      </c>
      <c r="K19" s="41">
        <v>287.43</v>
      </c>
      <c r="L19" s="41">
        <v>30.66</v>
      </c>
      <c r="M19" s="41">
        <v>26.7</v>
      </c>
      <c r="N19" s="41">
        <v>363.7</v>
      </c>
      <c r="O19" s="41">
        <v>0</v>
      </c>
      <c r="P19" s="41">
        <v>0.79</v>
      </c>
      <c r="Q19" s="41">
        <v>-51.13</v>
      </c>
      <c r="R19" s="38"/>
      <c r="S19" s="38"/>
      <c r="T19" s="38"/>
      <c r="U19" s="38"/>
    </row>
    <row r="20" spans="1:21" customFormat="1">
      <c r="A20" s="40" t="s">
        <v>600</v>
      </c>
      <c r="B20" s="41">
        <v>6.63</v>
      </c>
      <c r="C20" s="41">
        <v>24.47</v>
      </c>
      <c r="D20" s="41">
        <v>18.13</v>
      </c>
      <c r="E20" s="41">
        <v>22.11</v>
      </c>
      <c r="F20" s="41">
        <v>56.17</v>
      </c>
      <c r="G20" s="41">
        <v>69.91</v>
      </c>
      <c r="H20" s="41">
        <v>29.92</v>
      </c>
      <c r="I20" s="41">
        <v>11.03</v>
      </c>
      <c r="J20" s="41">
        <v>0.7</v>
      </c>
      <c r="K20" s="41">
        <v>288.02</v>
      </c>
      <c r="L20" s="41">
        <v>32.93</v>
      </c>
      <c r="M20" s="41">
        <v>21.29</v>
      </c>
      <c r="N20" s="41">
        <v>374.8</v>
      </c>
      <c r="O20" s="41">
        <v>0</v>
      </c>
      <c r="P20" s="41">
        <v>0.87</v>
      </c>
      <c r="Q20" s="41">
        <v>-51.01</v>
      </c>
      <c r="R20" s="38"/>
      <c r="S20" s="38"/>
      <c r="T20" s="38"/>
      <c r="U20" s="38"/>
    </row>
    <row r="21" spans="1:21" customFormat="1">
      <c r="A21" s="40" t="s">
        <v>601</v>
      </c>
      <c r="B21" s="41">
        <v>4.68</v>
      </c>
      <c r="C21" s="41">
        <v>23.17</v>
      </c>
      <c r="D21" s="41">
        <v>17.079999999999998</v>
      </c>
      <c r="E21" s="41">
        <v>14.64</v>
      </c>
      <c r="F21" s="41">
        <v>57.38</v>
      </c>
      <c r="G21" s="41">
        <v>64.790000000000006</v>
      </c>
      <c r="H21" s="41">
        <v>30.58</v>
      </c>
      <c r="I21" s="41">
        <v>11.76</v>
      </c>
      <c r="J21" s="41">
        <v>0.98</v>
      </c>
      <c r="K21" s="41">
        <v>309.62</v>
      </c>
      <c r="L21" s="41">
        <v>33.71</v>
      </c>
      <c r="M21" s="41">
        <v>19.2</v>
      </c>
      <c r="N21" s="41">
        <v>380.6</v>
      </c>
      <c r="O21" s="41">
        <v>0</v>
      </c>
      <c r="P21" s="41">
        <v>0.86</v>
      </c>
      <c r="Q21" s="41">
        <v>-50.94</v>
      </c>
      <c r="R21" s="38"/>
      <c r="S21" s="38"/>
      <c r="T21" s="38"/>
      <c r="U21" s="38"/>
    </row>
    <row r="22" spans="1:21" customFormat="1">
      <c r="A22" s="40" t="s">
        <v>602</v>
      </c>
      <c r="B22" s="41">
        <v>4.72</v>
      </c>
      <c r="C22" s="41">
        <v>21.83</v>
      </c>
      <c r="D22" s="41">
        <v>15.61</v>
      </c>
      <c r="E22" s="41">
        <v>16.57</v>
      </c>
      <c r="F22" s="41">
        <v>61.4</v>
      </c>
      <c r="G22" s="41">
        <v>61.43</v>
      </c>
      <c r="H22" s="41">
        <v>31.55</v>
      </c>
      <c r="I22" s="41">
        <v>11.72</v>
      </c>
      <c r="J22" s="41">
        <v>1.21</v>
      </c>
      <c r="K22" s="41">
        <v>319.52999999999997</v>
      </c>
      <c r="L22" s="41">
        <v>34.08</v>
      </c>
      <c r="M22" s="41">
        <v>17.21</v>
      </c>
      <c r="N22" s="41">
        <v>359.3</v>
      </c>
      <c r="O22" s="41">
        <v>0</v>
      </c>
      <c r="P22" s="41">
        <v>0.83</v>
      </c>
      <c r="Q22" s="41">
        <v>-50.92</v>
      </c>
      <c r="R22" s="38"/>
      <c r="S22" s="38"/>
      <c r="T22" s="38"/>
      <c r="U22" s="38"/>
    </row>
    <row r="23" spans="1:21" customFormat="1">
      <c r="A23" s="40" t="s">
        <v>603</v>
      </c>
      <c r="B23" s="41">
        <v>9.26</v>
      </c>
      <c r="C23" s="41">
        <v>20.399999999999999</v>
      </c>
      <c r="D23" s="41">
        <v>18.04</v>
      </c>
      <c r="E23" s="41">
        <v>18.78</v>
      </c>
      <c r="F23" s="41">
        <v>54.12</v>
      </c>
      <c r="G23" s="41">
        <v>53.65</v>
      </c>
      <c r="H23" s="41">
        <v>34.08</v>
      </c>
      <c r="I23" s="41">
        <v>11.32</v>
      </c>
      <c r="J23" s="41">
        <v>1.1499999999999999</v>
      </c>
      <c r="K23" s="41">
        <v>314.57</v>
      </c>
      <c r="L23" s="41">
        <v>34.11</v>
      </c>
      <c r="M23" s="41">
        <v>16.079999999999998</v>
      </c>
      <c r="N23" s="41">
        <v>353.3</v>
      </c>
      <c r="O23" s="41">
        <v>0</v>
      </c>
      <c r="P23" s="41">
        <v>0.82</v>
      </c>
      <c r="Q23" s="41">
        <v>-50.94</v>
      </c>
      <c r="R23" s="38"/>
      <c r="S23" s="38"/>
      <c r="T23" s="38"/>
      <c r="U23" s="38"/>
    </row>
    <row r="24" spans="1:21" customFormat="1">
      <c r="A24" s="40" t="s">
        <v>604</v>
      </c>
      <c r="B24" s="41">
        <v>3.99</v>
      </c>
      <c r="C24" s="41">
        <v>20</v>
      </c>
      <c r="D24" s="41">
        <v>15</v>
      </c>
      <c r="E24" s="41">
        <v>16.63</v>
      </c>
      <c r="F24" s="41">
        <v>56.22</v>
      </c>
      <c r="G24" s="41">
        <v>53.65</v>
      </c>
      <c r="H24" s="41">
        <v>34.08</v>
      </c>
      <c r="I24" s="41">
        <v>10.07</v>
      </c>
      <c r="J24" s="41">
        <v>1.04</v>
      </c>
      <c r="K24" s="41">
        <v>274.77</v>
      </c>
      <c r="L24" s="41">
        <v>33</v>
      </c>
      <c r="M24" s="41">
        <v>15.55</v>
      </c>
      <c r="N24" s="41">
        <v>50</v>
      </c>
      <c r="O24" s="41">
        <v>0</v>
      </c>
      <c r="P24" s="41">
        <v>0.76</v>
      </c>
      <c r="Q24" s="41">
        <v>-52.15</v>
      </c>
      <c r="R24" s="38"/>
      <c r="S24" s="38"/>
      <c r="T24" s="38"/>
      <c r="U24" s="38"/>
    </row>
    <row r="25" spans="1:21" customFormat="1">
      <c r="A25" s="40" t="s">
        <v>605</v>
      </c>
      <c r="B25" s="41">
        <v>3.91</v>
      </c>
      <c r="C25" s="41">
        <v>17.59</v>
      </c>
      <c r="D25" s="41">
        <v>13.61</v>
      </c>
      <c r="E25" s="41">
        <v>16.02</v>
      </c>
      <c r="F25" s="41">
        <v>79.87</v>
      </c>
      <c r="G25" s="41">
        <v>49.33</v>
      </c>
      <c r="H25" s="41">
        <v>33.28</v>
      </c>
      <c r="I25" s="41">
        <v>8.3800000000000008</v>
      </c>
      <c r="J25" s="41">
        <v>0.89</v>
      </c>
      <c r="K25" s="41">
        <v>276.51</v>
      </c>
      <c r="L25" s="41">
        <v>32.68</v>
      </c>
      <c r="M25" s="41">
        <v>17.149999999999999</v>
      </c>
      <c r="N25" s="41">
        <v>72</v>
      </c>
      <c r="O25" s="41">
        <v>0</v>
      </c>
      <c r="P25" s="41">
        <v>0.7</v>
      </c>
      <c r="Q25" s="41">
        <v>-52.27</v>
      </c>
      <c r="R25" s="38"/>
      <c r="S25" s="38"/>
      <c r="T25" s="38"/>
      <c r="U25" s="38"/>
    </row>
    <row r="26" spans="1:21" customFormat="1">
      <c r="A26" s="40" t="s">
        <v>606</v>
      </c>
      <c r="B26" s="41">
        <v>3.92</v>
      </c>
      <c r="C26" s="41">
        <v>16.559999999999999</v>
      </c>
      <c r="D26" s="41">
        <v>13.12</v>
      </c>
      <c r="E26" s="41">
        <v>19.559999999999999</v>
      </c>
      <c r="F26" s="41">
        <v>79.41</v>
      </c>
      <c r="G26" s="41">
        <v>30.62</v>
      </c>
      <c r="H26" s="41">
        <v>32.67</v>
      </c>
      <c r="I26" s="41">
        <v>7.55</v>
      </c>
      <c r="J26" s="41">
        <v>0.81</v>
      </c>
      <c r="K26" s="41">
        <v>261.01</v>
      </c>
      <c r="L26" s="41">
        <v>31.6</v>
      </c>
      <c r="M26" s="41">
        <v>22.28</v>
      </c>
      <c r="N26" s="41">
        <v>21.2</v>
      </c>
      <c r="O26" s="41">
        <v>0</v>
      </c>
      <c r="P26" s="41">
        <v>0.64</v>
      </c>
      <c r="Q26" s="41">
        <v>-52.3</v>
      </c>
      <c r="R26" s="38"/>
      <c r="S26" s="38"/>
      <c r="T26" s="38"/>
      <c r="U26" s="38"/>
    </row>
    <row r="27" spans="1:21" customFormat="1">
      <c r="A27" s="40" t="s">
        <v>607</v>
      </c>
      <c r="B27" s="41">
        <v>4.37</v>
      </c>
      <c r="C27" s="41">
        <v>15.9</v>
      </c>
      <c r="D27" s="41">
        <v>13.14</v>
      </c>
      <c r="E27" s="41">
        <v>11.62</v>
      </c>
      <c r="F27" s="41">
        <v>70.8</v>
      </c>
      <c r="G27" s="41">
        <v>32.74</v>
      </c>
      <c r="H27" s="41">
        <v>29.09</v>
      </c>
      <c r="I27" s="41">
        <v>7.34</v>
      </c>
      <c r="J27" s="41">
        <v>0.3</v>
      </c>
      <c r="K27" s="41">
        <v>178.62</v>
      </c>
      <c r="L27" s="41">
        <v>28.14</v>
      </c>
      <c r="M27" s="41">
        <v>40.35</v>
      </c>
      <c r="N27" s="41">
        <v>2.1</v>
      </c>
      <c r="O27" s="41">
        <v>0</v>
      </c>
      <c r="P27" s="41">
        <v>0.67</v>
      </c>
      <c r="Q27" s="41">
        <v>-52.34</v>
      </c>
      <c r="R27" s="38"/>
      <c r="S27" s="38"/>
      <c r="T27" s="38"/>
      <c r="U27" s="38"/>
    </row>
    <row r="28" spans="1:21" customFormat="1">
      <c r="A28" s="40" t="s">
        <v>608</v>
      </c>
      <c r="B28" s="41">
        <v>4.7</v>
      </c>
      <c r="C28" s="41">
        <v>17.149999999999999</v>
      </c>
      <c r="D28" s="41">
        <v>14.08</v>
      </c>
      <c r="E28" s="41">
        <v>11</v>
      </c>
      <c r="F28" s="41">
        <v>40.159999999999997</v>
      </c>
      <c r="G28" s="41">
        <v>35.07</v>
      </c>
      <c r="H28" s="41">
        <v>25.16</v>
      </c>
      <c r="I28" s="41">
        <v>7.66</v>
      </c>
      <c r="J28" s="41">
        <v>0.25</v>
      </c>
      <c r="K28" s="41">
        <v>174.64</v>
      </c>
      <c r="L28" s="41">
        <v>24.99</v>
      </c>
      <c r="M28" s="41">
        <v>45.15</v>
      </c>
      <c r="N28" s="41">
        <v>1.3</v>
      </c>
      <c r="O28" s="41">
        <v>0</v>
      </c>
      <c r="P28" s="41">
        <v>0.66</v>
      </c>
      <c r="Q28" s="41">
        <v>-51.42</v>
      </c>
      <c r="R28" s="38"/>
      <c r="S28" s="38"/>
      <c r="T28" s="38"/>
      <c r="U28" s="38"/>
    </row>
    <row r="29" spans="1:21" customFormat="1">
      <c r="A29" s="40" t="s">
        <v>609</v>
      </c>
      <c r="B29" s="41">
        <v>6.6</v>
      </c>
      <c r="C29" s="41">
        <v>21.11</v>
      </c>
      <c r="D29" s="41">
        <v>17.670000000000002</v>
      </c>
      <c r="E29" s="41">
        <v>11.32</v>
      </c>
      <c r="F29" s="41">
        <v>29.23</v>
      </c>
      <c r="G29" s="41">
        <v>58.31</v>
      </c>
      <c r="H29" s="41">
        <v>25.16</v>
      </c>
      <c r="I29" s="41">
        <v>8.2899999999999991</v>
      </c>
      <c r="J29" s="41">
        <v>0.32</v>
      </c>
      <c r="K29" s="41">
        <v>199.15</v>
      </c>
      <c r="L29" s="41">
        <v>24.11</v>
      </c>
      <c r="M29" s="41">
        <v>51.59</v>
      </c>
      <c r="N29" s="41">
        <v>1.5</v>
      </c>
      <c r="O29" s="41">
        <v>0</v>
      </c>
      <c r="P29" s="41">
        <v>0.72</v>
      </c>
      <c r="Q29" s="41">
        <v>-51.31</v>
      </c>
      <c r="R29" s="38"/>
      <c r="S29" s="38"/>
      <c r="T29" s="38"/>
      <c r="U29" s="38"/>
    </row>
    <row r="30" spans="1:21" customFormat="1">
      <c r="A30" s="40" t="s">
        <v>610</v>
      </c>
      <c r="B30" s="41">
        <v>6.78</v>
      </c>
      <c r="C30" s="41">
        <v>21.47</v>
      </c>
      <c r="D30" s="41">
        <v>17.940000000000001</v>
      </c>
      <c r="E30" s="41">
        <v>10.98</v>
      </c>
      <c r="F30" s="41">
        <v>17.559999999999999</v>
      </c>
      <c r="G30" s="41">
        <v>66.849999999999994</v>
      </c>
      <c r="H30" s="41">
        <v>24.37</v>
      </c>
      <c r="I30" s="41">
        <v>9.24</v>
      </c>
      <c r="J30" s="41">
        <v>0.28000000000000003</v>
      </c>
      <c r="K30" s="41">
        <v>183.88</v>
      </c>
      <c r="L30" s="41">
        <v>22.09</v>
      </c>
      <c r="M30" s="41">
        <v>57.61</v>
      </c>
      <c r="N30" s="41">
        <v>1</v>
      </c>
      <c r="O30" s="41">
        <v>0</v>
      </c>
      <c r="P30" s="41">
        <v>0.77</v>
      </c>
      <c r="Q30" s="41">
        <v>-51.29</v>
      </c>
      <c r="R30" s="38"/>
      <c r="S30" s="38"/>
      <c r="T30" s="38"/>
      <c r="U30" s="38"/>
    </row>
    <row r="31" spans="1:21" customFormat="1">
      <c r="A31" s="40" t="s">
        <v>611</v>
      </c>
      <c r="B31" s="41">
        <v>7.01</v>
      </c>
      <c r="C31" s="41">
        <v>21.2</v>
      </c>
      <c r="D31" s="41">
        <v>17.98</v>
      </c>
      <c r="E31" s="41">
        <v>11.02</v>
      </c>
      <c r="F31" s="41">
        <v>12.13</v>
      </c>
      <c r="G31" s="41">
        <v>66.849999999999994</v>
      </c>
      <c r="H31" s="41">
        <v>24.37</v>
      </c>
      <c r="I31" s="41">
        <v>9.89</v>
      </c>
      <c r="J31" s="41">
        <v>0.23</v>
      </c>
      <c r="K31" s="41">
        <v>189.32</v>
      </c>
      <c r="L31" s="41">
        <v>21.04</v>
      </c>
      <c r="M31" s="41">
        <v>61.4</v>
      </c>
      <c r="N31" s="41">
        <v>1.1000000000000001</v>
      </c>
      <c r="O31" s="41">
        <v>0</v>
      </c>
      <c r="P31" s="41">
        <v>0.81</v>
      </c>
      <c r="Q31" s="41">
        <v>-51.29</v>
      </c>
      <c r="R31" s="38"/>
      <c r="S31" s="38"/>
      <c r="T31" s="38"/>
      <c r="U31" s="38"/>
    </row>
    <row r="32" spans="1:21" customFormat="1">
      <c r="A32" s="40" t="s">
        <v>612</v>
      </c>
      <c r="B32" s="41">
        <v>7.41</v>
      </c>
      <c r="C32" s="41">
        <v>20.91</v>
      </c>
      <c r="D32" s="41">
        <v>18.18</v>
      </c>
      <c r="E32" s="41">
        <v>11.23</v>
      </c>
      <c r="F32" s="41">
        <v>11.84</v>
      </c>
      <c r="G32" s="41">
        <v>62.84</v>
      </c>
      <c r="H32" s="41">
        <v>20.95</v>
      </c>
      <c r="I32" s="41">
        <v>10.35</v>
      </c>
      <c r="J32" s="41">
        <v>0.34</v>
      </c>
      <c r="K32" s="41">
        <v>190.53</v>
      </c>
      <c r="L32" s="41">
        <v>20.61</v>
      </c>
      <c r="M32" s="41">
        <v>60.57</v>
      </c>
      <c r="N32" s="41">
        <v>1.2</v>
      </c>
      <c r="O32" s="41">
        <v>0</v>
      </c>
      <c r="P32" s="41">
        <v>0.84</v>
      </c>
      <c r="Q32" s="41">
        <v>-51.3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3.91</v>
      </c>
      <c r="C34" s="18">
        <f t="shared" si="0"/>
        <v>15.9</v>
      </c>
      <c r="D34" s="18">
        <f t="shared" si="0"/>
        <v>13.12</v>
      </c>
      <c r="E34" s="18">
        <f t="shared" si="0"/>
        <v>9.61</v>
      </c>
      <c r="F34" s="18">
        <f t="shared" si="0"/>
        <v>3.63</v>
      </c>
      <c r="G34" s="18">
        <f t="shared" si="0"/>
        <v>30.62</v>
      </c>
      <c r="H34" s="18">
        <f t="shared" si="0"/>
        <v>16.149999999999999</v>
      </c>
      <c r="I34" s="18">
        <f t="shared" si="0"/>
        <v>7.34</v>
      </c>
      <c r="J34" s="18">
        <f t="shared" si="0"/>
        <v>0.2</v>
      </c>
      <c r="K34" s="18">
        <f t="shared" si="0"/>
        <v>148.68</v>
      </c>
      <c r="L34" s="18">
        <f t="shared" si="0"/>
        <v>14.97</v>
      </c>
      <c r="M34" s="18">
        <f t="shared" si="0"/>
        <v>15.55</v>
      </c>
      <c r="N34" s="18">
        <f t="shared" si="0"/>
        <v>1</v>
      </c>
      <c r="O34" s="18">
        <f t="shared" si="0"/>
        <v>0</v>
      </c>
      <c r="P34" s="18">
        <f t="shared" si="0"/>
        <v>0.64</v>
      </c>
      <c r="Q34" s="18">
        <f t="shared" si="0"/>
        <v>-52.37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15.99</v>
      </c>
      <c r="C35" s="3">
        <f t="shared" si="1"/>
        <v>25.79</v>
      </c>
      <c r="D35" s="3">
        <f t="shared" si="1"/>
        <v>27.13</v>
      </c>
      <c r="E35" s="3">
        <f t="shared" si="1"/>
        <v>22.11</v>
      </c>
      <c r="F35" s="3">
        <f t="shared" si="1"/>
        <v>79.87</v>
      </c>
      <c r="G35" s="3">
        <f t="shared" si="1"/>
        <v>74.180000000000007</v>
      </c>
      <c r="H35" s="3">
        <f t="shared" si="1"/>
        <v>34.08</v>
      </c>
      <c r="I35" s="3">
        <f t="shared" si="1"/>
        <v>11.76</v>
      </c>
      <c r="J35" s="3">
        <f t="shared" si="1"/>
        <v>1.21</v>
      </c>
      <c r="K35" s="3">
        <f t="shared" si="1"/>
        <v>319.52999999999997</v>
      </c>
      <c r="L35" s="3">
        <f t="shared" si="1"/>
        <v>34.11</v>
      </c>
      <c r="M35" s="3">
        <f t="shared" si="1"/>
        <v>79.510000000000005</v>
      </c>
      <c r="N35" s="3">
        <f t="shared" si="1"/>
        <v>380.6</v>
      </c>
      <c r="O35" s="3">
        <f t="shared" si="1"/>
        <v>0</v>
      </c>
      <c r="P35" s="3">
        <f t="shared" si="1"/>
        <v>0.87</v>
      </c>
      <c r="Q35" s="3">
        <f t="shared" si="1"/>
        <v>-50.92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8.2204166666666652</v>
      </c>
      <c r="C36" s="18">
        <f t="shared" si="2"/>
        <v>21.958749999999998</v>
      </c>
      <c r="D36" s="18">
        <f t="shared" si="2"/>
        <v>19.135833333333334</v>
      </c>
      <c r="E36" s="18">
        <f t="shared" si="2"/>
        <v>12.770833333333334</v>
      </c>
      <c r="F36" s="18">
        <f t="shared" si="2"/>
        <v>31.611666666666661</v>
      </c>
      <c r="G36" s="18">
        <f t="shared" si="2"/>
        <v>59.557916666666642</v>
      </c>
      <c r="H36" s="18">
        <f t="shared" si="2"/>
        <v>25.032916666666669</v>
      </c>
      <c r="I36" s="18">
        <f t="shared" si="2"/>
        <v>9.6179166666666678</v>
      </c>
      <c r="J36" s="18">
        <f t="shared" si="2"/>
        <v>0.50749999999999995</v>
      </c>
      <c r="K36" s="18">
        <f t="shared" si="2"/>
        <v>227.97</v>
      </c>
      <c r="L36" s="18">
        <f t="shared" si="2"/>
        <v>24.707083333333333</v>
      </c>
      <c r="M36" s="18">
        <f t="shared" si="2"/>
        <v>47.544166666666676</v>
      </c>
      <c r="N36" s="18">
        <f t="shared" si="2"/>
        <v>108.17083333333333</v>
      </c>
      <c r="O36" s="18">
        <f t="shared" si="2"/>
        <v>0</v>
      </c>
      <c r="P36" s="18">
        <f t="shared" si="2"/>
        <v>0.75666666666666671</v>
      </c>
      <c r="Q36" s="18">
        <f t="shared" si="2"/>
        <v>-51.580833333333324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3.7316198594393728</v>
      </c>
      <c r="C37" s="18">
        <f t="shared" ref="C37:Q37" si="3">STDEV(C9:C32)</f>
        <v>3.0101456161512967</v>
      </c>
      <c r="D37" s="18">
        <f t="shared" si="3"/>
        <v>4.1702172987555937</v>
      </c>
      <c r="E37" s="18">
        <f t="shared" si="3"/>
        <v>3.5771009839359222</v>
      </c>
      <c r="F37" s="18">
        <f t="shared" si="3"/>
        <v>26.941381886811495</v>
      </c>
      <c r="G37" s="18">
        <f t="shared" si="3"/>
        <v>12.816297362331849</v>
      </c>
      <c r="H37" s="18">
        <f t="shared" si="3"/>
        <v>6.0354715814213566</v>
      </c>
      <c r="I37" s="18">
        <f t="shared" si="3"/>
        <v>1.2352890144720683</v>
      </c>
      <c r="J37" s="18">
        <f t="shared" si="3"/>
        <v>0.3338347677727907</v>
      </c>
      <c r="K37" s="18">
        <f t="shared" si="3"/>
        <v>55.282186768551782</v>
      </c>
      <c r="L37" s="18">
        <f t="shared" si="3"/>
        <v>6.8376632667363308</v>
      </c>
      <c r="M37" s="18">
        <f t="shared" si="3"/>
        <v>23.008479706529851</v>
      </c>
      <c r="N37" s="18">
        <f t="shared" si="3"/>
        <v>155.94254649700642</v>
      </c>
      <c r="O37" s="18">
        <f t="shared" si="3"/>
        <v>0</v>
      </c>
      <c r="P37" s="18">
        <f t="shared" si="3"/>
        <v>7.1302580395203735E-2</v>
      </c>
      <c r="Q37" s="18">
        <f t="shared" si="3"/>
        <v>0.53835430927860217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N25" sqref="N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613</v>
      </c>
      <c r="B9" s="41">
        <v>8.08</v>
      </c>
      <c r="C9" s="41">
        <v>21.49</v>
      </c>
      <c r="D9" s="41">
        <v>18.98</v>
      </c>
      <c r="E9" s="41">
        <v>10.69</v>
      </c>
      <c r="F9" s="41">
        <v>5.33</v>
      </c>
      <c r="G9" s="41">
        <v>65.23</v>
      </c>
      <c r="H9" s="41">
        <v>22.24</v>
      </c>
      <c r="I9" s="41">
        <v>10.84</v>
      </c>
      <c r="J9" s="41">
        <v>0.18</v>
      </c>
      <c r="K9" s="41">
        <v>203.27</v>
      </c>
      <c r="L9" s="41">
        <v>19.920000000000002</v>
      </c>
      <c r="M9" s="41">
        <v>64.959999999999994</v>
      </c>
      <c r="N9" s="41">
        <v>1.2</v>
      </c>
      <c r="O9" s="41">
        <v>0</v>
      </c>
      <c r="P9" s="41">
        <v>0.95</v>
      </c>
      <c r="Q9" s="41">
        <v>-51.38</v>
      </c>
      <c r="R9" s="38"/>
      <c r="S9" s="38"/>
      <c r="T9" s="38"/>
      <c r="U9" s="38"/>
    </row>
    <row r="10" spans="1:21" customFormat="1">
      <c r="A10" s="40" t="s">
        <v>614</v>
      </c>
      <c r="B10" s="41">
        <v>8.84</v>
      </c>
      <c r="C10" s="41">
        <v>21.23</v>
      </c>
      <c r="D10" s="41">
        <v>19.239999999999998</v>
      </c>
      <c r="E10" s="41">
        <v>10.8</v>
      </c>
      <c r="F10" s="41">
        <v>4.3600000000000003</v>
      </c>
      <c r="G10" s="41">
        <v>65.23</v>
      </c>
      <c r="H10" s="41">
        <v>22.24</v>
      </c>
      <c r="I10" s="41">
        <v>11.12</v>
      </c>
      <c r="J10" s="41">
        <v>0.22</v>
      </c>
      <c r="K10" s="41">
        <v>183.14</v>
      </c>
      <c r="L10" s="41">
        <v>19.09</v>
      </c>
      <c r="M10" s="41">
        <v>65.989999999999995</v>
      </c>
      <c r="N10" s="41">
        <v>1</v>
      </c>
      <c r="O10" s="41">
        <v>0</v>
      </c>
      <c r="P10" s="41">
        <v>0.95</v>
      </c>
      <c r="Q10" s="41">
        <v>-52.37</v>
      </c>
      <c r="R10" s="38"/>
      <c r="S10" s="38"/>
      <c r="T10" s="38"/>
      <c r="U10" s="38"/>
    </row>
    <row r="11" spans="1:21" customFormat="1">
      <c r="A11" s="40" t="s">
        <v>615</v>
      </c>
      <c r="B11" s="41">
        <v>10.14</v>
      </c>
      <c r="C11" s="41">
        <v>20.58</v>
      </c>
      <c r="D11" s="41">
        <v>19.86</v>
      </c>
      <c r="E11" s="41">
        <v>10.210000000000001</v>
      </c>
      <c r="F11" s="41">
        <v>3.81</v>
      </c>
      <c r="G11" s="41">
        <v>63.7</v>
      </c>
      <c r="H11" s="41">
        <v>22.46</v>
      </c>
      <c r="I11" s="41">
        <v>11.12</v>
      </c>
      <c r="J11" s="41">
        <v>0.2</v>
      </c>
      <c r="K11" s="41">
        <v>205.19</v>
      </c>
      <c r="L11" s="41">
        <v>18.63</v>
      </c>
      <c r="M11" s="41">
        <v>65.709999999999994</v>
      </c>
      <c r="N11" s="41">
        <v>1.3</v>
      </c>
      <c r="O11" s="41">
        <v>0</v>
      </c>
      <c r="P11" s="41">
        <v>0.95</v>
      </c>
      <c r="Q11" s="41">
        <v>-52.4</v>
      </c>
      <c r="R11" s="38"/>
      <c r="S11" s="38"/>
      <c r="T11" s="38"/>
      <c r="U11" s="38"/>
    </row>
    <row r="12" spans="1:21" customFormat="1">
      <c r="A12" s="40" t="s">
        <v>616</v>
      </c>
      <c r="B12" s="41">
        <v>10.32</v>
      </c>
      <c r="C12" s="41">
        <v>19.72</v>
      </c>
      <c r="D12" s="41">
        <v>19.82</v>
      </c>
      <c r="E12" s="41">
        <v>9.5399999999999991</v>
      </c>
      <c r="F12" s="41">
        <v>3.71</v>
      </c>
      <c r="G12" s="41">
        <v>58.48</v>
      </c>
      <c r="H12" s="41">
        <v>22.46</v>
      </c>
      <c r="I12" s="41">
        <v>11.07</v>
      </c>
      <c r="J12" s="41">
        <v>0.25</v>
      </c>
      <c r="K12" s="41">
        <v>224.3</v>
      </c>
      <c r="L12" s="41">
        <v>18.309999999999999</v>
      </c>
      <c r="M12" s="41">
        <v>68.010000000000005</v>
      </c>
      <c r="N12" s="41">
        <v>1.4</v>
      </c>
      <c r="O12" s="41">
        <v>0</v>
      </c>
      <c r="P12" s="41">
        <v>0.96</v>
      </c>
      <c r="Q12" s="41">
        <v>-52.43</v>
      </c>
      <c r="R12" s="38"/>
      <c r="S12" s="38"/>
      <c r="T12" s="38"/>
      <c r="U12" s="38"/>
    </row>
    <row r="13" spans="1:21" customFormat="1">
      <c r="A13" s="40" t="s">
        <v>617</v>
      </c>
      <c r="B13" s="41">
        <v>11.93</v>
      </c>
      <c r="C13" s="41">
        <v>19.920000000000002</v>
      </c>
      <c r="D13" s="41">
        <v>21.32</v>
      </c>
      <c r="E13" s="41">
        <v>9.8800000000000008</v>
      </c>
      <c r="F13" s="41">
        <v>3.75</v>
      </c>
      <c r="G13" s="41">
        <v>51.14</v>
      </c>
      <c r="H13" s="41">
        <v>17.87</v>
      </c>
      <c r="I13" s="41">
        <v>11.16</v>
      </c>
      <c r="J13" s="41">
        <v>0.21</v>
      </c>
      <c r="K13" s="41">
        <v>188.27</v>
      </c>
      <c r="L13" s="41">
        <v>18.010000000000002</v>
      </c>
      <c r="M13" s="41">
        <v>71.36</v>
      </c>
      <c r="N13" s="41">
        <v>1.3</v>
      </c>
      <c r="O13" s="41">
        <v>0</v>
      </c>
      <c r="P13" s="41">
        <v>0.97</v>
      </c>
      <c r="Q13" s="41">
        <v>-52.37</v>
      </c>
      <c r="R13" s="38"/>
      <c r="S13" s="38"/>
      <c r="T13" s="38"/>
      <c r="U13" s="38"/>
    </row>
    <row r="14" spans="1:21" customFormat="1">
      <c r="A14" s="40" t="s">
        <v>618</v>
      </c>
      <c r="B14" s="41">
        <v>12.06</v>
      </c>
      <c r="C14" s="41">
        <v>20.71</v>
      </c>
      <c r="D14" s="41">
        <v>21.84</v>
      </c>
      <c r="E14" s="41">
        <v>10</v>
      </c>
      <c r="F14" s="41">
        <v>3.73</v>
      </c>
      <c r="G14" s="41">
        <v>47.96</v>
      </c>
      <c r="H14" s="41">
        <v>16.489999999999998</v>
      </c>
      <c r="I14" s="41">
        <v>11.24</v>
      </c>
      <c r="J14" s="41">
        <v>0.24</v>
      </c>
      <c r="K14" s="41">
        <v>200.84</v>
      </c>
      <c r="L14" s="41">
        <v>17.440000000000001</v>
      </c>
      <c r="M14" s="41">
        <v>74.430000000000007</v>
      </c>
      <c r="N14" s="41">
        <v>1.4</v>
      </c>
      <c r="O14" s="41">
        <v>0</v>
      </c>
      <c r="P14" s="41">
        <v>0.9</v>
      </c>
      <c r="Q14" s="41">
        <v>-51.36</v>
      </c>
      <c r="R14" s="38"/>
      <c r="S14" s="38"/>
      <c r="T14" s="38"/>
      <c r="U14" s="38"/>
    </row>
    <row r="15" spans="1:21" customFormat="1">
      <c r="A15" s="40" t="s">
        <v>619</v>
      </c>
      <c r="B15" s="41">
        <v>14.13</v>
      </c>
      <c r="C15" s="41">
        <v>20.95</v>
      </c>
      <c r="D15" s="41">
        <v>23.63</v>
      </c>
      <c r="E15" s="41">
        <v>10.31</v>
      </c>
      <c r="F15" s="41">
        <v>4.03</v>
      </c>
      <c r="G15" s="41">
        <v>47.96</v>
      </c>
      <c r="H15" s="41">
        <v>16.489999999999998</v>
      </c>
      <c r="I15" s="41">
        <v>11.23</v>
      </c>
      <c r="J15" s="41">
        <v>0.17</v>
      </c>
      <c r="K15" s="41">
        <v>181.21</v>
      </c>
      <c r="L15" s="41">
        <v>17</v>
      </c>
      <c r="M15" s="41">
        <v>76.099999999999994</v>
      </c>
      <c r="N15" s="41">
        <v>10.4</v>
      </c>
      <c r="O15" s="41">
        <v>0</v>
      </c>
      <c r="P15" s="41">
        <v>0.86</v>
      </c>
      <c r="Q15" s="41">
        <v>-51.32</v>
      </c>
      <c r="R15" s="38"/>
      <c r="S15" s="38"/>
      <c r="T15" s="38"/>
      <c r="U15" s="38"/>
    </row>
    <row r="16" spans="1:21" customFormat="1">
      <c r="A16" s="40" t="s">
        <v>620</v>
      </c>
      <c r="B16" s="41">
        <v>15.72</v>
      </c>
      <c r="C16" s="41">
        <v>21.51</v>
      </c>
      <c r="D16" s="41">
        <v>25.16</v>
      </c>
      <c r="E16" s="41">
        <v>10.4</v>
      </c>
      <c r="F16" s="41">
        <v>6.65</v>
      </c>
      <c r="G16" s="41">
        <v>49.93</v>
      </c>
      <c r="H16" s="41">
        <v>16.32</v>
      </c>
      <c r="I16" s="41">
        <v>11.03</v>
      </c>
      <c r="J16" s="41">
        <v>0.39</v>
      </c>
      <c r="K16" s="41">
        <v>171.36</v>
      </c>
      <c r="L16" s="41">
        <v>19.940000000000001</v>
      </c>
      <c r="M16" s="41">
        <v>71.64</v>
      </c>
      <c r="N16" s="41">
        <v>38</v>
      </c>
      <c r="O16" s="41">
        <v>0</v>
      </c>
      <c r="P16" s="41">
        <v>0.86</v>
      </c>
      <c r="Q16" s="41">
        <v>-51.24</v>
      </c>
      <c r="R16" s="38"/>
      <c r="S16" s="38"/>
      <c r="T16" s="38"/>
      <c r="U16" s="38"/>
    </row>
    <row r="17" spans="1:21" customFormat="1">
      <c r="A17" s="40" t="s">
        <v>621</v>
      </c>
      <c r="B17" s="41">
        <v>14.76</v>
      </c>
      <c r="C17" s="41">
        <v>21.67</v>
      </c>
      <c r="D17" s="41">
        <v>24.43</v>
      </c>
      <c r="E17" s="41">
        <v>9.93</v>
      </c>
      <c r="F17" s="41">
        <v>11.23</v>
      </c>
      <c r="G17" s="41">
        <v>63.83</v>
      </c>
      <c r="H17" s="41">
        <v>18.95</v>
      </c>
      <c r="I17" s="41">
        <v>10.97</v>
      </c>
      <c r="J17" s="41">
        <v>0.43</v>
      </c>
      <c r="K17" s="41">
        <v>269.73</v>
      </c>
      <c r="L17" s="41">
        <v>24.65</v>
      </c>
      <c r="M17" s="41">
        <v>54.07</v>
      </c>
      <c r="N17" s="41">
        <v>233.2</v>
      </c>
      <c r="O17" s="41">
        <v>0</v>
      </c>
      <c r="P17" s="41">
        <v>0.87</v>
      </c>
      <c r="Q17" s="41">
        <v>-51.24</v>
      </c>
      <c r="R17" s="38"/>
      <c r="S17" s="38"/>
      <c r="T17" s="38"/>
      <c r="U17" s="38"/>
    </row>
    <row r="18" spans="1:21" customFormat="1">
      <c r="A18" s="40" t="s">
        <v>622</v>
      </c>
      <c r="B18" s="41">
        <v>11.12</v>
      </c>
      <c r="C18" s="41">
        <v>22.77</v>
      </c>
      <c r="D18" s="41">
        <v>21.57</v>
      </c>
      <c r="E18" s="41">
        <v>10.93</v>
      </c>
      <c r="F18" s="41">
        <v>10.53</v>
      </c>
      <c r="G18" s="41">
        <v>70.13</v>
      </c>
      <c r="H18" s="41">
        <v>23.66</v>
      </c>
      <c r="I18" s="41">
        <v>11.33</v>
      </c>
      <c r="J18" s="41">
        <v>0.44</v>
      </c>
      <c r="K18" s="41">
        <v>312.55</v>
      </c>
      <c r="L18" s="41">
        <v>29.06</v>
      </c>
      <c r="M18" s="41">
        <v>39.47</v>
      </c>
      <c r="N18" s="41">
        <v>308.89999999999998</v>
      </c>
      <c r="O18" s="41">
        <v>0</v>
      </c>
      <c r="P18" s="41">
        <v>0.88</v>
      </c>
      <c r="Q18" s="41">
        <v>-51.15</v>
      </c>
      <c r="R18" s="38"/>
      <c r="S18" s="38"/>
      <c r="T18" s="38"/>
      <c r="U18" s="38"/>
    </row>
    <row r="19" spans="1:21" customFormat="1">
      <c r="A19" s="40" t="s">
        <v>623</v>
      </c>
      <c r="B19" s="41">
        <v>10.33</v>
      </c>
      <c r="C19" s="41">
        <v>22.4</v>
      </c>
      <c r="D19" s="41">
        <v>19.97</v>
      </c>
      <c r="E19" s="41">
        <v>13.32</v>
      </c>
      <c r="F19" s="41">
        <v>16.7</v>
      </c>
      <c r="G19" s="41">
        <v>70.13</v>
      </c>
      <c r="H19" s="41">
        <v>26.31</v>
      </c>
      <c r="I19" s="41">
        <v>11.36</v>
      </c>
      <c r="J19" s="41">
        <v>1.02</v>
      </c>
      <c r="K19" s="41">
        <v>57.72</v>
      </c>
      <c r="L19" s="41">
        <v>30.95</v>
      </c>
      <c r="M19" s="41">
        <v>26.28</v>
      </c>
      <c r="N19" s="41">
        <v>340.1</v>
      </c>
      <c r="O19" s="41">
        <v>0</v>
      </c>
      <c r="P19" s="41">
        <v>0.91</v>
      </c>
      <c r="Q19" s="41">
        <v>-51.43</v>
      </c>
      <c r="R19" s="38"/>
      <c r="S19" s="38"/>
      <c r="T19" s="38"/>
      <c r="U19" s="38"/>
    </row>
    <row r="20" spans="1:21" customFormat="1">
      <c r="A20" s="40" t="s">
        <v>624</v>
      </c>
      <c r="B20" s="41">
        <v>10.41</v>
      </c>
      <c r="C20" s="41">
        <v>21.44</v>
      </c>
      <c r="D20" s="41">
        <v>19.78</v>
      </c>
      <c r="E20" s="41">
        <v>13.92</v>
      </c>
      <c r="F20" s="41">
        <v>14.08</v>
      </c>
      <c r="G20" s="41">
        <v>70.55</v>
      </c>
      <c r="H20" s="41">
        <v>30.37</v>
      </c>
      <c r="I20" s="41">
        <v>10.87</v>
      </c>
      <c r="J20" s="41">
        <v>1.03</v>
      </c>
      <c r="K20" s="41">
        <v>46.39</v>
      </c>
      <c r="L20" s="41">
        <v>32.56</v>
      </c>
      <c r="M20" s="41">
        <v>23.42</v>
      </c>
      <c r="N20" s="41">
        <v>349.4</v>
      </c>
      <c r="O20" s="41">
        <v>0</v>
      </c>
      <c r="P20" s="41">
        <v>0.89</v>
      </c>
      <c r="Q20" s="41">
        <v>-52.12</v>
      </c>
      <c r="R20" s="38"/>
      <c r="S20" s="38"/>
      <c r="T20" s="38"/>
      <c r="U20" s="38"/>
    </row>
    <row r="21" spans="1:21" customFormat="1">
      <c r="A21" s="40" t="s">
        <v>625</v>
      </c>
      <c r="B21" s="41">
        <v>4.9400000000000004</v>
      </c>
      <c r="C21" s="41">
        <v>22</v>
      </c>
      <c r="D21" s="41">
        <v>16.7</v>
      </c>
      <c r="E21" s="41">
        <v>18.18</v>
      </c>
      <c r="F21" s="41">
        <v>9.7200000000000006</v>
      </c>
      <c r="G21" s="41">
        <v>70.55</v>
      </c>
      <c r="H21" s="41">
        <v>31.84</v>
      </c>
      <c r="I21" s="41">
        <v>10.53</v>
      </c>
      <c r="J21" s="41">
        <v>1.23</v>
      </c>
      <c r="K21" s="41">
        <v>50.96</v>
      </c>
      <c r="L21" s="41">
        <v>33.26</v>
      </c>
      <c r="M21" s="41">
        <v>20.52</v>
      </c>
      <c r="N21" s="41">
        <v>365.4</v>
      </c>
      <c r="O21" s="41">
        <v>0</v>
      </c>
      <c r="P21" s="41">
        <v>0.86</v>
      </c>
      <c r="Q21" s="41">
        <v>-52.3</v>
      </c>
      <c r="R21" s="38"/>
      <c r="S21" s="38"/>
      <c r="T21" s="38"/>
      <c r="U21" s="38"/>
    </row>
    <row r="22" spans="1:21" customFormat="1">
      <c r="A22" s="40" t="s">
        <v>626</v>
      </c>
      <c r="B22" s="41">
        <v>4.53</v>
      </c>
      <c r="C22" s="41">
        <v>21.49</v>
      </c>
      <c r="D22" s="41">
        <v>16.14</v>
      </c>
      <c r="E22" s="41">
        <v>19.14</v>
      </c>
      <c r="F22" s="41">
        <v>10.31</v>
      </c>
      <c r="G22" s="41">
        <v>68.87</v>
      </c>
      <c r="H22" s="41">
        <v>32.81</v>
      </c>
      <c r="I22" s="41">
        <v>9.7200000000000006</v>
      </c>
      <c r="J22" s="41">
        <v>0.99</v>
      </c>
      <c r="K22" s="41">
        <v>335.43</v>
      </c>
      <c r="L22" s="41">
        <v>33.67</v>
      </c>
      <c r="M22" s="41">
        <v>18.59</v>
      </c>
      <c r="N22" s="41">
        <v>374.7</v>
      </c>
      <c r="O22" s="41">
        <v>0</v>
      </c>
      <c r="P22" s="41">
        <v>0.79</v>
      </c>
      <c r="Q22" s="41">
        <v>-52.3</v>
      </c>
      <c r="R22" s="38"/>
      <c r="S22" s="38"/>
      <c r="T22" s="38"/>
      <c r="U22" s="38"/>
    </row>
    <row r="23" spans="1:21" customFormat="1">
      <c r="A23" s="40" t="s">
        <v>627</v>
      </c>
      <c r="B23" s="41">
        <v>4.24</v>
      </c>
      <c r="C23" s="41">
        <v>20.51</v>
      </c>
      <c r="D23" s="41">
        <v>15.46</v>
      </c>
      <c r="E23" s="41">
        <v>13.64</v>
      </c>
      <c r="F23" s="41">
        <v>10.69</v>
      </c>
      <c r="G23" s="41">
        <v>64.739999999999995</v>
      </c>
      <c r="H23" s="41">
        <v>32.81</v>
      </c>
      <c r="I23" s="41">
        <v>8.7200000000000006</v>
      </c>
      <c r="J23" s="41">
        <v>0.93</v>
      </c>
      <c r="K23" s="41">
        <v>336.72</v>
      </c>
      <c r="L23" s="41">
        <v>34.01</v>
      </c>
      <c r="M23" s="41">
        <v>19.190000000000001</v>
      </c>
      <c r="N23" s="41">
        <v>356.8</v>
      </c>
      <c r="O23" s="41">
        <v>0</v>
      </c>
      <c r="P23" s="41">
        <v>0.56000000000000005</v>
      </c>
      <c r="Q23" s="41">
        <v>-52.02</v>
      </c>
      <c r="R23" s="38"/>
      <c r="S23" s="38"/>
      <c r="T23" s="38"/>
      <c r="U23" s="38"/>
    </row>
    <row r="24" spans="1:21" customFormat="1">
      <c r="A24" s="40" t="s">
        <v>628</v>
      </c>
      <c r="B24" s="41">
        <v>4.05</v>
      </c>
      <c r="C24" s="41">
        <v>21.13</v>
      </c>
      <c r="D24" s="41">
        <v>15.53</v>
      </c>
      <c r="E24" s="41">
        <v>12.46</v>
      </c>
      <c r="F24" s="41">
        <v>16</v>
      </c>
      <c r="G24" s="41">
        <v>56.44</v>
      </c>
      <c r="H24" s="41">
        <v>30.1</v>
      </c>
      <c r="I24" s="41">
        <v>7.7</v>
      </c>
      <c r="J24" s="41">
        <v>0.86</v>
      </c>
      <c r="K24" s="41">
        <v>333.15</v>
      </c>
      <c r="L24" s="41">
        <v>32.979999999999997</v>
      </c>
      <c r="M24" s="41">
        <v>19.739999999999998</v>
      </c>
      <c r="N24" s="41">
        <v>56.5</v>
      </c>
      <c r="O24" s="41">
        <v>0</v>
      </c>
      <c r="P24" s="41">
        <v>0.45</v>
      </c>
      <c r="Q24" s="41">
        <v>-51.17</v>
      </c>
      <c r="R24" s="38"/>
      <c r="S24" s="38"/>
      <c r="T24" s="38"/>
      <c r="U24" s="38"/>
    </row>
    <row r="25" spans="1:21" customFormat="1">
      <c r="A25" s="40" t="s">
        <v>629</v>
      </c>
      <c r="B25" s="41">
        <v>4.08</v>
      </c>
      <c r="C25" s="41">
        <v>21.29</v>
      </c>
      <c r="D25" s="41">
        <v>15.74</v>
      </c>
      <c r="E25" s="41">
        <v>12.82</v>
      </c>
      <c r="F25" s="41">
        <v>21.94</v>
      </c>
      <c r="G25" s="41">
        <v>51.79</v>
      </c>
      <c r="H25" s="41">
        <v>30.1</v>
      </c>
      <c r="I25" s="41">
        <v>7.03</v>
      </c>
      <c r="J25" s="41">
        <v>0.71</v>
      </c>
      <c r="K25" s="41">
        <v>330.6</v>
      </c>
      <c r="L25" s="41">
        <v>32.619999999999997</v>
      </c>
      <c r="M25" s="41">
        <v>21.03</v>
      </c>
      <c r="N25" s="41">
        <v>102.5</v>
      </c>
      <c r="O25" s="41">
        <v>0</v>
      </c>
      <c r="P25" s="41">
        <v>0.42</v>
      </c>
      <c r="Q25" s="41">
        <v>-51.16</v>
      </c>
      <c r="R25" s="38"/>
      <c r="S25" s="38"/>
      <c r="T25" s="38"/>
      <c r="U25" s="38"/>
    </row>
    <row r="26" spans="1:21" customFormat="1">
      <c r="A26" s="40" t="s">
        <v>630</v>
      </c>
      <c r="B26" s="41">
        <v>5.58</v>
      </c>
      <c r="C26" s="41">
        <v>24.54</v>
      </c>
      <c r="D26" s="41">
        <v>18.64</v>
      </c>
      <c r="E26" s="41">
        <v>13.06</v>
      </c>
      <c r="F26" s="41">
        <v>24.75</v>
      </c>
      <c r="G26" s="41">
        <v>46.97</v>
      </c>
      <c r="H26" s="41">
        <v>27.43</v>
      </c>
      <c r="I26" s="41">
        <v>6.35</v>
      </c>
      <c r="J26" s="41">
        <v>0.88</v>
      </c>
      <c r="K26" s="41">
        <v>56.67</v>
      </c>
      <c r="L26" s="41">
        <v>31.93</v>
      </c>
      <c r="M26" s="41">
        <v>24.19</v>
      </c>
      <c r="N26" s="41">
        <v>20.7</v>
      </c>
      <c r="O26" s="41">
        <v>0</v>
      </c>
      <c r="P26" s="41">
        <v>0.45</v>
      </c>
      <c r="Q26" s="41">
        <v>-51.2</v>
      </c>
      <c r="R26" s="38"/>
      <c r="S26" s="38"/>
      <c r="T26" s="38"/>
      <c r="U26" s="38"/>
    </row>
    <row r="27" spans="1:21" customFormat="1">
      <c r="A27" s="40" t="s">
        <v>631</v>
      </c>
      <c r="B27" s="41">
        <v>7.83</v>
      </c>
      <c r="C27" s="41">
        <v>26.54</v>
      </c>
      <c r="D27" s="41">
        <v>21.45</v>
      </c>
      <c r="E27" s="41">
        <v>9.61</v>
      </c>
      <c r="F27" s="41">
        <v>29.81</v>
      </c>
      <c r="G27" s="41">
        <v>47.13</v>
      </c>
      <c r="H27" s="41">
        <v>27.43</v>
      </c>
      <c r="I27" s="41">
        <v>6.72</v>
      </c>
      <c r="J27" s="41">
        <v>0.61</v>
      </c>
      <c r="K27" s="41">
        <v>163.74</v>
      </c>
      <c r="L27" s="41">
        <v>29.82</v>
      </c>
      <c r="M27" s="41">
        <v>43.09</v>
      </c>
      <c r="N27" s="41">
        <v>2.1</v>
      </c>
      <c r="O27" s="41">
        <v>0</v>
      </c>
      <c r="P27" s="41">
        <v>0.51</v>
      </c>
      <c r="Q27" s="41">
        <v>-51.21</v>
      </c>
      <c r="R27" s="38"/>
      <c r="S27" s="38"/>
      <c r="T27" s="38"/>
      <c r="U27" s="38"/>
    </row>
    <row r="28" spans="1:21" customFormat="1">
      <c r="A28" s="40" t="s">
        <v>632</v>
      </c>
      <c r="B28" s="41">
        <v>8</v>
      </c>
      <c r="C28" s="41">
        <v>26.19</v>
      </c>
      <c r="D28" s="41">
        <v>21.29</v>
      </c>
      <c r="E28" s="41">
        <v>9.57</v>
      </c>
      <c r="F28" s="41">
        <v>24.48</v>
      </c>
      <c r="G28" s="41">
        <v>62.93</v>
      </c>
      <c r="H28" s="41">
        <v>26.74</v>
      </c>
      <c r="I28" s="41">
        <v>7.36</v>
      </c>
      <c r="J28" s="41">
        <v>0.25</v>
      </c>
      <c r="K28" s="41">
        <v>190.97</v>
      </c>
      <c r="L28" s="41">
        <v>26</v>
      </c>
      <c r="M28" s="41">
        <v>48.15</v>
      </c>
      <c r="N28" s="41">
        <v>2</v>
      </c>
      <c r="O28" s="41">
        <v>0</v>
      </c>
      <c r="P28" s="41">
        <v>0.56999999999999995</v>
      </c>
      <c r="Q28" s="41">
        <v>-51.26</v>
      </c>
      <c r="R28" s="38"/>
      <c r="S28" s="38"/>
      <c r="T28" s="38"/>
      <c r="U28" s="38"/>
    </row>
    <row r="29" spans="1:21" customFormat="1">
      <c r="A29" s="40" t="s">
        <v>633</v>
      </c>
      <c r="B29" s="41">
        <v>9.24</v>
      </c>
      <c r="C29" s="41">
        <v>25.67</v>
      </c>
      <c r="D29" s="41">
        <v>21.39</v>
      </c>
      <c r="E29" s="41">
        <v>9.16</v>
      </c>
      <c r="F29" s="41">
        <v>19.850000000000001</v>
      </c>
      <c r="G29" s="41">
        <v>69.739999999999995</v>
      </c>
      <c r="H29" s="41">
        <v>26.33</v>
      </c>
      <c r="I29" s="41">
        <v>7.99</v>
      </c>
      <c r="J29" s="41">
        <v>0.23</v>
      </c>
      <c r="K29" s="41">
        <v>199.96</v>
      </c>
      <c r="L29" s="41">
        <v>23.99</v>
      </c>
      <c r="M29" s="41">
        <v>54.31</v>
      </c>
      <c r="N29" s="41">
        <v>1.4</v>
      </c>
      <c r="O29" s="41">
        <v>0</v>
      </c>
      <c r="P29" s="41">
        <v>0.66</v>
      </c>
      <c r="Q29" s="41">
        <v>-51.82</v>
      </c>
      <c r="R29" s="38"/>
      <c r="S29" s="38"/>
      <c r="T29" s="38"/>
      <c r="U29" s="38"/>
    </row>
    <row r="30" spans="1:21" customFormat="1">
      <c r="A30" s="40" t="s">
        <v>634</v>
      </c>
      <c r="B30" s="41">
        <v>10.4</v>
      </c>
      <c r="C30" s="41">
        <v>23.56</v>
      </c>
      <c r="D30" s="41">
        <v>21.39</v>
      </c>
      <c r="E30" s="41">
        <v>9.1300000000000008</v>
      </c>
      <c r="F30" s="41">
        <v>16.02</v>
      </c>
      <c r="G30" s="41">
        <v>69.739999999999995</v>
      </c>
      <c r="H30" s="41">
        <v>23.36</v>
      </c>
      <c r="I30" s="41">
        <v>8.33</v>
      </c>
      <c r="J30" s="41">
        <v>0.2</v>
      </c>
      <c r="K30" s="41">
        <v>192.97</v>
      </c>
      <c r="L30" s="41">
        <v>22.57</v>
      </c>
      <c r="M30" s="41">
        <v>56.46</v>
      </c>
      <c r="N30" s="41">
        <v>1.2</v>
      </c>
      <c r="O30" s="41">
        <v>0</v>
      </c>
      <c r="P30" s="41">
        <v>0.68</v>
      </c>
      <c r="Q30" s="41">
        <v>-52.28</v>
      </c>
      <c r="R30" s="38"/>
      <c r="S30" s="38"/>
      <c r="T30" s="38"/>
      <c r="U30" s="38"/>
    </row>
    <row r="31" spans="1:21" customFormat="1">
      <c r="A31" s="40" t="s">
        <v>635</v>
      </c>
      <c r="B31" s="41">
        <v>11.02</v>
      </c>
      <c r="C31" s="41">
        <v>22.22</v>
      </c>
      <c r="D31" s="41">
        <v>21.45</v>
      </c>
      <c r="E31" s="41">
        <v>9.1</v>
      </c>
      <c r="F31" s="41">
        <v>5.43</v>
      </c>
      <c r="G31" s="41">
        <v>70.78</v>
      </c>
      <c r="H31" s="41">
        <v>20.43</v>
      </c>
      <c r="I31" s="41">
        <v>8.66</v>
      </c>
      <c r="J31" s="41">
        <v>0.22</v>
      </c>
      <c r="K31" s="41">
        <v>171.44</v>
      </c>
      <c r="L31" s="41">
        <v>21.96</v>
      </c>
      <c r="M31" s="41">
        <v>59.8</v>
      </c>
      <c r="N31" s="41">
        <v>1.1000000000000001</v>
      </c>
      <c r="O31" s="41">
        <v>0</v>
      </c>
      <c r="P31" s="41">
        <v>0.7</v>
      </c>
      <c r="Q31" s="41">
        <v>-52.35</v>
      </c>
      <c r="R31" s="38"/>
      <c r="S31" s="38"/>
      <c r="T31" s="38"/>
      <c r="U31" s="38"/>
    </row>
    <row r="32" spans="1:21" customFormat="1">
      <c r="A32" s="40" t="s">
        <v>636</v>
      </c>
      <c r="B32" s="41">
        <v>11.55</v>
      </c>
      <c r="C32" s="41">
        <v>21.27</v>
      </c>
      <c r="D32" s="41">
        <v>21.65</v>
      </c>
      <c r="E32" s="41">
        <v>9.83</v>
      </c>
      <c r="F32" s="41">
        <v>4.37</v>
      </c>
      <c r="G32" s="41">
        <v>70.78</v>
      </c>
      <c r="H32" s="41">
        <v>19.91</v>
      </c>
      <c r="I32" s="41">
        <v>8.74</v>
      </c>
      <c r="J32" s="41">
        <v>0.21</v>
      </c>
      <c r="K32" s="41">
        <v>198.44</v>
      </c>
      <c r="L32" s="41">
        <v>21.41</v>
      </c>
      <c r="M32" s="41">
        <v>61.83</v>
      </c>
      <c r="N32" s="41">
        <v>1.4</v>
      </c>
      <c r="O32" s="41">
        <v>0</v>
      </c>
      <c r="P32" s="41">
        <v>0.74</v>
      </c>
      <c r="Q32" s="41">
        <v>-52.38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4.05</v>
      </c>
      <c r="C34" s="18">
        <f t="shared" si="0"/>
        <v>19.72</v>
      </c>
      <c r="D34" s="18">
        <f t="shared" si="0"/>
        <v>15.46</v>
      </c>
      <c r="E34" s="18">
        <f t="shared" si="0"/>
        <v>9.1</v>
      </c>
      <c r="F34" s="18">
        <f t="shared" si="0"/>
        <v>3.71</v>
      </c>
      <c r="G34" s="18">
        <f t="shared" si="0"/>
        <v>46.97</v>
      </c>
      <c r="H34" s="18">
        <f t="shared" si="0"/>
        <v>16.32</v>
      </c>
      <c r="I34" s="18">
        <f t="shared" si="0"/>
        <v>6.35</v>
      </c>
      <c r="J34" s="18">
        <f t="shared" si="0"/>
        <v>0.17</v>
      </c>
      <c r="K34" s="18">
        <f t="shared" si="0"/>
        <v>46.39</v>
      </c>
      <c r="L34" s="18">
        <f t="shared" si="0"/>
        <v>17</v>
      </c>
      <c r="M34" s="18">
        <f t="shared" si="0"/>
        <v>18.59</v>
      </c>
      <c r="N34" s="18">
        <f t="shared" si="0"/>
        <v>1</v>
      </c>
      <c r="O34" s="18">
        <f t="shared" si="0"/>
        <v>0</v>
      </c>
      <c r="P34" s="18">
        <f t="shared" si="0"/>
        <v>0.42</v>
      </c>
      <c r="Q34" s="18">
        <f t="shared" si="0"/>
        <v>-52.43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15.72</v>
      </c>
      <c r="C35" s="3">
        <f t="shared" si="1"/>
        <v>26.54</v>
      </c>
      <c r="D35" s="3">
        <f t="shared" si="1"/>
        <v>25.16</v>
      </c>
      <c r="E35" s="3">
        <f t="shared" si="1"/>
        <v>19.14</v>
      </c>
      <c r="F35" s="3">
        <f t="shared" si="1"/>
        <v>29.81</v>
      </c>
      <c r="G35" s="3">
        <f t="shared" si="1"/>
        <v>70.78</v>
      </c>
      <c r="H35" s="3">
        <f t="shared" si="1"/>
        <v>32.81</v>
      </c>
      <c r="I35" s="3">
        <f t="shared" si="1"/>
        <v>11.36</v>
      </c>
      <c r="J35" s="3">
        <f t="shared" si="1"/>
        <v>1.23</v>
      </c>
      <c r="K35" s="3">
        <f t="shared" si="1"/>
        <v>336.72</v>
      </c>
      <c r="L35" s="3">
        <f t="shared" si="1"/>
        <v>34.01</v>
      </c>
      <c r="M35" s="3">
        <f t="shared" si="1"/>
        <v>76.099999999999994</v>
      </c>
      <c r="N35" s="3">
        <f t="shared" si="1"/>
        <v>374.7</v>
      </c>
      <c r="O35" s="3">
        <f t="shared" si="1"/>
        <v>0</v>
      </c>
      <c r="P35" s="3">
        <f t="shared" si="1"/>
        <v>0.97</v>
      </c>
      <c r="Q35" s="3">
        <f t="shared" si="1"/>
        <v>-51.15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9.3041666666666707</v>
      </c>
      <c r="C36" s="18">
        <f t="shared" si="2"/>
        <v>22.116666666666671</v>
      </c>
      <c r="D36" s="18">
        <f t="shared" si="2"/>
        <v>20.101249999999997</v>
      </c>
      <c r="E36" s="18">
        <f t="shared" si="2"/>
        <v>11.484583333333333</v>
      </c>
      <c r="F36" s="18">
        <f t="shared" si="2"/>
        <v>11.719999999999999</v>
      </c>
      <c r="G36" s="18">
        <f t="shared" si="2"/>
        <v>61.447083333333332</v>
      </c>
      <c r="H36" s="18">
        <f t="shared" si="2"/>
        <v>24.381249999999998</v>
      </c>
      <c r="I36" s="18">
        <f t="shared" si="2"/>
        <v>9.6329166666666683</v>
      </c>
      <c r="J36" s="18">
        <f t="shared" si="2"/>
        <v>0.50416666666666676</v>
      </c>
      <c r="K36" s="18">
        <f t="shared" si="2"/>
        <v>200.20916666666662</v>
      </c>
      <c r="L36" s="18">
        <f t="shared" si="2"/>
        <v>25.407500000000002</v>
      </c>
      <c r="M36" s="18">
        <f t="shared" si="2"/>
        <v>47.847499999999997</v>
      </c>
      <c r="N36" s="18">
        <f t="shared" si="2"/>
        <v>107.22499999999998</v>
      </c>
      <c r="O36" s="18">
        <f t="shared" si="2"/>
        <v>0</v>
      </c>
      <c r="P36" s="18">
        <f t="shared" si="2"/>
        <v>0.76416666666666655</v>
      </c>
      <c r="Q36" s="18">
        <f t="shared" si="2"/>
        <v>-51.760833333333323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3.4074291171506021</v>
      </c>
      <c r="C37" s="18">
        <f t="shared" ref="C37:Q37" si="3">STDEV(C9:C32)</f>
        <v>1.8777175475576184</v>
      </c>
      <c r="D37" s="18">
        <f t="shared" si="3"/>
        <v>2.6972503108037036</v>
      </c>
      <c r="E37" s="18">
        <f t="shared" si="3"/>
        <v>2.6841952549445232</v>
      </c>
      <c r="F37" s="18">
        <f t="shared" si="3"/>
        <v>7.8954967902733904</v>
      </c>
      <c r="G37" s="18">
        <f t="shared" si="3"/>
        <v>9.0413573813394077</v>
      </c>
      <c r="H37" s="18">
        <f t="shared" si="3"/>
        <v>5.298922214038889</v>
      </c>
      <c r="I37" s="18">
        <f t="shared" si="3"/>
        <v>1.7354349891163436</v>
      </c>
      <c r="J37" s="18">
        <f t="shared" si="3"/>
        <v>0.35148030641431594</v>
      </c>
      <c r="K37" s="18">
        <f t="shared" si="3"/>
        <v>88.57115566970262</v>
      </c>
      <c r="L37" s="18">
        <f t="shared" si="3"/>
        <v>6.2362720539144574</v>
      </c>
      <c r="M37" s="18">
        <f t="shared" si="3"/>
        <v>20.967955727521574</v>
      </c>
      <c r="N37" s="18">
        <f t="shared" si="3"/>
        <v>151.59218245875576</v>
      </c>
      <c r="O37" s="18">
        <f t="shared" si="3"/>
        <v>0</v>
      </c>
      <c r="P37" s="18">
        <f t="shared" si="3"/>
        <v>0.18358546562406861</v>
      </c>
      <c r="Q37" s="18">
        <f t="shared" si="3"/>
        <v>0.53093778122886615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M24" sqref="M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637</v>
      </c>
      <c r="B9" s="41">
        <v>12.84</v>
      </c>
      <c r="C9" s="41">
        <v>21.69</v>
      </c>
      <c r="D9" s="41">
        <v>22.98</v>
      </c>
      <c r="E9" s="41">
        <v>9.64</v>
      </c>
      <c r="F9" s="41">
        <v>15.63</v>
      </c>
      <c r="G9" s="41">
        <v>73.37</v>
      </c>
      <c r="H9" s="41">
        <v>21.67</v>
      </c>
      <c r="I9" s="41">
        <v>9.5</v>
      </c>
      <c r="J9" s="41">
        <v>0.64</v>
      </c>
      <c r="K9" s="41">
        <v>205.45</v>
      </c>
      <c r="L9" s="41">
        <v>21.99</v>
      </c>
      <c r="M9" s="41">
        <v>65.19</v>
      </c>
      <c r="N9" s="41">
        <v>1.1000000000000001</v>
      </c>
      <c r="O9" s="41">
        <v>0</v>
      </c>
      <c r="P9" s="41">
        <v>0.78</v>
      </c>
      <c r="Q9" s="41">
        <v>-51.79</v>
      </c>
      <c r="R9" s="38"/>
      <c r="S9" s="38"/>
      <c r="T9" s="38"/>
      <c r="U9" s="38"/>
    </row>
    <row r="10" spans="1:21" customFormat="1">
      <c r="A10" s="40" t="s">
        <v>638</v>
      </c>
      <c r="B10" s="41">
        <v>16.73</v>
      </c>
      <c r="C10" s="41">
        <v>23.87</v>
      </c>
      <c r="D10" s="41">
        <v>27.24</v>
      </c>
      <c r="E10" s="41">
        <v>10.199999999999999</v>
      </c>
      <c r="F10" s="41">
        <v>13.03</v>
      </c>
      <c r="G10" s="41">
        <v>79.38</v>
      </c>
      <c r="H10" s="41">
        <v>21.67</v>
      </c>
      <c r="I10" s="41">
        <v>10.91</v>
      </c>
      <c r="J10" s="41">
        <v>0.23</v>
      </c>
      <c r="K10" s="41">
        <v>194.6</v>
      </c>
      <c r="L10" s="41">
        <v>22.41</v>
      </c>
      <c r="M10" s="41">
        <v>64.44</v>
      </c>
      <c r="N10" s="41">
        <v>1.8</v>
      </c>
      <c r="O10" s="41">
        <v>0</v>
      </c>
      <c r="P10" s="41">
        <v>0.84</v>
      </c>
      <c r="Q10" s="41">
        <v>-51.31</v>
      </c>
      <c r="R10" s="38"/>
      <c r="S10" s="38"/>
      <c r="T10" s="38"/>
      <c r="U10" s="38"/>
    </row>
    <row r="11" spans="1:21" customFormat="1">
      <c r="A11" s="40" t="s">
        <v>639</v>
      </c>
      <c r="B11" s="41">
        <v>18.760000000000002</v>
      </c>
      <c r="C11" s="41">
        <v>24.05</v>
      </c>
      <c r="D11" s="41">
        <v>28.85</v>
      </c>
      <c r="E11" s="41">
        <v>10.16</v>
      </c>
      <c r="F11" s="41">
        <v>10.75</v>
      </c>
      <c r="G11" s="41">
        <v>102.4</v>
      </c>
      <c r="H11" s="41">
        <v>26.34</v>
      </c>
      <c r="I11" s="41">
        <v>13.29</v>
      </c>
      <c r="J11" s="41">
        <v>0.22</v>
      </c>
      <c r="K11" s="41">
        <v>195.08</v>
      </c>
      <c r="L11" s="41">
        <v>20.18</v>
      </c>
      <c r="M11" s="41">
        <v>69.19</v>
      </c>
      <c r="N11" s="41">
        <v>1.6</v>
      </c>
      <c r="O11" s="41">
        <v>0</v>
      </c>
      <c r="P11" s="41">
        <v>0.93</v>
      </c>
      <c r="Q11" s="41">
        <v>-51.28</v>
      </c>
      <c r="R11" s="38"/>
      <c r="S11" s="38"/>
      <c r="T11" s="38"/>
      <c r="U11" s="38"/>
    </row>
    <row r="12" spans="1:21" customFormat="1">
      <c r="A12" s="40" t="s">
        <v>640</v>
      </c>
      <c r="B12" s="41">
        <v>19.079999999999998</v>
      </c>
      <c r="C12" s="41">
        <v>23.81</v>
      </c>
      <c r="D12" s="41">
        <v>29.05</v>
      </c>
      <c r="E12" s="41">
        <v>10.15</v>
      </c>
      <c r="F12" s="41">
        <v>7.34</v>
      </c>
      <c r="G12" s="41">
        <v>110.33</v>
      </c>
      <c r="H12" s="41">
        <v>26.34</v>
      </c>
      <c r="I12" s="41">
        <v>14.09</v>
      </c>
      <c r="J12" s="41">
        <v>0.19</v>
      </c>
      <c r="K12" s="41">
        <v>196.44</v>
      </c>
      <c r="L12" s="41">
        <v>19.41</v>
      </c>
      <c r="M12" s="41">
        <v>71.23</v>
      </c>
      <c r="N12" s="41">
        <v>1.5</v>
      </c>
      <c r="O12" s="41">
        <v>0</v>
      </c>
      <c r="P12" s="41">
        <v>0.96</v>
      </c>
      <c r="Q12" s="41">
        <v>-51.26</v>
      </c>
      <c r="R12" s="38"/>
      <c r="S12" s="38"/>
      <c r="T12" s="38"/>
      <c r="U12" s="38"/>
    </row>
    <row r="13" spans="1:21" customFormat="1">
      <c r="A13" s="40" t="s">
        <v>641</v>
      </c>
      <c r="B13" s="41">
        <v>25.06</v>
      </c>
      <c r="C13" s="41">
        <v>24.36</v>
      </c>
      <c r="D13" s="41">
        <v>34.17</v>
      </c>
      <c r="E13" s="41">
        <v>10.17</v>
      </c>
      <c r="F13" s="41">
        <v>5.41</v>
      </c>
      <c r="G13" s="41">
        <v>110.33</v>
      </c>
      <c r="H13" s="41">
        <v>22.93</v>
      </c>
      <c r="I13" s="41">
        <v>14.1</v>
      </c>
      <c r="J13" s="41">
        <v>0.2</v>
      </c>
      <c r="K13" s="41">
        <v>171</v>
      </c>
      <c r="L13" s="41">
        <v>19.350000000000001</v>
      </c>
      <c r="M13" s="41">
        <v>68.91</v>
      </c>
      <c r="N13" s="41">
        <v>1.1000000000000001</v>
      </c>
      <c r="O13" s="41">
        <v>0</v>
      </c>
      <c r="P13" s="41">
        <v>0.96</v>
      </c>
      <c r="Q13" s="41">
        <v>-51.3</v>
      </c>
      <c r="R13" s="38"/>
      <c r="S13" s="38"/>
      <c r="T13" s="38"/>
      <c r="U13" s="38"/>
    </row>
    <row r="14" spans="1:21" customFormat="1">
      <c r="A14" s="40" t="s">
        <v>642</v>
      </c>
      <c r="B14" s="41">
        <v>34.520000000000003</v>
      </c>
      <c r="C14" s="41">
        <v>25.18</v>
      </c>
      <c r="D14" s="41">
        <v>42.19</v>
      </c>
      <c r="E14" s="41">
        <v>10.1</v>
      </c>
      <c r="F14" s="41">
        <v>5</v>
      </c>
      <c r="G14" s="41">
        <v>123.55</v>
      </c>
      <c r="H14" s="41">
        <v>25.09</v>
      </c>
      <c r="I14" s="41">
        <v>14.59</v>
      </c>
      <c r="J14" s="41">
        <v>0.23</v>
      </c>
      <c r="K14" s="41">
        <v>194.07</v>
      </c>
      <c r="L14" s="41">
        <v>19.260000000000002</v>
      </c>
      <c r="M14" s="41">
        <v>73.849999999999994</v>
      </c>
      <c r="N14" s="41">
        <v>1.3</v>
      </c>
      <c r="O14" s="41">
        <v>0</v>
      </c>
      <c r="P14" s="41">
        <v>1.05</v>
      </c>
      <c r="Q14" s="41">
        <v>-51.22</v>
      </c>
      <c r="R14" s="38"/>
      <c r="S14" s="38"/>
      <c r="T14" s="38"/>
      <c r="U14" s="38"/>
    </row>
    <row r="15" spans="1:21" customFormat="1">
      <c r="A15" s="40" t="s">
        <v>643</v>
      </c>
      <c r="B15" s="41">
        <v>40.07</v>
      </c>
      <c r="C15" s="41">
        <v>25.81</v>
      </c>
      <c r="D15" s="41">
        <v>46.84</v>
      </c>
      <c r="E15" s="41">
        <v>10.27</v>
      </c>
      <c r="F15" s="41">
        <v>6.48</v>
      </c>
      <c r="G15" s="41">
        <v>124.97</v>
      </c>
      <c r="H15" s="41">
        <v>26.32</v>
      </c>
      <c r="I15" s="41">
        <v>15.63</v>
      </c>
      <c r="J15" s="41">
        <v>0.24</v>
      </c>
      <c r="K15" s="41">
        <v>201.97</v>
      </c>
      <c r="L15" s="41">
        <v>19.03</v>
      </c>
      <c r="M15" s="41">
        <v>79.5</v>
      </c>
      <c r="N15" s="41">
        <v>10.7</v>
      </c>
      <c r="O15" s="41">
        <v>0</v>
      </c>
      <c r="P15" s="41">
        <v>1.1299999999999999</v>
      </c>
      <c r="Q15" s="41">
        <v>-51.92</v>
      </c>
      <c r="R15" s="38"/>
      <c r="S15" s="38"/>
      <c r="T15" s="38"/>
      <c r="U15" s="38"/>
    </row>
    <row r="16" spans="1:21" customFormat="1">
      <c r="A16" s="40" t="s">
        <v>644</v>
      </c>
      <c r="B16" s="41">
        <v>43.65</v>
      </c>
      <c r="C16" s="41">
        <v>26.61</v>
      </c>
      <c r="D16" s="41">
        <v>50.26</v>
      </c>
      <c r="E16" s="41">
        <v>10.45</v>
      </c>
      <c r="F16" s="41">
        <v>9.3000000000000007</v>
      </c>
      <c r="G16" s="41">
        <v>124.97</v>
      </c>
      <c r="H16" s="41">
        <v>26.32</v>
      </c>
      <c r="I16" s="41">
        <v>16.22</v>
      </c>
      <c r="J16" s="41">
        <v>0.4</v>
      </c>
      <c r="K16" s="41">
        <v>320.41000000000003</v>
      </c>
      <c r="L16" s="41">
        <v>21.92</v>
      </c>
      <c r="M16" s="41">
        <v>74.72</v>
      </c>
      <c r="N16" s="41">
        <v>39.799999999999997</v>
      </c>
      <c r="O16" s="41">
        <v>0</v>
      </c>
      <c r="P16" s="41">
        <v>1.22</v>
      </c>
      <c r="Q16" s="41">
        <v>-52.17</v>
      </c>
      <c r="R16" s="38"/>
      <c r="S16" s="38"/>
      <c r="T16" s="38"/>
      <c r="U16" s="38"/>
    </row>
    <row r="17" spans="1:21" customFormat="1">
      <c r="A17" s="40" t="s">
        <v>645</v>
      </c>
      <c r="B17" s="41">
        <v>43.38</v>
      </c>
      <c r="C17" s="41">
        <v>28.02</v>
      </c>
      <c r="D17" s="41">
        <v>50.39</v>
      </c>
      <c r="E17" s="41">
        <v>11.08</v>
      </c>
      <c r="F17" s="41">
        <v>13.34</v>
      </c>
      <c r="G17" s="41">
        <v>137.72</v>
      </c>
      <c r="H17" s="41">
        <v>35.94</v>
      </c>
      <c r="I17" s="41">
        <v>17.16</v>
      </c>
      <c r="J17" s="41">
        <v>1.1499999999999999</v>
      </c>
      <c r="K17" s="41">
        <v>52.6</v>
      </c>
      <c r="L17" s="41">
        <v>25.01</v>
      </c>
      <c r="M17" s="41">
        <v>51.16</v>
      </c>
      <c r="N17" s="41">
        <v>210.2</v>
      </c>
      <c r="O17" s="41">
        <v>0</v>
      </c>
      <c r="P17" s="41">
        <v>1.28</v>
      </c>
      <c r="Q17" s="41">
        <v>-52.13</v>
      </c>
      <c r="R17" s="38"/>
      <c r="S17" s="38"/>
      <c r="T17" s="38"/>
      <c r="U17" s="38"/>
    </row>
    <row r="18" spans="1:21" customFormat="1">
      <c r="A18" s="40" t="s">
        <v>646</v>
      </c>
      <c r="B18" s="41">
        <v>38.799999999999997</v>
      </c>
      <c r="C18" s="41">
        <v>27.98</v>
      </c>
      <c r="D18" s="41">
        <v>47.09</v>
      </c>
      <c r="E18" s="41">
        <v>11.35</v>
      </c>
      <c r="F18" s="41">
        <v>19.84</v>
      </c>
      <c r="G18" s="41">
        <v>137.72</v>
      </c>
      <c r="H18" s="41">
        <v>39.520000000000003</v>
      </c>
      <c r="I18" s="41">
        <v>17.09</v>
      </c>
      <c r="J18" s="41">
        <v>0.96</v>
      </c>
      <c r="K18" s="41">
        <v>81.02</v>
      </c>
      <c r="L18" s="41">
        <v>28.13</v>
      </c>
      <c r="M18" s="41">
        <v>37.770000000000003</v>
      </c>
      <c r="N18" s="41">
        <v>284.60000000000002</v>
      </c>
      <c r="O18" s="41">
        <v>0</v>
      </c>
      <c r="P18" s="41">
        <v>1.27</v>
      </c>
      <c r="Q18" s="41">
        <v>-52.03</v>
      </c>
      <c r="R18" s="38"/>
      <c r="S18" s="38"/>
      <c r="T18" s="38"/>
      <c r="U18" s="38"/>
    </row>
    <row r="19" spans="1:21" customFormat="1">
      <c r="A19" s="40" t="s">
        <v>647</v>
      </c>
      <c r="B19" s="41">
        <v>31.72</v>
      </c>
      <c r="C19" s="41">
        <v>29</v>
      </c>
      <c r="D19" s="41">
        <v>41.35</v>
      </c>
      <c r="E19" s="41">
        <v>11.8</v>
      </c>
      <c r="F19" s="41">
        <v>34.32</v>
      </c>
      <c r="G19" s="41">
        <v>125.92</v>
      </c>
      <c r="H19" s="41">
        <v>39.520000000000003</v>
      </c>
      <c r="I19" s="41">
        <v>16.45</v>
      </c>
      <c r="J19" s="41">
        <v>0.41</v>
      </c>
      <c r="K19" s="41">
        <v>267.02</v>
      </c>
      <c r="L19" s="41">
        <v>30.78</v>
      </c>
      <c r="M19" s="41">
        <v>33.54</v>
      </c>
      <c r="N19" s="41">
        <v>322.7</v>
      </c>
      <c r="O19" s="41">
        <v>0</v>
      </c>
      <c r="P19" s="41">
        <v>1.18</v>
      </c>
      <c r="Q19" s="41">
        <v>-51.25</v>
      </c>
      <c r="R19" s="38"/>
      <c r="S19" s="38"/>
      <c r="T19" s="38"/>
      <c r="U19" s="38"/>
    </row>
    <row r="20" spans="1:21" customFormat="1">
      <c r="A20" s="40" t="s">
        <v>648</v>
      </c>
      <c r="B20" s="41">
        <v>19.41</v>
      </c>
      <c r="C20" s="41">
        <v>32.409999999999997</v>
      </c>
      <c r="D20" s="41">
        <v>32.630000000000003</v>
      </c>
      <c r="E20" s="41">
        <v>18.399999999999999</v>
      </c>
      <c r="F20" s="41">
        <v>53.42</v>
      </c>
      <c r="G20" s="41">
        <v>118.05</v>
      </c>
      <c r="H20" s="41">
        <v>39.17</v>
      </c>
      <c r="I20" s="41">
        <v>15.55</v>
      </c>
      <c r="J20" s="41">
        <v>0.62</v>
      </c>
      <c r="K20" s="41">
        <v>309.94</v>
      </c>
      <c r="L20" s="41">
        <v>32.04</v>
      </c>
      <c r="M20" s="41">
        <v>28.4</v>
      </c>
      <c r="N20" s="41">
        <v>328.3</v>
      </c>
      <c r="O20" s="41">
        <v>0</v>
      </c>
      <c r="P20" s="41">
        <v>0.98</v>
      </c>
      <c r="Q20" s="41">
        <v>12.95</v>
      </c>
      <c r="R20" s="38"/>
      <c r="S20" s="38"/>
      <c r="T20" s="38"/>
      <c r="U20" s="38"/>
    </row>
    <row r="21" spans="1:21" customFormat="1">
      <c r="A21" s="40" t="s">
        <v>649</v>
      </c>
      <c r="B21" s="41">
        <v>4.29</v>
      </c>
      <c r="C21" s="41">
        <v>31.14</v>
      </c>
      <c r="D21" s="41">
        <v>21.06</v>
      </c>
      <c r="E21" s="41">
        <v>13.83</v>
      </c>
      <c r="F21" s="41">
        <v>59.17</v>
      </c>
      <c r="G21" s="41">
        <v>103.99</v>
      </c>
      <c r="H21" s="41">
        <v>40.1</v>
      </c>
      <c r="I21" s="41">
        <v>13.28</v>
      </c>
      <c r="J21" s="41">
        <v>1.06</v>
      </c>
      <c r="K21" s="41">
        <v>294.7</v>
      </c>
      <c r="L21" s="41">
        <v>33</v>
      </c>
      <c r="M21" s="41">
        <v>29.68</v>
      </c>
      <c r="N21" s="41">
        <v>335.9</v>
      </c>
      <c r="O21" s="41">
        <v>0</v>
      </c>
      <c r="P21" s="41">
        <v>0.81</v>
      </c>
      <c r="Q21" s="41">
        <v>12.96</v>
      </c>
      <c r="R21" s="38"/>
      <c r="S21" s="38"/>
      <c r="T21" s="38"/>
      <c r="U21" s="38"/>
    </row>
    <row r="22" spans="1:21" customFormat="1">
      <c r="A22" s="40" t="s">
        <v>650</v>
      </c>
      <c r="B22" s="41">
        <v>3.91</v>
      </c>
      <c r="C22" s="41">
        <v>27.74</v>
      </c>
      <c r="D22" s="41">
        <v>18.96</v>
      </c>
      <c r="E22" s="41">
        <v>14.91</v>
      </c>
      <c r="F22" s="41">
        <v>59.92</v>
      </c>
      <c r="G22" s="41">
        <v>91.76</v>
      </c>
      <c r="H22" s="41">
        <v>40.85</v>
      </c>
      <c r="I22" s="41">
        <v>12.36</v>
      </c>
      <c r="J22" s="41">
        <v>1.1200000000000001</v>
      </c>
      <c r="K22" s="41">
        <v>316.57</v>
      </c>
      <c r="L22" s="41">
        <v>33.33</v>
      </c>
      <c r="M22" s="41">
        <v>29.67</v>
      </c>
      <c r="N22" s="41">
        <v>317.8</v>
      </c>
      <c r="O22" s="41">
        <v>0</v>
      </c>
      <c r="P22" s="41">
        <v>0.82</v>
      </c>
      <c r="Q22" s="41">
        <v>12.93</v>
      </c>
      <c r="R22" s="38"/>
      <c r="S22" s="38"/>
      <c r="T22" s="38"/>
      <c r="U22" s="38"/>
    </row>
    <row r="23" spans="1:21" customFormat="1">
      <c r="A23" s="40" t="s">
        <v>651</v>
      </c>
      <c r="B23" s="41">
        <v>3.87</v>
      </c>
      <c r="C23" s="41">
        <v>26.32</v>
      </c>
      <c r="D23" s="41">
        <v>18.2</v>
      </c>
      <c r="E23" s="41">
        <v>15.35</v>
      </c>
      <c r="F23" s="41">
        <v>47.8</v>
      </c>
      <c r="G23" s="41">
        <v>91.76</v>
      </c>
      <c r="H23" s="41">
        <v>40.85</v>
      </c>
      <c r="I23" s="41">
        <v>12.29</v>
      </c>
      <c r="J23" s="41">
        <v>0.97</v>
      </c>
      <c r="K23" s="41">
        <v>293.92</v>
      </c>
      <c r="L23" s="41">
        <v>33.4</v>
      </c>
      <c r="M23" s="41">
        <v>28.45</v>
      </c>
      <c r="N23" s="41">
        <v>301.89999999999998</v>
      </c>
      <c r="O23" s="41">
        <v>0</v>
      </c>
      <c r="P23" s="41">
        <v>0.77</v>
      </c>
      <c r="Q23" s="41">
        <v>12.93</v>
      </c>
      <c r="R23" s="38"/>
      <c r="S23" s="38"/>
      <c r="T23" s="38"/>
      <c r="U23" s="38"/>
    </row>
    <row r="24" spans="1:21" customFormat="1">
      <c r="A24" s="40" t="s">
        <v>652</v>
      </c>
      <c r="B24" s="41">
        <v>3.92</v>
      </c>
      <c r="C24" s="41">
        <v>24.14</v>
      </c>
      <c r="D24" s="41">
        <v>17.11</v>
      </c>
      <c r="E24" s="41">
        <v>32.630000000000003</v>
      </c>
      <c r="F24" s="41">
        <v>30.36</v>
      </c>
      <c r="G24" s="41">
        <v>82.21</v>
      </c>
      <c r="H24" s="41">
        <v>39.950000000000003</v>
      </c>
      <c r="I24" s="41">
        <v>11.12</v>
      </c>
      <c r="J24" s="41">
        <v>0.87</v>
      </c>
      <c r="K24" s="41">
        <v>313.35000000000002</v>
      </c>
      <c r="L24" s="41">
        <v>32.659999999999997</v>
      </c>
      <c r="M24" s="41">
        <v>29.69</v>
      </c>
      <c r="N24" s="41">
        <v>75.099999999999994</v>
      </c>
      <c r="O24" s="41">
        <v>0</v>
      </c>
      <c r="P24" s="41">
        <v>0.73</v>
      </c>
      <c r="Q24" s="41">
        <v>12.91</v>
      </c>
      <c r="R24" s="38"/>
      <c r="S24" s="38"/>
      <c r="T24" s="38"/>
      <c r="U24" s="38"/>
    </row>
    <row r="25" spans="1:21" customFormat="1">
      <c r="A25" s="40" t="s">
        <v>653</v>
      </c>
      <c r="B25" s="41">
        <v>4.32</v>
      </c>
      <c r="C25" s="41">
        <v>24.32</v>
      </c>
      <c r="D25" s="41">
        <v>17.52</v>
      </c>
      <c r="E25" s="41">
        <v>44.16</v>
      </c>
      <c r="F25" s="41">
        <v>27.9</v>
      </c>
      <c r="G25" s="41">
        <v>67.73</v>
      </c>
      <c r="H25" s="41">
        <v>38.89</v>
      </c>
      <c r="I25" s="41">
        <v>10.039999999999999</v>
      </c>
      <c r="J25" s="41">
        <v>0.79</v>
      </c>
      <c r="K25" s="41">
        <v>324.25</v>
      </c>
      <c r="L25" s="41">
        <v>32.06</v>
      </c>
      <c r="M25" s="41">
        <v>30.55</v>
      </c>
      <c r="N25" s="41">
        <v>72.8</v>
      </c>
      <c r="O25" s="41">
        <v>0</v>
      </c>
      <c r="P25" s="41">
        <v>0.76</v>
      </c>
      <c r="Q25" s="41">
        <v>12.9</v>
      </c>
      <c r="R25" s="38"/>
      <c r="S25" s="38"/>
      <c r="T25" s="38"/>
      <c r="U25" s="38"/>
    </row>
    <row r="26" spans="1:21" customFormat="1">
      <c r="A26" s="40" t="s">
        <v>654</v>
      </c>
      <c r="B26" s="41">
        <v>5.29</v>
      </c>
      <c r="C26" s="41">
        <v>26.55</v>
      </c>
      <c r="D26" s="41">
        <v>19.46</v>
      </c>
      <c r="E26" s="41">
        <v>41.89</v>
      </c>
      <c r="F26" s="41">
        <v>32.44</v>
      </c>
      <c r="G26" s="41">
        <v>70.650000000000006</v>
      </c>
      <c r="H26" s="41">
        <v>37.770000000000003</v>
      </c>
      <c r="I26" s="41">
        <v>9.1</v>
      </c>
      <c r="J26" s="41">
        <v>0.47</v>
      </c>
      <c r="K26" s="41">
        <v>53.89</v>
      </c>
      <c r="L26" s="41">
        <v>31.59</v>
      </c>
      <c r="M26" s="41">
        <v>33.33</v>
      </c>
      <c r="N26" s="41">
        <v>23.3</v>
      </c>
      <c r="O26" s="41">
        <v>0</v>
      </c>
      <c r="P26" s="41">
        <v>0.81</v>
      </c>
      <c r="Q26" s="41">
        <v>12.92</v>
      </c>
      <c r="R26" s="38"/>
      <c r="S26" s="38"/>
      <c r="T26" s="38"/>
      <c r="U26" s="38"/>
    </row>
    <row r="27" spans="1:21" customFormat="1">
      <c r="A27" s="40" t="s">
        <v>655</v>
      </c>
      <c r="B27" s="41">
        <v>6.58</v>
      </c>
      <c r="C27" s="41">
        <v>27.87</v>
      </c>
      <c r="D27" s="41">
        <v>21.16</v>
      </c>
      <c r="E27" s="41">
        <v>19.36</v>
      </c>
      <c r="F27" s="41">
        <v>34.93</v>
      </c>
      <c r="G27" s="41">
        <v>80.3</v>
      </c>
      <c r="H27" s="41">
        <v>35.35</v>
      </c>
      <c r="I27" s="41">
        <v>9.65</v>
      </c>
      <c r="J27" s="41">
        <v>0.52</v>
      </c>
      <c r="K27" s="41">
        <v>138.35</v>
      </c>
      <c r="L27" s="41">
        <v>29.82</v>
      </c>
      <c r="M27" s="41">
        <v>42.33</v>
      </c>
      <c r="N27" s="41">
        <v>2.2000000000000002</v>
      </c>
      <c r="O27" s="41">
        <v>0</v>
      </c>
      <c r="P27" s="41">
        <v>0.85</v>
      </c>
      <c r="Q27" s="41">
        <v>12.93</v>
      </c>
      <c r="R27" s="38"/>
      <c r="S27" s="38"/>
      <c r="T27" s="38"/>
      <c r="U27" s="38"/>
    </row>
    <row r="28" spans="1:21" customFormat="1">
      <c r="A28" s="40" t="s">
        <v>656</v>
      </c>
      <c r="B28" s="41">
        <v>7.47</v>
      </c>
      <c r="C28" s="41">
        <v>27.53</v>
      </c>
      <c r="D28" s="41">
        <v>21.38</v>
      </c>
      <c r="E28" s="41">
        <v>13.38</v>
      </c>
      <c r="F28" s="41">
        <v>27.95</v>
      </c>
      <c r="G28" s="41">
        <v>93.49</v>
      </c>
      <c r="H28" s="41">
        <v>35.35</v>
      </c>
      <c r="I28" s="41">
        <v>11.27</v>
      </c>
      <c r="J28" s="41">
        <v>0.27</v>
      </c>
      <c r="K28" s="41">
        <v>233.35</v>
      </c>
      <c r="L28" s="41">
        <v>27.3</v>
      </c>
      <c r="M28" s="41">
        <v>55</v>
      </c>
      <c r="N28" s="41">
        <v>2.1</v>
      </c>
      <c r="O28" s="41">
        <v>0</v>
      </c>
      <c r="P28" s="41">
        <v>0.87</v>
      </c>
      <c r="Q28" s="41">
        <v>12.94</v>
      </c>
      <c r="R28" s="38"/>
      <c r="S28" s="38"/>
      <c r="T28" s="38"/>
      <c r="U28" s="38"/>
    </row>
    <row r="29" spans="1:21" customFormat="1">
      <c r="A29" s="40" t="s">
        <v>657</v>
      </c>
      <c r="B29" s="41">
        <v>7.68</v>
      </c>
      <c r="C29" s="41">
        <v>26.3</v>
      </c>
      <c r="D29" s="41">
        <v>21.16</v>
      </c>
      <c r="E29" s="41">
        <v>10.82</v>
      </c>
      <c r="F29" s="41">
        <v>16.18</v>
      </c>
      <c r="G29" s="41">
        <v>106.09</v>
      </c>
      <c r="H29" s="41">
        <v>35.619999999999997</v>
      </c>
      <c r="I29" s="41">
        <v>10.98</v>
      </c>
      <c r="J29" s="41">
        <v>0.23</v>
      </c>
      <c r="K29" s="41">
        <v>205.05</v>
      </c>
      <c r="L29" s="41">
        <v>24.55</v>
      </c>
      <c r="M29" s="41">
        <v>61.64</v>
      </c>
      <c r="N29" s="41">
        <v>1.5</v>
      </c>
      <c r="O29" s="41">
        <v>0</v>
      </c>
      <c r="P29" s="41">
        <v>0.87</v>
      </c>
      <c r="Q29" s="41">
        <v>12.92</v>
      </c>
      <c r="R29" s="38"/>
      <c r="S29" s="38"/>
      <c r="T29" s="38"/>
      <c r="U29" s="38"/>
    </row>
    <row r="30" spans="1:21" customFormat="1">
      <c r="A30" s="40" t="s">
        <v>658</v>
      </c>
      <c r="B30" s="41">
        <v>7.4</v>
      </c>
      <c r="C30" s="41">
        <v>25.89</v>
      </c>
      <c r="D30" s="41">
        <v>20.75</v>
      </c>
      <c r="E30" s="41">
        <v>10.5</v>
      </c>
      <c r="F30" s="41">
        <v>17.239999999999998</v>
      </c>
      <c r="G30" s="41">
        <v>107.61</v>
      </c>
      <c r="H30" s="41">
        <v>35.619999999999997</v>
      </c>
      <c r="I30" s="41">
        <v>11.27</v>
      </c>
      <c r="J30" s="41">
        <v>0.24</v>
      </c>
      <c r="K30" s="41">
        <v>204.52</v>
      </c>
      <c r="L30" s="41">
        <v>23.52</v>
      </c>
      <c r="M30" s="41">
        <v>65.55</v>
      </c>
      <c r="N30" s="41">
        <v>1.4</v>
      </c>
      <c r="O30" s="41">
        <v>0</v>
      </c>
      <c r="P30" s="41">
        <v>0.84</v>
      </c>
      <c r="Q30" s="41">
        <v>12.94</v>
      </c>
      <c r="R30" s="38"/>
      <c r="S30" s="38"/>
      <c r="T30" s="38"/>
      <c r="U30" s="38"/>
    </row>
    <row r="31" spans="1:21" customFormat="1">
      <c r="A31" s="40" t="s">
        <v>659</v>
      </c>
      <c r="B31" s="41">
        <v>7.32</v>
      </c>
      <c r="C31" s="41">
        <v>25.73</v>
      </c>
      <c r="D31" s="41">
        <v>20.66</v>
      </c>
      <c r="E31" s="41">
        <v>10.67</v>
      </c>
      <c r="F31" s="41">
        <v>17.45</v>
      </c>
      <c r="G31" s="41">
        <v>107.61</v>
      </c>
      <c r="H31" s="41">
        <v>35.020000000000003</v>
      </c>
      <c r="I31" s="41">
        <v>11.67</v>
      </c>
      <c r="J31" s="41">
        <v>0.22</v>
      </c>
      <c r="K31" s="41">
        <v>186.97</v>
      </c>
      <c r="L31" s="41">
        <v>22.78</v>
      </c>
      <c r="M31" s="41">
        <v>68.16</v>
      </c>
      <c r="N31" s="41">
        <v>1.3</v>
      </c>
      <c r="O31" s="41">
        <v>0</v>
      </c>
      <c r="P31" s="41">
        <v>0.86</v>
      </c>
      <c r="Q31" s="41">
        <v>12.94</v>
      </c>
      <c r="R31" s="38"/>
      <c r="S31" s="38"/>
      <c r="T31" s="38"/>
      <c r="U31" s="38"/>
    </row>
    <row r="32" spans="1:21" customFormat="1">
      <c r="A32" s="40" t="s">
        <v>660</v>
      </c>
      <c r="B32" s="41">
        <v>7.22</v>
      </c>
      <c r="C32" s="41">
        <v>25.05</v>
      </c>
      <c r="D32" s="41">
        <v>20.149999999999999</v>
      </c>
      <c r="E32" s="41">
        <v>10.65</v>
      </c>
      <c r="F32" s="41">
        <v>17.48</v>
      </c>
      <c r="G32" s="41">
        <v>107.8</v>
      </c>
      <c r="H32" s="41">
        <v>31.99</v>
      </c>
      <c r="I32" s="41">
        <v>11.93</v>
      </c>
      <c r="J32" s="41">
        <v>0.25</v>
      </c>
      <c r="K32" s="41">
        <v>200.21</v>
      </c>
      <c r="L32" s="41">
        <v>22.05</v>
      </c>
      <c r="M32" s="41">
        <v>68.91</v>
      </c>
      <c r="N32" s="41">
        <v>1.2</v>
      </c>
      <c r="O32" s="41">
        <v>0</v>
      </c>
      <c r="P32" s="41">
        <v>0.86</v>
      </c>
      <c r="Q32" s="41">
        <v>12.93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3.87</v>
      </c>
      <c r="C34" s="18">
        <f t="shared" si="0"/>
        <v>21.69</v>
      </c>
      <c r="D34" s="18">
        <f t="shared" si="0"/>
        <v>17.11</v>
      </c>
      <c r="E34" s="18">
        <f t="shared" si="0"/>
        <v>9.64</v>
      </c>
      <c r="F34" s="18">
        <f t="shared" si="0"/>
        <v>5</v>
      </c>
      <c r="G34" s="18">
        <f t="shared" si="0"/>
        <v>67.73</v>
      </c>
      <c r="H34" s="18">
        <f t="shared" si="0"/>
        <v>21.67</v>
      </c>
      <c r="I34" s="18">
        <f t="shared" si="0"/>
        <v>9.1</v>
      </c>
      <c r="J34" s="18">
        <f t="shared" si="0"/>
        <v>0.19</v>
      </c>
      <c r="K34" s="18">
        <f t="shared" si="0"/>
        <v>52.6</v>
      </c>
      <c r="L34" s="18">
        <f t="shared" si="0"/>
        <v>19.03</v>
      </c>
      <c r="M34" s="18">
        <f t="shared" si="0"/>
        <v>28.4</v>
      </c>
      <c r="N34" s="18">
        <f t="shared" si="0"/>
        <v>1.1000000000000001</v>
      </c>
      <c r="O34" s="18">
        <f t="shared" si="0"/>
        <v>0</v>
      </c>
      <c r="P34" s="18">
        <f t="shared" si="0"/>
        <v>0.73</v>
      </c>
      <c r="Q34" s="18">
        <f t="shared" si="0"/>
        <v>-52.17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43.65</v>
      </c>
      <c r="C35" s="3">
        <f t="shared" si="1"/>
        <v>32.409999999999997</v>
      </c>
      <c r="D35" s="3">
        <f t="shared" si="1"/>
        <v>50.39</v>
      </c>
      <c r="E35" s="3">
        <f t="shared" si="1"/>
        <v>44.16</v>
      </c>
      <c r="F35" s="3">
        <f t="shared" si="1"/>
        <v>59.92</v>
      </c>
      <c r="G35" s="3">
        <f t="shared" si="1"/>
        <v>137.72</v>
      </c>
      <c r="H35" s="3">
        <f t="shared" si="1"/>
        <v>40.85</v>
      </c>
      <c r="I35" s="3">
        <f t="shared" si="1"/>
        <v>17.16</v>
      </c>
      <c r="J35" s="3">
        <f t="shared" si="1"/>
        <v>1.1499999999999999</v>
      </c>
      <c r="K35" s="3">
        <f t="shared" si="1"/>
        <v>324.25</v>
      </c>
      <c r="L35" s="3">
        <f t="shared" si="1"/>
        <v>33.4</v>
      </c>
      <c r="M35" s="3">
        <f t="shared" si="1"/>
        <v>79.5</v>
      </c>
      <c r="N35" s="3">
        <f t="shared" si="1"/>
        <v>335.9</v>
      </c>
      <c r="O35" s="3">
        <f t="shared" si="1"/>
        <v>0</v>
      </c>
      <c r="P35" s="3">
        <f t="shared" si="1"/>
        <v>1.28</v>
      </c>
      <c r="Q35" s="3">
        <f t="shared" si="1"/>
        <v>12.96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17.220416666666672</v>
      </c>
      <c r="C36" s="18">
        <f t="shared" si="2"/>
        <v>26.307083333333328</v>
      </c>
      <c r="D36" s="18">
        <f t="shared" si="2"/>
        <v>28.775416666666658</v>
      </c>
      <c r="E36" s="18">
        <f t="shared" si="2"/>
        <v>15.496666666666664</v>
      </c>
      <c r="F36" s="18">
        <f t="shared" si="2"/>
        <v>24.278333333333336</v>
      </c>
      <c r="G36" s="18">
        <f t="shared" si="2"/>
        <v>103.32125000000002</v>
      </c>
      <c r="H36" s="18">
        <f t="shared" si="2"/>
        <v>33.257916666666667</v>
      </c>
      <c r="I36" s="18">
        <f t="shared" si="2"/>
        <v>12.897499999999999</v>
      </c>
      <c r="J36" s="18">
        <f t="shared" si="2"/>
        <v>0.52083333333333337</v>
      </c>
      <c r="K36" s="18">
        <f t="shared" si="2"/>
        <v>214.78041666666672</v>
      </c>
      <c r="L36" s="18">
        <f t="shared" si="2"/>
        <v>26.06541666666666</v>
      </c>
      <c r="M36" s="18">
        <f t="shared" si="2"/>
        <v>52.535833333333336</v>
      </c>
      <c r="N36" s="18">
        <f t="shared" si="2"/>
        <v>97.55</v>
      </c>
      <c r="O36" s="18">
        <f t="shared" si="2"/>
        <v>0</v>
      </c>
      <c r="P36" s="18">
        <f t="shared" si="2"/>
        <v>0.93458333333333343</v>
      </c>
      <c r="Q36" s="18">
        <f t="shared" si="2"/>
        <v>-16.64833333333333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14.101620776155221</v>
      </c>
      <c r="C37" s="18">
        <f t="shared" ref="C37:Q37" si="3">STDEV(C9:C32)</f>
        <v>2.4169410763745698</v>
      </c>
      <c r="D37" s="18">
        <f t="shared" si="3"/>
        <v>11.423061715200348</v>
      </c>
      <c r="E37" s="18">
        <f t="shared" si="3"/>
        <v>9.8166286015846254</v>
      </c>
      <c r="F37" s="18">
        <f t="shared" si="3"/>
        <v>16.839528978919915</v>
      </c>
      <c r="G37" s="18">
        <f t="shared" si="3"/>
        <v>20.587912729159115</v>
      </c>
      <c r="H37" s="18">
        <f t="shared" si="3"/>
        <v>6.7181790876414516</v>
      </c>
      <c r="I37" s="18">
        <f t="shared" si="3"/>
        <v>2.5004421348164092</v>
      </c>
      <c r="J37" s="18">
        <f t="shared" si="3"/>
        <v>0.33810104826897491</v>
      </c>
      <c r="K37" s="18">
        <f t="shared" si="3"/>
        <v>80.442667916709169</v>
      </c>
      <c r="L37" s="18">
        <f t="shared" si="3"/>
        <v>5.3005856765543502</v>
      </c>
      <c r="M37" s="18">
        <f t="shared" si="3"/>
        <v>18.542352206834959</v>
      </c>
      <c r="N37" s="18">
        <f t="shared" si="3"/>
        <v>136.23710150354398</v>
      </c>
      <c r="O37" s="18">
        <f t="shared" si="3"/>
        <v>0</v>
      </c>
      <c r="P37" s="18">
        <f t="shared" si="3"/>
        <v>0.16686310886906397</v>
      </c>
      <c r="Q37" s="18">
        <f t="shared" si="3"/>
        <v>32.848530860757606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C16" activePane="bottomRight" state="frozen"/>
      <selection activeCell="G19" sqref="G19"/>
      <selection pane="topRight" activeCell="G19" sqref="G19"/>
      <selection pane="bottomLeft" activeCell="G19" sqref="G19"/>
      <selection pane="bottomRight" activeCell="F9" sqref="F9:F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661</v>
      </c>
      <c r="B9" s="41">
        <v>9.1</v>
      </c>
      <c r="C9" s="41">
        <v>26.29</v>
      </c>
      <c r="D9" s="41">
        <v>22.38</v>
      </c>
      <c r="E9" s="41">
        <v>10.4</v>
      </c>
      <c r="F9" s="41">
        <v>4</v>
      </c>
      <c r="G9" s="41">
        <v>112.2</v>
      </c>
      <c r="H9" s="41">
        <v>31.99</v>
      </c>
      <c r="I9" s="41">
        <v>11.87</v>
      </c>
      <c r="J9" s="41">
        <v>0.41</v>
      </c>
      <c r="K9" s="41">
        <v>158.94999999999999</v>
      </c>
      <c r="L9" s="41">
        <v>22.74</v>
      </c>
      <c r="M9" s="41">
        <v>66.95</v>
      </c>
      <c r="N9" s="41">
        <v>1.2</v>
      </c>
      <c r="O9" s="41">
        <v>0</v>
      </c>
      <c r="P9" s="41">
        <v>0.87</v>
      </c>
      <c r="Q9" s="41">
        <v>12.95</v>
      </c>
      <c r="R9" s="38"/>
      <c r="S9" s="38"/>
      <c r="T9" s="38"/>
      <c r="U9" s="38"/>
    </row>
    <row r="10" spans="1:21" customFormat="1">
      <c r="A10" s="40" t="s">
        <v>662</v>
      </c>
      <c r="B10" s="41">
        <v>11.24</v>
      </c>
      <c r="C10" s="41">
        <v>27.98</v>
      </c>
      <c r="D10" s="41">
        <v>24.94</v>
      </c>
      <c r="E10" s="41">
        <v>10.199999999999999</v>
      </c>
      <c r="F10" s="41">
        <v>4.22</v>
      </c>
      <c r="G10" s="41">
        <v>117.34</v>
      </c>
      <c r="H10" s="41">
        <v>31.44</v>
      </c>
      <c r="I10" s="41">
        <v>12.37</v>
      </c>
      <c r="J10" s="41">
        <v>0.18</v>
      </c>
      <c r="K10" s="41">
        <v>210.43</v>
      </c>
      <c r="L10" s="41">
        <v>22.37</v>
      </c>
      <c r="M10" s="41">
        <v>71.27</v>
      </c>
      <c r="N10" s="41">
        <v>1.8</v>
      </c>
      <c r="O10" s="41">
        <v>0</v>
      </c>
      <c r="P10" s="41">
        <v>0.96</v>
      </c>
      <c r="Q10" s="41">
        <v>12.94</v>
      </c>
      <c r="R10" s="38"/>
      <c r="S10" s="38"/>
      <c r="T10" s="38"/>
      <c r="U10" s="38"/>
    </row>
    <row r="11" spans="1:21" customFormat="1">
      <c r="A11" s="40" t="s">
        <v>663</v>
      </c>
      <c r="B11" s="41">
        <v>15.08</v>
      </c>
      <c r="C11" s="41">
        <v>27.82</v>
      </c>
      <c r="D11" s="41">
        <v>27.82</v>
      </c>
      <c r="E11" s="41">
        <v>10.130000000000001</v>
      </c>
      <c r="F11" s="41">
        <v>4.37</v>
      </c>
      <c r="G11" s="41">
        <v>117.34</v>
      </c>
      <c r="H11" s="41">
        <v>31.14</v>
      </c>
      <c r="I11" s="41">
        <v>12.82</v>
      </c>
      <c r="J11" s="41">
        <v>0.25</v>
      </c>
      <c r="K11" s="41">
        <v>178.28</v>
      </c>
      <c r="L11" s="41">
        <v>20.81</v>
      </c>
      <c r="M11" s="41">
        <v>74.38</v>
      </c>
      <c r="N11" s="41">
        <v>1.4</v>
      </c>
      <c r="O11" s="41">
        <v>0</v>
      </c>
      <c r="P11" s="41">
        <v>0.99</v>
      </c>
      <c r="Q11" s="41">
        <v>12.95</v>
      </c>
      <c r="R11" s="38"/>
      <c r="S11" s="38"/>
      <c r="T11" s="38"/>
      <c r="U11" s="38"/>
    </row>
    <row r="12" spans="1:21" customFormat="1">
      <c r="A12" s="40" t="s">
        <v>664</v>
      </c>
      <c r="B12" s="41">
        <v>18.420000000000002</v>
      </c>
      <c r="C12" s="41">
        <v>27.48</v>
      </c>
      <c r="D12" s="41">
        <v>30.32</v>
      </c>
      <c r="E12" s="41">
        <v>10.44</v>
      </c>
      <c r="F12" s="41">
        <v>6.67</v>
      </c>
      <c r="G12" s="41">
        <v>114.24</v>
      </c>
      <c r="H12" s="41">
        <v>32.19</v>
      </c>
      <c r="I12" s="41">
        <v>13.31</v>
      </c>
      <c r="J12" s="41">
        <v>0.4</v>
      </c>
      <c r="K12" s="41">
        <v>172.33</v>
      </c>
      <c r="L12" s="41">
        <v>21.38</v>
      </c>
      <c r="M12" s="41">
        <v>73.599999999999994</v>
      </c>
      <c r="N12" s="41">
        <v>1.1000000000000001</v>
      </c>
      <c r="O12" s="41">
        <v>0</v>
      </c>
      <c r="P12" s="41">
        <v>1.01</v>
      </c>
      <c r="Q12" s="41">
        <v>12.97</v>
      </c>
      <c r="R12" s="38"/>
      <c r="S12" s="38"/>
      <c r="T12" s="38"/>
      <c r="U12" s="38"/>
    </row>
    <row r="13" spans="1:21" customFormat="1">
      <c r="A13" s="40" t="s">
        <v>665</v>
      </c>
      <c r="B13" s="41">
        <v>18.79</v>
      </c>
      <c r="C13" s="41">
        <v>27.37</v>
      </c>
      <c r="D13" s="41">
        <v>30.68</v>
      </c>
      <c r="E13" s="41">
        <v>10.25</v>
      </c>
      <c r="F13" s="41">
        <v>3.97</v>
      </c>
      <c r="G13" s="41">
        <v>110.9</v>
      </c>
      <c r="H13" s="41">
        <v>32.19</v>
      </c>
      <c r="I13" s="41">
        <v>13.74</v>
      </c>
      <c r="J13" s="41">
        <v>0.21</v>
      </c>
      <c r="K13" s="41">
        <v>258.10000000000002</v>
      </c>
      <c r="L13" s="41">
        <v>21.13</v>
      </c>
      <c r="M13" s="41">
        <v>72.22</v>
      </c>
      <c r="N13" s="41">
        <v>1.8</v>
      </c>
      <c r="O13" s="41">
        <v>0</v>
      </c>
      <c r="P13" s="41">
        <v>1.06</v>
      </c>
      <c r="Q13" s="41">
        <v>12.98</v>
      </c>
      <c r="R13" s="38"/>
      <c r="S13" s="38"/>
      <c r="T13" s="38"/>
      <c r="U13" s="38"/>
    </row>
    <row r="14" spans="1:21" customFormat="1">
      <c r="A14" s="40" t="s">
        <v>666</v>
      </c>
      <c r="B14" s="41">
        <v>20.64</v>
      </c>
      <c r="C14" s="41">
        <v>27.3</v>
      </c>
      <c r="D14" s="41">
        <v>32.17</v>
      </c>
      <c r="E14" s="41">
        <v>10.36</v>
      </c>
      <c r="F14" s="41">
        <v>4.09</v>
      </c>
      <c r="G14" s="41">
        <v>110.9</v>
      </c>
      <c r="H14" s="41">
        <v>32.07</v>
      </c>
      <c r="I14" s="41">
        <v>13.84</v>
      </c>
      <c r="J14" s="41">
        <v>0.61</v>
      </c>
      <c r="K14" s="41">
        <v>203.1</v>
      </c>
      <c r="L14" s="41">
        <v>21.05</v>
      </c>
      <c r="M14" s="41">
        <v>64.77</v>
      </c>
      <c r="N14" s="41">
        <v>1.7</v>
      </c>
      <c r="O14" s="41">
        <v>0</v>
      </c>
      <c r="P14" s="41">
        <v>1.07</v>
      </c>
      <c r="Q14" s="41">
        <v>12.99</v>
      </c>
      <c r="R14" s="38"/>
      <c r="S14" s="38"/>
      <c r="T14" s="38"/>
      <c r="U14" s="38"/>
    </row>
    <row r="15" spans="1:21" customFormat="1">
      <c r="A15" s="40" t="s">
        <v>667</v>
      </c>
      <c r="B15" s="41">
        <v>20.59</v>
      </c>
      <c r="C15" s="41">
        <v>27.35</v>
      </c>
      <c r="D15" s="41">
        <v>32.15</v>
      </c>
      <c r="E15" s="41">
        <v>10.1</v>
      </c>
      <c r="F15" s="41">
        <v>4.25</v>
      </c>
      <c r="G15" s="41">
        <v>117.14</v>
      </c>
      <c r="H15" s="41">
        <v>32.15</v>
      </c>
      <c r="I15" s="41">
        <v>13.85</v>
      </c>
      <c r="J15" s="41">
        <v>0.25</v>
      </c>
      <c r="K15" s="41">
        <v>200.63</v>
      </c>
      <c r="L15" s="41">
        <v>20.46</v>
      </c>
      <c r="M15" s="41">
        <v>75.11</v>
      </c>
      <c r="N15" s="41">
        <v>10.7</v>
      </c>
      <c r="O15" s="41">
        <v>0</v>
      </c>
      <c r="P15" s="41">
        <v>1.07</v>
      </c>
      <c r="Q15" s="41">
        <v>12.98</v>
      </c>
      <c r="R15" s="38"/>
      <c r="S15" s="38"/>
      <c r="T15" s="38"/>
      <c r="U15" s="38"/>
    </row>
    <row r="16" spans="1:21" customFormat="1">
      <c r="A16" s="40" t="s">
        <v>668</v>
      </c>
      <c r="B16" s="41">
        <v>18.64</v>
      </c>
      <c r="C16" s="41">
        <v>25.87</v>
      </c>
      <c r="D16" s="41">
        <v>29.79</v>
      </c>
      <c r="E16" s="41">
        <v>10.26</v>
      </c>
      <c r="F16" s="41">
        <v>7.74</v>
      </c>
      <c r="G16" s="41">
        <v>117.14</v>
      </c>
      <c r="H16" s="41">
        <v>32.15</v>
      </c>
      <c r="I16" s="41">
        <v>13.94</v>
      </c>
      <c r="J16" s="41">
        <v>0.14000000000000001</v>
      </c>
      <c r="K16" s="41">
        <v>175.37</v>
      </c>
      <c r="L16" s="41">
        <v>22.18</v>
      </c>
      <c r="M16" s="41">
        <v>75.14</v>
      </c>
      <c r="N16" s="41">
        <v>44.4</v>
      </c>
      <c r="O16" s="41">
        <v>0</v>
      </c>
      <c r="P16" s="41">
        <v>1.02</v>
      </c>
      <c r="Q16" s="41">
        <v>12.97</v>
      </c>
      <c r="R16" s="38"/>
      <c r="S16" s="38"/>
      <c r="T16" s="38"/>
      <c r="U16" s="38"/>
    </row>
    <row r="17" spans="1:21" customFormat="1">
      <c r="A17" s="40" t="s">
        <v>669</v>
      </c>
      <c r="B17" s="41">
        <v>16.77</v>
      </c>
      <c r="C17" s="41">
        <v>29.13</v>
      </c>
      <c r="D17" s="41">
        <v>29.47</v>
      </c>
      <c r="E17" s="41">
        <v>11.19</v>
      </c>
      <c r="F17" s="41">
        <v>12.62</v>
      </c>
      <c r="G17" s="41">
        <v>121.86</v>
      </c>
      <c r="H17" s="41">
        <v>37.14</v>
      </c>
      <c r="I17" s="41">
        <v>14.84</v>
      </c>
      <c r="J17" s="41">
        <v>0.55000000000000004</v>
      </c>
      <c r="K17" s="41">
        <v>48.47</v>
      </c>
      <c r="L17" s="41">
        <v>25.67</v>
      </c>
      <c r="M17" s="41">
        <v>57.89</v>
      </c>
      <c r="N17" s="41">
        <v>159.30000000000001</v>
      </c>
      <c r="O17" s="41">
        <v>0</v>
      </c>
      <c r="P17" s="41">
        <v>1.1599999999999999</v>
      </c>
      <c r="Q17" s="41">
        <v>12.97</v>
      </c>
      <c r="R17" s="38"/>
      <c r="S17" s="38"/>
      <c r="T17" s="38"/>
      <c r="U17" s="38"/>
    </row>
    <row r="18" spans="1:21" customFormat="1">
      <c r="A18" s="40" t="s">
        <v>670</v>
      </c>
      <c r="B18" s="41">
        <v>15.55</v>
      </c>
      <c r="C18" s="41">
        <v>33.229999999999997</v>
      </c>
      <c r="D18" s="41">
        <v>30.86</v>
      </c>
      <c r="E18" s="41">
        <v>11.55</v>
      </c>
      <c r="F18" s="41">
        <v>15.36</v>
      </c>
      <c r="G18" s="41">
        <v>155.78</v>
      </c>
      <c r="H18" s="41">
        <v>46.87</v>
      </c>
      <c r="I18" s="41">
        <v>15.93</v>
      </c>
      <c r="J18" s="41">
        <v>0.95</v>
      </c>
      <c r="K18" s="41">
        <v>88.36</v>
      </c>
      <c r="L18" s="41">
        <v>27.85</v>
      </c>
      <c r="M18" s="41">
        <v>46.59</v>
      </c>
      <c r="N18" s="41">
        <v>238.5</v>
      </c>
      <c r="O18" s="41">
        <v>0</v>
      </c>
      <c r="P18" s="41">
        <v>1.21</v>
      </c>
      <c r="Q18" s="41">
        <v>12.97</v>
      </c>
      <c r="R18" s="38"/>
      <c r="S18" s="38"/>
      <c r="T18" s="38"/>
      <c r="U18" s="38"/>
    </row>
    <row r="19" spans="1:21" customFormat="1">
      <c r="A19" s="40" t="s">
        <v>671</v>
      </c>
      <c r="B19" s="41">
        <v>15.34</v>
      </c>
      <c r="C19" s="41">
        <v>35.26</v>
      </c>
      <c r="D19" s="41">
        <v>31.68</v>
      </c>
      <c r="E19" s="41">
        <v>12.74</v>
      </c>
      <c r="F19" s="41">
        <v>27.25</v>
      </c>
      <c r="G19" s="41">
        <v>155.78</v>
      </c>
      <c r="H19" s="41">
        <v>48.19</v>
      </c>
      <c r="I19" s="41">
        <v>15.81</v>
      </c>
      <c r="J19" s="41">
        <v>0.93</v>
      </c>
      <c r="K19" s="41">
        <v>44.11</v>
      </c>
      <c r="L19" s="41">
        <v>29.89</v>
      </c>
      <c r="M19" s="41">
        <v>36.49</v>
      </c>
      <c r="N19" s="41">
        <v>286</v>
      </c>
      <c r="O19" s="41">
        <v>0</v>
      </c>
      <c r="P19" s="41">
        <v>1.1599999999999999</v>
      </c>
      <c r="Q19" s="41">
        <v>12.99</v>
      </c>
      <c r="R19" s="38"/>
      <c r="S19" s="38"/>
      <c r="T19" s="38"/>
      <c r="U19" s="38"/>
    </row>
    <row r="20" spans="1:21" customFormat="1">
      <c r="A20" s="40" t="s">
        <v>672</v>
      </c>
      <c r="B20" s="41">
        <v>12.69</v>
      </c>
      <c r="C20" s="41">
        <v>36.020000000000003</v>
      </c>
      <c r="D20" s="41">
        <v>30.22</v>
      </c>
      <c r="E20" s="41">
        <v>18.14</v>
      </c>
      <c r="F20" s="41">
        <v>38.630000000000003</v>
      </c>
      <c r="G20" s="41">
        <v>144.31</v>
      </c>
      <c r="H20" s="41">
        <v>48.19</v>
      </c>
      <c r="I20" s="41">
        <v>14.78</v>
      </c>
      <c r="J20" s="41">
        <v>0.71</v>
      </c>
      <c r="K20" s="41">
        <v>108.73</v>
      </c>
      <c r="L20" s="41">
        <v>31.97</v>
      </c>
      <c r="M20" s="41">
        <v>31.72</v>
      </c>
      <c r="N20" s="41">
        <v>310</v>
      </c>
      <c r="O20" s="41">
        <v>0</v>
      </c>
      <c r="P20" s="41">
        <v>1.08</v>
      </c>
      <c r="Q20" s="41">
        <v>12.97</v>
      </c>
      <c r="R20" s="38"/>
      <c r="S20" s="38"/>
      <c r="T20" s="38"/>
      <c r="U20" s="38"/>
    </row>
    <row r="21" spans="1:21" customFormat="1">
      <c r="A21" s="40" t="s">
        <v>673</v>
      </c>
      <c r="B21" s="41">
        <v>9</v>
      </c>
      <c r="C21" s="41">
        <v>33.96</v>
      </c>
      <c r="D21" s="41">
        <v>26.31</v>
      </c>
      <c r="E21" s="41">
        <v>23.87</v>
      </c>
      <c r="F21" s="41">
        <v>46.53</v>
      </c>
      <c r="G21" s="41">
        <v>121.21</v>
      </c>
      <c r="H21" s="41">
        <v>50.57</v>
      </c>
      <c r="I21" s="41">
        <v>13.55</v>
      </c>
      <c r="J21" s="41">
        <v>0.73</v>
      </c>
      <c r="K21" s="41">
        <v>304.89</v>
      </c>
      <c r="L21" s="41">
        <v>32.75</v>
      </c>
      <c r="M21" s="41">
        <v>28.51</v>
      </c>
      <c r="N21" s="41">
        <v>317</v>
      </c>
      <c r="O21" s="41">
        <v>0</v>
      </c>
      <c r="P21" s="41">
        <v>1.01</v>
      </c>
      <c r="Q21" s="41">
        <v>12.95</v>
      </c>
      <c r="R21" s="38"/>
      <c r="S21" s="38"/>
      <c r="T21" s="38"/>
      <c r="U21" s="38"/>
    </row>
    <row r="22" spans="1:21" customFormat="1">
      <c r="A22" s="40" t="s">
        <v>674</v>
      </c>
      <c r="B22" s="41">
        <v>6</v>
      </c>
      <c r="C22" s="41">
        <v>31.15</v>
      </c>
      <c r="D22" s="41">
        <v>22.44</v>
      </c>
      <c r="E22" s="41">
        <v>18.86</v>
      </c>
      <c r="F22" s="41">
        <v>40.299999999999997</v>
      </c>
      <c r="G22" s="41">
        <v>93.78</v>
      </c>
      <c r="H22" s="41">
        <v>50.57</v>
      </c>
      <c r="I22" s="41">
        <v>12.39</v>
      </c>
      <c r="J22" s="41">
        <v>0.51</v>
      </c>
      <c r="K22" s="41">
        <v>347.06</v>
      </c>
      <c r="L22" s="41">
        <v>33.700000000000003</v>
      </c>
      <c r="M22" s="41">
        <v>28.11</v>
      </c>
      <c r="N22" s="41">
        <v>317.39999999999998</v>
      </c>
      <c r="O22" s="41">
        <v>0</v>
      </c>
      <c r="P22" s="41">
        <v>0.95</v>
      </c>
      <c r="Q22" s="41">
        <v>12.94</v>
      </c>
      <c r="R22" s="38"/>
      <c r="S22" s="38"/>
      <c r="T22" s="38"/>
      <c r="U22" s="38"/>
    </row>
    <row r="23" spans="1:21" customFormat="1">
      <c r="A23" s="40" t="s">
        <v>675</v>
      </c>
      <c r="B23" s="41">
        <v>4.26</v>
      </c>
      <c r="C23" s="41">
        <v>27.77</v>
      </c>
      <c r="D23" s="41">
        <v>19.27</v>
      </c>
      <c r="E23" s="41">
        <v>38.33</v>
      </c>
      <c r="F23" s="41">
        <v>43.29</v>
      </c>
      <c r="G23" s="41">
        <v>91.6</v>
      </c>
      <c r="H23" s="41">
        <v>48.28</v>
      </c>
      <c r="I23" s="41">
        <v>11.29</v>
      </c>
      <c r="J23" s="41">
        <v>0.61</v>
      </c>
      <c r="K23" s="41">
        <v>324.94</v>
      </c>
      <c r="L23" s="41">
        <v>33.99</v>
      </c>
      <c r="M23" s="41">
        <v>27.71</v>
      </c>
      <c r="N23" s="41">
        <v>272.60000000000002</v>
      </c>
      <c r="O23" s="41">
        <v>0</v>
      </c>
      <c r="P23" s="41">
        <v>0.83</v>
      </c>
      <c r="Q23" s="41">
        <v>12.92</v>
      </c>
      <c r="R23" s="38"/>
      <c r="S23" s="38"/>
      <c r="T23" s="38"/>
      <c r="U23" s="38"/>
    </row>
    <row r="24" spans="1:21" customFormat="1">
      <c r="A24" s="40" t="s">
        <v>676</v>
      </c>
      <c r="B24" s="41">
        <v>3.88</v>
      </c>
      <c r="C24" s="41">
        <v>25.18</v>
      </c>
      <c r="D24" s="41">
        <v>17.61</v>
      </c>
      <c r="E24" s="41">
        <v>50.06</v>
      </c>
      <c r="F24" s="41">
        <v>35.21</v>
      </c>
      <c r="G24" s="41">
        <v>79.180000000000007</v>
      </c>
      <c r="H24" s="41">
        <v>46.48</v>
      </c>
      <c r="I24" s="41">
        <v>10.09</v>
      </c>
      <c r="J24" s="41">
        <v>0.64</v>
      </c>
      <c r="K24" s="41">
        <v>357.49</v>
      </c>
      <c r="L24" s="41">
        <v>33.07</v>
      </c>
      <c r="M24" s="41">
        <v>29.34</v>
      </c>
      <c r="N24" s="41">
        <v>77.5</v>
      </c>
      <c r="O24" s="41">
        <v>0</v>
      </c>
      <c r="P24" s="41">
        <v>0.79</v>
      </c>
      <c r="Q24" s="41">
        <v>12.91</v>
      </c>
      <c r="R24" s="38"/>
      <c r="S24" s="38"/>
      <c r="T24" s="38"/>
      <c r="U24" s="38"/>
    </row>
    <row r="25" spans="1:21" customFormat="1">
      <c r="A25" s="40" t="s">
        <v>677</v>
      </c>
      <c r="B25" s="41">
        <v>3.91</v>
      </c>
      <c r="C25" s="41">
        <v>27.48</v>
      </c>
      <c r="D25" s="41">
        <v>18.8</v>
      </c>
      <c r="E25" s="41">
        <v>37.42</v>
      </c>
      <c r="F25" s="41">
        <v>39.049999999999997</v>
      </c>
      <c r="G25" s="41">
        <v>83.31</v>
      </c>
      <c r="H25" s="41">
        <v>42.68</v>
      </c>
      <c r="I25" s="41">
        <v>9.75</v>
      </c>
      <c r="J25" s="41">
        <v>0.75</v>
      </c>
      <c r="K25" s="41">
        <v>40.86</v>
      </c>
      <c r="L25" s="41">
        <v>32.21</v>
      </c>
      <c r="M25" s="41">
        <v>30.71</v>
      </c>
      <c r="N25" s="41">
        <v>63.7</v>
      </c>
      <c r="O25" s="41">
        <v>0</v>
      </c>
      <c r="P25" s="41">
        <v>0.77</v>
      </c>
      <c r="Q25" s="41">
        <v>12.91</v>
      </c>
      <c r="R25" s="38"/>
      <c r="S25" s="38"/>
      <c r="T25" s="38"/>
      <c r="U25" s="38"/>
    </row>
    <row r="26" spans="1:21" customFormat="1">
      <c r="A26" s="40" t="s">
        <v>678</v>
      </c>
      <c r="B26" s="41">
        <v>4.34</v>
      </c>
      <c r="C26" s="41">
        <v>31.53</v>
      </c>
      <c r="D26" s="41">
        <v>21.3</v>
      </c>
      <c r="E26" s="41">
        <v>45.79</v>
      </c>
      <c r="F26" s="41">
        <v>34.71</v>
      </c>
      <c r="G26" s="41">
        <v>94</v>
      </c>
      <c r="H26" s="41">
        <v>41.88</v>
      </c>
      <c r="I26" s="41">
        <v>9.75</v>
      </c>
      <c r="J26" s="41">
        <v>0.72</v>
      </c>
      <c r="K26" s="41">
        <v>57.98</v>
      </c>
      <c r="L26" s="41">
        <v>31.35</v>
      </c>
      <c r="M26" s="41">
        <v>33.82</v>
      </c>
      <c r="N26" s="41">
        <v>20.6</v>
      </c>
      <c r="O26" s="41">
        <v>0</v>
      </c>
      <c r="P26" s="41">
        <v>0.79</v>
      </c>
      <c r="Q26" s="41">
        <v>12.93</v>
      </c>
      <c r="R26" s="38"/>
      <c r="S26" s="38"/>
      <c r="T26" s="38"/>
      <c r="U26" s="38"/>
    </row>
    <row r="27" spans="1:21" customFormat="1">
      <c r="A27" s="40" t="s">
        <v>679</v>
      </c>
      <c r="B27" s="41">
        <v>5.73</v>
      </c>
      <c r="C27" s="41">
        <v>33.99</v>
      </c>
      <c r="D27" s="41">
        <v>23.7</v>
      </c>
      <c r="E27" s="41">
        <v>15.48</v>
      </c>
      <c r="F27" s="41">
        <v>39.549999999999997</v>
      </c>
      <c r="G27" s="41">
        <v>101.44</v>
      </c>
      <c r="H27" s="41">
        <v>41.88</v>
      </c>
      <c r="I27" s="41">
        <v>10.220000000000001</v>
      </c>
      <c r="J27" s="41">
        <v>0.71</v>
      </c>
      <c r="K27" s="41">
        <v>57.04</v>
      </c>
      <c r="L27" s="41">
        <v>29.95</v>
      </c>
      <c r="M27" s="41">
        <v>38.25</v>
      </c>
      <c r="N27" s="41">
        <v>1.9</v>
      </c>
      <c r="O27" s="41">
        <v>0</v>
      </c>
      <c r="P27" s="41">
        <v>0.83</v>
      </c>
      <c r="Q27" s="41">
        <v>12.95</v>
      </c>
      <c r="R27" s="38"/>
      <c r="S27" s="38"/>
      <c r="T27" s="38"/>
      <c r="U27" s="38"/>
    </row>
    <row r="28" spans="1:21" customFormat="1">
      <c r="A28" s="40" t="s">
        <v>680</v>
      </c>
      <c r="B28" s="41">
        <v>5.94</v>
      </c>
      <c r="C28" s="41">
        <v>34.39</v>
      </c>
      <c r="D28" s="41">
        <v>24.09</v>
      </c>
      <c r="E28" s="41">
        <v>11.63</v>
      </c>
      <c r="F28" s="41">
        <v>22.08</v>
      </c>
      <c r="G28" s="41">
        <v>106.04</v>
      </c>
      <c r="H28" s="41">
        <v>39.08</v>
      </c>
      <c r="I28" s="41">
        <v>10.49</v>
      </c>
      <c r="J28" s="41">
        <v>0.56999999999999995</v>
      </c>
      <c r="K28" s="41">
        <v>162.24</v>
      </c>
      <c r="L28" s="41">
        <v>28.44</v>
      </c>
      <c r="M28" s="41">
        <v>52.07</v>
      </c>
      <c r="N28" s="41">
        <v>2</v>
      </c>
      <c r="O28" s="41">
        <v>0</v>
      </c>
      <c r="P28" s="41">
        <v>0.86</v>
      </c>
      <c r="Q28" s="41">
        <v>12.94</v>
      </c>
      <c r="R28" s="38"/>
      <c r="S28" s="38"/>
      <c r="T28" s="38"/>
      <c r="U28" s="38"/>
    </row>
    <row r="29" spans="1:21" customFormat="1">
      <c r="A29" s="40" t="s">
        <v>681</v>
      </c>
      <c r="B29" s="41">
        <v>5.85</v>
      </c>
      <c r="C29" s="41">
        <v>32.93</v>
      </c>
      <c r="D29" s="41">
        <v>23.11</v>
      </c>
      <c r="E29" s="41">
        <v>9.24</v>
      </c>
      <c r="F29" s="41">
        <v>9.17</v>
      </c>
      <c r="G29" s="41">
        <v>117.5</v>
      </c>
      <c r="H29" s="41">
        <v>39.43</v>
      </c>
      <c r="I29" s="41">
        <v>11.27</v>
      </c>
      <c r="J29" s="41">
        <v>0.27</v>
      </c>
      <c r="K29" s="41">
        <v>194.18</v>
      </c>
      <c r="L29" s="41">
        <v>26.04</v>
      </c>
      <c r="M29" s="41">
        <v>58.64</v>
      </c>
      <c r="N29" s="41">
        <v>1.8</v>
      </c>
      <c r="O29" s="41">
        <v>0</v>
      </c>
      <c r="P29" s="41">
        <v>0.89</v>
      </c>
      <c r="Q29" s="41">
        <v>12.94</v>
      </c>
      <c r="R29" s="38"/>
      <c r="S29" s="38"/>
      <c r="T29" s="38"/>
      <c r="U29" s="38"/>
    </row>
    <row r="30" spans="1:21" customFormat="1">
      <c r="A30" s="40" t="s">
        <v>682</v>
      </c>
      <c r="B30" s="41">
        <v>7</v>
      </c>
      <c r="C30" s="41">
        <v>31.32</v>
      </c>
      <c r="D30" s="41">
        <v>22.47</v>
      </c>
      <c r="E30" s="41">
        <v>8.66</v>
      </c>
      <c r="F30" s="41">
        <v>4.16</v>
      </c>
      <c r="G30" s="41">
        <v>125.74</v>
      </c>
      <c r="H30" s="41">
        <v>40.799999999999997</v>
      </c>
      <c r="I30" s="41">
        <v>11.72</v>
      </c>
      <c r="J30" s="41">
        <v>0.23</v>
      </c>
      <c r="K30" s="41">
        <v>205.61</v>
      </c>
      <c r="L30" s="41">
        <v>24.56</v>
      </c>
      <c r="M30" s="41">
        <v>64.44</v>
      </c>
      <c r="N30" s="41">
        <v>1.7</v>
      </c>
      <c r="O30" s="41">
        <v>0</v>
      </c>
      <c r="P30" s="41">
        <v>0.96</v>
      </c>
      <c r="Q30" s="41">
        <v>12.95</v>
      </c>
      <c r="R30" s="38"/>
      <c r="S30" s="38"/>
      <c r="T30" s="38"/>
      <c r="U30" s="38"/>
    </row>
    <row r="31" spans="1:21" customFormat="1">
      <c r="A31" s="40" t="s">
        <v>683</v>
      </c>
      <c r="B31" s="41">
        <v>7.91</v>
      </c>
      <c r="C31" s="41">
        <v>28.31</v>
      </c>
      <c r="D31" s="41">
        <v>21.98</v>
      </c>
      <c r="E31" s="41">
        <v>8.52</v>
      </c>
      <c r="F31" s="41">
        <v>3.58</v>
      </c>
      <c r="G31" s="41">
        <v>125.74</v>
      </c>
      <c r="H31" s="41">
        <v>40.799999999999997</v>
      </c>
      <c r="I31" s="41">
        <v>11.87</v>
      </c>
      <c r="J31" s="41">
        <v>0.2</v>
      </c>
      <c r="K31" s="41">
        <v>195.56</v>
      </c>
      <c r="L31" s="41">
        <v>23.31</v>
      </c>
      <c r="M31" s="41">
        <v>67.48</v>
      </c>
      <c r="N31" s="41">
        <v>1.5</v>
      </c>
      <c r="O31" s="41">
        <v>0</v>
      </c>
      <c r="P31" s="41">
        <v>0.97</v>
      </c>
      <c r="Q31" s="41">
        <v>12.97</v>
      </c>
      <c r="R31" s="38"/>
      <c r="S31" s="38"/>
      <c r="T31" s="38"/>
      <c r="U31" s="38"/>
    </row>
    <row r="32" spans="1:21" customFormat="1">
      <c r="A32" s="40" t="s">
        <v>684</v>
      </c>
      <c r="B32" s="41">
        <v>8.93</v>
      </c>
      <c r="C32" s="41">
        <v>26.22</v>
      </c>
      <c r="D32" s="41">
        <v>21.56</v>
      </c>
      <c r="E32" s="41">
        <v>8.77</v>
      </c>
      <c r="F32" s="41">
        <v>3.75</v>
      </c>
      <c r="G32" s="41">
        <v>119.22</v>
      </c>
      <c r="H32" s="41">
        <v>37.5</v>
      </c>
      <c r="I32" s="41">
        <v>11.91</v>
      </c>
      <c r="J32" s="41">
        <v>0.17</v>
      </c>
      <c r="K32" s="41">
        <v>199.43</v>
      </c>
      <c r="L32" s="41">
        <v>22.88</v>
      </c>
      <c r="M32" s="41">
        <v>71.64</v>
      </c>
      <c r="N32" s="41">
        <v>1.4</v>
      </c>
      <c r="O32" s="41">
        <v>0</v>
      </c>
      <c r="P32" s="41">
        <v>0.98</v>
      </c>
      <c r="Q32" s="41">
        <v>12.98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3.88</v>
      </c>
      <c r="C34" s="18">
        <f t="shared" si="0"/>
        <v>25.18</v>
      </c>
      <c r="D34" s="18">
        <f t="shared" si="0"/>
        <v>17.61</v>
      </c>
      <c r="E34" s="18">
        <f t="shared" si="0"/>
        <v>8.52</v>
      </c>
      <c r="F34" s="18">
        <f t="shared" si="0"/>
        <v>3.58</v>
      </c>
      <c r="G34" s="18">
        <f t="shared" si="0"/>
        <v>79.180000000000007</v>
      </c>
      <c r="H34" s="18">
        <f t="shared" si="0"/>
        <v>31.14</v>
      </c>
      <c r="I34" s="18">
        <f t="shared" si="0"/>
        <v>9.75</v>
      </c>
      <c r="J34" s="18">
        <f t="shared" si="0"/>
        <v>0.14000000000000001</v>
      </c>
      <c r="K34" s="18">
        <f t="shared" si="0"/>
        <v>40.86</v>
      </c>
      <c r="L34" s="18">
        <f t="shared" si="0"/>
        <v>20.46</v>
      </c>
      <c r="M34" s="18">
        <f t="shared" si="0"/>
        <v>27.71</v>
      </c>
      <c r="N34" s="18">
        <f t="shared" si="0"/>
        <v>1.1000000000000001</v>
      </c>
      <c r="O34" s="18">
        <f t="shared" si="0"/>
        <v>0</v>
      </c>
      <c r="P34" s="18">
        <f t="shared" si="0"/>
        <v>0.77</v>
      </c>
      <c r="Q34" s="18">
        <f t="shared" si="0"/>
        <v>12.91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20.64</v>
      </c>
      <c r="C35" s="3">
        <f t="shared" si="1"/>
        <v>36.020000000000003</v>
      </c>
      <c r="D35" s="3">
        <f t="shared" si="1"/>
        <v>32.17</v>
      </c>
      <c r="E35" s="3">
        <f t="shared" si="1"/>
        <v>50.06</v>
      </c>
      <c r="F35" s="3">
        <f t="shared" si="1"/>
        <v>46.53</v>
      </c>
      <c r="G35" s="3">
        <f t="shared" si="1"/>
        <v>155.78</v>
      </c>
      <c r="H35" s="3">
        <f t="shared" si="1"/>
        <v>50.57</v>
      </c>
      <c r="I35" s="3">
        <f t="shared" si="1"/>
        <v>15.93</v>
      </c>
      <c r="J35" s="3">
        <f t="shared" si="1"/>
        <v>0.95</v>
      </c>
      <c r="K35" s="3">
        <f t="shared" si="1"/>
        <v>357.49</v>
      </c>
      <c r="L35" s="3">
        <f t="shared" si="1"/>
        <v>33.99</v>
      </c>
      <c r="M35" s="3">
        <f t="shared" si="1"/>
        <v>75.14</v>
      </c>
      <c r="N35" s="3">
        <f t="shared" si="1"/>
        <v>317.39999999999998</v>
      </c>
      <c r="O35" s="3">
        <f t="shared" si="1"/>
        <v>0</v>
      </c>
      <c r="P35" s="3">
        <f t="shared" si="1"/>
        <v>1.21</v>
      </c>
      <c r="Q35" s="3">
        <f t="shared" si="1"/>
        <v>12.99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11.066666666666668</v>
      </c>
      <c r="C36" s="18">
        <f t="shared" si="2"/>
        <v>29.805416666666662</v>
      </c>
      <c r="D36" s="18">
        <f t="shared" si="2"/>
        <v>25.63</v>
      </c>
      <c r="E36" s="18">
        <f t="shared" si="2"/>
        <v>17.182916666666667</v>
      </c>
      <c r="F36" s="18">
        <f t="shared" si="2"/>
        <v>18.939583333333335</v>
      </c>
      <c r="G36" s="18">
        <f t="shared" si="2"/>
        <v>114.7370833333333</v>
      </c>
      <c r="H36" s="18">
        <f t="shared" si="2"/>
        <v>39.819166666666661</v>
      </c>
      <c r="I36" s="18">
        <f t="shared" si="2"/>
        <v>12.558333333333337</v>
      </c>
      <c r="J36" s="18">
        <f t="shared" si="2"/>
        <v>0.48750000000000004</v>
      </c>
      <c r="K36" s="18">
        <f t="shared" si="2"/>
        <v>178.92249999999999</v>
      </c>
      <c r="L36" s="18">
        <f t="shared" si="2"/>
        <v>26.656249999999996</v>
      </c>
      <c r="M36" s="18">
        <f t="shared" si="2"/>
        <v>53.202083333333348</v>
      </c>
      <c r="N36" s="18">
        <f t="shared" si="2"/>
        <v>89.041666666666671</v>
      </c>
      <c r="O36" s="18">
        <f t="shared" si="2"/>
        <v>0</v>
      </c>
      <c r="P36" s="18">
        <f t="shared" si="2"/>
        <v>0.97041666666666659</v>
      </c>
      <c r="Q36" s="18">
        <f t="shared" si="2"/>
        <v>12.955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5.8398180932558859</v>
      </c>
      <c r="C37" s="18">
        <f t="shared" ref="C37:Q37" si="3">STDEV(C9:C32)</f>
        <v>3.3491556095680992</v>
      </c>
      <c r="D37" s="18">
        <f t="shared" si="3"/>
        <v>4.6570012743787377</v>
      </c>
      <c r="E37" s="18">
        <f t="shared" si="3"/>
        <v>12.493156902242839</v>
      </c>
      <c r="F37" s="18">
        <f t="shared" si="3"/>
        <v>16.207200621722237</v>
      </c>
      <c r="G37" s="18">
        <f t="shared" si="3"/>
        <v>19.310158731963586</v>
      </c>
      <c r="H37" s="18">
        <f t="shared" si="3"/>
        <v>6.819889019029902</v>
      </c>
      <c r="I37" s="18">
        <f t="shared" si="3"/>
        <v>1.8336413443501136</v>
      </c>
      <c r="J37" s="18">
        <f t="shared" si="3"/>
        <v>0.2528833723280357</v>
      </c>
      <c r="K37" s="18">
        <f t="shared" si="3"/>
        <v>94.386725634948036</v>
      </c>
      <c r="L37" s="18">
        <f t="shared" si="3"/>
        <v>4.8275602015925383</v>
      </c>
      <c r="M37" s="18">
        <f t="shared" si="3"/>
        <v>18.542396069352844</v>
      </c>
      <c r="N37" s="18">
        <f t="shared" si="3"/>
        <v>124.76435150233057</v>
      </c>
      <c r="O37" s="18">
        <f t="shared" si="3"/>
        <v>0</v>
      </c>
      <c r="P37" s="18">
        <f t="shared" si="3"/>
        <v>0.12323463540059937</v>
      </c>
      <c r="Q37" s="18">
        <f t="shared" si="3"/>
        <v>2.3405684928165093E-2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L24" sqref="L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685</v>
      </c>
      <c r="B9" s="41">
        <v>9.83</v>
      </c>
      <c r="C9" s="41">
        <v>25.03</v>
      </c>
      <c r="D9" s="41">
        <v>22.01</v>
      </c>
      <c r="E9" s="41">
        <v>8.66</v>
      </c>
      <c r="F9" s="41">
        <v>3.6</v>
      </c>
      <c r="G9" s="41">
        <v>118.63</v>
      </c>
      <c r="H9" s="41">
        <v>35.909999999999997</v>
      </c>
      <c r="I9" s="41">
        <v>12.06</v>
      </c>
      <c r="J9" s="41">
        <v>0.19</v>
      </c>
      <c r="K9" s="41">
        <v>198.8</v>
      </c>
      <c r="L9" s="41">
        <v>22.43</v>
      </c>
      <c r="M9" s="41">
        <v>69.67</v>
      </c>
      <c r="N9" s="41">
        <v>1.4</v>
      </c>
      <c r="O9" s="41">
        <v>0</v>
      </c>
      <c r="P9" s="41">
        <v>0.99</v>
      </c>
      <c r="Q9" s="41">
        <v>13.02</v>
      </c>
      <c r="R9" s="38"/>
      <c r="S9" s="38"/>
      <c r="T9" s="38"/>
      <c r="U9" s="38"/>
    </row>
    <row r="10" spans="1:21" customFormat="1">
      <c r="A10" s="40" t="s">
        <v>686</v>
      </c>
      <c r="B10" s="41">
        <v>10.71</v>
      </c>
      <c r="C10" s="41">
        <v>24.17</v>
      </c>
      <c r="D10" s="41">
        <v>22.56</v>
      </c>
      <c r="E10" s="41">
        <v>8.74</v>
      </c>
      <c r="F10" s="41">
        <v>3.62</v>
      </c>
      <c r="G10" s="41">
        <v>116.45</v>
      </c>
      <c r="H10" s="41">
        <v>35.200000000000003</v>
      </c>
      <c r="I10" s="41">
        <v>12.05</v>
      </c>
      <c r="J10" s="41">
        <v>0.19</v>
      </c>
      <c r="K10" s="41">
        <v>194.02</v>
      </c>
      <c r="L10" s="41">
        <v>22.07</v>
      </c>
      <c r="M10" s="41">
        <v>71.94</v>
      </c>
      <c r="N10" s="41">
        <v>1.6</v>
      </c>
      <c r="O10" s="41">
        <v>0</v>
      </c>
      <c r="P10" s="41">
        <v>0.99</v>
      </c>
      <c r="Q10" s="41">
        <v>13.01</v>
      </c>
      <c r="R10" s="38"/>
      <c r="S10" s="38"/>
      <c r="T10" s="38"/>
      <c r="U10" s="38"/>
    </row>
    <row r="11" spans="1:21" customFormat="1">
      <c r="A11" s="40" t="s">
        <v>687</v>
      </c>
      <c r="B11" s="41">
        <v>12.15</v>
      </c>
      <c r="C11" s="41">
        <v>25.99</v>
      </c>
      <c r="D11" s="41">
        <v>24.68</v>
      </c>
      <c r="E11" s="41">
        <v>11.95</v>
      </c>
      <c r="F11" s="41">
        <v>3.56</v>
      </c>
      <c r="G11" s="41">
        <v>106.07</v>
      </c>
      <c r="H11" s="41">
        <v>33.61</v>
      </c>
      <c r="I11" s="41">
        <v>11.95</v>
      </c>
      <c r="J11" s="41">
        <v>0.32</v>
      </c>
      <c r="K11" s="41">
        <v>191.87</v>
      </c>
      <c r="L11" s="41">
        <v>22.76</v>
      </c>
      <c r="M11" s="41">
        <v>69.52</v>
      </c>
      <c r="N11" s="41">
        <v>1.4</v>
      </c>
      <c r="O11" s="41">
        <v>0</v>
      </c>
      <c r="P11" s="41">
        <v>0.92</v>
      </c>
      <c r="Q11" s="41">
        <v>13.03</v>
      </c>
      <c r="R11" s="38"/>
      <c r="S11" s="38"/>
      <c r="T11" s="38"/>
      <c r="U11" s="38"/>
    </row>
    <row r="12" spans="1:21" customFormat="1">
      <c r="A12" s="40" t="s">
        <v>688</v>
      </c>
      <c r="B12" s="41">
        <v>13.96</v>
      </c>
      <c r="C12" s="41">
        <v>27.54</v>
      </c>
      <c r="D12" s="41">
        <v>26.93</v>
      </c>
      <c r="E12" s="41">
        <v>11.74</v>
      </c>
      <c r="F12" s="41">
        <v>3.69</v>
      </c>
      <c r="G12" s="41">
        <v>103.38</v>
      </c>
      <c r="H12" s="41">
        <v>33.799999999999997</v>
      </c>
      <c r="I12" s="41">
        <v>12.07</v>
      </c>
      <c r="J12" s="41">
        <v>0.66</v>
      </c>
      <c r="K12" s="41">
        <v>61.43</v>
      </c>
      <c r="L12" s="41">
        <v>22.85</v>
      </c>
      <c r="M12" s="41">
        <v>64.47</v>
      </c>
      <c r="N12" s="41">
        <v>1.4</v>
      </c>
      <c r="O12" s="41">
        <v>0</v>
      </c>
      <c r="P12" s="41">
        <v>0.97</v>
      </c>
      <c r="Q12" s="41">
        <v>13.02</v>
      </c>
      <c r="R12" s="38"/>
      <c r="S12" s="38"/>
      <c r="T12" s="38"/>
      <c r="U12" s="38"/>
    </row>
    <row r="13" spans="1:21" customFormat="1">
      <c r="A13" s="40" t="s">
        <v>689</v>
      </c>
      <c r="B13" s="41">
        <v>14.25</v>
      </c>
      <c r="C13" s="41">
        <v>27.72</v>
      </c>
      <c r="D13" s="41">
        <v>27.23</v>
      </c>
      <c r="E13" s="41">
        <v>11.87</v>
      </c>
      <c r="F13" s="41">
        <v>3.7</v>
      </c>
      <c r="G13" s="41">
        <v>124.2</v>
      </c>
      <c r="H13" s="41">
        <v>34.04</v>
      </c>
      <c r="I13" s="41">
        <v>13.35</v>
      </c>
      <c r="J13" s="41">
        <v>0.28000000000000003</v>
      </c>
      <c r="K13" s="41">
        <v>157.94999999999999</v>
      </c>
      <c r="L13" s="41">
        <v>22.59</v>
      </c>
      <c r="M13" s="41">
        <v>67.12</v>
      </c>
      <c r="N13" s="41">
        <v>1.6</v>
      </c>
      <c r="O13" s="41">
        <v>0</v>
      </c>
      <c r="P13" s="41">
        <v>1.03</v>
      </c>
      <c r="Q13" s="41">
        <v>13.01</v>
      </c>
      <c r="R13" s="38"/>
      <c r="S13" s="38"/>
      <c r="T13" s="38"/>
      <c r="U13" s="38"/>
    </row>
    <row r="14" spans="1:21" customFormat="1">
      <c r="A14" s="40" t="s">
        <v>690</v>
      </c>
      <c r="B14" s="41">
        <v>14</v>
      </c>
      <c r="C14" s="41">
        <v>27.53</v>
      </c>
      <c r="D14" s="41">
        <v>26.96</v>
      </c>
      <c r="E14" s="41">
        <v>11.39</v>
      </c>
      <c r="F14" s="41">
        <v>3.62</v>
      </c>
      <c r="G14" s="41">
        <v>128.75</v>
      </c>
      <c r="H14" s="41">
        <v>35.020000000000003</v>
      </c>
      <c r="I14" s="41">
        <v>13.55</v>
      </c>
      <c r="J14" s="41">
        <v>0.22</v>
      </c>
      <c r="K14" s="41">
        <v>216.2</v>
      </c>
      <c r="L14" s="41">
        <v>21.38</v>
      </c>
      <c r="M14" s="41">
        <v>74.38</v>
      </c>
      <c r="N14" s="41">
        <v>1.8</v>
      </c>
      <c r="O14" s="41">
        <v>0</v>
      </c>
      <c r="P14" s="41">
        <v>1.03</v>
      </c>
      <c r="Q14" s="41">
        <v>13</v>
      </c>
      <c r="R14" s="38"/>
      <c r="S14" s="38"/>
      <c r="T14" s="38"/>
      <c r="U14" s="38"/>
    </row>
    <row r="15" spans="1:21" customFormat="1">
      <c r="A15" s="40" t="s">
        <v>691</v>
      </c>
      <c r="B15" s="41">
        <v>13.88</v>
      </c>
      <c r="C15" s="41">
        <v>26.43</v>
      </c>
      <c r="D15" s="41">
        <v>26.13</v>
      </c>
      <c r="E15" s="41">
        <v>11.36</v>
      </c>
      <c r="F15" s="41">
        <v>3.69</v>
      </c>
      <c r="G15" s="41">
        <v>128.75</v>
      </c>
      <c r="H15" s="41">
        <v>35.020000000000003</v>
      </c>
      <c r="I15" s="41">
        <v>13.59</v>
      </c>
      <c r="J15" s="41">
        <v>0.18</v>
      </c>
      <c r="K15" s="41">
        <v>235.8</v>
      </c>
      <c r="L15" s="41">
        <v>20.56</v>
      </c>
      <c r="M15" s="41">
        <v>78.069999999999993</v>
      </c>
      <c r="N15" s="41">
        <v>11.4</v>
      </c>
      <c r="O15" s="41">
        <v>0</v>
      </c>
      <c r="P15" s="41">
        <v>1.03</v>
      </c>
      <c r="Q15" s="41">
        <v>12.99</v>
      </c>
      <c r="R15" s="38"/>
      <c r="S15" s="38"/>
      <c r="T15" s="38"/>
      <c r="U15" s="38"/>
    </row>
    <row r="16" spans="1:21" customFormat="1">
      <c r="A16" s="40" t="s">
        <v>692</v>
      </c>
      <c r="B16" s="41">
        <v>14.91</v>
      </c>
      <c r="C16" s="41">
        <v>26.59</v>
      </c>
      <c r="D16" s="41">
        <v>27.04</v>
      </c>
      <c r="E16" s="41">
        <v>11.22</v>
      </c>
      <c r="F16" s="41">
        <v>4.92</v>
      </c>
      <c r="G16" s="41">
        <v>119.52</v>
      </c>
      <c r="H16" s="41">
        <v>36.24</v>
      </c>
      <c r="I16" s="41">
        <v>13.92</v>
      </c>
      <c r="J16" s="41">
        <v>0.36</v>
      </c>
      <c r="K16" s="41">
        <v>174.31</v>
      </c>
      <c r="L16" s="41">
        <v>22.76</v>
      </c>
      <c r="M16" s="41">
        <v>77.400000000000006</v>
      </c>
      <c r="N16" s="41">
        <v>44.4</v>
      </c>
      <c r="O16" s="41">
        <v>0</v>
      </c>
      <c r="P16" s="41">
        <v>1.1000000000000001</v>
      </c>
      <c r="Q16" s="41">
        <v>13.02</v>
      </c>
      <c r="R16" s="38"/>
      <c r="S16" s="38"/>
      <c r="T16" s="38"/>
      <c r="U16" s="38"/>
    </row>
    <row r="17" spans="1:21" customFormat="1">
      <c r="A17" s="40" t="s">
        <v>693</v>
      </c>
      <c r="B17" s="41">
        <v>14.78</v>
      </c>
      <c r="C17" s="41">
        <v>26.01</v>
      </c>
      <c r="D17" s="41">
        <v>26.79</v>
      </c>
      <c r="E17" s="41">
        <v>11.57</v>
      </c>
      <c r="F17" s="41">
        <v>33.450000000000003</v>
      </c>
      <c r="G17" s="41">
        <v>113.61</v>
      </c>
      <c r="H17" s="41">
        <v>36.24</v>
      </c>
      <c r="I17" s="41">
        <v>14.07</v>
      </c>
      <c r="J17" s="41">
        <v>0.6</v>
      </c>
      <c r="K17" s="41">
        <v>280.41000000000003</v>
      </c>
      <c r="L17" s="41">
        <v>26.07</v>
      </c>
      <c r="M17" s="41">
        <v>57.84</v>
      </c>
      <c r="N17" s="41">
        <v>184.7</v>
      </c>
      <c r="O17" s="41">
        <v>0</v>
      </c>
      <c r="P17" s="41">
        <v>1.1000000000000001</v>
      </c>
      <c r="Q17" s="41">
        <v>13.03</v>
      </c>
      <c r="R17" s="38"/>
      <c r="S17" s="38"/>
      <c r="T17" s="38"/>
      <c r="U17" s="38"/>
    </row>
    <row r="18" spans="1:21" customFormat="1">
      <c r="A18" s="40" t="s">
        <v>694</v>
      </c>
      <c r="B18" s="41">
        <v>13.62</v>
      </c>
      <c r="C18" s="41">
        <v>26.89</v>
      </c>
      <c r="D18" s="41">
        <v>25.71</v>
      </c>
      <c r="E18" s="41">
        <v>13.74</v>
      </c>
      <c r="F18" s="41">
        <v>57.53</v>
      </c>
      <c r="G18" s="41">
        <v>107.86</v>
      </c>
      <c r="H18" s="41">
        <v>35.64</v>
      </c>
      <c r="I18" s="41">
        <v>13.93</v>
      </c>
      <c r="J18" s="41">
        <v>0.65</v>
      </c>
      <c r="K18" s="41">
        <v>284.35000000000002</v>
      </c>
      <c r="L18" s="41">
        <v>28.62</v>
      </c>
      <c r="M18" s="41">
        <v>50.32</v>
      </c>
      <c r="N18" s="41">
        <v>250.5</v>
      </c>
      <c r="O18" s="41">
        <v>0</v>
      </c>
      <c r="P18" s="41">
        <v>1.27</v>
      </c>
      <c r="Q18" s="41">
        <v>13.03</v>
      </c>
      <c r="R18" s="38"/>
      <c r="S18" s="38"/>
      <c r="T18" s="38"/>
      <c r="U18" s="38"/>
    </row>
    <row r="19" spans="1:21" customFormat="1">
      <c r="A19" s="40" t="s">
        <v>695</v>
      </c>
      <c r="B19" s="41">
        <v>10.83</v>
      </c>
      <c r="C19" s="41">
        <v>28.27</v>
      </c>
      <c r="D19" s="41">
        <v>24.55</v>
      </c>
      <c r="E19" s="41">
        <v>12.73</v>
      </c>
      <c r="F19" s="41">
        <v>81.05</v>
      </c>
      <c r="G19" s="41">
        <v>107.06</v>
      </c>
      <c r="H19" s="41">
        <v>149.81</v>
      </c>
      <c r="I19" s="41">
        <v>18.559999999999999</v>
      </c>
      <c r="J19" s="41">
        <v>0.92</v>
      </c>
      <c r="K19" s="41">
        <v>286.08999999999997</v>
      </c>
      <c r="L19" s="41">
        <v>30.12</v>
      </c>
      <c r="M19" s="41">
        <v>46.31</v>
      </c>
      <c r="N19" s="41">
        <v>301.89999999999998</v>
      </c>
      <c r="O19" s="41">
        <v>0</v>
      </c>
      <c r="P19" s="41">
        <v>1.33</v>
      </c>
      <c r="Q19" s="41">
        <v>13.02</v>
      </c>
      <c r="R19" s="38"/>
      <c r="S19" s="38"/>
      <c r="T19" s="38"/>
      <c r="U19" s="38"/>
    </row>
    <row r="20" spans="1:21" customFormat="1">
      <c r="A20" s="40" t="s">
        <v>696</v>
      </c>
      <c r="B20" s="41">
        <v>5.92</v>
      </c>
      <c r="C20" s="41">
        <v>28.2</v>
      </c>
      <c r="D20" s="41">
        <v>20.83</v>
      </c>
      <c r="E20" s="41">
        <v>14.61</v>
      </c>
      <c r="F20" s="41">
        <v>74.13</v>
      </c>
      <c r="G20" s="41">
        <v>75.94</v>
      </c>
      <c r="H20" s="41">
        <v>149.81</v>
      </c>
      <c r="I20" s="41">
        <v>17.66</v>
      </c>
      <c r="J20" s="41">
        <v>1.0900000000000001</v>
      </c>
      <c r="K20" s="41">
        <v>300.14999999999998</v>
      </c>
      <c r="L20" s="41">
        <v>31.77</v>
      </c>
      <c r="M20" s="41">
        <v>42.77</v>
      </c>
      <c r="N20" s="41">
        <v>318.7</v>
      </c>
      <c r="O20" s="41">
        <v>0</v>
      </c>
      <c r="P20" s="41">
        <v>1.25</v>
      </c>
      <c r="Q20" s="41">
        <v>12.99</v>
      </c>
      <c r="R20" s="38"/>
      <c r="S20" s="38"/>
      <c r="T20" s="38"/>
      <c r="U20" s="38"/>
    </row>
    <row r="21" spans="1:21" customFormat="1">
      <c r="A21" s="40" t="s">
        <v>697</v>
      </c>
      <c r="B21" s="41">
        <v>3.95</v>
      </c>
      <c r="C21" s="41">
        <v>27.49</v>
      </c>
      <c r="D21" s="41">
        <v>18.760000000000002</v>
      </c>
      <c r="E21" s="41">
        <v>18.47</v>
      </c>
      <c r="F21" s="41">
        <v>124.07</v>
      </c>
      <c r="G21" s="41">
        <v>97.63</v>
      </c>
      <c r="H21" s="41">
        <v>40.01</v>
      </c>
      <c r="I21" s="41">
        <v>16.399999999999999</v>
      </c>
      <c r="J21" s="41">
        <v>1.34</v>
      </c>
      <c r="K21" s="41">
        <v>330.59</v>
      </c>
      <c r="L21" s="41">
        <v>32.72</v>
      </c>
      <c r="M21" s="41">
        <v>36.99</v>
      </c>
      <c r="N21" s="41">
        <v>320.8</v>
      </c>
      <c r="O21" s="41">
        <v>0</v>
      </c>
      <c r="P21" s="41">
        <v>1.1100000000000001</v>
      </c>
      <c r="Q21" s="41">
        <v>12.99</v>
      </c>
      <c r="R21" s="38"/>
      <c r="S21" s="38"/>
      <c r="T21" s="38"/>
      <c r="U21" s="38"/>
    </row>
    <row r="22" spans="1:21" customFormat="1">
      <c r="A22" s="40" t="s">
        <v>698</v>
      </c>
      <c r="B22" s="41">
        <v>3.81</v>
      </c>
      <c r="C22" s="41">
        <v>27.69</v>
      </c>
      <c r="D22" s="41">
        <v>18.88</v>
      </c>
      <c r="E22" s="41">
        <v>18.329999999999998</v>
      </c>
      <c r="F22" s="41">
        <v>119.1</v>
      </c>
      <c r="G22" s="41">
        <v>104.06</v>
      </c>
      <c r="H22" s="41">
        <v>52.85</v>
      </c>
      <c r="I22" s="41">
        <v>16.12</v>
      </c>
      <c r="J22" s="41">
        <v>1.1499999999999999</v>
      </c>
      <c r="K22" s="41">
        <v>333.89</v>
      </c>
      <c r="L22" s="41">
        <v>33.82</v>
      </c>
      <c r="M22" s="41">
        <v>30.96</v>
      </c>
      <c r="N22" s="41">
        <v>314.39999999999998</v>
      </c>
      <c r="O22" s="41">
        <v>0</v>
      </c>
      <c r="P22" s="41">
        <v>1.03</v>
      </c>
      <c r="Q22" s="41">
        <v>13</v>
      </c>
      <c r="R22" s="38"/>
      <c r="S22" s="38"/>
      <c r="T22" s="38"/>
      <c r="U22" s="38"/>
    </row>
    <row r="23" spans="1:21" customFormat="1">
      <c r="A23" s="40" t="s">
        <v>699</v>
      </c>
      <c r="B23" s="41">
        <v>3.82</v>
      </c>
      <c r="C23" s="41">
        <v>26.95</v>
      </c>
      <c r="D23" s="41">
        <v>18.399999999999999</v>
      </c>
      <c r="E23" s="41">
        <v>16.79</v>
      </c>
      <c r="F23" s="41">
        <v>66.59</v>
      </c>
      <c r="G23" s="41">
        <v>104.06</v>
      </c>
      <c r="H23" s="41">
        <v>67.72</v>
      </c>
      <c r="I23" s="41">
        <v>14.62</v>
      </c>
      <c r="J23" s="41">
        <v>1.45</v>
      </c>
      <c r="K23" s="41">
        <v>311.38</v>
      </c>
      <c r="L23" s="41">
        <v>33.83</v>
      </c>
      <c r="M23" s="41">
        <v>27.63</v>
      </c>
      <c r="N23" s="41">
        <v>305.3</v>
      </c>
      <c r="O23" s="41">
        <v>0</v>
      </c>
      <c r="P23" s="41">
        <v>0.95</v>
      </c>
      <c r="Q23" s="41">
        <v>12.97</v>
      </c>
      <c r="R23" s="38"/>
      <c r="S23" s="38"/>
      <c r="T23" s="38"/>
      <c r="U23" s="38"/>
    </row>
    <row r="24" spans="1:21" customFormat="1">
      <c r="A24" s="40" t="s">
        <v>700</v>
      </c>
      <c r="B24" s="41">
        <v>3.99</v>
      </c>
      <c r="C24" s="41">
        <v>25.53</v>
      </c>
      <c r="D24" s="41">
        <v>17.850000000000001</v>
      </c>
      <c r="E24" s="41">
        <v>15.59</v>
      </c>
      <c r="F24" s="41">
        <v>66.87</v>
      </c>
      <c r="G24" s="41">
        <v>85.23</v>
      </c>
      <c r="H24" s="41">
        <v>67.72</v>
      </c>
      <c r="I24" s="41">
        <v>12.78</v>
      </c>
      <c r="J24" s="41">
        <v>1.17</v>
      </c>
      <c r="K24" s="41">
        <v>321.37</v>
      </c>
      <c r="L24" s="41">
        <v>33.07</v>
      </c>
      <c r="M24" s="41">
        <v>24.6</v>
      </c>
      <c r="N24" s="41">
        <v>68.3</v>
      </c>
      <c r="O24" s="41">
        <v>0</v>
      </c>
      <c r="P24" s="41">
        <v>0.85</v>
      </c>
      <c r="Q24" s="41">
        <v>12.97</v>
      </c>
      <c r="R24" s="38"/>
      <c r="S24" s="38"/>
      <c r="T24" s="38"/>
      <c r="U24" s="38"/>
    </row>
    <row r="25" spans="1:21" customFormat="1">
      <c r="A25" s="40" t="s">
        <v>701</v>
      </c>
      <c r="B25" s="41">
        <v>4.09</v>
      </c>
      <c r="C25" s="41">
        <v>25.6</v>
      </c>
      <c r="D25" s="41">
        <v>18</v>
      </c>
      <c r="E25" s="41">
        <v>20.29</v>
      </c>
      <c r="F25" s="41">
        <v>61.58</v>
      </c>
      <c r="G25" s="41">
        <v>51.31</v>
      </c>
      <c r="H25" s="41">
        <v>47.68</v>
      </c>
      <c r="I25" s="41">
        <v>10.73</v>
      </c>
      <c r="J25" s="41">
        <v>1.1499999999999999</v>
      </c>
      <c r="K25" s="41">
        <v>330.67</v>
      </c>
      <c r="L25" s="41">
        <v>32.72</v>
      </c>
      <c r="M25" s="41">
        <v>25.89</v>
      </c>
      <c r="N25" s="41">
        <v>70.7</v>
      </c>
      <c r="O25" s="41">
        <v>0</v>
      </c>
      <c r="P25" s="41">
        <v>0.76</v>
      </c>
      <c r="Q25" s="41">
        <v>12.96</v>
      </c>
      <c r="R25" s="38"/>
      <c r="S25" s="38"/>
      <c r="T25" s="38"/>
      <c r="U25" s="38"/>
    </row>
    <row r="26" spans="1:21" customFormat="1">
      <c r="A26" s="40" t="s">
        <v>702</v>
      </c>
      <c r="B26" s="41">
        <v>4.8499999999999996</v>
      </c>
      <c r="C26" s="41">
        <v>25.76</v>
      </c>
      <c r="D26" s="41">
        <v>18.7</v>
      </c>
      <c r="E26" s="41">
        <v>25.82</v>
      </c>
      <c r="F26" s="41">
        <v>68.22</v>
      </c>
      <c r="G26" s="41">
        <v>58.85</v>
      </c>
      <c r="H26" s="41">
        <v>47.68</v>
      </c>
      <c r="I26" s="41">
        <v>9.59</v>
      </c>
      <c r="J26" s="41">
        <v>0.35</v>
      </c>
      <c r="K26" s="41">
        <v>350.91</v>
      </c>
      <c r="L26" s="41">
        <v>31.94</v>
      </c>
      <c r="M26" s="41">
        <v>32.840000000000003</v>
      </c>
      <c r="N26" s="41">
        <v>22.6</v>
      </c>
      <c r="O26" s="41">
        <v>0</v>
      </c>
      <c r="P26" s="41">
        <v>0.82</v>
      </c>
      <c r="Q26" s="41">
        <v>12.95</v>
      </c>
      <c r="R26" s="38"/>
      <c r="S26" s="38"/>
      <c r="T26" s="38"/>
      <c r="U26" s="38"/>
    </row>
    <row r="27" spans="1:21" customFormat="1">
      <c r="A27" s="40" t="s">
        <v>703</v>
      </c>
      <c r="B27" s="41">
        <v>6.04</v>
      </c>
      <c r="C27" s="41">
        <v>26.45</v>
      </c>
      <c r="D27" s="41">
        <v>19.91</v>
      </c>
      <c r="E27" s="41">
        <v>14.74</v>
      </c>
      <c r="F27" s="41">
        <v>4.4000000000000004</v>
      </c>
      <c r="G27" s="41">
        <v>91.94</v>
      </c>
      <c r="H27" s="41">
        <v>39.6</v>
      </c>
      <c r="I27" s="41">
        <v>10.33</v>
      </c>
      <c r="J27" s="41">
        <v>0.31</v>
      </c>
      <c r="K27" s="41">
        <v>178.28</v>
      </c>
      <c r="L27" s="41">
        <v>28.92</v>
      </c>
      <c r="M27" s="41">
        <v>52.74</v>
      </c>
      <c r="N27" s="41">
        <v>2.4</v>
      </c>
      <c r="O27" s="41">
        <v>0</v>
      </c>
      <c r="P27" s="41">
        <v>0.84</v>
      </c>
      <c r="Q27" s="41">
        <v>12.96</v>
      </c>
      <c r="R27" s="38"/>
      <c r="S27" s="38"/>
      <c r="T27" s="38"/>
      <c r="U27" s="38"/>
    </row>
    <row r="28" spans="1:21" customFormat="1">
      <c r="A28" s="40" t="s">
        <v>704</v>
      </c>
      <c r="B28" s="41">
        <v>6.8</v>
      </c>
      <c r="C28" s="41">
        <v>25.93</v>
      </c>
      <c r="D28" s="41">
        <v>19.98</v>
      </c>
      <c r="E28" s="41">
        <v>10.78</v>
      </c>
      <c r="F28" s="41">
        <v>7.31</v>
      </c>
      <c r="G28" s="41">
        <v>107.7</v>
      </c>
      <c r="H28" s="41">
        <v>43.13</v>
      </c>
      <c r="I28" s="41">
        <v>11.01</v>
      </c>
      <c r="J28" s="41">
        <v>0.2</v>
      </c>
      <c r="K28" s="41">
        <v>203.9</v>
      </c>
      <c r="L28" s="41">
        <v>25.9</v>
      </c>
      <c r="M28" s="41">
        <v>50.97</v>
      </c>
      <c r="N28" s="41">
        <v>1.4</v>
      </c>
      <c r="O28" s="41">
        <v>0</v>
      </c>
      <c r="P28" s="41">
        <v>0.84</v>
      </c>
      <c r="Q28" s="41">
        <v>12.98</v>
      </c>
      <c r="R28" s="38"/>
      <c r="S28" s="38"/>
      <c r="T28" s="38"/>
      <c r="U28" s="38"/>
    </row>
    <row r="29" spans="1:21" customFormat="1">
      <c r="A29" s="40" t="s">
        <v>705</v>
      </c>
      <c r="B29" s="41">
        <v>7.57</v>
      </c>
      <c r="C29" s="41">
        <v>24.4</v>
      </c>
      <c r="D29" s="41">
        <v>19.670000000000002</v>
      </c>
      <c r="E29" s="41">
        <v>10.58</v>
      </c>
      <c r="F29" s="41">
        <v>5.28</v>
      </c>
      <c r="G29" s="41">
        <v>107.7</v>
      </c>
      <c r="H29" s="41">
        <v>43.13</v>
      </c>
      <c r="I29" s="41">
        <v>10.7</v>
      </c>
      <c r="J29" s="41">
        <v>0.21</v>
      </c>
      <c r="K29" s="41">
        <v>189.86</v>
      </c>
      <c r="L29" s="41">
        <v>24.7</v>
      </c>
      <c r="M29" s="41">
        <v>59.03</v>
      </c>
      <c r="N29" s="41">
        <v>1.4</v>
      </c>
      <c r="O29" s="41">
        <v>0</v>
      </c>
      <c r="P29" s="41">
        <v>0.86</v>
      </c>
      <c r="Q29" s="41">
        <v>12.96</v>
      </c>
      <c r="R29" s="38"/>
      <c r="S29" s="38"/>
      <c r="T29" s="38"/>
      <c r="U29" s="38"/>
    </row>
    <row r="30" spans="1:21" customFormat="1">
      <c r="A30" s="40" t="s">
        <v>706</v>
      </c>
      <c r="B30" s="41">
        <v>8.42</v>
      </c>
      <c r="C30" s="41">
        <v>23.19</v>
      </c>
      <c r="D30" s="41">
        <v>20.12</v>
      </c>
      <c r="E30" s="41">
        <v>10.8</v>
      </c>
      <c r="F30" s="41">
        <v>1.44</v>
      </c>
      <c r="G30" s="41">
        <v>103.75</v>
      </c>
      <c r="H30" s="41">
        <v>31.07</v>
      </c>
      <c r="I30" s="41">
        <v>10.74</v>
      </c>
      <c r="J30" s="41">
        <v>0.25</v>
      </c>
      <c r="K30" s="41">
        <v>211.14</v>
      </c>
      <c r="L30" s="41">
        <v>23.55</v>
      </c>
      <c r="M30" s="41">
        <v>63.89</v>
      </c>
      <c r="N30" s="41">
        <v>1.2</v>
      </c>
      <c r="O30" s="41">
        <v>0</v>
      </c>
      <c r="P30" s="41">
        <v>0.86</v>
      </c>
      <c r="Q30" s="41">
        <v>12.96</v>
      </c>
      <c r="R30" s="38"/>
      <c r="S30" s="38"/>
      <c r="T30" s="38"/>
      <c r="U30" s="38"/>
    </row>
    <row r="31" spans="1:21" customFormat="1">
      <c r="A31" s="40" t="s">
        <v>707</v>
      </c>
      <c r="B31" s="41">
        <v>8.4</v>
      </c>
      <c r="C31" s="41">
        <v>23.4</v>
      </c>
      <c r="D31" s="41">
        <v>20.25</v>
      </c>
      <c r="E31" s="41">
        <v>11.05</v>
      </c>
      <c r="F31" s="41">
        <v>3.02</v>
      </c>
      <c r="G31" s="41">
        <v>92.96</v>
      </c>
      <c r="H31" s="41">
        <v>25.1</v>
      </c>
      <c r="I31" s="41">
        <v>10.91</v>
      </c>
      <c r="J31" s="41">
        <v>0.25</v>
      </c>
      <c r="K31" s="41">
        <v>215.38</v>
      </c>
      <c r="L31" s="41">
        <v>22.79</v>
      </c>
      <c r="M31" s="41">
        <v>67.19</v>
      </c>
      <c r="N31" s="41">
        <v>1.2</v>
      </c>
      <c r="O31" s="41">
        <v>0</v>
      </c>
      <c r="P31" s="41">
        <v>0.84</v>
      </c>
      <c r="Q31" s="41">
        <v>12.97</v>
      </c>
      <c r="R31" s="38"/>
      <c r="S31" s="38"/>
      <c r="T31" s="38"/>
      <c r="U31" s="38"/>
    </row>
    <row r="32" spans="1:21" customFormat="1">
      <c r="A32" s="40" t="s">
        <v>708</v>
      </c>
      <c r="B32" s="41">
        <v>9.4</v>
      </c>
      <c r="C32" s="41">
        <v>24.3</v>
      </c>
      <c r="D32" s="41">
        <v>21.58</v>
      </c>
      <c r="E32" s="41">
        <v>11.57</v>
      </c>
      <c r="F32" s="41">
        <v>1.4</v>
      </c>
      <c r="G32" s="41">
        <v>92.96</v>
      </c>
      <c r="H32" s="41">
        <v>26.38</v>
      </c>
      <c r="I32" s="41">
        <v>11.38</v>
      </c>
      <c r="J32" s="41">
        <v>0.89</v>
      </c>
      <c r="K32" s="41">
        <v>185.22</v>
      </c>
      <c r="L32" s="41">
        <v>23.94</v>
      </c>
      <c r="M32" s="41">
        <v>70.81</v>
      </c>
      <c r="N32" s="41">
        <v>1.2</v>
      </c>
      <c r="O32" s="41">
        <v>0</v>
      </c>
      <c r="P32" s="41">
        <v>0.89</v>
      </c>
      <c r="Q32" s="41">
        <v>12.97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3.81</v>
      </c>
      <c r="C34" s="18">
        <f t="shared" si="0"/>
        <v>23.19</v>
      </c>
      <c r="D34" s="18">
        <f t="shared" si="0"/>
        <v>17.850000000000001</v>
      </c>
      <c r="E34" s="18">
        <f t="shared" si="0"/>
        <v>8.66</v>
      </c>
      <c r="F34" s="18">
        <f t="shared" si="0"/>
        <v>1.4</v>
      </c>
      <c r="G34" s="18">
        <f t="shared" si="0"/>
        <v>51.31</v>
      </c>
      <c r="H34" s="18">
        <f t="shared" si="0"/>
        <v>25.1</v>
      </c>
      <c r="I34" s="18">
        <f t="shared" si="0"/>
        <v>9.59</v>
      </c>
      <c r="J34" s="18">
        <f t="shared" si="0"/>
        <v>0.18</v>
      </c>
      <c r="K34" s="18">
        <f t="shared" si="0"/>
        <v>61.43</v>
      </c>
      <c r="L34" s="18">
        <f t="shared" si="0"/>
        <v>20.56</v>
      </c>
      <c r="M34" s="18">
        <f t="shared" si="0"/>
        <v>24.6</v>
      </c>
      <c r="N34" s="18">
        <f t="shared" si="0"/>
        <v>1.2</v>
      </c>
      <c r="O34" s="18">
        <f t="shared" si="0"/>
        <v>0</v>
      </c>
      <c r="P34" s="18">
        <f t="shared" si="0"/>
        <v>0.76</v>
      </c>
      <c r="Q34" s="18">
        <f t="shared" si="0"/>
        <v>12.95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14.91</v>
      </c>
      <c r="C35" s="3">
        <f t="shared" si="1"/>
        <v>28.27</v>
      </c>
      <c r="D35" s="3">
        <f t="shared" si="1"/>
        <v>27.23</v>
      </c>
      <c r="E35" s="3">
        <f t="shared" si="1"/>
        <v>25.82</v>
      </c>
      <c r="F35" s="3">
        <f t="shared" si="1"/>
        <v>124.07</v>
      </c>
      <c r="G35" s="3">
        <f t="shared" si="1"/>
        <v>128.75</v>
      </c>
      <c r="H35" s="3">
        <f t="shared" si="1"/>
        <v>149.81</v>
      </c>
      <c r="I35" s="3">
        <f t="shared" si="1"/>
        <v>18.559999999999999</v>
      </c>
      <c r="J35" s="3">
        <f t="shared" si="1"/>
        <v>1.45</v>
      </c>
      <c r="K35" s="3">
        <f t="shared" si="1"/>
        <v>350.91</v>
      </c>
      <c r="L35" s="3">
        <f t="shared" si="1"/>
        <v>33.83</v>
      </c>
      <c r="M35" s="3">
        <f t="shared" si="1"/>
        <v>78.069999999999993</v>
      </c>
      <c r="N35" s="3">
        <f t="shared" si="1"/>
        <v>320.8</v>
      </c>
      <c r="O35" s="3">
        <f t="shared" si="1"/>
        <v>0</v>
      </c>
      <c r="P35" s="3">
        <f t="shared" si="1"/>
        <v>1.33</v>
      </c>
      <c r="Q35" s="3">
        <f t="shared" si="1"/>
        <v>13.03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9.1658333333333335</v>
      </c>
      <c r="C36" s="18">
        <f t="shared" si="2"/>
        <v>26.127499999999998</v>
      </c>
      <c r="D36" s="18">
        <f t="shared" si="2"/>
        <v>22.23</v>
      </c>
      <c r="E36" s="18">
        <f t="shared" si="2"/>
        <v>13.516249999999998</v>
      </c>
      <c r="F36" s="18">
        <f t="shared" si="2"/>
        <v>33.576666666666668</v>
      </c>
      <c r="G36" s="18">
        <f t="shared" si="2"/>
        <v>102.01541666666664</v>
      </c>
      <c r="H36" s="18">
        <f t="shared" si="2"/>
        <v>49.267083333333339</v>
      </c>
      <c r="I36" s="18">
        <f t="shared" si="2"/>
        <v>13.002916666666669</v>
      </c>
      <c r="J36" s="18">
        <f t="shared" si="2"/>
        <v>0.59916666666666674</v>
      </c>
      <c r="K36" s="18">
        <f t="shared" si="2"/>
        <v>239.33208333333332</v>
      </c>
      <c r="L36" s="18">
        <f t="shared" si="2"/>
        <v>26.744999999999994</v>
      </c>
      <c r="M36" s="18">
        <f t="shared" si="2"/>
        <v>54.722916666666684</v>
      </c>
      <c r="N36" s="18">
        <f t="shared" si="2"/>
        <v>92.987499999999997</v>
      </c>
      <c r="O36" s="18">
        <f t="shared" si="2"/>
        <v>0</v>
      </c>
      <c r="P36" s="18">
        <f t="shared" si="2"/>
        <v>0.98583333333333334</v>
      </c>
      <c r="Q36" s="18">
        <f t="shared" si="2"/>
        <v>12.992083333333335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4.0570646024442123</v>
      </c>
      <c r="C37" s="18">
        <f t="shared" ref="C37:Q37" si="3">STDEV(C9:C32)</f>
        <v>1.4687979409382173</v>
      </c>
      <c r="D37" s="18">
        <f t="shared" si="3"/>
        <v>3.4102097347205316</v>
      </c>
      <c r="E37" s="18">
        <f t="shared" si="3"/>
        <v>4.0090103001809032</v>
      </c>
      <c r="F37" s="18">
        <f t="shared" si="3"/>
        <v>39.889197586037888</v>
      </c>
      <c r="G37" s="18">
        <f t="shared" si="3"/>
        <v>19.428242772061186</v>
      </c>
      <c r="H37" s="18">
        <f t="shared" si="3"/>
        <v>32.726617870017435</v>
      </c>
      <c r="I37" s="18">
        <f t="shared" si="3"/>
        <v>2.3704622172032894</v>
      </c>
      <c r="J37" s="18">
        <f t="shared" si="3"/>
        <v>0.42894123106801568</v>
      </c>
      <c r="K37" s="18">
        <f t="shared" si="3"/>
        <v>72.323222019605211</v>
      </c>
      <c r="L37" s="18">
        <f t="shared" si="3"/>
        <v>4.6359314996627718</v>
      </c>
      <c r="M37" s="18">
        <f t="shared" si="3"/>
        <v>17.497269222756533</v>
      </c>
      <c r="N37" s="18">
        <f t="shared" si="3"/>
        <v>130.10517923220223</v>
      </c>
      <c r="O37" s="18">
        <f t="shared" si="3"/>
        <v>0</v>
      </c>
      <c r="P37" s="18">
        <f t="shared" si="3"/>
        <v>0.15119571729231079</v>
      </c>
      <c r="Q37" s="18">
        <f t="shared" si="3"/>
        <v>2.6536138880150655E-2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K24" sqref="K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133</v>
      </c>
      <c r="B9" s="41">
        <v>12.16</v>
      </c>
      <c r="C9" s="41">
        <v>27.86</v>
      </c>
      <c r="D9" s="41">
        <v>25.66</v>
      </c>
      <c r="E9" s="41">
        <v>11.28</v>
      </c>
      <c r="F9" s="41">
        <v>3.9</v>
      </c>
      <c r="G9" s="41">
        <v>106.88</v>
      </c>
      <c r="H9" s="41">
        <v>35.44</v>
      </c>
      <c r="I9" s="41">
        <v>11.96</v>
      </c>
      <c r="J9" s="41">
        <v>0.33</v>
      </c>
      <c r="K9" s="41">
        <v>184.61</v>
      </c>
      <c r="L9" s="41">
        <v>23.86</v>
      </c>
      <c r="M9" s="41">
        <v>63.58</v>
      </c>
      <c r="N9" s="41">
        <v>1.9</v>
      </c>
      <c r="O9" s="41">
        <v>0</v>
      </c>
      <c r="P9" s="41">
        <v>0.93</v>
      </c>
      <c r="Q9" s="41">
        <v>12.99</v>
      </c>
      <c r="R9" s="38"/>
      <c r="S9" s="38"/>
      <c r="T9" s="38"/>
      <c r="U9" s="38"/>
    </row>
    <row r="10" spans="1:21" customFormat="1">
      <c r="A10" s="40" t="s">
        <v>134</v>
      </c>
      <c r="B10" s="41">
        <v>13.21</v>
      </c>
      <c r="C10" s="41">
        <v>28.24</v>
      </c>
      <c r="D10" s="41">
        <v>26.7</v>
      </c>
      <c r="E10" s="41">
        <v>11.18</v>
      </c>
      <c r="F10" s="41">
        <v>3.92</v>
      </c>
      <c r="G10" s="41">
        <v>115.46</v>
      </c>
      <c r="H10" s="41">
        <v>35.44</v>
      </c>
      <c r="I10" s="41">
        <v>12.56</v>
      </c>
      <c r="J10" s="41">
        <v>0.26</v>
      </c>
      <c r="K10" s="41">
        <v>226.79</v>
      </c>
      <c r="L10" s="41">
        <v>21.67</v>
      </c>
      <c r="M10" s="41">
        <v>68.55</v>
      </c>
      <c r="N10" s="41">
        <v>1.5</v>
      </c>
      <c r="O10" s="41">
        <v>0</v>
      </c>
      <c r="P10" s="41">
        <v>0.97</v>
      </c>
      <c r="Q10" s="41">
        <v>13</v>
      </c>
      <c r="R10" s="38"/>
      <c r="S10" s="38"/>
      <c r="T10" s="38"/>
      <c r="U10" s="38"/>
    </row>
    <row r="11" spans="1:21" customFormat="1">
      <c r="A11" s="40" t="s">
        <v>135</v>
      </c>
      <c r="B11" s="41">
        <v>15.34</v>
      </c>
      <c r="C11" s="41">
        <v>29.46</v>
      </c>
      <c r="D11" s="41">
        <v>29.05</v>
      </c>
      <c r="E11" s="41">
        <v>11.34</v>
      </c>
      <c r="F11" s="41">
        <v>3.86</v>
      </c>
      <c r="G11" s="41">
        <v>115.46</v>
      </c>
      <c r="H11" s="41">
        <v>35.42</v>
      </c>
      <c r="I11" s="41">
        <v>12.88</v>
      </c>
      <c r="J11" s="41">
        <v>0.49</v>
      </c>
      <c r="K11" s="41">
        <v>349.69</v>
      </c>
      <c r="L11" s="41">
        <v>21.83</v>
      </c>
      <c r="M11" s="41">
        <v>70.05</v>
      </c>
      <c r="N11" s="41">
        <v>1.4</v>
      </c>
      <c r="O11" s="41">
        <v>0</v>
      </c>
      <c r="P11" s="41">
        <v>1.04</v>
      </c>
      <c r="Q11" s="41">
        <v>13</v>
      </c>
      <c r="R11" s="38"/>
      <c r="S11" s="38"/>
      <c r="T11" s="38"/>
      <c r="U11" s="38"/>
    </row>
    <row r="12" spans="1:21" customFormat="1">
      <c r="A12" s="40" t="s">
        <v>136</v>
      </c>
      <c r="B12" s="41">
        <v>15.36</v>
      </c>
      <c r="C12" s="41">
        <v>29.15</v>
      </c>
      <c r="D12" s="41">
        <v>28.9</v>
      </c>
      <c r="E12" s="41">
        <v>11.29</v>
      </c>
      <c r="F12" s="41">
        <v>3.87</v>
      </c>
      <c r="G12" s="41">
        <v>105.72</v>
      </c>
      <c r="H12" s="41">
        <v>35.42</v>
      </c>
      <c r="I12" s="41">
        <v>12.93</v>
      </c>
      <c r="J12" s="41">
        <v>0.62</v>
      </c>
      <c r="K12" s="41">
        <v>224.59</v>
      </c>
      <c r="L12" s="41">
        <v>22.25</v>
      </c>
      <c r="M12" s="41">
        <v>71.91</v>
      </c>
      <c r="N12" s="41">
        <v>1.7</v>
      </c>
      <c r="O12" s="41">
        <v>0</v>
      </c>
      <c r="P12" s="41">
        <v>1.06</v>
      </c>
      <c r="Q12" s="41">
        <v>13</v>
      </c>
      <c r="R12" s="38"/>
      <c r="S12" s="38"/>
      <c r="T12" s="38"/>
      <c r="U12" s="38"/>
    </row>
    <row r="13" spans="1:21" customFormat="1">
      <c r="A13" s="40" t="s">
        <v>137</v>
      </c>
      <c r="B13" s="41">
        <v>14.61</v>
      </c>
      <c r="C13" s="41">
        <v>27.83</v>
      </c>
      <c r="D13" s="41">
        <v>27.53</v>
      </c>
      <c r="E13" s="41">
        <v>10.91</v>
      </c>
      <c r="F13" s="41">
        <v>3.86</v>
      </c>
      <c r="G13" s="41">
        <v>99.47</v>
      </c>
      <c r="H13" s="41">
        <v>25.7</v>
      </c>
      <c r="I13" s="41">
        <v>12.62</v>
      </c>
      <c r="J13" s="41">
        <v>0.17</v>
      </c>
      <c r="K13" s="41">
        <v>205.99</v>
      </c>
      <c r="L13" s="41">
        <v>21.38</v>
      </c>
      <c r="M13" s="41">
        <v>75.42</v>
      </c>
      <c r="N13" s="41">
        <v>1.6</v>
      </c>
      <c r="O13" s="41">
        <v>0</v>
      </c>
      <c r="P13" s="41">
        <v>1.02</v>
      </c>
      <c r="Q13" s="41">
        <v>12.99</v>
      </c>
      <c r="R13" s="38"/>
      <c r="S13" s="38"/>
      <c r="T13" s="38"/>
      <c r="U13" s="38"/>
    </row>
    <row r="14" spans="1:21" customFormat="1">
      <c r="A14" s="40" t="s">
        <v>138</v>
      </c>
      <c r="B14" s="41">
        <v>15.23</v>
      </c>
      <c r="C14" s="41">
        <v>27.23</v>
      </c>
      <c r="D14" s="41">
        <v>27.68</v>
      </c>
      <c r="E14" s="41">
        <v>10.64</v>
      </c>
      <c r="F14" s="41">
        <v>3.7</v>
      </c>
      <c r="G14" s="41">
        <v>89.8</v>
      </c>
      <c r="H14" s="41">
        <v>34.25</v>
      </c>
      <c r="I14" s="41">
        <v>12.08</v>
      </c>
      <c r="J14" s="41">
        <v>0.33</v>
      </c>
      <c r="K14" s="41">
        <v>72.16</v>
      </c>
      <c r="L14" s="41">
        <v>21.13</v>
      </c>
      <c r="M14" s="41">
        <v>75.33</v>
      </c>
      <c r="N14" s="41">
        <v>1.4</v>
      </c>
      <c r="O14" s="41">
        <v>0</v>
      </c>
      <c r="P14" s="41">
        <v>0.99</v>
      </c>
      <c r="Q14" s="41">
        <v>12.99</v>
      </c>
      <c r="R14" s="38"/>
      <c r="S14" s="38"/>
      <c r="T14" s="38"/>
      <c r="U14" s="38"/>
    </row>
    <row r="15" spans="1:21" customFormat="1">
      <c r="A15" s="40" t="s">
        <v>139</v>
      </c>
      <c r="B15" s="41">
        <v>16.07</v>
      </c>
      <c r="C15" s="41">
        <v>26.61</v>
      </c>
      <c r="D15" s="41">
        <v>28.06</v>
      </c>
      <c r="E15" s="41">
        <v>10.96</v>
      </c>
      <c r="F15" s="41">
        <v>3.78</v>
      </c>
      <c r="G15" s="41">
        <v>98.5</v>
      </c>
      <c r="H15" s="41">
        <v>34.25</v>
      </c>
      <c r="I15" s="41">
        <v>11.78</v>
      </c>
      <c r="J15" s="41">
        <v>0.56000000000000005</v>
      </c>
      <c r="K15" s="41">
        <v>44.5</v>
      </c>
      <c r="L15" s="41">
        <v>20.79</v>
      </c>
      <c r="M15" s="41">
        <v>77.400000000000006</v>
      </c>
      <c r="N15" s="41">
        <v>12</v>
      </c>
      <c r="O15" s="41">
        <v>0</v>
      </c>
      <c r="P15" s="41">
        <v>1.02</v>
      </c>
      <c r="Q15" s="41">
        <v>12.99</v>
      </c>
      <c r="R15" s="38"/>
      <c r="S15" s="38"/>
      <c r="T15" s="38"/>
      <c r="U15" s="38"/>
    </row>
    <row r="16" spans="1:21" customFormat="1">
      <c r="A16" s="40" t="s">
        <v>140</v>
      </c>
      <c r="B16" s="41">
        <v>16.82</v>
      </c>
      <c r="C16" s="41">
        <v>26.36</v>
      </c>
      <c r="D16" s="41">
        <v>28.46</v>
      </c>
      <c r="E16" s="41">
        <v>10.77</v>
      </c>
      <c r="F16" s="41">
        <v>3.89</v>
      </c>
      <c r="G16" s="41">
        <v>104.59</v>
      </c>
      <c r="H16" s="41">
        <v>32.799999999999997</v>
      </c>
      <c r="I16" s="41">
        <v>11.89</v>
      </c>
      <c r="J16" s="41">
        <v>1.19</v>
      </c>
      <c r="K16" s="41">
        <v>55.24</v>
      </c>
      <c r="L16" s="41">
        <v>21.83</v>
      </c>
      <c r="M16" s="41">
        <v>76.87</v>
      </c>
      <c r="N16" s="41">
        <v>49.9</v>
      </c>
      <c r="O16" s="41">
        <v>0</v>
      </c>
      <c r="P16" s="41">
        <v>1.02</v>
      </c>
      <c r="Q16" s="41">
        <v>12.99</v>
      </c>
      <c r="R16" s="38"/>
      <c r="S16" s="38"/>
      <c r="T16" s="38"/>
      <c r="U16" s="38"/>
    </row>
    <row r="17" spans="1:21" customFormat="1">
      <c r="A17" s="40" t="s">
        <v>141</v>
      </c>
      <c r="B17" s="41">
        <v>16.079999999999998</v>
      </c>
      <c r="C17" s="41">
        <v>26.33</v>
      </c>
      <c r="D17" s="41">
        <v>27.64</v>
      </c>
      <c r="E17" s="41">
        <v>10.92</v>
      </c>
      <c r="F17" s="41">
        <v>4.08</v>
      </c>
      <c r="G17" s="41">
        <v>104.59</v>
      </c>
      <c r="H17" s="41">
        <v>32.799999999999997</v>
      </c>
      <c r="I17" s="41">
        <v>11.82</v>
      </c>
      <c r="J17" s="41">
        <v>1.53</v>
      </c>
      <c r="K17" s="41">
        <v>60.81</v>
      </c>
      <c r="L17" s="41">
        <v>24.73</v>
      </c>
      <c r="M17" s="41">
        <v>71.69</v>
      </c>
      <c r="N17" s="41">
        <v>178.1</v>
      </c>
      <c r="O17" s="41">
        <v>0</v>
      </c>
      <c r="P17" s="41">
        <v>0.93</v>
      </c>
      <c r="Q17" s="41">
        <v>13</v>
      </c>
      <c r="R17" s="38"/>
      <c r="S17" s="38"/>
      <c r="T17" s="38"/>
      <c r="U17" s="38"/>
    </row>
    <row r="18" spans="1:21" customFormat="1">
      <c r="A18" s="40" t="s">
        <v>142</v>
      </c>
      <c r="B18" s="41">
        <v>12.65</v>
      </c>
      <c r="C18" s="41">
        <v>27.6</v>
      </c>
      <c r="D18" s="41">
        <v>25.37</v>
      </c>
      <c r="E18" s="41">
        <v>10.73</v>
      </c>
      <c r="F18" s="41">
        <v>4.6500000000000004</v>
      </c>
      <c r="G18" s="41">
        <v>98.86</v>
      </c>
      <c r="H18" s="41">
        <v>31.52</v>
      </c>
      <c r="I18" s="41">
        <v>11.26</v>
      </c>
      <c r="J18" s="41">
        <v>1.41</v>
      </c>
      <c r="K18" s="41">
        <v>64.510000000000005</v>
      </c>
      <c r="L18" s="41">
        <v>26.74</v>
      </c>
      <c r="M18" s="41">
        <v>63.38</v>
      </c>
      <c r="N18" s="41">
        <v>257.5</v>
      </c>
      <c r="O18" s="41">
        <v>0</v>
      </c>
      <c r="P18" s="41">
        <v>0.88</v>
      </c>
      <c r="Q18" s="41">
        <v>12.98</v>
      </c>
      <c r="R18" s="38"/>
      <c r="S18" s="38"/>
      <c r="T18" s="38"/>
      <c r="U18" s="38"/>
    </row>
    <row r="19" spans="1:21" customFormat="1">
      <c r="A19" s="40" t="s">
        <v>143</v>
      </c>
      <c r="B19" s="41">
        <v>9.41</v>
      </c>
      <c r="C19" s="41">
        <v>28.42</v>
      </c>
      <c r="D19" s="41">
        <v>23.52</v>
      </c>
      <c r="E19" s="41">
        <v>10.38</v>
      </c>
      <c r="F19" s="41">
        <v>7.73</v>
      </c>
      <c r="G19" s="41">
        <v>87.41</v>
      </c>
      <c r="H19" s="41">
        <v>31.52</v>
      </c>
      <c r="I19" s="41">
        <v>10.58</v>
      </c>
      <c r="J19" s="41">
        <v>1.25</v>
      </c>
      <c r="K19" s="41">
        <v>58.04</v>
      </c>
      <c r="L19" s="41">
        <v>29.78</v>
      </c>
      <c r="M19" s="41">
        <v>58.28</v>
      </c>
      <c r="N19" s="41">
        <v>289.39999999999998</v>
      </c>
      <c r="O19" s="41">
        <v>0</v>
      </c>
      <c r="P19" s="41">
        <v>0.83</v>
      </c>
      <c r="Q19" s="41">
        <v>12.98</v>
      </c>
      <c r="R19" s="38"/>
      <c r="S19" s="38"/>
      <c r="T19" s="38"/>
      <c r="U19" s="38"/>
    </row>
    <row r="20" spans="1:21" customFormat="1">
      <c r="A20" s="40" t="s">
        <v>144</v>
      </c>
      <c r="B20" s="41">
        <v>6.02</v>
      </c>
      <c r="C20" s="41">
        <v>28.42</v>
      </c>
      <c r="D20" s="41">
        <v>21.03</v>
      </c>
      <c r="E20" s="41">
        <v>10.75</v>
      </c>
      <c r="F20" s="41">
        <v>30.03</v>
      </c>
      <c r="G20" s="41">
        <v>83.82</v>
      </c>
      <c r="H20" s="41">
        <v>33</v>
      </c>
      <c r="I20" s="41">
        <v>9.99</v>
      </c>
      <c r="J20" s="41">
        <v>0.79</v>
      </c>
      <c r="K20" s="41">
        <v>346.07</v>
      </c>
      <c r="L20" s="41">
        <v>30.92</v>
      </c>
      <c r="M20" s="41">
        <v>49.24</v>
      </c>
      <c r="N20" s="41">
        <v>323.8</v>
      </c>
      <c r="O20" s="41">
        <v>0</v>
      </c>
      <c r="P20" s="41">
        <v>0.77</v>
      </c>
      <c r="Q20" s="41">
        <v>12.94</v>
      </c>
      <c r="R20" s="38"/>
      <c r="S20" s="38"/>
      <c r="T20" s="38"/>
      <c r="U20" s="38"/>
    </row>
    <row r="21" spans="1:21" customFormat="1">
      <c r="A21" s="40" t="s">
        <v>145</v>
      </c>
      <c r="B21" s="41">
        <v>4.26</v>
      </c>
      <c r="C21" s="41">
        <v>27.36</v>
      </c>
      <c r="D21" s="41">
        <v>18.920000000000002</v>
      </c>
      <c r="E21" s="41">
        <v>12.69</v>
      </c>
      <c r="F21" s="41">
        <v>39.06</v>
      </c>
      <c r="G21" s="41">
        <v>73.77</v>
      </c>
      <c r="H21" s="41">
        <v>36.51</v>
      </c>
      <c r="I21" s="41">
        <v>9.24</v>
      </c>
      <c r="J21" s="41">
        <v>0.72</v>
      </c>
      <c r="K21" s="41">
        <v>331.6</v>
      </c>
      <c r="L21" s="41">
        <v>32.99</v>
      </c>
      <c r="M21" s="41">
        <v>42.86</v>
      </c>
      <c r="N21" s="41">
        <v>342.5</v>
      </c>
      <c r="O21" s="41">
        <v>0</v>
      </c>
      <c r="P21" s="41">
        <v>0.78</v>
      </c>
      <c r="Q21" s="41">
        <v>12.93</v>
      </c>
      <c r="R21" s="38"/>
      <c r="S21" s="38"/>
      <c r="T21" s="38"/>
      <c r="U21" s="38"/>
    </row>
    <row r="22" spans="1:21" customFormat="1">
      <c r="A22" s="40" t="s">
        <v>146</v>
      </c>
      <c r="B22" s="41">
        <v>4.22</v>
      </c>
      <c r="C22" s="41">
        <v>26.61</v>
      </c>
      <c r="D22" s="41">
        <v>18.53</v>
      </c>
      <c r="E22" s="41">
        <v>21.85</v>
      </c>
      <c r="F22" s="41">
        <v>19.7</v>
      </c>
      <c r="G22" s="41">
        <v>69.680000000000007</v>
      </c>
      <c r="H22" s="41">
        <v>37.840000000000003</v>
      </c>
      <c r="I22" s="41">
        <v>8.67</v>
      </c>
      <c r="J22" s="41">
        <v>1.04</v>
      </c>
      <c r="K22" s="41">
        <v>353.57</v>
      </c>
      <c r="L22" s="41">
        <v>32.94</v>
      </c>
      <c r="M22" s="41">
        <v>34.130000000000003</v>
      </c>
      <c r="N22" s="41">
        <v>305.60000000000002</v>
      </c>
      <c r="O22" s="41">
        <v>0</v>
      </c>
      <c r="P22" s="41">
        <v>0.77</v>
      </c>
      <c r="Q22" s="41">
        <v>12.93</v>
      </c>
      <c r="R22" s="38"/>
      <c r="S22" s="38"/>
      <c r="T22" s="38"/>
      <c r="U22" s="38"/>
    </row>
    <row r="23" spans="1:21" customFormat="1">
      <c r="A23" s="40" t="s">
        <v>147</v>
      </c>
      <c r="B23" s="41">
        <v>4.4800000000000004</v>
      </c>
      <c r="C23" s="41">
        <v>26.05</v>
      </c>
      <c r="D23" s="41">
        <v>18.55</v>
      </c>
      <c r="E23" s="41">
        <v>24.56</v>
      </c>
      <c r="F23" s="41">
        <v>14.71</v>
      </c>
      <c r="G23" s="41">
        <v>65.12</v>
      </c>
      <c r="H23" s="41">
        <v>44.31</v>
      </c>
      <c r="I23" s="41">
        <v>8.08</v>
      </c>
      <c r="J23" s="41">
        <v>1.06</v>
      </c>
      <c r="K23" s="41">
        <v>339.11</v>
      </c>
      <c r="L23" s="41">
        <v>33.299999999999997</v>
      </c>
      <c r="M23" s="41">
        <v>28.34</v>
      </c>
      <c r="N23" s="41">
        <v>305.89999999999998</v>
      </c>
      <c r="O23" s="41">
        <v>0</v>
      </c>
      <c r="P23" s="41">
        <v>0.65</v>
      </c>
      <c r="Q23" s="41">
        <v>12.92</v>
      </c>
      <c r="R23" s="38"/>
      <c r="S23" s="38"/>
      <c r="T23" s="38"/>
      <c r="U23" s="38"/>
    </row>
    <row r="24" spans="1:21" customFormat="1">
      <c r="A24" s="40" t="s">
        <v>148</v>
      </c>
      <c r="B24" s="41">
        <v>4.4800000000000004</v>
      </c>
      <c r="C24" s="41">
        <v>25.45</v>
      </c>
      <c r="D24" s="41">
        <v>18.23</v>
      </c>
      <c r="E24" s="41">
        <v>16.43</v>
      </c>
      <c r="F24" s="41">
        <v>15.64</v>
      </c>
      <c r="G24" s="41">
        <v>63.37</v>
      </c>
      <c r="H24" s="41">
        <v>50.92</v>
      </c>
      <c r="I24" s="41">
        <v>7.58</v>
      </c>
      <c r="J24" s="41">
        <v>0.67</v>
      </c>
      <c r="K24" s="41">
        <v>294.17</v>
      </c>
      <c r="L24" s="41">
        <v>33.03</v>
      </c>
      <c r="M24" s="41">
        <v>25.39</v>
      </c>
      <c r="N24" s="41">
        <v>78.7</v>
      </c>
      <c r="O24" s="41">
        <v>0</v>
      </c>
      <c r="P24" s="41">
        <v>0.61</v>
      </c>
      <c r="Q24" s="41">
        <v>12.93</v>
      </c>
      <c r="R24" s="38"/>
      <c r="S24" s="38"/>
      <c r="T24" s="38"/>
      <c r="U24" s="38"/>
    </row>
    <row r="25" spans="1:21" customFormat="1">
      <c r="A25" s="40" t="s">
        <v>149</v>
      </c>
      <c r="B25" s="41">
        <v>4.67</v>
      </c>
      <c r="C25" s="41">
        <v>23.54</v>
      </c>
      <c r="D25" s="41">
        <v>17.149999999999999</v>
      </c>
      <c r="E25" s="41">
        <v>14.9</v>
      </c>
      <c r="F25" s="41">
        <v>20.260000000000002</v>
      </c>
      <c r="G25" s="41">
        <v>63.37</v>
      </c>
      <c r="H25" s="41">
        <v>50.92</v>
      </c>
      <c r="I25" s="41">
        <v>7.19</v>
      </c>
      <c r="J25" s="41">
        <v>0.83</v>
      </c>
      <c r="K25" s="41">
        <v>294.97000000000003</v>
      </c>
      <c r="L25" s="41">
        <v>32.299999999999997</v>
      </c>
      <c r="M25" s="41">
        <v>23.75</v>
      </c>
      <c r="N25" s="41">
        <v>70.2</v>
      </c>
      <c r="O25" s="41">
        <v>0</v>
      </c>
      <c r="P25" s="41">
        <v>0.59</v>
      </c>
      <c r="Q25" s="41">
        <v>12.93</v>
      </c>
      <c r="R25" s="38"/>
      <c r="S25" s="38"/>
      <c r="T25" s="38"/>
      <c r="U25" s="38"/>
    </row>
    <row r="26" spans="1:21" customFormat="1">
      <c r="A26" s="40" t="s">
        <v>150</v>
      </c>
      <c r="B26" s="41">
        <v>5.12</v>
      </c>
      <c r="C26" s="41">
        <v>23.22</v>
      </c>
      <c r="D26" s="41">
        <v>17.37</v>
      </c>
      <c r="E26" s="41">
        <v>13.43</v>
      </c>
      <c r="F26" s="41">
        <v>23.05</v>
      </c>
      <c r="G26" s="41">
        <v>51.17</v>
      </c>
      <c r="H26" s="41">
        <v>42.41</v>
      </c>
      <c r="I26" s="41">
        <v>7.37</v>
      </c>
      <c r="J26" s="41">
        <v>0.7</v>
      </c>
      <c r="K26" s="41">
        <v>324.73</v>
      </c>
      <c r="L26" s="41">
        <v>31.66</v>
      </c>
      <c r="M26" s="41">
        <v>34.03</v>
      </c>
      <c r="N26" s="41">
        <v>21.9</v>
      </c>
      <c r="O26" s="41">
        <v>0</v>
      </c>
      <c r="P26" s="41">
        <v>0.56000000000000005</v>
      </c>
      <c r="Q26" s="41">
        <v>12.92</v>
      </c>
      <c r="R26" s="38"/>
      <c r="S26" s="38"/>
      <c r="T26" s="38"/>
      <c r="U26" s="38"/>
    </row>
    <row r="27" spans="1:21" customFormat="1">
      <c r="A27" s="40" t="s">
        <v>151</v>
      </c>
      <c r="B27" s="41">
        <v>4.62</v>
      </c>
      <c r="C27" s="41">
        <v>23.2</v>
      </c>
      <c r="D27" s="41">
        <v>17.16</v>
      </c>
      <c r="E27" s="41">
        <v>9.6199999999999992</v>
      </c>
      <c r="F27" s="41">
        <v>9.09</v>
      </c>
      <c r="G27" s="41">
        <v>53.05</v>
      </c>
      <c r="H27" s="41">
        <v>35.99</v>
      </c>
      <c r="I27" s="41">
        <v>7.3</v>
      </c>
      <c r="J27" s="41">
        <v>0.33</v>
      </c>
      <c r="K27" s="41">
        <v>201.24</v>
      </c>
      <c r="L27" s="41">
        <v>28.09</v>
      </c>
      <c r="M27" s="41">
        <v>48.31</v>
      </c>
      <c r="N27" s="41">
        <v>1.9</v>
      </c>
      <c r="O27" s="41">
        <v>0</v>
      </c>
      <c r="P27" s="41">
        <v>0.51</v>
      </c>
      <c r="Q27" s="41">
        <v>12.92</v>
      </c>
      <c r="R27" s="38"/>
      <c r="S27" s="38"/>
      <c r="T27" s="38"/>
      <c r="U27" s="38"/>
    </row>
    <row r="28" spans="1:21" customFormat="1">
      <c r="A28" s="40" t="s">
        <v>152</v>
      </c>
      <c r="B28" s="41">
        <v>4.9800000000000004</v>
      </c>
      <c r="C28" s="41">
        <v>23.07</v>
      </c>
      <c r="D28" s="41">
        <v>17.27</v>
      </c>
      <c r="E28" s="41">
        <v>9.93</v>
      </c>
      <c r="F28" s="41">
        <v>6.76</v>
      </c>
      <c r="G28" s="41">
        <v>75.5</v>
      </c>
      <c r="H28" s="41">
        <v>39.31</v>
      </c>
      <c r="I28" s="41">
        <v>8.57</v>
      </c>
      <c r="J28" s="41">
        <v>0.25</v>
      </c>
      <c r="K28" s="41">
        <v>240.33</v>
      </c>
      <c r="L28" s="41">
        <v>25.36</v>
      </c>
      <c r="M28" s="41">
        <v>49.06</v>
      </c>
      <c r="N28" s="41">
        <v>1.3</v>
      </c>
      <c r="O28" s="41">
        <v>0</v>
      </c>
      <c r="P28" s="41">
        <v>0.56000000000000005</v>
      </c>
      <c r="Q28" s="41">
        <v>12.91</v>
      </c>
      <c r="R28" s="38"/>
      <c r="S28" s="38"/>
      <c r="T28" s="38"/>
      <c r="U28" s="38"/>
    </row>
    <row r="29" spans="1:21" customFormat="1">
      <c r="A29" s="40" t="s">
        <v>153</v>
      </c>
      <c r="B29" s="41">
        <v>9.2100000000000009</v>
      </c>
      <c r="C29" s="41">
        <v>25.21</v>
      </c>
      <c r="D29" s="41">
        <v>21.91</v>
      </c>
      <c r="E29" s="41">
        <v>9.5299999999999994</v>
      </c>
      <c r="F29" s="41">
        <v>4.21</v>
      </c>
      <c r="G29" s="41">
        <v>75.5</v>
      </c>
      <c r="H29" s="41">
        <v>39.31</v>
      </c>
      <c r="I29" s="41">
        <v>9.16</v>
      </c>
      <c r="J29" s="41">
        <v>0.31</v>
      </c>
      <c r="K29" s="41">
        <v>180.24</v>
      </c>
      <c r="L29" s="41">
        <v>24.6</v>
      </c>
      <c r="M29" s="41">
        <v>54.05</v>
      </c>
      <c r="N29" s="41">
        <v>1.3</v>
      </c>
      <c r="O29" s="41">
        <v>0</v>
      </c>
      <c r="P29" s="41">
        <v>0.66</v>
      </c>
      <c r="Q29" s="41">
        <v>12.93</v>
      </c>
      <c r="R29" s="38"/>
      <c r="S29" s="38"/>
      <c r="T29" s="38"/>
      <c r="U29" s="38"/>
    </row>
    <row r="30" spans="1:21" customFormat="1">
      <c r="A30" s="40" t="s">
        <v>154</v>
      </c>
      <c r="B30" s="41">
        <v>14.39</v>
      </c>
      <c r="C30" s="41">
        <v>26.72</v>
      </c>
      <c r="D30" s="41">
        <v>26.85</v>
      </c>
      <c r="E30" s="41">
        <v>9.91</v>
      </c>
      <c r="F30" s="41">
        <v>4.0199999999999996</v>
      </c>
      <c r="G30" s="41">
        <v>86.78</v>
      </c>
      <c r="H30" s="41">
        <v>29.83</v>
      </c>
      <c r="I30" s="41">
        <v>10.71</v>
      </c>
      <c r="J30" s="41">
        <v>0.26</v>
      </c>
      <c r="K30" s="41">
        <v>208.23</v>
      </c>
      <c r="L30" s="41">
        <v>23.31</v>
      </c>
      <c r="M30" s="41">
        <v>62.75</v>
      </c>
      <c r="N30" s="41">
        <v>1.4</v>
      </c>
      <c r="O30" s="41">
        <v>0</v>
      </c>
      <c r="P30" s="41">
        <v>0.76</v>
      </c>
      <c r="Q30" s="41">
        <v>12.96</v>
      </c>
      <c r="R30" s="38"/>
      <c r="S30" s="38"/>
      <c r="T30" s="38"/>
      <c r="U30" s="38"/>
    </row>
    <row r="31" spans="1:21" customFormat="1">
      <c r="A31" s="40" t="s">
        <v>155</v>
      </c>
      <c r="B31" s="41">
        <v>18.84</v>
      </c>
      <c r="C31" s="41">
        <v>27.37</v>
      </c>
      <c r="D31" s="41">
        <v>30.72</v>
      </c>
      <c r="E31" s="41">
        <v>9.93</v>
      </c>
      <c r="F31" s="41">
        <v>3.87</v>
      </c>
      <c r="G31" s="41">
        <v>91.54</v>
      </c>
      <c r="H31" s="41">
        <v>29.83</v>
      </c>
      <c r="I31" s="41">
        <v>11.72</v>
      </c>
      <c r="J31" s="41">
        <v>0.23</v>
      </c>
      <c r="K31" s="41">
        <v>194.17</v>
      </c>
      <c r="L31" s="41">
        <v>21.98</v>
      </c>
      <c r="M31" s="41">
        <v>65.709999999999994</v>
      </c>
      <c r="N31" s="41">
        <v>1.2</v>
      </c>
      <c r="O31" s="41">
        <v>0</v>
      </c>
      <c r="P31" s="41">
        <v>0.87</v>
      </c>
      <c r="Q31" s="41">
        <v>12.98</v>
      </c>
      <c r="R31" s="38"/>
      <c r="S31" s="38"/>
      <c r="T31" s="38"/>
      <c r="U31" s="38"/>
    </row>
    <row r="32" spans="1:21" customFormat="1">
      <c r="A32" s="40" t="s">
        <v>156</v>
      </c>
      <c r="B32" s="41">
        <v>24.66</v>
      </c>
      <c r="C32" s="41">
        <v>27.28</v>
      </c>
      <c r="D32" s="41">
        <v>35.119999999999997</v>
      </c>
      <c r="E32" s="41">
        <v>9.75</v>
      </c>
      <c r="F32" s="41">
        <v>3.9</v>
      </c>
      <c r="G32" s="41">
        <v>107.32</v>
      </c>
      <c r="H32" s="41">
        <v>29.51</v>
      </c>
      <c r="I32" s="41">
        <v>12.39</v>
      </c>
      <c r="J32" s="41">
        <v>0.23</v>
      </c>
      <c r="K32" s="41">
        <v>203.37</v>
      </c>
      <c r="L32" s="41">
        <v>21.43</v>
      </c>
      <c r="M32" s="41">
        <v>67.88</v>
      </c>
      <c r="N32" s="41">
        <v>1.3</v>
      </c>
      <c r="O32" s="41">
        <v>0</v>
      </c>
      <c r="P32" s="41">
        <v>0.93</v>
      </c>
      <c r="Q32" s="41">
        <v>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4.22</v>
      </c>
      <c r="C34" s="18">
        <f t="shared" si="0"/>
        <v>23.07</v>
      </c>
      <c r="D34" s="18">
        <f t="shared" si="0"/>
        <v>17.149999999999999</v>
      </c>
      <c r="E34" s="18">
        <f t="shared" si="0"/>
        <v>9.5299999999999994</v>
      </c>
      <c r="F34" s="18">
        <f t="shared" si="0"/>
        <v>3.7</v>
      </c>
      <c r="G34" s="18">
        <f t="shared" si="0"/>
        <v>51.17</v>
      </c>
      <c r="H34" s="18">
        <f t="shared" si="0"/>
        <v>25.7</v>
      </c>
      <c r="I34" s="18">
        <f t="shared" si="0"/>
        <v>7.19</v>
      </c>
      <c r="J34" s="18">
        <f t="shared" si="0"/>
        <v>0.17</v>
      </c>
      <c r="K34" s="18">
        <f t="shared" si="0"/>
        <v>44.5</v>
      </c>
      <c r="L34" s="18">
        <f t="shared" si="0"/>
        <v>20.79</v>
      </c>
      <c r="M34" s="18">
        <f t="shared" si="0"/>
        <v>23.75</v>
      </c>
      <c r="N34" s="18">
        <f t="shared" si="0"/>
        <v>1.2</v>
      </c>
      <c r="O34" s="18">
        <f t="shared" si="0"/>
        <v>0</v>
      </c>
      <c r="P34" s="18">
        <f t="shared" si="0"/>
        <v>0.51</v>
      </c>
      <c r="Q34" s="18">
        <f t="shared" si="0"/>
        <v>12.91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24.66</v>
      </c>
      <c r="C35" s="3">
        <f t="shared" si="1"/>
        <v>29.46</v>
      </c>
      <c r="D35" s="3">
        <f t="shared" si="1"/>
        <v>35.119999999999997</v>
      </c>
      <c r="E35" s="3">
        <f t="shared" si="1"/>
        <v>24.56</v>
      </c>
      <c r="F35" s="3">
        <f t="shared" si="1"/>
        <v>39.06</v>
      </c>
      <c r="G35" s="3">
        <f t="shared" si="1"/>
        <v>115.46</v>
      </c>
      <c r="H35" s="3">
        <f t="shared" si="1"/>
        <v>50.92</v>
      </c>
      <c r="I35" s="3">
        <f t="shared" si="1"/>
        <v>12.93</v>
      </c>
      <c r="J35" s="3">
        <f t="shared" si="1"/>
        <v>1.53</v>
      </c>
      <c r="K35" s="3">
        <f t="shared" si="1"/>
        <v>353.57</v>
      </c>
      <c r="L35" s="3">
        <f t="shared" si="1"/>
        <v>33.299999999999997</v>
      </c>
      <c r="M35" s="3">
        <f t="shared" si="1"/>
        <v>77.400000000000006</v>
      </c>
      <c r="N35" s="3">
        <f t="shared" si="1"/>
        <v>342.5</v>
      </c>
      <c r="O35" s="3">
        <f t="shared" si="1"/>
        <v>0</v>
      </c>
      <c r="P35" s="3">
        <f t="shared" si="1"/>
        <v>1.06</v>
      </c>
      <c r="Q35" s="3">
        <f t="shared" si="1"/>
        <v>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11.120416666666666</v>
      </c>
      <c r="C36" s="18">
        <f t="shared" si="2"/>
        <v>26.607916666666672</v>
      </c>
      <c r="D36" s="18">
        <f t="shared" si="2"/>
        <v>24.057500000000005</v>
      </c>
      <c r="E36" s="18">
        <f t="shared" si="2"/>
        <v>12.236666666666666</v>
      </c>
      <c r="F36" s="18">
        <f t="shared" si="2"/>
        <v>10.064166666666667</v>
      </c>
      <c r="G36" s="18">
        <f t="shared" si="2"/>
        <v>86.947083333333339</v>
      </c>
      <c r="H36" s="18">
        <f t="shared" si="2"/>
        <v>36.010416666666664</v>
      </c>
      <c r="I36" s="18">
        <f t="shared" si="2"/>
        <v>10.430416666666668</v>
      </c>
      <c r="J36" s="18">
        <f t="shared" si="2"/>
        <v>0.64833333333333343</v>
      </c>
      <c r="K36" s="18">
        <f t="shared" si="2"/>
        <v>210.78041666666664</v>
      </c>
      <c r="L36" s="18">
        <f t="shared" si="2"/>
        <v>26.162499999999998</v>
      </c>
      <c r="M36" s="18">
        <f t="shared" si="2"/>
        <v>56.581666666666671</v>
      </c>
      <c r="N36" s="18">
        <f t="shared" si="2"/>
        <v>93.891666666666694</v>
      </c>
      <c r="O36" s="18">
        <f t="shared" si="2"/>
        <v>0</v>
      </c>
      <c r="P36" s="18">
        <f t="shared" si="2"/>
        <v>0.82125000000000004</v>
      </c>
      <c r="Q36" s="18">
        <f t="shared" si="2"/>
        <v>12.962916666666665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5.8266587331637689</v>
      </c>
      <c r="C37" s="18">
        <f t="shared" ref="C37:Q37" si="3">STDEV(C9:C32)</f>
        <v>1.8490467089514151</v>
      </c>
      <c r="D37" s="18">
        <f t="shared" si="3"/>
        <v>5.2295940901589795</v>
      </c>
      <c r="E37" s="18">
        <f t="shared" si="3"/>
        <v>3.7791322522121567</v>
      </c>
      <c r="F37" s="18">
        <f t="shared" si="3"/>
        <v>9.7720127946074147</v>
      </c>
      <c r="G37" s="18">
        <f t="shared" si="3"/>
        <v>19.377074414428982</v>
      </c>
      <c r="H37" s="18">
        <f t="shared" si="3"/>
        <v>6.1936366216827157</v>
      </c>
      <c r="I37" s="18">
        <f t="shared" si="3"/>
        <v>1.9990595161913829</v>
      </c>
      <c r="J37" s="18">
        <f t="shared" si="3"/>
        <v>0.41116659763956087</v>
      </c>
      <c r="K37" s="18">
        <f t="shared" si="3"/>
        <v>105.85933687760694</v>
      </c>
      <c r="L37" s="18">
        <f t="shared" si="3"/>
        <v>4.6944696880663761</v>
      </c>
      <c r="M37" s="18">
        <f t="shared" si="3"/>
        <v>17.346894137910759</v>
      </c>
      <c r="N37" s="18">
        <f t="shared" si="3"/>
        <v>130.81421580994549</v>
      </c>
      <c r="O37" s="18">
        <f t="shared" si="3"/>
        <v>0</v>
      </c>
      <c r="P37" s="18">
        <f t="shared" si="3"/>
        <v>0.17605119067796854</v>
      </c>
      <c r="Q37" s="18">
        <f t="shared" si="3"/>
        <v>3.3424693639995354E-2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N31" sqref="N3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157</v>
      </c>
      <c r="B9" s="41">
        <v>24.63</v>
      </c>
      <c r="C9" s="41">
        <v>26.21</v>
      </c>
      <c r="D9" s="41">
        <v>34.799999999999997</v>
      </c>
      <c r="E9" s="41">
        <v>9.68</v>
      </c>
      <c r="F9" s="42">
        <v>4.18</v>
      </c>
      <c r="G9" s="41">
        <v>107.32</v>
      </c>
      <c r="H9" s="41">
        <v>29.45</v>
      </c>
      <c r="I9" s="41">
        <v>12.67</v>
      </c>
      <c r="J9" s="41">
        <v>0.16</v>
      </c>
      <c r="K9" s="41">
        <v>221.3</v>
      </c>
      <c r="L9" s="41">
        <v>20.67</v>
      </c>
      <c r="M9" s="41">
        <v>66.510000000000005</v>
      </c>
      <c r="N9" s="41">
        <v>1</v>
      </c>
      <c r="O9" s="41">
        <v>0</v>
      </c>
      <c r="P9" s="41">
        <v>0.97</v>
      </c>
      <c r="Q9" s="41">
        <v>13</v>
      </c>
      <c r="R9" s="38"/>
      <c r="S9" s="38"/>
      <c r="T9" s="38"/>
      <c r="U9" s="38"/>
    </row>
    <row r="10" spans="1:21" customFormat="1">
      <c r="A10" s="40" t="s">
        <v>158</v>
      </c>
      <c r="B10" s="41">
        <v>23.43</v>
      </c>
      <c r="C10" s="41">
        <v>25.44</v>
      </c>
      <c r="D10" s="41">
        <v>33.369999999999997</v>
      </c>
      <c r="E10" s="41">
        <v>9.1999999999999993</v>
      </c>
      <c r="F10" s="42">
        <v>4.07</v>
      </c>
      <c r="G10" s="41">
        <v>100.15</v>
      </c>
      <c r="H10" s="41">
        <v>25.5</v>
      </c>
      <c r="I10" s="41">
        <v>12.9</v>
      </c>
      <c r="J10" s="41">
        <v>0.3</v>
      </c>
      <c r="K10" s="41">
        <v>185.81</v>
      </c>
      <c r="L10" s="41">
        <v>20.12</v>
      </c>
      <c r="M10" s="41">
        <v>67.680000000000007</v>
      </c>
      <c r="N10" s="41">
        <v>1.2</v>
      </c>
      <c r="O10" s="41">
        <v>0</v>
      </c>
      <c r="P10" s="41">
        <v>1</v>
      </c>
      <c r="Q10" s="41">
        <v>12.99</v>
      </c>
      <c r="R10" s="38"/>
      <c r="S10" s="38"/>
      <c r="T10" s="38"/>
      <c r="U10" s="38"/>
    </row>
    <row r="11" spans="1:21" customFormat="1">
      <c r="A11" s="40" t="s">
        <v>159</v>
      </c>
      <c r="B11" s="41">
        <v>22.3</v>
      </c>
      <c r="C11" s="41">
        <v>25.02</v>
      </c>
      <c r="D11" s="41">
        <v>32.299999999999997</v>
      </c>
      <c r="E11" s="41">
        <v>11.09</v>
      </c>
      <c r="F11" s="42">
        <v>3.95</v>
      </c>
      <c r="G11" s="41">
        <v>94.54</v>
      </c>
      <c r="H11" s="41">
        <v>24.42</v>
      </c>
      <c r="I11" s="41">
        <v>13.16</v>
      </c>
      <c r="J11" s="41">
        <v>0.2</v>
      </c>
      <c r="K11" s="41">
        <v>195.87</v>
      </c>
      <c r="L11" s="41">
        <v>19.72</v>
      </c>
      <c r="M11" s="41">
        <v>73.150000000000006</v>
      </c>
      <c r="N11" s="41">
        <v>1.4</v>
      </c>
      <c r="O11" s="41">
        <v>0</v>
      </c>
      <c r="P11" s="41">
        <v>1</v>
      </c>
      <c r="Q11" s="41">
        <v>12.98</v>
      </c>
      <c r="R11" s="38"/>
      <c r="S11" s="38"/>
      <c r="T11" s="38"/>
      <c r="U11" s="38"/>
    </row>
    <row r="12" spans="1:21" customFormat="1">
      <c r="A12" s="40" t="s">
        <v>160</v>
      </c>
      <c r="B12" s="41">
        <v>21.53</v>
      </c>
      <c r="C12" s="41">
        <v>24.01</v>
      </c>
      <c r="D12" s="41">
        <v>30.89</v>
      </c>
      <c r="E12" s="41">
        <v>10.68</v>
      </c>
      <c r="F12" s="42">
        <v>3.94</v>
      </c>
      <c r="G12" s="41">
        <v>85.63</v>
      </c>
      <c r="H12" s="41">
        <v>24.42</v>
      </c>
      <c r="I12" s="41">
        <v>13.4</v>
      </c>
      <c r="J12" s="41">
        <v>0.31</v>
      </c>
      <c r="K12" s="41">
        <v>201.54</v>
      </c>
      <c r="L12" s="41">
        <v>19.28</v>
      </c>
      <c r="M12" s="41">
        <v>72.63</v>
      </c>
      <c r="N12" s="41">
        <v>1.5</v>
      </c>
      <c r="O12" s="41">
        <v>0</v>
      </c>
      <c r="P12" s="41">
        <v>0.99</v>
      </c>
      <c r="Q12" s="41">
        <v>12.98</v>
      </c>
      <c r="R12" s="38"/>
      <c r="S12" s="38"/>
      <c r="T12" s="38"/>
      <c r="U12" s="38"/>
    </row>
    <row r="13" spans="1:21" customFormat="1">
      <c r="A13" s="40" t="s">
        <v>161</v>
      </c>
      <c r="B13" s="41">
        <v>21.07</v>
      </c>
      <c r="C13" s="41">
        <v>23.3</v>
      </c>
      <c r="D13" s="41">
        <v>30.42</v>
      </c>
      <c r="E13" s="41">
        <v>11.16</v>
      </c>
      <c r="F13" s="42">
        <v>4</v>
      </c>
      <c r="G13" s="41">
        <v>71.319999999999993</v>
      </c>
      <c r="H13" s="41">
        <v>22.06</v>
      </c>
      <c r="I13" s="41">
        <v>13.47</v>
      </c>
      <c r="J13" s="41">
        <v>0.19</v>
      </c>
      <c r="K13" s="41">
        <v>222.94</v>
      </c>
      <c r="L13" s="41">
        <v>18.32</v>
      </c>
      <c r="M13" s="41">
        <v>76.89</v>
      </c>
      <c r="N13" s="41">
        <v>1.2</v>
      </c>
      <c r="O13" s="41">
        <v>0</v>
      </c>
      <c r="P13" s="41">
        <v>0.92</v>
      </c>
      <c r="Q13" s="41">
        <v>12.97</v>
      </c>
      <c r="R13" s="38"/>
      <c r="S13" s="38"/>
      <c r="T13" s="38"/>
      <c r="U13" s="38"/>
    </row>
    <row r="14" spans="1:21" customFormat="1">
      <c r="A14" s="40" t="s">
        <v>162</v>
      </c>
      <c r="B14" s="41">
        <v>18.5</v>
      </c>
      <c r="C14" s="41">
        <v>22.05</v>
      </c>
      <c r="D14" s="41">
        <v>27.71</v>
      </c>
      <c r="E14" s="41">
        <v>10.92</v>
      </c>
      <c r="F14" s="42">
        <v>4.03</v>
      </c>
      <c r="G14" s="41">
        <v>64.709999999999994</v>
      </c>
      <c r="H14" s="41">
        <v>17.93</v>
      </c>
      <c r="I14" s="41">
        <v>13.48</v>
      </c>
      <c r="J14" s="41">
        <v>0.28000000000000003</v>
      </c>
      <c r="K14" s="41">
        <v>172.28</v>
      </c>
      <c r="L14" s="41">
        <v>18.11</v>
      </c>
      <c r="M14" s="41">
        <v>76.64</v>
      </c>
      <c r="N14" s="41">
        <v>1</v>
      </c>
      <c r="O14" s="41">
        <v>0</v>
      </c>
      <c r="P14" s="41">
        <v>0.91</v>
      </c>
      <c r="Q14" s="41">
        <v>12.96</v>
      </c>
      <c r="R14" s="38"/>
      <c r="S14" s="38"/>
      <c r="T14" s="38"/>
      <c r="U14" s="38"/>
    </row>
    <row r="15" spans="1:21" customFormat="1">
      <c r="A15" s="40" t="s">
        <v>163</v>
      </c>
      <c r="B15" s="41">
        <v>16.5</v>
      </c>
      <c r="C15" s="41">
        <v>21.73</v>
      </c>
      <c r="D15" s="41">
        <v>25.94</v>
      </c>
      <c r="E15" s="41">
        <v>10.53</v>
      </c>
      <c r="F15" s="42">
        <v>4</v>
      </c>
      <c r="G15" s="41">
        <v>61.63</v>
      </c>
      <c r="H15" s="41">
        <v>18.75</v>
      </c>
      <c r="I15" s="41">
        <v>13.46</v>
      </c>
      <c r="J15" s="41">
        <v>0.18</v>
      </c>
      <c r="K15" s="41">
        <v>190.62</v>
      </c>
      <c r="L15" s="41">
        <v>17.84</v>
      </c>
      <c r="M15" s="41">
        <v>80.78</v>
      </c>
      <c r="N15" s="41">
        <v>11.7</v>
      </c>
      <c r="O15" s="41">
        <v>0</v>
      </c>
      <c r="P15" s="41">
        <v>0.9</v>
      </c>
      <c r="Q15" s="41">
        <v>12.96</v>
      </c>
      <c r="R15" s="38"/>
      <c r="S15" s="38"/>
      <c r="T15" s="38"/>
      <c r="U15" s="38"/>
    </row>
    <row r="16" spans="1:21" customFormat="1">
      <c r="A16" s="40" t="s">
        <v>164</v>
      </c>
      <c r="B16" s="41">
        <v>15.12</v>
      </c>
      <c r="C16" s="41">
        <v>21.68</v>
      </c>
      <c r="D16" s="41">
        <v>24.6</v>
      </c>
      <c r="E16" s="41">
        <v>10.83</v>
      </c>
      <c r="F16" s="42">
        <v>3.98</v>
      </c>
      <c r="G16" s="41">
        <v>62.29</v>
      </c>
      <c r="H16" s="41">
        <v>18.75</v>
      </c>
      <c r="I16" s="41">
        <v>13.42</v>
      </c>
      <c r="J16" s="41">
        <v>0.3</v>
      </c>
      <c r="K16" s="41">
        <v>206.23</v>
      </c>
      <c r="L16" s="41">
        <v>20.94</v>
      </c>
      <c r="M16" s="41">
        <v>76.94</v>
      </c>
      <c r="N16" s="41">
        <v>44.4</v>
      </c>
      <c r="O16" s="41">
        <v>0</v>
      </c>
      <c r="P16" s="41">
        <v>0.88</v>
      </c>
      <c r="Q16" s="41">
        <v>12.95</v>
      </c>
      <c r="R16" s="38"/>
      <c r="S16" s="38"/>
      <c r="T16" s="38"/>
      <c r="U16" s="38"/>
    </row>
    <row r="17" spans="1:21" customFormat="1">
      <c r="A17" s="40" t="s">
        <v>165</v>
      </c>
      <c r="B17" s="41">
        <v>13.47</v>
      </c>
      <c r="C17" s="41">
        <v>23.42</v>
      </c>
      <c r="D17" s="41">
        <v>23.69</v>
      </c>
      <c r="E17" s="41">
        <v>10.82</v>
      </c>
      <c r="F17" s="42">
        <v>4.32</v>
      </c>
      <c r="G17" s="41">
        <v>62.29</v>
      </c>
      <c r="H17" s="41">
        <v>20.34</v>
      </c>
      <c r="I17" s="41">
        <v>13.78</v>
      </c>
      <c r="J17" s="41">
        <v>0.28000000000000003</v>
      </c>
      <c r="K17" s="41">
        <v>245.83</v>
      </c>
      <c r="L17" s="41">
        <v>25.27</v>
      </c>
      <c r="M17" s="41">
        <v>61.24</v>
      </c>
      <c r="N17" s="41">
        <v>223.9</v>
      </c>
      <c r="O17" s="41">
        <v>0</v>
      </c>
      <c r="P17" s="41">
        <v>0.95</v>
      </c>
      <c r="Q17" s="41">
        <v>12.95</v>
      </c>
      <c r="R17" s="38"/>
      <c r="S17" s="38"/>
      <c r="T17" s="38"/>
      <c r="U17" s="38"/>
    </row>
    <row r="18" spans="1:21" customFormat="1">
      <c r="A18" s="40" t="s">
        <v>166</v>
      </c>
      <c r="B18" s="41">
        <v>11.9</v>
      </c>
      <c r="C18" s="41">
        <v>23.91</v>
      </c>
      <c r="D18" s="41">
        <v>23.23</v>
      </c>
      <c r="E18" s="41">
        <v>11.65</v>
      </c>
      <c r="F18" s="42">
        <v>4.9000000000000004</v>
      </c>
      <c r="G18" s="41">
        <v>67.849999999999994</v>
      </c>
      <c r="H18" s="41">
        <v>24.77</v>
      </c>
      <c r="I18" s="41">
        <v>14.03</v>
      </c>
      <c r="J18" s="41">
        <v>0.56999999999999995</v>
      </c>
      <c r="K18" s="41">
        <v>280.08999999999997</v>
      </c>
      <c r="L18" s="41">
        <v>28.79</v>
      </c>
      <c r="M18" s="41">
        <v>42</v>
      </c>
      <c r="N18" s="41">
        <v>293.5</v>
      </c>
      <c r="O18" s="41">
        <v>0</v>
      </c>
      <c r="P18" s="41">
        <v>0.95</v>
      </c>
      <c r="Q18" s="41">
        <v>12.94</v>
      </c>
      <c r="R18" s="38"/>
      <c r="S18" s="38"/>
      <c r="T18" s="38"/>
      <c r="U18" s="38"/>
    </row>
    <row r="19" spans="1:21" customFormat="1">
      <c r="A19" s="40" t="s">
        <v>167</v>
      </c>
      <c r="B19" s="41">
        <v>9.26</v>
      </c>
      <c r="C19" s="41">
        <v>24.67</v>
      </c>
      <c r="D19" s="41">
        <v>21.33</v>
      </c>
      <c r="E19" s="41">
        <v>14.99</v>
      </c>
      <c r="F19" s="42">
        <v>6.21</v>
      </c>
      <c r="G19" s="41">
        <v>68.02</v>
      </c>
      <c r="H19" s="41">
        <v>25.37</v>
      </c>
      <c r="I19" s="41">
        <v>13.89</v>
      </c>
      <c r="J19" s="41">
        <v>0.53</v>
      </c>
      <c r="K19" s="41">
        <v>333.85</v>
      </c>
      <c r="L19" s="41">
        <v>30.91</v>
      </c>
      <c r="M19" s="41">
        <v>34.35</v>
      </c>
      <c r="N19" s="41">
        <v>335.7</v>
      </c>
      <c r="O19" s="41">
        <v>0</v>
      </c>
      <c r="P19" s="41">
        <v>0.91</v>
      </c>
      <c r="Q19" s="41">
        <v>12.92</v>
      </c>
      <c r="R19" s="38"/>
      <c r="S19" s="38"/>
      <c r="T19" s="38"/>
      <c r="U19" s="38"/>
    </row>
    <row r="20" spans="1:21" customFormat="1">
      <c r="A20" s="40" t="s">
        <v>168</v>
      </c>
      <c r="B20" s="41">
        <v>6.57</v>
      </c>
      <c r="C20" s="41">
        <v>24.75</v>
      </c>
      <c r="D20" s="41">
        <v>19.510000000000002</v>
      </c>
      <c r="E20" s="41">
        <v>16.3</v>
      </c>
      <c r="F20" s="42">
        <v>5.97</v>
      </c>
      <c r="G20" s="41">
        <v>68.02</v>
      </c>
      <c r="H20" s="41">
        <v>27.04</v>
      </c>
      <c r="I20" s="41">
        <v>13.26</v>
      </c>
      <c r="J20" s="41">
        <v>0.81</v>
      </c>
      <c r="K20" s="41">
        <v>325.32</v>
      </c>
      <c r="L20" s="41">
        <v>31.99</v>
      </c>
      <c r="M20" s="41">
        <v>24.47</v>
      </c>
      <c r="N20" s="41">
        <v>344.8</v>
      </c>
      <c r="O20" s="41">
        <v>0</v>
      </c>
      <c r="P20" s="41">
        <v>0.86</v>
      </c>
      <c r="Q20" s="41">
        <v>12.92</v>
      </c>
      <c r="R20" s="38"/>
      <c r="S20" s="38"/>
      <c r="T20" s="38"/>
      <c r="U20" s="38"/>
    </row>
    <row r="21" spans="1:21" customFormat="1">
      <c r="A21" s="40" t="s">
        <v>169</v>
      </c>
      <c r="B21" s="41">
        <v>5.18</v>
      </c>
      <c r="C21" s="41">
        <v>24.33</v>
      </c>
      <c r="D21" s="41">
        <v>18.22</v>
      </c>
      <c r="E21" s="41">
        <v>16</v>
      </c>
      <c r="F21" s="42">
        <v>6.81</v>
      </c>
      <c r="G21" s="41">
        <v>64.69</v>
      </c>
      <c r="H21" s="41">
        <v>29.45</v>
      </c>
      <c r="I21" s="41">
        <v>12.26</v>
      </c>
      <c r="J21" s="41">
        <v>0.97</v>
      </c>
      <c r="K21" s="41">
        <v>341.12</v>
      </c>
      <c r="L21" s="41">
        <v>32.64</v>
      </c>
      <c r="M21" s="41">
        <v>19.32</v>
      </c>
      <c r="N21" s="41">
        <v>365.8</v>
      </c>
      <c r="O21" s="41">
        <v>0</v>
      </c>
      <c r="P21" s="41">
        <v>0.79</v>
      </c>
      <c r="Q21" s="41">
        <v>12.91</v>
      </c>
      <c r="R21" s="38"/>
      <c r="S21" s="38"/>
      <c r="T21" s="38"/>
      <c r="U21" s="38"/>
    </row>
    <row r="22" spans="1:21" customFormat="1">
      <c r="A22" s="40" t="s">
        <v>170</v>
      </c>
      <c r="B22" s="41">
        <v>4.83</v>
      </c>
      <c r="C22" s="41">
        <v>22.57</v>
      </c>
      <c r="D22" s="41">
        <v>17.02</v>
      </c>
      <c r="E22" s="41">
        <v>10.52</v>
      </c>
      <c r="F22" s="42">
        <v>6.63</v>
      </c>
      <c r="G22" s="41">
        <v>63.86</v>
      </c>
      <c r="H22" s="41">
        <v>34.299999999999997</v>
      </c>
      <c r="I22" s="41">
        <v>10.84</v>
      </c>
      <c r="J22" s="41">
        <v>1.22</v>
      </c>
      <c r="K22" s="41">
        <v>330.11</v>
      </c>
      <c r="L22" s="41">
        <v>33.36</v>
      </c>
      <c r="M22" s="41">
        <v>17.989999999999998</v>
      </c>
      <c r="N22" s="41">
        <v>358.9</v>
      </c>
      <c r="O22" s="41">
        <v>0</v>
      </c>
      <c r="P22" s="41">
        <v>0.67</v>
      </c>
      <c r="Q22" s="41">
        <v>12.91</v>
      </c>
      <c r="R22" s="38"/>
      <c r="S22" s="38"/>
      <c r="T22" s="38"/>
      <c r="U22" s="38"/>
    </row>
    <row r="23" spans="1:21" customFormat="1">
      <c r="A23" s="40" t="s">
        <v>171</v>
      </c>
      <c r="B23" s="41">
        <v>4.3600000000000003</v>
      </c>
      <c r="C23" s="41">
        <v>21.38</v>
      </c>
      <c r="D23" s="41">
        <v>15.91</v>
      </c>
      <c r="E23" s="41">
        <v>9.66</v>
      </c>
      <c r="F23" s="42">
        <v>6.52</v>
      </c>
      <c r="G23" s="41">
        <v>55.61</v>
      </c>
      <c r="H23" s="41">
        <v>34.299999999999997</v>
      </c>
      <c r="I23" s="41">
        <v>9.68</v>
      </c>
      <c r="J23" s="41">
        <v>1.77</v>
      </c>
      <c r="K23" s="41">
        <v>318.66000000000003</v>
      </c>
      <c r="L23" s="41">
        <v>32.85</v>
      </c>
      <c r="M23" s="41">
        <v>18.3</v>
      </c>
      <c r="N23" s="41">
        <v>357.6</v>
      </c>
      <c r="O23" s="41">
        <v>0</v>
      </c>
      <c r="P23" s="41">
        <v>0.56999999999999995</v>
      </c>
      <c r="Q23" s="41">
        <v>12.91</v>
      </c>
      <c r="R23" s="38"/>
      <c r="S23" s="38"/>
      <c r="T23" s="38"/>
      <c r="U23" s="38"/>
    </row>
    <row r="24" spans="1:21" customFormat="1">
      <c r="A24" s="40" t="s">
        <v>172</v>
      </c>
      <c r="B24" s="41">
        <v>4.43</v>
      </c>
      <c r="C24" s="41">
        <v>20.78</v>
      </c>
      <c r="D24" s="41">
        <v>15.74</v>
      </c>
      <c r="E24" s="41">
        <v>9.7200000000000006</v>
      </c>
      <c r="F24" s="42">
        <v>6.5</v>
      </c>
      <c r="G24" s="41">
        <v>54.73</v>
      </c>
      <c r="H24" s="41">
        <v>37.81</v>
      </c>
      <c r="I24" s="41">
        <v>8.06</v>
      </c>
      <c r="J24" s="41">
        <v>1.28</v>
      </c>
      <c r="K24" s="41">
        <v>341</v>
      </c>
      <c r="L24" s="41">
        <v>32.51</v>
      </c>
      <c r="M24" s="41">
        <v>20.45</v>
      </c>
      <c r="N24" s="41">
        <v>61.6</v>
      </c>
      <c r="O24" s="41">
        <v>0</v>
      </c>
      <c r="P24" s="41">
        <v>0.51</v>
      </c>
      <c r="Q24" s="41">
        <v>12.9</v>
      </c>
      <c r="R24" s="38"/>
      <c r="S24" s="38"/>
      <c r="T24" s="38"/>
      <c r="U24" s="38"/>
    </row>
    <row r="25" spans="1:21" customFormat="1">
      <c r="A25" s="40" t="s">
        <v>173</v>
      </c>
      <c r="B25" s="41">
        <v>4.37</v>
      </c>
      <c r="C25" s="41">
        <v>20.74</v>
      </c>
      <c r="D25" s="41">
        <v>15.64</v>
      </c>
      <c r="E25" s="41">
        <v>9.83</v>
      </c>
      <c r="F25" s="42">
        <v>7.18</v>
      </c>
      <c r="G25" s="41">
        <v>48.17</v>
      </c>
      <c r="H25" s="41">
        <v>37.81</v>
      </c>
      <c r="I25" s="41">
        <v>6.9</v>
      </c>
      <c r="J25" s="41">
        <v>1.06</v>
      </c>
      <c r="K25" s="41">
        <v>315.54000000000002</v>
      </c>
      <c r="L25" s="41">
        <v>32.01</v>
      </c>
      <c r="M25" s="41">
        <v>21.62</v>
      </c>
      <c r="N25" s="41">
        <v>64.400000000000006</v>
      </c>
      <c r="O25" s="41">
        <v>0</v>
      </c>
      <c r="P25" s="41">
        <v>0.47</v>
      </c>
      <c r="Q25" s="41">
        <v>12.9</v>
      </c>
      <c r="R25" s="38"/>
      <c r="S25" s="38"/>
      <c r="T25" s="38"/>
      <c r="U25" s="38"/>
    </row>
    <row r="26" spans="1:21" customFormat="1">
      <c r="A26" s="40" t="s">
        <v>174</v>
      </c>
      <c r="B26" s="41">
        <v>5.36</v>
      </c>
      <c r="C26" s="41">
        <v>22.98</v>
      </c>
      <c r="D26" s="41">
        <v>17.66</v>
      </c>
      <c r="E26" s="41">
        <v>10.71</v>
      </c>
      <c r="F26" s="42">
        <v>6.85</v>
      </c>
      <c r="G26" s="41">
        <v>37.18</v>
      </c>
      <c r="H26" s="41">
        <v>33.049999999999997</v>
      </c>
      <c r="I26" s="41">
        <v>6.34</v>
      </c>
      <c r="J26" s="41">
        <v>0.63</v>
      </c>
      <c r="K26" s="41">
        <v>353.18</v>
      </c>
      <c r="L26" s="41">
        <v>31.28</v>
      </c>
      <c r="M26" s="41">
        <v>25.72</v>
      </c>
      <c r="N26" s="41">
        <v>23.1</v>
      </c>
      <c r="O26" s="41">
        <v>0</v>
      </c>
      <c r="P26" s="41">
        <v>0.52</v>
      </c>
      <c r="Q26" s="41">
        <v>12.91</v>
      </c>
      <c r="R26" s="38"/>
      <c r="S26" s="38"/>
      <c r="T26" s="38"/>
      <c r="U26" s="38"/>
    </row>
    <row r="27" spans="1:21" customFormat="1">
      <c r="A27" s="40" t="s">
        <v>175</v>
      </c>
      <c r="B27" s="41">
        <v>7.51</v>
      </c>
      <c r="C27" s="41">
        <v>24.31</v>
      </c>
      <c r="D27" s="41">
        <v>19.88</v>
      </c>
      <c r="E27" s="41">
        <v>11.14</v>
      </c>
      <c r="F27" s="42">
        <v>4.7699999999999996</v>
      </c>
      <c r="G27" s="41">
        <v>43.89</v>
      </c>
      <c r="H27" s="41">
        <v>27.8</v>
      </c>
      <c r="I27" s="41">
        <v>7.34</v>
      </c>
      <c r="J27" s="41">
        <v>0.5</v>
      </c>
      <c r="K27" s="41">
        <v>168.38</v>
      </c>
      <c r="L27" s="41">
        <v>29.59</v>
      </c>
      <c r="M27" s="41">
        <v>43.69</v>
      </c>
      <c r="N27" s="41">
        <v>2.1</v>
      </c>
      <c r="O27" s="41">
        <v>0</v>
      </c>
      <c r="P27" s="41">
        <v>0.62</v>
      </c>
      <c r="Q27" s="41">
        <v>12.9</v>
      </c>
      <c r="R27" s="38"/>
      <c r="S27" s="38"/>
      <c r="T27" s="38"/>
      <c r="U27" s="38"/>
    </row>
    <row r="28" spans="1:21" customFormat="1">
      <c r="A28" s="40" t="s">
        <v>176</v>
      </c>
      <c r="B28" s="41">
        <v>10.52</v>
      </c>
      <c r="C28" s="41">
        <v>23.54</v>
      </c>
      <c r="D28" s="41">
        <v>21.93</v>
      </c>
      <c r="E28" s="41">
        <v>9</v>
      </c>
      <c r="F28" s="42">
        <v>4.29</v>
      </c>
      <c r="G28" s="41">
        <v>63.11</v>
      </c>
      <c r="H28" s="41">
        <v>26.46</v>
      </c>
      <c r="I28" s="41">
        <v>7.57</v>
      </c>
      <c r="J28" s="41">
        <v>0.26</v>
      </c>
      <c r="K28" s="41">
        <v>177.62</v>
      </c>
      <c r="L28" s="41">
        <v>25.75</v>
      </c>
      <c r="M28" s="41">
        <v>48.05</v>
      </c>
      <c r="N28" s="41">
        <v>1.4</v>
      </c>
      <c r="O28" s="41">
        <v>0</v>
      </c>
      <c r="P28" s="41">
        <v>0.71</v>
      </c>
      <c r="Q28" s="41">
        <v>12.91</v>
      </c>
      <c r="R28" s="38"/>
      <c r="S28" s="38"/>
      <c r="T28" s="38"/>
      <c r="U28" s="38"/>
    </row>
    <row r="29" spans="1:21" customFormat="1">
      <c r="A29" s="40" t="s">
        <v>177</v>
      </c>
      <c r="B29" s="41">
        <v>15.65</v>
      </c>
      <c r="C29" s="41">
        <v>23.45</v>
      </c>
      <c r="D29" s="41">
        <v>26.15</v>
      </c>
      <c r="E29" s="41">
        <v>11.16</v>
      </c>
      <c r="F29" s="42">
        <v>4.18</v>
      </c>
      <c r="G29" s="41">
        <v>88.97</v>
      </c>
      <c r="H29" s="41">
        <v>27.22</v>
      </c>
      <c r="I29" s="41">
        <v>9.27</v>
      </c>
      <c r="J29" s="41">
        <v>0.41</v>
      </c>
      <c r="K29" s="41">
        <v>311.95999999999998</v>
      </c>
      <c r="L29" s="41">
        <v>26.02</v>
      </c>
      <c r="M29" s="41">
        <v>52.2</v>
      </c>
      <c r="N29" s="41">
        <v>1.1000000000000001</v>
      </c>
      <c r="O29" s="41">
        <v>0</v>
      </c>
      <c r="P29" s="41">
        <v>0.81</v>
      </c>
      <c r="Q29" s="41">
        <v>12.94</v>
      </c>
      <c r="R29" s="38"/>
      <c r="S29" s="38"/>
      <c r="T29" s="38"/>
      <c r="U29" s="38"/>
    </row>
    <row r="30" spans="1:21" customFormat="1">
      <c r="A30" s="40" t="s">
        <v>178</v>
      </c>
      <c r="B30" s="41">
        <v>16.88</v>
      </c>
      <c r="C30" s="41">
        <v>23.56</v>
      </c>
      <c r="D30" s="41">
        <v>27.06</v>
      </c>
      <c r="E30" s="41">
        <v>11.97</v>
      </c>
      <c r="F30" s="42">
        <v>4.22</v>
      </c>
      <c r="G30" s="41">
        <v>90.95</v>
      </c>
      <c r="H30" s="41">
        <v>27.95</v>
      </c>
      <c r="I30" s="41">
        <v>9.8699999999999992</v>
      </c>
      <c r="J30" s="41">
        <v>0.55000000000000004</v>
      </c>
      <c r="K30" s="41">
        <v>30.02</v>
      </c>
      <c r="L30" s="41">
        <v>26.24</v>
      </c>
      <c r="M30" s="41">
        <v>36.86</v>
      </c>
      <c r="N30" s="41">
        <v>1.2</v>
      </c>
      <c r="O30" s="41">
        <v>0</v>
      </c>
      <c r="P30" s="41">
        <v>0.82</v>
      </c>
      <c r="Q30" s="41">
        <v>12.95</v>
      </c>
      <c r="R30" s="38"/>
      <c r="S30" s="38"/>
      <c r="T30" s="38"/>
      <c r="U30" s="38"/>
    </row>
    <row r="31" spans="1:21" customFormat="1">
      <c r="A31" s="40" t="s">
        <v>179</v>
      </c>
      <c r="B31" s="41">
        <v>16.96</v>
      </c>
      <c r="C31" s="41">
        <v>23.18</v>
      </c>
      <c r="D31" s="41">
        <v>26.95</v>
      </c>
      <c r="E31" s="41">
        <v>10.5</v>
      </c>
      <c r="F31" s="42">
        <v>4.3099999999999996</v>
      </c>
      <c r="G31" s="41">
        <v>90.95</v>
      </c>
      <c r="H31" s="41">
        <v>27.95</v>
      </c>
      <c r="I31" s="41">
        <v>9.6300000000000008</v>
      </c>
      <c r="J31" s="41">
        <v>0.2</v>
      </c>
      <c r="K31" s="41">
        <v>310</v>
      </c>
      <c r="L31" s="41">
        <v>25.18</v>
      </c>
      <c r="M31" s="41">
        <v>44.53</v>
      </c>
      <c r="N31" s="41">
        <v>1.4</v>
      </c>
      <c r="O31" s="41">
        <v>0</v>
      </c>
      <c r="P31" s="41">
        <v>0.82</v>
      </c>
      <c r="Q31" s="41">
        <v>12.95</v>
      </c>
      <c r="R31" s="38"/>
      <c r="S31" s="38"/>
      <c r="T31" s="38"/>
      <c r="U31" s="38"/>
    </row>
    <row r="32" spans="1:21" customFormat="1">
      <c r="A32" s="40" t="s">
        <v>180</v>
      </c>
      <c r="B32" s="41">
        <v>16.809999999999999</v>
      </c>
      <c r="C32" s="41">
        <v>23.98</v>
      </c>
      <c r="D32" s="41">
        <v>27.1</v>
      </c>
      <c r="E32" s="41">
        <v>10.43</v>
      </c>
      <c r="F32" s="42">
        <v>4.18</v>
      </c>
      <c r="G32" s="41">
        <v>83</v>
      </c>
      <c r="H32" s="41">
        <v>26.23</v>
      </c>
      <c r="I32" s="41">
        <v>9.58</v>
      </c>
      <c r="J32" s="41">
        <v>0.52</v>
      </c>
      <c r="K32" s="41">
        <v>75.099999999999994</v>
      </c>
      <c r="L32" s="41">
        <v>24.05</v>
      </c>
      <c r="M32" s="41">
        <v>48.77</v>
      </c>
      <c r="N32" s="41">
        <v>1.3</v>
      </c>
      <c r="O32" s="41">
        <v>0</v>
      </c>
      <c r="P32" s="41">
        <v>0.75</v>
      </c>
      <c r="Q32" s="41">
        <v>12.97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4.3600000000000003</v>
      </c>
      <c r="C34" s="18">
        <f t="shared" si="0"/>
        <v>20.74</v>
      </c>
      <c r="D34" s="18">
        <f t="shared" si="0"/>
        <v>15.64</v>
      </c>
      <c r="E34" s="18">
        <f t="shared" si="0"/>
        <v>9</v>
      </c>
      <c r="F34" s="18">
        <f t="shared" si="0"/>
        <v>3.94</v>
      </c>
      <c r="G34" s="18">
        <f t="shared" si="0"/>
        <v>37.18</v>
      </c>
      <c r="H34" s="18">
        <f t="shared" si="0"/>
        <v>17.93</v>
      </c>
      <c r="I34" s="18">
        <f t="shared" si="0"/>
        <v>6.34</v>
      </c>
      <c r="J34" s="18">
        <f t="shared" si="0"/>
        <v>0.16</v>
      </c>
      <c r="K34" s="18">
        <f t="shared" si="0"/>
        <v>30.02</v>
      </c>
      <c r="L34" s="18">
        <f t="shared" si="0"/>
        <v>17.84</v>
      </c>
      <c r="M34" s="18">
        <f t="shared" si="0"/>
        <v>17.989999999999998</v>
      </c>
      <c r="N34" s="18">
        <f t="shared" si="0"/>
        <v>1</v>
      </c>
      <c r="O34" s="18">
        <f t="shared" si="0"/>
        <v>0</v>
      </c>
      <c r="P34" s="18">
        <f t="shared" si="0"/>
        <v>0.47</v>
      </c>
      <c r="Q34" s="18">
        <f t="shared" si="0"/>
        <v>12.9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24.63</v>
      </c>
      <c r="C35" s="3">
        <f t="shared" si="1"/>
        <v>26.21</v>
      </c>
      <c r="D35" s="3">
        <f t="shared" si="1"/>
        <v>34.799999999999997</v>
      </c>
      <c r="E35" s="3">
        <f t="shared" si="1"/>
        <v>16.3</v>
      </c>
      <c r="F35" s="3">
        <f t="shared" si="1"/>
        <v>7.18</v>
      </c>
      <c r="G35" s="3">
        <f t="shared" si="1"/>
        <v>107.32</v>
      </c>
      <c r="H35" s="3">
        <f t="shared" si="1"/>
        <v>37.81</v>
      </c>
      <c r="I35" s="3">
        <f t="shared" si="1"/>
        <v>14.03</v>
      </c>
      <c r="J35" s="3">
        <f t="shared" si="1"/>
        <v>1.77</v>
      </c>
      <c r="K35" s="3">
        <f t="shared" si="1"/>
        <v>353.18</v>
      </c>
      <c r="L35" s="3">
        <f t="shared" si="1"/>
        <v>33.36</v>
      </c>
      <c r="M35" s="3">
        <f t="shared" si="1"/>
        <v>80.78</v>
      </c>
      <c r="N35" s="3">
        <f t="shared" si="1"/>
        <v>365.8</v>
      </c>
      <c r="O35" s="3">
        <f t="shared" si="1"/>
        <v>0</v>
      </c>
      <c r="P35" s="3">
        <f t="shared" si="1"/>
        <v>1</v>
      </c>
      <c r="Q35" s="3">
        <f t="shared" si="1"/>
        <v>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13.214166666666669</v>
      </c>
      <c r="C36" s="18">
        <f t="shared" si="2"/>
        <v>23.374583333333334</v>
      </c>
      <c r="D36" s="18">
        <f t="shared" si="2"/>
        <v>24.043750000000003</v>
      </c>
      <c r="E36" s="18">
        <f t="shared" si="2"/>
        <v>11.187083333333334</v>
      </c>
      <c r="F36" s="18">
        <f t="shared" si="2"/>
        <v>4.9995833333333337</v>
      </c>
      <c r="G36" s="18">
        <f t="shared" si="2"/>
        <v>70.786666666666662</v>
      </c>
      <c r="H36" s="18">
        <f t="shared" si="2"/>
        <v>27.047083333333344</v>
      </c>
      <c r="I36" s="18">
        <f t="shared" si="2"/>
        <v>11.177500000000002</v>
      </c>
      <c r="J36" s="18">
        <f t="shared" si="2"/>
        <v>0.56166666666666665</v>
      </c>
      <c r="K36" s="18">
        <f t="shared" si="2"/>
        <v>243.93208333333337</v>
      </c>
      <c r="L36" s="18">
        <f t="shared" si="2"/>
        <v>25.976666666666663</v>
      </c>
      <c r="M36" s="18">
        <f t="shared" si="2"/>
        <v>47.949166666666663</v>
      </c>
      <c r="N36" s="18">
        <f t="shared" si="2"/>
        <v>104.21666666666665</v>
      </c>
      <c r="O36" s="18">
        <f t="shared" si="2"/>
        <v>0</v>
      </c>
      <c r="P36" s="18">
        <f t="shared" si="2"/>
        <v>0.80416666666666659</v>
      </c>
      <c r="Q36" s="18">
        <f t="shared" si="2"/>
        <v>12.940833333333332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6.8158446582794898</v>
      </c>
      <c r="C37" s="18">
        <f t="shared" ref="C37:Q37" si="3">STDEV(C9:C32)</f>
        <v>1.4344457471264906</v>
      </c>
      <c r="D37" s="18">
        <f t="shared" si="3"/>
        <v>5.850614098202584</v>
      </c>
      <c r="E37" s="18">
        <f t="shared" si="3"/>
        <v>1.9187642743650695</v>
      </c>
      <c r="F37" s="18">
        <f t="shared" si="3"/>
        <v>1.1846242448343141</v>
      </c>
      <c r="G37" s="18">
        <f t="shared" si="3"/>
        <v>18.130335056897376</v>
      </c>
      <c r="H37" s="18">
        <f t="shared" si="3"/>
        <v>5.5268817210042247</v>
      </c>
      <c r="I37" s="18">
        <f t="shared" si="3"/>
        <v>2.5913321234286073</v>
      </c>
      <c r="J37" s="18">
        <f t="shared" si="3"/>
        <v>0.42104080837709867</v>
      </c>
      <c r="K37" s="18">
        <f t="shared" si="3"/>
        <v>87.516004001214355</v>
      </c>
      <c r="L37" s="18">
        <f t="shared" si="3"/>
        <v>5.5102265925685368</v>
      </c>
      <c r="M37" s="18">
        <f t="shared" si="3"/>
        <v>22.083561054335849</v>
      </c>
      <c r="N37" s="18">
        <f t="shared" si="3"/>
        <v>148.65928557747677</v>
      </c>
      <c r="O37" s="18">
        <f t="shared" si="3"/>
        <v>0</v>
      </c>
      <c r="P37" s="18">
        <f t="shared" si="3"/>
        <v>0.16594699695113949</v>
      </c>
      <c r="Q37" s="18">
        <f t="shared" si="3"/>
        <v>3.1195967781062726E-2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L25" sqref="L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181</v>
      </c>
      <c r="B9" s="41">
        <v>16.91</v>
      </c>
      <c r="C9" s="41">
        <v>24.57</v>
      </c>
      <c r="D9" s="41">
        <v>27.75</v>
      </c>
      <c r="E9" s="41">
        <v>10.56</v>
      </c>
      <c r="F9" s="42">
        <v>4.29</v>
      </c>
      <c r="G9" s="41">
        <v>83</v>
      </c>
      <c r="H9" s="41">
        <v>26.23</v>
      </c>
      <c r="I9" s="41">
        <v>9.27</v>
      </c>
      <c r="J9" s="41">
        <v>0.24</v>
      </c>
      <c r="K9" s="41">
        <v>268.10000000000002</v>
      </c>
      <c r="L9" s="41">
        <v>22.59</v>
      </c>
      <c r="M9" s="41">
        <v>59.58</v>
      </c>
      <c r="N9" s="41">
        <v>1.4</v>
      </c>
      <c r="O9" s="41">
        <v>0</v>
      </c>
      <c r="P9" s="41">
        <v>0.74</v>
      </c>
      <c r="Q9" s="41">
        <v>12.96</v>
      </c>
      <c r="R9" s="38"/>
      <c r="S9" s="38"/>
      <c r="T9" s="38"/>
      <c r="U9" s="38"/>
    </row>
    <row r="10" spans="1:21" customFormat="1">
      <c r="A10" s="40" t="s">
        <v>182</v>
      </c>
      <c r="B10" s="41">
        <v>17.27</v>
      </c>
      <c r="C10" s="41">
        <v>24.63</v>
      </c>
      <c r="D10" s="41">
        <v>28.07</v>
      </c>
      <c r="E10" s="41">
        <v>10.57</v>
      </c>
      <c r="F10" s="42">
        <v>4.1900000000000004</v>
      </c>
      <c r="G10" s="41">
        <v>83.41</v>
      </c>
      <c r="H10" s="41">
        <v>24</v>
      </c>
      <c r="I10" s="41">
        <v>9.23</v>
      </c>
      <c r="J10" s="41">
        <v>0.17</v>
      </c>
      <c r="K10" s="41">
        <v>217.9</v>
      </c>
      <c r="L10" s="41">
        <v>21.55</v>
      </c>
      <c r="M10" s="41">
        <v>56.19</v>
      </c>
      <c r="N10" s="41">
        <v>0.8</v>
      </c>
      <c r="O10" s="41">
        <v>0</v>
      </c>
      <c r="P10" s="41">
        <v>0.76</v>
      </c>
      <c r="Q10" s="41">
        <v>12.97</v>
      </c>
      <c r="R10" s="38"/>
      <c r="S10" s="38"/>
      <c r="T10" s="38"/>
      <c r="U10" s="38"/>
    </row>
    <row r="11" spans="1:21" customFormat="1">
      <c r="A11" s="40" t="s">
        <v>183</v>
      </c>
      <c r="B11" s="41">
        <v>17.149999999999999</v>
      </c>
      <c r="C11" s="41">
        <v>24.61</v>
      </c>
      <c r="D11" s="41">
        <v>27.96</v>
      </c>
      <c r="E11" s="41">
        <v>9.49</v>
      </c>
      <c r="F11" s="42">
        <v>4.2300000000000004</v>
      </c>
      <c r="G11" s="41">
        <v>83.41</v>
      </c>
      <c r="H11" s="41">
        <v>24.02</v>
      </c>
      <c r="I11" s="41">
        <v>9.27</v>
      </c>
      <c r="J11" s="41">
        <v>0.45</v>
      </c>
      <c r="K11" s="41">
        <v>58.84</v>
      </c>
      <c r="L11" s="41">
        <v>21.76</v>
      </c>
      <c r="M11" s="41">
        <v>50.24</v>
      </c>
      <c r="N11" s="41">
        <v>1.1000000000000001</v>
      </c>
      <c r="O11" s="41">
        <v>0</v>
      </c>
      <c r="P11" s="41">
        <v>0.74</v>
      </c>
      <c r="Q11" s="41">
        <v>12.97</v>
      </c>
      <c r="R11" s="38"/>
      <c r="S11" s="38"/>
      <c r="T11" s="38"/>
      <c r="U11" s="38"/>
    </row>
    <row r="12" spans="1:21" customFormat="1">
      <c r="A12" s="40" t="s">
        <v>184</v>
      </c>
      <c r="B12" s="41">
        <v>17.07</v>
      </c>
      <c r="C12" s="41">
        <v>24.7</v>
      </c>
      <c r="D12" s="41">
        <v>27.93</v>
      </c>
      <c r="E12" s="41">
        <v>9.24</v>
      </c>
      <c r="F12" s="42">
        <v>4.26</v>
      </c>
      <c r="G12" s="41">
        <v>84.38</v>
      </c>
      <c r="H12" s="41">
        <v>24.02</v>
      </c>
      <c r="I12" s="41">
        <v>9.36</v>
      </c>
      <c r="J12" s="41">
        <v>0.56000000000000005</v>
      </c>
      <c r="K12" s="41">
        <v>61.47</v>
      </c>
      <c r="L12" s="41">
        <v>21.2</v>
      </c>
      <c r="M12" s="41">
        <v>51.89</v>
      </c>
      <c r="N12" s="41">
        <v>1.1000000000000001</v>
      </c>
      <c r="O12" s="41">
        <v>0</v>
      </c>
      <c r="P12" s="41">
        <v>0.74</v>
      </c>
      <c r="Q12" s="41">
        <v>12.95</v>
      </c>
      <c r="R12" s="38"/>
      <c r="S12" s="38"/>
      <c r="T12" s="38"/>
      <c r="U12" s="38"/>
    </row>
    <row r="13" spans="1:21" customFormat="1">
      <c r="A13" s="40" t="s">
        <v>185</v>
      </c>
      <c r="B13" s="41">
        <v>15.99</v>
      </c>
      <c r="C13" s="41">
        <v>24.67</v>
      </c>
      <c r="D13" s="41">
        <v>26.97</v>
      </c>
      <c r="E13" s="41">
        <v>8.67</v>
      </c>
      <c r="F13" s="42">
        <v>4.0999999999999996</v>
      </c>
      <c r="G13" s="41">
        <v>84.38</v>
      </c>
      <c r="H13" s="41">
        <v>23.72</v>
      </c>
      <c r="I13" s="41">
        <v>9.41</v>
      </c>
      <c r="J13" s="41">
        <v>1.22</v>
      </c>
      <c r="K13" s="41">
        <v>58.68</v>
      </c>
      <c r="L13" s="41">
        <v>20.84</v>
      </c>
      <c r="M13" s="41">
        <v>52.04</v>
      </c>
      <c r="N13" s="41">
        <v>1.2</v>
      </c>
      <c r="O13" s="41">
        <v>0</v>
      </c>
      <c r="P13" s="41">
        <v>0.78</v>
      </c>
      <c r="Q13" s="41">
        <v>12.94</v>
      </c>
      <c r="R13" s="38"/>
      <c r="S13" s="38"/>
      <c r="T13" s="38"/>
      <c r="U13" s="38"/>
    </row>
    <row r="14" spans="1:21" customFormat="1">
      <c r="A14" s="40" t="s">
        <v>186</v>
      </c>
      <c r="B14" s="41">
        <v>14.83</v>
      </c>
      <c r="C14" s="41">
        <v>25.07</v>
      </c>
      <c r="D14" s="41">
        <v>26.34</v>
      </c>
      <c r="E14" s="41">
        <v>8.3000000000000007</v>
      </c>
      <c r="F14" s="42">
        <v>4.01</v>
      </c>
      <c r="G14" s="41">
        <v>75.510000000000005</v>
      </c>
      <c r="H14" s="41">
        <v>21.16</v>
      </c>
      <c r="I14" s="41">
        <v>9.3000000000000007</v>
      </c>
      <c r="J14" s="41">
        <v>0.73</v>
      </c>
      <c r="K14" s="41">
        <v>57.69</v>
      </c>
      <c r="L14" s="41">
        <v>20.18</v>
      </c>
      <c r="M14" s="41">
        <v>55.01</v>
      </c>
      <c r="N14" s="41">
        <v>1</v>
      </c>
      <c r="O14" s="41">
        <v>0</v>
      </c>
      <c r="P14" s="41">
        <v>0.77</v>
      </c>
      <c r="Q14" s="41">
        <v>12.94</v>
      </c>
      <c r="R14" s="38"/>
      <c r="S14" s="38"/>
      <c r="T14" s="38"/>
      <c r="U14" s="38"/>
    </row>
    <row r="15" spans="1:21" customFormat="1">
      <c r="A15" s="40" t="s">
        <v>187</v>
      </c>
      <c r="B15" s="41">
        <v>15.29</v>
      </c>
      <c r="C15" s="41">
        <v>25.57</v>
      </c>
      <c r="D15" s="41">
        <v>26.95</v>
      </c>
      <c r="E15" s="41">
        <v>7.7</v>
      </c>
      <c r="F15" s="42">
        <v>3.92</v>
      </c>
      <c r="G15" s="41">
        <v>69.39</v>
      </c>
      <c r="H15" s="41">
        <v>20.62</v>
      </c>
      <c r="I15" s="41">
        <v>8.9600000000000009</v>
      </c>
      <c r="J15" s="41">
        <v>0.17</v>
      </c>
      <c r="K15" s="41">
        <v>181.97</v>
      </c>
      <c r="L15" s="41">
        <v>19.190000000000001</v>
      </c>
      <c r="M15" s="41">
        <v>66.83</v>
      </c>
      <c r="N15" s="41">
        <v>12.7</v>
      </c>
      <c r="O15" s="41">
        <v>0</v>
      </c>
      <c r="P15" s="41">
        <v>0.77</v>
      </c>
      <c r="Q15" s="41">
        <v>12.95</v>
      </c>
      <c r="R15" s="38"/>
      <c r="S15" s="38"/>
      <c r="T15" s="38"/>
      <c r="U15" s="38"/>
    </row>
    <row r="16" spans="1:21" customFormat="1">
      <c r="A16" s="40" t="s">
        <v>188</v>
      </c>
      <c r="B16" s="41">
        <v>15.63</v>
      </c>
      <c r="C16" s="41">
        <v>25.9</v>
      </c>
      <c r="D16" s="41">
        <v>27.42</v>
      </c>
      <c r="E16" s="41">
        <v>7.68</v>
      </c>
      <c r="F16" s="42">
        <v>4.0599999999999996</v>
      </c>
      <c r="G16" s="41">
        <v>69.39</v>
      </c>
      <c r="H16" s="41">
        <v>19.18</v>
      </c>
      <c r="I16" s="41">
        <v>8.8000000000000007</v>
      </c>
      <c r="J16" s="41">
        <v>0.9</v>
      </c>
      <c r="K16" s="41">
        <v>138.72</v>
      </c>
      <c r="L16" s="41">
        <v>21.52</v>
      </c>
      <c r="M16" s="41">
        <v>66.92</v>
      </c>
      <c r="N16" s="41">
        <v>47.6</v>
      </c>
      <c r="O16" s="41">
        <v>0</v>
      </c>
      <c r="P16" s="41">
        <v>0.76</v>
      </c>
      <c r="Q16" s="41">
        <v>12.95</v>
      </c>
      <c r="R16" s="38"/>
      <c r="S16" s="38"/>
      <c r="T16" s="38"/>
      <c r="U16" s="38"/>
    </row>
    <row r="17" spans="1:21" customFormat="1">
      <c r="A17" s="40" t="s">
        <v>189</v>
      </c>
      <c r="B17" s="41">
        <v>16.45</v>
      </c>
      <c r="C17" s="41">
        <v>27.2</v>
      </c>
      <c r="D17" s="41">
        <v>28.73</v>
      </c>
      <c r="E17" s="41">
        <v>9.23</v>
      </c>
      <c r="F17" s="42">
        <v>4.47</v>
      </c>
      <c r="G17" s="41">
        <v>69.650000000000006</v>
      </c>
      <c r="H17" s="41">
        <v>19.18</v>
      </c>
      <c r="I17" s="41">
        <v>8.74</v>
      </c>
      <c r="J17" s="41">
        <v>1.88</v>
      </c>
      <c r="K17" s="41">
        <v>65.209999999999994</v>
      </c>
      <c r="L17" s="41">
        <v>24.98</v>
      </c>
      <c r="M17" s="41">
        <v>46.67</v>
      </c>
      <c r="N17" s="41">
        <v>260.7</v>
      </c>
      <c r="O17" s="41">
        <v>0</v>
      </c>
      <c r="P17" s="41">
        <v>0.76</v>
      </c>
      <c r="Q17" s="41">
        <v>12.97</v>
      </c>
      <c r="R17" s="38"/>
      <c r="S17" s="38"/>
      <c r="T17" s="38"/>
      <c r="U17" s="38"/>
    </row>
    <row r="18" spans="1:21" customFormat="1">
      <c r="A18" s="40" t="s">
        <v>190</v>
      </c>
      <c r="B18" s="41">
        <v>14.89</v>
      </c>
      <c r="C18" s="41">
        <v>29.89</v>
      </c>
      <c r="D18" s="41">
        <v>28.01</v>
      </c>
      <c r="E18" s="41">
        <v>12.71</v>
      </c>
      <c r="F18" s="42">
        <v>4.6500000000000004</v>
      </c>
      <c r="G18" s="41">
        <v>75.040000000000006</v>
      </c>
      <c r="H18" s="41">
        <v>28.96</v>
      </c>
      <c r="I18" s="41">
        <v>8.68</v>
      </c>
      <c r="J18" s="41">
        <v>1.95</v>
      </c>
      <c r="K18" s="41">
        <v>54.79</v>
      </c>
      <c r="L18" s="41">
        <v>27.83</v>
      </c>
      <c r="M18" s="41">
        <v>35.56</v>
      </c>
      <c r="N18" s="41">
        <v>324.7</v>
      </c>
      <c r="O18" s="41">
        <v>0</v>
      </c>
      <c r="P18" s="41">
        <v>0.66</v>
      </c>
      <c r="Q18" s="41">
        <v>12.96</v>
      </c>
      <c r="R18" s="38"/>
      <c r="S18" s="38"/>
      <c r="T18" s="38"/>
      <c r="U18" s="38"/>
    </row>
    <row r="19" spans="1:21" customFormat="1">
      <c r="A19" s="40" t="s">
        <v>191</v>
      </c>
      <c r="B19" s="41">
        <v>13.97</v>
      </c>
      <c r="C19" s="41">
        <v>30.6</v>
      </c>
      <c r="D19" s="41">
        <v>28.39</v>
      </c>
      <c r="E19" s="41">
        <v>11.56</v>
      </c>
      <c r="F19" s="42">
        <v>5.07</v>
      </c>
      <c r="G19" s="41">
        <v>75.040000000000006</v>
      </c>
      <c r="H19" s="41">
        <v>103.62</v>
      </c>
      <c r="I19" s="41">
        <v>7.97</v>
      </c>
      <c r="J19" s="41">
        <v>1.87</v>
      </c>
      <c r="K19" s="41">
        <v>59.45</v>
      </c>
      <c r="L19" s="41">
        <v>29.05</v>
      </c>
      <c r="M19" s="41">
        <v>24.46</v>
      </c>
      <c r="N19" s="41">
        <v>369.9</v>
      </c>
      <c r="O19" s="41">
        <v>0</v>
      </c>
      <c r="P19" s="41">
        <v>0.59</v>
      </c>
      <c r="Q19" s="41">
        <v>12.97</v>
      </c>
      <c r="R19" s="38"/>
      <c r="S19" s="38"/>
      <c r="T19" s="38"/>
      <c r="U19" s="38"/>
    </row>
    <row r="20" spans="1:21" customFormat="1">
      <c r="A20" s="40" t="s">
        <v>192</v>
      </c>
      <c r="B20" s="41">
        <v>11.46</v>
      </c>
      <c r="C20" s="41">
        <v>30.09</v>
      </c>
      <c r="D20" s="41">
        <v>26.26</v>
      </c>
      <c r="E20" s="41">
        <v>11.46</v>
      </c>
      <c r="F20" s="42">
        <v>5.15</v>
      </c>
      <c r="G20" s="41">
        <v>69.92</v>
      </c>
      <c r="H20" s="41">
        <v>103.62</v>
      </c>
      <c r="I20" s="41">
        <v>7.14</v>
      </c>
      <c r="J20" s="41">
        <v>1.4</v>
      </c>
      <c r="K20" s="41">
        <v>69.95</v>
      </c>
      <c r="L20" s="41">
        <v>30.56</v>
      </c>
      <c r="M20" s="41">
        <v>23.34</v>
      </c>
      <c r="N20" s="41">
        <v>368.3</v>
      </c>
      <c r="O20" s="41">
        <v>0</v>
      </c>
      <c r="P20" s="41">
        <v>0.52</v>
      </c>
      <c r="Q20" s="41">
        <v>12.96</v>
      </c>
      <c r="R20" s="38"/>
      <c r="S20" s="38"/>
      <c r="T20" s="38"/>
      <c r="U20" s="38"/>
    </row>
    <row r="21" spans="1:21" customFormat="1">
      <c r="A21" s="40" t="s">
        <v>193</v>
      </c>
      <c r="B21" s="41">
        <v>8.98</v>
      </c>
      <c r="C21" s="41">
        <v>29.08</v>
      </c>
      <c r="D21" s="41">
        <v>23.74</v>
      </c>
      <c r="E21" s="41">
        <v>12.65</v>
      </c>
      <c r="F21" s="42">
        <v>5.94</v>
      </c>
      <c r="G21" s="41">
        <v>59.61</v>
      </c>
      <c r="H21" s="41">
        <v>64.27</v>
      </c>
      <c r="I21" s="41">
        <v>6.43</v>
      </c>
      <c r="J21" s="41">
        <v>1.68</v>
      </c>
      <c r="K21" s="41">
        <v>47.5</v>
      </c>
      <c r="L21" s="41">
        <v>30.78</v>
      </c>
      <c r="M21" s="41">
        <v>22.1</v>
      </c>
      <c r="N21" s="41">
        <v>382.1</v>
      </c>
      <c r="O21" s="41">
        <v>0</v>
      </c>
      <c r="P21" s="41">
        <v>0.47</v>
      </c>
      <c r="Q21" s="41">
        <v>12.95</v>
      </c>
      <c r="R21" s="38"/>
      <c r="S21" s="38"/>
      <c r="T21" s="38"/>
      <c r="U21" s="38"/>
    </row>
    <row r="22" spans="1:21" customFormat="1">
      <c r="A22" s="40" t="s">
        <v>194</v>
      </c>
      <c r="B22" s="41">
        <v>6.84</v>
      </c>
      <c r="C22" s="41">
        <v>28.08</v>
      </c>
      <c r="D22" s="41">
        <v>21.51</v>
      </c>
      <c r="E22" s="41">
        <v>11.45</v>
      </c>
      <c r="F22" s="42">
        <v>7.16</v>
      </c>
      <c r="G22" s="41">
        <v>55.65</v>
      </c>
      <c r="H22" s="41">
        <v>97.96</v>
      </c>
      <c r="I22" s="41">
        <v>5.87</v>
      </c>
      <c r="J22" s="41">
        <v>1.18</v>
      </c>
      <c r="K22" s="41">
        <v>335.44</v>
      </c>
      <c r="L22" s="41">
        <v>31.42</v>
      </c>
      <c r="M22" s="41">
        <v>20.440000000000001</v>
      </c>
      <c r="N22" s="41">
        <v>360.1</v>
      </c>
      <c r="O22" s="41">
        <v>0</v>
      </c>
      <c r="P22" s="41">
        <v>0.45</v>
      </c>
      <c r="Q22" s="41">
        <v>12.94</v>
      </c>
      <c r="R22" s="38"/>
      <c r="S22" s="38"/>
      <c r="T22" s="38"/>
      <c r="U22" s="38"/>
    </row>
    <row r="23" spans="1:21" customFormat="1">
      <c r="A23" s="40" t="s">
        <v>195</v>
      </c>
      <c r="B23" s="41">
        <v>4.8499999999999996</v>
      </c>
      <c r="C23" s="41">
        <v>25.88</v>
      </c>
      <c r="D23" s="41">
        <v>18.649999999999999</v>
      </c>
      <c r="E23" s="41">
        <v>12.33</v>
      </c>
      <c r="F23" s="42">
        <v>6.56</v>
      </c>
      <c r="G23" s="41">
        <v>53.93</v>
      </c>
      <c r="H23" s="41">
        <v>97.96</v>
      </c>
      <c r="I23" s="41">
        <v>5.47</v>
      </c>
      <c r="J23" s="41">
        <v>1.52</v>
      </c>
      <c r="K23" s="41">
        <v>326.88</v>
      </c>
      <c r="L23" s="41">
        <v>31.7</v>
      </c>
      <c r="M23" s="41">
        <v>17.670000000000002</v>
      </c>
      <c r="N23" s="41">
        <v>387.1</v>
      </c>
      <c r="O23" s="41">
        <v>0</v>
      </c>
      <c r="P23" s="41">
        <v>0.44</v>
      </c>
      <c r="Q23" s="41">
        <v>12.91</v>
      </c>
      <c r="R23" s="38"/>
      <c r="S23" s="38"/>
      <c r="T23" s="38"/>
      <c r="U23" s="38"/>
    </row>
    <row r="24" spans="1:21" customFormat="1">
      <c r="A24" s="40" t="s">
        <v>196</v>
      </c>
      <c r="B24" s="41">
        <v>5.18</v>
      </c>
      <c r="C24" s="41">
        <v>22.17</v>
      </c>
      <c r="D24" s="41">
        <v>16.93</v>
      </c>
      <c r="E24" s="41">
        <v>13.33</v>
      </c>
      <c r="F24" s="42">
        <v>6.36</v>
      </c>
      <c r="G24" s="41">
        <v>49.12</v>
      </c>
      <c r="H24" s="41">
        <v>69.41</v>
      </c>
      <c r="I24" s="41">
        <v>5.17</v>
      </c>
      <c r="J24" s="41">
        <v>0.93</v>
      </c>
      <c r="K24" s="41">
        <v>358.81</v>
      </c>
      <c r="L24" s="41">
        <v>30.83</v>
      </c>
      <c r="M24" s="41">
        <v>15.38</v>
      </c>
      <c r="N24" s="41">
        <v>58.7</v>
      </c>
      <c r="O24" s="41">
        <v>0</v>
      </c>
      <c r="P24" s="41">
        <v>0.41</v>
      </c>
      <c r="Q24" s="41">
        <v>12.89</v>
      </c>
      <c r="R24" s="38"/>
      <c r="S24" s="38"/>
      <c r="T24" s="38"/>
      <c r="U24" s="38"/>
    </row>
    <row r="25" spans="1:21" customFormat="1">
      <c r="A25" s="40" t="s">
        <v>197</v>
      </c>
      <c r="B25" s="41">
        <v>5.65</v>
      </c>
      <c r="C25" s="41">
        <v>19.84</v>
      </c>
      <c r="D25" s="41">
        <v>15.95</v>
      </c>
      <c r="E25" s="41">
        <v>10.48</v>
      </c>
      <c r="F25" s="42">
        <v>6.89</v>
      </c>
      <c r="G25" s="41">
        <v>43.94</v>
      </c>
      <c r="H25" s="41">
        <v>50.29</v>
      </c>
      <c r="I25" s="41">
        <v>4.79</v>
      </c>
      <c r="J25" s="41">
        <v>1.27</v>
      </c>
      <c r="K25" s="41">
        <v>54.85</v>
      </c>
      <c r="L25" s="41">
        <v>30.49</v>
      </c>
      <c r="M25" s="41">
        <v>15.58</v>
      </c>
      <c r="N25" s="41">
        <v>60.3</v>
      </c>
      <c r="O25" s="41">
        <v>0</v>
      </c>
      <c r="P25" s="41">
        <v>0.4</v>
      </c>
      <c r="Q25" s="41">
        <v>12.9</v>
      </c>
      <c r="R25" s="38"/>
      <c r="S25" s="38"/>
      <c r="T25" s="38"/>
      <c r="U25" s="38"/>
    </row>
    <row r="26" spans="1:21" customFormat="1">
      <c r="A26" s="40" t="s">
        <v>198</v>
      </c>
      <c r="B26" s="41">
        <v>6.79</v>
      </c>
      <c r="C26" s="41">
        <v>19.21</v>
      </c>
      <c r="D26" s="41">
        <v>16.84</v>
      </c>
      <c r="E26" s="41">
        <v>8.08</v>
      </c>
      <c r="F26" s="42">
        <v>5.94</v>
      </c>
      <c r="G26" s="41">
        <v>35.479999999999997</v>
      </c>
      <c r="H26" s="41">
        <v>43.26</v>
      </c>
      <c r="I26" s="41">
        <v>4.8</v>
      </c>
      <c r="J26" s="41">
        <v>0.86</v>
      </c>
      <c r="K26" s="41">
        <v>62.31</v>
      </c>
      <c r="L26" s="41">
        <v>29.84</v>
      </c>
      <c r="M26" s="41">
        <v>21.68</v>
      </c>
      <c r="N26" s="41">
        <v>22.9</v>
      </c>
      <c r="O26" s="41">
        <v>0</v>
      </c>
      <c r="P26" s="41">
        <v>0.44</v>
      </c>
      <c r="Q26" s="41">
        <v>12.9</v>
      </c>
      <c r="R26" s="38"/>
      <c r="S26" s="38"/>
      <c r="T26" s="38"/>
      <c r="U26" s="38"/>
    </row>
    <row r="27" spans="1:21" customFormat="1">
      <c r="A27" s="40" t="s">
        <v>199</v>
      </c>
      <c r="B27" s="41">
        <v>7.82</v>
      </c>
      <c r="C27" s="41">
        <v>19.27</v>
      </c>
      <c r="D27" s="41">
        <v>17.55</v>
      </c>
      <c r="E27" s="41">
        <v>12.14</v>
      </c>
      <c r="F27" s="42">
        <v>5.46</v>
      </c>
      <c r="G27" s="41">
        <v>31.85</v>
      </c>
      <c r="H27" s="41">
        <v>42.79</v>
      </c>
      <c r="I27" s="41">
        <v>5.16</v>
      </c>
      <c r="J27" s="41">
        <v>0.28999999999999998</v>
      </c>
      <c r="K27" s="41">
        <v>194.11</v>
      </c>
      <c r="L27" s="41">
        <v>27.24</v>
      </c>
      <c r="M27" s="41">
        <v>38.76</v>
      </c>
      <c r="N27" s="41">
        <v>1.9</v>
      </c>
      <c r="O27" s="41">
        <v>0</v>
      </c>
      <c r="P27" s="41">
        <v>0.45</v>
      </c>
      <c r="Q27" s="41">
        <v>12.91</v>
      </c>
      <c r="R27" s="38"/>
      <c r="S27" s="38"/>
      <c r="T27" s="38"/>
      <c r="U27" s="38"/>
    </row>
    <row r="28" spans="1:21" customFormat="1">
      <c r="A28" s="40" t="s">
        <v>200</v>
      </c>
      <c r="B28" s="41">
        <v>7.41</v>
      </c>
      <c r="C28" s="41">
        <v>19.64</v>
      </c>
      <c r="D28" s="41">
        <v>17.55</v>
      </c>
      <c r="E28" s="41">
        <v>12.07</v>
      </c>
      <c r="F28" s="42">
        <v>4.59</v>
      </c>
      <c r="G28" s="41">
        <v>46.79</v>
      </c>
      <c r="H28" s="41">
        <v>35.74</v>
      </c>
      <c r="I28" s="41">
        <v>5.22</v>
      </c>
      <c r="J28" s="41">
        <v>0.31</v>
      </c>
      <c r="K28" s="41">
        <v>173.09</v>
      </c>
      <c r="L28" s="41">
        <v>23.97</v>
      </c>
      <c r="M28" s="41">
        <v>47.23</v>
      </c>
      <c r="N28" s="41">
        <v>1</v>
      </c>
      <c r="O28" s="41">
        <v>0</v>
      </c>
      <c r="P28" s="41">
        <v>0.42</v>
      </c>
      <c r="Q28" s="41">
        <v>12.91</v>
      </c>
      <c r="R28" s="38"/>
      <c r="S28" s="38"/>
      <c r="T28" s="38"/>
      <c r="U28" s="38"/>
    </row>
    <row r="29" spans="1:21" customFormat="1">
      <c r="A29" s="40" t="s">
        <v>201</v>
      </c>
      <c r="B29" s="41">
        <v>8.26</v>
      </c>
      <c r="C29" s="41">
        <v>20.79</v>
      </c>
      <c r="D29" s="41">
        <v>18.829999999999998</v>
      </c>
      <c r="E29" s="41">
        <v>12.35</v>
      </c>
      <c r="F29" s="42">
        <v>4.16</v>
      </c>
      <c r="G29" s="41">
        <v>49.32</v>
      </c>
      <c r="H29" s="41">
        <v>35.74</v>
      </c>
      <c r="I29" s="41">
        <v>6.93</v>
      </c>
      <c r="J29" s="41">
        <v>0.24</v>
      </c>
      <c r="K29" s="41">
        <v>194.61</v>
      </c>
      <c r="L29" s="41">
        <v>22.55</v>
      </c>
      <c r="M29" s="41">
        <v>49.64</v>
      </c>
      <c r="N29" s="41">
        <v>0.9</v>
      </c>
      <c r="O29" s="41">
        <v>0</v>
      </c>
      <c r="P29" s="41">
        <v>0.46</v>
      </c>
      <c r="Q29" s="41">
        <v>12.91</v>
      </c>
      <c r="R29" s="38"/>
      <c r="S29" s="38"/>
      <c r="T29" s="38"/>
      <c r="U29" s="38"/>
    </row>
    <row r="30" spans="1:21" customFormat="1">
      <c r="A30" s="40" t="s">
        <v>202</v>
      </c>
      <c r="B30" s="41">
        <v>9.2100000000000009</v>
      </c>
      <c r="C30" s="41">
        <v>20.97</v>
      </c>
      <c r="D30" s="41">
        <v>19.68</v>
      </c>
      <c r="E30" s="41">
        <v>12.47</v>
      </c>
      <c r="F30" s="42">
        <v>4.26</v>
      </c>
      <c r="G30" s="41">
        <v>58.98</v>
      </c>
      <c r="H30" s="41">
        <v>25.67</v>
      </c>
      <c r="I30" s="41">
        <v>8.7200000000000006</v>
      </c>
      <c r="J30" s="41">
        <v>0.25</v>
      </c>
      <c r="K30" s="41">
        <v>202.37</v>
      </c>
      <c r="L30" s="41">
        <v>21.02</v>
      </c>
      <c r="M30" s="41">
        <v>52.35</v>
      </c>
      <c r="N30" s="41">
        <v>1.3</v>
      </c>
      <c r="O30" s="41">
        <v>0</v>
      </c>
      <c r="P30" s="41">
        <v>0.52</v>
      </c>
      <c r="Q30" s="41">
        <v>12.92</v>
      </c>
      <c r="R30" s="38"/>
      <c r="S30" s="38"/>
      <c r="T30" s="38"/>
      <c r="U30" s="38"/>
    </row>
    <row r="31" spans="1:21" customFormat="1">
      <c r="A31" s="40" t="s">
        <v>203</v>
      </c>
      <c r="B31" s="41">
        <v>9.6999999999999993</v>
      </c>
      <c r="C31" s="41">
        <v>21.13</v>
      </c>
      <c r="D31" s="41">
        <v>20.11</v>
      </c>
      <c r="E31" s="41">
        <v>12.68</v>
      </c>
      <c r="F31" s="42">
        <v>4.2</v>
      </c>
      <c r="G31" s="41">
        <v>62.12</v>
      </c>
      <c r="H31" s="41">
        <v>22.57</v>
      </c>
      <c r="I31" s="41">
        <v>10.41</v>
      </c>
      <c r="J31" s="41">
        <v>0.26</v>
      </c>
      <c r="K31" s="41">
        <v>196.7</v>
      </c>
      <c r="L31" s="41">
        <v>20.88</v>
      </c>
      <c r="M31" s="41">
        <v>52.74</v>
      </c>
      <c r="N31" s="41">
        <v>0.9</v>
      </c>
      <c r="O31" s="41">
        <v>0</v>
      </c>
      <c r="P31" s="41">
        <v>0.56999999999999995</v>
      </c>
      <c r="Q31" s="41">
        <v>12.92</v>
      </c>
      <c r="R31" s="38"/>
      <c r="S31" s="38"/>
      <c r="T31" s="38"/>
      <c r="U31" s="38"/>
    </row>
    <row r="32" spans="1:21" customFormat="1">
      <c r="A32" s="40" t="s">
        <v>204</v>
      </c>
      <c r="B32" s="41">
        <v>14.69</v>
      </c>
      <c r="C32" s="41">
        <v>22.28</v>
      </c>
      <c r="D32" s="41">
        <v>24.77</v>
      </c>
      <c r="E32" s="41">
        <v>12.41</v>
      </c>
      <c r="F32" s="42">
        <v>4.01</v>
      </c>
      <c r="G32" s="41">
        <v>62.74</v>
      </c>
      <c r="H32" s="41">
        <v>17.309999999999999</v>
      </c>
      <c r="I32" s="41">
        <v>11.28</v>
      </c>
      <c r="J32" s="41">
        <v>0.28000000000000003</v>
      </c>
      <c r="K32" s="41">
        <v>203.66</v>
      </c>
      <c r="L32" s="41">
        <v>20.46</v>
      </c>
      <c r="M32" s="41">
        <v>52.3</v>
      </c>
      <c r="N32" s="41">
        <v>0.9</v>
      </c>
      <c r="O32" s="41">
        <v>0</v>
      </c>
      <c r="P32" s="41">
        <v>0.69</v>
      </c>
      <c r="Q32" s="41">
        <v>12.93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4.8499999999999996</v>
      </c>
      <c r="C34" s="18">
        <f t="shared" si="0"/>
        <v>19.21</v>
      </c>
      <c r="D34" s="18">
        <f t="shared" si="0"/>
        <v>15.95</v>
      </c>
      <c r="E34" s="18">
        <f t="shared" si="0"/>
        <v>7.68</v>
      </c>
      <c r="F34" s="18">
        <f t="shared" si="0"/>
        <v>3.92</v>
      </c>
      <c r="G34" s="18">
        <f t="shared" si="0"/>
        <v>31.85</v>
      </c>
      <c r="H34" s="18">
        <f t="shared" si="0"/>
        <v>17.309999999999999</v>
      </c>
      <c r="I34" s="18">
        <f t="shared" si="0"/>
        <v>4.79</v>
      </c>
      <c r="J34" s="18">
        <f t="shared" si="0"/>
        <v>0.17</v>
      </c>
      <c r="K34" s="18">
        <f t="shared" si="0"/>
        <v>47.5</v>
      </c>
      <c r="L34" s="18">
        <f t="shared" si="0"/>
        <v>19.190000000000001</v>
      </c>
      <c r="M34" s="18">
        <f t="shared" si="0"/>
        <v>15.38</v>
      </c>
      <c r="N34" s="18">
        <f t="shared" si="0"/>
        <v>0.8</v>
      </c>
      <c r="O34" s="18">
        <f t="shared" si="0"/>
        <v>0</v>
      </c>
      <c r="P34" s="18">
        <f t="shared" si="0"/>
        <v>0.4</v>
      </c>
      <c r="Q34" s="18">
        <f t="shared" si="0"/>
        <v>12.89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17.27</v>
      </c>
      <c r="C35" s="3">
        <f t="shared" si="1"/>
        <v>30.6</v>
      </c>
      <c r="D35" s="3">
        <f t="shared" si="1"/>
        <v>28.73</v>
      </c>
      <c r="E35" s="3">
        <f t="shared" si="1"/>
        <v>13.33</v>
      </c>
      <c r="F35" s="3">
        <f t="shared" si="1"/>
        <v>7.16</v>
      </c>
      <c r="G35" s="3">
        <f t="shared" si="1"/>
        <v>84.38</v>
      </c>
      <c r="H35" s="3">
        <f t="shared" si="1"/>
        <v>103.62</v>
      </c>
      <c r="I35" s="3">
        <f t="shared" si="1"/>
        <v>11.28</v>
      </c>
      <c r="J35" s="3">
        <f t="shared" si="1"/>
        <v>1.95</v>
      </c>
      <c r="K35" s="3">
        <f t="shared" si="1"/>
        <v>358.81</v>
      </c>
      <c r="L35" s="3">
        <f t="shared" si="1"/>
        <v>31.7</v>
      </c>
      <c r="M35" s="3">
        <f t="shared" si="1"/>
        <v>66.92</v>
      </c>
      <c r="N35" s="3">
        <f t="shared" si="1"/>
        <v>387.1</v>
      </c>
      <c r="O35" s="3">
        <f t="shared" si="1"/>
        <v>0</v>
      </c>
      <c r="P35" s="3">
        <f t="shared" si="1"/>
        <v>0.78</v>
      </c>
      <c r="Q35" s="3">
        <f t="shared" si="1"/>
        <v>12.97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11.762083333333329</v>
      </c>
      <c r="C36" s="18">
        <f t="shared" si="2"/>
        <v>24.409999999999997</v>
      </c>
      <c r="D36" s="18">
        <f t="shared" si="2"/>
        <v>23.453749999999996</v>
      </c>
      <c r="E36" s="18">
        <f t="shared" si="2"/>
        <v>10.817083333333336</v>
      </c>
      <c r="F36" s="18">
        <f t="shared" si="2"/>
        <v>4.9137500000000003</v>
      </c>
      <c r="G36" s="18">
        <f t="shared" si="2"/>
        <v>63.835416666666653</v>
      </c>
      <c r="H36" s="18">
        <f t="shared" si="2"/>
        <v>43.387499999999996</v>
      </c>
      <c r="I36" s="18">
        <f t="shared" si="2"/>
        <v>7.7658333333333323</v>
      </c>
      <c r="J36" s="18">
        <f t="shared" si="2"/>
        <v>0.85875000000000001</v>
      </c>
      <c r="K36" s="18">
        <f t="shared" si="2"/>
        <v>151.79583333333332</v>
      </c>
      <c r="L36" s="18">
        <f t="shared" si="2"/>
        <v>25.101249999999997</v>
      </c>
      <c r="M36" s="18">
        <f t="shared" si="2"/>
        <v>41.44166666666667</v>
      </c>
      <c r="N36" s="18">
        <f t="shared" si="2"/>
        <v>111.19166666666668</v>
      </c>
      <c r="O36" s="18">
        <f t="shared" si="2"/>
        <v>0</v>
      </c>
      <c r="P36" s="18">
        <f t="shared" si="2"/>
        <v>0.59624999999999995</v>
      </c>
      <c r="Q36" s="18">
        <f t="shared" si="2"/>
        <v>12.936666666666669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4.4560305782717498</v>
      </c>
      <c r="C37" s="18">
        <f t="shared" ref="C37:Q37" si="3">STDEV(C9:C32)</f>
        <v>3.5658220590099421</v>
      </c>
      <c r="D37" s="18">
        <f t="shared" si="3"/>
        <v>4.6503163169645259</v>
      </c>
      <c r="E37" s="18">
        <f t="shared" si="3"/>
        <v>1.8216654567268458</v>
      </c>
      <c r="F37" s="18">
        <f t="shared" si="3"/>
        <v>1.0201057596492451</v>
      </c>
      <c r="G37" s="18">
        <f t="shared" si="3"/>
        <v>15.672033518387195</v>
      </c>
      <c r="H37" s="18">
        <f t="shared" si="3"/>
        <v>29.574973740294872</v>
      </c>
      <c r="I37" s="18">
        <f t="shared" si="3"/>
        <v>1.9587261092389852</v>
      </c>
      <c r="J37" s="18">
        <f t="shared" si="3"/>
        <v>0.61667631210631335</v>
      </c>
      <c r="K37" s="18">
        <f t="shared" si="3"/>
        <v>100.49809961070069</v>
      </c>
      <c r="L37" s="18">
        <f t="shared" si="3"/>
        <v>4.4561089602047854</v>
      </c>
      <c r="M37" s="18">
        <f t="shared" si="3"/>
        <v>16.930141802397131</v>
      </c>
      <c r="N37" s="18">
        <f t="shared" si="3"/>
        <v>159.44300580912693</v>
      </c>
      <c r="O37" s="18">
        <f t="shared" si="3"/>
        <v>0</v>
      </c>
      <c r="P37" s="18">
        <f t="shared" si="3"/>
        <v>0.1462818155657685</v>
      </c>
      <c r="Q37" s="18">
        <f t="shared" si="3"/>
        <v>2.5650945684180085E-2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tabSelected="1"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Q39" sqref="Q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205</v>
      </c>
      <c r="B9" s="41">
        <v>20.03</v>
      </c>
      <c r="C9" s="41">
        <v>23.59</v>
      </c>
      <c r="D9" s="41">
        <v>29.74</v>
      </c>
      <c r="E9" s="41">
        <v>12.42</v>
      </c>
      <c r="F9" s="42">
        <v>4.6500000000000004</v>
      </c>
      <c r="G9" s="41">
        <v>68.989999999999995</v>
      </c>
      <c r="H9" s="41">
        <v>21.5</v>
      </c>
      <c r="I9" s="41">
        <v>11.81</v>
      </c>
      <c r="J9" s="41">
        <v>0.67</v>
      </c>
      <c r="K9" s="41">
        <v>91.37</v>
      </c>
      <c r="L9" s="41">
        <v>21.15</v>
      </c>
      <c r="M9" s="41">
        <v>47.38</v>
      </c>
      <c r="N9" s="41">
        <v>1.1000000000000001</v>
      </c>
      <c r="O9" s="41">
        <v>0</v>
      </c>
      <c r="P9" s="41">
        <v>0.75</v>
      </c>
      <c r="Q9" s="41">
        <v>12.97</v>
      </c>
      <c r="R9" s="38"/>
      <c r="S9" s="38"/>
      <c r="T9" s="38"/>
      <c r="U9" s="38"/>
    </row>
    <row r="10" spans="1:21" customFormat="1">
      <c r="A10" s="40" t="s">
        <v>206</v>
      </c>
      <c r="B10" s="41">
        <v>20.5</v>
      </c>
      <c r="C10" s="41">
        <v>23.72</v>
      </c>
      <c r="D10" s="41">
        <v>30.11</v>
      </c>
      <c r="E10" s="41">
        <v>12.28</v>
      </c>
      <c r="F10" s="42">
        <v>5.07</v>
      </c>
      <c r="G10" s="41">
        <v>68.989999999999995</v>
      </c>
      <c r="H10" s="41">
        <v>22.27</v>
      </c>
      <c r="I10" s="41">
        <v>11.81</v>
      </c>
      <c r="J10" s="41">
        <v>0.68</v>
      </c>
      <c r="K10" s="41">
        <v>89.37</v>
      </c>
      <c r="L10" s="41">
        <v>21.72</v>
      </c>
      <c r="M10" s="41">
        <v>41.17</v>
      </c>
      <c r="N10" s="41">
        <v>1.1000000000000001</v>
      </c>
      <c r="O10" s="41">
        <v>0</v>
      </c>
      <c r="P10" s="41">
        <v>0.77</v>
      </c>
      <c r="Q10" s="41">
        <v>12.97</v>
      </c>
      <c r="R10" s="38"/>
      <c r="S10" s="38"/>
      <c r="T10" s="38"/>
      <c r="U10" s="38"/>
    </row>
    <row r="11" spans="1:21" customFormat="1">
      <c r="A11" s="40" t="s">
        <v>207</v>
      </c>
      <c r="B11" s="41">
        <v>20.25</v>
      </c>
      <c r="C11" s="41">
        <v>23.72</v>
      </c>
      <c r="D11" s="41">
        <v>29.96</v>
      </c>
      <c r="E11" s="41">
        <v>9.9</v>
      </c>
      <c r="F11" s="42">
        <v>5.15</v>
      </c>
      <c r="G11" s="41">
        <v>71.05</v>
      </c>
      <c r="H11" s="41">
        <v>26.22</v>
      </c>
      <c r="I11" s="41">
        <v>11.03</v>
      </c>
      <c r="J11" s="41">
        <v>0.26</v>
      </c>
      <c r="K11" s="41">
        <v>210.16</v>
      </c>
      <c r="L11" s="41">
        <v>20.67</v>
      </c>
      <c r="M11" s="41">
        <v>53.88</v>
      </c>
      <c r="N11" s="41">
        <v>1.6</v>
      </c>
      <c r="O11" s="41">
        <v>0</v>
      </c>
      <c r="P11" s="41">
        <v>0.77</v>
      </c>
      <c r="Q11" s="41">
        <v>12.97</v>
      </c>
      <c r="R11" s="38"/>
      <c r="S11" s="38"/>
      <c r="T11" s="38"/>
      <c r="U11" s="38"/>
    </row>
    <row r="12" spans="1:21" customFormat="1">
      <c r="A12" s="40" t="s">
        <v>208</v>
      </c>
      <c r="B12" s="41">
        <v>18.989999999999998</v>
      </c>
      <c r="C12" s="41">
        <v>23.24</v>
      </c>
      <c r="D12" s="41">
        <v>28.72</v>
      </c>
      <c r="E12" s="41">
        <v>9.7200000000000006</v>
      </c>
      <c r="F12" s="42">
        <v>5.94</v>
      </c>
      <c r="G12" s="41">
        <v>71.05</v>
      </c>
      <c r="H12" s="41">
        <v>26.22</v>
      </c>
      <c r="I12" s="41">
        <v>10.62</v>
      </c>
      <c r="J12" s="41">
        <v>0.22</v>
      </c>
      <c r="K12" s="41">
        <v>233.21</v>
      </c>
      <c r="L12" s="41">
        <v>18.28</v>
      </c>
      <c r="M12" s="41">
        <v>64.45</v>
      </c>
      <c r="N12" s="41">
        <v>1.4</v>
      </c>
      <c r="O12" s="41">
        <v>0</v>
      </c>
      <c r="P12" s="41">
        <v>0.75</v>
      </c>
      <c r="Q12" s="41">
        <v>12.97</v>
      </c>
      <c r="R12" s="38"/>
      <c r="S12" s="38"/>
      <c r="T12" s="38"/>
      <c r="U12" s="38"/>
    </row>
    <row r="13" spans="1:21" customFormat="1">
      <c r="A13" s="40" t="s">
        <v>209</v>
      </c>
      <c r="B13" s="41">
        <v>17.34</v>
      </c>
      <c r="C13" s="41">
        <v>22.27</v>
      </c>
      <c r="D13" s="41">
        <v>26.86</v>
      </c>
      <c r="E13" s="41">
        <v>9.4499999999999993</v>
      </c>
      <c r="F13" s="42">
        <v>7.16</v>
      </c>
      <c r="G13" s="41">
        <v>66.87</v>
      </c>
      <c r="H13" s="41">
        <v>21.59</v>
      </c>
      <c r="I13" s="41">
        <v>10.31</v>
      </c>
      <c r="J13" s="41">
        <v>0.25</v>
      </c>
      <c r="K13" s="41">
        <v>238.12</v>
      </c>
      <c r="L13" s="41">
        <v>18.3</v>
      </c>
      <c r="M13" s="41">
        <v>57.07</v>
      </c>
      <c r="N13" s="41">
        <v>1.1000000000000001</v>
      </c>
      <c r="O13" s="41">
        <v>0</v>
      </c>
      <c r="P13" s="41">
        <v>0.73</v>
      </c>
      <c r="Q13" s="41">
        <v>12.95</v>
      </c>
      <c r="R13" s="38"/>
      <c r="S13" s="38"/>
      <c r="T13" s="38"/>
      <c r="U13" s="38"/>
    </row>
    <row r="14" spans="1:21" customFormat="1">
      <c r="A14" s="40" t="s">
        <v>210</v>
      </c>
      <c r="B14" s="41">
        <v>19.47</v>
      </c>
      <c r="C14" s="41">
        <v>23.26</v>
      </c>
      <c r="D14" s="41">
        <v>29.12</v>
      </c>
      <c r="E14" s="41">
        <v>9.89</v>
      </c>
      <c r="F14" s="42">
        <v>6.56</v>
      </c>
      <c r="G14" s="41">
        <v>51.06</v>
      </c>
      <c r="H14" s="41">
        <v>16.440000000000001</v>
      </c>
      <c r="I14" s="41">
        <v>9.8800000000000008</v>
      </c>
      <c r="J14" s="41">
        <v>0.62</v>
      </c>
      <c r="K14" s="41">
        <v>69.64</v>
      </c>
      <c r="L14" s="41">
        <v>18.71</v>
      </c>
      <c r="M14" s="41">
        <v>50.79</v>
      </c>
      <c r="N14" s="41">
        <v>0.9</v>
      </c>
      <c r="O14" s="41">
        <v>0</v>
      </c>
      <c r="P14" s="41">
        <v>0.62</v>
      </c>
      <c r="Q14" s="41">
        <v>12.96</v>
      </c>
      <c r="R14" s="38"/>
      <c r="S14" s="38"/>
      <c r="T14" s="38"/>
      <c r="U14" s="38"/>
    </row>
    <row r="15" spans="1:21" customFormat="1">
      <c r="A15" s="40" t="s">
        <v>211</v>
      </c>
      <c r="B15" s="41">
        <v>20.77</v>
      </c>
      <c r="C15" s="41">
        <v>23.63</v>
      </c>
      <c r="D15" s="41">
        <v>30.05</v>
      </c>
      <c r="E15" s="41">
        <v>9.83</v>
      </c>
      <c r="F15" s="42">
        <v>6.36</v>
      </c>
      <c r="G15" s="41">
        <v>56.12</v>
      </c>
      <c r="H15" s="41">
        <v>16.440000000000001</v>
      </c>
      <c r="I15" s="41">
        <v>9.41</v>
      </c>
      <c r="J15" s="41">
        <v>0.53</v>
      </c>
      <c r="K15" s="41">
        <v>351.7</v>
      </c>
      <c r="L15" s="41">
        <v>18.440000000000001</v>
      </c>
      <c r="M15" s="41">
        <v>53.69</v>
      </c>
      <c r="N15" s="41">
        <v>13.6</v>
      </c>
      <c r="O15" s="41">
        <v>0</v>
      </c>
      <c r="P15" s="41">
        <v>0.61</v>
      </c>
      <c r="Q15" s="41">
        <v>12.98</v>
      </c>
      <c r="R15" s="38"/>
      <c r="S15" s="38"/>
      <c r="T15" s="38"/>
      <c r="U15" s="38"/>
    </row>
    <row r="16" spans="1:21" customFormat="1">
      <c r="A16" s="40" t="s">
        <v>212</v>
      </c>
      <c r="B16" s="41">
        <v>21.88</v>
      </c>
      <c r="C16" s="41">
        <v>24.22</v>
      </c>
      <c r="D16" s="41">
        <v>31.55</v>
      </c>
      <c r="E16" s="41">
        <v>9.81</v>
      </c>
      <c r="F16" s="42">
        <v>6.89</v>
      </c>
      <c r="G16" s="41">
        <v>66.56</v>
      </c>
      <c r="H16" s="41">
        <v>16.41</v>
      </c>
      <c r="I16" s="41">
        <v>9.59</v>
      </c>
      <c r="J16" s="41">
        <v>0.9</v>
      </c>
      <c r="K16" s="41">
        <v>61.55</v>
      </c>
      <c r="L16" s="41">
        <v>20.260000000000002</v>
      </c>
      <c r="M16" s="41">
        <v>52.95</v>
      </c>
      <c r="N16" s="41">
        <v>49.9</v>
      </c>
      <c r="O16" s="41">
        <v>0</v>
      </c>
      <c r="P16" s="41">
        <v>0.72</v>
      </c>
      <c r="Q16" s="41">
        <v>12.97</v>
      </c>
      <c r="R16" s="38"/>
      <c r="S16" s="38"/>
      <c r="T16" s="38"/>
      <c r="U16" s="38"/>
    </row>
    <row r="17" spans="1:21" customFormat="1">
      <c r="A17" s="40" t="s">
        <v>213</v>
      </c>
      <c r="B17" s="41">
        <v>21.07</v>
      </c>
      <c r="C17" s="41">
        <v>26.04</v>
      </c>
      <c r="D17" s="41">
        <v>31.42</v>
      </c>
      <c r="E17" s="41">
        <v>12.13</v>
      </c>
      <c r="F17" s="42">
        <v>5.94</v>
      </c>
      <c r="G17" s="41">
        <v>71.47</v>
      </c>
      <c r="H17" s="41">
        <v>23.94</v>
      </c>
      <c r="I17" s="41">
        <v>10.01</v>
      </c>
      <c r="J17" s="41">
        <v>1.22</v>
      </c>
      <c r="K17" s="41">
        <v>65.55</v>
      </c>
      <c r="L17" s="41">
        <v>24.69</v>
      </c>
      <c r="M17" s="41">
        <v>45.14</v>
      </c>
      <c r="N17" s="41">
        <v>254.9</v>
      </c>
      <c r="O17" s="41">
        <v>0</v>
      </c>
      <c r="P17" s="41">
        <v>0.79</v>
      </c>
      <c r="Q17" s="41">
        <v>12.96</v>
      </c>
      <c r="R17" s="38"/>
      <c r="S17" s="38"/>
      <c r="T17" s="38"/>
      <c r="U17" s="38"/>
    </row>
    <row r="18" spans="1:21" customFormat="1">
      <c r="A18" s="40" t="s">
        <v>214</v>
      </c>
      <c r="B18" s="41">
        <v>19.149999999999999</v>
      </c>
      <c r="C18" s="41">
        <v>27.22</v>
      </c>
      <c r="D18" s="41">
        <v>30.58</v>
      </c>
      <c r="E18" s="41">
        <v>13.98</v>
      </c>
      <c r="F18" s="42">
        <v>5.46</v>
      </c>
      <c r="G18" s="41">
        <v>71.47</v>
      </c>
      <c r="H18" s="41">
        <v>33.880000000000003</v>
      </c>
      <c r="I18" s="41">
        <v>10.09</v>
      </c>
      <c r="J18" s="41">
        <v>1.18</v>
      </c>
      <c r="K18" s="41">
        <v>74.77</v>
      </c>
      <c r="L18" s="41">
        <v>27.87</v>
      </c>
      <c r="M18" s="41">
        <v>33.83</v>
      </c>
      <c r="N18" s="41">
        <v>315.8</v>
      </c>
      <c r="O18" s="41">
        <v>0</v>
      </c>
      <c r="P18" s="41">
        <v>0.83</v>
      </c>
      <c r="Q18" s="41">
        <v>12.93</v>
      </c>
      <c r="R18" s="38"/>
      <c r="S18" s="38"/>
      <c r="T18" s="38"/>
      <c r="U18" s="38"/>
    </row>
    <row r="19" spans="1:21" customFormat="1">
      <c r="A19" s="40" t="s">
        <v>215</v>
      </c>
      <c r="B19" s="41">
        <v>18.39</v>
      </c>
      <c r="C19" s="41">
        <v>28.38</v>
      </c>
      <c r="D19" s="41">
        <v>30.54</v>
      </c>
      <c r="E19" s="41">
        <v>20.190000000000001</v>
      </c>
      <c r="F19" s="42">
        <v>4.59</v>
      </c>
      <c r="G19" s="41">
        <v>70.61</v>
      </c>
      <c r="H19" s="41">
        <v>38.43</v>
      </c>
      <c r="I19" s="41">
        <v>10.09</v>
      </c>
      <c r="J19" s="41">
        <v>0.96</v>
      </c>
      <c r="K19" s="41">
        <v>93.5</v>
      </c>
      <c r="L19" s="41">
        <v>30.09</v>
      </c>
      <c r="M19" s="41">
        <v>25.55</v>
      </c>
      <c r="N19" s="41">
        <v>349.7</v>
      </c>
      <c r="O19" s="41">
        <v>0</v>
      </c>
      <c r="P19" s="41">
        <v>0.86</v>
      </c>
      <c r="Q19" s="41">
        <v>12.93</v>
      </c>
      <c r="R19" s="38"/>
      <c r="S19" s="38"/>
      <c r="T19" s="38"/>
      <c r="U19" s="38"/>
    </row>
    <row r="20" spans="1:21" customFormat="1">
      <c r="A20" s="40" t="s">
        <v>216</v>
      </c>
      <c r="B20" s="41">
        <v>18.39</v>
      </c>
      <c r="C20" s="24" t="s">
        <v>14</v>
      </c>
      <c r="D20" s="41">
        <v>30.54</v>
      </c>
      <c r="E20" s="41">
        <v>20.190000000000001</v>
      </c>
      <c r="F20" s="42">
        <v>4.16</v>
      </c>
      <c r="G20" s="41">
        <v>56.98</v>
      </c>
      <c r="H20" s="41">
        <v>40.96</v>
      </c>
      <c r="I20" s="41">
        <v>10.09</v>
      </c>
      <c r="J20" s="41">
        <v>0.38</v>
      </c>
      <c r="K20" s="41">
        <v>141.26</v>
      </c>
      <c r="L20" s="41">
        <v>32.299999999999997</v>
      </c>
      <c r="M20" s="41">
        <v>19.87</v>
      </c>
      <c r="N20" s="41">
        <v>371.7</v>
      </c>
      <c r="O20" s="41">
        <v>0</v>
      </c>
      <c r="P20" s="41">
        <v>0.51</v>
      </c>
      <c r="Q20" s="24" t="s">
        <v>14</v>
      </c>
      <c r="R20" s="38"/>
      <c r="S20" s="38"/>
      <c r="T20" s="38"/>
      <c r="U20" s="38"/>
    </row>
    <row r="21" spans="1:21" customFormat="1">
      <c r="A21" s="40" t="s">
        <v>217</v>
      </c>
      <c r="B21" s="24" t="s">
        <v>14</v>
      </c>
      <c r="C21" s="24" t="s">
        <v>14</v>
      </c>
      <c r="D21" s="41">
        <v>30.54</v>
      </c>
      <c r="E21" s="41">
        <v>39.770000000000003</v>
      </c>
      <c r="F21" s="42">
        <v>4.26</v>
      </c>
      <c r="G21" s="41">
        <v>59.6</v>
      </c>
      <c r="H21" s="41">
        <v>69.12</v>
      </c>
      <c r="I21" s="41">
        <v>10.09</v>
      </c>
      <c r="J21" s="41">
        <v>0.63</v>
      </c>
      <c r="K21" s="41">
        <v>77.39</v>
      </c>
      <c r="L21" s="41">
        <v>32.79</v>
      </c>
      <c r="M21" s="41">
        <v>18.239999999999998</v>
      </c>
      <c r="N21" s="41">
        <v>381.1</v>
      </c>
      <c r="O21" s="41">
        <v>0</v>
      </c>
      <c r="P21" s="41">
        <v>0.64</v>
      </c>
      <c r="Q21" s="24" t="s">
        <v>14</v>
      </c>
      <c r="R21" s="38"/>
      <c r="S21" s="38"/>
      <c r="T21" s="38"/>
      <c r="U21" s="38"/>
    </row>
    <row r="22" spans="1:21" customFormat="1">
      <c r="A22" s="40" t="s">
        <v>218</v>
      </c>
      <c r="B22" s="24" t="s">
        <v>14</v>
      </c>
      <c r="C22" s="24" t="s">
        <v>14</v>
      </c>
      <c r="D22" s="41">
        <v>30.54</v>
      </c>
      <c r="E22" s="41">
        <v>39.770000000000003</v>
      </c>
      <c r="F22" s="42">
        <v>4.2</v>
      </c>
      <c r="G22" s="41">
        <v>59.6</v>
      </c>
      <c r="H22" s="41">
        <v>69.12</v>
      </c>
      <c r="I22" s="41">
        <v>10.09</v>
      </c>
      <c r="J22" s="41">
        <v>1.18</v>
      </c>
      <c r="K22" s="41">
        <v>0.56000000000000005</v>
      </c>
      <c r="L22" s="41">
        <v>33.369999999999997</v>
      </c>
      <c r="M22" s="41">
        <v>15.78</v>
      </c>
      <c r="N22" s="41">
        <v>365.4</v>
      </c>
      <c r="O22" s="41">
        <v>0</v>
      </c>
      <c r="P22" s="24" t="s">
        <v>14</v>
      </c>
      <c r="Q22" s="24" t="s">
        <v>14</v>
      </c>
      <c r="R22" s="38"/>
      <c r="S22" s="38"/>
      <c r="T22" s="38"/>
      <c r="U22" s="38"/>
    </row>
    <row r="23" spans="1:21" customFormat="1">
      <c r="A23" s="40" t="s">
        <v>219</v>
      </c>
      <c r="B23" s="24" t="s">
        <v>14</v>
      </c>
      <c r="C23" s="24" t="s">
        <v>14</v>
      </c>
      <c r="D23" s="41">
        <v>30.54</v>
      </c>
      <c r="E23" s="41">
        <v>39.770000000000003</v>
      </c>
      <c r="F23" s="42">
        <v>4.01</v>
      </c>
      <c r="G23" s="24" t="s">
        <v>14</v>
      </c>
      <c r="H23" s="24" t="s">
        <v>14</v>
      </c>
      <c r="I23" s="24" t="s">
        <v>14</v>
      </c>
      <c r="J23" s="24" t="s">
        <v>14</v>
      </c>
      <c r="K23" s="24" t="s">
        <v>14</v>
      </c>
      <c r="L23" s="24" t="s">
        <v>14</v>
      </c>
      <c r="M23" s="24" t="s">
        <v>14</v>
      </c>
      <c r="N23" s="24" t="s">
        <v>14</v>
      </c>
      <c r="O23" s="24" t="s">
        <v>14</v>
      </c>
      <c r="P23" s="24" t="s">
        <v>14</v>
      </c>
      <c r="Q23" s="24" t="s">
        <v>14</v>
      </c>
      <c r="R23" s="38"/>
      <c r="S23" s="38"/>
      <c r="T23" s="38"/>
      <c r="U23" s="38"/>
    </row>
    <row r="24" spans="1:21" customFormat="1">
      <c r="A24" s="40" t="s">
        <v>220</v>
      </c>
      <c r="B24" s="24" t="s">
        <v>14</v>
      </c>
      <c r="C24" s="24" t="s">
        <v>14</v>
      </c>
      <c r="D24" s="41">
        <v>30.54</v>
      </c>
      <c r="E24" s="41">
        <v>39.770000000000003</v>
      </c>
      <c r="F24" s="24" t="s">
        <v>14</v>
      </c>
      <c r="G24" s="24" t="s">
        <v>14</v>
      </c>
      <c r="H24" s="24" t="s">
        <v>14</v>
      </c>
      <c r="I24" s="24" t="s">
        <v>14</v>
      </c>
      <c r="J24" s="24" t="s">
        <v>14</v>
      </c>
      <c r="K24" s="24" t="s">
        <v>14</v>
      </c>
      <c r="L24" s="24" t="s">
        <v>14</v>
      </c>
      <c r="M24" s="24" t="s">
        <v>14</v>
      </c>
      <c r="N24" s="24" t="s">
        <v>14</v>
      </c>
      <c r="O24" s="24" t="s">
        <v>14</v>
      </c>
      <c r="P24" s="24" t="s">
        <v>14</v>
      </c>
      <c r="Q24" s="24" t="s">
        <v>14</v>
      </c>
      <c r="R24" s="38"/>
      <c r="S24" s="38"/>
      <c r="T24" s="38"/>
      <c r="U24" s="38"/>
    </row>
    <row r="25" spans="1:21" customFormat="1">
      <c r="A25" s="40" t="s">
        <v>221</v>
      </c>
      <c r="B25" s="41">
        <v>18.39</v>
      </c>
      <c r="C25" s="41">
        <v>28.38</v>
      </c>
      <c r="D25" s="41">
        <v>30.54</v>
      </c>
      <c r="E25" s="41">
        <v>13.53</v>
      </c>
      <c r="F25" s="24" t="s">
        <v>14</v>
      </c>
      <c r="G25" s="41">
        <v>51.09</v>
      </c>
      <c r="H25" s="41">
        <v>56.5</v>
      </c>
      <c r="I25" s="24" t="s">
        <v>14</v>
      </c>
      <c r="J25" s="41">
        <v>1.02</v>
      </c>
      <c r="K25" s="41">
        <v>359.55</v>
      </c>
      <c r="L25" s="41">
        <v>30.78</v>
      </c>
      <c r="M25" s="41">
        <v>20.34</v>
      </c>
      <c r="N25" s="41">
        <v>33.6</v>
      </c>
      <c r="O25" s="41">
        <v>0</v>
      </c>
      <c r="P25" s="24" t="s">
        <v>14</v>
      </c>
      <c r="Q25" s="24" t="s">
        <v>14</v>
      </c>
      <c r="R25" s="38"/>
      <c r="S25" s="38"/>
      <c r="T25" s="38"/>
      <c r="U25" s="38"/>
    </row>
    <row r="26" spans="1:21" customFormat="1">
      <c r="A26" s="40" t="s">
        <v>222</v>
      </c>
      <c r="B26" s="41">
        <v>14.6</v>
      </c>
      <c r="C26" s="41">
        <v>28.38</v>
      </c>
      <c r="D26" s="41">
        <v>30.54</v>
      </c>
      <c r="E26" s="41">
        <v>3.57</v>
      </c>
      <c r="F26" s="24" t="s">
        <v>14</v>
      </c>
      <c r="G26" s="41">
        <v>44.62</v>
      </c>
      <c r="H26" s="41">
        <v>31.64</v>
      </c>
      <c r="I26" s="24" t="s">
        <v>14</v>
      </c>
      <c r="J26" s="41">
        <v>0.15</v>
      </c>
      <c r="K26" s="41">
        <v>0.64</v>
      </c>
      <c r="L26" s="41">
        <v>30.31</v>
      </c>
      <c r="M26" s="41">
        <v>20.440000000000001</v>
      </c>
      <c r="N26" s="41">
        <v>22.9</v>
      </c>
      <c r="O26" s="41">
        <v>0</v>
      </c>
      <c r="P26" s="24" t="s">
        <v>14</v>
      </c>
      <c r="Q26" s="24" t="s">
        <v>14</v>
      </c>
      <c r="R26" s="38"/>
      <c r="S26" s="38"/>
      <c r="T26" s="38"/>
      <c r="U26" s="38"/>
    </row>
    <row r="27" spans="1:21" customFormat="1">
      <c r="A27" s="40" t="s">
        <v>223</v>
      </c>
      <c r="B27" s="41">
        <v>15.6</v>
      </c>
      <c r="C27" s="41">
        <v>28.38</v>
      </c>
      <c r="D27" s="41">
        <v>30.54</v>
      </c>
      <c r="E27" s="41">
        <v>7.87</v>
      </c>
      <c r="F27" s="24" t="s">
        <v>14</v>
      </c>
      <c r="G27" s="41">
        <v>50.98</v>
      </c>
      <c r="H27" s="41">
        <v>31.64</v>
      </c>
      <c r="I27" s="24" t="s">
        <v>14</v>
      </c>
      <c r="J27" s="41">
        <v>0.49</v>
      </c>
      <c r="K27" s="41">
        <v>65.42</v>
      </c>
      <c r="L27" s="41">
        <v>27.56</v>
      </c>
      <c r="M27" s="41">
        <v>27.26</v>
      </c>
      <c r="N27" s="41">
        <v>1.3</v>
      </c>
      <c r="O27" s="41">
        <v>0</v>
      </c>
      <c r="P27" s="24" t="s">
        <v>14</v>
      </c>
      <c r="Q27" s="24" t="s">
        <v>14</v>
      </c>
      <c r="R27" s="38"/>
      <c r="S27" s="38"/>
      <c r="T27" s="38"/>
      <c r="U27" s="38"/>
    </row>
    <row r="28" spans="1:21" customFormat="1">
      <c r="A28" s="40" t="s">
        <v>224</v>
      </c>
      <c r="B28" s="41">
        <v>12.5</v>
      </c>
      <c r="C28" s="41">
        <v>20.6</v>
      </c>
      <c r="D28" s="41">
        <v>30.54</v>
      </c>
      <c r="E28" s="41">
        <v>7.87</v>
      </c>
      <c r="F28" s="24" t="s">
        <v>14</v>
      </c>
      <c r="G28" s="41">
        <v>50.98</v>
      </c>
      <c r="H28" s="41">
        <v>24.21</v>
      </c>
      <c r="I28" s="24" t="s">
        <v>14</v>
      </c>
      <c r="J28" s="41">
        <v>0.26</v>
      </c>
      <c r="K28" s="41">
        <v>164.75</v>
      </c>
      <c r="L28" s="41">
        <v>23.71</v>
      </c>
      <c r="M28" s="41">
        <v>44.78</v>
      </c>
      <c r="N28" s="41">
        <v>1.5</v>
      </c>
      <c r="O28" s="41">
        <v>0</v>
      </c>
      <c r="P28" s="24" t="s">
        <v>14</v>
      </c>
      <c r="Q28" s="24" t="s">
        <v>14</v>
      </c>
      <c r="R28" s="38"/>
      <c r="S28" s="38"/>
      <c r="T28" s="38"/>
      <c r="U28" s="38"/>
    </row>
    <row r="29" spans="1:21" customFormat="1">
      <c r="A29" s="40" t="s">
        <v>225</v>
      </c>
      <c r="B29" s="41">
        <v>12.6</v>
      </c>
      <c r="C29" s="41">
        <v>21.5</v>
      </c>
      <c r="D29" s="41">
        <v>30.54</v>
      </c>
      <c r="E29" s="41">
        <v>5.84</v>
      </c>
      <c r="F29" s="24" t="s">
        <v>14</v>
      </c>
      <c r="G29" s="41">
        <v>173.26</v>
      </c>
      <c r="H29" s="41">
        <v>30.42</v>
      </c>
      <c r="I29" s="24" t="s">
        <v>14</v>
      </c>
      <c r="J29" s="41">
        <v>0.27</v>
      </c>
      <c r="K29" s="41">
        <v>164.73</v>
      </c>
      <c r="L29" s="41">
        <v>23.6</v>
      </c>
      <c r="M29" s="41">
        <v>49.92</v>
      </c>
      <c r="N29" s="41">
        <v>1.5</v>
      </c>
      <c r="O29" s="41">
        <v>0</v>
      </c>
      <c r="P29" s="24" t="s">
        <v>14</v>
      </c>
      <c r="Q29" s="24" t="s">
        <v>14</v>
      </c>
      <c r="R29" s="38"/>
      <c r="S29" s="38"/>
      <c r="T29" s="38"/>
      <c r="U29" s="38"/>
    </row>
    <row r="30" spans="1:21" customFormat="1">
      <c r="A30" s="40" t="s">
        <v>226</v>
      </c>
      <c r="B30" s="41">
        <v>23.6</v>
      </c>
      <c r="C30" s="41">
        <v>12.6</v>
      </c>
      <c r="D30" s="41">
        <v>30.54</v>
      </c>
      <c r="E30" s="41">
        <v>10.6</v>
      </c>
      <c r="F30" s="24" t="s">
        <v>14</v>
      </c>
      <c r="G30" s="41">
        <v>209.62</v>
      </c>
      <c r="H30" s="41">
        <v>28.68</v>
      </c>
      <c r="I30" s="24" t="s">
        <v>14</v>
      </c>
      <c r="J30" s="41">
        <v>0.23</v>
      </c>
      <c r="K30" s="41">
        <v>241.72</v>
      </c>
      <c r="L30" s="41">
        <v>22.51</v>
      </c>
      <c r="M30" s="41">
        <v>53.48</v>
      </c>
      <c r="N30" s="41">
        <v>1.3</v>
      </c>
      <c r="O30" s="41">
        <v>0</v>
      </c>
      <c r="P30" s="24" t="s">
        <v>14</v>
      </c>
      <c r="Q30" s="24" t="s">
        <v>14</v>
      </c>
      <c r="R30" s="38"/>
      <c r="S30" s="38"/>
      <c r="T30" s="38"/>
      <c r="U30" s="38"/>
    </row>
    <row r="31" spans="1:21" customFormat="1">
      <c r="A31" s="40" t="s">
        <v>227</v>
      </c>
      <c r="B31" s="41">
        <v>23.6</v>
      </c>
      <c r="C31" s="41">
        <v>23.6</v>
      </c>
      <c r="D31" s="41">
        <v>30.54</v>
      </c>
      <c r="E31" s="41">
        <v>0.12</v>
      </c>
      <c r="F31" s="24" t="s">
        <v>14</v>
      </c>
      <c r="G31" s="41">
        <v>127.2</v>
      </c>
      <c r="H31" s="41">
        <v>28.68</v>
      </c>
      <c r="I31" s="24" t="s">
        <v>14</v>
      </c>
      <c r="J31" s="41">
        <v>0.22</v>
      </c>
      <c r="K31" s="41">
        <v>133.88</v>
      </c>
      <c r="L31" s="41">
        <v>21.06</v>
      </c>
      <c r="M31" s="41">
        <v>59.18</v>
      </c>
      <c r="N31" s="41">
        <v>1.5</v>
      </c>
      <c r="O31" s="41">
        <v>0</v>
      </c>
      <c r="P31" s="24" t="s">
        <v>14</v>
      </c>
      <c r="Q31" s="24" t="s">
        <v>14</v>
      </c>
      <c r="R31" s="38"/>
      <c r="S31" s="38"/>
      <c r="T31" s="38"/>
      <c r="U31" s="38"/>
    </row>
    <row r="32" spans="1:21" customFormat="1">
      <c r="A32" s="40" t="s">
        <v>228</v>
      </c>
      <c r="B32" s="41">
        <v>23.6</v>
      </c>
      <c r="C32" s="41">
        <v>23.6</v>
      </c>
      <c r="D32" s="41">
        <v>30.54</v>
      </c>
      <c r="E32" s="41">
        <v>6.61</v>
      </c>
      <c r="F32" s="24" t="s">
        <v>14</v>
      </c>
      <c r="G32" s="41">
        <v>86.64</v>
      </c>
      <c r="H32" s="41">
        <v>23.68</v>
      </c>
      <c r="I32" s="24" t="s">
        <v>14</v>
      </c>
      <c r="J32" s="41">
        <v>0.21</v>
      </c>
      <c r="K32" s="41">
        <v>193.97</v>
      </c>
      <c r="L32" s="41">
        <v>20.5</v>
      </c>
      <c r="M32" s="41">
        <v>61.41</v>
      </c>
      <c r="N32" s="41">
        <v>1.1000000000000001</v>
      </c>
      <c r="O32" s="41">
        <v>0</v>
      </c>
      <c r="P32" s="24" t="s">
        <v>14</v>
      </c>
      <c r="Q32" s="24" t="s">
        <v>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12.5</v>
      </c>
      <c r="C34" s="18">
        <f t="shared" si="0"/>
        <v>12.6</v>
      </c>
      <c r="D34" s="18">
        <f t="shared" si="0"/>
        <v>26.86</v>
      </c>
      <c r="E34" s="18">
        <f t="shared" si="0"/>
        <v>0.12</v>
      </c>
      <c r="F34" s="18">
        <f t="shared" si="0"/>
        <v>4.01</v>
      </c>
      <c r="G34" s="18">
        <f t="shared" si="0"/>
        <v>44.62</v>
      </c>
      <c r="H34" s="18">
        <f t="shared" si="0"/>
        <v>16.41</v>
      </c>
      <c r="I34" s="18">
        <f t="shared" si="0"/>
        <v>9.41</v>
      </c>
      <c r="J34" s="18">
        <f t="shared" si="0"/>
        <v>0.15</v>
      </c>
      <c r="K34" s="18">
        <f t="shared" si="0"/>
        <v>0.56000000000000005</v>
      </c>
      <c r="L34" s="18">
        <f t="shared" si="0"/>
        <v>18.28</v>
      </c>
      <c r="M34" s="18">
        <f t="shared" si="0"/>
        <v>15.78</v>
      </c>
      <c r="N34" s="18">
        <f t="shared" si="0"/>
        <v>0.9</v>
      </c>
      <c r="O34" s="18">
        <f t="shared" si="0"/>
        <v>0</v>
      </c>
      <c r="P34" s="18">
        <f t="shared" si="0"/>
        <v>0.51</v>
      </c>
      <c r="Q34" s="18">
        <f t="shared" si="0"/>
        <v>12.93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23.6</v>
      </c>
      <c r="C35" s="3">
        <f t="shared" si="1"/>
        <v>28.38</v>
      </c>
      <c r="D35" s="3">
        <f t="shared" si="1"/>
        <v>31.55</v>
      </c>
      <c r="E35" s="3">
        <f t="shared" si="1"/>
        <v>39.770000000000003</v>
      </c>
      <c r="F35" s="3">
        <f t="shared" si="1"/>
        <v>7.16</v>
      </c>
      <c r="G35" s="3">
        <f t="shared" si="1"/>
        <v>209.62</v>
      </c>
      <c r="H35" s="3">
        <f t="shared" si="1"/>
        <v>69.12</v>
      </c>
      <c r="I35" s="3">
        <f t="shared" si="1"/>
        <v>11.81</v>
      </c>
      <c r="J35" s="3">
        <f t="shared" si="1"/>
        <v>1.22</v>
      </c>
      <c r="K35" s="3">
        <f t="shared" si="1"/>
        <v>359.55</v>
      </c>
      <c r="L35" s="3">
        <f t="shared" si="1"/>
        <v>33.369999999999997</v>
      </c>
      <c r="M35" s="3">
        <f t="shared" si="1"/>
        <v>64.45</v>
      </c>
      <c r="N35" s="3">
        <f t="shared" si="1"/>
        <v>381.1</v>
      </c>
      <c r="O35" s="3">
        <f t="shared" si="1"/>
        <v>0</v>
      </c>
      <c r="P35" s="3">
        <f t="shared" si="1"/>
        <v>0.86</v>
      </c>
      <c r="Q35" s="3">
        <f t="shared" si="1"/>
        <v>12.98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19.036000000000005</v>
      </c>
      <c r="C36" s="18">
        <f t="shared" si="2"/>
        <v>24.017368421052634</v>
      </c>
      <c r="D36" s="18">
        <f t="shared" si="2"/>
        <v>30.236249999999998</v>
      </c>
      <c r="E36" s="18">
        <f t="shared" si="2"/>
        <v>15.203333333333333</v>
      </c>
      <c r="F36" s="18">
        <f t="shared" si="2"/>
        <v>5.36</v>
      </c>
      <c r="G36" s="18">
        <f t="shared" si="2"/>
        <v>77.491363636363658</v>
      </c>
      <c r="H36" s="18">
        <f t="shared" si="2"/>
        <v>31.726818181818171</v>
      </c>
      <c r="I36" s="18">
        <f t="shared" si="2"/>
        <v>10.351428571428572</v>
      </c>
      <c r="J36" s="18">
        <f t="shared" si="2"/>
        <v>0.56954545454545458</v>
      </c>
      <c r="K36" s="18">
        <f t="shared" si="2"/>
        <v>141.94590909090905</v>
      </c>
      <c r="L36" s="18">
        <f t="shared" si="2"/>
        <v>24.484999999999999</v>
      </c>
      <c r="M36" s="18">
        <f t="shared" si="2"/>
        <v>41.663636363636357</v>
      </c>
      <c r="N36" s="18">
        <f t="shared" si="2"/>
        <v>98.818181818181841</v>
      </c>
      <c r="O36" s="18">
        <f t="shared" si="2"/>
        <v>0</v>
      </c>
      <c r="P36" s="18">
        <f t="shared" si="2"/>
        <v>0.71923076923076923</v>
      </c>
      <c r="Q36" s="18">
        <f t="shared" si="2"/>
        <v>12.96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3.2629102282923026</v>
      </c>
      <c r="C37" s="18">
        <f t="shared" ref="C37:Q37" si="3">STDEV(C9:C32)</f>
        <v>3.6816373804558049</v>
      </c>
      <c r="D37" s="18">
        <f t="shared" si="3"/>
        <v>0.92910341306762656</v>
      </c>
      <c r="E37" s="18">
        <f t="shared" si="3"/>
        <v>12.022521137130672</v>
      </c>
      <c r="F37" s="18">
        <f t="shared" si="3"/>
        <v>1.0605591517146582</v>
      </c>
      <c r="G37" s="18">
        <f t="shared" si="3"/>
        <v>40.92006799503897</v>
      </c>
      <c r="H37" s="18">
        <f t="shared" si="3"/>
        <v>15.128987435466769</v>
      </c>
      <c r="I37" s="18">
        <f t="shared" si="3"/>
        <v>0.73042513587696256</v>
      </c>
      <c r="J37" s="18">
        <f t="shared" si="3"/>
        <v>0.36211649365688237</v>
      </c>
      <c r="K37" s="18">
        <f t="shared" si="3"/>
        <v>99.291986904381758</v>
      </c>
      <c r="L37" s="18">
        <f t="shared" si="3"/>
        <v>5.1899011367774497</v>
      </c>
      <c r="M37" s="18">
        <f t="shared" si="3"/>
        <v>15.957659914809255</v>
      </c>
      <c r="N37" s="18">
        <f t="shared" si="3"/>
        <v>153.28574510919023</v>
      </c>
      <c r="O37" s="18">
        <f t="shared" si="3"/>
        <v>0</v>
      </c>
      <c r="P37" s="18">
        <f t="shared" si="3"/>
        <v>9.8358319294094346E-2</v>
      </c>
      <c r="Q37" s="18">
        <f t="shared" si="3"/>
        <v>1.6733200530681898E-2</v>
      </c>
      <c r="R37" s="18"/>
      <c r="S37" s="18"/>
      <c r="T37" s="18"/>
      <c r="U37" s="18"/>
    </row>
    <row r="38" spans="1:21">
      <c r="A38" s="34" t="s">
        <v>52</v>
      </c>
      <c r="B38" s="34">
        <f>COUNT(B9:B32)+4</f>
        <v>24</v>
      </c>
      <c r="C38" s="34">
        <f>COUNT(C9:C32)+5</f>
        <v>24</v>
      </c>
      <c r="D38" s="34">
        <f t="shared" ref="D38:E38" si="4">COUNT(D9:D32)</f>
        <v>24</v>
      </c>
      <c r="E38" s="34">
        <f t="shared" si="4"/>
        <v>24</v>
      </c>
      <c r="F38" s="34">
        <f>COUNT(F9:F32)+9</f>
        <v>24</v>
      </c>
      <c r="G38" s="34">
        <f>COUNT(G9:G32)+2</f>
        <v>24</v>
      </c>
      <c r="H38" s="34">
        <f>COUNT(H9:H32)+2</f>
        <v>24</v>
      </c>
      <c r="I38" s="34">
        <f>COUNT(I9:I32)+10</f>
        <v>24</v>
      </c>
      <c r="J38" s="34">
        <f>COUNT(J9:J32)+2</f>
        <v>24</v>
      </c>
      <c r="K38" s="34">
        <f t="shared" ref="K38:O38" si="5">COUNT(K9:K32)+2</f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>COUNT(P9:P32)+11</f>
        <v>24</v>
      </c>
      <c r="Q38" s="34">
        <f>COUNT(Q9:Q32)+13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Q39" sqref="Q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229</v>
      </c>
      <c r="B9" s="24" t="s">
        <v>14</v>
      </c>
      <c r="C9" s="24" t="s">
        <v>14</v>
      </c>
      <c r="D9" s="24" t="s">
        <v>14</v>
      </c>
      <c r="E9" s="41">
        <v>8.91</v>
      </c>
      <c r="F9" s="42">
        <v>4.29</v>
      </c>
      <c r="G9" s="41">
        <v>108.9</v>
      </c>
      <c r="H9" s="41">
        <v>22.03</v>
      </c>
      <c r="I9" s="24" t="s">
        <v>14</v>
      </c>
      <c r="J9" s="41">
        <v>0.23</v>
      </c>
      <c r="K9" s="41">
        <v>157.58000000000001</v>
      </c>
      <c r="L9" s="41">
        <v>20.46</v>
      </c>
      <c r="M9" s="41">
        <v>56.37</v>
      </c>
      <c r="N9" s="41">
        <v>1.2</v>
      </c>
      <c r="O9" s="41">
        <v>0</v>
      </c>
      <c r="P9" s="41">
        <v>0.95</v>
      </c>
      <c r="Q9" s="24" t="s">
        <v>14</v>
      </c>
      <c r="R9" s="38"/>
      <c r="S9" s="38"/>
      <c r="T9" s="38"/>
      <c r="U9" s="38"/>
    </row>
    <row r="10" spans="1:21" customFormat="1">
      <c r="A10" s="40" t="s">
        <v>230</v>
      </c>
      <c r="B10" s="24" t="s">
        <v>14</v>
      </c>
      <c r="C10" s="24" t="s">
        <v>14</v>
      </c>
      <c r="D10" s="24" t="s">
        <v>14</v>
      </c>
      <c r="E10" s="41">
        <v>1.52</v>
      </c>
      <c r="F10" s="42">
        <v>4.1900000000000004</v>
      </c>
      <c r="G10" s="41">
        <v>108.9</v>
      </c>
      <c r="H10" s="41">
        <v>22.03</v>
      </c>
      <c r="I10" s="24" t="s">
        <v>14</v>
      </c>
      <c r="J10" s="41">
        <v>0.22</v>
      </c>
      <c r="K10" s="41">
        <v>178.25</v>
      </c>
      <c r="L10" s="41">
        <v>19.940000000000001</v>
      </c>
      <c r="M10" s="41">
        <v>54.63</v>
      </c>
      <c r="N10" s="41">
        <v>1</v>
      </c>
      <c r="O10" s="41">
        <v>0</v>
      </c>
      <c r="P10" s="41">
        <v>0.95</v>
      </c>
      <c r="Q10" s="24" t="s">
        <v>14</v>
      </c>
      <c r="R10" s="38"/>
      <c r="S10" s="38"/>
      <c r="T10" s="38"/>
      <c r="U10" s="38"/>
    </row>
    <row r="11" spans="1:21" customFormat="1">
      <c r="A11" s="40" t="s">
        <v>231</v>
      </c>
      <c r="B11" s="24" t="s">
        <v>14</v>
      </c>
      <c r="C11" s="24" t="s">
        <v>14</v>
      </c>
      <c r="D11" s="24" t="s">
        <v>14</v>
      </c>
      <c r="E11" s="41">
        <v>6.47</v>
      </c>
      <c r="F11" s="42">
        <v>4.2300000000000004</v>
      </c>
      <c r="G11" s="41">
        <v>80.11</v>
      </c>
      <c r="H11" s="41">
        <v>25.94</v>
      </c>
      <c r="I11" s="24" t="s">
        <v>14</v>
      </c>
      <c r="J11" s="41">
        <v>0.43</v>
      </c>
      <c r="K11" s="41">
        <v>169.54</v>
      </c>
      <c r="L11" s="41">
        <v>21.04</v>
      </c>
      <c r="M11" s="41">
        <v>48.5</v>
      </c>
      <c r="N11" s="41">
        <v>1.2</v>
      </c>
      <c r="O11" s="41">
        <v>0</v>
      </c>
      <c r="P11" s="41">
        <v>0.91</v>
      </c>
      <c r="Q11" s="24" t="s">
        <v>14</v>
      </c>
      <c r="R11" s="38"/>
      <c r="S11" s="38"/>
      <c r="T11" s="38"/>
      <c r="U11" s="38"/>
    </row>
    <row r="12" spans="1:21" customFormat="1">
      <c r="A12" s="40" t="s">
        <v>232</v>
      </c>
      <c r="B12" s="24" t="s">
        <v>14</v>
      </c>
      <c r="C12" s="24" t="s">
        <v>14</v>
      </c>
      <c r="D12" s="24" t="s">
        <v>14</v>
      </c>
      <c r="E12" s="24" t="s">
        <v>14</v>
      </c>
      <c r="F12" s="42">
        <v>4.26</v>
      </c>
      <c r="G12" s="41">
        <v>69.2</v>
      </c>
      <c r="H12" s="41">
        <v>25.94</v>
      </c>
      <c r="I12" s="24" t="s">
        <v>14</v>
      </c>
      <c r="J12" s="41">
        <v>0.22</v>
      </c>
      <c r="K12" s="41">
        <v>179.61</v>
      </c>
      <c r="L12" s="41">
        <v>20.16</v>
      </c>
      <c r="M12" s="41">
        <v>53.1</v>
      </c>
      <c r="N12" s="41">
        <v>1.3</v>
      </c>
      <c r="O12" s="41">
        <v>0</v>
      </c>
      <c r="P12" s="41">
        <v>0.89</v>
      </c>
      <c r="Q12" s="24" t="s">
        <v>14</v>
      </c>
      <c r="R12" s="38"/>
      <c r="S12" s="38"/>
      <c r="T12" s="38"/>
      <c r="U12" s="38"/>
    </row>
    <row r="13" spans="1:21" customFormat="1">
      <c r="A13" s="40" t="s">
        <v>233</v>
      </c>
      <c r="B13" s="24" t="s">
        <v>14</v>
      </c>
      <c r="C13" s="24" t="s">
        <v>14</v>
      </c>
      <c r="D13" s="24" t="s">
        <v>14</v>
      </c>
      <c r="E13" s="41">
        <v>10.57</v>
      </c>
      <c r="F13" s="42">
        <v>4.0999999999999996</v>
      </c>
      <c r="G13" s="41">
        <v>52.61</v>
      </c>
      <c r="H13" s="41">
        <v>21.06</v>
      </c>
      <c r="I13" s="24" t="s">
        <v>14</v>
      </c>
      <c r="J13" s="41">
        <v>0.56000000000000005</v>
      </c>
      <c r="K13" s="41">
        <v>69.22</v>
      </c>
      <c r="L13" s="41">
        <v>20.05</v>
      </c>
      <c r="M13" s="41">
        <v>52.63</v>
      </c>
      <c r="N13" s="41">
        <v>1.1000000000000001</v>
      </c>
      <c r="O13" s="41">
        <v>0</v>
      </c>
      <c r="P13" s="41">
        <v>0.82</v>
      </c>
      <c r="Q13" s="24" t="s">
        <v>14</v>
      </c>
      <c r="R13" s="38"/>
      <c r="S13" s="38"/>
      <c r="T13" s="38"/>
      <c r="U13" s="38"/>
    </row>
    <row r="14" spans="1:21" customFormat="1">
      <c r="A14" s="40" t="s">
        <v>234</v>
      </c>
      <c r="B14" s="24" t="s">
        <v>14</v>
      </c>
      <c r="C14" s="24" t="s">
        <v>14</v>
      </c>
      <c r="D14" s="24" t="s">
        <v>14</v>
      </c>
      <c r="E14" s="24" t="s">
        <v>14</v>
      </c>
      <c r="F14" s="42">
        <v>4.01</v>
      </c>
      <c r="G14" s="41">
        <v>51.43</v>
      </c>
      <c r="H14" s="41">
        <v>20.96</v>
      </c>
      <c r="I14" s="24" t="s">
        <v>14</v>
      </c>
      <c r="J14" s="41">
        <v>0.16</v>
      </c>
      <c r="K14" s="41">
        <v>91.87</v>
      </c>
      <c r="L14" s="41">
        <v>19.14</v>
      </c>
      <c r="M14" s="41">
        <v>56.3</v>
      </c>
      <c r="N14" s="41">
        <v>1.2</v>
      </c>
      <c r="O14" s="41">
        <v>0</v>
      </c>
      <c r="P14" s="41">
        <v>0.8</v>
      </c>
      <c r="Q14" s="24" t="s">
        <v>14</v>
      </c>
      <c r="R14" s="38"/>
      <c r="S14" s="38"/>
      <c r="T14" s="38"/>
      <c r="U14" s="38"/>
    </row>
    <row r="15" spans="1:21" customFormat="1">
      <c r="A15" s="40" t="s">
        <v>235</v>
      </c>
      <c r="B15" s="24" t="s">
        <v>14</v>
      </c>
      <c r="C15" s="24" t="s">
        <v>14</v>
      </c>
      <c r="D15" s="24" t="s">
        <v>14</v>
      </c>
      <c r="E15" s="41">
        <v>6.16</v>
      </c>
      <c r="F15" s="42">
        <v>3.92</v>
      </c>
      <c r="G15" s="41">
        <v>68.08</v>
      </c>
      <c r="H15" s="41">
        <v>16.82</v>
      </c>
      <c r="I15" s="24" t="s">
        <v>14</v>
      </c>
      <c r="J15" s="41">
        <v>0.43</v>
      </c>
      <c r="K15" s="41">
        <v>51.39</v>
      </c>
      <c r="L15" s="41">
        <v>18.93</v>
      </c>
      <c r="M15" s="41">
        <v>58.01</v>
      </c>
      <c r="N15" s="41">
        <v>13.6</v>
      </c>
      <c r="O15" s="41">
        <v>0</v>
      </c>
      <c r="P15" s="41">
        <v>0.88</v>
      </c>
      <c r="Q15" s="24" t="s">
        <v>14</v>
      </c>
      <c r="R15" s="38"/>
      <c r="S15" s="38"/>
      <c r="T15" s="38"/>
      <c r="U15" s="38"/>
    </row>
    <row r="16" spans="1:21" customFormat="1">
      <c r="A16" s="40" t="s">
        <v>236</v>
      </c>
      <c r="B16" s="24" t="s">
        <v>14</v>
      </c>
      <c r="C16" s="24" t="s">
        <v>14</v>
      </c>
      <c r="D16" s="24" t="s">
        <v>14</v>
      </c>
      <c r="E16" s="24" t="s">
        <v>14</v>
      </c>
      <c r="F16" s="42">
        <v>4.0599999999999996</v>
      </c>
      <c r="G16" s="41">
        <v>95.06</v>
      </c>
      <c r="H16" s="41">
        <v>21.17</v>
      </c>
      <c r="I16" s="24" t="s">
        <v>14</v>
      </c>
      <c r="J16" s="41">
        <v>1.02</v>
      </c>
      <c r="K16" s="41">
        <v>51.86</v>
      </c>
      <c r="L16" s="41">
        <v>21.42</v>
      </c>
      <c r="M16" s="41">
        <v>53.57</v>
      </c>
      <c r="N16" s="41">
        <v>55.7</v>
      </c>
      <c r="O16" s="41">
        <v>0</v>
      </c>
      <c r="P16" s="41">
        <v>0.9</v>
      </c>
      <c r="Q16" s="24" t="s">
        <v>14</v>
      </c>
      <c r="R16" s="38"/>
      <c r="S16" s="38"/>
      <c r="T16" s="38"/>
      <c r="U16" s="38"/>
    </row>
    <row r="17" spans="1:21" customFormat="1">
      <c r="A17" s="40" t="s">
        <v>237</v>
      </c>
      <c r="B17" s="24" t="s">
        <v>14</v>
      </c>
      <c r="C17" s="24" t="s">
        <v>14</v>
      </c>
      <c r="D17" s="24" t="s">
        <v>14</v>
      </c>
      <c r="E17" s="41">
        <v>5.43</v>
      </c>
      <c r="F17" s="42">
        <v>4.47</v>
      </c>
      <c r="G17" s="41">
        <v>110.75</v>
      </c>
      <c r="H17" s="41">
        <v>25.36</v>
      </c>
      <c r="I17" s="24" t="s">
        <v>14</v>
      </c>
      <c r="J17" s="41">
        <v>1.37</v>
      </c>
      <c r="K17" s="41">
        <v>57.22</v>
      </c>
      <c r="L17" s="41">
        <v>23.78</v>
      </c>
      <c r="M17" s="41">
        <v>44.63</v>
      </c>
      <c r="N17" s="41">
        <v>222.2</v>
      </c>
      <c r="O17" s="41">
        <v>0</v>
      </c>
      <c r="P17" s="41">
        <v>0.96</v>
      </c>
      <c r="Q17" s="24" t="s">
        <v>14</v>
      </c>
      <c r="R17" s="38"/>
      <c r="S17" s="38"/>
      <c r="T17" s="38"/>
      <c r="U17" s="38"/>
    </row>
    <row r="18" spans="1:21" customFormat="1">
      <c r="A18" s="40" t="s">
        <v>238</v>
      </c>
      <c r="B18" s="24" t="s">
        <v>14</v>
      </c>
      <c r="C18" s="24" t="s">
        <v>14</v>
      </c>
      <c r="D18" s="24" t="s">
        <v>14</v>
      </c>
      <c r="E18" s="41">
        <v>8.08</v>
      </c>
      <c r="F18" s="42">
        <v>4.6500000000000004</v>
      </c>
      <c r="G18" s="41">
        <v>150.65</v>
      </c>
      <c r="H18" s="41">
        <v>33.21</v>
      </c>
      <c r="I18" s="24" t="s">
        <v>14</v>
      </c>
      <c r="J18" s="41">
        <v>0.97</v>
      </c>
      <c r="K18" s="41">
        <v>65.3</v>
      </c>
      <c r="L18" s="41">
        <v>27.49</v>
      </c>
      <c r="M18" s="41">
        <v>30.84</v>
      </c>
      <c r="N18" s="41">
        <v>290.7</v>
      </c>
      <c r="O18" s="41">
        <v>0</v>
      </c>
      <c r="P18" s="41">
        <v>1.0900000000000001</v>
      </c>
      <c r="Q18" s="24" t="s">
        <v>14</v>
      </c>
      <c r="R18" s="38"/>
      <c r="S18" s="38"/>
      <c r="T18" s="38"/>
      <c r="U18" s="38"/>
    </row>
    <row r="19" spans="1:21" customFormat="1">
      <c r="A19" s="40" t="s">
        <v>239</v>
      </c>
      <c r="B19" s="24" t="s">
        <v>14</v>
      </c>
      <c r="C19" s="24" t="s">
        <v>14</v>
      </c>
      <c r="D19" s="24" t="s">
        <v>14</v>
      </c>
      <c r="E19" s="41">
        <v>10.23</v>
      </c>
      <c r="F19" s="42">
        <v>5.07</v>
      </c>
      <c r="G19" s="41">
        <v>174.4</v>
      </c>
      <c r="H19" s="41">
        <v>33.21</v>
      </c>
      <c r="I19" s="24" t="s">
        <v>14</v>
      </c>
      <c r="J19" s="41">
        <v>0.8</v>
      </c>
      <c r="K19" s="41">
        <v>0.28999999999999998</v>
      </c>
      <c r="L19" s="41">
        <v>28.31</v>
      </c>
      <c r="M19" s="41">
        <v>27.21</v>
      </c>
      <c r="N19" s="41">
        <v>246.7</v>
      </c>
      <c r="O19" s="41">
        <v>0</v>
      </c>
      <c r="P19" s="41">
        <v>1.17</v>
      </c>
      <c r="Q19" s="24" t="s">
        <v>14</v>
      </c>
      <c r="R19" s="38"/>
      <c r="S19" s="38"/>
      <c r="T19" s="38"/>
      <c r="U19" s="38"/>
    </row>
    <row r="20" spans="1:21" customFormat="1">
      <c r="A20" s="40" t="s">
        <v>240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 t="s">
        <v>4</v>
      </c>
      <c r="I20" s="8" t="s">
        <v>4</v>
      </c>
      <c r="J20" s="8" t="s">
        <v>4</v>
      </c>
      <c r="K20" s="8" t="s">
        <v>4</v>
      </c>
      <c r="L20" s="8" t="s">
        <v>4</v>
      </c>
      <c r="M20" s="8" t="s">
        <v>4</v>
      </c>
      <c r="N20" s="8" t="s">
        <v>4</v>
      </c>
      <c r="O20" s="8" t="s">
        <v>4</v>
      </c>
      <c r="P20" s="8" t="s">
        <v>4</v>
      </c>
      <c r="Q20" s="8" t="s">
        <v>4</v>
      </c>
      <c r="R20" s="38"/>
      <c r="S20" s="38"/>
      <c r="T20" s="38"/>
      <c r="U20" s="38"/>
    </row>
    <row r="21" spans="1:21" customFormat="1">
      <c r="A21" s="40" t="s">
        <v>241</v>
      </c>
      <c r="B21" s="41">
        <v>3.3</v>
      </c>
      <c r="C21" s="41">
        <v>23.9</v>
      </c>
      <c r="D21" s="41">
        <v>16.48</v>
      </c>
      <c r="E21" s="41">
        <v>38.520000000000003</v>
      </c>
      <c r="F21" s="42">
        <v>5.94</v>
      </c>
      <c r="G21" s="41">
        <v>17.32</v>
      </c>
      <c r="H21" s="41">
        <v>0</v>
      </c>
      <c r="I21" s="41">
        <v>5.05</v>
      </c>
      <c r="J21" s="41">
        <v>1.32</v>
      </c>
      <c r="K21" s="41">
        <v>72.790000000000006</v>
      </c>
      <c r="L21" s="41">
        <v>32.229999999999997</v>
      </c>
      <c r="M21" s="41">
        <v>22.06</v>
      </c>
      <c r="N21" s="41">
        <v>363.7</v>
      </c>
      <c r="O21" s="41">
        <v>0</v>
      </c>
      <c r="P21" s="41">
        <v>0.73</v>
      </c>
      <c r="Q21" s="24" t="s">
        <v>14</v>
      </c>
      <c r="R21" s="38"/>
      <c r="S21" s="38"/>
      <c r="T21" s="38"/>
      <c r="U21" s="38"/>
    </row>
    <row r="22" spans="1:21" customFormat="1">
      <c r="A22" s="40" t="s">
        <v>242</v>
      </c>
      <c r="B22" s="41">
        <v>2.54</v>
      </c>
      <c r="C22" s="41">
        <v>26.43</v>
      </c>
      <c r="D22" s="41">
        <v>17.2</v>
      </c>
      <c r="E22" s="41">
        <v>16.12</v>
      </c>
      <c r="F22" s="42">
        <v>7.16</v>
      </c>
      <c r="G22" s="41">
        <v>52.81</v>
      </c>
      <c r="H22" s="41">
        <v>36.76</v>
      </c>
      <c r="I22" s="41">
        <v>12.5</v>
      </c>
      <c r="J22" s="41">
        <v>0.76</v>
      </c>
      <c r="K22" s="41">
        <v>276.04000000000002</v>
      </c>
      <c r="L22" s="41">
        <v>33.18</v>
      </c>
      <c r="M22" s="41">
        <v>20.66</v>
      </c>
      <c r="N22" s="41">
        <v>351.1</v>
      </c>
      <c r="O22" s="41">
        <v>0</v>
      </c>
      <c r="P22" s="41">
        <v>0.65</v>
      </c>
      <c r="Q22" s="41">
        <v>8.84</v>
      </c>
      <c r="R22" s="38"/>
      <c r="S22" s="38"/>
      <c r="T22" s="38"/>
      <c r="U22" s="38"/>
    </row>
    <row r="23" spans="1:21" customFormat="1">
      <c r="A23" s="40" t="s">
        <v>243</v>
      </c>
      <c r="B23" s="41">
        <v>2.58</v>
      </c>
      <c r="C23" s="41">
        <v>21.75</v>
      </c>
      <c r="D23" s="41">
        <v>14.79</v>
      </c>
      <c r="E23" s="41">
        <v>9.25</v>
      </c>
      <c r="F23" s="42">
        <v>6.56</v>
      </c>
      <c r="G23" s="41">
        <v>52.81</v>
      </c>
      <c r="H23" s="41">
        <v>42.46</v>
      </c>
      <c r="I23" s="41">
        <v>11.97</v>
      </c>
      <c r="J23" s="41">
        <v>0.79</v>
      </c>
      <c r="K23" s="41">
        <v>316.81</v>
      </c>
      <c r="L23" s="41">
        <v>33.69</v>
      </c>
      <c r="M23" s="41">
        <v>19.53</v>
      </c>
      <c r="N23" s="41">
        <v>350.9</v>
      </c>
      <c r="O23" s="41">
        <v>0</v>
      </c>
      <c r="P23" s="41">
        <v>0.73</v>
      </c>
      <c r="Q23" s="41">
        <v>8.84</v>
      </c>
      <c r="R23" s="38"/>
      <c r="S23" s="38"/>
      <c r="T23" s="38"/>
      <c r="U23" s="38"/>
    </row>
    <row r="24" spans="1:21" customFormat="1">
      <c r="A24" s="40" t="s">
        <v>244</v>
      </c>
      <c r="B24" s="41">
        <v>2.58</v>
      </c>
      <c r="C24" s="41">
        <v>21.02</v>
      </c>
      <c r="D24" s="41">
        <v>14.4</v>
      </c>
      <c r="E24" s="41">
        <v>5.63</v>
      </c>
      <c r="F24" s="42">
        <v>6.36</v>
      </c>
      <c r="G24" s="41">
        <v>40.81</v>
      </c>
      <c r="H24" s="41">
        <v>42.46</v>
      </c>
      <c r="I24" s="41">
        <v>10.81</v>
      </c>
      <c r="J24" s="41">
        <v>0.72</v>
      </c>
      <c r="K24" s="41">
        <v>317.77999999999997</v>
      </c>
      <c r="L24" s="41">
        <v>32.21</v>
      </c>
      <c r="M24" s="41">
        <v>20.47</v>
      </c>
      <c r="N24" s="41">
        <v>66.7</v>
      </c>
      <c r="O24" s="41">
        <v>0</v>
      </c>
      <c r="P24" s="41">
        <v>0.71</v>
      </c>
      <c r="Q24" s="41">
        <v>8.84</v>
      </c>
      <c r="R24" s="38"/>
      <c r="S24" s="38"/>
      <c r="T24" s="38"/>
      <c r="U24" s="38"/>
    </row>
    <row r="25" spans="1:21" customFormat="1">
      <c r="A25" s="40" t="s">
        <v>245</v>
      </c>
      <c r="B25" s="41">
        <v>2.59</v>
      </c>
      <c r="C25" s="41">
        <v>21.37</v>
      </c>
      <c r="D25" s="41">
        <v>14.6</v>
      </c>
      <c r="E25" s="41">
        <v>22.28</v>
      </c>
      <c r="F25" s="42">
        <v>6.89</v>
      </c>
      <c r="G25" s="41">
        <v>65</v>
      </c>
      <c r="H25" s="41">
        <v>34.01</v>
      </c>
      <c r="I25" s="41">
        <v>7.41</v>
      </c>
      <c r="J25" s="41">
        <v>0.86</v>
      </c>
      <c r="K25" s="41">
        <v>338.27</v>
      </c>
      <c r="L25" s="41">
        <v>31.65</v>
      </c>
      <c r="M25" s="41">
        <v>21.59</v>
      </c>
      <c r="N25" s="41">
        <v>59</v>
      </c>
      <c r="O25" s="41">
        <v>0</v>
      </c>
      <c r="P25" s="41">
        <v>0.67</v>
      </c>
      <c r="Q25" s="41">
        <v>8.84</v>
      </c>
      <c r="R25" s="38"/>
      <c r="S25" s="38"/>
      <c r="T25" s="38"/>
      <c r="U25" s="38"/>
    </row>
    <row r="26" spans="1:21" customFormat="1">
      <c r="A26" s="40" t="s">
        <v>246</v>
      </c>
      <c r="B26" s="41">
        <v>3.16</v>
      </c>
      <c r="C26" s="41">
        <v>24.86</v>
      </c>
      <c r="D26" s="41">
        <v>16.87</v>
      </c>
      <c r="E26" s="41">
        <v>0.59</v>
      </c>
      <c r="F26" s="42">
        <v>5.94</v>
      </c>
      <c r="G26" s="41">
        <v>65</v>
      </c>
      <c r="H26" s="41">
        <v>32.409999999999997</v>
      </c>
      <c r="I26" s="41">
        <v>8.51</v>
      </c>
      <c r="J26" s="41">
        <v>0.66</v>
      </c>
      <c r="K26" s="41">
        <v>61.09</v>
      </c>
      <c r="L26" s="41">
        <v>30.9</v>
      </c>
      <c r="M26" s="41">
        <v>25.81</v>
      </c>
      <c r="N26" s="41">
        <v>25.2</v>
      </c>
      <c r="O26" s="41">
        <v>0</v>
      </c>
      <c r="P26" s="41">
        <v>0.66</v>
      </c>
      <c r="Q26" s="41">
        <v>8.84</v>
      </c>
      <c r="R26" s="38"/>
      <c r="S26" s="38"/>
      <c r="T26" s="38"/>
      <c r="U26" s="38"/>
    </row>
    <row r="27" spans="1:21" customFormat="1">
      <c r="A27" s="40" t="s">
        <v>247</v>
      </c>
      <c r="B27" s="41">
        <v>4.2</v>
      </c>
      <c r="C27" s="41">
        <v>29.63</v>
      </c>
      <c r="D27" s="41">
        <v>20.2</v>
      </c>
      <c r="E27" s="41">
        <v>12.69</v>
      </c>
      <c r="F27" s="42">
        <v>5.46</v>
      </c>
      <c r="G27" s="41">
        <v>91.52</v>
      </c>
      <c r="H27" s="41">
        <v>33.049999999999997</v>
      </c>
      <c r="I27" s="41">
        <v>8.6999999999999993</v>
      </c>
      <c r="J27" s="41">
        <v>0.39</v>
      </c>
      <c r="K27" s="41">
        <v>171.47</v>
      </c>
      <c r="L27" s="41">
        <v>28.92</v>
      </c>
      <c r="M27" s="41">
        <v>38.49</v>
      </c>
      <c r="N27" s="41">
        <v>1.9</v>
      </c>
      <c r="O27" s="41">
        <v>0</v>
      </c>
      <c r="P27" s="41">
        <v>0.72</v>
      </c>
      <c r="Q27" s="41">
        <v>8.84</v>
      </c>
      <c r="R27" s="38"/>
      <c r="S27" s="38"/>
      <c r="T27" s="38"/>
      <c r="U27" s="38"/>
    </row>
    <row r="28" spans="1:21" customFormat="1">
      <c r="A28" s="40" t="s">
        <v>248</v>
      </c>
      <c r="B28" s="41">
        <v>4.87</v>
      </c>
      <c r="C28" s="41">
        <v>30.57</v>
      </c>
      <c r="D28" s="41">
        <v>21.14</v>
      </c>
      <c r="E28" s="41">
        <v>9.61</v>
      </c>
      <c r="F28" s="42">
        <v>4.59</v>
      </c>
      <c r="G28" s="41">
        <v>118.27</v>
      </c>
      <c r="H28" s="41">
        <v>34.64</v>
      </c>
      <c r="I28" s="41">
        <v>8.9499999999999993</v>
      </c>
      <c r="J28" s="41">
        <v>0.3</v>
      </c>
      <c r="K28" s="41">
        <v>217.41</v>
      </c>
      <c r="L28" s="41">
        <v>25.73</v>
      </c>
      <c r="M28" s="41">
        <v>50.23</v>
      </c>
      <c r="N28" s="41">
        <v>1.5</v>
      </c>
      <c r="O28" s="41">
        <v>0</v>
      </c>
      <c r="P28" s="41">
        <v>0.76</v>
      </c>
      <c r="Q28" s="41">
        <v>8.84</v>
      </c>
      <c r="R28" s="38"/>
      <c r="S28" s="38"/>
      <c r="T28" s="38"/>
      <c r="U28" s="38"/>
    </row>
    <row r="29" spans="1:21" customFormat="1">
      <c r="A29" s="40" t="s">
        <v>249</v>
      </c>
      <c r="B29" s="41">
        <v>8.06</v>
      </c>
      <c r="C29" s="41">
        <v>31.11</v>
      </c>
      <c r="D29" s="41">
        <v>23.95</v>
      </c>
      <c r="E29" s="41">
        <v>10.17</v>
      </c>
      <c r="F29" s="42">
        <v>4.16</v>
      </c>
      <c r="G29" s="41">
        <v>118.27</v>
      </c>
      <c r="H29" s="41">
        <v>37.07</v>
      </c>
      <c r="I29" s="41">
        <v>9.74</v>
      </c>
      <c r="J29" s="41">
        <v>0.23</v>
      </c>
      <c r="K29" s="41">
        <v>220.86</v>
      </c>
      <c r="L29" s="41">
        <v>23.9</v>
      </c>
      <c r="M29" s="41">
        <v>58.74</v>
      </c>
      <c r="N29" s="41">
        <v>1.2</v>
      </c>
      <c r="O29" s="41">
        <v>0</v>
      </c>
      <c r="P29" s="41">
        <v>0.84</v>
      </c>
      <c r="Q29" s="41">
        <v>8.84</v>
      </c>
      <c r="R29" s="38"/>
      <c r="S29" s="38"/>
      <c r="T29" s="38"/>
      <c r="U29" s="38"/>
    </row>
    <row r="30" spans="1:21" customFormat="1">
      <c r="A30" s="40" t="s">
        <v>250</v>
      </c>
      <c r="B30" s="41">
        <v>8.8000000000000007</v>
      </c>
      <c r="C30" s="41">
        <v>30.29</v>
      </c>
      <c r="D30" s="41">
        <v>23.67</v>
      </c>
      <c r="E30" s="41">
        <v>9.94</v>
      </c>
      <c r="F30" s="42">
        <v>4.26</v>
      </c>
      <c r="G30" s="41">
        <v>116</v>
      </c>
      <c r="H30" s="41">
        <v>37.15</v>
      </c>
      <c r="I30" s="41">
        <v>10.55</v>
      </c>
      <c r="J30" s="41">
        <v>0.26</v>
      </c>
      <c r="K30" s="41">
        <v>224.56</v>
      </c>
      <c r="L30" s="41">
        <v>22.7</v>
      </c>
      <c r="M30" s="41">
        <v>64.41</v>
      </c>
      <c r="N30" s="41">
        <v>1.3</v>
      </c>
      <c r="O30" s="41">
        <v>0</v>
      </c>
      <c r="P30" s="41">
        <v>0.89</v>
      </c>
      <c r="Q30" s="41">
        <v>8.84</v>
      </c>
      <c r="R30" s="38"/>
      <c r="S30" s="38"/>
      <c r="T30" s="38"/>
      <c r="U30" s="38"/>
    </row>
    <row r="31" spans="1:21" customFormat="1">
      <c r="A31" s="40" t="s">
        <v>251</v>
      </c>
      <c r="B31" s="41">
        <v>11.74</v>
      </c>
      <c r="C31" s="41">
        <v>28.3</v>
      </c>
      <c r="D31" s="41">
        <v>24.67</v>
      </c>
      <c r="E31" s="41">
        <v>9.86</v>
      </c>
      <c r="F31" s="42">
        <v>4.2</v>
      </c>
      <c r="G31" s="41">
        <v>116</v>
      </c>
      <c r="H31" s="41">
        <v>26.17</v>
      </c>
      <c r="I31" s="41">
        <v>11.23</v>
      </c>
      <c r="J31" s="41">
        <v>0.25</v>
      </c>
      <c r="K31" s="41">
        <v>209.77</v>
      </c>
      <c r="L31" s="41">
        <v>21.79</v>
      </c>
      <c r="M31" s="41">
        <v>66.52</v>
      </c>
      <c r="N31" s="41">
        <v>1.2</v>
      </c>
      <c r="O31" s="41">
        <v>0</v>
      </c>
      <c r="P31" s="41">
        <v>0.95</v>
      </c>
      <c r="Q31" s="41">
        <v>8.84</v>
      </c>
      <c r="R31" s="38"/>
      <c r="S31" s="38"/>
      <c r="T31" s="38"/>
      <c r="U31" s="38"/>
    </row>
    <row r="32" spans="1:21" customFormat="1">
      <c r="A32" s="40" t="s">
        <v>252</v>
      </c>
      <c r="B32" s="41">
        <v>13.33</v>
      </c>
      <c r="C32" s="41">
        <v>25.79</v>
      </c>
      <c r="D32" s="41">
        <v>24.91</v>
      </c>
      <c r="E32" s="41">
        <v>9.33</v>
      </c>
      <c r="F32" s="42">
        <v>4.01</v>
      </c>
      <c r="G32" s="41">
        <v>101.17</v>
      </c>
      <c r="H32" s="41">
        <v>28.87</v>
      </c>
      <c r="I32" s="41">
        <v>11.56</v>
      </c>
      <c r="J32" s="41">
        <v>0.55000000000000004</v>
      </c>
      <c r="K32" s="41">
        <v>210.66</v>
      </c>
      <c r="L32" s="41">
        <v>21.25</v>
      </c>
      <c r="M32" s="41">
        <v>67.25</v>
      </c>
      <c r="N32" s="41">
        <v>1</v>
      </c>
      <c r="O32" s="41">
        <v>0</v>
      </c>
      <c r="P32" s="41">
        <v>0.98</v>
      </c>
      <c r="Q32" s="41">
        <v>8.84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2.54</v>
      </c>
      <c r="C34" s="18">
        <f t="shared" si="0"/>
        <v>21.02</v>
      </c>
      <c r="D34" s="18">
        <f t="shared" si="0"/>
        <v>14.4</v>
      </c>
      <c r="E34" s="18">
        <f t="shared" si="0"/>
        <v>0.59</v>
      </c>
      <c r="F34" s="18">
        <f t="shared" si="0"/>
        <v>3.92</v>
      </c>
      <c r="G34" s="18">
        <f t="shared" si="0"/>
        <v>17.32</v>
      </c>
      <c r="H34" s="18">
        <f t="shared" si="0"/>
        <v>0</v>
      </c>
      <c r="I34" s="18">
        <f t="shared" si="0"/>
        <v>5.05</v>
      </c>
      <c r="J34" s="18">
        <f t="shared" si="0"/>
        <v>0.16</v>
      </c>
      <c r="K34" s="18">
        <f t="shared" si="0"/>
        <v>0.28999999999999998</v>
      </c>
      <c r="L34" s="18">
        <f t="shared" si="0"/>
        <v>18.93</v>
      </c>
      <c r="M34" s="18">
        <f t="shared" si="0"/>
        <v>19.53</v>
      </c>
      <c r="N34" s="18">
        <f t="shared" si="0"/>
        <v>1</v>
      </c>
      <c r="O34" s="18">
        <f t="shared" si="0"/>
        <v>0</v>
      </c>
      <c r="P34" s="18">
        <f t="shared" si="0"/>
        <v>0.65</v>
      </c>
      <c r="Q34" s="18">
        <f t="shared" si="0"/>
        <v>8.84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13.33</v>
      </c>
      <c r="C35" s="3">
        <f t="shared" si="1"/>
        <v>31.11</v>
      </c>
      <c r="D35" s="3">
        <f t="shared" si="1"/>
        <v>24.91</v>
      </c>
      <c r="E35" s="3">
        <f t="shared" si="1"/>
        <v>38.520000000000003</v>
      </c>
      <c r="F35" s="3">
        <f t="shared" si="1"/>
        <v>7.16</v>
      </c>
      <c r="G35" s="3">
        <f t="shared" si="1"/>
        <v>174.4</v>
      </c>
      <c r="H35" s="3">
        <f t="shared" si="1"/>
        <v>42.46</v>
      </c>
      <c r="I35" s="3">
        <f t="shared" si="1"/>
        <v>12.5</v>
      </c>
      <c r="J35" s="3">
        <f t="shared" si="1"/>
        <v>1.37</v>
      </c>
      <c r="K35" s="3">
        <f t="shared" si="1"/>
        <v>338.27</v>
      </c>
      <c r="L35" s="3">
        <f t="shared" si="1"/>
        <v>33.69</v>
      </c>
      <c r="M35" s="3">
        <f t="shared" si="1"/>
        <v>67.25</v>
      </c>
      <c r="N35" s="3">
        <f t="shared" si="1"/>
        <v>363.7</v>
      </c>
      <c r="O35" s="3">
        <f t="shared" si="1"/>
        <v>0</v>
      </c>
      <c r="P35" s="3">
        <f t="shared" si="1"/>
        <v>1.17</v>
      </c>
      <c r="Q35" s="3">
        <f t="shared" si="1"/>
        <v>8.84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5.6458333333333348</v>
      </c>
      <c r="C36" s="18">
        <f t="shared" si="2"/>
        <v>26.251666666666669</v>
      </c>
      <c r="D36" s="18">
        <f t="shared" si="2"/>
        <v>19.40666666666667</v>
      </c>
      <c r="E36" s="18">
        <f t="shared" si="2"/>
        <v>10.568</v>
      </c>
      <c r="F36" s="18">
        <f t="shared" si="2"/>
        <v>4.9034782608695648</v>
      </c>
      <c r="G36" s="18">
        <f t="shared" si="2"/>
        <v>88.046521739130426</v>
      </c>
      <c r="H36" s="18">
        <f t="shared" si="2"/>
        <v>28.381739130434781</v>
      </c>
      <c r="I36" s="18">
        <f t="shared" si="2"/>
        <v>9.7483333333333331</v>
      </c>
      <c r="J36" s="18">
        <f t="shared" si="2"/>
        <v>0.5869565217391306</v>
      </c>
      <c r="K36" s="18">
        <f t="shared" si="2"/>
        <v>161.28869565217391</v>
      </c>
      <c r="L36" s="18">
        <f t="shared" si="2"/>
        <v>25.168260869565216</v>
      </c>
      <c r="M36" s="18">
        <f t="shared" si="2"/>
        <v>43.98043478260869</v>
      </c>
      <c r="N36" s="18">
        <f t="shared" si="2"/>
        <v>89.591304347826096</v>
      </c>
      <c r="O36" s="18">
        <f t="shared" si="2"/>
        <v>0</v>
      </c>
      <c r="P36" s="18">
        <f t="shared" si="2"/>
        <v>0.85260869565217401</v>
      </c>
      <c r="Q36" s="18">
        <f t="shared" si="2"/>
        <v>8.8400000000000016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3.8626403083273408</v>
      </c>
      <c r="C37" s="18">
        <f t="shared" ref="C37:Q37" si="3">STDEV(C9:C32)</f>
        <v>3.7337084497692934</v>
      </c>
      <c r="D37" s="18">
        <f t="shared" si="3"/>
        <v>4.1538029307947122</v>
      </c>
      <c r="E37" s="18">
        <f t="shared" si="3"/>
        <v>8.0672878113761985</v>
      </c>
      <c r="F37" s="18">
        <f t="shared" si="3"/>
        <v>1.0417625305032221</v>
      </c>
      <c r="G37" s="18">
        <f t="shared" si="3"/>
        <v>37.280807956604619</v>
      </c>
      <c r="H37" s="18">
        <f t="shared" si="3"/>
        <v>9.4897454952816105</v>
      </c>
      <c r="I37" s="18">
        <f t="shared" si="3"/>
        <v>2.1440566195599406</v>
      </c>
      <c r="J37" s="18">
        <f t="shared" si="3"/>
        <v>0.35664388633492505</v>
      </c>
      <c r="K37" s="18">
        <f t="shared" si="3"/>
        <v>97.851819108112622</v>
      </c>
      <c r="L37" s="18">
        <f t="shared" si="3"/>
        <v>5.1535650962785962</v>
      </c>
      <c r="M37" s="18">
        <f t="shared" si="3"/>
        <v>16.652259327534601</v>
      </c>
      <c r="N37" s="18">
        <f t="shared" si="3"/>
        <v>134.9545577156301</v>
      </c>
      <c r="O37" s="18">
        <f t="shared" si="3"/>
        <v>0</v>
      </c>
      <c r="P37" s="18">
        <f t="shared" si="3"/>
        <v>0.13725283210538269</v>
      </c>
      <c r="Q37" s="18">
        <f t="shared" si="3"/>
        <v>1.8630587706705477E-15</v>
      </c>
      <c r="R37" s="18"/>
      <c r="S37" s="18"/>
      <c r="T37" s="18"/>
      <c r="U37" s="18"/>
    </row>
    <row r="38" spans="1:21">
      <c r="A38" s="34" t="s">
        <v>52</v>
      </c>
      <c r="B38" s="34">
        <f>COUNT(B9:B32)+12</f>
        <v>24</v>
      </c>
      <c r="C38" s="34">
        <f t="shared" ref="C38:D38" si="4">COUNT(C9:C32)+12</f>
        <v>24</v>
      </c>
      <c r="D38" s="34">
        <f t="shared" si="4"/>
        <v>24</v>
      </c>
      <c r="E38" s="34">
        <f>COUNT(E9:E32)+4</f>
        <v>24</v>
      </c>
      <c r="F38" s="34">
        <f>COUNT(F9:F32)+1</f>
        <v>24</v>
      </c>
      <c r="G38" s="34">
        <f t="shared" ref="G38:P38" si="5">COUNT(G9:G32)+1</f>
        <v>24</v>
      </c>
      <c r="H38" s="34">
        <f t="shared" si="5"/>
        <v>24</v>
      </c>
      <c r="I38" s="34">
        <f>COUNT(I9:I32)+12</f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>COUNT(Q9:Q32)+13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H15" sqref="H15:H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253</v>
      </c>
      <c r="B9" s="41">
        <v>16.809999999999999</v>
      </c>
      <c r="C9" s="41">
        <v>24.6</v>
      </c>
      <c r="D9" s="41">
        <v>27.63</v>
      </c>
      <c r="E9" s="41">
        <v>9.76</v>
      </c>
      <c r="F9" s="42">
        <v>4.09</v>
      </c>
      <c r="G9" s="41">
        <v>111.8</v>
      </c>
      <c r="H9" s="41">
        <v>32.42</v>
      </c>
      <c r="I9" s="41">
        <v>12.03</v>
      </c>
      <c r="J9" s="41">
        <v>0.61</v>
      </c>
      <c r="K9" s="41">
        <v>53.73</v>
      </c>
      <c r="L9" s="41">
        <v>22.28</v>
      </c>
      <c r="M9" s="41">
        <v>53.13</v>
      </c>
      <c r="N9" s="41">
        <v>0.8</v>
      </c>
      <c r="O9" s="41">
        <v>0</v>
      </c>
      <c r="P9" s="41">
        <v>1</v>
      </c>
      <c r="Q9" s="42">
        <v>8.35</v>
      </c>
      <c r="R9" s="38"/>
      <c r="S9" s="38"/>
      <c r="T9" s="38"/>
      <c r="U9" s="38"/>
    </row>
    <row r="10" spans="1:21" customFormat="1">
      <c r="A10" s="40" t="s">
        <v>254</v>
      </c>
      <c r="B10" s="41">
        <v>17.399999999999999</v>
      </c>
      <c r="C10" s="41">
        <v>24.55</v>
      </c>
      <c r="D10" s="41">
        <v>27.81</v>
      </c>
      <c r="E10" s="41">
        <v>9.7100000000000009</v>
      </c>
      <c r="F10" s="42">
        <v>4.1399999999999997</v>
      </c>
      <c r="G10" s="41">
        <v>111.8</v>
      </c>
      <c r="H10" s="41">
        <v>32.869999999999997</v>
      </c>
      <c r="I10" s="41">
        <v>12</v>
      </c>
      <c r="J10" s="41">
        <v>0.44</v>
      </c>
      <c r="K10" s="41">
        <v>149.86000000000001</v>
      </c>
      <c r="L10" s="41">
        <v>22.05</v>
      </c>
      <c r="M10" s="41">
        <v>62.12</v>
      </c>
      <c r="N10" s="41">
        <v>1.5</v>
      </c>
      <c r="O10" s="41">
        <v>0</v>
      </c>
      <c r="P10" s="41">
        <v>1</v>
      </c>
      <c r="Q10" s="42">
        <v>7.83</v>
      </c>
      <c r="R10" s="38"/>
      <c r="S10" s="38"/>
      <c r="T10" s="38"/>
      <c r="U10" s="38"/>
    </row>
    <row r="11" spans="1:21" customFormat="1">
      <c r="A11" s="40" t="s">
        <v>255</v>
      </c>
      <c r="B11" s="41">
        <v>18.18</v>
      </c>
      <c r="C11" s="41">
        <v>23.37</v>
      </c>
      <c r="D11" s="41">
        <v>28.05</v>
      </c>
      <c r="E11" s="41">
        <v>10.039999999999999</v>
      </c>
      <c r="F11" s="42">
        <v>4.1500000000000004</v>
      </c>
      <c r="G11" s="41">
        <v>102.07</v>
      </c>
      <c r="H11" s="41">
        <v>28.26</v>
      </c>
      <c r="I11" s="41">
        <v>11.8</v>
      </c>
      <c r="J11" s="41">
        <v>0.55000000000000004</v>
      </c>
      <c r="K11" s="41">
        <v>89.9</v>
      </c>
      <c r="L11" s="41">
        <v>21.21</v>
      </c>
      <c r="M11" s="41">
        <v>53.43</v>
      </c>
      <c r="N11" s="41">
        <v>1.1000000000000001</v>
      </c>
      <c r="O11" s="41">
        <v>0</v>
      </c>
      <c r="P11" s="41">
        <v>0.99</v>
      </c>
      <c r="Q11" s="42">
        <v>7.78</v>
      </c>
      <c r="R11" s="38"/>
      <c r="S11" s="38"/>
      <c r="T11" s="38"/>
      <c r="U11" s="38"/>
    </row>
    <row r="12" spans="1:21" customFormat="1">
      <c r="A12" s="40" t="s">
        <v>256</v>
      </c>
      <c r="B12" s="41">
        <v>17.010000000000002</v>
      </c>
      <c r="C12" s="41">
        <v>24.48</v>
      </c>
      <c r="D12" s="41">
        <v>27.23</v>
      </c>
      <c r="E12" s="41">
        <v>10.31</v>
      </c>
      <c r="F12" s="42">
        <v>4.13</v>
      </c>
      <c r="G12" s="41">
        <v>91.04</v>
      </c>
      <c r="H12" s="41">
        <v>28.67</v>
      </c>
      <c r="I12" s="41">
        <v>11.74</v>
      </c>
      <c r="J12" s="41">
        <v>0.47</v>
      </c>
      <c r="K12" s="41">
        <v>101.65</v>
      </c>
      <c r="L12" s="41">
        <v>20.399999999999999</v>
      </c>
      <c r="M12" s="41">
        <v>56.65</v>
      </c>
      <c r="N12" s="41">
        <v>1.4</v>
      </c>
      <c r="O12" s="41">
        <v>0</v>
      </c>
      <c r="P12" s="41">
        <v>0.94</v>
      </c>
      <c r="Q12" s="42">
        <v>7.66</v>
      </c>
      <c r="R12" s="38"/>
      <c r="S12" s="38"/>
      <c r="T12" s="38"/>
      <c r="U12" s="38"/>
    </row>
    <row r="13" spans="1:21" customFormat="1">
      <c r="A13" s="40" t="s">
        <v>257</v>
      </c>
      <c r="B13" s="41">
        <v>15.15</v>
      </c>
      <c r="C13" s="41">
        <v>25.33</v>
      </c>
      <c r="D13" s="41">
        <v>25.87</v>
      </c>
      <c r="E13" s="41">
        <v>9.81</v>
      </c>
      <c r="F13" s="42">
        <v>4.03</v>
      </c>
      <c r="G13" s="41">
        <v>84.73</v>
      </c>
      <c r="H13" s="41">
        <v>26.2</v>
      </c>
      <c r="I13" s="41">
        <v>11.5</v>
      </c>
      <c r="J13" s="41">
        <v>0.59</v>
      </c>
      <c r="K13" s="41">
        <v>174.05</v>
      </c>
      <c r="L13" s="41">
        <v>19.920000000000002</v>
      </c>
      <c r="M13" s="41">
        <v>63.68</v>
      </c>
      <c r="N13" s="41">
        <v>1.6</v>
      </c>
      <c r="O13" s="41">
        <v>0</v>
      </c>
      <c r="P13" s="41">
        <v>0.9</v>
      </c>
      <c r="Q13" s="42">
        <v>7.58</v>
      </c>
      <c r="R13" s="38"/>
      <c r="S13" s="38"/>
      <c r="T13" s="38"/>
      <c r="U13" s="38"/>
    </row>
    <row r="14" spans="1:21" customFormat="1">
      <c r="A14" s="40" t="s">
        <v>258</v>
      </c>
      <c r="B14" s="41">
        <v>13.65</v>
      </c>
      <c r="C14" s="41">
        <v>25.06</v>
      </c>
      <c r="D14" s="41">
        <v>25.36</v>
      </c>
      <c r="E14" s="41">
        <v>9.94</v>
      </c>
      <c r="F14" s="42">
        <v>4.09</v>
      </c>
      <c r="G14" s="41">
        <v>77.010000000000005</v>
      </c>
      <c r="H14" s="41">
        <v>22.48</v>
      </c>
      <c r="I14" s="41">
        <v>11.25</v>
      </c>
      <c r="J14" s="41">
        <v>0.22</v>
      </c>
      <c r="K14" s="41">
        <v>201.04</v>
      </c>
      <c r="L14" s="41">
        <v>18.55</v>
      </c>
      <c r="M14" s="41">
        <v>65.849999999999994</v>
      </c>
      <c r="N14" s="41">
        <v>1.5</v>
      </c>
      <c r="O14" s="41">
        <v>0</v>
      </c>
      <c r="P14" s="41">
        <v>0.9</v>
      </c>
      <c r="Q14" s="42">
        <v>7.85</v>
      </c>
      <c r="R14" s="38"/>
      <c r="S14" s="38"/>
      <c r="T14" s="38"/>
      <c r="U14" s="38"/>
    </row>
    <row r="15" spans="1:21" customFormat="1">
      <c r="A15" s="40" t="s">
        <v>259</v>
      </c>
      <c r="B15" s="41">
        <v>13.53</v>
      </c>
      <c r="C15" s="41">
        <v>25.16</v>
      </c>
      <c r="D15" s="41">
        <v>25.23</v>
      </c>
      <c r="E15" s="41">
        <v>9.77</v>
      </c>
      <c r="F15" s="42">
        <v>4.09</v>
      </c>
      <c r="G15" s="41">
        <v>77.010000000000005</v>
      </c>
      <c r="H15" s="41">
        <v>23.3</v>
      </c>
      <c r="I15" s="41">
        <v>10.85</v>
      </c>
      <c r="J15" s="41">
        <v>0.2</v>
      </c>
      <c r="K15" s="41">
        <v>219.29</v>
      </c>
      <c r="L15" s="41">
        <v>17.27</v>
      </c>
      <c r="M15" s="41">
        <v>72.88</v>
      </c>
      <c r="N15" s="41">
        <v>13.6</v>
      </c>
      <c r="O15" s="41">
        <v>0</v>
      </c>
      <c r="P15" s="41">
        <v>0.85</v>
      </c>
      <c r="Q15" s="42">
        <v>7.73</v>
      </c>
      <c r="R15" s="38"/>
      <c r="S15" s="38"/>
      <c r="T15" s="38"/>
      <c r="U15" s="38"/>
    </row>
    <row r="16" spans="1:21" customFormat="1">
      <c r="A16" s="40" t="s">
        <v>260</v>
      </c>
      <c r="B16" s="41">
        <v>16.079999999999998</v>
      </c>
      <c r="C16" s="41">
        <v>25.77</v>
      </c>
      <c r="D16" s="41">
        <v>27.71</v>
      </c>
      <c r="E16" s="41">
        <v>9.73</v>
      </c>
      <c r="F16" s="42">
        <v>3.95</v>
      </c>
      <c r="G16" s="41">
        <v>72.650000000000006</v>
      </c>
      <c r="H16" s="41">
        <v>23.3</v>
      </c>
      <c r="I16" s="41">
        <v>10.74</v>
      </c>
      <c r="J16" s="41">
        <v>0.73</v>
      </c>
      <c r="K16" s="41">
        <v>70.790000000000006</v>
      </c>
      <c r="L16" s="41">
        <v>20.97</v>
      </c>
      <c r="M16" s="41">
        <v>66.17</v>
      </c>
      <c r="N16" s="41">
        <v>51.5</v>
      </c>
      <c r="O16" s="41">
        <v>0</v>
      </c>
      <c r="P16" s="41">
        <v>0.85</v>
      </c>
      <c r="Q16" s="42">
        <v>7.44</v>
      </c>
      <c r="R16" s="38"/>
      <c r="S16" s="38"/>
      <c r="T16" s="38"/>
      <c r="U16" s="38"/>
    </row>
    <row r="17" spans="1:21" customFormat="1">
      <c r="A17" s="40" t="s">
        <v>261</v>
      </c>
      <c r="B17" s="41">
        <v>16.21</v>
      </c>
      <c r="C17" s="41">
        <v>26.33</v>
      </c>
      <c r="D17" s="41">
        <v>28.11</v>
      </c>
      <c r="E17" s="41">
        <v>10.48</v>
      </c>
      <c r="F17" s="42">
        <v>4.32</v>
      </c>
      <c r="G17" s="41">
        <v>76.28</v>
      </c>
      <c r="H17" s="41">
        <v>59.32</v>
      </c>
      <c r="I17" s="41">
        <v>10.9</v>
      </c>
      <c r="J17" s="41">
        <v>1.08</v>
      </c>
      <c r="K17" s="41">
        <v>71.34</v>
      </c>
      <c r="L17" s="41">
        <v>24.69</v>
      </c>
      <c r="M17" s="41">
        <v>46.01</v>
      </c>
      <c r="N17" s="41">
        <v>253.8</v>
      </c>
      <c r="O17" s="41">
        <v>0</v>
      </c>
      <c r="P17" s="41">
        <v>0.89</v>
      </c>
      <c r="Q17" s="42">
        <v>7.1</v>
      </c>
      <c r="R17" s="38"/>
      <c r="S17" s="38"/>
      <c r="T17" s="38"/>
      <c r="U17" s="38"/>
    </row>
    <row r="18" spans="1:21" customFormat="1">
      <c r="A18" s="40" t="s">
        <v>262</v>
      </c>
      <c r="B18" s="41">
        <v>14.93</v>
      </c>
      <c r="C18" s="41">
        <v>25.58</v>
      </c>
      <c r="D18" s="41">
        <v>26.69</v>
      </c>
      <c r="E18" s="41">
        <v>14.54</v>
      </c>
      <c r="F18" s="42">
        <v>4.4400000000000004</v>
      </c>
      <c r="G18" s="41">
        <v>85.73</v>
      </c>
      <c r="H18" s="41">
        <v>59.32</v>
      </c>
      <c r="I18" s="41">
        <v>10.82</v>
      </c>
      <c r="J18" s="41">
        <v>1.1299999999999999</v>
      </c>
      <c r="K18" s="41">
        <v>56.2</v>
      </c>
      <c r="L18" s="41">
        <v>26.96</v>
      </c>
      <c r="M18" s="41">
        <v>35.33</v>
      </c>
      <c r="N18" s="41">
        <v>315.5</v>
      </c>
      <c r="O18" s="41">
        <v>0</v>
      </c>
      <c r="P18" s="41">
        <v>0.84</v>
      </c>
      <c r="Q18" s="42">
        <v>6.59</v>
      </c>
      <c r="R18" s="38"/>
      <c r="S18" s="38"/>
      <c r="T18" s="38"/>
      <c r="U18" s="38"/>
    </row>
    <row r="19" spans="1:21" customFormat="1">
      <c r="A19" s="40" t="s">
        <v>263</v>
      </c>
      <c r="B19" s="41">
        <v>12.85</v>
      </c>
      <c r="C19" s="41">
        <v>26.37</v>
      </c>
      <c r="D19" s="41">
        <v>24.86</v>
      </c>
      <c r="E19" s="41">
        <v>18.66</v>
      </c>
      <c r="F19" s="42">
        <v>5.0599999999999996</v>
      </c>
      <c r="G19" s="41">
        <v>85.73</v>
      </c>
      <c r="H19" s="41">
        <v>24.14</v>
      </c>
      <c r="I19" s="41">
        <v>10.41</v>
      </c>
      <c r="J19" s="41">
        <v>1.22</v>
      </c>
      <c r="K19" s="41">
        <v>51.71</v>
      </c>
      <c r="L19" s="41">
        <v>29.75</v>
      </c>
      <c r="M19" s="41">
        <v>31.48</v>
      </c>
      <c r="N19" s="41">
        <v>349.2</v>
      </c>
      <c r="O19" s="41">
        <v>0</v>
      </c>
      <c r="P19" s="41">
        <v>0.8</v>
      </c>
      <c r="Q19" s="42">
        <v>6.08</v>
      </c>
      <c r="R19" s="38"/>
      <c r="S19" s="38"/>
      <c r="T19" s="38"/>
      <c r="U19" s="38"/>
    </row>
    <row r="20" spans="1:21" customFormat="1">
      <c r="A20" s="40" t="s">
        <v>264</v>
      </c>
      <c r="B20" s="41">
        <v>9.4</v>
      </c>
      <c r="C20" s="41">
        <v>27.35</v>
      </c>
      <c r="D20" s="41">
        <v>22.82</v>
      </c>
      <c r="E20" s="41">
        <v>29.24</v>
      </c>
      <c r="F20" s="42">
        <v>7.61</v>
      </c>
      <c r="G20" s="41">
        <v>77.63</v>
      </c>
      <c r="H20" s="41">
        <v>23.53</v>
      </c>
      <c r="I20" s="41">
        <v>9.9499999999999993</v>
      </c>
      <c r="J20" s="41">
        <v>1.34</v>
      </c>
      <c r="K20" s="41">
        <v>330.18</v>
      </c>
      <c r="L20" s="41">
        <v>30.56</v>
      </c>
      <c r="M20" s="41">
        <v>24.09</v>
      </c>
      <c r="N20" s="41">
        <v>360.7</v>
      </c>
      <c r="O20" s="41">
        <v>0</v>
      </c>
      <c r="P20" s="41">
        <v>0.75</v>
      </c>
      <c r="Q20" s="42">
        <v>5.7</v>
      </c>
      <c r="R20" s="38"/>
      <c r="S20" s="38"/>
      <c r="T20" s="38"/>
      <c r="U20" s="38"/>
    </row>
    <row r="21" spans="1:21" customFormat="1">
      <c r="A21" s="40" t="s">
        <v>265</v>
      </c>
      <c r="B21" s="41">
        <v>8.36</v>
      </c>
      <c r="C21" s="41">
        <v>27.57</v>
      </c>
      <c r="D21" s="41">
        <v>22.46</v>
      </c>
      <c r="E21" s="41">
        <v>20.239999999999998</v>
      </c>
      <c r="F21" s="42">
        <v>7.53</v>
      </c>
      <c r="G21" s="41">
        <v>69.86</v>
      </c>
      <c r="H21" s="41">
        <v>25.87</v>
      </c>
      <c r="I21" s="41">
        <v>9.36</v>
      </c>
      <c r="J21" s="41">
        <v>0.93</v>
      </c>
      <c r="K21" s="41">
        <v>357.35</v>
      </c>
      <c r="L21" s="41">
        <v>31.71</v>
      </c>
      <c r="M21" s="41">
        <v>21.33</v>
      </c>
      <c r="N21" s="41">
        <v>371.7</v>
      </c>
      <c r="O21" s="41">
        <v>0</v>
      </c>
      <c r="P21" s="41">
        <v>0.71</v>
      </c>
      <c r="Q21" s="42">
        <v>5.59</v>
      </c>
      <c r="R21" s="38"/>
      <c r="S21" s="38"/>
      <c r="T21" s="38"/>
      <c r="U21" s="38"/>
    </row>
    <row r="22" spans="1:21" customFormat="1">
      <c r="A22" s="40" t="s">
        <v>266</v>
      </c>
      <c r="B22" s="41">
        <v>5.83</v>
      </c>
      <c r="C22" s="41">
        <v>26.73</v>
      </c>
      <c r="D22" s="41">
        <v>20</v>
      </c>
      <c r="E22" s="41">
        <v>20.69</v>
      </c>
      <c r="F22" s="42">
        <v>7.05</v>
      </c>
      <c r="G22" s="41">
        <v>63.39</v>
      </c>
      <c r="H22" s="41">
        <v>26.2</v>
      </c>
      <c r="I22" s="41">
        <v>8.94</v>
      </c>
      <c r="J22" s="41">
        <v>0.93</v>
      </c>
      <c r="K22" s="41">
        <v>356.34</v>
      </c>
      <c r="L22" s="41">
        <v>32.47</v>
      </c>
      <c r="M22" s="41">
        <v>19.96</v>
      </c>
      <c r="N22" s="41">
        <v>348.8</v>
      </c>
      <c r="O22" s="41">
        <v>0</v>
      </c>
      <c r="P22" s="41">
        <v>0.62</v>
      </c>
      <c r="Q22" s="42">
        <v>5.51</v>
      </c>
      <c r="R22" s="38"/>
      <c r="S22" s="38"/>
      <c r="T22" s="38"/>
      <c r="U22" s="38"/>
    </row>
    <row r="23" spans="1:21" customFormat="1">
      <c r="A23" s="40" t="s">
        <v>267</v>
      </c>
      <c r="B23" s="41">
        <v>4.7300000000000004</v>
      </c>
      <c r="C23" s="41">
        <v>25.55</v>
      </c>
      <c r="D23" s="41">
        <v>18.29</v>
      </c>
      <c r="E23" s="41">
        <v>15.95</v>
      </c>
      <c r="F23" s="42">
        <v>7.97</v>
      </c>
      <c r="G23" s="41">
        <v>64.290000000000006</v>
      </c>
      <c r="H23" s="41">
        <v>17.309999999999999</v>
      </c>
      <c r="I23" s="41">
        <v>7.96</v>
      </c>
      <c r="J23" s="41">
        <v>0.9</v>
      </c>
      <c r="K23" s="41">
        <v>355.15</v>
      </c>
      <c r="L23" s="41">
        <v>32.79</v>
      </c>
      <c r="M23" s="41">
        <v>14.47</v>
      </c>
      <c r="N23" s="41">
        <v>377</v>
      </c>
      <c r="O23" s="41">
        <v>0</v>
      </c>
      <c r="P23" s="41">
        <v>0.56999999999999995</v>
      </c>
      <c r="Q23" s="42">
        <v>5.5</v>
      </c>
      <c r="R23" s="38"/>
      <c r="S23" s="38"/>
      <c r="T23" s="38"/>
      <c r="U23" s="38"/>
    </row>
    <row r="24" spans="1:21" customFormat="1">
      <c r="A24" s="40" t="s">
        <v>268</v>
      </c>
      <c r="B24" s="41">
        <v>5.0599999999999996</v>
      </c>
      <c r="C24" s="41">
        <v>23.52</v>
      </c>
      <c r="D24" s="41">
        <v>17.53</v>
      </c>
      <c r="E24" s="41">
        <v>14.18</v>
      </c>
      <c r="F24" s="42">
        <v>9.2799999999999994</v>
      </c>
      <c r="G24" s="41">
        <v>64.290000000000006</v>
      </c>
      <c r="H24" s="41">
        <v>17.2</v>
      </c>
      <c r="I24" s="41">
        <v>7.28</v>
      </c>
      <c r="J24" s="41">
        <v>1.24</v>
      </c>
      <c r="K24" s="41">
        <v>354.23</v>
      </c>
      <c r="L24" s="41">
        <v>31.85</v>
      </c>
      <c r="M24" s="41">
        <v>9.3699999999999992</v>
      </c>
      <c r="N24" s="41">
        <v>77.2</v>
      </c>
      <c r="O24" s="41">
        <v>0</v>
      </c>
      <c r="P24" s="41">
        <v>0.53</v>
      </c>
      <c r="Q24" s="42">
        <v>5.54</v>
      </c>
      <c r="R24" s="38"/>
      <c r="S24" s="38"/>
      <c r="T24" s="38"/>
      <c r="U24" s="38"/>
    </row>
    <row r="25" spans="1:21" customFormat="1">
      <c r="A25" s="40" t="s">
        <v>269</v>
      </c>
      <c r="B25" s="41">
        <v>4.95</v>
      </c>
      <c r="C25" s="41">
        <v>22.07</v>
      </c>
      <c r="D25" s="41">
        <v>16.809999999999999</v>
      </c>
      <c r="E25" s="41">
        <v>12.18</v>
      </c>
      <c r="F25" s="42">
        <v>10.06</v>
      </c>
      <c r="G25" s="41">
        <v>46.03</v>
      </c>
      <c r="H25" s="41">
        <v>17.329999999999998</v>
      </c>
      <c r="I25" s="41">
        <v>6.27</v>
      </c>
      <c r="J25" s="41">
        <v>0.89</v>
      </c>
      <c r="K25" s="41">
        <v>39.97</v>
      </c>
      <c r="L25" s="41">
        <v>31.43</v>
      </c>
      <c r="M25" s="41">
        <v>11.01</v>
      </c>
      <c r="N25" s="41">
        <v>47.2</v>
      </c>
      <c r="O25" s="41">
        <v>0</v>
      </c>
      <c r="P25" s="41">
        <v>0.49</v>
      </c>
      <c r="Q25" s="42">
        <v>5.37</v>
      </c>
      <c r="R25" s="38"/>
      <c r="S25" s="38"/>
      <c r="T25" s="38"/>
      <c r="U25" s="38"/>
    </row>
    <row r="26" spans="1:21" customFormat="1">
      <c r="A26" s="40" t="s">
        <v>270</v>
      </c>
      <c r="B26" s="41">
        <v>5.04</v>
      </c>
      <c r="C26" s="41">
        <v>22.61</v>
      </c>
      <c r="D26" s="41">
        <v>17.21</v>
      </c>
      <c r="E26" s="41">
        <v>11.14</v>
      </c>
      <c r="F26" s="42">
        <v>7.68</v>
      </c>
      <c r="G26" s="41">
        <v>35.65</v>
      </c>
      <c r="H26" s="41">
        <v>12.81</v>
      </c>
      <c r="I26" s="41">
        <v>5.66</v>
      </c>
      <c r="J26" s="41">
        <v>0.56000000000000005</v>
      </c>
      <c r="K26" s="41">
        <v>174.97</v>
      </c>
      <c r="L26" s="41">
        <v>30.55</v>
      </c>
      <c r="M26" s="41">
        <v>19.53</v>
      </c>
      <c r="N26" s="41">
        <v>24.2</v>
      </c>
      <c r="O26" s="41">
        <v>0</v>
      </c>
      <c r="P26" s="41">
        <v>0.55000000000000004</v>
      </c>
      <c r="Q26" s="42">
        <v>5.64</v>
      </c>
      <c r="R26" s="38"/>
      <c r="S26" s="38"/>
      <c r="T26" s="38"/>
      <c r="U26" s="38"/>
    </row>
    <row r="27" spans="1:21" customFormat="1">
      <c r="A27" s="40" t="s">
        <v>271</v>
      </c>
      <c r="B27" s="41">
        <v>6.94</v>
      </c>
      <c r="C27" s="41">
        <v>22.35</v>
      </c>
      <c r="D27" s="41">
        <v>18.59</v>
      </c>
      <c r="E27" s="41">
        <v>12.48</v>
      </c>
      <c r="F27" s="42">
        <v>5.95</v>
      </c>
      <c r="G27" s="41">
        <v>42.45</v>
      </c>
      <c r="H27" s="41">
        <v>15.95</v>
      </c>
      <c r="I27" s="41">
        <v>7.69</v>
      </c>
      <c r="J27" s="41">
        <v>0.23</v>
      </c>
      <c r="K27" s="41">
        <v>191.6</v>
      </c>
      <c r="L27" s="41">
        <v>27.03</v>
      </c>
      <c r="M27" s="41">
        <v>32.42</v>
      </c>
      <c r="N27" s="41">
        <v>2.4</v>
      </c>
      <c r="O27" s="41">
        <v>0</v>
      </c>
      <c r="P27" s="41">
        <v>0.66</v>
      </c>
      <c r="Q27" s="42">
        <v>6.33</v>
      </c>
      <c r="R27" s="38"/>
      <c r="S27" s="38"/>
      <c r="T27" s="38"/>
      <c r="U27" s="38"/>
    </row>
    <row r="28" spans="1:21" customFormat="1">
      <c r="A28" s="40" t="s">
        <v>272</v>
      </c>
      <c r="B28" s="41">
        <v>10.77</v>
      </c>
      <c r="C28" s="41">
        <v>22.73</v>
      </c>
      <c r="D28" s="41">
        <v>21.67</v>
      </c>
      <c r="E28" s="41">
        <v>11.49</v>
      </c>
      <c r="F28" s="42">
        <v>4.2699999999999996</v>
      </c>
      <c r="G28" s="41">
        <v>66.87</v>
      </c>
      <c r="H28" s="41">
        <v>24</v>
      </c>
      <c r="I28" s="41">
        <v>8.6999999999999993</v>
      </c>
      <c r="J28" s="41">
        <v>0.24</v>
      </c>
      <c r="K28" s="41">
        <v>181.16</v>
      </c>
      <c r="L28" s="41">
        <v>24.77</v>
      </c>
      <c r="M28" s="41">
        <v>42.46</v>
      </c>
      <c r="N28" s="41">
        <v>1.1000000000000001</v>
      </c>
      <c r="O28" s="41">
        <v>0</v>
      </c>
      <c r="P28" s="41">
        <v>0.68</v>
      </c>
      <c r="Q28" s="42">
        <v>6.62</v>
      </c>
      <c r="R28" s="38"/>
      <c r="S28" s="38"/>
      <c r="T28" s="38"/>
      <c r="U28" s="38"/>
    </row>
    <row r="29" spans="1:21" customFormat="1">
      <c r="A29" s="40" t="s">
        <v>273</v>
      </c>
      <c r="B29" s="41">
        <v>16.52</v>
      </c>
      <c r="C29" s="41">
        <v>22.22</v>
      </c>
      <c r="D29" s="41">
        <v>26.2</v>
      </c>
      <c r="E29" s="41">
        <v>11.98</v>
      </c>
      <c r="F29" s="42">
        <v>4</v>
      </c>
      <c r="G29" s="41">
        <v>79.709999999999994</v>
      </c>
      <c r="H29" s="41">
        <v>25.09</v>
      </c>
      <c r="I29" s="41">
        <v>9.39</v>
      </c>
      <c r="J29" s="41">
        <v>0.25</v>
      </c>
      <c r="K29" s="41">
        <v>174.15</v>
      </c>
      <c r="L29" s="41">
        <v>22.62</v>
      </c>
      <c r="M29" s="41">
        <v>48.94</v>
      </c>
      <c r="N29" s="41">
        <v>0.9</v>
      </c>
      <c r="O29" s="41">
        <v>0</v>
      </c>
      <c r="P29" s="41">
        <v>0.81</v>
      </c>
      <c r="Q29" s="42">
        <v>6.75</v>
      </c>
      <c r="R29" s="38"/>
      <c r="S29" s="38"/>
      <c r="T29" s="38"/>
      <c r="U29" s="38"/>
    </row>
    <row r="30" spans="1:21" customFormat="1">
      <c r="A30" s="40" t="s">
        <v>274</v>
      </c>
      <c r="B30" s="41">
        <v>23.44</v>
      </c>
      <c r="C30" s="41">
        <v>22.22</v>
      </c>
      <c r="D30" s="41">
        <v>31.68</v>
      </c>
      <c r="E30" s="41">
        <v>12.42</v>
      </c>
      <c r="F30" s="42">
        <v>4.09</v>
      </c>
      <c r="G30" s="41">
        <v>243.77</v>
      </c>
      <c r="H30" s="41">
        <v>59.34</v>
      </c>
      <c r="I30" s="41">
        <v>11.33</v>
      </c>
      <c r="J30" s="41">
        <v>0.28000000000000003</v>
      </c>
      <c r="K30" s="41">
        <v>191.85</v>
      </c>
      <c r="L30" s="41">
        <v>22.16</v>
      </c>
      <c r="M30" s="41">
        <v>50.35</v>
      </c>
      <c r="N30" s="41">
        <v>0.9</v>
      </c>
      <c r="O30" s="41">
        <v>0</v>
      </c>
      <c r="P30" s="41">
        <v>0.97</v>
      </c>
      <c r="Q30" s="42">
        <v>6.75</v>
      </c>
      <c r="R30" s="38"/>
      <c r="S30" s="38"/>
      <c r="T30" s="38"/>
      <c r="U30" s="38"/>
    </row>
    <row r="31" spans="1:21" customFormat="1">
      <c r="A31" s="40" t="s">
        <v>275</v>
      </c>
      <c r="B31" s="41">
        <v>25.77</v>
      </c>
      <c r="C31" s="41">
        <v>22.93</v>
      </c>
      <c r="D31" s="41">
        <v>34</v>
      </c>
      <c r="E31" s="41">
        <v>12.58</v>
      </c>
      <c r="F31" s="42">
        <v>4.09</v>
      </c>
      <c r="G31" s="41">
        <v>243.77</v>
      </c>
      <c r="H31" s="41">
        <v>62.17</v>
      </c>
      <c r="I31" s="41">
        <v>11.69</v>
      </c>
      <c r="J31" s="41">
        <v>0.26</v>
      </c>
      <c r="K31" s="41">
        <v>188.32</v>
      </c>
      <c r="L31" s="41">
        <v>20.78</v>
      </c>
      <c r="M31" s="41">
        <v>57.97</v>
      </c>
      <c r="N31" s="41">
        <v>1.4</v>
      </c>
      <c r="O31" s="41">
        <v>0</v>
      </c>
      <c r="P31" s="41">
        <v>1</v>
      </c>
      <c r="Q31" s="42">
        <v>6.75</v>
      </c>
      <c r="R31" s="38"/>
      <c r="S31" s="38"/>
      <c r="T31" s="38"/>
      <c r="U31" s="38"/>
    </row>
    <row r="32" spans="1:21" customFormat="1">
      <c r="A32" s="40" t="s">
        <v>276</v>
      </c>
      <c r="B32" s="41">
        <v>25.94</v>
      </c>
      <c r="C32" s="41">
        <v>23.47</v>
      </c>
      <c r="D32" s="41">
        <v>34.200000000000003</v>
      </c>
      <c r="E32" s="41">
        <v>12.75</v>
      </c>
      <c r="F32" s="42">
        <v>4.07</v>
      </c>
      <c r="G32" s="41">
        <v>121.22</v>
      </c>
      <c r="H32" s="41">
        <v>21.85</v>
      </c>
      <c r="I32" s="41">
        <v>12.07</v>
      </c>
      <c r="J32" s="41">
        <v>0.18</v>
      </c>
      <c r="K32" s="41">
        <v>194.71</v>
      </c>
      <c r="L32" s="41">
        <v>19.920000000000002</v>
      </c>
      <c r="M32" s="41">
        <v>55.02</v>
      </c>
      <c r="N32" s="41">
        <v>1.1000000000000001</v>
      </c>
      <c r="O32" s="41">
        <v>0</v>
      </c>
      <c r="P32" s="41">
        <v>1.02</v>
      </c>
      <c r="Q32" s="42">
        <v>6.75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4.7300000000000004</v>
      </c>
      <c r="C34" s="18">
        <f t="shared" si="0"/>
        <v>22.07</v>
      </c>
      <c r="D34" s="18">
        <f t="shared" si="0"/>
        <v>16.809999999999999</v>
      </c>
      <c r="E34" s="18">
        <f t="shared" si="0"/>
        <v>9.7100000000000009</v>
      </c>
      <c r="F34" s="18">
        <f t="shared" si="0"/>
        <v>3.95</v>
      </c>
      <c r="G34" s="18">
        <f t="shared" si="0"/>
        <v>35.65</v>
      </c>
      <c r="H34" s="18">
        <f t="shared" si="0"/>
        <v>12.81</v>
      </c>
      <c r="I34" s="18">
        <f t="shared" si="0"/>
        <v>5.66</v>
      </c>
      <c r="J34" s="18">
        <f t="shared" si="0"/>
        <v>0.18</v>
      </c>
      <c r="K34" s="18">
        <f t="shared" si="0"/>
        <v>39.97</v>
      </c>
      <c r="L34" s="18">
        <f t="shared" si="0"/>
        <v>17.27</v>
      </c>
      <c r="M34" s="18">
        <f t="shared" si="0"/>
        <v>9.3699999999999992</v>
      </c>
      <c r="N34" s="18">
        <f t="shared" si="0"/>
        <v>0.8</v>
      </c>
      <c r="O34" s="18">
        <f t="shared" si="0"/>
        <v>0</v>
      </c>
      <c r="P34" s="18">
        <f t="shared" si="0"/>
        <v>0.49</v>
      </c>
      <c r="Q34" s="18">
        <f t="shared" si="0"/>
        <v>5.37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25.94</v>
      </c>
      <c r="C35" s="3">
        <f t="shared" si="1"/>
        <v>27.57</v>
      </c>
      <c r="D35" s="3">
        <f t="shared" si="1"/>
        <v>34.200000000000003</v>
      </c>
      <c r="E35" s="3">
        <f t="shared" si="1"/>
        <v>29.24</v>
      </c>
      <c r="F35" s="3">
        <f t="shared" si="1"/>
        <v>10.06</v>
      </c>
      <c r="G35" s="3">
        <f t="shared" si="1"/>
        <v>243.77</v>
      </c>
      <c r="H35" s="3">
        <f t="shared" si="1"/>
        <v>62.17</v>
      </c>
      <c r="I35" s="3">
        <f t="shared" si="1"/>
        <v>12.07</v>
      </c>
      <c r="J35" s="3">
        <f t="shared" si="1"/>
        <v>1.34</v>
      </c>
      <c r="K35" s="3">
        <f t="shared" si="1"/>
        <v>357.35</v>
      </c>
      <c r="L35" s="3">
        <f t="shared" si="1"/>
        <v>32.79</v>
      </c>
      <c r="M35" s="3">
        <f t="shared" si="1"/>
        <v>72.88</v>
      </c>
      <c r="N35" s="3">
        <f t="shared" si="1"/>
        <v>377</v>
      </c>
      <c r="O35" s="3">
        <f t="shared" si="1"/>
        <v>0</v>
      </c>
      <c r="P35" s="3">
        <f t="shared" si="1"/>
        <v>1.02</v>
      </c>
      <c r="Q35" s="3">
        <f t="shared" si="1"/>
        <v>8.35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13.522916666666667</v>
      </c>
      <c r="C36" s="18">
        <f t="shared" si="2"/>
        <v>24.49666666666667</v>
      </c>
      <c r="D36" s="18">
        <f t="shared" si="2"/>
        <v>24.833749999999998</v>
      </c>
      <c r="E36" s="18">
        <f t="shared" si="2"/>
        <v>13.336250000000001</v>
      </c>
      <c r="F36" s="18">
        <f t="shared" si="2"/>
        <v>5.4225000000000003</v>
      </c>
      <c r="G36" s="18">
        <f t="shared" si="2"/>
        <v>91.449166666666656</v>
      </c>
      <c r="H36" s="18">
        <f t="shared" si="2"/>
        <v>29.538749999999997</v>
      </c>
      <c r="I36" s="18">
        <f t="shared" si="2"/>
        <v>10.013749999999998</v>
      </c>
      <c r="J36" s="18">
        <f t="shared" si="2"/>
        <v>0.6445833333333334</v>
      </c>
      <c r="K36" s="18">
        <f t="shared" si="2"/>
        <v>180.39750000000001</v>
      </c>
      <c r="L36" s="18">
        <f t="shared" si="2"/>
        <v>25.112083333333331</v>
      </c>
      <c r="M36" s="18">
        <f t="shared" si="2"/>
        <v>42.235416666666673</v>
      </c>
      <c r="N36" s="18">
        <f t="shared" si="2"/>
        <v>108.58749999999999</v>
      </c>
      <c r="O36" s="18">
        <f t="shared" si="2"/>
        <v>0</v>
      </c>
      <c r="P36" s="18">
        <f t="shared" si="2"/>
        <v>0.80500000000000005</v>
      </c>
      <c r="Q36" s="18">
        <f t="shared" si="2"/>
        <v>6.6995833333333339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6.3867590469022986</v>
      </c>
      <c r="C37" s="18">
        <f t="shared" ref="C37:Q37" si="3">STDEV(C9:C32)</f>
        <v>1.7206031972302158</v>
      </c>
      <c r="D37" s="18">
        <f t="shared" si="3"/>
        <v>5.0127010964757144</v>
      </c>
      <c r="E37" s="18">
        <f t="shared" si="3"/>
        <v>4.7075949850723404</v>
      </c>
      <c r="F37" s="18">
        <f t="shared" si="3"/>
        <v>1.9284985148397509</v>
      </c>
      <c r="G37" s="18">
        <f t="shared" si="3"/>
        <v>51.32201925241182</v>
      </c>
      <c r="H37" s="18">
        <f t="shared" si="3"/>
        <v>14.747372739487918</v>
      </c>
      <c r="I37" s="18">
        <f t="shared" si="3"/>
        <v>1.902736730401092</v>
      </c>
      <c r="J37" s="18">
        <f t="shared" si="3"/>
        <v>0.38156404860574306</v>
      </c>
      <c r="K37" s="18">
        <f t="shared" si="3"/>
        <v>105.29713024084043</v>
      </c>
      <c r="L37" s="18">
        <f t="shared" si="3"/>
        <v>5.082953591185448</v>
      </c>
      <c r="M37" s="18">
        <f t="shared" si="3"/>
        <v>19.534349897188701</v>
      </c>
      <c r="N37" s="18">
        <f t="shared" si="3"/>
        <v>154.15892790995863</v>
      </c>
      <c r="O37" s="18">
        <f t="shared" si="3"/>
        <v>0</v>
      </c>
      <c r="P37" s="18">
        <f t="shared" si="3"/>
        <v>0.16792855623746666</v>
      </c>
      <c r="Q37" s="18">
        <f t="shared" si="3"/>
        <v>0.92850735365805714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H22" sqref="H22:H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277</v>
      </c>
      <c r="B9" s="41">
        <v>27.33</v>
      </c>
      <c r="C9" s="41">
        <v>24.31</v>
      </c>
      <c r="D9" s="41">
        <v>35.81</v>
      </c>
      <c r="E9" s="41">
        <v>12.69</v>
      </c>
      <c r="F9" s="41">
        <v>4.2</v>
      </c>
      <c r="G9" s="41">
        <v>114.07</v>
      </c>
      <c r="H9" s="41">
        <v>22.92</v>
      </c>
      <c r="I9" s="41">
        <v>12.25</v>
      </c>
      <c r="J9" s="41">
        <v>0.3</v>
      </c>
      <c r="K9" s="41">
        <v>220.05</v>
      </c>
      <c r="L9" s="41">
        <v>19.579999999999998</v>
      </c>
      <c r="M9" s="41">
        <v>62</v>
      </c>
      <c r="N9" s="41">
        <v>1.1000000000000001</v>
      </c>
      <c r="O9" s="41">
        <v>0</v>
      </c>
      <c r="P9" s="41">
        <v>1.05</v>
      </c>
      <c r="Q9" s="41">
        <v>6.78</v>
      </c>
      <c r="R9" s="38"/>
      <c r="S9" s="38"/>
      <c r="T9" s="38"/>
      <c r="U9" s="38"/>
    </row>
    <row r="10" spans="1:21" customFormat="1">
      <c r="A10" s="40" t="s">
        <v>278</v>
      </c>
      <c r="B10" s="41">
        <v>31.71</v>
      </c>
      <c r="C10" s="41">
        <v>24.63</v>
      </c>
      <c r="D10" s="41">
        <v>39.65</v>
      </c>
      <c r="E10" s="41">
        <v>12.86</v>
      </c>
      <c r="F10" s="41">
        <v>4.26</v>
      </c>
      <c r="G10" s="41">
        <v>114.07</v>
      </c>
      <c r="H10" s="41">
        <v>23.37</v>
      </c>
      <c r="I10" s="41">
        <v>12.49</v>
      </c>
      <c r="J10" s="41">
        <v>0.26</v>
      </c>
      <c r="K10" s="41">
        <v>179.78</v>
      </c>
      <c r="L10" s="41">
        <v>19.46</v>
      </c>
      <c r="M10" s="41">
        <v>62.83</v>
      </c>
      <c r="N10" s="41">
        <v>0.8</v>
      </c>
      <c r="O10" s="41">
        <v>0</v>
      </c>
      <c r="P10" s="41">
        <v>1.0900000000000001</v>
      </c>
      <c r="Q10" s="41">
        <v>6.69</v>
      </c>
      <c r="R10" s="38"/>
      <c r="S10" s="38"/>
      <c r="T10" s="38"/>
      <c r="U10" s="38"/>
    </row>
    <row r="11" spans="1:21" customFormat="1">
      <c r="A11" s="40" t="s">
        <v>279</v>
      </c>
      <c r="B11" s="41">
        <v>35.17</v>
      </c>
      <c r="C11" s="41">
        <v>26.05</v>
      </c>
      <c r="D11" s="41">
        <v>42.92</v>
      </c>
      <c r="E11" s="41">
        <v>12.18</v>
      </c>
      <c r="F11" s="41">
        <v>4.24</v>
      </c>
      <c r="G11" s="41">
        <v>95.46</v>
      </c>
      <c r="H11" s="41">
        <v>14.54</v>
      </c>
      <c r="I11" s="41">
        <v>13.19</v>
      </c>
      <c r="J11" s="41">
        <v>0.56999999999999995</v>
      </c>
      <c r="K11" s="41">
        <v>179.67</v>
      </c>
      <c r="L11" s="41">
        <v>20.82</v>
      </c>
      <c r="M11" s="41">
        <v>64.150000000000006</v>
      </c>
      <c r="N11" s="41">
        <v>2.1</v>
      </c>
      <c r="O11" s="41">
        <v>0</v>
      </c>
      <c r="P11" s="41">
        <v>1.1299999999999999</v>
      </c>
      <c r="Q11" s="41">
        <v>7.26</v>
      </c>
      <c r="R11" s="38"/>
      <c r="S11" s="38"/>
      <c r="T11" s="38"/>
      <c r="U11" s="38"/>
    </row>
    <row r="12" spans="1:21" customFormat="1">
      <c r="A12" s="40" t="s">
        <v>280</v>
      </c>
      <c r="B12" s="41">
        <v>33.36</v>
      </c>
      <c r="C12" s="41">
        <v>25.63</v>
      </c>
      <c r="D12" s="41">
        <v>41.5</v>
      </c>
      <c r="E12" s="41">
        <v>12.21</v>
      </c>
      <c r="F12" s="41">
        <v>3.99</v>
      </c>
      <c r="G12" s="41">
        <v>105.41</v>
      </c>
      <c r="H12" s="41">
        <v>16.100000000000001</v>
      </c>
      <c r="I12" s="41">
        <v>13.79</v>
      </c>
      <c r="J12" s="41">
        <v>0.2</v>
      </c>
      <c r="K12" s="41">
        <v>225.91</v>
      </c>
      <c r="L12" s="41">
        <v>17.88</v>
      </c>
      <c r="M12" s="41">
        <v>71.099999999999994</v>
      </c>
      <c r="N12" s="41">
        <v>1.6</v>
      </c>
      <c r="O12" s="41">
        <v>0</v>
      </c>
      <c r="P12" s="41">
        <v>1.2</v>
      </c>
      <c r="Q12" s="41">
        <v>7.59</v>
      </c>
      <c r="R12" s="38"/>
      <c r="S12" s="38"/>
      <c r="T12" s="38"/>
      <c r="U12" s="38"/>
    </row>
    <row r="13" spans="1:21" customFormat="1">
      <c r="A13" s="40" t="s">
        <v>281</v>
      </c>
      <c r="B13" s="41">
        <v>30.05</v>
      </c>
      <c r="C13" s="41">
        <v>24.31</v>
      </c>
      <c r="D13" s="41">
        <v>38.15</v>
      </c>
      <c r="E13" s="41">
        <v>11.44</v>
      </c>
      <c r="F13" s="41">
        <v>3.98</v>
      </c>
      <c r="G13" s="41">
        <v>105.41</v>
      </c>
      <c r="H13" s="41">
        <v>16.57</v>
      </c>
      <c r="I13" s="41">
        <v>14.16</v>
      </c>
      <c r="J13" s="41">
        <v>0.23</v>
      </c>
      <c r="K13" s="41">
        <v>185.33</v>
      </c>
      <c r="L13" s="41">
        <v>16.86</v>
      </c>
      <c r="M13" s="41">
        <v>72.87</v>
      </c>
      <c r="N13" s="41">
        <v>1</v>
      </c>
      <c r="O13" s="41">
        <v>0</v>
      </c>
      <c r="P13" s="41">
        <v>1.23</v>
      </c>
      <c r="Q13" s="41">
        <v>7.62</v>
      </c>
      <c r="R13" s="38"/>
      <c r="S13" s="38"/>
      <c r="T13" s="38"/>
      <c r="U13" s="38"/>
    </row>
    <row r="14" spans="1:21" customFormat="1">
      <c r="A14" s="40" t="s">
        <v>282</v>
      </c>
      <c r="B14" s="41">
        <v>28.1</v>
      </c>
      <c r="C14" s="41">
        <v>23.13</v>
      </c>
      <c r="D14" s="41">
        <v>35.92</v>
      </c>
      <c r="E14" s="41">
        <v>11.54</v>
      </c>
      <c r="F14" s="41">
        <v>3.94</v>
      </c>
      <c r="G14" s="41">
        <v>88.96</v>
      </c>
      <c r="H14" s="41">
        <v>21.27</v>
      </c>
      <c r="I14" s="41">
        <v>14.6</v>
      </c>
      <c r="J14" s="41">
        <v>0.22</v>
      </c>
      <c r="K14" s="41">
        <v>193.5</v>
      </c>
      <c r="L14" s="41">
        <v>16.61</v>
      </c>
      <c r="M14" s="41">
        <v>75.92</v>
      </c>
      <c r="N14" s="41">
        <v>1</v>
      </c>
      <c r="O14" s="41">
        <v>0</v>
      </c>
      <c r="P14" s="41">
        <v>1.26</v>
      </c>
      <c r="Q14" s="41">
        <v>7.27</v>
      </c>
      <c r="R14" s="38"/>
      <c r="S14" s="38"/>
      <c r="T14" s="38"/>
      <c r="U14" s="38"/>
    </row>
    <row r="15" spans="1:21" customFormat="1">
      <c r="A15" s="40" t="s">
        <v>283</v>
      </c>
      <c r="B15" s="41">
        <v>26.17</v>
      </c>
      <c r="C15" s="41">
        <v>22.62</v>
      </c>
      <c r="D15" s="41">
        <v>34.15</v>
      </c>
      <c r="E15" s="41">
        <v>11.35</v>
      </c>
      <c r="F15" s="41">
        <v>3.91</v>
      </c>
      <c r="G15" s="41">
        <v>88.96</v>
      </c>
      <c r="H15" s="41">
        <v>21.93</v>
      </c>
      <c r="I15" s="41">
        <v>14.76</v>
      </c>
      <c r="J15" s="41">
        <v>0.26</v>
      </c>
      <c r="K15" s="41">
        <v>247.91</v>
      </c>
      <c r="L15" s="41">
        <v>16.47</v>
      </c>
      <c r="M15" s="41">
        <v>73.5</v>
      </c>
      <c r="N15" s="41">
        <v>13.9</v>
      </c>
      <c r="O15" s="41">
        <v>0</v>
      </c>
      <c r="P15" s="41">
        <v>1.27</v>
      </c>
      <c r="Q15" s="41">
        <v>7.27</v>
      </c>
      <c r="R15" s="38"/>
      <c r="S15" s="38"/>
      <c r="T15" s="38"/>
      <c r="U15" s="38"/>
    </row>
    <row r="16" spans="1:21" customFormat="1">
      <c r="A16" s="40" t="s">
        <v>284</v>
      </c>
      <c r="B16" s="41">
        <v>24.42</v>
      </c>
      <c r="C16" s="41">
        <v>23.83</v>
      </c>
      <c r="D16" s="41">
        <v>33.32</v>
      </c>
      <c r="E16" s="41">
        <v>11.16</v>
      </c>
      <c r="F16" s="41">
        <v>4.01</v>
      </c>
      <c r="G16" s="41">
        <v>81.81</v>
      </c>
      <c r="H16" s="41">
        <v>15.59</v>
      </c>
      <c r="I16" s="41">
        <v>14.62</v>
      </c>
      <c r="J16" s="41">
        <v>0.72</v>
      </c>
      <c r="K16" s="41">
        <v>193.09</v>
      </c>
      <c r="L16" s="41">
        <v>21.29</v>
      </c>
      <c r="M16" s="41">
        <v>68.290000000000006</v>
      </c>
      <c r="N16" s="41">
        <v>54.3</v>
      </c>
      <c r="O16" s="41">
        <v>0</v>
      </c>
      <c r="P16" s="41">
        <v>1.25</v>
      </c>
      <c r="Q16" s="41">
        <v>7.24</v>
      </c>
      <c r="R16" s="38"/>
      <c r="S16" s="38"/>
      <c r="T16" s="38"/>
      <c r="U16" s="38"/>
    </row>
    <row r="17" spans="1:21" customFormat="1">
      <c r="A17" s="40" t="s">
        <v>285</v>
      </c>
      <c r="B17" s="41">
        <v>26.32</v>
      </c>
      <c r="C17" s="41">
        <v>27.57</v>
      </c>
      <c r="D17" s="41">
        <v>36.86</v>
      </c>
      <c r="E17" s="41">
        <v>13.45</v>
      </c>
      <c r="F17" s="41">
        <v>4.53</v>
      </c>
      <c r="G17" s="41">
        <v>95.6</v>
      </c>
      <c r="H17" s="41">
        <v>15.41</v>
      </c>
      <c r="I17" s="41">
        <v>14.46</v>
      </c>
      <c r="J17" s="41">
        <v>1.27</v>
      </c>
      <c r="K17" s="41">
        <v>58.06</v>
      </c>
      <c r="L17" s="41">
        <v>25.22</v>
      </c>
      <c r="M17" s="41">
        <v>43.6</v>
      </c>
      <c r="N17" s="41">
        <v>245.7</v>
      </c>
      <c r="O17" s="41">
        <v>0</v>
      </c>
      <c r="P17" s="41">
        <v>1.23</v>
      </c>
      <c r="Q17" s="41">
        <v>7.1</v>
      </c>
      <c r="R17" s="38"/>
      <c r="S17" s="38"/>
      <c r="T17" s="38"/>
      <c r="U17" s="38"/>
    </row>
    <row r="18" spans="1:21" customFormat="1">
      <c r="A18" s="40" t="s">
        <v>286</v>
      </c>
      <c r="B18" s="41">
        <v>28.91</v>
      </c>
      <c r="C18" s="41">
        <v>33.03</v>
      </c>
      <c r="D18" s="41">
        <v>40.72</v>
      </c>
      <c r="E18" s="41">
        <v>15.47</v>
      </c>
      <c r="F18" s="41">
        <v>5.95</v>
      </c>
      <c r="G18" s="41">
        <v>95.6</v>
      </c>
      <c r="H18" s="41">
        <v>18.329999999999998</v>
      </c>
      <c r="I18" s="41">
        <v>13.83</v>
      </c>
      <c r="J18" s="41">
        <v>1.75</v>
      </c>
      <c r="K18" s="41">
        <v>60.06</v>
      </c>
      <c r="L18" s="41">
        <v>27.67</v>
      </c>
      <c r="M18" s="41">
        <v>32.409999999999997</v>
      </c>
      <c r="N18" s="41">
        <v>307.10000000000002</v>
      </c>
      <c r="O18" s="41">
        <v>0</v>
      </c>
      <c r="P18" s="41">
        <v>1.08</v>
      </c>
      <c r="Q18" s="41">
        <v>7.07</v>
      </c>
      <c r="R18" s="38"/>
      <c r="S18" s="38"/>
      <c r="T18" s="38"/>
      <c r="U18" s="38"/>
    </row>
    <row r="19" spans="1:21" customFormat="1">
      <c r="A19" s="40" t="s">
        <v>287</v>
      </c>
      <c r="B19" s="41">
        <v>25.05</v>
      </c>
      <c r="C19" s="41">
        <v>35.94</v>
      </c>
      <c r="D19" s="41">
        <v>39.07</v>
      </c>
      <c r="E19" s="41">
        <v>21.67</v>
      </c>
      <c r="F19" s="41">
        <v>8.5399999999999991</v>
      </c>
      <c r="G19" s="41">
        <v>69.430000000000007</v>
      </c>
      <c r="H19" s="41">
        <v>20.18</v>
      </c>
      <c r="I19" s="41">
        <v>12.3</v>
      </c>
      <c r="J19" s="41">
        <v>1.68</v>
      </c>
      <c r="K19" s="41">
        <v>57.34</v>
      </c>
      <c r="L19" s="41">
        <v>30.08</v>
      </c>
      <c r="M19" s="41">
        <v>28.01</v>
      </c>
      <c r="N19" s="41">
        <v>342.3</v>
      </c>
      <c r="O19" s="41">
        <v>0</v>
      </c>
      <c r="P19" s="41">
        <v>0.96</v>
      </c>
      <c r="Q19" s="41">
        <v>6.51</v>
      </c>
      <c r="R19" s="38"/>
      <c r="S19" s="38"/>
      <c r="T19" s="38"/>
      <c r="U19" s="38"/>
    </row>
    <row r="20" spans="1:21" customFormat="1">
      <c r="A20" s="40" t="s">
        <v>288</v>
      </c>
      <c r="B20" s="41">
        <v>22.11</v>
      </c>
      <c r="C20" s="41">
        <v>37.549999999999997</v>
      </c>
      <c r="D20" s="41">
        <v>38.130000000000003</v>
      </c>
      <c r="E20" s="41">
        <v>27.1</v>
      </c>
      <c r="F20" s="41">
        <v>11.04</v>
      </c>
      <c r="G20" s="41">
        <v>72.959999999999994</v>
      </c>
      <c r="H20" s="41">
        <v>20.399999999999999</v>
      </c>
      <c r="I20" s="41">
        <v>11.09</v>
      </c>
      <c r="J20" s="41">
        <v>1.28</v>
      </c>
      <c r="K20" s="41">
        <v>70.540000000000006</v>
      </c>
      <c r="L20" s="41">
        <v>32.130000000000003</v>
      </c>
      <c r="M20" s="41">
        <v>23.17</v>
      </c>
      <c r="N20" s="41">
        <v>357.6</v>
      </c>
      <c r="O20" s="41">
        <v>0</v>
      </c>
      <c r="P20" s="41">
        <v>0.83</v>
      </c>
      <c r="Q20" s="41">
        <v>6.23</v>
      </c>
      <c r="R20" s="38"/>
      <c r="S20" s="38"/>
      <c r="T20" s="38"/>
      <c r="U20" s="38"/>
    </row>
    <row r="21" spans="1:21" customFormat="1">
      <c r="A21" s="40" t="s">
        <v>289</v>
      </c>
      <c r="B21" s="41">
        <v>19.28</v>
      </c>
      <c r="C21" s="41">
        <v>37.97</v>
      </c>
      <c r="D21" s="41">
        <v>36.64</v>
      </c>
      <c r="E21" s="41">
        <v>28.02</v>
      </c>
      <c r="F21" s="41">
        <v>12.32</v>
      </c>
      <c r="G21" s="41">
        <v>72.959999999999994</v>
      </c>
      <c r="H21" s="41">
        <v>18.7</v>
      </c>
      <c r="I21" s="41">
        <v>9.8800000000000008</v>
      </c>
      <c r="J21" s="41">
        <v>1.1299999999999999</v>
      </c>
      <c r="K21" s="41">
        <v>60.52</v>
      </c>
      <c r="L21" s="41">
        <v>33.46</v>
      </c>
      <c r="M21" s="41">
        <v>20.309999999999999</v>
      </c>
      <c r="N21" s="41">
        <v>365.5</v>
      </c>
      <c r="O21" s="41">
        <v>0</v>
      </c>
      <c r="P21" s="41">
        <v>0.73</v>
      </c>
      <c r="Q21" s="41">
        <v>5.98</v>
      </c>
      <c r="R21" s="38"/>
      <c r="S21" s="38"/>
      <c r="T21" s="38"/>
      <c r="U21" s="38"/>
    </row>
    <row r="22" spans="1:21" customFormat="1">
      <c r="A22" s="40" t="s">
        <v>290</v>
      </c>
      <c r="B22" s="41">
        <v>16.809999999999999</v>
      </c>
      <c r="C22" s="41">
        <v>37.74</v>
      </c>
      <c r="D22" s="41">
        <v>34.549999999999997</v>
      </c>
      <c r="E22" s="41">
        <v>24.45</v>
      </c>
      <c r="F22" s="41">
        <v>11.9</v>
      </c>
      <c r="G22" s="41">
        <v>54.44</v>
      </c>
      <c r="H22" s="41">
        <v>14.74</v>
      </c>
      <c r="I22" s="41">
        <v>8.56</v>
      </c>
      <c r="J22" s="41">
        <v>1.0900000000000001</v>
      </c>
      <c r="K22" s="41">
        <v>52.41</v>
      </c>
      <c r="L22" s="41">
        <v>34</v>
      </c>
      <c r="M22" s="41">
        <v>17.66</v>
      </c>
      <c r="N22" s="41">
        <v>363.6</v>
      </c>
      <c r="O22" s="41">
        <v>0</v>
      </c>
      <c r="P22" s="41">
        <v>0.65</v>
      </c>
      <c r="Q22" s="41">
        <v>5.76</v>
      </c>
      <c r="R22" s="38"/>
      <c r="S22" s="38"/>
      <c r="T22" s="38"/>
      <c r="U22" s="38"/>
    </row>
    <row r="23" spans="1:21" customFormat="1">
      <c r="A23" s="40" t="s">
        <v>291</v>
      </c>
      <c r="B23" s="41">
        <v>11.8</v>
      </c>
      <c r="C23" s="41">
        <v>34.11</v>
      </c>
      <c r="D23" s="41">
        <v>28.63</v>
      </c>
      <c r="E23" s="41">
        <v>21.35</v>
      </c>
      <c r="F23" s="41">
        <v>10.71</v>
      </c>
      <c r="G23" s="41">
        <v>50.47</v>
      </c>
      <c r="H23" s="41">
        <v>14.74</v>
      </c>
      <c r="I23" s="41">
        <v>7.39</v>
      </c>
      <c r="J23" s="41">
        <v>1.07</v>
      </c>
      <c r="K23" s="41">
        <v>70.62</v>
      </c>
      <c r="L23" s="41">
        <v>34.61</v>
      </c>
      <c r="M23" s="41">
        <v>15.95</v>
      </c>
      <c r="N23" s="41">
        <v>368.7</v>
      </c>
      <c r="O23" s="41">
        <v>0</v>
      </c>
      <c r="P23" s="41">
        <v>0.48</v>
      </c>
      <c r="Q23" s="41">
        <v>10.91</v>
      </c>
      <c r="R23" s="38"/>
      <c r="S23" s="38"/>
      <c r="T23" s="38"/>
      <c r="U23" s="38"/>
    </row>
    <row r="24" spans="1:21" customFormat="1">
      <c r="A24" s="40" t="s">
        <v>292</v>
      </c>
      <c r="B24" s="41">
        <v>3.57</v>
      </c>
      <c r="C24" s="41">
        <v>21.93</v>
      </c>
      <c r="D24" s="41">
        <v>15.46</v>
      </c>
      <c r="E24" s="41">
        <v>24.21</v>
      </c>
      <c r="F24" s="41">
        <v>15.19</v>
      </c>
      <c r="G24" s="10" t="s">
        <v>12</v>
      </c>
      <c r="H24" s="10" t="s">
        <v>12</v>
      </c>
      <c r="I24" s="41">
        <v>9.17</v>
      </c>
      <c r="J24" s="41">
        <v>1.02</v>
      </c>
      <c r="K24" s="41">
        <v>333.33</v>
      </c>
      <c r="L24" s="41">
        <v>33.24</v>
      </c>
      <c r="M24" s="41">
        <v>16.489999999999998</v>
      </c>
      <c r="N24" s="41">
        <v>59.7</v>
      </c>
      <c r="O24" s="41">
        <v>0</v>
      </c>
      <c r="P24" s="41">
        <v>0.39</v>
      </c>
      <c r="Q24" s="41">
        <v>28.01</v>
      </c>
      <c r="R24" s="38"/>
      <c r="S24" s="38"/>
      <c r="T24" s="38"/>
      <c r="U24" s="38"/>
    </row>
    <row r="25" spans="1:21" customFormat="1">
      <c r="A25" s="40" t="s">
        <v>293</v>
      </c>
      <c r="B25" s="41">
        <v>3.39</v>
      </c>
      <c r="C25" s="41">
        <v>22.25</v>
      </c>
      <c r="D25" s="41">
        <v>15.57</v>
      </c>
      <c r="E25" s="41">
        <v>21.97</v>
      </c>
      <c r="F25" s="41">
        <v>16.98</v>
      </c>
      <c r="G25" s="41">
        <v>48.27</v>
      </c>
      <c r="H25" s="41">
        <v>72.55</v>
      </c>
      <c r="I25" s="41">
        <v>10.62</v>
      </c>
      <c r="J25" s="41">
        <v>1.21</v>
      </c>
      <c r="K25" s="41">
        <v>50.14</v>
      </c>
      <c r="L25" s="41">
        <v>32.78</v>
      </c>
      <c r="M25" s="41">
        <v>19.97</v>
      </c>
      <c r="N25" s="41">
        <v>63.2</v>
      </c>
      <c r="O25" s="41">
        <v>0</v>
      </c>
      <c r="P25" s="41">
        <v>0.41</v>
      </c>
      <c r="Q25" s="41">
        <v>28.02</v>
      </c>
      <c r="R25" s="38"/>
      <c r="S25" s="38"/>
      <c r="T25" s="38"/>
      <c r="U25" s="38"/>
    </row>
    <row r="26" spans="1:21" customFormat="1">
      <c r="A26" s="40" t="s">
        <v>294</v>
      </c>
      <c r="B26" s="41">
        <v>4.43</v>
      </c>
      <c r="C26" s="41">
        <v>21.91</v>
      </c>
      <c r="D26" s="41">
        <v>16.350000000000001</v>
      </c>
      <c r="E26" s="41">
        <v>18.13</v>
      </c>
      <c r="F26" s="41">
        <v>17.79</v>
      </c>
      <c r="G26" s="41">
        <v>48.27</v>
      </c>
      <c r="H26" s="41">
        <v>72.55</v>
      </c>
      <c r="I26" s="41">
        <v>8.9600000000000009</v>
      </c>
      <c r="J26" s="41">
        <v>0.92</v>
      </c>
      <c r="K26" s="41">
        <v>45.08</v>
      </c>
      <c r="L26" s="41">
        <v>31.66</v>
      </c>
      <c r="M26" s="41">
        <v>20.88</v>
      </c>
      <c r="N26" s="41">
        <v>23.6</v>
      </c>
      <c r="O26" s="41">
        <v>0</v>
      </c>
      <c r="P26" s="41">
        <v>0.52</v>
      </c>
      <c r="Q26" s="41">
        <v>28.06</v>
      </c>
      <c r="R26" s="38"/>
      <c r="S26" s="38"/>
      <c r="T26" s="38"/>
      <c r="U26" s="38"/>
    </row>
    <row r="27" spans="1:21" customFormat="1">
      <c r="A27" s="40" t="s">
        <v>295</v>
      </c>
      <c r="B27" s="41">
        <v>7.13</v>
      </c>
      <c r="C27" s="41">
        <v>24.26</v>
      </c>
      <c r="D27" s="41">
        <v>19.75</v>
      </c>
      <c r="E27" s="41">
        <v>11.55</v>
      </c>
      <c r="F27" s="41">
        <v>6.45</v>
      </c>
      <c r="G27" s="41">
        <v>54.49</v>
      </c>
      <c r="H27" s="41">
        <v>58.16</v>
      </c>
      <c r="I27" s="41">
        <v>8.6999999999999993</v>
      </c>
      <c r="J27" s="41">
        <v>0.34</v>
      </c>
      <c r="K27" s="41">
        <v>206.05</v>
      </c>
      <c r="L27" s="41">
        <v>29.61</v>
      </c>
      <c r="M27" s="41">
        <v>39</v>
      </c>
      <c r="N27" s="41">
        <v>2</v>
      </c>
      <c r="O27" s="41">
        <v>0</v>
      </c>
      <c r="P27" s="41">
        <v>0.53</v>
      </c>
      <c r="Q27" s="41">
        <v>28.14</v>
      </c>
      <c r="R27" s="38"/>
      <c r="S27" s="38"/>
      <c r="T27" s="38"/>
      <c r="U27" s="38"/>
    </row>
    <row r="28" spans="1:21" customFormat="1">
      <c r="A28" s="40" t="s">
        <v>296</v>
      </c>
      <c r="B28" s="41">
        <v>7.32</v>
      </c>
      <c r="C28" s="41">
        <v>24.45</v>
      </c>
      <c r="D28" s="41">
        <v>20</v>
      </c>
      <c r="E28" s="41">
        <v>11.25</v>
      </c>
      <c r="F28" s="41">
        <v>7.23</v>
      </c>
      <c r="G28" s="41">
        <v>65.45</v>
      </c>
      <c r="H28" s="41">
        <v>50.56</v>
      </c>
      <c r="I28" s="41">
        <v>10.4</v>
      </c>
      <c r="J28" s="41">
        <v>0.24</v>
      </c>
      <c r="K28" s="41">
        <v>196.64</v>
      </c>
      <c r="L28" s="41">
        <v>25.5</v>
      </c>
      <c r="M28" s="41">
        <v>43.78</v>
      </c>
      <c r="N28" s="41">
        <v>1.5</v>
      </c>
      <c r="O28" s="41">
        <v>0</v>
      </c>
      <c r="P28" s="41">
        <v>0.51</v>
      </c>
      <c r="Q28" s="41">
        <v>28.16</v>
      </c>
      <c r="R28" s="38"/>
      <c r="S28" s="38"/>
      <c r="T28" s="38"/>
      <c r="U28" s="38"/>
    </row>
    <row r="29" spans="1:21" customFormat="1">
      <c r="A29" s="40" t="s">
        <v>297</v>
      </c>
      <c r="B29" s="41">
        <v>12.3</v>
      </c>
      <c r="C29" s="41">
        <v>25.31</v>
      </c>
      <c r="D29" s="41">
        <v>24.44</v>
      </c>
      <c r="E29" s="41">
        <v>11.65</v>
      </c>
      <c r="F29" s="41">
        <v>4.91</v>
      </c>
      <c r="G29" s="41">
        <v>79.55</v>
      </c>
      <c r="H29" s="41">
        <v>47.66</v>
      </c>
      <c r="I29" s="41">
        <v>10.42</v>
      </c>
      <c r="J29" s="41">
        <v>0.28000000000000003</v>
      </c>
      <c r="K29" s="41">
        <v>198.21</v>
      </c>
      <c r="L29" s="41">
        <v>24.89</v>
      </c>
      <c r="M29" s="41">
        <v>50.69</v>
      </c>
      <c r="N29" s="41">
        <v>1.4</v>
      </c>
      <c r="O29" s="41">
        <v>0</v>
      </c>
      <c r="P29" s="41">
        <v>0.6</v>
      </c>
      <c r="Q29" s="41">
        <v>28.33</v>
      </c>
      <c r="R29" s="38"/>
      <c r="S29" s="38"/>
      <c r="T29" s="38"/>
      <c r="U29" s="38"/>
    </row>
    <row r="30" spans="1:21" customFormat="1">
      <c r="A30" s="40" t="s">
        <v>298</v>
      </c>
      <c r="B30" s="41">
        <v>13.95</v>
      </c>
      <c r="C30" s="41">
        <v>25.93</v>
      </c>
      <c r="D30" s="41">
        <v>25.78</v>
      </c>
      <c r="E30" s="41">
        <v>11.75</v>
      </c>
      <c r="F30" s="41">
        <v>4.21</v>
      </c>
      <c r="G30" s="41">
        <v>86.57</v>
      </c>
      <c r="H30" s="41">
        <v>43.13</v>
      </c>
      <c r="I30" s="41">
        <v>10.52</v>
      </c>
      <c r="J30" s="41">
        <v>0.25</v>
      </c>
      <c r="K30" s="41">
        <v>220.23</v>
      </c>
      <c r="L30" s="41">
        <v>23.35</v>
      </c>
      <c r="M30" s="41">
        <v>50.8</v>
      </c>
      <c r="N30" s="41">
        <v>1.2</v>
      </c>
      <c r="O30" s="41">
        <v>0</v>
      </c>
      <c r="P30" s="41">
        <v>0.65</v>
      </c>
      <c r="Q30" s="41">
        <v>28.43</v>
      </c>
      <c r="R30" s="38"/>
      <c r="S30" s="38"/>
      <c r="T30" s="38"/>
      <c r="U30" s="38"/>
    </row>
    <row r="31" spans="1:21" customFormat="1">
      <c r="A31" s="40" t="s">
        <v>299</v>
      </c>
      <c r="B31" s="41">
        <v>13.41</v>
      </c>
      <c r="C31" s="41">
        <v>25.3</v>
      </c>
      <c r="D31" s="41">
        <v>25.33</v>
      </c>
      <c r="E31" s="41">
        <v>11.75</v>
      </c>
      <c r="F31" s="41">
        <v>4.1900000000000004</v>
      </c>
      <c r="G31" s="41">
        <v>86.57</v>
      </c>
      <c r="H31" s="41">
        <v>34</v>
      </c>
      <c r="I31" s="41">
        <v>10.45</v>
      </c>
      <c r="J31" s="41">
        <v>0.24</v>
      </c>
      <c r="K31" s="41">
        <v>196.67</v>
      </c>
      <c r="L31" s="41">
        <v>22.11</v>
      </c>
      <c r="M31" s="41">
        <v>58.38</v>
      </c>
      <c r="N31" s="41">
        <v>1.2</v>
      </c>
      <c r="O31" s="41">
        <v>0</v>
      </c>
      <c r="P31" s="41">
        <v>0.7</v>
      </c>
      <c r="Q31" s="41">
        <v>28.42</v>
      </c>
      <c r="R31" s="38"/>
      <c r="S31" s="38"/>
      <c r="T31" s="38"/>
      <c r="U31" s="38"/>
    </row>
    <row r="32" spans="1:21" customFormat="1">
      <c r="A32" s="40" t="s">
        <v>300</v>
      </c>
      <c r="B32" s="41">
        <v>16.55</v>
      </c>
      <c r="C32" s="41">
        <v>23.99</v>
      </c>
      <c r="D32" s="41">
        <v>27.13</v>
      </c>
      <c r="E32" s="41">
        <v>11.93</v>
      </c>
      <c r="F32" s="41">
        <v>4.04</v>
      </c>
      <c r="G32" s="41">
        <v>86.26</v>
      </c>
      <c r="H32" s="41">
        <v>29.31</v>
      </c>
      <c r="I32" s="41">
        <v>10.71</v>
      </c>
      <c r="J32" s="41">
        <v>0.23</v>
      </c>
      <c r="K32" s="41">
        <v>206.84</v>
      </c>
      <c r="L32" s="41">
        <v>21.29</v>
      </c>
      <c r="M32" s="41">
        <v>60.38</v>
      </c>
      <c r="N32" s="41">
        <v>0.9</v>
      </c>
      <c r="O32" s="41">
        <v>0</v>
      </c>
      <c r="P32" s="41">
        <v>0.8</v>
      </c>
      <c r="Q32" s="41">
        <v>28.56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3.39</v>
      </c>
      <c r="C34" s="18">
        <f t="shared" si="0"/>
        <v>21.91</v>
      </c>
      <c r="D34" s="18">
        <f t="shared" si="0"/>
        <v>15.46</v>
      </c>
      <c r="E34" s="18">
        <f t="shared" si="0"/>
        <v>11.16</v>
      </c>
      <c r="F34" s="18">
        <f t="shared" si="0"/>
        <v>3.91</v>
      </c>
      <c r="G34" s="18">
        <f t="shared" si="0"/>
        <v>48.27</v>
      </c>
      <c r="H34" s="18">
        <f t="shared" si="0"/>
        <v>14.54</v>
      </c>
      <c r="I34" s="18">
        <f t="shared" si="0"/>
        <v>7.39</v>
      </c>
      <c r="J34" s="18">
        <f t="shared" si="0"/>
        <v>0.2</v>
      </c>
      <c r="K34" s="18">
        <f t="shared" si="0"/>
        <v>45.08</v>
      </c>
      <c r="L34" s="18">
        <f t="shared" si="0"/>
        <v>16.47</v>
      </c>
      <c r="M34" s="18">
        <f t="shared" si="0"/>
        <v>15.95</v>
      </c>
      <c r="N34" s="18">
        <f t="shared" si="0"/>
        <v>0.8</v>
      </c>
      <c r="O34" s="18">
        <f t="shared" si="0"/>
        <v>0</v>
      </c>
      <c r="P34" s="18">
        <f t="shared" si="0"/>
        <v>0.39</v>
      </c>
      <c r="Q34" s="18">
        <f t="shared" si="0"/>
        <v>5.76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35.17</v>
      </c>
      <c r="C35" s="3">
        <f t="shared" si="1"/>
        <v>37.97</v>
      </c>
      <c r="D35" s="3">
        <f t="shared" si="1"/>
        <v>42.92</v>
      </c>
      <c r="E35" s="3">
        <f t="shared" si="1"/>
        <v>28.02</v>
      </c>
      <c r="F35" s="3">
        <f t="shared" si="1"/>
        <v>17.79</v>
      </c>
      <c r="G35" s="3">
        <f t="shared" si="1"/>
        <v>114.07</v>
      </c>
      <c r="H35" s="3">
        <f t="shared" si="1"/>
        <v>72.55</v>
      </c>
      <c r="I35" s="3">
        <f t="shared" si="1"/>
        <v>14.76</v>
      </c>
      <c r="J35" s="3">
        <f t="shared" si="1"/>
        <v>1.75</v>
      </c>
      <c r="K35" s="3">
        <f t="shared" si="1"/>
        <v>333.33</v>
      </c>
      <c r="L35" s="3">
        <f t="shared" si="1"/>
        <v>34.61</v>
      </c>
      <c r="M35" s="3">
        <f t="shared" si="1"/>
        <v>75.92</v>
      </c>
      <c r="N35" s="3">
        <f t="shared" si="1"/>
        <v>368.7</v>
      </c>
      <c r="O35" s="3">
        <f t="shared" si="1"/>
        <v>0</v>
      </c>
      <c r="P35" s="3">
        <f t="shared" si="1"/>
        <v>1.27</v>
      </c>
      <c r="Q35" s="3">
        <f t="shared" si="1"/>
        <v>28.56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19.526666666666667</v>
      </c>
      <c r="C36" s="18">
        <f t="shared" si="2"/>
        <v>27.239583333333329</v>
      </c>
      <c r="D36" s="18">
        <f t="shared" si="2"/>
        <v>31.076250000000005</v>
      </c>
      <c r="E36" s="18">
        <f t="shared" si="2"/>
        <v>15.880416666666667</v>
      </c>
      <c r="F36" s="18">
        <f t="shared" si="2"/>
        <v>7.4379166666666654</v>
      </c>
      <c r="G36" s="18">
        <f t="shared" si="2"/>
        <v>80.91478260869566</v>
      </c>
      <c r="H36" s="18">
        <f t="shared" si="2"/>
        <v>29.68304347826086</v>
      </c>
      <c r="I36" s="18">
        <f t="shared" si="2"/>
        <v>11.554999999999998</v>
      </c>
      <c r="J36" s="18">
        <f t="shared" si="2"/>
        <v>0.69833333333333325</v>
      </c>
      <c r="K36" s="18">
        <f t="shared" si="2"/>
        <v>154.49916666666667</v>
      </c>
      <c r="L36" s="18">
        <f t="shared" si="2"/>
        <v>25.440416666666668</v>
      </c>
      <c r="M36" s="18">
        <f t="shared" si="2"/>
        <v>45.505833333333335</v>
      </c>
      <c r="N36" s="18">
        <f t="shared" si="2"/>
        <v>107.54166666666663</v>
      </c>
      <c r="O36" s="18">
        <f t="shared" si="2"/>
        <v>0</v>
      </c>
      <c r="P36" s="18">
        <f t="shared" si="2"/>
        <v>0.85625000000000018</v>
      </c>
      <c r="Q36" s="18">
        <f t="shared" si="2"/>
        <v>15.058750000000002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10.024830332150561</v>
      </c>
      <c r="C37" s="18">
        <f t="shared" ref="C37:Q37" si="3">STDEV(C9:C32)</f>
        <v>5.4533208703039895</v>
      </c>
      <c r="D37" s="18">
        <f t="shared" si="3"/>
        <v>8.833649505552966</v>
      </c>
      <c r="E37" s="18">
        <f t="shared" si="3"/>
        <v>5.7610736311956607</v>
      </c>
      <c r="F37" s="18">
        <f t="shared" si="3"/>
        <v>4.5139108457288355</v>
      </c>
      <c r="G37" s="18">
        <f t="shared" si="3"/>
        <v>20.472976394520412</v>
      </c>
      <c r="H37" s="18">
        <f t="shared" si="3"/>
        <v>18.490627216556515</v>
      </c>
      <c r="I37" s="18">
        <f t="shared" si="3"/>
        <v>2.2393205491262731</v>
      </c>
      <c r="J37" s="18">
        <f t="shared" si="3"/>
        <v>0.51191598042500386</v>
      </c>
      <c r="K37" s="18">
        <f t="shared" si="3"/>
        <v>81.927905418312093</v>
      </c>
      <c r="L37" s="18">
        <f t="shared" si="3"/>
        <v>6.2367602230412853</v>
      </c>
      <c r="M37" s="18">
        <f t="shared" si="3"/>
        <v>21.267425574801237</v>
      </c>
      <c r="N37" s="18">
        <f t="shared" si="3"/>
        <v>152.5401612595891</v>
      </c>
      <c r="O37" s="18">
        <f t="shared" si="3"/>
        <v>0</v>
      </c>
      <c r="P37" s="18">
        <f t="shared" si="3"/>
        <v>0.30977990082721835</v>
      </c>
      <c r="Q37" s="18">
        <f t="shared" si="3"/>
        <v>10.468404351853867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H23" sqref="H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301</v>
      </c>
      <c r="B9" s="41">
        <v>27.53</v>
      </c>
      <c r="C9" s="41">
        <v>24.11</v>
      </c>
      <c r="D9" s="41">
        <v>36.03</v>
      </c>
      <c r="E9" s="41">
        <v>12.18</v>
      </c>
      <c r="F9" s="42">
        <v>4.6399999999999997</v>
      </c>
      <c r="G9" s="41">
        <v>88.65</v>
      </c>
      <c r="H9" s="41">
        <v>26.78</v>
      </c>
      <c r="I9" s="41">
        <v>11.08</v>
      </c>
      <c r="J9" s="41">
        <v>0.24</v>
      </c>
      <c r="K9" s="41">
        <v>196.63</v>
      </c>
      <c r="L9" s="41">
        <v>21.01</v>
      </c>
      <c r="M9" s="41">
        <v>62.28</v>
      </c>
      <c r="N9" s="41">
        <v>1.3</v>
      </c>
      <c r="O9" s="41">
        <v>0</v>
      </c>
      <c r="P9" s="41">
        <v>0.86</v>
      </c>
      <c r="Q9" s="41">
        <v>28.99</v>
      </c>
      <c r="R9" s="38"/>
      <c r="S9" s="38"/>
      <c r="T9" s="38"/>
      <c r="U9" s="38"/>
    </row>
    <row r="10" spans="1:21" customFormat="1">
      <c r="A10" s="40" t="s">
        <v>302</v>
      </c>
      <c r="B10" s="41">
        <v>32.049999999999997</v>
      </c>
      <c r="C10" s="41">
        <v>24.18</v>
      </c>
      <c r="D10" s="41">
        <v>39.31</v>
      </c>
      <c r="E10" s="41">
        <v>12.33</v>
      </c>
      <c r="F10" s="42">
        <v>4.57</v>
      </c>
      <c r="G10" s="41">
        <v>90.86</v>
      </c>
      <c r="H10" s="41">
        <v>26.78</v>
      </c>
      <c r="I10" s="41">
        <v>11.5</v>
      </c>
      <c r="J10" s="41">
        <v>0.21</v>
      </c>
      <c r="K10" s="41">
        <v>200.69</v>
      </c>
      <c r="L10" s="41">
        <v>19.829999999999998</v>
      </c>
      <c r="M10" s="41">
        <v>68.62</v>
      </c>
      <c r="N10" s="41">
        <v>1.3</v>
      </c>
      <c r="O10" s="41">
        <v>0</v>
      </c>
      <c r="P10" s="41">
        <v>0.9</v>
      </c>
      <c r="Q10" s="41">
        <v>29.19</v>
      </c>
      <c r="R10" s="38"/>
      <c r="S10" s="38"/>
      <c r="T10" s="38"/>
      <c r="U10" s="38"/>
    </row>
    <row r="11" spans="1:21" customFormat="1">
      <c r="A11" s="40" t="s">
        <v>303</v>
      </c>
      <c r="B11" s="41">
        <v>33.06</v>
      </c>
      <c r="C11" s="41">
        <v>23.27</v>
      </c>
      <c r="D11" s="41">
        <v>39.67</v>
      </c>
      <c r="E11" s="41">
        <v>10.07</v>
      </c>
      <c r="F11" s="42">
        <v>4.57</v>
      </c>
      <c r="G11" s="41">
        <v>90.86</v>
      </c>
      <c r="H11" s="41">
        <v>26.53</v>
      </c>
      <c r="I11" s="41">
        <v>12.02</v>
      </c>
      <c r="J11" s="41">
        <v>0.32</v>
      </c>
      <c r="K11" s="41">
        <v>205.19</v>
      </c>
      <c r="L11" s="41">
        <v>19.38</v>
      </c>
      <c r="M11" s="41">
        <v>70.23</v>
      </c>
      <c r="N11" s="41">
        <v>1.2</v>
      </c>
      <c r="O11" s="41">
        <v>0</v>
      </c>
      <c r="P11" s="41">
        <v>0.96</v>
      </c>
      <c r="Q11" s="41">
        <v>29.27</v>
      </c>
      <c r="R11" s="38"/>
      <c r="S11" s="38"/>
      <c r="T11" s="38"/>
      <c r="U11" s="38"/>
    </row>
    <row r="12" spans="1:21" customFormat="1">
      <c r="A12" s="40" t="s">
        <v>304</v>
      </c>
      <c r="B12" s="41">
        <v>36.76</v>
      </c>
      <c r="C12" s="41">
        <v>22.95</v>
      </c>
      <c r="D12" s="41">
        <v>42.8</v>
      </c>
      <c r="E12" s="41">
        <v>10.4</v>
      </c>
      <c r="F12" s="42">
        <v>4.72</v>
      </c>
      <c r="G12" s="41">
        <v>89.31</v>
      </c>
      <c r="H12" s="41">
        <v>26.53</v>
      </c>
      <c r="I12" s="41">
        <v>12.75</v>
      </c>
      <c r="J12" s="41">
        <v>0.22</v>
      </c>
      <c r="K12" s="41">
        <v>205.67</v>
      </c>
      <c r="L12" s="41">
        <v>18.72</v>
      </c>
      <c r="M12" s="41">
        <v>72.599999999999994</v>
      </c>
      <c r="N12" s="41">
        <v>1</v>
      </c>
      <c r="O12" s="41">
        <v>0</v>
      </c>
      <c r="P12" s="41">
        <v>1.01</v>
      </c>
      <c r="Q12" s="41">
        <v>29.4</v>
      </c>
      <c r="R12" s="38"/>
      <c r="S12" s="38"/>
      <c r="T12" s="38"/>
      <c r="U12" s="38"/>
    </row>
    <row r="13" spans="1:21" customFormat="1">
      <c r="A13" s="40" t="s">
        <v>305</v>
      </c>
      <c r="B13" s="41">
        <v>43.98</v>
      </c>
      <c r="C13" s="41">
        <v>24.32</v>
      </c>
      <c r="D13" s="41">
        <v>49.32</v>
      </c>
      <c r="E13" s="41">
        <v>10.91</v>
      </c>
      <c r="F13" s="42">
        <v>4.3899999999999997</v>
      </c>
      <c r="G13" s="41">
        <v>90.43</v>
      </c>
      <c r="H13" s="41">
        <v>25.87</v>
      </c>
      <c r="I13" s="41">
        <v>13.89</v>
      </c>
      <c r="J13" s="41">
        <v>0.27</v>
      </c>
      <c r="K13" s="41">
        <v>162.76</v>
      </c>
      <c r="L13" s="41">
        <v>19.11</v>
      </c>
      <c r="M13" s="41">
        <v>68.19</v>
      </c>
      <c r="N13" s="41">
        <v>1</v>
      </c>
      <c r="O13" s="41">
        <v>0</v>
      </c>
      <c r="P13" s="41">
        <v>1.05</v>
      </c>
      <c r="Q13" s="41">
        <v>29.66</v>
      </c>
      <c r="R13" s="38"/>
      <c r="S13" s="38"/>
      <c r="T13" s="38"/>
      <c r="U13" s="38"/>
    </row>
    <row r="14" spans="1:21" customFormat="1">
      <c r="A14" s="40" t="s">
        <v>306</v>
      </c>
      <c r="B14" s="41">
        <v>47.28</v>
      </c>
      <c r="C14" s="41">
        <v>24.84</v>
      </c>
      <c r="D14" s="41">
        <v>52.24</v>
      </c>
      <c r="E14" s="41">
        <v>11.34</v>
      </c>
      <c r="F14" s="42">
        <v>4.66</v>
      </c>
      <c r="G14" s="41">
        <v>93.71</v>
      </c>
      <c r="H14" s="41">
        <v>27.27</v>
      </c>
      <c r="I14" s="41">
        <v>14.93</v>
      </c>
      <c r="J14" s="41">
        <v>0.25</v>
      </c>
      <c r="K14" s="41">
        <v>202.12</v>
      </c>
      <c r="L14" s="41">
        <v>18.100000000000001</v>
      </c>
      <c r="M14" s="41">
        <v>75.290000000000006</v>
      </c>
      <c r="N14" s="41">
        <v>1.4</v>
      </c>
      <c r="O14" s="41">
        <v>0</v>
      </c>
      <c r="P14" s="41">
        <v>1.1100000000000001</v>
      </c>
      <c r="Q14" s="41">
        <v>29.81</v>
      </c>
      <c r="R14" s="38"/>
      <c r="S14" s="38"/>
      <c r="T14" s="38"/>
      <c r="U14" s="38"/>
    </row>
    <row r="15" spans="1:21" customFormat="1">
      <c r="A15" s="40" t="s">
        <v>307</v>
      </c>
      <c r="B15" s="41">
        <v>46.44</v>
      </c>
      <c r="C15" s="41">
        <v>24.58</v>
      </c>
      <c r="D15" s="41">
        <v>51.43</v>
      </c>
      <c r="E15" s="41">
        <v>11.11</v>
      </c>
      <c r="F15" s="42">
        <v>4.53</v>
      </c>
      <c r="G15" s="41">
        <v>93.76</v>
      </c>
      <c r="H15" s="41">
        <v>27.27</v>
      </c>
      <c r="I15" s="41">
        <v>15.04</v>
      </c>
      <c r="J15" s="41">
        <v>0.22</v>
      </c>
      <c r="K15" s="41">
        <v>200.96</v>
      </c>
      <c r="L15" s="41">
        <v>17.48</v>
      </c>
      <c r="M15" s="41">
        <v>76.94</v>
      </c>
      <c r="N15" s="41">
        <v>16.600000000000001</v>
      </c>
      <c r="O15" s="41">
        <v>0</v>
      </c>
      <c r="P15" s="41">
        <v>1.1200000000000001</v>
      </c>
      <c r="Q15" s="41">
        <v>29.77</v>
      </c>
      <c r="R15" s="38"/>
      <c r="S15" s="38"/>
      <c r="T15" s="38"/>
      <c r="U15" s="38"/>
    </row>
    <row r="16" spans="1:21" customFormat="1">
      <c r="A16" s="40" t="s">
        <v>308</v>
      </c>
      <c r="B16" s="41">
        <v>44.48</v>
      </c>
      <c r="C16" s="41">
        <v>25.04</v>
      </c>
      <c r="D16" s="41">
        <v>49.81</v>
      </c>
      <c r="E16" s="41">
        <v>11.47</v>
      </c>
      <c r="F16" s="42">
        <v>4.4400000000000004</v>
      </c>
      <c r="G16" s="41">
        <v>93.76</v>
      </c>
      <c r="H16" s="41">
        <v>26.58</v>
      </c>
      <c r="I16" s="41">
        <v>15.15</v>
      </c>
      <c r="J16" s="41">
        <v>0.28999999999999998</v>
      </c>
      <c r="K16" s="41">
        <v>234.82</v>
      </c>
      <c r="L16" s="41">
        <v>21.58</v>
      </c>
      <c r="M16" s="41">
        <v>73.97</v>
      </c>
      <c r="N16" s="41">
        <v>55.2</v>
      </c>
      <c r="O16" s="41">
        <v>0</v>
      </c>
      <c r="P16" s="41">
        <v>1.1299999999999999</v>
      </c>
      <c r="Q16" s="41">
        <v>29.65</v>
      </c>
      <c r="R16" s="38"/>
      <c r="S16" s="38"/>
      <c r="T16" s="38"/>
      <c r="U16" s="38"/>
    </row>
    <row r="17" spans="1:21" customFormat="1">
      <c r="A17" s="40" t="s">
        <v>309</v>
      </c>
      <c r="B17" s="41">
        <v>37.83</v>
      </c>
      <c r="C17" s="41">
        <v>28.69</v>
      </c>
      <c r="D17" s="41">
        <v>45.14</v>
      </c>
      <c r="E17" s="41">
        <v>11.5</v>
      </c>
      <c r="F17" s="42">
        <v>4.72</v>
      </c>
      <c r="G17" s="41">
        <v>91.66</v>
      </c>
      <c r="H17" s="41">
        <v>28.41</v>
      </c>
      <c r="I17" s="41">
        <v>15.1</v>
      </c>
      <c r="J17" s="41">
        <v>0.35</v>
      </c>
      <c r="K17" s="41">
        <v>245.01</v>
      </c>
      <c r="L17" s="41">
        <v>26.04</v>
      </c>
      <c r="M17" s="41">
        <v>50.22</v>
      </c>
      <c r="N17" s="41">
        <v>222.8</v>
      </c>
      <c r="O17" s="41">
        <v>0</v>
      </c>
      <c r="P17" s="41">
        <v>1.1200000000000001</v>
      </c>
      <c r="Q17" s="41">
        <v>29.4</v>
      </c>
      <c r="R17" s="38"/>
      <c r="S17" s="38"/>
      <c r="T17" s="38"/>
      <c r="U17" s="38"/>
    </row>
    <row r="18" spans="1:21" customFormat="1">
      <c r="A18" s="40" t="s">
        <v>310</v>
      </c>
      <c r="B18" s="41">
        <v>26.99</v>
      </c>
      <c r="C18" s="41">
        <v>30.46</v>
      </c>
      <c r="D18" s="41">
        <v>38.479999999999997</v>
      </c>
      <c r="E18" s="41">
        <v>12.89</v>
      </c>
      <c r="F18" s="42">
        <v>5.12</v>
      </c>
      <c r="G18" s="41">
        <v>90.54</v>
      </c>
      <c r="H18" s="41">
        <v>38.24</v>
      </c>
      <c r="I18" s="41">
        <v>14.72</v>
      </c>
      <c r="J18" s="41">
        <v>0.72</v>
      </c>
      <c r="K18" s="41">
        <v>260.69</v>
      </c>
      <c r="L18" s="41">
        <v>29.23</v>
      </c>
      <c r="M18" s="41">
        <v>38.24</v>
      </c>
      <c r="N18" s="41">
        <v>280.39999999999998</v>
      </c>
      <c r="O18" s="41">
        <v>0</v>
      </c>
      <c r="P18" s="41">
        <v>1.08</v>
      </c>
      <c r="Q18" s="41">
        <v>28.97</v>
      </c>
      <c r="R18" s="38"/>
      <c r="S18" s="38"/>
      <c r="T18" s="38"/>
      <c r="U18" s="38"/>
    </row>
    <row r="19" spans="1:21" customFormat="1">
      <c r="A19" s="40" t="s">
        <v>311</v>
      </c>
      <c r="B19" s="41">
        <v>16.18</v>
      </c>
      <c r="C19" s="41">
        <v>30.33</v>
      </c>
      <c r="D19" s="41">
        <v>30.17</v>
      </c>
      <c r="E19" s="41">
        <v>12.88</v>
      </c>
      <c r="F19" s="42">
        <v>5.63</v>
      </c>
      <c r="G19" s="41">
        <v>83.66</v>
      </c>
      <c r="H19" s="41">
        <v>39.31</v>
      </c>
      <c r="I19" s="41">
        <v>13.44</v>
      </c>
      <c r="J19" s="41">
        <v>0.65</v>
      </c>
      <c r="K19" s="41">
        <v>268.68</v>
      </c>
      <c r="L19" s="41">
        <v>32</v>
      </c>
      <c r="M19" s="41">
        <v>31.56</v>
      </c>
      <c r="N19" s="41">
        <v>329.4</v>
      </c>
      <c r="O19" s="41">
        <v>0</v>
      </c>
      <c r="P19" s="41">
        <v>1.01</v>
      </c>
      <c r="Q19" s="41">
        <v>28.54</v>
      </c>
      <c r="R19" s="38"/>
      <c r="S19" s="38"/>
      <c r="T19" s="38"/>
      <c r="U19" s="38"/>
    </row>
    <row r="20" spans="1:21" customFormat="1">
      <c r="A20" s="40" t="s">
        <v>312</v>
      </c>
      <c r="B20" s="41">
        <v>7.73</v>
      </c>
      <c r="C20" s="41">
        <v>29.57</v>
      </c>
      <c r="D20" s="41">
        <v>23</v>
      </c>
      <c r="E20" s="41">
        <v>15.35</v>
      </c>
      <c r="F20" s="42">
        <v>9.24</v>
      </c>
      <c r="G20" s="41">
        <v>68.95</v>
      </c>
      <c r="H20" s="41">
        <v>42.5</v>
      </c>
      <c r="I20" s="41">
        <v>12.22</v>
      </c>
      <c r="J20" s="41">
        <v>0.81</v>
      </c>
      <c r="K20" s="41">
        <v>310.79000000000002</v>
      </c>
      <c r="L20" s="41">
        <v>33.369999999999997</v>
      </c>
      <c r="M20" s="41">
        <v>25.32</v>
      </c>
      <c r="N20" s="41">
        <v>317.7</v>
      </c>
      <c r="O20" s="41">
        <v>0</v>
      </c>
      <c r="P20" s="41">
        <v>0.94</v>
      </c>
      <c r="Q20" s="41">
        <v>28.19</v>
      </c>
      <c r="R20" s="38"/>
      <c r="S20" s="38"/>
      <c r="T20" s="38"/>
      <c r="U20" s="38"/>
    </row>
    <row r="21" spans="1:21" customFormat="1">
      <c r="A21" s="40" t="s">
        <v>313</v>
      </c>
      <c r="B21" s="41">
        <v>4.04</v>
      </c>
      <c r="C21" s="41">
        <v>26.7</v>
      </c>
      <c r="D21" s="41">
        <v>18.55</v>
      </c>
      <c r="E21" s="41">
        <v>15.63</v>
      </c>
      <c r="F21" s="42">
        <v>9.1</v>
      </c>
      <c r="G21" s="41">
        <v>67.260000000000005</v>
      </c>
      <c r="H21" s="41">
        <v>42.97</v>
      </c>
      <c r="I21" s="41">
        <v>10.76</v>
      </c>
      <c r="J21" s="41">
        <v>0.82</v>
      </c>
      <c r="K21" s="41">
        <v>314.63</v>
      </c>
      <c r="L21" s="41">
        <v>34.22</v>
      </c>
      <c r="M21" s="41">
        <v>24.37</v>
      </c>
      <c r="N21" s="41">
        <v>354.2</v>
      </c>
      <c r="O21" s="41">
        <v>0</v>
      </c>
      <c r="P21" s="41">
        <v>0.85</v>
      </c>
      <c r="Q21" s="41">
        <v>28.03</v>
      </c>
      <c r="R21" s="38"/>
      <c r="S21" s="38"/>
      <c r="T21" s="38"/>
      <c r="U21" s="38"/>
    </row>
    <row r="22" spans="1:21" customFormat="1">
      <c r="A22" s="40" t="s">
        <v>314</v>
      </c>
      <c r="B22" s="41">
        <v>3.94</v>
      </c>
      <c r="C22" s="41">
        <v>23.51</v>
      </c>
      <c r="D22" s="41">
        <v>16.46</v>
      </c>
      <c r="E22" s="41">
        <v>14.4</v>
      </c>
      <c r="F22" s="42">
        <v>10.37</v>
      </c>
      <c r="G22" s="41">
        <v>65.14</v>
      </c>
      <c r="H22" s="41">
        <v>42.97</v>
      </c>
      <c r="I22" s="41">
        <v>9.82</v>
      </c>
      <c r="J22" s="41">
        <v>0.61</v>
      </c>
      <c r="K22" s="41">
        <v>306.95999999999998</v>
      </c>
      <c r="L22" s="41">
        <v>35.770000000000003</v>
      </c>
      <c r="M22" s="41">
        <v>17.57</v>
      </c>
      <c r="N22" s="41">
        <v>365.2</v>
      </c>
      <c r="O22" s="41">
        <v>0</v>
      </c>
      <c r="P22" s="41">
        <v>0.78</v>
      </c>
      <c r="Q22" s="41">
        <v>28.02</v>
      </c>
      <c r="R22" s="38"/>
      <c r="S22" s="38"/>
      <c r="T22" s="38"/>
      <c r="U22" s="38"/>
    </row>
    <row r="23" spans="1:21" customFormat="1">
      <c r="A23" s="40" t="s">
        <v>315</v>
      </c>
      <c r="B23" s="41">
        <v>4.6500000000000004</v>
      </c>
      <c r="C23" s="41">
        <v>20.07</v>
      </c>
      <c r="D23" s="41">
        <v>15.04</v>
      </c>
      <c r="E23" s="41">
        <v>13.04</v>
      </c>
      <c r="F23" s="42">
        <v>12.27</v>
      </c>
      <c r="G23" s="41">
        <v>58.69</v>
      </c>
      <c r="H23" s="41">
        <v>41.93</v>
      </c>
      <c r="I23" s="41">
        <v>8.7100000000000009</v>
      </c>
      <c r="J23" s="41">
        <v>0.67</v>
      </c>
      <c r="K23" s="41">
        <v>301.39</v>
      </c>
      <c r="L23" s="41">
        <v>36.130000000000003</v>
      </c>
      <c r="M23" s="41">
        <v>16.989999999999998</v>
      </c>
      <c r="N23" s="41">
        <v>349.5</v>
      </c>
      <c r="O23" s="41">
        <v>0</v>
      </c>
      <c r="P23" s="41">
        <v>0.66</v>
      </c>
      <c r="Q23" s="41">
        <v>27.99</v>
      </c>
      <c r="R23" s="38"/>
      <c r="S23" s="38"/>
      <c r="T23" s="38"/>
      <c r="U23" s="38"/>
    </row>
    <row r="24" spans="1:21" customFormat="1">
      <c r="A24" s="40" t="s">
        <v>316</v>
      </c>
      <c r="B24" s="41">
        <v>4.3499999999999996</v>
      </c>
      <c r="C24" s="41">
        <v>19.52</v>
      </c>
      <c r="D24" s="41">
        <v>14.78</v>
      </c>
      <c r="E24" s="41">
        <v>14.86</v>
      </c>
      <c r="F24" s="42">
        <v>10.94</v>
      </c>
      <c r="G24" s="41">
        <v>47.27</v>
      </c>
      <c r="H24" s="41">
        <v>38.25</v>
      </c>
      <c r="I24" s="41">
        <v>8.18</v>
      </c>
      <c r="J24" s="41">
        <v>0.19</v>
      </c>
      <c r="K24" s="41">
        <v>226.56</v>
      </c>
      <c r="L24" s="41">
        <v>34.71</v>
      </c>
      <c r="M24" s="41">
        <v>18.29</v>
      </c>
      <c r="N24" s="41">
        <v>70.2</v>
      </c>
      <c r="O24" s="41">
        <v>0</v>
      </c>
      <c r="P24" s="41">
        <v>0.54</v>
      </c>
      <c r="Q24" s="41">
        <v>27.99</v>
      </c>
      <c r="R24" s="38"/>
      <c r="S24" s="38"/>
      <c r="T24" s="38"/>
      <c r="U24" s="38"/>
    </row>
    <row r="25" spans="1:21" customFormat="1">
      <c r="A25" s="40" t="s">
        <v>317</v>
      </c>
      <c r="B25" s="41">
        <v>3.27</v>
      </c>
      <c r="C25" s="41">
        <v>18.57</v>
      </c>
      <c r="D25" s="41">
        <v>13.67</v>
      </c>
      <c r="E25" s="41">
        <v>18.8</v>
      </c>
      <c r="F25" s="42">
        <v>11.05</v>
      </c>
      <c r="G25" s="41">
        <v>46.69</v>
      </c>
      <c r="H25" s="41">
        <v>36.299999999999997</v>
      </c>
      <c r="I25" s="41">
        <v>7.02</v>
      </c>
      <c r="J25" s="41">
        <v>0.25</v>
      </c>
      <c r="K25" s="41">
        <v>163.87</v>
      </c>
      <c r="L25" s="41">
        <v>34.44</v>
      </c>
      <c r="M25" s="41">
        <v>19.77</v>
      </c>
      <c r="N25" s="41">
        <v>67</v>
      </c>
      <c r="O25" s="41">
        <v>0</v>
      </c>
      <c r="P25" s="41">
        <v>0.53</v>
      </c>
      <c r="Q25" s="41">
        <v>27.99</v>
      </c>
      <c r="R25" s="38"/>
      <c r="S25" s="38"/>
      <c r="T25" s="38"/>
      <c r="U25" s="38"/>
    </row>
    <row r="26" spans="1:21" customFormat="1">
      <c r="A26" s="40" t="s">
        <v>318</v>
      </c>
      <c r="B26" s="41">
        <v>3.37</v>
      </c>
      <c r="C26" s="41">
        <v>19.760000000000002</v>
      </c>
      <c r="D26" s="41">
        <v>14.38</v>
      </c>
      <c r="E26" s="41">
        <v>19.670000000000002</v>
      </c>
      <c r="F26" s="42">
        <v>7.52</v>
      </c>
      <c r="G26" s="41">
        <v>49.52</v>
      </c>
      <c r="H26" s="41">
        <v>34.979999999999997</v>
      </c>
      <c r="I26" s="41">
        <v>6.84</v>
      </c>
      <c r="J26" s="41">
        <v>0.32</v>
      </c>
      <c r="K26" s="41">
        <v>166.4</v>
      </c>
      <c r="L26" s="41">
        <v>33.090000000000003</v>
      </c>
      <c r="M26" s="41">
        <v>29.67</v>
      </c>
      <c r="N26" s="41">
        <v>25.6</v>
      </c>
      <c r="O26" s="41">
        <v>0</v>
      </c>
      <c r="P26" s="41">
        <v>0.63</v>
      </c>
      <c r="Q26" s="41">
        <v>28.01</v>
      </c>
      <c r="R26" s="38"/>
      <c r="S26" s="38"/>
      <c r="T26" s="38"/>
      <c r="U26" s="38"/>
    </row>
    <row r="27" spans="1:21" customFormat="1">
      <c r="A27" s="40" t="s">
        <v>319</v>
      </c>
      <c r="B27" s="41">
        <v>3.73</v>
      </c>
      <c r="C27" s="41">
        <v>25.25</v>
      </c>
      <c r="D27" s="41">
        <v>17.54</v>
      </c>
      <c r="E27" s="41">
        <v>13.31</v>
      </c>
      <c r="F27" s="42">
        <v>4.99</v>
      </c>
      <c r="G27" s="41">
        <v>72.180000000000007</v>
      </c>
      <c r="H27" s="41">
        <v>38.619999999999997</v>
      </c>
      <c r="I27" s="41">
        <v>8.2100000000000009</v>
      </c>
      <c r="J27" s="41">
        <v>0.28000000000000003</v>
      </c>
      <c r="K27" s="41">
        <v>166.56</v>
      </c>
      <c r="L27" s="41">
        <v>30.28</v>
      </c>
      <c r="M27" s="41">
        <v>43.68</v>
      </c>
      <c r="N27" s="41">
        <v>2.1</v>
      </c>
      <c r="O27" s="41">
        <v>0</v>
      </c>
      <c r="P27" s="41">
        <v>0.74</v>
      </c>
      <c r="Q27" s="41">
        <v>28.03</v>
      </c>
      <c r="R27" s="38"/>
      <c r="S27" s="38"/>
      <c r="T27" s="38"/>
      <c r="U27" s="38"/>
    </row>
    <row r="28" spans="1:21" customFormat="1">
      <c r="A28" s="40" t="s">
        <v>320</v>
      </c>
      <c r="B28" s="41">
        <v>4.47</v>
      </c>
      <c r="C28" s="41">
        <v>26.11</v>
      </c>
      <c r="D28" s="41">
        <v>18.239999999999998</v>
      </c>
      <c r="E28" s="41">
        <v>13.1</v>
      </c>
      <c r="F28" s="42">
        <v>4.72</v>
      </c>
      <c r="G28" s="41">
        <v>79.430000000000007</v>
      </c>
      <c r="H28" s="41">
        <v>41.92</v>
      </c>
      <c r="I28" s="41">
        <v>9.1300000000000008</v>
      </c>
      <c r="J28" s="41">
        <v>0.21</v>
      </c>
      <c r="K28" s="41">
        <v>200.1</v>
      </c>
      <c r="L28" s="41">
        <v>27</v>
      </c>
      <c r="M28" s="41">
        <v>46.66</v>
      </c>
      <c r="N28" s="41">
        <v>1.9</v>
      </c>
      <c r="O28" s="41">
        <v>0</v>
      </c>
      <c r="P28" s="41">
        <v>0.86</v>
      </c>
      <c r="Q28" s="41">
        <v>28.04</v>
      </c>
      <c r="R28" s="38"/>
      <c r="S28" s="38"/>
      <c r="T28" s="38"/>
      <c r="U28" s="38"/>
    </row>
    <row r="29" spans="1:21" customFormat="1">
      <c r="A29" s="40" t="s">
        <v>321</v>
      </c>
      <c r="B29" s="41">
        <v>4.72</v>
      </c>
      <c r="C29" s="41">
        <v>24.48</v>
      </c>
      <c r="D29" s="41">
        <v>17.77</v>
      </c>
      <c r="E29" s="41">
        <v>12.24</v>
      </c>
      <c r="F29" s="42">
        <v>4.5999999999999996</v>
      </c>
      <c r="G29" s="41">
        <v>92.42</v>
      </c>
      <c r="H29" s="41">
        <v>41.92</v>
      </c>
      <c r="I29" s="41">
        <v>9.2899999999999991</v>
      </c>
      <c r="J29" s="41">
        <v>0.25</v>
      </c>
      <c r="K29" s="41">
        <v>185.85</v>
      </c>
      <c r="L29" s="41">
        <v>25.07</v>
      </c>
      <c r="M29" s="41">
        <v>54.72</v>
      </c>
      <c r="N29" s="41">
        <v>1.4</v>
      </c>
      <c r="O29" s="41">
        <v>0</v>
      </c>
      <c r="P29" s="41">
        <v>0.86</v>
      </c>
      <c r="Q29" s="41">
        <v>28.08</v>
      </c>
      <c r="R29" s="38"/>
      <c r="S29" s="38"/>
      <c r="T29" s="38"/>
      <c r="U29" s="38"/>
    </row>
    <row r="30" spans="1:21" customFormat="1">
      <c r="A30" s="40" t="s">
        <v>322</v>
      </c>
      <c r="B30" s="41">
        <v>5.51</v>
      </c>
      <c r="C30" s="41">
        <v>22.64</v>
      </c>
      <c r="D30" s="41">
        <v>17.399999999999999</v>
      </c>
      <c r="E30" s="41">
        <v>11.74</v>
      </c>
      <c r="F30" s="42">
        <v>4.47</v>
      </c>
      <c r="G30" s="41">
        <v>102.24</v>
      </c>
      <c r="H30" s="41">
        <v>37.799999999999997</v>
      </c>
      <c r="I30" s="41">
        <v>9.7200000000000006</v>
      </c>
      <c r="J30" s="41">
        <v>0.24</v>
      </c>
      <c r="K30" s="41">
        <v>211.78</v>
      </c>
      <c r="L30" s="41">
        <v>24.28</v>
      </c>
      <c r="M30" s="41">
        <v>56.78</v>
      </c>
      <c r="N30" s="41">
        <v>1.3</v>
      </c>
      <c r="O30" s="41">
        <v>0</v>
      </c>
      <c r="P30" s="41">
        <v>0.91</v>
      </c>
      <c r="Q30" s="41">
        <v>28.11</v>
      </c>
      <c r="R30" s="38"/>
      <c r="S30" s="38"/>
      <c r="T30" s="38"/>
      <c r="U30" s="38"/>
    </row>
    <row r="31" spans="1:21" customFormat="1">
      <c r="A31" s="40" t="s">
        <v>323</v>
      </c>
      <c r="B31" s="41">
        <v>6.29</v>
      </c>
      <c r="C31" s="41">
        <v>22.19</v>
      </c>
      <c r="D31" s="41">
        <v>17.55</v>
      </c>
      <c r="E31" s="41">
        <v>10.71</v>
      </c>
      <c r="F31" s="42">
        <v>4.3600000000000003</v>
      </c>
      <c r="G31" s="41">
        <v>108.01</v>
      </c>
      <c r="H31" s="41">
        <v>37.42</v>
      </c>
      <c r="I31" s="41">
        <v>10.07</v>
      </c>
      <c r="J31" s="41">
        <v>0.23</v>
      </c>
      <c r="K31" s="41">
        <v>194.98</v>
      </c>
      <c r="L31" s="41">
        <v>22.81</v>
      </c>
      <c r="M31" s="41">
        <v>62.03</v>
      </c>
      <c r="N31" s="41">
        <v>1.4</v>
      </c>
      <c r="O31" s="41">
        <v>0</v>
      </c>
      <c r="P31" s="41">
        <v>0.93</v>
      </c>
      <c r="Q31" s="41">
        <v>28.14</v>
      </c>
      <c r="R31" s="38"/>
      <c r="S31" s="38"/>
      <c r="T31" s="38"/>
      <c r="U31" s="38"/>
    </row>
    <row r="32" spans="1:21" customFormat="1">
      <c r="A32" s="40" t="s">
        <v>324</v>
      </c>
      <c r="B32" s="41">
        <v>7.97</v>
      </c>
      <c r="C32" s="41">
        <v>21.59</v>
      </c>
      <c r="D32" s="41">
        <v>19.02</v>
      </c>
      <c r="E32" s="41">
        <v>10.81</v>
      </c>
      <c r="F32" s="42">
        <v>4.33</v>
      </c>
      <c r="G32" s="41">
        <v>110.66</v>
      </c>
      <c r="H32" s="41">
        <v>35.44</v>
      </c>
      <c r="I32" s="41">
        <v>10.7</v>
      </c>
      <c r="J32" s="41">
        <v>0.21</v>
      </c>
      <c r="K32" s="41">
        <v>272.43</v>
      </c>
      <c r="L32" s="41">
        <v>22.73</v>
      </c>
      <c r="M32" s="41">
        <v>60.09</v>
      </c>
      <c r="N32" s="41">
        <v>1</v>
      </c>
      <c r="O32" s="41">
        <v>0</v>
      </c>
      <c r="P32" s="41">
        <v>0.99</v>
      </c>
      <c r="Q32" s="41">
        <v>28.16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3.27</v>
      </c>
      <c r="C34" s="18">
        <f t="shared" si="0"/>
        <v>18.57</v>
      </c>
      <c r="D34" s="18">
        <f t="shared" si="0"/>
        <v>13.67</v>
      </c>
      <c r="E34" s="18">
        <f t="shared" si="0"/>
        <v>10.07</v>
      </c>
      <c r="F34" s="18">
        <f t="shared" si="0"/>
        <v>4.33</v>
      </c>
      <c r="G34" s="18">
        <f t="shared" si="0"/>
        <v>46.69</v>
      </c>
      <c r="H34" s="18">
        <f t="shared" si="0"/>
        <v>25.87</v>
      </c>
      <c r="I34" s="18">
        <f t="shared" si="0"/>
        <v>6.84</v>
      </c>
      <c r="J34" s="18">
        <f t="shared" si="0"/>
        <v>0.19</v>
      </c>
      <c r="K34" s="18">
        <f t="shared" si="0"/>
        <v>162.76</v>
      </c>
      <c r="L34" s="18">
        <f t="shared" si="0"/>
        <v>17.48</v>
      </c>
      <c r="M34" s="18">
        <f t="shared" si="0"/>
        <v>16.989999999999998</v>
      </c>
      <c r="N34" s="18">
        <f t="shared" si="0"/>
        <v>1</v>
      </c>
      <c r="O34" s="18">
        <f t="shared" si="0"/>
        <v>0</v>
      </c>
      <c r="P34" s="18">
        <f t="shared" si="0"/>
        <v>0.53</v>
      </c>
      <c r="Q34" s="18">
        <f t="shared" si="0"/>
        <v>27.99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47.28</v>
      </c>
      <c r="C35" s="3">
        <f t="shared" si="1"/>
        <v>30.46</v>
      </c>
      <c r="D35" s="3">
        <f t="shared" si="1"/>
        <v>52.24</v>
      </c>
      <c r="E35" s="3">
        <f t="shared" si="1"/>
        <v>19.670000000000002</v>
      </c>
      <c r="F35" s="3">
        <f t="shared" si="1"/>
        <v>12.27</v>
      </c>
      <c r="G35" s="3">
        <f t="shared" si="1"/>
        <v>110.66</v>
      </c>
      <c r="H35" s="3">
        <f t="shared" si="1"/>
        <v>42.97</v>
      </c>
      <c r="I35" s="3">
        <f t="shared" si="1"/>
        <v>15.15</v>
      </c>
      <c r="J35" s="3">
        <f t="shared" si="1"/>
        <v>0.82</v>
      </c>
      <c r="K35" s="3">
        <f t="shared" si="1"/>
        <v>314.63</v>
      </c>
      <c r="L35" s="3">
        <f t="shared" si="1"/>
        <v>36.130000000000003</v>
      </c>
      <c r="M35" s="3">
        <f t="shared" si="1"/>
        <v>76.94</v>
      </c>
      <c r="N35" s="3">
        <f t="shared" si="1"/>
        <v>365.2</v>
      </c>
      <c r="O35" s="3">
        <f t="shared" si="1"/>
        <v>0</v>
      </c>
      <c r="P35" s="3">
        <f t="shared" si="1"/>
        <v>1.1299999999999999</v>
      </c>
      <c r="Q35" s="3">
        <f t="shared" si="1"/>
        <v>29.81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19.025833333333342</v>
      </c>
      <c r="C36" s="18">
        <f t="shared" si="2"/>
        <v>24.280416666666667</v>
      </c>
      <c r="D36" s="18">
        <f t="shared" si="2"/>
        <v>29.074999999999992</v>
      </c>
      <c r="E36" s="18">
        <f t="shared" si="2"/>
        <v>12.947500000000003</v>
      </c>
      <c r="F36" s="18">
        <f t="shared" si="2"/>
        <v>6.2479166666666677</v>
      </c>
      <c r="G36" s="18">
        <f t="shared" si="2"/>
        <v>81.902500000000018</v>
      </c>
      <c r="H36" s="18">
        <f t="shared" si="2"/>
        <v>34.691249999999997</v>
      </c>
      <c r="I36" s="18">
        <f t="shared" si="2"/>
        <v>11.262083333333331</v>
      </c>
      <c r="J36" s="18">
        <f t="shared" si="2"/>
        <v>0.36791666666666684</v>
      </c>
      <c r="K36" s="18">
        <f t="shared" si="2"/>
        <v>225.23000000000002</v>
      </c>
      <c r="L36" s="18">
        <f t="shared" si="2"/>
        <v>26.51583333333333</v>
      </c>
      <c r="M36" s="18">
        <f t="shared" si="2"/>
        <v>48.50333333333333</v>
      </c>
      <c r="N36" s="18">
        <f t="shared" si="2"/>
        <v>102.92083333333333</v>
      </c>
      <c r="O36" s="18">
        <f t="shared" si="2"/>
        <v>0</v>
      </c>
      <c r="P36" s="18">
        <f t="shared" si="2"/>
        <v>0.89874999999999983</v>
      </c>
      <c r="Q36" s="18">
        <f t="shared" si="2"/>
        <v>28.642916666666665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16.954854355962002</v>
      </c>
      <c r="C37" s="18">
        <f t="shared" ref="C37:Q37" si="3">STDEV(C9:C32)</f>
        <v>3.2606140781555979</v>
      </c>
      <c r="D37" s="18">
        <f t="shared" si="3"/>
        <v>14.122989583746387</v>
      </c>
      <c r="E37" s="18">
        <f t="shared" si="3"/>
        <v>2.4673013774074035</v>
      </c>
      <c r="F37" s="18">
        <f t="shared" si="3"/>
        <v>2.6441600608768425</v>
      </c>
      <c r="G37" s="18">
        <f t="shared" si="3"/>
        <v>18.356978118747431</v>
      </c>
      <c r="H37" s="18">
        <f t="shared" si="3"/>
        <v>6.5572013598724812</v>
      </c>
      <c r="I37" s="18">
        <f t="shared" si="3"/>
        <v>2.6599541989627853</v>
      </c>
      <c r="J37" s="18">
        <f t="shared" si="3"/>
        <v>0.21112492009248426</v>
      </c>
      <c r="K37" s="18">
        <f t="shared" si="3"/>
        <v>48.824253595220618</v>
      </c>
      <c r="L37" s="18">
        <f t="shared" si="3"/>
        <v>6.4712769499009353</v>
      </c>
      <c r="M37" s="18">
        <f t="shared" si="3"/>
        <v>21.078366958168001</v>
      </c>
      <c r="N37" s="18">
        <f t="shared" si="3"/>
        <v>144.14277939407603</v>
      </c>
      <c r="O37" s="18">
        <f t="shared" si="3"/>
        <v>0</v>
      </c>
      <c r="P37" s="18">
        <f t="shared" si="3"/>
        <v>0.17833316402538429</v>
      </c>
      <c r="Q37" s="18">
        <f t="shared" si="3"/>
        <v>0.69883430372154076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J32" sqref="J32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01/02/2025 01:00</v>
      </c>
      <c r="B9" s="15">
        <f>'01'!B36</f>
        <v>10.565416666666666</v>
      </c>
      <c r="C9" s="15">
        <f>'01'!C36</f>
        <v>22.431666666666672</v>
      </c>
      <c r="D9" s="15">
        <f>'01'!D36</f>
        <v>21.445000000000004</v>
      </c>
      <c r="E9" s="15">
        <f>'01'!E36</f>
        <v>9.8258333333333336</v>
      </c>
      <c r="F9" s="15">
        <f>'01'!F36</f>
        <v>6.3512499999999994</v>
      </c>
      <c r="G9" s="15">
        <f>'01'!G36</f>
        <v>75.88</v>
      </c>
      <c r="H9" s="15">
        <f>'01'!H36</f>
        <v>23.797083333333337</v>
      </c>
      <c r="I9" s="15">
        <f>'01'!I36</f>
        <v>10.30208333333333</v>
      </c>
      <c r="J9" s="15">
        <f>'01'!J36</f>
        <v>0.35333333333333333</v>
      </c>
      <c r="K9" s="15">
        <f>'01'!K36</f>
        <v>227.94041666666669</v>
      </c>
      <c r="L9" s="15">
        <f>'01'!L36</f>
        <v>26.008750000000006</v>
      </c>
      <c r="M9" s="15">
        <f>'01'!M36</f>
        <v>65.830416666666679</v>
      </c>
      <c r="N9" s="15">
        <f>'01'!N36</f>
        <v>99.816666666666677</v>
      </c>
      <c r="O9" s="15">
        <f>'01'!O36</f>
        <v>0</v>
      </c>
      <c r="P9" s="15">
        <f>'01'!P36</f>
        <v>0.82916666666666661</v>
      </c>
      <c r="Q9" s="15">
        <f>'01'!Q36</f>
        <v>12.954583333333337</v>
      </c>
      <c r="R9" s="29"/>
      <c r="S9" s="29"/>
      <c r="T9" s="29"/>
      <c r="U9" s="29"/>
    </row>
    <row r="10" spans="1:21" s="2" customFormat="1">
      <c r="A10" s="14" t="str">
        <f>'02'!$B$2</f>
        <v>02/02/2025 01:00</v>
      </c>
      <c r="B10" s="15">
        <f>'02'!B36</f>
        <v>9.1874999999999982</v>
      </c>
      <c r="C10" s="15">
        <f>'02'!C36</f>
        <v>23.130833333333332</v>
      </c>
      <c r="D10" s="15">
        <f>'02'!D36</f>
        <v>20.684166666666666</v>
      </c>
      <c r="E10" s="15">
        <f>'02'!E36</f>
        <v>11.194583333333334</v>
      </c>
      <c r="F10" s="15">
        <f>'02'!F36</f>
        <v>8.6687499999999993</v>
      </c>
      <c r="G10" s="15">
        <f>'02'!G36</f>
        <v>69.00333333333333</v>
      </c>
      <c r="H10" s="15">
        <f>'02'!H36</f>
        <v>22.730000000000004</v>
      </c>
      <c r="I10" s="15">
        <f>'02'!I36</f>
        <v>12.201666666666668</v>
      </c>
      <c r="J10" s="15">
        <f>'02'!J36</f>
        <v>0.45541666666666664</v>
      </c>
      <c r="K10" s="15">
        <f>'02'!K36</f>
        <v>236.06750000000002</v>
      </c>
      <c r="L10" s="15">
        <f>'02'!L36</f>
        <v>25.850416666666664</v>
      </c>
      <c r="M10" s="15">
        <f>'02'!M36</f>
        <v>64.101250000000007</v>
      </c>
      <c r="N10" s="15">
        <f>'02'!N36</f>
        <v>101.47083333333336</v>
      </c>
      <c r="O10" s="15">
        <f>'02'!O36</f>
        <v>0</v>
      </c>
      <c r="P10" s="15">
        <f>'02'!P36</f>
        <v>0.94166666666666698</v>
      </c>
      <c r="Q10" s="15">
        <f>'02'!Q36</f>
        <v>12.951666666666666</v>
      </c>
      <c r="R10" s="30"/>
      <c r="S10" s="30"/>
      <c r="T10" s="30"/>
      <c r="U10" s="30"/>
    </row>
    <row r="11" spans="1:21" s="2" customFormat="1">
      <c r="A11" s="14" t="str">
        <f>'03'!$B$2</f>
        <v>03/02/2025 01:00</v>
      </c>
      <c r="B11" s="15">
        <f>'03'!B36</f>
        <v>24.278571428571432</v>
      </c>
      <c r="C11" s="15">
        <f>'03'!C36</f>
        <v>49.510000000000005</v>
      </c>
      <c r="D11" s="15">
        <f>'03'!D36</f>
        <v>46.82</v>
      </c>
      <c r="E11" s="15">
        <f>'03'!E36</f>
        <v>8.2750000000000004</v>
      </c>
      <c r="F11" s="15">
        <f>'03'!F36</f>
        <v>5.7900000000000009</v>
      </c>
      <c r="G11" s="15">
        <f>'03'!G36</f>
        <v>61.935000000000009</v>
      </c>
      <c r="H11" s="15">
        <f>'03'!H36</f>
        <v>20.085714285714285</v>
      </c>
      <c r="I11" s="15">
        <f>'03'!I36</f>
        <v>5.722142857142857</v>
      </c>
      <c r="J11" s="15">
        <f>'03'!J36</f>
        <v>0.72357142857142864</v>
      </c>
      <c r="K11" s="15">
        <f>'03'!K36</f>
        <v>191.1178571428571</v>
      </c>
      <c r="L11" s="15">
        <f>'03'!L36</f>
        <v>23.685714285714287</v>
      </c>
      <c r="M11" s="15">
        <f>'03'!M36</f>
        <v>32.764285714285712</v>
      </c>
      <c r="N11" s="15">
        <f>'03'!N36</f>
        <v>220.84285714285718</v>
      </c>
      <c r="O11" s="15">
        <f>'03'!O36</f>
        <v>0</v>
      </c>
      <c r="P11" s="15">
        <f>'03'!P36</f>
        <v>0.77500000000000013</v>
      </c>
      <c r="Q11" s="15">
        <f>'03'!Q36</f>
        <v>6.5649999999999995</v>
      </c>
      <c r="R11" s="30"/>
      <c r="S11" s="30"/>
      <c r="T11" s="30"/>
      <c r="U11" s="30"/>
    </row>
    <row r="12" spans="1:21" s="2" customFormat="1">
      <c r="A12" s="14">
        <f>'04'!$B$2</f>
        <v>45692.041666666664</v>
      </c>
      <c r="B12" s="15">
        <f>'04'!B36</f>
        <v>49.201249999999987</v>
      </c>
      <c r="C12" s="15">
        <f>'04'!C36</f>
        <v>50.537916666666661</v>
      </c>
      <c r="D12" s="15">
        <f>'04'!D36</f>
        <v>67.075833333333335</v>
      </c>
      <c r="E12" s="15">
        <f>'04'!E36</f>
        <v>9.4058333333333337</v>
      </c>
      <c r="F12" s="15">
        <f>'04'!F36</f>
        <v>5.4804166666666658</v>
      </c>
      <c r="G12" s="15">
        <f>'04'!G36</f>
        <v>85.671666666666667</v>
      </c>
      <c r="H12" s="15">
        <f>'04'!H36</f>
        <v>31.46583333333334</v>
      </c>
      <c r="I12" s="15">
        <f>'04'!I36</f>
        <v>9.1295833333333345</v>
      </c>
      <c r="J12" s="15">
        <f>'04'!J36</f>
        <v>0.45541666666666664</v>
      </c>
      <c r="K12" s="15">
        <f>'04'!K36</f>
        <v>202.67583333333337</v>
      </c>
      <c r="L12" s="15">
        <f>'04'!L36</f>
        <v>20.513333333333335</v>
      </c>
      <c r="M12" s="15">
        <f>'04'!M36</f>
        <v>50.25083333333334</v>
      </c>
      <c r="N12" s="15">
        <f>'04'!N36</f>
        <v>141.71666666666667</v>
      </c>
      <c r="O12" s="15">
        <f>'04'!O36</f>
        <v>0</v>
      </c>
      <c r="P12" s="15">
        <f>'04'!P36</f>
        <v>1.0741666666666667</v>
      </c>
      <c r="Q12" s="15">
        <f>'04'!Q36</f>
        <v>8.163333333333334</v>
      </c>
      <c r="R12" s="30"/>
      <c r="S12" s="30"/>
      <c r="T12" s="30"/>
      <c r="U12" s="30"/>
    </row>
    <row r="13" spans="1:21" s="2" customFormat="1">
      <c r="A13" s="14" t="str">
        <f>'05'!$B$2</f>
        <v>05/02/2025 01:00</v>
      </c>
      <c r="B13" s="15">
        <f>'05'!B36</f>
        <v>35.493888888888883</v>
      </c>
      <c r="C13" s="15">
        <f>'05'!C36</f>
        <v>32.865555555555559</v>
      </c>
      <c r="D13" s="15">
        <f>'05'!D36</f>
        <v>46.992777777777782</v>
      </c>
      <c r="E13" s="15">
        <f>'05'!E36</f>
        <v>9.5805555555555557</v>
      </c>
      <c r="F13" s="15">
        <f>'05'!F36</f>
        <v>3.9072222222222215</v>
      </c>
      <c r="G13" s="15">
        <f>'05'!G36</f>
        <v>83.498333333333335</v>
      </c>
      <c r="H13" s="15">
        <f>'05'!H36</f>
        <v>29.085555555555558</v>
      </c>
      <c r="I13" s="15">
        <f>'05'!I36</f>
        <v>9.3800000000000026</v>
      </c>
      <c r="J13" s="15">
        <f>'05'!J36</f>
        <v>0.30444444444444452</v>
      </c>
      <c r="K13" s="15">
        <f>'05'!K36</f>
        <v>216.755</v>
      </c>
      <c r="L13" s="15">
        <f>'05'!L36</f>
        <v>21.498888888888885</v>
      </c>
      <c r="M13" s="15">
        <f>'05'!M36</f>
        <v>62.885555555555555</v>
      </c>
      <c r="N13" s="15">
        <f>'05'!N36</f>
        <v>15.266666666666671</v>
      </c>
      <c r="O13" s="15">
        <f>'05'!O36</f>
        <v>0</v>
      </c>
      <c r="P13" s="15">
        <f>'05'!P36</f>
        <v>0.91999999999999993</v>
      </c>
      <c r="Q13" s="15">
        <f>'05'!Q36</f>
        <v>11.378333333333334</v>
      </c>
      <c r="R13" s="30"/>
      <c r="S13" s="30"/>
      <c r="T13" s="30"/>
      <c r="U13" s="30"/>
    </row>
    <row r="14" spans="1:21" s="2" customFormat="1">
      <c r="A14" s="14" t="str">
        <f>'06'!$B$2</f>
        <v>06/02/2025 01:00</v>
      </c>
      <c r="B14" s="16">
        <f>'06'!B36</f>
        <v>8.9220833333333314</v>
      </c>
      <c r="C14" s="16">
        <f>'06'!C36</f>
        <v>24.770833333333339</v>
      </c>
      <c r="D14" s="16">
        <f>'06'!D36</f>
        <v>21.317916666666665</v>
      </c>
      <c r="E14" s="16">
        <f>'06'!E36</f>
        <v>10.578333333333331</v>
      </c>
      <c r="F14" s="16">
        <f>'06'!F36</f>
        <v>22.694166666666664</v>
      </c>
      <c r="G14" s="16">
        <f>'06'!G36</f>
        <v>70.171250000000001</v>
      </c>
      <c r="H14" s="16">
        <f>'06'!H36</f>
        <v>24.766249999999999</v>
      </c>
      <c r="I14" s="16">
        <f>'06'!I36</f>
        <v>8.8545833333333359</v>
      </c>
      <c r="J14" s="16">
        <f>'06'!J36</f>
        <v>1.0379166666666666</v>
      </c>
      <c r="K14" s="16">
        <f>'06'!K36</f>
        <v>67.358333333333334</v>
      </c>
      <c r="L14" s="16">
        <f>'06'!L36</f>
        <v>25.20708333333333</v>
      </c>
      <c r="M14" s="16">
        <f>'06'!M36</f>
        <v>50.995833333333337</v>
      </c>
      <c r="N14" s="16">
        <f>'06'!N36</f>
        <v>93.687500000000043</v>
      </c>
      <c r="O14" s="16">
        <f>'06'!O36</f>
        <v>0</v>
      </c>
      <c r="P14" s="16">
        <f>'06'!P36</f>
        <v>0.6974999999999999</v>
      </c>
      <c r="Q14" s="16">
        <f>'06'!Q36</f>
        <v>12.957916666666664</v>
      </c>
      <c r="R14" s="30"/>
      <c r="S14" s="30"/>
      <c r="T14" s="30"/>
      <c r="U14" s="30"/>
    </row>
    <row r="15" spans="1:21" s="2" customFormat="1">
      <c r="A15" s="14" t="str">
        <f>'07'!$B$2</f>
        <v>07/02/2025 01:00</v>
      </c>
      <c r="B15" s="16">
        <f>'07'!B36</f>
        <v>14.182083333333333</v>
      </c>
      <c r="C15" s="16">
        <f>'07'!C36</f>
        <v>26.89083333333333</v>
      </c>
      <c r="D15" s="16">
        <f>'07'!D36</f>
        <v>26.610833333333336</v>
      </c>
      <c r="E15" s="16">
        <f>'07'!E36</f>
        <v>11.139166666666668</v>
      </c>
      <c r="F15" s="16">
        <f>'07'!F36</f>
        <v>5.4804166666666658</v>
      </c>
      <c r="G15" s="16">
        <f>'07'!G36</f>
        <v>80.763749999999987</v>
      </c>
      <c r="H15" s="16">
        <f>'07'!H36</f>
        <v>25.991666666666671</v>
      </c>
      <c r="I15" s="16">
        <f>'07'!I36</f>
        <v>9.1387500000000017</v>
      </c>
      <c r="J15" s="16">
        <f>'07'!J36</f>
        <v>0.57458333333333333</v>
      </c>
      <c r="K15" s="16">
        <f>'07'!K36</f>
        <v>150.51166666666668</v>
      </c>
      <c r="L15" s="16">
        <f>'07'!L36</f>
        <v>23.231666666666666</v>
      </c>
      <c r="M15" s="16">
        <f>'07'!M36</f>
        <v>39.664999999999999</v>
      </c>
      <c r="N15" s="16">
        <f>'07'!N36</f>
        <v>94.870833333333337</v>
      </c>
      <c r="O15" s="16">
        <f>'07'!O36</f>
        <v>0</v>
      </c>
      <c r="P15" s="16">
        <f>'07'!P36</f>
        <v>0.65833333333333333</v>
      </c>
      <c r="Q15" s="16">
        <f>'07'!Q36</f>
        <v>12.989999999999997</v>
      </c>
      <c r="R15" s="30"/>
      <c r="S15" s="30"/>
      <c r="T15" s="30"/>
      <c r="U15" s="30"/>
    </row>
    <row r="16" spans="1:21" s="2" customFormat="1">
      <c r="A16" s="14" t="str">
        <f>'08'!$B$2</f>
        <v>08/02/2025 01:00</v>
      </c>
      <c r="B16" s="16">
        <f>'08'!B36</f>
        <v>19.378333333333334</v>
      </c>
      <c r="C16" s="16">
        <f>'08'!C36</f>
        <v>26.614166666666666</v>
      </c>
      <c r="D16" s="16">
        <f>'08'!D36</f>
        <v>30.6525</v>
      </c>
      <c r="E16" s="16">
        <f>'08'!E36</f>
        <v>11.76375</v>
      </c>
      <c r="F16" s="16">
        <f>'08'!F36</f>
        <v>18.939583333333335</v>
      </c>
      <c r="G16" s="16">
        <f>'08'!G36</f>
        <v>88.631250000000009</v>
      </c>
      <c r="H16" s="16">
        <f>'08'!H36</f>
        <v>26.16083333333334</v>
      </c>
      <c r="I16" s="16">
        <f>'08'!I36</f>
        <v>13.163749999999999</v>
      </c>
      <c r="J16" s="16">
        <f>'08'!J36</f>
        <v>0.64291666666666658</v>
      </c>
      <c r="K16" s="16">
        <f>'08'!K36</f>
        <v>153.79166666666666</v>
      </c>
      <c r="L16" s="16">
        <f>'08'!L36</f>
        <v>23.730833333333337</v>
      </c>
      <c r="M16" s="16">
        <f>'08'!M36</f>
        <v>43.669166666666662</v>
      </c>
      <c r="N16" s="16">
        <f>'08'!N36</f>
        <v>102.20416666666665</v>
      </c>
      <c r="O16" s="16">
        <f>'08'!O36</f>
        <v>0</v>
      </c>
      <c r="P16" s="16">
        <f>'08'!P36</f>
        <v>0.84625000000000006</v>
      </c>
      <c r="Q16" s="16">
        <f>'08'!Q36</f>
        <v>13.012500000000003</v>
      </c>
      <c r="R16" s="30"/>
      <c r="S16" s="30"/>
      <c r="T16" s="30"/>
      <c r="U16" s="30"/>
    </row>
    <row r="17" spans="1:24" s="2" customFormat="1">
      <c r="A17" s="14" t="str">
        <f>'09'!$B$2</f>
        <v>09/02/2025 01:00</v>
      </c>
      <c r="B17" s="16">
        <f>'09'!B36</f>
        <v>13.967083333333337</v>
      </c>
      <c r="C17" s="16">
        <f>'09'!C36</f>
        <v>23.743749999999995</v>
      </c>
      <c r="D17" s="16">
        <f>'09'!D36</f>
        <v>24.869999999999994</v>
      </c>
      <c r="E17" s="16">
        <f>'09'!E36</f>
        <v>12.494166666666665</v>
      </c>
      <c r="F17" s="16">
        <f>'09'!F36</f>
        <v>31.611666666666661</v>
      </c>
      <c r="G17" s="16">
        <f>'09'!G36</f>
        <v>82.55416666666666</v>
      </c>
      <c r="H17" s="16">
        <f>'09'!H36</f>
        <v>25.177083333333332</v>
      </c>
      <c r="I17" s="16">
        <f>'09'!I36</f>
        <v>8.9699999999999971</v>
      </c>
      <c r="J17" s="16">
        <f>'09'!J36</f>
        <v>0.42666666666666658</v>
      </c>
      <c r="K17" s="16">
        <f>'09'!K36</f>
        <v>172.87958333333333</v>
      </c>
      <c r="L17" s="16">
        <f>'09'!L36</f>
        <v>23.00041666666667</v>
      </c>
      <c r="M17" s="16">
        <f>'09'!M36</f>
        <v>43.0075</v>
      </c>
      <c r="N17" s="16">
        <f>'09'!N36</f>
        <v>117.3875</v>
      </c>
      <c r="O17" s="16">
        <f>'09'!O36</f>
        <v>0</v>
      </c>
      <c r="P17" s="16">
        <f>'09'!P36</f>
        <v>0.65208333333333346</v>
      </c>
      <c r="Q17" s="16">
        <f>'09'!Q36</f>
        <v>12.987916666666665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10/02/2025 01:00</v>
      </c>
      <c r="B18" s="16">
        <f>'10'!B36</f>
        <v>13.838749999999999</v>
      </c>
      <c r="C18" s="16">
        <f>'10'!C36</f>
        <v>22.467916666666667</v>
      </c>
      <c r="D18" s="16">
        <f>'10'!D36</f>
        <v>24.092500000000001</v>
      </c>
      <c r="E18" s="16">
        <f>'10'!E36</f>
        <v>11.480833333333335</v>
      </c>
      <c r="F18" s="16">
        <f>'10'!F36</f>
        <v>25.32041666666667</v>
      </c>
      <c r="G18" s="16">
        <f>'10'!G36</f>
        <v>71.485416666666652</v>
      </c>
      <c r="H18" s="16">
        <f>'10'!H36</f>
        <v>26.13291666666667</v>
      </c>
      <c r="I18" s="16">
        <f>'10'!I36</f>
        <v>10.311666666666666</v>
      </c>
      <c r="J18" s="16">
        <f>'10'!J36</f>
        <v>0.37958333333333333</v>
      </c>
      <c r="K18" s="16">
        <f>'10'!K36</f>
        <v>233.71</v>
      </c>
      <c r="L18" s="16">
        <f>'10'!L36</f>
        <v>24.170833333333338</v>
      </c>
      <c r="M18" s="16">
        <f>'10'!M36</f>
        <v>50.826249999999995</v>
      </c>
      <c r="N18" s="16">
        <f>'10'!N36</f>
        <v>102.91666666666669</v>
      </c>
      <c r="O18" s="16">
        <f>'10'!O36</f>
        <v>0</v>
      </c>
      <c r="P18" s="16">
        <f>'10'!P36</f>
        <v>0.82791666666666675</v>
      </c>
      <c r="Q18" s="16">
        <f>'10'!Q36</f>
        <v>12.9825</v>
      </c>
      <c r="R18" s="30"/>
      <c r="S18" s="30"/>
      <c r="T18" s="30"/>
      <c r="U18" s="30"/>
    </row>
    <row r="19" spans="1:24" s="2" customFormat="1">
      <c r="A19" s="14" t="str">
        <f>'11'!$B$2</f>
        <v>11/02/2025 01:00</v>
      </c>
      <c r="B19" s="16">
        <f>'11'!B36</f>
        <v>7.6929166666666662</v>
      </c>
      <c r="C19" s="16">
        <f>'11'!C36</f>
        <v>22.744583333333335</v>
      </c>
      <c r="D19" s="16">
        <f>'11'!D36</f>
        <v>19.310833333333328</v>
      </c>
      <c r="E19" s="16">
        <f>'11'!E36</f>
        <v>11.684583333333334</v>
      </c>
      <c r="F19" s="16">
        <f>'11'!F36</f>
        <v>23.543749999999999</v>
      </c>
      <c r="G19" s="16">
        <f>'11'!G36</f>
        <v>88.834166666666661</v>
      </c>
      <c r="H19" s="16">
        <f>'11'!H36</f>
        <v>33.845000000000006</v>
      </c>
      <c r="I19" s="16">
        <f>'11'!I36</f>
        <v>12.790833333333332</v>
      </c>
      <c r="J19" s="16">
        <f>'11'!J36</f>
        <v>0.52791666666666659</v>
      </c>
      <c r="K19" s="16">
        <f>'11'!K36</f>
        <v>239.32208333333335</v>
      </c>
      <c r="L19" s="16">
        <f>'11'!L36</f>
        <v>26.160416666666674</v>
      </c>
      <c r="M19" s="16">
        <f>'11'!M36</f>
        <v>57.814999999999998</v>
      </c>
      <c r="N19" s="16">
        <f>'11'!N36</f>
        <v>86.9375</v>
      </c>
      <c r="O19" s="16">
        <f>'11'!O36</f>
        <v>0</v>
      </c>
      <c r="P19" s="16">
        <f>'11'!P36</f>
        <v>1.0179166666666666</v>
      </c>
      <c r="Q19" s="16">
        <f>'11'!Q36</f>
        <v>12.956666666666665</v>
      </c>
      <c r="R19" s="30"/>
      <c r="S19" s="30"/>
      <c r="T19" s="30"/>
      <c r="U19" s="30"/>
    </row>
    <row r="20" spans="1:24" s="2" customFormat="1">
      <c r="A20" s="14" t="str">
        <f>'12'!$B$2</f>
        <v>12/02/2025 01:00</v>
      </c>
      <c r="B20" s="16">
        <f>'12'!B36</f>
        <v>8.829583333333332</v>
      </c>
      <c r="C20" s="16">
        <f>'12'!C36</f>
        <v>22.892916666666665</v>
      </c>
      <c r="D20" s="16">
        <f>'12'!D36</f>
        <v>20.250000000000004</v>
      </c>
      <c r="E20" s="16">
        <f>'12'!E36</f>
        <v>10.78708333333333</v>
      </c>
      <c r="F20" s="16">
        <f>'12'!F36</f>
        <v>33.78875</v>
      </c>
      <c r="G20" s="16">
        <f>'12'!G36</f>
        <v>71.547391304347826</v>
      </c>
      <c r="H20" s="16">
        <f>'12'!H36</f>
        <v>32.73826086956521</v>
      </c>
      <c r="I20" s="16">
        <f>'12'!I36</f>
        <v>10.403333333333332</v>
      </c>
      <c r="J20" s="16">
        <f>'12'!J36</f>
        <v>0.74791666666666667</v>
      </c>
      <c r="K20" s="16">
        <f>'12'!K36</f>
        <v>248.49541666666667</v>
      </c>
      <c r="L20" s="16">
        <f>'12'!L36</f>
        <v>27.179583333333341</v>
      </c>
      <c r="M20" s="16">
        <f>'12'!M36</f>
        <v>50.185416666666669</v>
      </c>
      <c r="N20" s="16">
        <f>'12'!N36</f>
        <v>94.358333333333334</v>
      </c>
      <c r="O20" s="16">
        <f>'12'!O36</f>
        <v>0</v>
      </c>
      <c r="P20" s="16">
        <f>'12'!P36</f>
        <v>0.79708333333333359</v>
      </c>
      <c r="Q20" s="16">
        <f>'12'!Q36</f>
        <v>12.956249999999997</v>
      </c>
      <c r="R20" s="30"/>
      <c r="S20" s="30"/>
      <c r="T20" s="30"/>
      <c r="U20" s="30"/>
    </row>
    <row r="21" spans="1:24" s="2" customFormat="1">
      <c r="A21" s="14" t="str">
        <f>'13'!$B$2</f>
        <v>13/02/2025 01:00</v>
      </c>
      <c r="B21" s="16">
        <f>'13'!B36</f>
        <v>10.271250000000002</v>
      </c>
      <c r="C21" s="16">
        <f>'13'!C36</f>
        <v>23.053333333333331</v>
      </c>
      <c r="D21" s="16">
        <f>'13'!D36</f>
        <v>21.488333333333333</v>
      </c>
      <c r="E21" s="16">
        <f>'13'!E36</f>
        <v>11.390416666666667</v>
      </c>
      <c r="F21" s="16">
        <f>'13'!F36</f>
        <v>28.967083333333338</v>
      </c>
      <c r="G21" s="16">
        <f>'13'!G36</f>
        <v>69.489583333333343</v>
      </c>
      <c r="H21" s="16">
        <f>'13'!H36</f>
        <v>27.432499999999994</v>
      </c>
      <c r="I21" s="16">
        <f>'13'!I36</f>
        <v>8.7316666666666674</v>
      </c>
      <c r="J21" s="16">
        <f>'13'!J36</f>
        <v>0.63416666666666677</v>
      </c>
      <c r="K21" s="16">
        <f>'13'!K36</f>
        <v>214.58333333333337</v>
      </c>
      <c r="L21" s="16">
        <f>'13'!L36</f>
        <v>24.11791666666667</v>
      </c>
      <c r="M21" s="16">
        <f>'13'!M36</f>
        <v>44.968333333333334</v>
      </c>
      <c r="N21" s="16">
        <f>'13'!N36</f>
        <v>106.51666666666667</v>
      </c>
      <c r="O21" s="16">
        <f>'13'!O36</f>
        <v>0</v>
      </c>
      <c r="P21" s="16">
        <f>'13'!P36</f>
        <v>0.70083333333333331</v>
      </c>
      <c r="Q21" s="16">
        <f>'13'!Q36</f>
        <v>12.967083333333328</v>
      </c>
      <c r="R21" s="30"/>
      <c r="S21" s="30"/>
      <c r="T21" s="30"/>
      <c r="U21" s="30"/>
    </row>
    <row r="22" spans="1:24" s="2" customFormat="1">
      <c r="A22" s="14" t="str">
        <f>'14'!$B$2</f>
        <v>14/02/2025 01:00</v>
      </c>
      <c r="B22" s="16">
        <f>'14'!B36</f>
        <v>7.713913043478259</v>
      </c>
      <c r="C22" s="16">
        <f>'14'!C36</f>
        <v>22.517826086956525</v>
      </c>
      <c r="D22" s="16">
        <f>'14'!D36</f>
        <v>19.139130434782611</v>
      </c>
      <c r="E22" s="16">
        <f>'14'!E36</f>
        <v>14.993478260869564</v>
      </c>
      <c r="F22" s="16">
        <f>'14'!F36</f>
        <v>0</v>
      </c>
      <c r="G22" s="16">
        <f>'14'!G36</f>
        <v>76.648695652173927</v>
      </c>
      <c r="H22" s="16">
        <f>'14'!H36</f>
        <v>32.520434782608689</v>
      </c>
      <c r="I22" s="16">
        <f>'14'!I36</f>
        <v>8.2460869565217383</v>
      </c>
      <c r="J22" s="16">
        <f>'14'!J36</f>
        <v>0.47000000000000008</v>
      </c>
      <c r="K22" s="16">
        <f>'14'!K36</f>
        <v>203.74391304347824</v>
      </c>
      <c r="L22" s="16">
        <f>'14'!L36</f>
        <v>22.326956521739131</v>
      </c>
      <c r="M22" s="16">
        <f>'14'!M36</f>
        <v>41.115652173913041</v>
      </c>
      <c r="N22" s="16">
        <f>'14'!N36</f>
        <v>97.908695652173904</v>
      </c>
      <c r="O22" s="16">
        <f>'14'!O36</f>
        <v>0</v>
      </c>
      <c r="P22" s="16">
        <f>'14'!P36</f>
        <v>0.62260869565217403</v>
      </c>
      <c r="Q22" s="16">
        <f>'14'!Q36</f>
        <v>12.965000000000002</v>
      </c>
      <c r="R22" s="32"/>
      <c r="S22" s="32"/>
      <c r="T22" s="32"/>
      <c r="U22" s="32"/>
    </row>
    <row r="23" spans="1:24" s="2" customFormat="1">
      <c r="A23" s="14" t="str">
        <f>'15'!$B$2</f>
        <v>15/02/2025 01:00</v>
      </c>
      <c r="B23" s="17">
        <f>'15'!B36</f>
        <v>12.585416666666665</v>
      </c>
      <c r="C23" s="17">
        <f>'15'!C36</f>
        <v>24.399583333333339</v>
      </c>
      <c r="D23" s="17">
        <f>'15'!D36</f>
        <v>24.051666666666666</v>
      </c>
      <c r="E23" s="17">
        <f>'15'!E36</f>
        <v>11.495416666666669</v>
      </c>
      <c r="F23" s="17">
        <f>'15'!F36</f>
        <v>22.678749999999997</v>
      </c>
      <c r="G23" s="17">
        <f>'15'!G36</f>
        <v>83.850000000000023</v>
      </c>
      <c r="H23" s="17">
        <f>'15'!H36</f>
        <v>33.068333333333335</v>
      </c>
      <c r="I23" s="17">
        <f>'15'!I36</f>
        <v>10.465833333333331</v>
      </c>
      <c r="J23" s="17">
        <f>'15'!J36</f>
        <v>0.51916666666666667</v>
      </c>
      <c r="K23" s="17">
        <f>'15'!K36</f>
        <v>181.60958333333329</v>
      </c>
      <c r="L23" s="17">
        <f>'15'!L36</f>
        <v>23.245833333333334</v>
      </c>
      <c r="M23" s="17">
        <f>'15'!M36</f>
        <v>46.73749999999999</v>
      </c>
      <c r="N23" s="17">
        <f>'15'!N36</f>
        <v>104.64999999999999</v>
      </c>
      <c r="O23" s="17">
        <f>'15'!O36</f>
        <v>0</v>
      </c>
      <c r="P23" s="17">
        <f>'15'!P36</f>
        <v>0.71666666666666667</v>
      </c>
      <c r="Q23" s="17">
        <f>'15'!Q36</f>
        <v>-51.726249999999993</v>
      </c>
      <c r="R23" s="32"/>
      <c r="S23" s="32"/>
      <c r="T23" s="32"/>
      <c r="U23" s="30"/>
    </row>
    <row r="24" spans="1:24" s="2" customFormat="1">
      <c r="A24" s="14" t="str">
        <f>'16'!$B$2</f>
        <v>16/02/2025 01:00</v>
      </c>
      <c r="B24" s="16">
        <f>'16'!B36</f>
        <v>8.2204166666666652</v>
      </c>
      <c r="C24" s="16">
        <f>'16'!C36</f>
        <v>21.958749999999998</v>
      </c>
      <c r="D24" s="16">
        <f>'16'!D36</f>
        <v>19.135833333333334</v>
      </c>
      <c r="E24" s="16">
        <f>'16'!E36</f>
        <v>12.770833333333334</v>
      </c>
      <c r="F24" s="16">
        <f>'16'!F36</f>
        <v>31.611666666666661</v>
      </c>
      <c r="G24" s="16">
        <f>'16'!G36</f>
        <v>59.557916666666642</v>
      </c>
      <c r="H24" s="16">
        <f>'16'!H36</f>
        <v>25.032916666666669</v>
      </c>
      <c r="I24" s="16">
        <f>'16'!I36</f>
        <v>9.6179166666666678</v>
      </c>
      <c r="J24" s="16">
        <f>'16'!J36</f>
        <v>0.50749999999999995</v>
      </c>
      <c r="K24" s="16">
        <f>'16'!K36</f>
        <v>227.97</v>
      </c>
      <c r="L24" s="16">
        <f>'16'!L36</f>
        <v>24.707083333333333</v>
      </c>
      <c r="M24" s="16">
        <f>'16'!M36</f>
        <v>47.544166666666676</v>
      </c>
      <c r="N24" s="16">
        <f>'16'!N36</f>
        <v>108.17083333333333</v>
      </c>
      <c r="O24" s="16">
        <f>'16'!O36</f>
        <v>0</v>
      </c>
      <c r="P24" s="16">
        <f>'16'!P36</f>
        <v>0.75666666666666671</v>
      </c>
      <c r="Q24" s="16">
        <f>'16'!Q36</f>
        <v>-51.580833333333324</v>
      </c>
      <c r="R24" s="32"/>
      <c r="S24" s="32"/>
      <c r="T24" s="32"/>
      <c r="U24" s="30"/>
    </row>
    <row r="25" spans="1:24" s="2" customFormat="1">
      <c r="A25" s="14" t="str">
        <f>'17'!$B$2</f>
        <v>17/02/2025 01:00</v>
      </c>
      <c r="B25" s="16">
        <f>'17'!B36</f>
        <v>9.3041666666666707</v>
      </c>
      <c r="C25" s="16">
        <f>'17'!C36</f>
        <v>22.116666666666671</v>
      </c>
      <c r="D25" s="16">
        <f>'17'!D36</f>
        <v>20.101249999999997</v>
      </c>
      <c r="E25" s="16">
        <f>'17'!E36</f>
        <v>11.484583333333333</v>
      </c>
      <c r="F25" s="16">
        <f>'17'!F36</f>
        <v>11.719999999999999</v>
      </c>
      <c r="G25" s="16">
        <f>'17'!G36</f>
        <v>61.447083333333332</v>
      </c>
      <c r="H25" s="16">
        <f>'17'!H36</f>
        <v>24.381249999999998</v>
      </c>
      <c r="I25" s="16">
        <f>'17'!I36</f>
        <v>9.6329166666666683</v>
      </c>
      <c r="J25" s="16">
        <f>'17'!J36</f>
        <v>0.50416666666666676</v>
      </c>
      <c r="K25" s="16">
        <f>'17'!K36</f>
        <v>200.20916666666662</v>
      </c>
      <c r="L25" s="16">
        <f>'17'!L36</f>
        <v>25.407500000000002</v>
      </c>
      <c r="M25" s="16">
        <f>'17'!M36</f>
        <v>47.847499999999997</v>
      </c>
      <c r="N25" s="16">
        <f>'17'!N36</f>
        <v>107.22499999999998</v>
      </c>
      <c r="O25" s="16">
        <f>'17'!O36</f>
        <v>0</v>
      </c>
      <c r="P25" s="16">
        <f>'17'!P36</f>
        <v>0.76416666666666655</v>
      </c>
      <c r="Q25" s="16">
        <f>'17'!Q36</f>
        <v>-51.760833333333323</v>
      </c>
      <c r="R25" s="32"/>
      <c r="S25" s="32"/>
      <c r="T25" s="32"/>
      <c r="U25" s="30"/>
    </row>
    <row r="26" spans="1:24" s="2" customFormat="1">
      <c r="A26" s="14" t="str">
        <f>'18'!$B$2</f>
        <v>18/02/2025 01:00</v>
      </c>
      <c r="B26" s="16">
        <f>'18'!B36</f>
        <v>17.220416666666672</v>
      </c>
      <c r="C26" s="16">
        <f>'18'!C36</f>
        <v>26.307083333333328</v>
      </c>
      <c r="D26" s="16">
        <f>'18'!D36</f>
        <v>28.775416666666658</v>
      </c>
      <c r="E26" s="16">
        <f>'18'!E36</f>
        <v>15.496666666666664</v>
      </c>
      <c r="F26" s="16">
        <f>'18'!F36</f>
        <v>24.278333333333336</v>
      </c>
      <c r="G26" s="16">
        <f>'18'!G36</f>
        <v>103.32125000000002</v>
      </c>
      <c r="H26" s="16">
        <f>'18'!H36</f>
        <v>33.257916666666667</v>
      </c>
      <c r="I26" s="16">
        <f>'18'!I36</f>
        <v>12.897499999999999</v>
      </c>
      <c r="J26" s="16">
        <f>'18'!J36</f>
        <v>0.52083333333333337</v>
      </c>
      <c r="K26" s="16">
        <f>'18'!K36</f>
        <v>214.78041666666672</v>
      </c>
      <c r="L26" s="16">
        <f>'18'!L36</f>
        <v>26.06541666666666</v>
      </c>
      <c r="M26" s="16">
        <f>'18'!M36</f>
        <v>52.535833333333336</v>
      </c>
      <c r="N26" s="16">
        <f>'18'!N36</f>
        <v>97.55</v>
      </c>
      <c r="O26" s="16">
        <f>'18'!O36</f>
        <v>0</v>
      </c>
      <c r="P26" s="16">
        <f>'18'!P36</f>
        <v>0.93458333333333343</v>
      </c>
      <c r="Q26" s="16">
        <f>'18'!Q36</f>
        <v>-16.64833333333333</v>
      </c>
      <c r="R26" s="32"/>
      <c r="S26" s="32"/>
      <c r="T26" s="32"/>
      <c r="U26" s="30"/>
    </row>
    <row r="27" spans="1:24" s="2" customFormat="1">
      <c r="A27" s="14" t="str">
        <f>'19'!$B$2</f>
        <v>19/02/2025 01:00</v>
      </c>
      <c r="B27" s="16">
        <f>'19'!B36</f>
        <v>11.066666666666668</v>
      </c>
      <c r="C27" s="16">
        <f>'19'!C36</f>
        <v>29.805416666666662</v>
      </c>
      <c r="D27" s="16">
        <f>'19'!D36</f>
        <v>25.63</v>
      </c>
      <c r="E27" s="16">
        <f>'19'!E36</f>
        <v>17.182916666666667</v>
      </c>
      <c r="F27" s="16">
        <f>'19'!F36</f>
        <v>18.939583333333335</v>
      </c>
      <c r="G27" s="16">
        <f>'19'!G36</f>
        <v>114.7370833333333</v>
      </c>
      <c r="H27" s="16">
        <f>'19'!H36</f>
        <v>39.819166666666661</v>
      </c>
      <c r="I27" s="16">
        <f>'19'!I36</f>
        <v>12.558333333333337</v>
      </c>
      <c r="J27" s="16">
        <f>'19'!J36</f>
        <v>0.48750000000000004</v>
      </c>
      <c r="K27" s="16">
        <f>'19'!K36</f>
        <v>178.92249999999999</v>
      </c>
      <c r="L27" s="16">
        <f>'19'!L36</f>
        <v>26.656249999999996</v>
      </c>
      <c r="M27" s="16">
        <f>'19'!M36</f>
        <v>53.202083333333348</v>
      </c>
      <c r="N27" s="16">
        <f>'19'!N36</f>
        <v>89.041666666666671</v>
      </c>
      <c r="O27" s="16">
        <f>'19'!O36</f>
        <v>0</v>
      </c>
      <c r="P27" s="16">
        <f>'19'!P36</f>
        <v>0.97041666666666659</v>
      </c>
      <c r="Q27" s="16">
        <f>'19'!Q36</f>
        <v>12.955</v>
      </c>
      <c r="R27" s="32"/>
      <c r="S27" s="32"/>
      <c r="T27" s="32"/>
      <c r="U27" s="30"/>
    </row>
    <row r="28" spans="1:24" s="2" customFormat="1">
      <c r="A28" s="14" t="str">
        <f>'20'!$B$2</f>
        <v>20/02/2025 01:00</v>
      </c>
      <c r="B28" s="16">
        <f>'20'!B36</f>
        <v>9.1658333333333335</v>
      </c>
      <c r="C28" s="16">
        <f>'20'!C36</f>
        <v>26.127499999999998</v>
      </c>
      <c r="D28" s="16">
        <f>'20'!D36</f>
        <v>22.23</v>
      </c>
      <c r="E28" s="16">
        <f>'20'!E36</f>
        <v>13.516249999999998</v>
      </c>
      <c r="F28" s="16">
        <f>'20'!F36</f>
        <v>33.576666666666668</v>
      </c>
      <c r="G28" s="16">
        <f>'20'!G36</f>
        <v>102.01541666666664</v>
      </c>
      <c r="H28" s="16">
        <f>'20'!H36</f>
        <v>49.267083333333339</v>
      </c>
      <c r="I28" s="16">
        <f>'20'!I36</f>
        <v>13.002916666666669</v>
      </c>
      <c r="J28" s="16">
        <f>'20'!J36</f>
        <v>0.59916666666666674</v>
      </c>
      <c r="K28" s="16">
        <f>'20'!K36</f>
        <v>239.33208333333332</v>
      </c>
      <c r="L28" s="16">
        <f>'20'!L36</f>
        <v>26.744999999999994</v>
      </c>
      <c r="M28" s="16">
        <f>'20'!M36</f>
        <v>54.722916666666684</v>
      </c>
      <c r="N28" s="16">
        <f>'20'!N36</f>
        <v>92.987499999999997</v>
      </c>
      <c r="O28" s="16">
        <f>'20'!O36</f>
        <v>0</v>
      </c>
      <c r="P28" s="16">
        <f>'20'!P36</f>
        <v>0.98583333333333334</v>
      </c>
      <c r="Q28" s="16">
        <f>'20'!Q36</f>
        <v>12.992083333333335</v>
      </c>
      <c r="R28" s="32"/>
      <c r="S28" s="32"/>
      <c r="T28" s="32"/>
      <c r="U28" s="30"/>
    </row>
    <row r="29" spans="1:24" s="2" customFormat="1">
      <c r="A29" s="14" t="str">
        <f>'21'!$B$2</f>
        <v>21/02/2025 01:00</v>
      </c>
      <c r="B29" s="16">
        <f>'21'!B36</f>
        <v>11.120416666666666</v>
      </c>
      <c r="C29" s="16">
        <f>'21'!C36</f>
        <v>26.607916666666672</v>
      </c>
      <c r="D29" s="16">
        <f>'21'!D36</f>
        <v>24.057500000000005</v>
      </c>
      <c r="E29" s="16">
        <f>'21'!E36</f>
        <v>12.236666666666666</v>
      </c>
      <c r="F29" s="16">
        <f>'21'!F36</f>
        <v>10.064166666666667</v>
      </c>
      <c r="G29" s="16">
        <f>'21'!G36</f>
        <v>86.947083333333339</v>
      </c>
      <c r="H29" s="16">
        <f>'21'!H36</f>
        <v>36.010416666666664</v>
      </c>
      <c r="I29" s="16">
        <f>'21'!I36</f>
        <v>10.430416666666668</v>
      </c>
      <c r="J29" s="16">
        <f>'21'!J36</f>
        <v>0.64833333333333343</v>
      </c>
      <c r="K29" s="16">
        <f>'21'!K36</f>
        <v>210.78041666666664</v>
      </c>
      <c r="L29" s="16">
        <f>'21'!L36</f>
        <v>26.162499999999998</v>
      </c>
      <c r="M29" s="16">
        <f>'21'!M36</f>
        <v>56.581666666666671</v>
      </c>
      <c r="N29" s="16">
        <f>'21'!N36</f>
        <v>93.891666666666694</v>
      </c>
      <c r="O29" s="16">
        <f>'21'!O36</f>
        <v>0</v>
      </c>
      <c r="P29" s="16">
        <f>'21'!P36</f>
        <v>0.82125000000000004</v>
      </c>
      <c r="Q29" s="16">
        <f>'21'!Q36</f>
        <v>12.962916666666665</v>
      </c>
      <c r="R29" s="32"/>
      <c r="S29" s="32"/>
      <c r="T29" s="32"/>
      <c r="U29" s="30"/>
    </row>
    <row r="30" spans="1:24" s="2" customFormat="1">
      <c r="A30" s="14" t="str">
        <f>'22'!$B$2</f>
        <v>22/02/2025 01:00</v>
      </c>
      <c r="B30" s="16">
        <f>'22'!B36</f>
        <v>13.214166666666669</v>
      </c>
      <c r="C30" s="16">
        <f>'22'!C36</f>
        <v>23.374583333333334</v>
      </c>
      <c r="D30" s="16">
        <f>'22'!D36</f>
        <v>24.043750000000003</v>
      </c>
      <c r="E30" s="16">
        <f>'22'!E36</f>
        <v>11.187083333333334</v>
      </c>
      <c r="F30" s="16">
        <f>'22'!F36</f>
        <v>4.9995833333333337</v>
      </c>
      <c r="G30" s="16">
        <f>'22'!G36</f>
        <v>70.786666666666662</v>
      </c>
      <c r="H30" s="16">
        <f>'22'!H36</f>
        <v>27.047083333333344</v>
      </c>
      <c r="I30" s="16">
        <f>'22'!I36</f>
        <v>11.177500000000002</v>
      </c>
      <c r="J30" s="16">
        <f>'22'!J36</f>
        <v>0.56166666666666665</v>
      </c>
      <c r="K30" s="16">
        <f>'22'!K36</f>
        <v>243.93208333333337</v>
      </c>
      <c r="L30" s="16">
        <f>'22'!L36</f>
        <v>25.976666666666663</v>
      </c>
      <c r="M30" s="16">
        <f>'22'!M36</f>
        <v>47.949166666666663</v>
      </c>
      <c r="N30" s="16">
        <f>'22'!N36</f>
        <v>104.21666666666665</v>
      </c>
      <c r="O30" s="16">
        <f>'22'!O36</f>
        <v>0</v>
      </c>
      <c r="P30" s="16">
        <f>'22'!P36</f>
        <v>0.80416666666666659</v>
      </c>
      <c r="Q30" s="16">
        <f>'22'!Q36</f>
        <v>12.940833333333332</v>
      </c>
      <c r="R30" s="32"/>
      <c r="S30" s="30"/>
      <c r="T30" s="30"/>
      <c r="U30" s="30"/>
    </row>
    <row r="31" spans="1:24" s="2" customFormat="1">
      <c r="A31" s="14" t="str">
        <f>'23'!$B$2</f>
        <v>23/02/2025 01:00</v>
      </c>
      <c r="B31" s="16">
        <f>'23'!B36</f>
        <v>11.762083333333329</v>
      </c>
      <c r="C31" s="16">
        <f>'23'!C36</f>
        <v>24.409999999999997</v>
      </c>
      <c r="D31" s="16">
        <f>'23'!D36</f>
        <v>23.453749999999996</v>
      </c>
      <c r="E31" s="16">
        <f>'23'!E36</f>
        <v>10.817083333333336</v>
      </c>
      <c r="F31" s="16">
        <f>'23'!F36</f>
        <v>4.9137500000000003</v>
      </c>
      <c r="G31" s="16">
        <f>'23'!G36</f>
        <v>63.835416666666653</v>
      </c>
      <c r="H31" s="16">
        <f>'23'!H36</f>
        <v>43.387499999999996</v>
      </c>
      <c r="I31" s="16">
        <f>'23'!I36</f>
        <v>7.7658333333333323</v>
      </c>
      <c r="J31" s="16">
        <f>'23'!J36</f>
        <v>0.85875000000000001</v>
      </c>
      <c r="K31" s="16">
        <f>'23'!K36</f>
        <v>151.79583333333332</v>
      </c>
      <c r="L31" s="16">
        <f>'23'!L36</f>
        <v>25.101249999999997</v>
      </c>
      <c r="M31" s="16">
        <f>'23'!M36</f>
        <v>41.44166666666667</v>
      </c>
      <c r="N31" s="16">
        <f>'23'!N36</f>
        <v>111.19166666666668</v>
      </c>
      <c r="O31" s="16">
        <f>'23'!O36</f>
        <v>0</v>
      </c>
      <c r="P31" s="16">
        <f>'23'!P36</f>
        <v>0.59624999999999995</v>
      </c>
      <c r="Q31" s="16">
        <f>'23'!Q36</f>
        <v>12.936666666666669</v>
      </c>
      <c r="R31" s="30"/>
      <c r="S31" s="30"/>
      <c r="T31" s="30"/>
      <c r="U31" s="30"/>
    </row>
    <row r="32" spans="1:24" s="2" customFormat="1">
      <c r="A32" s="14" t="str">
        <f>'24'!$B$2</f>
        <v>24/02/2025 01:00</v>
      </c>
      <c r="B32" s="16">
        <f>'24'!B36</f>
        <v>19.036000000000005</v>
      </c>
      <c r="C32" s="16">
        <f>'24'!C36</f>
        <v>24.017368421052634</v>
      </c>
      <c r="D32" s="16">
        <f>'24'!D36</f>
        <v>30.236249999999998</v>
      </c>
      <c r="E32" s="16">
        <f>'24'!E36</f>
        <v>15.203333333333333</v>
      </c>
      <c r="F32" s="16">
        <f>'24'!F36</f>
        <v>5.36</v>
      </c>
      <c r="G32" s="16">
        <f>'24'!G36</f>
        <v>77.491363636363658</v>
      </c>
      <c r="H32" s="16">
        <f>'24'!H36</f>
        <v>31.726818181818171</v>
      </c>
      <c r="I32" s="16">
        <f>'24'!I36</f>
        <v>10.351428571428572</v>
      </c>
      <c r="J32" s="16">
        <f>'24'!J36</f>
        <v>0.56954545454545458</v>
      </c>
      <c r="K32" s="16">
        <f>'24'!K36</f>
        <v>141.94590909090905</v>
      </c>
      <c r="L32" s="16">
        <f>'24'!L36</f>
        <v>24.484999999999999</v>
      </c>
      <c r="M32" s="16">
        <f>'24'!M36</f>
        <v>41.663636363636357</v>
      </c>
      <c r="N32" s="16">
        <f>'24'!N36</f>
        <v>98.818181818181841</v>
      </c>
      <c r="O32" s="16">
        <f>'24'!O36</f>
        <v>0</v>
      </c>
      <c r="P32" s="16">
        <f>'24'!P36</f>
        <v>0.71923076923076923</v>
      </c>
      <c r="Q32" s="16">
        <f>'24'!Q36</f>
        <v>12.96</v>
      </c>
      <c r="R32" s="30"/>
      <c r="S32" s="30"/>
      <c r="T32" s="30"/>
      <c r="U32" s="30"/>
    </row>
    <row r="33" spans="1:21" s="2" customFormat="1">
      <c r="A33" s="14" t="str">
        <f>'25'!$B$2</f>
        <v>25/02/2025 01:00</v>
      </c>
      <c r="B33" s="16">
        <f>'25'!B36</f>
        <v>5.6458333333333348</v>
      </c>
      <c r="C33" s="16">
        <f>'25'!C36</f>
        <v>26.251666666666669</v>
      </c>
      <c r="D33" s="16">
        <f>'25'!D36</f>
        <v>19.40666666666667</v>
      </c>
      <c r="E33" s="16">
        <f>'25'!E36</f>
        <v>10.568</v>
      </c>
      <c r="F33" s="16">
        <f>'25'!F36</f>
        <v>4.9034782608695648</v>
      </c>
      <c r="G33" s="16">
        <f>'25'!G36</f>
        <v>88.046521739130426</v>
      </c>
      <c r="H33" s="16">
        <f>'25'!H36</f>
        <v>28.381739130434781</v>
      </c>
      <c r="I33" s="16">
        <f>'25'!I36</f>
        <v>9.7483333333333331</v>
      </c>
      <c r="J33" s="16">
        <f>'25'!J36</f>
        <v>0.5869565217391306</v>
      </c>
      <c r="K33" s="16">
        <f>'25'!K36</f>
        <v>161.28869565217391</v>
      </c>
      <c r="L33" s="16">
        <f>'25'!L36</f>
        <v>25.168260869565216</v>
      </c>
      <c r="M33" s="16">
        <f>'25'!M36</f>
        <v>43.98043478260869</v>
      </c>
      <c r="N33" s="16">
        <f>'25'!N36</f>
        <v>89.591304347826096</v>
      </c>
      <c r="O33" s="16">
        <f>'25'!O36</f>
        <v>0</v>
      </c>
      <c r="P33" s="16">
        <f>'25'!P36</f>
        <v>0.85260869565217401</v>
      </c>
      <c r="Q33" s="16">
        <f>'25'!Q36</f>
        <v>8.8400000000000016</v>
      </c>
      <c r="R33" s="30"/>
      <c r="S33" s="30"/>
      <c r="T33" s="30"/>
      <c r="U33" s="30"/>
    </row>
    <row r="34" spans="1:21" s="2" customFormat="1">
      <c r="A34" s="14" t="str">
        <f>'26'!$B$2</f>
        <v>26/02/2025 01:00</v>
      </c>
      <c r="B34" s="16">
        <f>'26'!B36</f>
        <v>13.522916666666667</v>
      </c>
      <c r="C34" s="16">
        <f>'26'!C36</f>
        <v>24.49666666666667</v>
      </c>
      <c r="D34" s="16">
        <f>'26'!D36</f>
        <v>24.833749999999998</v>
      </c>
      <c r="E34" s="16">
        <f>'26'!E36</f>
        <v>13.336250000000001</v>
      </c>
      <c r="F34" s="16">
        <f>'26'!F36</f>
        <v>5.4225000000000003</v>
      </c>
      <c r="G34" s="16">
        <f>'26'!G36</f>
        <v>91.449166666666656</v>
      </c>
      <c r="H34" s="16">
        <f>'26'!H36</f>
        <v>29.538749999999997</v>
      </c>
      <c r="I34" s="16">
        <f>'26'!I36</f>
        <v>10.013749999999998</v>
      </c>
      <c r="J34" s="16">
        <f>'26'!J36</f>
        <v>0.6445833333333334</v>
      </c>
      <c r="K34" s="16">
        <f>'26'!K36</f>
        <v>180.39750000000001</v>
      </c>
      <c r="L34" s="16">
        <f>'26'!L36</f>
        <v>25.112083333333331</v>
      </c>
      <c r="M34" s="16">
        <f>'26'!M36</f>
        <v>42.235416666666673</v>
      </c>
      <c r="N34" s="16">
        <f>'26'!N36</f>
        <v>108.58749999999999</v>
      </c>
      <c r="O34" s="16">
        <f>'26'!O36</f>
        <v>0</v>
      </c>
      <c r="P34" s="16">
        <f>'26'!P36</f>
        <v>0.80500000000000005</v>
      </c>
      <c r="Q34" s="16">
        <f>'26'!Q36</f>
        <v>6.6995833333333339</v>
      </c>
      <c r="R34" s="30"/>
      <c r="S34" s="30"/>
      <c r="T34" s="30"/>
      <c r="U34" s="30"/>
    </row>
    <row r="35" spans="1:21" s="2" customFormat="1">
      <c r="A35" s="14" t="str">
        <f>'27'!$B$2</f>
        <v>27/02/2025 01:00</v>
      </c>
      <c r="B35" s="16">
        <f>'27'!B36</f>
        <v>19.526666666666667</v>
      </c>
      <c r="C35" s="16">
        <f>'27'!C36</f>
        <v>27.239583333333329</v>
      </c>
      <c r="D35" s="16">
        <f>'27'!D36</f>
        <v>31.076250000000005</v>
      </c>
      <c r="E35" s="16">
        <f>'27'!E36</f>
        <v>15.880416666666667</v>
      </c>
      <c r="F35" s="16">
        <f>'27'!F36</f>
        <v>7.4379166666666654</v>
      </c>
      <c r="G35" s="16">
        <f>'27'!G36</f>
        <v>80.91478260869566</v>
      </c>
      <c r="H35" s="16">
        <f>'27'!H36</f>
        <v>29.68304347826086</v>
      </c>
      <c r="I35" s="16">
        <f>'27'!I36</f>
        <v>11.554999999999998</v>
      </c>
      <c r="J35" s="16">
        <f>'27'!J36</f>
        <v>0.69833333333333325</v>
      </c>
      <c r="K35" s="16">
        <f>'27'!K36</f>
        <v>154.49916666666667</v>
      </c>
      <c r="L35" s="16">
        <f>'27'!L36</f>
        <v>25.440416666666668</v>
      </c>
      <c r="M35" s="16">
        <f>'27'!M36</f>
        <v>45.505833333333335</v>
      </c>
      <c r="N35" s="16">
        <f>'27'!N36</f>
        <v>107.54166666666663</v>
      </c>
      <c r="O35" s="16">
        <f>'27'!O36</f>
        <v>0</v>
      </c>
      <c r="P35" s="16">
        <f>'27'!P36</f>
        <v>0.85625000000000018</v>
      </c>
      <c r="Q35" s="16">
        <f>'27'!Q36</f>
        <v>15.058750000000002</v>
      </c>
      <c r="R35" s="30"/>
      <c r="S35" s="30"/>
      <c r="T35" s="30"/>
      <c r="U35" s="30"/>
    </row>
    <row r="36" spans="1:21" s="2" customFormat="1">
      <c r="A36" s="14" t="str">
        <f>'28'!$B$2</f>
        <v>28/02/2025 01:00</v>
      </c>
      <c r="B36" s="16">
        <f>'28'!B36</f>
        <v>19.025833333333342</v>
      </c>
      <c r="C36" s="16">
        <f>'28'!C36</f>
        <v>24.280416666666667</v>
      </c>
      <c r="D36" s="16">
        <f>'28'!D36</f>
        <v>29.074999999999992</v>
      </c>
      <c r="E36" s="16">
        <f>'28'!E36</f>
        <v>12.947500000000003</v>
      </c>
      <c r="F36" s="16">
        <f>'28'!F36</f>
        <v>6.2479166666666677</v>
      </c>
      <c r="G36" s="16">
        <f>'28'!G36</f>
        <v>81.902500000000018</v>
      </c>
      <c r="H36" s="16">
        <f>'28'!H36</f>
        <v>34.691249999999997</v>
      </c>
      <c r="I36" s="16">
        <f>'28'!I36</f>
        <v>11.262083333333331</v>
      </c>
      <c r="J36" s="16">
        <f>'28'!J36</f>
        <v>0.36791666666666684</v>
      </c>
      <c r="K36" s="16">
        <f>'28'!K36</f>
        <v>225.23000000000002</v>
      </c>
      <c r="L36" s="16">
        <f>'28'!L36</f>
        <v>26.51583333333333</v>
      </c>
      <c r="M36" s="16">
        <f>'28'!M36</f>
        <v>48.50333333333333</v>
      </c>
      <c r="N36" s="16">
        <f>'28'!N36</f>
        <v>102.92083333333333</v>
      </c>
      <c r="O36" s="16">
        <f>'28'!O36</f>
        <v>0</v>
      </c>
      <c r="P36" s="16">
        <f>'28'!P36</f>
        <v>0.89874999999999983</v>
      </c>
      <c r="Q36" s="16">
        <f>'28'!Q36</f>
        <v>28.642916666666665</v>
      </c>
      <c r="R36" s="30"/>
      <c r="S36" s="30"/>
      <c r="T36" s="30"/>
      <c r="U36" s="30"/>
    </row>
    <row r="37" spans="1:21" s="2" customFormat="1">
      <c r="A37" s="30"/>
      <c r="B37" s="30"/>
      <c r="C37" s="30"/>
      <c r="D37" s="30"/>
    </row>
    <row r="38" spans="1:21" s="2" customFormat="1">
      <c r="A38" s="30"/>
      <c r="B38" s="30"/>
      <c r="C38" s="30"/>
      <c r="D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MIN(B9:B36)</f>
        <v>5.6458333333333348</v>
      </c>
      <c r="C40" s="18">
        <f t="shared" si="0"/>
        <v>21.958749999999998</v>
      </c>
      <c r="D40" s="18">
        <f t="shared" si="0"/>
        <v>19.135833333333334</v>
      </c>
      <c r="E40" s="18">
        <f t="shared" si="0"/>
        <v>8.2750000000000004</v>
      </c>
      <c r="F40" s="18">
        <f t="shared" si="0"/>
        <v>0</v>
      </c>
      <c r="G40" s="18">
        <f t="shared" si="0"/>
        <v>59.557916666666642</v>
      </c>
      <c r="H40" s="18">
        <f t="shared" si="0"/>
        <v>20.085714285714285</v>
      </c>
      <c r="I40" s="18">
        <f t="shared" si="0"/>
        <v>5.722142857142857</v>
      </c>
      <c r="J40" s="18">
        <f t="shared" si="0"/>
        <v>0.30444444444444452</v>
      </c>
      <c r="K40" s="18">
        <f t="shared" si="0"/>
        <v>67.358333333333334</v>
      </c>
      <c r="L40" s="18">
        <f t="shared" si="0"/>
        <v>20.513333333333335</v>
      </c>
      <c r="M40" s="18">
        <f t="shared" si="0"/>
        <v>32.764285714285712</v>
      </c>
      <c r="N40" s="18">
        <f t="shared" si="0"/>
        <v>15.266666666666671</v>
      </c>
      <c r="O40" s="18">
        <f t="shared" si="0"/>
        <v>0</v>
      </c>
      <c r="P40" s="18">
        <f t="shared" si="0"/>
        <v>0.59624999999999995</v>
      </c>
      <c r="Q40" s="18">
        <f t="shared" si="0"/>
        <v>-51.760833333333323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MAX(B9:B36)</f>
        <v>49.201249999999987</v>
      </c>
      <c r="C41" s="18">
        <f t="shared" si="1"/>
        <v>50.537916666666661</v>
      </c>
      <c r="D41" s="18">
        <f t="shared" si="1"/>
        <v>67.075833333333335</v>
      </c>
      <c r="E41" s="18">
        <f t="shared" si="1"/>
        <v>17.182916666666667</v>
      </c>
      <c r="F41" s="18">
        <f t="shared" si="1"/>
        <v>33.78875</v>
      </c>
      <c r="G41" s="18">
        <f t="shared" si="1"/>
        <v>114.7370833333333</v>
      </c>
      <c r="H41" s="18">
        <f t="shared" si="1"/>
        <v>49.267083333333339</v>
      </c>
      <c r="I41" s="18">
        <f t="shared" si="1"/>
        <v>13.163749999999999</v>
      </c>
      <c r="J41" s="18">
        <f t="shared" si="1"/>
        <v>1.0379166666666666</v>
      </c>
      <c r="K41" s="18">
        <f t="shared" si="1"/>
        <v>248.49541666666667</v>
      </c>
      <c r="L41" s="18">
        <f t="shared" si="1"/>
        <v>27.179583333333341</v>
      </c>
      <c r="M41" s="18">
        <f t="shared" si="1"/>
        <v>65.830416666666679</v>
      </c>
      <c r="N41" s="18">
        <f t="shared" si="1"/>
        <v>220.84285714285718</v>
      </c>
      <c r="O41" s="18">
        <f t="shared" si="1"/>
        <v>0</v>
      </c>
      <c r="P41" s="18">
        <f t="shared" si="1"/>
        <v>1.0741666666666667</v>
      </c>
      <c r="Q41" s="18">
        <f t="shared" si="1"/>
        <v>28.642916666666665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AVERAGE(B9:B36)</f>
        <v>14.783552024795425</v>
      </c>
      <c r="C42" s="18">
        <f t="shared" si="2"/>
        <v>26.627333335603502</v>
      </c>
      <c r="D42" s="18">
        <f t="shared" si="2"/>
        <v>27.030603864734303</v>
      </c>
      <c r="E42" s="18">
        <f t="shared" si="2"/>
        <v>12.097022041062804</v>
      </c>
      <c r="F42" s="18">
        <f t="shared" si="2"/>
        <v>14.739206564872324</v>
      </c>
      <c r="G42" s="18">
        <f t="shared" si="2"/>
        <v>80.086294819311107</v>
      </c>
      <c r="H42" s="18">
        <f t="shared" si="2"/>
        <v>30.257942843474677</v>
      </c>
      <c r="I42" s="18">
        <f t="shared" si="2"/>
        <v>10.279496728039044</v>
      </c>
      <c r="J42" s="18">
        <f t="shared" si="2"/>
        <v>0.5645809946178737</v>
      </c>
      <c r="K42" s="18">
        <f t="shared" si="2"/>
        <v>195.41592708081257</v>
      </c>
      <c r="L42" s="18">
        <f t="shared" si="2"/>
        <v>24.766853710687176</v>
      </c>
      <c r="M42" s="18">
        <f t="shared" si="2"/>
        <v>48.876130282976177</v>
      </c>
      <c r="N42" s="18">
        <f t="shared" si="2"/>
        <v>103.29592996289428</v>
      </c>
      <c r="O42" s="18">
        <f t="shared" si="2"/>
        <v>0</v>
      </c>
      <c r="P42" s="18">
        <f t="shared" si="2"/>
        <v>0.81579874382863504</v>
      </c>
      <c r="Q42" s="18">
        <f t="shared" si="2"/>
        <v>4.787901785714288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STDEV(B9:B36)</f>
        <v>9.1573388035797478</v>
      </c>
      <c r="C43" s="18">
        <f t="shared" si="3"/>
        <v>7.050932048061104</v>
      </c>
      <c r="D43" s="18">
        <f t="shared" si="3"/>
        <v>10.531427297663148</v>
      </c>
      <c r="E43" s="18">
        <f t="shared" si="3"/>
        <v>2.1123784900004634</v>
      </c>
      <c r="F43" s="18">
        <f t="shared" si="3"/>
        <v>10.96159242571253</v>
      </c>
      <c r="G43" s="18">
        <f t="shared" si="3"/>
        <v>13.114166936191269</v>
      </c>
      <c r="H43" s="18">
        <f t="shared" si="3"/>
        <v>6.4356728891576589</v>
      </c>
      <c r="I43" s="18">
        <f t="shared" si="3"/>
        <v>1.756129437969828</v>
      </c>
      <c r="J43" s="18">
        <f t="shared" si="3"/>
        <v>0.15738047662131105</v>
      </c>
      <c r="K43" s="18">
        <f t="shared" si="3"/>
        <v>41.138799755897878</v>
      </c>
      <c r="L43" s="18">
        <f t="shared" si="3"/>
        <v>1.6463945204774837</v>
      </c>
      <c r="M43" s="18">
        <f t="shared" si="3"/>
        <v>7.7210488958288916</v>
      </c>
      <c r="N43" s="18">
        <f t="shared" si="3"/>
        <v>30.182943226119512</v>
      </c>
      <c r="O43" s="18">
        <f t="shared" si="3"/>
        <v>0</v>
      </c>
      <c r="P43" s="18">
        <f t="shared" si="3"/>
        <v>0.12236931931851237</v>
      </c>
      <c r="Q43" s="18">
        <f t="shared" si="3"/>
        <v>21.009943983733415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COUNT(B9:B36)</f>
        <v>28</v>
      </c>
      <c r="C44" s="3">
        <f t="shared" si="4"/>
        <v>28</v>
      </c>
      <c r="D44" s="3">
        <f t="shared" si="4"/>
        <v>28</v>
      </c>
      <c r="E44" s="3">
        <f t="shared" si="4"/>
        <v>28</v>
      </c>
      <c r="F44" s="3">
        <f t="shared" si="4"/>
        <v>28</v>
      </c>
      <c r="G44" s="3">
        <f t="shared" si="4"/>
        <v>28</v>
      </c>
      <c r="H44" s="3">
        <f t="shared" si="4"/>
        <v>28</v>
      </c>
      <c r="I44" s="3">
        <f t="shared" si="4"/>
        <v>28</v>
      </c>
      <c r="J44" s="3">
        <f t="shared" si="4"/>
        <v>28</v>
      </c>
      <c r="K44" s="3">
        <f t="shared" si="4"/>
        <v>28</v>
      </c>
      <c r="L44" s="3">
        <f t="shared" si="4"/>
        <v>28</v>
      </c>
      <c r="M44" s="3">
        <f t="shared" si="4"/>
        <v>28</v>
      </c>
      <c r="N44" s="3">
        <f t="shared" si="4"/>
        <v>28</v>
      </c>
      <c r="O44" s="3">
        <f t="shared" si="4"/>
        <v>28</v>
      </c>
      <c r="P44" s="3">
        <f t="shared" si="4"/>
        <v>28</v>
      </c>
      <c r="Q44" s="3">
        <f t="shared" si="4"/>
        <v>28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2025-12-12T11:02:26Z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