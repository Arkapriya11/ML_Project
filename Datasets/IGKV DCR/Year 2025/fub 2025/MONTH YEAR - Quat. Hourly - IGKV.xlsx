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730" windowHeight="11040" tabRatio="814" firstSheet="7" activeTab="28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MONTHLY 31" sheetId="39" r:id="rId29"/>
    <sheet name="CALIBRATION REPORT" sheetId="6" r:id="rId30"/>
    <sheet name="POWER OFF" sheetId="5" r:id="rId31"/>
    <sheet name="MUX SIGNALS" sheetId="43" r:id="rId32"/>
  </sheets>
  <calcPr calcId="124519"/>
</workbook>
</file>

<file path=xl/calcChain.xml><?xml version="1.0" encoding="utf-8"?>
<calcChain xmlns="http://schemas.openxmlformats.org/spreadsheetml/2006/main">
  <c r="H110" i="30"/>
  <c r="H112" s="1"/>
  <c r="I110"/>
  <c r="I112" s="1"/>
  <c r="Q110"/>
  <c r="K110"/>
  <c r="L110"/>
  <c r="L112" s="1"/>
  <c r="M110"/>
  <c r="M112" s="1"/>
  <c r="N110"/>
  <c r="O110"/>
  <c r="O112" s="1"/>
  <c r="P110"/>
  <c r="J110"/>
  <c r="G110"/>
  <c r="F110"/>
  <c r="F112" s="1"/>
  <c r="E110"/>
  <c r="C110"/>
  <c r="D110"/>
  <c r="K112"/>
  <c r="N112"/>
  <c r="P112"/>
  <c r="Q112"/>
  <c r="B110"/>
  <c r="I110" i="29"/>
  <c r="Q110"/>
  <c r="Q112" s="1"/>
  <c r="J110"/>
  <c r="K110"/>
  <c r="L110"/>
  <c r="L112" s="1"/>
  <c r="M110"/>
  <c r="N110"/>
  <c r="O110"/>
  <c r="P110"/>
  <c r="H110"/>
  <c r="G110"/>
  <c r="G112"/>
  <c r="E110"/>
  <c r="C110"/>
  <c r="D110"/>
  <c r="I111"/>
  <c r="M112"/>
  <c r="N112"/>
  <c r="O112"/>
  <c r="P112"/>
  <c r="B110"/>
  <c r="C110" i="10"/>
  <c r="D110"/>
  <c r="E110"/>
  <c r="G110"/>
  <c r="H110"/>
  <c r="I110"/>
  <c r="J110"/>
  <c r="K110"/>
  <c r="L110"/>
  <c r="M110"/>
  <c r="N110"/>
  <c r="O110"/>
  <c r="P110"/>
  <c r="P112" s="1"/>
  <c r="Q110"/>
  <c r="Q112" s="1"/>
  <c r="B110"/>
  <c r="Q110" i="19"/>
  <c r="Q112" s="1"/>
  <c r="G110"/>
  <c r="H110"/>
  <c r="I110"/>
  <c r="J110"/>
  <c r="K110"/>
  <c r="L110"/>
  <c r="M110"/>
  <c r="N110"/>
  <c r="O110"/>
  <c r="P110"/>
  <c r="E110"/>
  <c r="E112" s="1"/>
  <c r="C110"/>
  <c r="D110"/>
  <c r="D112" s="1"/>
  <c r="B111"/>
  <c r="B110"/>
  <c r="B112"/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B23" i="39"/>
  <c r="J112" i="33"/>
  <c r="E112"/>
  <c r="J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C112" i="32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E108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E111" i="3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E108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J112" i="30"/>
  <c r="G112"/>
  <c r="E111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K112" i="29"/>
  <c r="J112"/>
  <c r="H112"/>
  <c r="F111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E108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G112" i="28"/>
  <c r="O111"/>
  <c r="J111"/>
  <c r="H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E10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E108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J112" i="25"/>
  <c r="Q110"/>
  <c r="Q112" s="1"/>
  <c r="P110"/>
  <c r="P112" s="1"/>
  <c r="O110"/>
  <c r="O112" s="1"/>
  <c r="N110"/>
  <c r="N112" s="1"/>
  <c r="M110"/>
  <c r="M111" s="1"/>
  <c r="L110"/>
  <c r="L112" s="1"/>
  <c r="K110"/>
  <c r="K111" s="1"/>
  <c r="J110"/>
  <c r="J111" s="1"/>
  <c r="I110"/>
  <c r="I112" s="1"/>
  <c r="H110"/>
  <c r="H111" s="1"/>
  <c r="G110"/>
  <c r="G112" s="1"/>
  <c r="F110"/>
  <c r="F112" s="1"/>
  <c r="E110"/>
  <c r="E111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E108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L112" i="23"/>
  <c r="L111"/>
  <c r="Q110"/>
  <c r="Q112" s="1"/>
  <c r="P110"/>
  <c r="P112" s="1"/>
  <c r="O110"/>
  <c r="O112" s="1"/>
  <c r="N110"/>
  <c r="N112" s="1"/>
  <c r="M110"/>
  <c r="M112" s="1"/>
  <c r="L110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N112" i="22"/>
  <c r="E111"/>
  <c r="Q110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F112" i="21"/>
  <c r="Q110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B112" i="20"/>
  <c r="Q110"/>
  <c r="Q112" s="1"/>
  <c r="P110"/>
  <c r="P112" s="1"/>
  <c r="O110"/>
  <c r="O112" s="1"/>
  <c r="N110"/>
  <c r="N112" s="1"/>
  <c r="M110"/>
  <c r="M111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P112" i="19"/>
  <c r="O112"/>
  <c r="N112"/>
  <c r="M112"/>
  <c r="L111"/>
  <c r="K111"/>
  <c r="J112"/>
  <c r="I112"/>
  <c r="H111"/>
  <c r="G112"/>
  <c r="F112"/>
  <c r="C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E108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O112" i="18"/>
  <c r="D112"/>
  <c r="O111"/>
  <c r="Q110"/>
  <c r="Q111" s="1"/>
  <c r="P110"/>
  <c r="P112" s="1"/>
  <c r="O110"/>
  <c r="N110"/>
  <c r="N112" s="1"/>
  <c r="M110"/>
  <c r="M112" s="1"/>
  <c r="L110"/>
  <c r="L111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1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1" s="1"/>
  <c r="M110"/>
  <c r="M111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1" s="1"/>
  <c r="D110"/>
  <c r="D112" s="1"/>
  <c r="C110"/>
  <c r="C111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H111" i="16"/>
  <c r="C111"/>
  <c r="Q110"/>
  <c r="Q112" s="1"/>
  <c r="P110"/>
  <c r="P112" s="1"/>
  <c r="O110"/>
  <c r="O111" s="1"/>
  <c r="N110"/>
  <c r="N111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1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1" s="1"/>
  <c r="O110"/>
  <c r="O111" s="1"/>
  <c r="N110"/>
  <c r="N112" s="1"/>
  <c r="M110"/>
  <c r="M112" s="1"/>
  <c r="L110"/>
  <c r="L111" s="1"/>
  <c r="K110"/>
  <c r="J110"/>
  <c r="I110"/>
  <c r="I112" s="1"/>
  <c r="H110"/>
  <c r="H112" s="1"/>
  <c r="G110"/>
  <c r="G111" s="1"/>
  <c r="F110"/>
  <c r="F112" s="1"/>
  <c r="E110"/>
  <c r="E111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E108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O111" i="10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O42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E108"/>
  <c r="E9" i="39" s="1"/>
  <c r="D108" i="2"/>
  <c r="D9" i="39" s="1"/>
  <c r="C108" i="2"/>
  <c r="C9" i="39" s="1"/>
  <c r="B108" i="2"/>
  <c r="B9" i="39" s="1"/>
  <c r="B42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G42" i="39" l="1"/>
  <c r="C111" i="30"/>
  <c r="F112" i="29"/>
  <c r="K111" i="32"/>
  <c r="D111" i="31"/>
  <c r="L111"/>
  <c r="E112" i="30"/>
  <c r="G111" i="29"/>
  <c r="N111"/>
  <c r="E112" i="25"/>
  <c r="B112"/>
  <c r="C111" i="24"/>
  <c r="I111"/>
  <c r="K111"/>
  <c r="L111"/>
  <c r="N111"/>
  <c r="D111" i="23"/>
  <c r="G111"/>
  <c r="J111"/>
  <c r="K111" i="22"/>
  <c r="Q111" i="21"/>
  <c r="O112"/>
  <c r="J111" i="20"/>
  <c r="O111"/>
  <c r="P111"/>
  <c r="N111" i="19"/>
  <c r="P111"/>
  <c r="Q111"/>
  <c r="H112"/>
  <c r="M111" i="18"/>
  <c r="B112"/>
  <c r="P111" i="17"/>
  <c r="B112"/>
  <c r="C112"/>
  <c r="Q111" i="16"/>
  <c r="D112"/>
  <c r="O112"/>
  <c r="D111" i="15"/>
  <c r="I111"/>
  <c r="B112"/>
  <c r="E112"/>
  <c r="H111" i="27"/>
  <c r="P112"/>
  <c r="J111" i="26"/>
  <c r="Q111"/>
  <c r="D112"/>
  <c r="N45" i="39"/>
  <c r="N44"/>
  <c r="N43"/>
  <c r="N42"/>
  <c r="N41"/>
  <c r="P45"/>
  <c r="P44"/>
  <c r="P42"/>
  <c r="P41"/>
  <c r="P43"/>
  <c r="M45"/>
  <c r="M44"/>
  <c r="M43"/>
  <c r="M42"/>
  <c r="M41"/>
  <c r="E45"/>
  <c r="E44"/>
  <c r="E43"/>
  <c r="E42"/>
  <c r="E41"/>
  <c r="L112" i="26"/>
  <c r="B43" i="39"/>
  <c r="J112" i="15"/>
  <c r="J111"/>
  <c r="D112" i="2"/>
  <c r="N111" i="12"/>
  <c r="E111" i="2"/>
  <c r="D111" i="3"/>
  <c r="C111" i="8"/>
  <c r="B111" i="9"/>
  <c r="Q111" i="10"/>
  <c r="P111" i="11"/>
  <c r="O111" i="12"/>
  <c r="N111" i="13"/>
  <c r="M111" i="14"/>
  <c r="I112" i="18"/>
  <c r="L112" i="19"/>
  <c r="M112" i="20"/>
  <c r="H112" i="25"/>
  <c r="I112" i="29"/>
  <c r="G111" i="31"/>
  <c r="B111" i="33"/>
  <c r="G43" i="39"/>
  <c r="P111" i="9"/>
  <c r="P111" i="10"/>
  <c r="M111" i="13"/>
  <c r="L111" i="14"/>
  <c r="F45" i="39"/>
  <c r="F44"/>
  <c r="F43"/>
  <c r="F42"/>
  <c r="F41"/>
  <c r="F111" i="2"/>
  <c r="E111" i="3"/>
  <c r="D111" i="8"/>
  <c r="C111" i="9"/>
  <c r="B111" i="10"/>
  <c r="Q111" i="11"/>
  <c r="P111" i="12"/>
  <c r="O111" i="13"/>
  <c r="N111" i="14"/>
  <c r="G112" i="15"/>
  <c r="F112" i="16"/>
  <c r="E112" i="17"/>
  <c r="L112" i="18"/>
  <c r="C111" i="33"/>
  <c r="O43" i="39"/>
  <c r="L112" i="13"/>
  <c r="O111" i="11"/>
  <c r="G111" i="2"/>
  <c r="F111" i="3"/>
  <c r="E111" i="8"/>
  <c r="D111" i="9"/>
  <c r="C111" i="10"/>
  <c r="B111" i="11"/>
  <c r="Q111" i="12"/>
  <c r="P111" i="13"/>
  <c r="O111" i="14"/>
  <c r="J112" i="17"/>
  <c r="H111" i="22"/>
  <c r="M111" i="23"/>
  <c r="F112" i="24"/>
  <c r="K112" i="25"/>
  <c r="F111" i="27"/>
  <c r="E112" i="28"/>
  <c r="C112" i="2"/>
  <c r="O112" i="10"/>
  <c r="C112" i="3"/>
  <c r="B111" i="8"/>
  <c r="Q112" i="9"/>
  <c r="K112" i="19"/>
  <c r="H45" i="39"/>
  <c r="H44"/>
  <c r="H43"/>
  <c r="H42"/>
  <c r="H41"/>
  <c r="G111" i="3"/>
  <c r="F111" i="8"/>
  <c r="E111" i="9"/>
  <c r="D111" i="10"/>
  <c r="C111" i="11"/>
  <c r="B111" i="12"/>
  <c r="Q111" i="13"/>
  <c r="P111" i="14"/>
  <c r="L112" i="15"/>
  <c r="K112" i="16"/>
  <c r="M112" i="17"/>
  <c r="O111" i="23"/>
  <c r="M112" i="25"/>
  <c r="G44" i="39"/>
  <c r="K111" i="14"/>
  <c r="D45" i="39"/>
  <c r="D44"/>
  <c r="D43"/>
  <c r="D42"/>
  <c r="D41"/>
  <c r="K112" i="15"/>
  <c r="K111"/>
  <c r="K112" i="20"/>
  <c r="H111" i="2"/>
  <c r="I45" i="39"/>
  <c r="I44"/>
  <c r="I43"/>
  <c r="I42"/>
  <c r="I41"/>
  <c r="I111" i="2"/>
  <c r="H111" i="3"/>
  <c r="G111" i="8"/>
  <c r="F111" i="9"/>
  <c r="E111" i="10"/>
  <c r="D111" i="11"/>
  <c r="C111" i="12"/>
  <c r="B111" i="13"/>
  <c r="Q111" i="14"/>
  <c r="O112" i="15"/>
  <c r="N112" i="16"/>
  <c r="N112" i="17"/>
  <c r="Q112" i="18"/>
  <c r="M111" i="22"/>
  <c r="I111" i="27"/>
  <c r="O44" i="39"/>
  <c r="N112" i="11"/>
  <c r="J45" i="39"/>
  <c r="J44"/>
  <c r="J43"/>
  <c r="J42"/>
  <c r="J41"/>
  <c r="J111" i="2"/>
  <c r="I111" i="3"/>
  <c r="H111" i="8"/>
  <c r="G111" i="9"/>
  <c r="F111" i="10"/>
  <c r="E111" i="11"/>
  <c r="D111" i="12"/>
  <c r="C111" i="13"/>
  <c r="B111" i="14"/>
  <c r="P112" i="15"/>
  <c r="I111" i="21"/>
  <c r="K111" i="27"/>
  <c r="F111" i="30"/>
  <c r="G45" i="39"/>
  <c r="K45"/>
  <c r="K44"/>
  <c r="K43"/>
  <c r="K42"/>
  <c r="K41"/>
  <c r="K111" i="2"/>
  <c r="J111" i="3"/>
  <c r="I111" i="8"/>
  <c r="H111" i="9"/>
  <c r="G111" i="10"/>
  <c r="F111" i="11"/>
  <c r="E111" i="12"/>
  <c r="D111" i="13"/>
  <c r="C111" i="14"/>
  <c r="C111" i="19"/>
  <c r="G111" i="20"/>
  <c r="L111" i="21"/>
  <c r="P111" i="22"/>
  <c r="G111" i="26"/>
  <c r="H111" i="30"/>
  <c r="O45" i="39"/>
  <c r="B111" i="3"/>
  <c r="Q112" i="8"/>
  <c r="L111" i="2"/>
  <c r="K111" i="3"/>
  <c r="J111" i="8"/>
  <c r="I111" i="9"/>
  <c r="H111" i="10"/>
  <c r="G111" i="11"/>
  <c r="F111" i="12"/>
  <c r="E111" i="13"/>
  <c r="D111" i="14"/>
  <c r="N111" i="21"/>
  <c r="I111" i="26"/>
  <c r="M111" i="30"/>
  <c r="B41" i="39"/>
  <c r="C45"/>
  <c r="C44"/>
  <c r="C43"/>
  <c r="C42"/>
  <c r="C41"/>
  <c r="L45"/>
  <c r="L44"/>
  <c r="L43"/>
  <c r="L42"/>
  <c r="L41"/>
  <c r="M111" i="2"/>
  <c r="L111" i="3"/>
  <c r="K111" i="8"/>
  <c r="J111" i="9"/>
  <c r="I111" i="10"/>
  <c r="H111" i="11"/>
  <c r="G111" i="12"/>
  <c r="F111" i="13"/>
  <c r="E111" i="14"/>
  <c r="D111" i="29"/>
  <c r="D111" i="32"/>
  <c r="G41" i="39"/>
  <c r="N111" i="2"/>
  <c r="M111" i="3"/>
  <c r="L111" i="8"/>
  <c r="K111" i="9"/>
  <c r="J111" i="10"/>
  <c r="I111" i="11"/>
  <c r="H111" i="12"/>
  <c r="G111" i="13"/>
  <c r="F111" i="14"/>
  <c r="F111" i="32"/>
  <c r="O41" i="39"/>
  <c r="O111" i="2"/>
  <c r="N111" i="3"/>
  <c r="M111" i="8"/>
  <c r="L111" i="9"/>
  <c r="K111" i="10"/>
  <c r="J111" i="11"/>
  <c r="I111" i="12"/>
  <c r="H111" i="13"/>
  <c r="G111" i="14"/>
  <c r="M111" i="12"/>
  <c r="P111" i="2"/>
  <c r="O111" i="3"/>
  <c r="N111" i="8"/>
  <c r="M111" i="9"/>
  <c r="L111" i="10"/>
  <c r="K111" i="11"/>
  <c r="J111" i="12"/>
  <c r="I111" i="13"/>
  <c r="H111" i="14"/>
  <c r="Q45" i="39"/>
  <c r="Q44"/>
  <c r="Q43"/>
  <c r="Q42"/>
  <c r="Q41"/>
  <c r="Q111" i="2"/>
  <c r="P111" i="3"/>
  <c r="O111" i="8"/>
  <c r="N111" i="9"/>
  <c r="M111" i="10"/>
  <c r="L111" i="11"/>
  <c r="K111" i="12"/>
  <c r="J111" i="13"/>
  <c r="I111" i="14"/>
  <c r="B45" i="39"/>
  <c r="B44"/>
  <c r="B111" i="2"/>
  <c r="Q111" i="3"/>
  <c r="P111" i="8"/>
  <c r="O111" i="9"/>
  <c r="N111" i="10"/>
  <c r="M111" i="11"/>
  <c r="L111" i="12"/>
  <c r="K111" i="13"/>
  <c r="J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C111" i="27"/>
  <c r="B111" i="28"/>
  <c r="Q111" i="29"/>
  <c r="P111" i="30"/>
  <c r="O111" i="31"/>
  <c r="N111" i="32"/>
  <c r="M111" i="33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B111" i="31"/>
  <c r="Q111" i="32"/>
  <c r="P111" i="33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F111" i="15"/>
  <c r="E111" i="16"/>
  <c r="D111" i="17"/>
  <c r="C111" i="18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J47" i="39" l="1"/>
  <c r="J46"/>
  <c r="D47"/>
  <c r="D46"/>
  <c r="F47"/>
  <c r="F46"/>
  <c r="E47"/>
  <c r="E46"/>
  <c r="Q47"/>
  <c r="Q46"/>
  <c r="H47"/>
  <c r="H46"/>
  <c r="B47"/>
  <c r="B46"/>
  <c r="M47"/>
  <c r="M46"/>
  <c r="L47"/>
  <c r="L46"/>
  <c r="I47"/>
  <c r="I46"/>
  <c r="C47"/>
  <c r="C46"/>
  <c r="O47"/>
  <c r="O46"/>
  <c r="P47"/>
  <c r="P46"/>
  <c r="K47"/>
  <c r="K46"/>
  <c r="G47"/>
  <c r="G46"/>
  <c r="N47"/>
  <c r="N46"/>
</calcChain>
</file>

<file path=xl/sharedStrings.xml><?xml version="1.0" encoding="utf-8"?>
<sst xmlns="http://schemas.openxmlformats.org/spreadsheetml/2006/main" count="9155" uniqueCount="2927">
  <si>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</si>
  <si>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</si>
  <si>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</si>
  <si>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</si>
  <si>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</si>
  <si>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</si>
  <si>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</si>
  <si>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</si>
  <si>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</si>
  <si>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</si>
  <si>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</si>
  <si>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</si>
  <si>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</si>
  <si>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</si>
  <si>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</si>
  <si>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</si>
  <si>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</si>
  <si>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</si>
  <si>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</si>
  <si>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</si>
  <si>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</si>
  <si>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</si>
  <si>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</si>
  <si>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</si>
  <si>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</si>
  <si>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</si>
  <si>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</si>
  <si>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</si>
  <si>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</si>
  <si>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</si>
  <si>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</si>
  <si>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</si>
  <si>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</si>
  <si>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</si>
  <si>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</si>
  <si>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</si>
  <si>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</si>
  <si>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</si>
  <si>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</si>
  <si>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</si>
  <si>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</si>
  <si>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</si>
  <si>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</si>
  <si>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</si>
  <si>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</si>
  <si>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</si>
  <si>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</si>
  <si>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</si>
  <si>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</si>
  <si>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</si>
  <si>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</si>
  <si>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</si>
  <si>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</si>
  <si>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</si>
  <si>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</si>
  <si>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</si>
  <si>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</si>
  <si>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</si>
  <si>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</si>
  <si>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</si>
  <si>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</si>
  <si>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</si>
  <si>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</si>
  <si>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</si>
  <si>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</si>
  <si>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</si>
  <si>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</si>
  <si>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</si>
  <si>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</si>
  <si>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</si>
  <si>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</si>
  <si>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</si>
  <si>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</si>
  <si>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</si>
  <si>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</si>
  <si>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</si>
  <si>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</si>
  <si>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</si>
  <si>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</si>
  <si>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</si>
  <si>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</si>
  <si>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</si>
  <si>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</si>
  <si>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</si>
  <si>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</si>
  <si>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</si>
  <si>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</si>
  <si>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</si>
  <si>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</si>
  <si>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</si>
  <si>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</si>
  <si>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</si>
  <si>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</si>
  <si>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</si>
  <si>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</si>
  <si>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</si>
  <si>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</si>
  <si>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</si>
  <si>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</si>
  <si>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</si>
  <si>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</si>
  <si>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</si>
  <si>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</si>
  <si>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</si>
  <si>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</si>
  <si>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</si>
  <si>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</si>
  <si>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</si>
  <si>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</si>
  <si>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</si>
  <si>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</si>
  <si>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</si>
  <si>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</si>
  <si>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</si>
  <si>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</si>
  <si>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</si>
  <si>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</si>
  <si>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</si>
  <si>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</si>
  <si>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</si>
  <si>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</si>
  <si>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</si>
  <si>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</si>
  <si>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</si>
  <si>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</si>
  <si>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</si>
  <si>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</si>
  <si>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</si>
  <si>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</si>
  <si>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</si>
  <si>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</si>
  <si>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</si>
  <si>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</si>
  <si>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</si>
  <si>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</si>
  <si>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</si>
  <si>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</si>
  <si>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</si>
  <si>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</si>
  <si>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</si>
  <si>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</si>
  <si>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</si>
  <si>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</si>
  <si>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</si>
  <si>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</si>
  <si>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</si>
  <si>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</si>
  <si>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</si>
  <si>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</si>
  <si>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</si>
  <si>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</si>
  <si>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</si>
  <si>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</si>
  <si>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</si>
  <si>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</si>
  <si>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</si>
  <si>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</si>
  <si>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</si>
  <si>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</si>
  <si>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</si>
  <si>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</si>
  <si>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</si>
  <si>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</si>
  <si>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</si>
  <si>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</si>
  <si>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</si>
  <si>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</si>
  <si>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</si>
  <si>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</si>
  <si>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</si>
  <si>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</si>
  <si>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</si>
  <si>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</si>
  <si>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</si>
  <si>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</si>
  <si>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</si>
  <si>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</si>
  <si>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</si>
  <si>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</si>
  <si>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</si>
  <si>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</si>
  <si>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</si>
  <si>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</si>
  <si>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</si>
  <si>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</si>
  <si>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</si>
  <si>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</si>
  <si>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</si>
  <si>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</si>
  <si>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</si>
  <si>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</si>
  <si>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</si>
  <si>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</si>
  <si>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</si>
  <si>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</si>
  <si>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</si>
  <si>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</si>
  <si>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</si>
  <si>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</si>
  <si>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</si>
  <si>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</si>
  <si>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</si>
  <si>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</si>
  <si>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</si>
  <si>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</si>
  <si>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</si>
  <si>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</si>
  <si>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</si>
  <si>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</si>
  <si>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</si>
  <si>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</si>
  <si>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</si>
  <si>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</si>
  <si>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</si>
  <si>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</si>
  <si>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</si>
  <si>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</si>
  <si>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</si>
  <si>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</si>
  <si>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</si>
  <si>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</si>
  <si>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</si>
  <si>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</si>
  <si>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</si>
  <si>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</si>
  <si>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</si>
  <si>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</si>
  <si>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</si>
  <si>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</si>
  <si>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</si>
  <si>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</si>
  <si>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</si>
  <si>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</si>
  <si>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</si>
  <si>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</si>
  <si>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</si>
  <si>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</si>
  <si>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</si>
  <si>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</si>
  <si>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01/02/2025 00:15</t>
  </si>
  <si>
    <t>01/02/2025 00:30</t>
  </si>
  <si>
    <t>01/02/2025 00:45</t>
  </si>
  <si>
    <t>01/02/2025 01:00</t>
  </si>
  <si>
    <t>01/02/2025 01:15</t>
  </si>
  <si>
    <t>01/02/2025 01:30</t>
  </si>
  <si>
    <t>01/02/2025 01:45</t>
  </si>
  <si>
    <t>01/02/2025 02:00</t>
  </si>
  <si>
    <t>01/02/2025 02:15</t>
  </si>
  <si>
    <t>01/02/2025 02:30</t>
  </si>
  <si>
    <t>01/02/2025 02:45</t>
  </si>
  <si>
    <t>01/02/2025 03:00</t>
  </si>
  <si>
    <t>01/02/2025 03:15</t>
  </si>
  <si>
    <t>01/02/2025 03:30</t>
  </si>
  <si>
    <t>01/02/2025 03:45</t>
  </si>
  <si>
    <t>01/02/2025 04:00</t>
  </si>
  <si>
    <t>01/02/2025 04:15</t>
  </si>
  <si>
    <t>01/02/2025 04:30</t>
  </si>
  <si>
    <t>01/02/2025 04:45</t>
  </si>
  <si>
    <t>01/02/2025 05:00</t>
  </si>
  <si>
    <t>01/02/2025 05:15</t>
  </si>
  <si>
    <t>01/02/2025 05:30</t>
  </si>
  <si>
    <t>01/02/2025 05:45</t>
  </si>
  <si>
    <t>01/02/2025 06:00</t>
  </si>
  <si>
    <t>01/02/2025 06:15</t>
  </si>
  <si>
    <t>01/02/2025 06:30</t>
  </si>
  <si>
    <t>01/02/2025 06:45</t>
  </si>
  <si>
    <t>01/02/2025 07:00</t>
  </si>
  <si>
    <t>01/02/2025 07:15</t>
  </si>
  <si>
    <t>01/02/2025 07:30</t>
  </si>
  <si>
    <t>01/02/2025 07:45</t>
  </si>
  <si>
    <t>01/02/2025 08:00</t>
  </si>
  <si>
    <t>01/02/2025 08:15</t>
  </si>
  <si>
    <t>01/02/2025 08:30</t>
  </si>
  <si>
    <t>01/02/2025 08:45</t>
  </si>
  <si>
    <t>01/02/2025 09:00</t>
  </si>
  <si>
    <t>01/02/2025 09:15</t>
  </si>
  <si>
    <t>01/02/2025 09:30</t>
  </si>
  <si>
    <t>01/02/2025 09:45</t>
  </si>
  <si>
    <t>01/02/2025 10:00</t>
  </si>
  <si>
    <t>01/02/2025 10:15</t>
  </si>
  <si>
    <t>01/02/2025 10:30</t>
  </si>
  <si>
    <t>01/02/2025 10:45</t>
  </si>
  <si>
    <t>01/02/2025 11:00</t>
  </si>
  <si>
    <t>01/02/2025 11:15</t>
  </si>
  <si>
    <t>01/02/2025 11:30</t>
  </si>
  <si>
    <t>01/02/2025 11:45</t>
  </si>
  <si>
    <t>01/02/2025 12:00</t>
  </si>
  <si>
    <t>01/02/2025 12:15</t>
  </si>
  <si>
    <t>01/02/2025 12:30</t>
  </si>
  <si>
    <t>01/02/2025 12:45</t>
  </si>
  <si>
    <t>01/02/2025 13:00</t>
  </si>
  <si>
    <t>01/02/2025 13:15</t>
  </si>
  <si>
    <t>01/02/2025 13:30</t>
  </si>
  <si>
    <t>01/02/2025 13:45</t>
  </si>
  <si>
    <t>01/02/2025 14:00</t>
  </si>
  <si>
    <t>01/02/2025 14:15</t>
  </si>
  <si>
    <t>01/02/2025 14:30</t>
  </si>
  <si>
    <t>01/02/2025 14:45</t>
  </si>
  <si>
    <t>01/02/2025 15:00</t>
  </si>
  <si>
    <t>01/02/2025 15:15</t>
  </si>
  <si>
    <t>01/02/2025 15:30</t>
  </si>
  <si>
    <t>01/02/2025 15:45</t>
  </si>
  <si>
    <t>01/02/2025 16:00</t>
  </si>
  <si>
    <t>01/02/2025 16:15</t>
  </si>
  <si>
    <t>01/02/2025 16:30</t>
  </si>
  <si>
    <t>01/02/2025 16:45</t>
  </si>
  <si>
    <t>01/02/2025 17:00</t>
  </si>
  <si>
    <t>01/02/2025 17:15</t>
  </si>
  <si>
    <t>01/02/2025 17:30</t>
  </si>
  <si>
    <t>01/02/2025 17:45</t>
  </si>
  <si>
    <t>01/02/2025 18:00</t>
  </si>
  <si>
    <t>01/02/2025 18:15</t>
  </si>
  <si>
    <t>01/02/2025 18:30</t>
  </si>
  <si>
    <t>01/02/2025 18:45</t>
  </si>
  <si>
    <t>01/02/2025 19:00</t>
  </si>
  <si>
    <t>01/02/2025 19:15</t>
  </si>
  <si>
    <t>01/02/2025 19:30</t>
  </si>
  <si>
    <t>01/02/2025 19:45</t>
  </si>
  <si>
    <t>01/02/2025 20:00</t>
  </si>
  <si>
    <t>01/02/2025 20:15</t>
  </si>
  <si>
    <t>01/02/2025 20:30</t>
  </si>
  <si>
    <t>01/02/2025 20:45</t>
  </si>
  <si>
    <t>01/02/2025 21:00</t>
  </si>
  <si>
    <t>01/02/2025 21:15</t>
  </si>
  <si>
    <t>01/02/2025 21:30</t>
  </si>
  <si>
    <t>01/02/2025 21:45</t>
  </si>
  <si>
    <t>01/02/2025 22:00</t>
  </si>
  <si>
    <t>01/02/2025 22:15</t>
  </si>
  <si>
    <t>01/02/2025 22:30</t>
  </si>
  <si>
    <t>01/02/2025 22:45</t>
  </si>
  <si>
    <t>01/02/2025 23:00</t>
  </si>
  <si>
    <t>01/02/2025 23:15</t>
  </si>
  <si>
    <t>01/02/2025 23:30</t>
  </si>
  <si>
    <t>01/02/2025 23:45</t>
  </si>
  <si>
    <t>01/02/2025 24:00</t>
  </si>
  <si>
    <t>02/02/2025 00:15</t>
  </si>
  <si>
    <t>02/02/2025 00:30</t>
  </si>
  <si>
    <t>02/02/2025 00:45</t>
  </si>
  <si>
    <t>02/02/2025 01:00</t>
  </si>
  <si>
    <t>02/02/2025 01:15</t>
  </si>
  <si>
    <t>02/02/2025 01:30</t>
  </si>
  <si>
    <t>02/02/2025 01:45</t>
  </si>
  <si>
    <t>02/02/2025 02:00</t>
  </si>
  <si>
    <t>02/02/2025 02:15</t>
  </si>
  <si>
    <t>02/02/2025 02:30</t>
  </si>
  <si>
    <t>02/02/2025 02:45</t>
  </si>
  <si>
    <t>02/02/2025 03:00</t>
  </si>
  <si>
    <t>02/02/2025 03:15</t>
  </si>
  <si>
    <t>02/02/2025 03:30</t>
  </si>
  <si>
    <t>02/02/2025 03:45</t>
  </si>
  <si>
    <t>02/02/2025 04:00</t>
  </si>
  <si>
    <t>02/02/2025 04:15</t>
  </si>
  <si>
    <t>02/02/2025 04:30</t>
  </si>
  <si>
    <t>02/02/2025 04:45</t>
  </si>
  <si>
    <t>02/02/2025 05:00</t>
  </si>
  <si>
    <t>02/02/2025 05:15</t>
  </si>
  <si>
    <t>02/02/2025 05:30</t>
  </si>
  <si>
    <t>02/02/2025 05:45</t>
  </si>
  <si>
    <t>02/02/2025 06:00</t>
  </si>
  <si>
    <t>02/02/2025 06:15</t>
  </si>
  <si>
    <t>02/02/2025 06:30</t>
  </si>
  <si>
    <t>02/02/2025 06:45</t>
  </si>
  <si>
    <t>02/02/2025 07:00</t>
  </si>
  <si>
    <t>02/02/2025 07:15</t>
  </si>
  <si>
    <t>02/02/2025 07:30</t>
  </si>
  <si>
    <t>02/02/2025 07:45</t>
  </si>
  <si>
    <t>02/02/2025 08:00</t>
  </si>
  <si>
    <t>02/02/2025 08:15</t>
  </si>
  <si>
    <t>02/02/2025 08:30</t>
  </si>
  <si>
    <t>02/02/2025 08:45</t>
  </si>
  <si>
    <t>02/02/2025 09:00</t>
  </si>
  <si>
    <t>02/02/2025 09:15</t>
  </si>
  <si>
    <t>02/02/2025 09:30</t>
  </si>
  <si>
    <t>02/02/2025 09:45</t>
  </si>
  <si>
    <t>02/02/2025 10:00</t>
  </si>
  <si>
    <t>02/02/2025 10:15</t>
  </si>
  <si>
    <t>02/02/2025 10:30</t>
  </si>
  <si>
    <t>02/02/2025 10:45</t>
  </si>
  <si>
    <t>02/02/2025 11:00</t>
  </si>
  <si>
    <t>02/02/2025 11:15</t>
  </si>
  <si>
    <t>02/02/2025 11:30</t>
  </si>
  <si>
    <t>02/02/2025 11:45</t>
  </si>
  <si>
    <t>02/02/2025 12:00</t>
  </si>
  <si>
    <t>02/02/2025 12:15</t>
  </si>
  <si>
    <t>02/02/2025 12:30</t>
  </si>
  <si>
    <t>02/02/2025 12:45</t>
  </si>
  <si>
    <t>02/02/2025 13:00</t>
  </si>
  <si>
    <t>02/02/2025 13:15</t>
  </si>
  <si>
    <t>02/02/2025 13:30</t>
  </si>
  <si>
    <t>02/02/2025 13:45</t>
  </si>
  <si>
    <t>02/02/2025 14:00</t>
  </si>
  <si>
    <t>02/02/2025 14:15</t>
  </si>
  <si>
    <t>02/02/2025 14:30</t>
  </si>
  <si>
    <t>02/02/2025 14:45</t>
  </si>
  <si>
    <t>02/02/2025 15:00</t>
  </si>
  <si>
    <t>02/02/2025 15:15</t>
  </si>
  <si>
    <t>02/02/2025 15:30</t>
  </si>
  <si>
    <t>02/02/2025 15:45</t>
  </si>
  <si>
    <t>02/02/2025 16:00</t>
  </si>
  <si>
    <t>02/02/2025 16:15</t>
  </si>
  <si>
    <t>02/02/2025 16:30</t>
  </si>
  <si>
    <t>02/02/2025 16:45</t>
  </si>
  <si>
    <t>02/02/2025 17:00</t>
  </si>
  <si>
    <t>02/02/2025 17:15</t>
  </si>
  <si>
    <t>02/02/2025 17:30</t>
  </si>
  <si>
    <t>02/02/2025 17:45</t>
  </si>
  <si>
    <t>02/02/2025 18:00</t>
  </si>
  <si>
    <t>02/02/2025 18:15</t>
  </si>
  <si>
    <t>02/02/2025 18:30</t>
  </si>
  <si>
    <t>02/02/2025 18:45</t>
  </si>
  <si>
    <t>02/02/2025 19:00</t>
  </si>
  <si>
    <t>02/02/2025 19:15</t>
  </si>
  <si>
    <t>02/02/2025 19:30</t>
  </si>
  <si>
    <t>02/02/2025 19:45</t>
  </si>
  <si>
    <t>02/02/2025 20:00</t>
  </si>
  <si>
    <t>02/02/2025 20:15</t>
  </si>
  <si>
    <t>02/02/2025 20:30</t>
  </si>
  <si>
    <t>02/02/2025 20:45</t>
  </si>
  <si>
    <t>02/02/2025 21:00</t>
  </si>
  <si>
    <t>02/02/2025 21:15</t>
  </si>
  <si>
    <t>02/02/2025 21:30</t>
  </si>
  <si>
    <t>02/02/2025 21:45</t>
  </si>
  <si>
    <t>02/02/2025 22:00</t>
  </si>
  <si>
    <t>02/02/2025 22:15</t>
  </si>
  <si>
    <t>02/02/2025 22:30</t>
  </si>
  <si>
    <t>02/02/2025 22:45</t>
  </si>
  <si>
    <t>02/02/2025 23:00</t>
  </si>
  <si>
    <t>02/02/2025 23:15</t>
  </si>
  <si>
    <t>02/02/2025 23:30</t>
  </si>
  <si>
    <t>02/02/2025 23:45</t>
  </si>
  <si>
    <t>02/02/2025 24:00</t>
  </si>
  <si>
    <t>21/02/2025 00:15</t>
  </si>
  <si>
    <t>21/02/2025 00:30</t>
  </si>
  <si>
    <t>21/02/2025 00:45</t>
  </si>
  <si>
    <t>21/02/2025 01:00</t>
  </si>
  <si>
    <t>21/02/2025 01:15</t>
  </si>
  <si>
    <t>21/02/2025 01:30</t>
  </si>
  <si>
    <t>21/02/2025 01:45</t>
  </si>
  <si>
    <t>21/02/2025 02:00</t>
  </si>
  <si>
    <t>21/02/2025 02:15</t>
  </si>
  <si>
    <t>21/02/2025 02:30</t>
  </si>
  <si>
    <t>21/02/2025 02:45</t>
  </si>
  <si>
    <t>21/02/2025 03:00</t>
  </si>
  <si>
    <t>21/02/2025 03:15</t>
  </si>
  <si>
    <t>21/02/2025 03:30</t>
  </si>
  <si>
    <t>21/02/2025 03:45</t>
  </si>
  <si>
    <t>21/02/2025 04:00</t>
  </si>
  <si>
    <t>21/02/2025 04:15</t>
  </si>
  <si>
    <t>21/02/2025 04:30</t>
  </si>
  <si>
    <t>21/02/2025 04:45</t>
  </si>
  <si>
    <t>21/02/2025 05:00</t>
  </si>
  <si>
    <t>21/02/2025 05:15</t>
  </si>
  <si>
    <t>21/02/2025 05:30</t>
  </si>
  <si>
    <t>21/02/2025 05:45</t>
  </si>
  <si>
    <t>21/02/2025 06:00</t>
  </si>
  <si>
    <t>21/02/2025 06:15</t>
  </si>
  <si>
    <t>21/02/2025 06:30</t>
  </si>
  <si>
    <t>21/02/2025 06:45</t>
  </si>
  <si>
    <t>21/02/2025 07:00</t>
  </si>
  <si>
    <t>21/02/2025 07:15</t>
  </si>
  <si>
    <t>21/02/2025 07:30</t>
  </si>
  <si>
    <t>21/02/2025 07:45</t>
  </si>
  <si>
    <t>21/02/2025 08:00</t>
  </si>
  <si>
    <t>21/02/2025 08:15</t>
  </si>
  <si>
    <t>21/02/2025 08:30</t>
  </si>
  <si>
    <t>21/02/2025 08:45</t>
  </si>
  <si>
    <t>21/02/2025 09:00</t>
  </si>
  <si>
    <t>21/02/2025 09:15</t>
  </si>
  <si>
    <t>21/02/2025 09:30</t>
  </si>
  <si>
    <t>21/02/2025 09:45</t>
  </si>
  <si>
    <t>21/02/2025 10:00</t>
  </si>
  <si>
    <t>21/02/2025 10:15</t>
  </si>
  <si>
    <t>21/02/2025 10:30</t>
  </si>
  <si>
    <t>21/02/2025 10:45</t>
  </si>
  <si>
    <t>21/02/2025 11:00</t>
  </si>
  <si>
    <t>21/02/2025 11:15</t>
  </si>
  <si>
    <t>21/02/2025 11:30</t>
  </si>
  <si>
    <t>21/02/2025 11:45</t>
  </si>
  <si>
    <t>21/02/2025 12:00</t>
  </si>
  <si>
    <t>21/02/2025 12:15</t>
  </si>
  <si>
    <t>21/02/2025 12:30</t>
  </si>
  <si>
    <t>21/02/2025 12:45</t>
  </si>
  <si>
    <t>21/02/2025 13:00</t>
  </si>
  <si>
    <t>21/02/2025 13:15</t>
  </si>
  <si>
    <t>21/02/2025 13:30</t>
  </si>
  <si>
    <t>21/02/2025 13:45</t>
  </si>
  <si>
    <t>21/02/2025 14:00</t>
  </si>
  <si>
    <t>21/02/2025 14:15</t>
  </si>
  <si>
    <t>21/02/2025 14:30</t>
  </si>
  <si>
    <t>21/02/2025 14:45</t>
  </si>
  <si>
    <t>21/02/2025 15:00</t>
  </si>
  <si>
    <t>21/02/2025 15:15</t>
  </si>
  <si>
    <t>21/02/2025 15:30</t>
  </si>
  <si>
    <t>21/02/2025 15:45</t>
  </si>
  <si>
    <t>21/02/2025 16:00</t>
  </si>
  <si>
    <t>21/02/2025 16:15</t>
  </si>
  <si>
    <t>21/02/2025 16:30</t>
  </si>
  <si>
    <t>21/02/2025 16:45</t>
  </si>
  <si>
    <t>21/02/2025 17:00</t>
  </si>
  <si>
    <t>21/02/2025 17:15</t>
  </si>
  <si>
    <t>21/02/2025 17:30</t>
  </si>
  <si>
    <t>21/02/2025 17:45</t>
  </si>
  <si>
    <t>21/02/2025 18:00</t>
  </si>
  <si>
    <t>21/02/2025 18:15</t>
  </si>
  <si>
    <t>21/02/2025 18:30</t>
  </si>
  <si>
    <t>21/02/2025 18:45</t>
  </si>
  <si>
    <t>21/02/2025 19:00</t>
  </si>
  <si>
    <t>21/02/2025 19:15</t>
  </si>
  <si>
    <t>21/02/2025 19:30</t>
  </si>
  <si>
    <t>21/02/2025 19:45</t>
  </si>
  <si>
    <t>21/02/2025 20:00</t>
  </si>
  <si>
    <t>21/02/2025 20:15</t>
  </si>
  <si>
    <t>21/02/2025 20:30</t>
  </si>
  <si>
    <t>21/02/2025 20:45</t>
  </si>
  <si>
    <t>21/02/2025 21:00</t>
  </si>
  <si>
    <t>21/02/2025 21:15</t>
  </si>
  <si>
    <t>21/02/2025 21:30</t>
  </si>
  <si>
    <t>21/02/2025 21:45</t>
  </si>
  <si>
    <t>21/02/2025 22:00</t>
  </si>
  <si>
    <t>21/02/2025 22:15</t>
  </si>
  <si>
    <t>21/02/2025 22:30</t>
  </si>
  <si>
    <t>21/02/2025 22:45</t>
  </si>
  <si>
    <t>21/02/2025 23:00</t>
  </si>
  <si>
    <t>21/02/2025 23:15</t>
  </si>
  <si>
    <t>21/02/2025 23:30</t>
  </si>
  <si>
    <t>21/02/2025 23:45</t>
  </si>
  <si>
    <t>21/02/2025 24:00</t>
  </si>
  <si>
    <t>22/02/2025 00:15</t>
  </si>
  <si>
    <t>22/02/2025 00:30</t>
  </si>
  <si>
    <t>22/02/2025 00:45</t>
  </si>
  <si>
    <t>22/02/2025 01:00</t>
  </si>
  <si>
    <t>22/02/2025 01:15</t>
  </si>
  <si>
    <t>22/02/2025 01:30</t>
  </si>
  <si>
    <t>22/02/2025 01:45</t>
  </si>
  <si>
    <t>22/02/2025 02:00</t>
  </si>
  <si>
    <t>22/02/2025 02:15</t>
  </si>
  <si>
    <t>22/02/2025 02:30</t>
  </si>
  <si>
    <t>22/02/2025 02:45</t>
  </si>
  <si>
    <t>22/02/2025 03:00</t>
  </si>
  <si>
    <t>22/02/2025 03:15</t>
  </si>
  <si>
    <t>22/02/2025 03:30</t>
  </si>
  <si>
    <t>22/02/2025 03:45</t>
  </si>
  <si>
    <t>22/02/2025 04:00</t>
  </si>
  <si>
    <t>22/02/2025 04:15</t>
  </si>
  <si>
    <t>22/02/2025 04:30</t>
  </si>
  <si>
    <t>22/02/2025 04:45</t>
  </si>
  <si>
    <t>22/02/2025 05:00</t>
  </si>
  <si>
    <t>22/02/2025 05:15</t>
  </si>
  <si>
    <t>22/02/2025 05:30</t>
  </si>
  <si>
    <t>22/02/2025 05:45</t>
  </si>
  <si>
    <t>22/02/2025 06:00</t>
  </si>
  <si>
    <t>22/02/2025 06:15</t>
  </si>
  <si>
    <t>22/02/2025 06:30</t>
  </si>
  <si>
    <t>22/02/2025 06:45</t>
  </si>
  <si>
    <t>22/02/2025 07:00</t>
  </si>
  <si>
    <t>22/02/2025 07:15</t>
  </si>
  <si>
    <t>22/02/2025 07:30</t>
  </si>
  <si>
    <t>22/02/2025 07:45</t>
  </si>
  <si>
    <t>22/02/2025 08:00</t>
  </si>
  <si>
    <t>22/02/2025 08:15</t>
  </si>
  <si>
    <t>22/02/2025 08:30</t>
  </si>
  <si>
    <t>22/02/2025 08:45</t>
  </si>
  <si>
    <t>22/02/2025 09:00</t>
  </si>
  <si>
    <t>22/02/2025 09:15</t>
  </si>
  <si>
    <t>22/02/2025 09:30</t>
  </si>
  <si>
    <t>22/02/2025 09:45</t>
  </si>
  <si>
    <t>22/02/2025 10:00</t>
  </si>
  <si>
    <t>22/02/2025 10:15</t>
  </si>
  <si>
    <t>22/02/2025 10:30</t>
  </si>
  <si>
    <t>22/02/2025 10:45</t>
  </si>
  <si>
    <t>22/02/2025 11:00</t>
  </si>
  <si>
    <t>22/02/2025 11:15</t>
  </si>
  <si>
    <t>22/02/2025 11:30</t>
  </si>
  <si>
    <t>22/02/2025 11:45</t>
  </si>
  <si>
    <t>22/02/2025 12:00</t>
  </si>
  <si>
    <t>22/02/2025 12:15</t>
  </si>
  <si>
    <t>22/02/2025 12:30</t>
  </si>
  <si>
    <t>22/02/2025 12:45</t>
  </si>
  <si>
    <t>22/02/2025 13:00</t>
  </si>
  <si>
    <t>22/02/2025 13:15</t>
  </si>
  <si>
    <t>22/02/2025 13:30</t>
  </si>
  <si>
    <t>22/02/2025 13:45</t>
  </si>
  <si>
    <t>22/02/2025 14:00</t>
  </si>
  <si>
    <t>22/02/2025 14:15</t>
  </si>
  <si>
    <t>22/02/2025 14:30</t>
  </si>
  <si>
    <t>22/02/2025 14:45</t>
  </si>
  <si>
    <t>22/02/2025 15:00</t>
  </si>
  <si>
    <t>22/02/2025 15:15</t>
  </si>
  <si>
    <t>22/02/2025 15:30</t>
  </si>
  <si>
    <t>22/02/2025 15:45</t>
  </si>
  <si>
    <t>22/02/2025 16:00</t>
  </si>
  <si>
    <t>22/02/2025 16:15</t>
  </si>
  <si>
    <t>22/02/2025 16:30</t>
  </si>
  <si>
    <t>22/02/2025 16:45</t>
  </si>
  <si>
    <t>22/02/2025 17:00</t>
  </si>
  <si>
    <t>22/02/2025 17:15</t>
  </si>
  <si>
    <t>22/02/2025 17:30</t>
  </si>
  <si>
    <t>22/02/2025 17:45</t>
  </si>
  <si>
    <t>22/02/2025 18:00</t>
  </si>
  <si>
    <t>22/02/2025 18:15</t>
  </si>
  <si>
    <t>22/02/2025 18:30</t>
  </si>
  <si>
    <t>22/02/2025 18:45</t>
  </si>
  <si>
    <t>22/02/2025 19:00</t>
  </si>
  <si>
    <t>22/02/2025 19:15</t>
  </si>
  <si>
    <t>22/02/2025 19:30</t>
  </si>
  <si>
    <t>22/02/2025 19:45</t>
  </si>
  <si>
    <t>22/02/2025 20:00</t>
  </si>
  <si>
    <t>22/02/2025 20:15</t>
  </si>
  <si>
    <t>22/02/2025 20:30</t>
  </si>
  <si>
    <t>22/02/2025 20:45</t>
  </si>
  <si>
    <t>22/02/2025 21:00</t>
  </si>
  <si>
    <t>22/02/2025 21:15</t>
  </si>
  <si>
    <t>22/02/2025 21:30</t>
  </si>
  <si>
    <t>22/02/2025 21:45</t>
  </si>
  <si>
    <t>22/02/2025 22:00</t>
  </si>
  <si>
    <t>22/02/2025 22:15</t>
  </si>
  <si>
    <t>22/02/2025 22:30</t>
  </si>
  <si>
    <t>22/02/2025 22:45</t>
  </si>
  <si>
    <t>22/02/2025 23:00</t>
  </si>
  <si>
    <t>22/02/2025 23:15</t>
  </si>
  <si>
    <t>22/02/2025 23:30</t>
  </si>
  <si>
    <t>22/02/2025 23:45</t>
  </si>
  <si>
    <t>22/02/2025 24:00</t>
  </si>
  <si>
    <t>23/02/2025 00:15</t>
  </si>
  <si>
    <t>23/02/2025 00:30</t>
  </si>
  <si>
    <t>23/02/2025 00:45</t>
  </si>
  <si>
    <t>23/02/2025 01:00</t>
  </si>
  <si>
    <t>23/02/2025 01:15</t>
  </si>
  <si>
    <t>23/02/2025 01:30</t>
  </si>
  <si>
    <t>23/02/2025 01:45</t>
  </si>
  <si>
    <t>23/02/2025 02:00</t>
  </si>
  <si>
    <t>23/02/2025 02:15</t>
  </si>
  <si>
    <t>23/02/2025 02:30</t>
  </si>
  <si>
    <t>23/02/2025 02:45</t>
  </si>
  <si>
    <t>23/02/2025 03:00</t>
  </si>
  <si>
    <t>23/02/2025 03:15</t>
  </si>
  <si>
    <t>23/02/2025 03:30</t>
  </si>
  <si>
    <t>23/02/2025 03:45</t>
  </si>
  <si>
    <t>23/02/2025 04:00</t>
  </si>
  <si>
    <t>23/02/2025 04:15</t>
  </si>
  <si>
    <t>23/02/2025 04:30</t>
  </si>
  <si>
    <t>23/02/2025 04:45</t>
  </si>
  <si>
    <t>23/02/2025 05:00</t>
  </si>
  <si>
    <t>23/02/2025 05:15</t>
  </si>
  <si>
    <t>23/02/2025 05:30</t>
  </si>
  <si>
    <t>23/02/2025 05:45</t>
  </si>
  <si>
    <t>23/02/2025 06:00</t>
  </si>
  <si>
    <t>23/02/2025 06:15</t>
  </si>
  <si>
    <t>23/02/2025 06:30</t>
  </si>
  <si>
    <t>23/02/2025 06:45</t>
  </si>
  <si>
    <t>23/02/2025 07:00</t>
  </si>
  <si>
    <t>23/02/2025 07:15</t>
  </si>
  <si>
    <t>23/02/2025 07:30</t>
  </si>
  <si>
    <t>23/02/2025 07:45</t>
  </si>
  <si>
    <t>23/02/2025 08:00</t>
  </si>
  <si>
    <t>23/02/2025 08:15</t>
  </si>
  <si>
    <t>23/02/2025 08:30</t>
  </si>
  <si>
    <t>23/02/2025 08:45</t>
  </si>
  <si>
    <t>23/02/2025 09:00</t>
  </si>
  <si>
    <t>23/02/2025 09:15</t>
  </si>
  <si>
    <t>23/02/2025 09:30</t>
  </si>
  <si>
    <t>23/02/2025 09:45</t>
  </si>
  <si>
    <t>23/02/2025 10:00</t>
  </si>
  <si>
    <t>23/02/2025 10:15</t>
  </si>
  <si>
    <t>23/02/2025 10:30</t>
  </si>
  <si>
    <t>23/02/2025 10:45</t>
  </si>
  <si>
    <t>23/02/2025 11:00</t>
  </si>
  <si>
    <t>23/02/2025 11:15</t>
  </si>
  <si>
    <t>23/02/2025 11:30</t>
  </si>
  <si>
    <t>23/02/2025 11:45</t>
  </si>
  <si>
    <t>23/02/2025 12:00</t>
  </si>
  <si>
    <t>23/02/2025 12:15</t>
  </si>
  <si>
    <t>23/02/2025 12:30</t>
  </si>
  <si>
    <t>23/02/2025 12:45</t>
  </si>
  <si>
    <t>23/02/2025 13:00</t>
  </si>
  <si>
    <t>23/02/2025 13:15</t>
  </si>
  <si>
    <t>23/02/2025 13:30</t>
  </si>
  <si>
    <t>23/02/2025 13:45</t>
  </si>
  <si>
    <t>23/02/2025 14:00</t>
  </si>
  <si>
    <t>23/02/2025 14:15</t>
  </si>
  <si>
    <t>23/02/2025 14:30</t>
  </si>
  <si>
    <t>23/02/2025 14:45</t>
  </si>
  <si>
    <t>23/02/2025 15:00</t>
  </si>
  <si>
    <t>23/02/2025 15:15</t>
  </si>
  <si>
    <t>23/02/2025 15:30</t>
  </si>
  <si>
    <t>23/02/2025 15:45</t>
  </si>
  <si>
    <t>23/02/2025 16:00</t>
  </si>
  <si>
    <t>23/02/2025 16:15</t>
  </si>
  <si>
    <t>23/02/2025 16:30</t>
  </si>
  <si>
    <t>23/02/2025 16:45</t>
  </si>
  <si>
    <t>23/02/2025 17:00</t>
  </si>
  <si>
    <t>23/02/2025 17:15</t>
  </si>
  <si>
    <t>23/02/2025 17:30</t>
  </si>
  <si>
    <t>23/02/2025 17:45</t>
  </si>
  <si>
    <t>23/02/2025 18:00</t>
  </si>
  <si>
    <t>23/02/2025 18:15</t>
  </si>
  <si>
    <t>23/02/2025 18:30</t>
  </si>
  <si>
    <t>23/02/2025 18:45</t>
  </si>
  <si>
    <t>23/02/2025 19:00</t>
  </si>
  <si>
    <t>23/02/2025 19:15</t>
  </si>
  <si>
    <t>23/02/2025 19:30</t>
  </si>
  <si>
    <t>23/02/2025 19:45</t>
  </si>
  <si>
    <t>23/02/2025 20:00</t>
  </si>
  <si>
    <t>23/02/2025 20:15</t>
  </si>
  <si>
    <t>23/02/2025 20:30</t>
  </si>
  <si>
    <t>23/02/2025 20:45</t>
  </si>
  <si>
    <t>23/02/2025 21:00</t>
  </si>
  <si>
    <t>23/02/2025 21:15</t>
  </si>
  <si>
    <t>23/02/2025 21:30</t>
  </si>
  <si>
    <t>23/02/2025 21:45</t>
  </si>
  <si>
    <t>23/02/2025 22:00</t>
  </si>
  <si>
    <t>23/02/2025 22:15</t>
  </si>
  <si>
    <t>23/02/2025 22:30</t>
  </si>
  <si>
    <t>23/02/2025 22:45</t>
  </si>
  <si>
    <t>23/02/2025 23:00</t>
  </si>
  <si>
    <t>23/02/2025 23:15</t>
  </si>
  <si>
    <t>23/02/2025 23:30</t>
  </si>
  <si>
    <t>23/02/2025 23:45</t>
  </si>
  <si>
    <t>23/02/2025 24:00</t>
  </si>
  <si>
    <t>05/02/2025 00:15</t>
  </si>
  <si>
    <t>05/02/2025 00:30</t>
  </si>
  <si>
    <t>05/02/2025 00:45</t>
  </si>
  <si>
    <t>05/02/2025 01:00</t>
  </si>
  <si>
    <t>05/02/2025 01:15</t>
  </si>
  <si>
    <t>05/02/2025 01:30</t>
  </si>
  <si>
    <t>05/02/2025 01:45</t>
  </si>
  <si>
    <t>05/02/2025 02:00</t>
  </si>
  <si>
    <t>05/02/2025 02:15</t>
  </si>
  <si>
    <t>05/02/2025 02:30</t>
  </si>
  <si>
    <t>05/02/2025 02:45</t>
  </si>
  <si>
    <t>05/02/2025 03:00</t>
  </si>
  <si>
    <t>05/02/2025 03:15</t>
  </si>
  <si>
    <t>05/02/2025 03:30</t>
  </si>
  <si>
    <t>05/02/2025 03:45</t>
  </si>
  <si>
    <t>05/02/2025 04:00</t>
  </si>
  <si>
    <t>05/02/2025 04:15</t>
  </si>
  <si>
    <t>05/02/2025 04:30</t>
  </si>
  <si>
    <t>05/02/2025 04:45</t>
  </si>
  <si>
    <t>05/02/2025 05:00</t>
  </si>
  <si>
    <t>05/02/2025 05:15</t>
  </si>
  <si>
    <t>05/02/2025 05:30</t>
  </si>
  <si>
    <t>05/02/2025 05:45</t>
  </si>
  <si>
    <t>05/02/2025 06:00</t>
  </si>
  <si>
    <t>05/02/2025 06:15</t>
  </si>
  <si>
    <t>05/02/2025 06:30</t>
  </si>
  <si>
    <t>05/02/2025 06:45</t>
  </si>
  <si>
    <t>05/02/2025 07:00</t>
  </si>
  <si>
    <t>05/02/2025 07:15</t>
  </si>
  <si>
    <t>05/02/2025 07:30</t>
  </si>
  <si>
    <t>05/02/2025 07:45</t>
  </si>
  <si>
    <t>05/02/2025 08:00</t>
  </si>
  <si>
    <t>05/02/2025 08:15</t>
  </si>
  <si>
    <t>05/02/2025 08:30</t>
  </si>
  <si>
    <t>05/02/2025 08:45</t>
  </si>
  <si>
    <t>05/02/2025 09:00</t>
  </si>
  <si>
    <t>05/02/2025 09:15</t>
  </si>
  <si>
    <t>05/02/2025 09:30</t>
  </si>
  <si>
    <t>05/02/2025 09:45</t>
  </si>
  <si>
    <t>05/02/2025 10:00</t>
  </si>
  <si>
    <t>05/02/2025 10:15</t>
  </si>
  <si>
    <t>05/02/2025 10:30</t>
  </si>
  <si>
    <t>05/02/2025 10:45</t>
  </si>
  <si>
    <t>05/02/2025 11:00</t>
  </si>
  <si>
    <t>05/02/2025 11:15</t>
  </si>
  <si>
    <t>05/02/2025 11:30</t>
  </si>
  <si>
    <t>05/02/2025 11:45</t>
  </si>
  <si>
    <t>05/02/2025 12:00</t>
  </si>
  <si>
    <t>05/02/2025 12:15</t>
  </si>
  <si>
    <t>05/02/2025 12:30</t>
  </si>
  <si>
    <t>05/02/2025 12:45</t>
  </si>
  <si>
    <t>05/02/2025 13:00</t>
  </si>
  <si>
    <t>05/02/2025 13:15</t>
  </si>
  <si>
    <t>05/02/2025 13:30</t>
  </si>
  <si>
    <t>05/02/2025 13:45</t>
  </si>
  <si>
    <t>05/02/2025 14:00</t>
  </si>
  <si>
    <t>05/02/2025 14:15</t>
  </si>
  <si>
    <t>05/02/2025 14:30</t>
  </si>
  <si>
    <t>05/02/2025 14:45</t>
  </si>
  <si>
    <t>05/02/2025 15:00</t>
  </si>
  <si>
    <t>05/02/2025 15:15</t>
  </si>
  <si>
    <t>05/02/2025 15:30</t>
  </si>
  <si>
    <t>05/02/2025 15:45</t>
  </si>
  <si>
    <t>05/02/2025 16:00</t>
  </si>
  <si>
    <t>05/02/2025 16:15</t>
  </si>
  <si>
    <t>05/02/2025 16:30</t>
  </si>
  <si>
    <t>05/02/2025 16:45</t>
  </si>
  <si>
    <t>05/02/2025 17:00</t>
  </si>
  <si>
    <t>05/02/2025 17:15</t>
  </si>
  <si>
    <t>05/02/2025 17:30</t>
  </si>
  <si>
    <t>05/02/2025 17:45</t>
  </si>
  <si>
    <t>05/02/2025 18:00</t>
  </si>
  <si>
    <t>05/02/2025 18:15</t>
  </si>
  <si>
    <t>05/02/2025 18:30</t>
  </si>
  <si>
    <t>05/02/2025 18:45</t>
  </si>
  <si>
    <t>05/02/2025 19:00</t>
  </si>
  <si>
    <t>05/02/2025 19:15</t>
  </si>
  <si>
    <t>05/02/2025 19:30</t>
  </si>
  <si>
    <t>05/02/2025 19:45</t>
  </si>
  <si>
    <t>05/02/2025 20:00</t>
  </si>
  <si>
    <t>05/02/2025 20:15</t>
  </si>
  <si>
    <t>05/02/2025 20:30</t>
  </si>
  <si>
    <t>05/02/2025 20:45</t>
  </si>
  <si>
    <t>05/02/2025 21:00</t>
  </si>
  <si>
    <t>05/02/2025 21:15</t>
  </si>
  <si>
    <t>05/02/2025 21:30</t>
  </si>
  <si>
    <t>05/02/2025 21:45</t>
  </si>
  <si>
    <t>05/02/2025 22:00</t>
  </si>
  <si>
    <t>05/02/2025 22:15</t>
  </si>
  <si>
    <t>05/02/2025 22:30</t>
  </si>
  <si>
    <t>05/02/2025 22:45</t>
  </si>
  <si>
    <t>05/02/2025 23:00</t>
  </si>
  <si>
    <t>05/02/2025 23:15</t>
  </si>
  <si>
    <t>05/02/2025 23:30</t>
  </si>
  <si>
    <t>05/02/2025 23:45</t>
  </si>
  <si>
    <t>05/02/2025 24:00</t>
  </si>
  <si>
    <t>06/02/2025 00:15</t>
  </si>
  <si>
    <t>06/02/2025 00:30</t>
  </si>
  <si>
    <t>06/02/2025 00:45</t>
  </si>
  <si>
    <t>06/02/2025 01:00</t>
  </si>
  <si>
    <t>06/02/2025 01:15</t>
  </si>
  <si>
    <t>06/02/2025 01:30</t>
  </si>
  <si>
    <t>06/02/2025 01:45</t>
  </si>
  <si>
    <t>06/02/2025 02:00</t>
  </si>
  <si>
    <t>06/02/2025 02:15</t>
  </si>
  <si>
    <t>06/02/2025 02:30</t>
  </si>
  <si>
    <t>06/02/2025 02:45</t>
  </si>
  <si>
    <t>06/02/2025 03:00</t>
  </si>
  <si>
    <t>06/02/2025 03:15</t>
  </si>
  <si>
    <t>06/02/2025 03:30</t>
  </si>
  <si>
    <t>06/02/2025 03:45</t>
  </si>
  <si>
    <t>06/02/2025 04:00</t>
  </si>
  <si>
    <t>06/02/2025 04:15</t>
  </si>
  <si>
    <t>06/02/2025 04:30</t>
  </si>
  <si>
    <t>06/02/2025 04:45</t>
  </si>
  <si>
    <t>06/02/2025 05:00</t>
  </si>
  <si>
    <t>06/02/2025 05:15</t>
  </si>
  <si>
    <t>06/02/2025 05:30</t>
  </si>
  <si>
    <t>06/02/2025 05:45</t>
  </si>
  <si>
    <t>06/02/2025 06:00</t>
  </si>
  <si>
    <t>06/02/2025 06:15</t>
  </si>
  <si>
    <t>06/02/2025 06:30</t>
  </si>
  <si>
    <t>06/02/2025 06:45</t>
  </si>
  <si>
    <t>06/02/2025 07:00</t>
  </si>
  <si>
    <t>06/02/2025 07:15</t>
  </si>
  <si>
    <t>06/02/2025 07:30</t>
  </si>
  <si>
    <t>06/02/2025 07:45</t>
  </si>
  <si>
    <t>06/02/2025 08:00</t>
  </si>
  <si>
    <t>06/02/2025 08:15</t>
  </si>
  <si>
    <t>06/02/2025 08:30</t>
  </si>
  <si>
    <t>06/02/2025 08:45</t>
  </si>
  <si>
    <t>06/02/2025 09:00</t>
  </si>
  <si>
    <t>06/02/2025 09:15</t>
  </si>
  <si>
    <t>06/02/2025 09:30</t>
  </si>
  <si>
    <t>06/02/2025 09:45</t>
  </si>
  <si>
    <t>06/02/2025 10:00</t>
  </si>
  <si>
    <t>06/02/2025 10:15</t>
  </si>
  <si>
    <t>06/02/2025 10:30</t>
  </si>
  <si>
    <t>06/02/2025 10:45</t>
  </si>
  <si>
    <t>06/02/2025 11:00</t>
  </si>
  <si>
    <t>06/02/2025 11:15</t>
  </si>
  <si>
    <t>06/02/2025 11:30</t>
  </si>
  <si>
    <t>06/02/2025 11:45</t>
  </si>
  <si>
    <t>06/02/2025 12:00</t>
  </si>
  <si>
    <t>06/02/2025 12:15</t>
  </si>
  <si>
    <t>06/02/2025 12:30</t>
  </si>
  <si>
    <t>06/02/2025 12:45</t>
  </si>
  <si>
    <t>06/02/2025 13:00</t>
  </si>
  <si>
    <t>06/02/2025 13:15</t>
  </si>
  <si>
    <t>06/02/2025 13:30</t>
  </si>
  <si>
    <t>06/02/2025 13:45</t>
  </si>
  <si>
    <t>06/02/2025 14:00</t>
  </si>
  <si>
    <t>06/02/2025 14:15</t>
  </si>
  <si>
    <t>06/02/2025 14:30</t>
  </si>
  <si>
    <t>06/02/2025 14:45</t>
  </si>
  <si>
    <t>06/02/2025 15:00</t>
  </si>
  <si>
    <t>06/02/2025 15:15</t>
  </si>
  <si>
    <t>06/02/2025 15:30</t>
  </si>
  <si>
    <t>06/02/2025 15:45</t>
  </si>
  <si>
    <t>06/02/2025 16:00</t>
  </si>
  <si>
    <t>06/02/2025 16:15</t>
  </si>
  <si>
    <t>06/02/2025 16:30</t>
  </si>
  <si>
    <t>06/02/2025 16:45</t>
  </si>
  <si>
    <t>06/02/2025 17:00</t>
  </si>
  <si>
    <t>06/02/2025 17:15</t>
  </si>
  <si>
    <t>06/02/2025 17:30</t>
  </si>
  <si>
    <t>06/02/2025 17:45</t>
  </si>
  <si>
    <t>06/02/2025 18:00</t>
  </si>
  <si>
    <t>06/02/2025 18:15</t>
  </si>
  <si>
    <t>06/02/2025 18:30</t>
  </si>
  <si>
    <t>06/02/2025 18:45</t>
  </si>
  <si>
    <t>06/02/2025 19:00</t>
  </si>
  <si>
    <t>06/02/2025 19:15</t>
  </si>
  <si>
    <t>06/02/2025 19:30</t>
  </si>
  <si>
    <t>06/02/2025 19:45</t>
  </si>
  <si>
    <t>06/02/2025 20:00</t>
  </si>
  <si>
    <t>06/02/2025 20:15</t>
  </si>
  <si>
    <t>06/02/2025 20:30</t>
  </si>
  <si>
    <t>06/02/2025 20:45</t>
  </si>
  <si>
    <t>06/02/2025 21:00</t>
  </si>
  <si>
    <t>06/02/2025 21:15</t>
  </si>
  <si>
    <t>06/02/2025 21:30</t>
  </si>
  <si>
    <t>06/02/2025 21:45</t>
  </si>
  <si>
    <t>06/02/2025 22:00</t>
  </si>
  <si>
    <t>06/02/2025 22:15</t>
  </si>
  <si>
    <t>06/02/2025 22:30</t>
  </si>
  <si>
    <t>06/02/2025 22:45</t>
  </si>
  <si>
    <t>06/02/2025 23:00</t>
  </si>
  <si>
    <t>06/02/2025 23:15</t>
  </si>
  <si>
    <t>06/02/2025 23:30</t>
  </si>
  <si>
    <t>06/02/2025 23:45</t>
  </si>
  <si>
    <t>06/02/2025 24:00</t>
  </si>
  <si>
    <t>07/02/2025 00:15</t>
  </si>
  <si>
    <t>07/02/2025 00:30</t>
  </si>
  <si>
    <t>07/02/2025 00:45</t>
  </si>
  <si>
    <t>07/02/2025 01:00</t>
  </si>
  <si>
    <t>07/02/2025 01:15</t>
  </si>
  <si>
    <t>07/02/2025 01:30</t>
  </si>
  <si>
    <t>07/02/2025 01:45</t>
  </si>
  <si>
    <t>07/02/2025 02:00</t>
  </si>
  <si>
    <t>07/02/2025 02:15</t>
  </si>
  <si>
    <t>07/02/2025 02:30</t>
  </si>
  <si>
    <t>07/02/2025 02:45</t>
  </si>
  <si>
    <t>07/02/2025 03:00</t>
  </si>
  <si>
    <t>07/02/2025 03:15</t>
  </si>
  <si>
    <t>07/02/2025 03:30</t>
  </si>
  <si>
    <t>07/02/2025 03:45</t>
  </si>
  <si>
    <t>07/02/2025 04:00</t>
  </si>
  <si>
    <t>07/02/2025 04:15</t>
  </si>
  <si>
    <t>07/02/2025 04:30</t>
  </si>
  <si>
    <t>07/02/2025 04:45</t>
  </si>
  <si>
    <t>07/02/2025 05:00</t>
  </si>
  <si>
    <t>07/02/2025 05:15</t>
  </si>
  <si>
    <t>07/02/2025 05:30</t>
  </si>
  <si>
    <t>07/02/2025 05:45</t>
  </si>
  <si>
    <t>07/02/2025 06:00</t>
  </si>
  <si>
    <t>07/02/2025 06:15</t>
  </si>
  <si>
    <t>07/02/2025 06:30</t>
  </si>
  <si>
    <t>07/02/2025 06:45</t>
  </si>
  <si>
    <t>07/02/2025 07:00</t>
  </si>
  <si>
    <t>07/02/2025 07:15</t>
  </si>
  <si>
    <t>07/02/2025 07:30</t>
  </si>
  <si>
    <t>07/02/2025 07:45</t>
  </si>
  <si>
    <t>07/02/2025 08:00</t>
  </si>
  <si>
    <t>07/02/2025 08:15</t>
  </si>
  <si>
    <t>07/02/2025 08:30</t>
  </si>
  <si>
    <t>07/02/2025 08:45</t>
  </si>
  <si>
    <t>07/02/2025 09:00</t>
  </si>
  <si>
    <t>07/02/2025 09:15</t>
  </si>
  <si>
    <t>07/02/2025 09:30</t>
  </si>
  <si>
    <t>07/02/2025 09:45</t>
  </si>
  <si>
    <t>07/02/2025 10:00</t>
  </si>
  <si>
    <t>07/02/2025 10:15</t>
  </si>
  <si>
    <t>07/02/2025 10:30</t>
  </si>
  <si>
    <t>07/02/2025 10:45</t>
  </si>
  <si>
    <t>07/02/2025 11:00</t>
  </si>
  <si>
    <t>07/02/2025 11:15</t>
  </si>
  <si>
    <t>07/02/2025 11:30</t>
  </si>
  <si>
    <t>07/02/2025 11:45</t>
  </si>
  <si>
    <t>07/02/2025 12:00</t>
  </si>
  <si>
    <t>07/02/2025 12:15</t>
  </si>
  <si>
    <t>07/02/2025 12:30</t>
  </si>
  <si>
    <t>07/02/2025 12:45</t>
  </si>
  <si>
    <t>07/02/2025 13:00</t>
  </si>
  <si>
    <t>07/02/2025 13:15</t>
  </si>
  <si>
    <t>07/02/2025 13:30</t>
  </si>
  <si>
    <t>07/02/2025 13:45</t>
  </si>
  <si>
    <t>07/02/2025 14:00</t>
  </si>
  <si>
    <t>07/02/2025 14:15</t>
  </si>
  <si>
    <t>07/02/2025 14:30</t>
  </si>
  <si>
    <t>07/02/2025 14:45</t>
  </si>
  <si>
    <t>07/02/2025 15:00</t>
  </si>
  <si>
    <t>07/02/2025 15:15</t>
  </si>
  <si>
    <t>07/02/2025 15:30</t>
  </si>
  <si>
    <t>07/02/2025 15:45</t>
  </si>
  <si>
    <t>07/02/2025 16:00</t>
  </si>
  <si>
    <t>07/02/2025 16:15</t>
  </si>
  <si>
    <t>07/02/2025 16:30</t>
  </si>
  <si>
    <t>07/02/2025 16:45</t>
  </si>
  <si>
    <t>07/02/2025 17:00</t>
  </si>
  <si>
    <t>07/02/2025 17:15</t>
  </si>
  <si>
    <t>07/02/2025 17:30</t>
  </si>
  <si>
    <t>07/02/2025 17:45</t>
  </si>
  <si>
    <t>07/02/2025 18:00</t>
  </si>
  <si>
    <t>07/02/2025 18:15</t>
  </si>
  <si>
    <t>07/02/2025 18:30</t>
  </si>
  <si>
    <t>07/02/2025 18:45</t>
  </si>
  <si>
    <t>07/02/2025 19:00</t>
  </si>
  <si>
    <t>07/02/2025 19:15</t>
  </si>
  <si>
    <t>07/02/2025 19:30</t>
  </si>
  <si>
    <t>07/02/2025 19:45</t>
  </si>
  <si>
    <t>07/02/2025 20:00</t>
  </si>
  <si>
    <t>07/02/2025 20:15</t>
  </si>
  <si>
    <t>07/02/2025 20:30</t>
  </si>
  <si>
    <t>07/02/2025 20:45</t>
  </si>
  <si>
    <t>07/02/2025 21:00</t>
  </si>
  <si>
    <t>07/02/2025 21:15</t>
  </si>
  <si>
    <t>07/02/2025 21:30</t>
  </si>
  <si>
    <t>07/02/2025 21:45</t>
  </si>
  <si>
    <t>07/02/2025 22:00</t>
  </si>
  <si>
    <t>07/02/2025 22:15</t>
  </si>
  <si>
    <t>07/02/2025 22:30</t>
  </si>
  <si>
    <t>07/02/2025 22:45</t>
  </si>
  <si>
    <t>07/02/2025 23:00</t>
  </si>
  <si>
    <t>07/02/2025 23:15</t>
  </si>
  <si>
    <t>07/02/2025 23:30</t>
  </si>
  <si>
    <t>07/02/2025 23:45</t>
  </si>
  <si>
    <t>07/02/2025 24:00</t>
  </si>
  <si>
    <t>08/02/2025 00:15</t>
  </si>
  <si>
    <t>08/02/2025 00:30</t>
  </si>
  <si>
    <t>08/02/2025 00:45</t>
  </si>
  <si>
    <t>08/02/2025 01:00</t>
  </si>
  <si>
    <t>08/02/2025 01:15</t>
  </si>
  <si>
    <t>08/02/2025 01:30</t>
  </si>
  <si>
    <t>08/02/2025 01:45</t>
  </si>
  <si>
    <t>08/02/2025 02:00</t>
  </si>
  <si>
    <t>08/02/2025 02:15</t>
  </si>
  <si>
    <t>08/02/2025 02:30</t>
  </si>
  <si>
    <t>08/02/2025 02:45</t>
  </si>
  <si>
    <t>08/02/2025 03:00</t>
  </si>
  <si>
    <t>08/02/2025 03:15</t>
  </si>
  <si>
    <t>08/02/2025 03:30</t>
  </si>
  <si>
    <t>08/02/2025 03:45</t>
  </si>
  <si>
    <t>08/02/2025 04:00</t>
  </si>
  <si>
    <t>08/02/2025 04:15</t>
  </si>
  <si>
    <t>08/02/2025 04:30</t>
  </si>
  <si>
    <t>08/02/2025 04:45</t>
  </si>
  <si>
    <t>08/02/2025 05:00</t>
  </si>
  <si>
    <t>08/02/2025 05:15</t>
  </si>
  <si>
    <t>08/02/2025 05:30</t>
  </si>
  <si>
    <t>08/02/2025 05:45</t>
  </si>
  <si>
    <t>08/02/2025 06:00</t>
  </si>
  <si>
    <t>08/02/2025 06:15</t>
  </si>
  <si>
    <t>08/02/2025 06:30</t>
  </si>
  <si>
    <t>08/02/2025 06:45</t>
  </si>
  <si>
    <t>08/02/2025 07:00</t>
  </si>
  <si>
    <t>08/02/2025 07:15</t>
  </si>
  <si>
    <t>08/02/2025 07:30</t>
  </si>
  <si>
    <t>08/02/2025 07:45</t>
  </si>
  <si>
    <t>08/02/2025 08:00</t>
  </si>
  <si>
    <t>08/02/2025 08:15</t>
  </si>
  <si>
    <t>08/02/2025 08:30</t>
  </si>
  <si>
    <t>08/02/2025 08:45</t>
  </si>
  <si>
    <t>08/02/2025 09:00</t>
  </si>
  <si>
    <t>08/02/2025 09:15</t>
  </si>
  <si>
    <t>08/02/2025 09:30</t>
  </si>
  <si>
    <t>08/02/2025 09:45</t>
  </si>
  <si>
    <t>08/02/2025 10:00</t>
  </si>
  <si>
    <t>08/02/2025 10:15</t>
  </si>
  <si>
    <t>08/02/2025 10:30</t>
  </si>
  <si>
    <t>08/02/2025 10:45</t>
  </si>
  <si>
    <t>08/02/2025 11:00</t>
  </si>
  <si>
    <t>08/02/2025 11:15</t>
  </si>
  <si>
    <t>08/02/2025 11:30</t>
  </si>
  <si>
    <t>08/02/2025 11:45</t>
  </si>
  <si>
    <t>08/02/2025 12:00</t>
  </si>
  <si>
    <t>08/02/2025 12:15</t>
  </si>
  <si>
    <t>08/02/2025 12:30</t>
  </si>
  <si>
    <t>08/02/2025 12:45</t>
  </si>
  <si>
    <t>08/02/2025 13:00</t>
  </si>
  <si>
    <t>08/02/2025 13:15</t>
  </si>
  <si>
    <t>08/02/2025 13:30</t>
  </si>
  <si>
    <t>08/02/2025 13:45</t>
  </si>
  <si>
    <t>08/02/2025 14:00</t>
  </si>
  <si>
    <t>08/02/2025 14:15</t>
  </si>
  <si>
    <t>08/02/2025 14:30</t>
  </si>
  <si>
    <t>08/02/2025 14:45</t>
  </si>
  <si>
    <t>08/02/2025 15:00</t>
  </si>
  <si>
    <t>08/02/2025 15:15</t>
  </si>
  <si>
    <t>08/02/2025 15:30</t>
  </si>
  <si>
    <t>08/02/2025 15:45</t>
  </si>
  <si>
    <t>08/02/2025 16:00</t>
  </si>
  <si>
    <t>08/02/2025 16:15</t>
  </si>
  <si>
    <t>08/02/2025 16:30</t>
  </si>
  <si>
    <t>08/02/2025 16:45</t>
  </si>
  <si>
    <t>08/02/2025 17:00</t>
  </si>
  <si>
    <t>08/02/2025 17:15</t>
  </si>
  <si>
    <t>08/02/2025 17:30</t>
  </si>
  <si>
    <t>08/02/2025 17:45</t>
  </si>
  <si>
    <t>08/02/2025 18:00</t>
  </si>
  <si>
    <t>08/02/2025 18:15</t>
  </si>
  <si>
    <t>08/02/2025 18:30</t>
  </si>
  <si>
    <t>08/02/2025 18:45</t>
  </si>
  <si>
    <t>08/02/2025 19:00</t>
  </si>
  <si>
    <t>08/02/2025 19:15</t>
  </si>
  <si>
    <t>08/02/2025 19:30</t>
  </si>
  <si>
    <t>08/02/2025 19:45</t>
  </si>
  <si>
    <t>08/02/2025 20:00</t>
  </si>
  <si>
    <t>08/02/2025 20:15</t>
  </si>
  <si>
    <t>08/02/2025 20:30</t>
  </si>
  <si>
    <t>08/02/2025 20:45</t>
  </si>
  <si>
    <t>08/02/2025 21:00</t>
  </si>
  <si>
    <t>08/02/2025 21:15</t>
  </si>
  <si>
    <t>08/02/2025 21:30</t>
  </si>
  <si>
    <t>08/02/2025 21:45</t>
  </si>
  <si>
    <t>08/02/2025 22:00</t>
  </si>
  <si>
    <t>08/02/2025 22:15</t>
  </si>
  <si>
    <t>08/02/2025 22:30</t>
  </si>
  <si>
    <t>08/02/2025 22:45</t>
  </si>
  <si>
    <t>08/02/2025 23:00</t>
  </si>
  <si>
    <t>08/02/2025 23:15</t>
  </si>
  <si>
    <t>08/02/2025 23:30</t>
  </si>
  <si>
    <t>08/02/2025 23:45</t>
  </si>
  <si>
    <t>08/02/2025 24:00</t>
  </si>
  <si>
    <t>09/02/2025 00:15</t>
  </si>
  <si>
    <t>09/02/2025 00:30</t>
  </si>
  <si>
    <t>09/02/2025 00:45</t>
  </si>
  <si>
    <t>09/02/2025 01:00</t>
  </si>
  <si>
    <t>09/02/2025 01:15</t>
  </si>
  <si>
    <t>09/02/2025 01:30</t>
  </si>
  <si>
    <t>09/02/2025 01:45</t>
  </si>
  <si>
    <t>09/02/2025 02:00</t>
  </si>
  <si>
    <t>09/02/2025 02:15</t>
  </si>
  <si>
    <t>09/02/2025 02:30</t>
  </si>
  <si>
    <t>09/02/2025 02:45</t>
  </si>
  <si>
    <t>09/02/2025 03:00</t>
  </si>
  <si>
    <t>09/02/2025 03:15</t>
  </si>
  <si>
    <t>09/02/2025 03:30</t>
  </si>
  <si>
    <t>09/02/2025 03:45</t>
  </si>
  <si>
    <t>09/02/2025 04:00</t>
  </si>
  <si>
    <t>09/02/2025 04:15</t>
  </si>
  <si>
    <t>09/02/2025 04:30</t>
  </si>
  <si>
    <t>09/02/2025 04:45</t>
  </si>
  <si>
    <t>09/02/2025 05:00</t>
  </si>
  <si>
    <t>09/02/2025 05:15</t>
  </si>
  <si>
    <t>09/02/2025 05:30</t>
  </si>
  <si>
    <t>09/02/2025 05:45</t>
  </si>
  <si>
    <t>09/02/2025 06:00</t>
  </si>
  <si>
    <t>09/02/2025 06:15</t>
  </si>
  <si>
    <t>09/02/2025 06:30</t>
  </si>
  <si>
    <t>09/02/2025 06:45</t>
  </si>
  <si>
    <t>09/02/2025 07:00</t>
  </si>
  <si>
    <t>09/02/2025 07:15</t>
  </si>
  <si>
    <t>09/02/2025 07:30</t>
  </si>
  <si>
    <t>09/02/2025 07:45</t>
  </si>
  <si>
    <t>09/02/2025 08:00</t>
  </si>
  <si>
    <t>09/02/2025 08:15</t>
  </si>
  <si>
    <t>09/02/2025 08:30</t>
  </si>
  <si>
    <t>09/02/2025 08:45</t>
  </si>
  <si>
    <t>09/02/2025 09:00</t>
  </si>
  <si>
    <t>09/02/2025 09:15</t>
  </si>
  <si>
    <t>09/02/2025 09:30</t>
  </si>
  <si>
    <t>09/02/2025 09:45</t>
  </si>
  <si>
    <t>09/02/2025 10:00</t>
  </si>
  <si>
    <t>09/02/2025 10:15</t>
  </si>
  <si>
    <t>09/02/2025 10:30</t>
  </si>
  <si>
    <t>09/02/2025 10:45</t>
  </si>
  <si>
    <t>09/02/2025 11:00</t>
  </si>
  <si>
    <t>09/02/2025 11:15</t>
  </si>
  <si>
    <t>09/02/2025 11:30</t>
  </si>
  <si>
    <t>09/02/2025 11:45</t>
  </si>
  <si>
    <t>09/02/2025 12:00</t>
  </si>
  <si>
    <t>09/02/2025 12:15</t>
  </si>
  <si>
    <t>09/02/2025 12:30</t>
  </si>
  <si>
    <t>09/02/2025 12:45</t>
  </si>
  <si>
    <t>09/02/2025 13:00</t>
  </si>
  <si>
    <t>09/02/2025 13:15</t>
  </si>
  <si>
    <t>09/02/2025 13:30</t>
  </si>
  <si>
    <t>09/02/2025 13:45</t>
  </si>
  <si>
    <t>09/02/2025 14:00</t>
  </si>
  <si>
    <t>09/02/2025 14:15</t>
  </si>
  <si>
    <t>09/02/2025 14:30</t>
  </si>
  <si>
    <t>09/02/2025 14:45</t>
  </si>
  <si>
    <t>09/02/2025 15:00</t>
  </si>
  <si>
    <t>09/02/2025 15:15</t>
  </si>
  <si>
    <t>09/02/2025 15:30</t>
  </si>
  <si>
    <t>09/02/2025 15:45</t>
  </si>
  <si>
    <t>09/02/2025 16:00</t>
  </si>
  <si>
    <t>09/02/2025 16:15</t>
  </si>
  <si>
    <t>09/02/2025 16:30</t>
  </si>
  <si>
    <t>09/02/2025 16:45</t>
  </si>
  <si>
    <t>09/02/2025 17:00</t>
  </si>
  <si>
    <t>09/02/2025 17:15</t>
  </si>
  <si>
    <t>09/02/2025 17:30</t>
  </si>
  <si>
    <t>09/02/2025 17:45</t>
  </si>
  <si>
    <t>09/02/2025 18:00</t>
  </si>
  <si>
    <t>09/02/2025 18:15</t>
  </si>
  <si>
    <t>09/02/2025 18:30</t>
  </si>
  <si>
    <t>09/02/2025 18:45</t>
  </si>
  <si>
    <t>09/02/2025 19:00</t>
  </si>
  <si>
    <t>09/02/2025 19:15</t>
  </si>
  <si>
    <t>09/02/2025 19:30</t>
  </si>
  <si>
    <t>09/02/2025 19:45</t>
  </si>
  <si>
    <t>09/02/2025 20:00</t>
  </si>
  <si>
    <t>09/02/2025 20:15</t>
  </si>
  <si>
    <t>09/02/2025 20:30</t>
  </si>
  <si>
    <t>09/02/2025 20:45</t>
  </si>
  <si>
    <t>09/02/2025 21:00</t>
  </si>
  <si>
    <t>09/02/2025 21:15</t>
  </si>
  <si>
    <t>09/02/2025 21:30</t>
  </si>
  <si>
    <t>09/02/2025 21:45</t>
  </si>
  <si>
    <t>09/02/2025 22:00</t>
  </si>
  <si>
    <t>09/02/2025 22:15</t>
  </si>
  <si>
    <t>09/02/2025 22:30</t>
  </si>
  <si>
    <t>09/02/2025 22:45</t>
  </si>
  <si>
    <t>09/02/2025 23:00</t>
  </si>
  <si>
    <t>09/02/2025 23:15</t>
  </si>
  <si>
    <t>09/02/2025 23:30</t>
  </si>
  <si>
    <t>09/02/2025 23:45</t>
  </si>
  <si>
    <t>09/02/2025 24:00</t>
  </si>
  <si>
    <t>10/02/2025 00:15</t>
  </si>
  <si>
    <t>10/02/2025 00:30</t>
  </si>
  <si>
    <t>10/02/2025 00:45</t>
  </si>
  <si>
    <t>10/02/2025 01:00</t>
  </si>
  <si>
    <t>10/02/2025 01:15</t>
  </si>
  <si>
    <t>10/02/2025 01:30</t>
  </si>
  <si>
    <t>10/02/2025 01:45</t>
  </si>
  <si>
    <t>10/02/2025 02:00</t>
  </si>
  <si>
    <t>10/02/2025 02:15</t>
  </si>
  <si>
    <t>10/02/2025 02:30</t>
  </si>
  <si>
    <t>10/02/2025 02:45</t>
  </si>
  <si>
    <t>10/02/2025 03:00</t>
  </si>
  <si>
    <t>10/02/2025 03:15</t>
  </si>
  <si>
    <t>10/02/2025 03:30</t>
  </si>
  <si>
    <t>10/02/2025 03:45</t>
  </si>
  <si>
    <t>10/02/2025 04:00</t>
  </si>
  <si>
    <t>10/02/2025 04:15</t>
  </si>
  <si>
    <t>10/02/2025 04:30</t>
  </si>
  <si>
    <t>10/02/2025 04:45</t>
  </si>
  <si>
    <t>10/02/2025 05:00</t>
  </si>
  <si>
    <t>10/02/2025 05:15</t>
  </si>
  <si>
    <t>10/02/2025 05:30</t>
  </si>
  <si>
    <t>10/02/2025 05:45</t>
  </si>
  <si>
    <t>10/02/2025 06:00</t>
  </si>
  <si>
    <t>10/02/2025 06:15</t>
  </si>
  <si>
    <t>10/02/2025 06:30</t>
  </si>
  <si>
    <t>10/02/2025 06:45</t>
  </si>
  <si>
    <t>10/02/2025 07:00</t>
  </si>
  <si>
    <t>10/02/2025 07:15</t>
  </si>
  <si>
    <t>10/02/2025 07:30</t>
  </si>
  <si>
    <t>10/02/2025 07:45</t>
  </si>
  <si>
    <t>10/02/2025 08:00</t>
  </si>
  <si>
    <t>10/02/2025 08:15</t>
  </si>
  <si>
    <t>10/02/2025 08:30</t>
  </si>
  <si>
    <t>10/02/2025 08:45</t>
  </si>
  <si>
    <t>10/02/2025 09:00</t>
  </si>
  <si>
    <t>10/02/2025 09:15</t>
  </si>
  <si>
    <t>10/02/2025 09:30</t>
  </si>
  <si>
    <t>10/02/2025 09:45</t>
  </si>
  <si>
    <t>10/02/2025 10:00</t>
  </si>
  <si>
    <t>10/02/2025 10:15</t>
  </si>
  <si>
    <t>10/02/2025 10:30</t>
  </si>
  <si>
    <t>10/02/2025 10:45</t>
  </si>
  <si>
    <t>10/02/2025 11:00</t>
  </si>
  <si>
    <t>10/02/2025 11:15</t>
  </si>
  <si>
    <t>10/02/2025 11:30</t>
  </si>
  <si>
    <t>10/02/2025 11:45</t>
  </si>
  <si>
    <t>10/02/2025 12:00</t>
  </si>
  <si>
    <t>10/02/2025 12:15</t>
  </si>
  <si>
    <t>10/02/2025 12:30</t>
  </si>
  <si>
    <t>10/02/2025 12:45</t>
  </si>
  <si>
    <t>10/02/2025 13:00</t>
  </si>
  <si>
    <t>10/02/2025 13:15</t>
  </si>
  <si>
    <t>10/02/2025 13:30</t>
  </si>
  <si>
    <t>10/02/2025 13:45</t>
  </si>
  <si>
    <t>10/02/2025 14:00</t>
  </si>
  <si>
    <t>10/02/2025 14:15</t>
  </si>
  <si>
    <t>10/02/2025 14:30</t>
  </si>
  <si>
    <t>10/02/2025 14:45</t>
  </si>
  <si>
    <t>10/02/2025 15:00</t>
  </si>
  <si>
    <t>10/02/2025 15:15</t>
  </si>
  <si>
    <t>10/02/2025 15:30</t>
  </si>
  <si>
    <t>10/02/2025 15:45</t>
  </si>
  <si>
    <t>10/02/2025 16:00</t>
  </si>
  <si>
    <t>10/02/2025 16:15</t>
  </si>
  <si>
    <t>10/02/2025 16:30</t>
  </si>
  <si>
    <t>10/02/2025 16:45</t>
  </si>
  <si>
    <t>10/02/2025 17:00</t>
  </si>
  <si>
    <t>10/02/2025 17:15</t>
  </si>
  <si>
    <t>10/02/2025 17:30</t>
  </si>
  <si>
    <t>10/02/2025 17:45</t>
  </si>
  <si>
    <t>10/02/2025 18:00</t>
  </si>
  <si>
    <t>10/02/2025 18:15</t>
  </si>
  <si>
    <t>10/02/2025 18:30</t>
  </si>
  <si>
    <t>10/02/2025 18:45</t>
  </si>
  <si>
    <t>10/02/2025 19:00</t>
  </si>
  <si>
    <t>10/02/2025 19:15</t>
  </si>
  <si>
    <t>10/02/2025 19:30</t>
  </si>
  <si>
    <t>10/02/2025 19:45</t>
  </si>
  <si>
    <t>10/02/2025 20:00</t>
  </si>
  <si>
    <t>10/02/2025 20:15</t>
  </si>
  <si>
    <t>10/02/2025 20:30</t>
  </si>
  <si>
    <t>10/02/2025 20:45</t>
  </si>
  <si>
    <t>10/02/2025 21:00</t>
  </si>
  <si>
    <t>10/02/2025 21:15</t>
  </si>
  <si>
    <t>10/02/2025 21:30</t>
  </si>
  <si>
    <t>10/02/2025 21:45</t>
  </si>
  <si>
    <t>10/02/2025 22:00</t>
  </si>
  <si>
    <t>10/02/2025 22:15</t>
  </si>
  <si>
    <t>10/02/2025 22:30</t>
  </si>
  <si>
    <t>10/02/2025 22:45</t>
  </si>
  <si>
    <t>10/02/2025 23:00</t>
  </si>
  <si>
    <t>10/02/2025 23:15</t>
  </si>
  <si>
    <t>10/02/2025 23:30</t>
  </si>
  <si>
    <t>10/02/2025 23:45</t>
  </si>
  <si>
    <t>10/02/2025 24:00</t>
  </si>
  <si>
    <t>11/02/2025 00:15</t>
  </si>
  <si>
    <t>11/02/2025 00:30</t>
  </si>
  <si>
    <t>11/02/2025 00:45</t>
  </si>
  <si>
    <t>11/02/2025 01:00</t>
  </si>
  <si>
    <t>11/02/2025 01:15</t>
  </si>
  <si>
    <t>11/02/2025 01:30</t>
  </si>
  <si>
    <t>11/02/2025 01:45</t>
  </si>
  <si>
    <t>11/02/2025 02:00</t>
  </si>
  <si>
    <t>11/02/2025 02:15</t>
  </si>
  <si>
    <t>11/02/2025 02:30</t>
  </si>
  <si>
    <t>11/02/2025 02:45</t>
  </si>
  <si>
    <t>11/02/2025 03:00</t>
  </si>
  <si>
    <t>11/02/2025 03:15</t>
  </si>
  <si>
    <t>11/02/2025 03:30</t>
  </si>
  <si>
    <t>11/02/2025 03:45</t>
  </si>
  <si>
    <t>11/02/2025 04:00</t>
  </si>
  <si>
    <t>11/02/2025 04:15</t>
  </si>
  <si>
    <t>11/02/2025 04:30</t>
  </si>
  <si>
    <t>11/02/2025 04:45</t>
  </si>
  <si>
    <t>11/02/2025 05:00</t>
  </si>
  <si>
    <t>11/02/2025 05:15</t>
  </si>
  <si>
    <t>11/02/2025 05:30</t>
  </si>
  <si>
    <t>11/02/2025 05:45</t>
  </si>
  <si>
    <t>11/02/2025 06:00</t>
  </si>
  <si>
    <t>11/02/2025 06:15</t>
  </si>
  <si>
    <t>11/02/2025 06:30</t>
  </si>
  <si>
    <t>11/02/2025 06:45</t>
  </si>
  <si>
    <t>11/02/2025 07:00</t>
  </si>
  <si>
    <t>11/02/2025 07:15</t>
  </si>
  <si>
    <t>11/02/2025 07:30</t>
  </si>
  <si>
    <t>11/02/2025 07:45</t>
  </si>
  <si>
    <t>11/02/2025 08:00</t>
  </si>
  <si>
    <t>11/02/2025 08:15</t>
  </si>
  <si>
    <t>11/02/2025 08:30</t>
  </si>
  <si>
    <t>11/02/2025 08:45</t>
  </si>
  <si>
    <t>11/02/2025 09:00</t>
  </si>
  <si>
    <t>11/02/2025 09:15</t>
  </si>
  <si>
    <t>11/02/2025 09:30</t>
  </si>
  <si>
    <t>11/02/2025 09:45</t>
  </si>
  <si>
    <t>11/02/2025 10:00</t>
  </si>
  <si>
    <t>11/02/2025 10:15</t>
  </si>
  <si>
    <t>11/02/2025 10:30</t>
  </si>
  <si>
    <t>11/02/2025 10:45</t>
  </si>
  <si>
    <t>11/02/2025 11:00</t>
  </si>
  <si>
    <t>11/02/2025 11:15</t>
  </si>
  <si>
    <t>11/02/2025 11:30</t>
  </si>
  <si>
    <t>11/02/2025 11:45</t>
  </si>
  <si>
    <t>11/02/2025 12:00</t>
  </si>
  <si>
    <t>11/02/2025 12:15</t>
  </si>
  <si>
    <t>11/02/2025 12:30</t>
  </si>
  <si>
    <t>11/02/2025 12:45</t>
  </si>
  <si>
    <t>11/02/2025 13:00</t>
  </si>
  <si>
    <t>11/02/2025 13:15</t>
  </si>
  <si>
    <t>11/02/2025 13:30</t>
  </si>
  <si>
    <t>11/02/2025 13:45</t>
  </si>
  <si>
    <t>11/02/2025 14:00</t>
  </si>
  <si>
    <t>11/02/2025 14:15</t>
  </si>
  <si>
    <t>11/02/2025 14:30</t>
  </si>
  <si>
    <t>11/02/2025 14:45</t>
  </si>
  <si>
    <t>11/02/2025 15:00</t>
  </si>
  <si>
    <t>11/02/2025 15:15</t>
  </si>
  <si>
    <t>11/02/2025 15:30</t>
  </si>
  <si>
    <t>11/02/2025 15:45</t>
  </si>
  <si>
    <t>11/02/2025 16:00</t>
  </si>
  <si>
    <t>11/02/2025 16:15</t>
  </si>
  <si>
    <t>11/02/2025 16:30</t>
  </si>
  <si>
    <t>11/02/2025 16:45</t>
  </si>
  <si>
    <t>11/02/2025 17:00</t>
  </si>
  <si>
    <t>11/02/2025 17:15</t>
  </si>
  <si>
    <t>11/02/2025 17:30</t>
  </si>
  <si>
    <t>11/02/2025 17:45</t>
  </si>
  <si>
    <t>11/02/2025 18:00</t>
  </si>
  <si>
    <t>11/02/2025 18:15</t>
  </si>
  <si>
    <t>11/02/2025 18:30</t>
  </si>
  <si>
    <t>11/02/2025 18:45</t>
  </si>
  <si>
    <t>11/02/2025 19:00</t>
  </si>
  <si>
    <t>11/02/2025 19:15</t>
  </si>
  <si>
    <t>11/02/2025 19:30</t>
  </si>
  <si>
    <t>11/02/2025 19:45</t>
  </si>
  <si>
    <t>11/02/2025 20:00</t>
  </si>
  <si>
    <t>11/02/2025 20:15</t>
  </si>
  <si>
    <t>11/02/2025 20:30</t>
  </si>
  <si>
    <t>11/02/2025 20:45</t>
  </si>
  <si>
    <t>11/02/2025 21:00</t>
  </si>
  <si>
    <t>11/02/2025 21:15</t>
  </si>
  <si>
    <t>11/02/2025 21:30</t>
  </si>
  <si>
    <t>11/02/2025 21:45</t>
  </si>
  <si>
    <t>11/02/2025 22:00</t>
  </si>
  <si>
    <t>11/02/2025 22:15</t>
  </si>
  <si>
    <t>11/02/2025 22:30</t>
  </si>
  <si>
    <t>11/02/2025 22:45</t>
  </si>
  <si>
    <t>11/02/2025 23:00</t>
  </si>
  <si>
    <t>11/02/2025 23:15</t>
  </si>
  <si>
    <t>11/02/2025 23:30</t>
  </si>
  <si>
    <t>11/02/2025 23:45</t>
  </si>
  <si>
    <t>11/02/2025 24:00</t>
  </si>
  <si>
    <t>12/02/2025 00:15</t>
  </si>
  <si>
    <t>12/02/2025 00:30</t>
  </si>
  <si>
    <t>12/02/2025 00:45</t>
  </si>
  <si>
    <t>12/02/2025 01:00</t>
  </si>
  <si>
    <t>12/02/2025 01:15</t>
  </si>
  <si>
    <t>12/02/2025 01:30</t>
  </si>
  <si>
    <t>12/02/2025 01:45</t>
  </si>
  <si>
    <t>12/02/2025 02:00</t>
  </si>
  <si>
    <t>12/02/2025 02:15</t>
  </si>
  <si>
    <t>12/02/2025 02:30</t>
  </si>
  <si>
    <t>12/02/2025 02:45</t>
  </si>
  <si>
    <t>12/02/2025 03:00</t>
  </si>
  <si>
    <t>12/02/2025 03:15</t>
  </si>
  <si>
    <t>12/02/2025 03:30</t>
  </si>
  <si>
    <t>12/02/2025 03:45</t>
  </si>
  <si>
    <t>12/02/2025 04:00</t>
  </si>
  <si>
    <t>12/02/2025 04:15</t>
  </si>
  <si>
    <t>12/02/2025 04:30</t>
  </si>
  <si>
    <t>12/02/2025 04:45</t>
  </si>
  <si>
    <t>12/02/2025 05:00</t>
  </si>
  <si>
    <t>12/02/2025 05:15</t>
  </si>
  <si>
    <t>12/02/2025 05:30</t>
  </si>
  <si>
    <t>12/02/2025 05:45</t>
  </si>
  <si>
    <t>12/02/2025 06:00</t>
  </si>
  <si>
    <t>12/02/2025 06:15</t>
  </si>
  <si>
    <t>12/02/2025 06:30</t>
  </si>
  <si>
    <t>12/02/2025 06:45</t>
  </si>
  <si>
    <t>12/02/2025 07:00</t>
  </si>
  <si>
    <t>12/02/2025 07:15</t>
  </si>
  <si>
    <t>12/02/2025 07:30</t>
  </si>
  <si>
    <t>12/02/2025 07:45</t>
  </si>
  <si>
    <t>12/02/2025 08:00</t>
  </si>
  <si>
    <t>12/02/2025 08:15</t>
  </si>
  <si>
    <t>12/02/2025 08:30</t>
  </si>
  <si>
    <t>12/02/2025 08:45</t>
  </si>
  <si>
    <t>12/02/2025 09:00</t>
  </si>
  <si>
    <t>12/02/2025 09:15</t>
  </si>
  <si>
    <t>12/02/2025 09:30</t>
  </si>
  <si>
    <t>12/02/2025 09:45</t>
  </si>
  <si>
    <t>12/02/2025 10:00</t>
  </si>
  <si>
    <t>12/02/2025 10:15</t>
  </si>
  <si>
    <t>12/02/2025 10:30</t>
  </si>
  <si>
    <t>12/02/2025 10:45</t>
  </si>
  <si>
    <t>12/02/2025 11:00</t>
  </si>
  <si>
    <t>12/02/2025 11:15</t>
  </si>
  <si>
    <t>12/02/2025 11:30</t>
  </si>
  <si>
    <t>12/02/2025 11:45</t>
  </si>
  <si>
    <t>12/02/2025 12:00</t>
  </si>
  <si>
    <t>12/02/2025 12:15</t>
  </si>
  <si>
    <t>12/02/2025 12:30</t>
  </si>
  <si>
    <t>12/02/2025 12:45</t>
  </si>
  <si>
    <t>12/02/2025 13:00</t>
  </si>
  <si>
    <t>12/02/2025 13:15</t>
  </si>
  <si>
    <t>12/02/2025 13:30</t>
  </si>
  <si>
    <t>12/02/2025 13:45</t>
  </si>
  <si>
    <t>12/02/2025 14:00</t>
  </si>
  <si>
    <t>12/02/2025 14:15</t>
  </si>
  <si>
    <t>12/02/2025 14:30</t>
  </si>
  <si>
    <t>12/02/2025 14:45</t>
  </si>
  <si>
    <t>12/02/2025 15:00</t>
  </si>
  <si>
    <t>12/02/2025 15:15</t>
  </si>
  <si>
    <t>12/02/2025 15:30</t>
  </si>
  <si>
    <t>12/02/2025 15:45</t>
  </si>
  <si>
    <t>12/02/2025 16:00</t>
  </si>
  <si>
    <t>12/02/2025 16:15</t>
  </si>
  <si>
    <t>12/02/2025 16:30</t>
  </si>
  <si>
    <t>12/02/2025 16:45</t>
  </si>
  <si>
    <t>12/02/2025 17:00</t>
  </si>
  <si>
    <t>12/02/2025 17:15</t>
  </si>
  <si>
    <t>12/02/2025 17:30</t>
  </si>
  <si>
    <t>12/02/2025 17:45</t>
  </si>
  <si>
    <t>12/02/2025 18:00</t>
  </si>
  <si>
    <t>12/02/2025 18:15</t>
  </si>
  <si>
    <t>12/02/2025 18:30</t>
  </si>
  <si>
    <t>12/02/2025 18:45</t>
  </si>
  <si>
    <t>12/02/2025 19:00</t>
  </si>
  <si>
    <t>12/02/2025 19:15</t>
  </si>
  <si>
    <t>12/02/2025 19:30</t>
  </si>
  <si>
    <t>12/02/2025 19:45</t>
  </si>
  <si>
    <t>12/02/2025 20:00</t>
  </si>
  <si>
    <t>12/02/2025 20:15</t>
  </si>
  <si>
    <t>12/02/2025 20:30</t>
  </si>
  <si>
    <t>12/02/2025 20:45</t>
  </si>
  <si>
    <t>12/02/2025 21:00</t>
  </si>
  <si>
    <t>12/02/2025 21:15</t>
  </si>
  <si>
    <t>12/02/2025 21:30</t>
  </si>
  <si>
    <t>12/02/2025 21:45</t>
  </si>
  <si>
    <t>12/02/2025 22:00</t>
  </si>
  <si>
    <t>12/02/2025 22:15</t>
  </si>
  <si>
    <t>12/02/2025 22:30</t>
  </si>
  <si>
    <t>12/02/2025 22:45</t>
  </si>
  <si>
    <t>12/02/2025 23:00</t>
  </si>
  <si>
    <t>12/02/2025 23:15</t>
  </si>
  <si>
    <t>12/02/2025 23:30</t>
  </si>
  <si>
    <t>12/02/2025 23:45</t>
  </si>
  <si>
    <t>12/02/2025 24:00</t>
  </si>
  <si>
    <t>13/02/2025 00:15</t>
  </si>
  <si>
    <t>13/02/2025 00:30</t>
  </si>
  <si>
    <t>13/02/2025 00:45</t>
  </si>
  <si>
    <t>13/02/2025 01:00</t>
  </si>
  <si>
    <t>13/02/2025 01:15</t>
  </si>
  <si>
    <t>13/02/2025 01:30</t>
  </si>
  <si>
    <t>13/02/2025 01:45</t>
  </si>
  <si>
    <t>13/02/2025 02:00</t>
  </si>
  <si>
    <t>13/02/2025 02:15</t>
  </si>
  <si>
    <t>13/02/2025 02:30</t>
  </si>
  <si>
    <t>13/02/2025 02:45</t>
  </si>
  <si>
    <t>13/02/2025 03:00</t>
  </si>
  <si>
    <t>13/02/2025 03:15</t>
  </si>
  <si>
    <t>13/02/2025 03:30</t>
  </si>
  <si>
    <t>13/02/2025 03:45</t>
  </si>
  <si>
    <t>13/02/2025 04:00</t>
  </si>
  <si>
    <t>13/02/2025 04:15</t>
  </si>
  <si>
    <t>13/02/2025 04:30</t>
  </si>
  <si>
    <t>13/02/2025 04:45</t>
  </si>
  <si>
    <t>13/02/2025 05:00</t>
  </si>
  <si>
    <t>13/02/2025 05:15</t>
  </si>
  <si>
    <t>13/02/2025 05:30</t>
  </si>
  <si>
    <t>13/02/2025 05:45</t>
  </si>
  <si>
    <t>13/02/2025 06:00</t>
  </si>
  <si>
    <t>13/02/2025 06:15</t>
  </si>
  <si>
    <t>13/02/2025 06:30</t>
  </si>
  <si>
    <t>13/02/2025 06:45</t>
  </si>
  <si>
    <t>13/02/2025 07:00</t>
  </si>
  <si>
    <t>13/02/2025 07:15</t>
  </si>
  <si>
    <t>13/02/2025 07:30</t>
  </si>
  <si>
    <t>13/02/2025 07:45</t>
  </si>
  <si>
    <t>13/02/2025 08:00</t>
  </si>
  <si>
    <t>13/02/2025 08:15</t>
  </si>
  <si>
    <t>13/02/2025 08:30</t>
  </si>
  <si>
    <t>13/02/2025 08:45</t>
  </si>
  <si>
    <t>13/02/2025 09:00</t>
  </si>
  <si>
    <t>13/02/2025 09:15</t>
  </si>
  <si>
    <t>13/02/2025 09:30</t>
  </si>
  <si>
    <t>13/02/2025 09:45</t>
  </si>
  <si>
    <t>13/02/2025 10:00</t>
  </si>
  <si>
    <t>13/02/2025 10:15</t>
  </si>
  <si>
    <t>13/02/2025 10:30</t>
  </si>
  <si>
    <t>13/02/2025 10:45</t>
  </si>
  <si>
    <t>13/02/2025 11:00</t>
  </si>
  <si>
    <t>13/02/2025 11:15</t>
  </si>
  <si>
    <t>13/02/2025 11:30</t>
  </si>
  <si>
    <t>13/02/2025 11:45</t>
  </si>
  <si>
    <t>13/02/2025 12:00</t>
  </si>
  <si>
    <t>13/02/2025 12:15</t>
  </si>
  <si>
    <t>13/02/2025 12:30</t>
  </si>
  <si>
    <t>13/02/2025 12:45</t>
  </si>
  <si>
    <t>13/02/2025 13:00</t>
  </si>
  <si>
    <t>13/02/2025 13:15</t>
  </si>
  <si>
    <t>13/02/2025 13:30</t>
  </si>
  <si>
    <t>13/02/2025 13:45</t>
  </si>
  <si>
    <t>13/02/2025 14:00</t>
  </si>
  <si>
    <t>13/02/2025 14:15</t>
  </si>
  <si>
    <t>13/02/2025 14:30</t>
  </si>
  <si>
    <t>13/02/2025 14:45</t>
  </si>
  <si>
    <t>13/02/2025 15:00</t>
  </si>
  <si>
    <t>13/02/2025 15:15</t>
  </si>
  <si>
    <t>13/02/2025 15:30</t>
  </si>
  <si>
    <t>13/02/2025 15:45</t>
  </si>
  <si>
    <t>13/02/2025 16:00</t>
  </si>
  <si>
    <t>13/02/2025 16:15</t>
  </si>
  <si>
    <t>13/02/2025 16:30</t>
  </si>
  <si>
    <t>13/02/2025 16:45</t>
  </si>
  <si>
    <t>13/02/2025 17:00</t>
  </si>
  <si>
    <t>13/02/2025 17:15</t>
  </si>
  <si>
    <t>13/02/2025 17:30</t>
  </si>
  <si>
    <t>13/02/2025 17:45</t>
  </si>
  <si>
    <t>13/02/2025 18:00</t>
  </si>
  <si>
    <t>13/02/2025 18:15</t>
  </si>
  <si>
    <t>13/02/2025 18:30</t>
  </si>
  <si>
    <t>13/02/2025 18:45</t>
  </si>
  <si>
    <t>13/02/2025 19:00</t>
  </si>
  <si>
    <t>13/02/2025 19:15</t>
  </si>
  <si>
    <t>13/02/2025 19:30</t>
  </si>
  <si>
    <t>13/02/2025 19:45</t>
  </si>
  <si>
    <t>13/02/2025 20:00</t>
  </si>
  <si>
    <t>13/02/2025 20:15</t>
  </si>
  <si>
    <t>13/02/2025 20:30</t>
  </si>
  <si>
    <t>13/02/2025 20:45</t>
  </si>
  <si>
    <t>13/02/2025 21:00</t>
  </si>
  <si>
    <t>13/02/2025 21:15</t>
  </si>
  <si>
    <t>13/02/2025 21:30</t>
  </si>
  <si>
    <t>13/02/2025 21:45</t>
  </si>
  <si>
    <t>13/02/2025 22:00</t>
  </si>
  <si>
    <t>13/02/2025 22:15</t>
  </si>
  <si>
    <t>13/02/2025 22:30</t>
  </si>
  <si>
    <t>13/02/2025 22:45</t>
  </si>
  <si>
    <t>13/02/2025 23:00</t>
  </si>
  <si>
    <t>13/02/2025 23:15</t>
  </si>
  <si>
    <t>13/02/2025 23:30</t>
  </si>
  <si>
    <t>13/02/2025 23:45</t>
  </si>
  <si>
    <t>13/02/2025 24:00</t>
  </si>
  <si>
    <t>14/02/2025 00:15</t>
  </si>
  <si>
    <t>14/02/2025 00:30</t>
  </si>
  <si>
    <t>14/02/2025 00:45</t>
  </si>
  <si>
    <t>14/02/2025 01:00</t>
  </si>
  <si>
    <t>14/02/2025 01:15</t>
  </si>
  <si>
    <t>14/02/2025 01:30</t>
  </si>
  <si>
    <t>14/02/2025 01:45</t>
  </si>
  <si>
    <t>14/02/2025 02:00</t>
  </si>
  <si>
    <t>14/02/2025 02:15</t>
  </si>
  <si>
    <t>14/02/2025 02:30</t>
  </si>
  <si>
    <t>14/02/2025 02:45</t>
  </si>
  <si>
    <t>14/02/2025 03:00</t>
  </si>
  <si>
    <t>14/02/2025 03:15</t>
  </si>
  <si>
    <t>14/02/2025 03:30</t>
  </si>
  <si>
    <t>14/02/2025 03:45</t>
  </si>
  <si>
    <t>14/02/2025 04:00</t>
  </si>
  <si>
    <t>14/02/2025 04:15</t>
  </si>
  <si>
    <t>14/02/2025 04:30</t>
  </si>
  <si>
    <t>14/02/2025 04:45</t>
  </si>
  <si>
    <t>14/02/2025 05:00</t>
  </si>
  <si>
    <t>14/02/2025 05:15</t>
  </si>
  <si>
    <t>14/02/2025 05:30</t>
  </si>
  <si>
    <t>14/02/2025 05:45</t>
  </si>
  <si>
    <t>14/02/2025 06:00</t>
  </si>
  <si>
    <t>14/02/2025 06:15</t>
  </si>
  <si>
    <t>14/02/2025 06:30</t>
  </si>
  <si>
    <t>14/02/2025 06:45</t>
  </si>
  <si>
    <t>14/02/2025 07:00</t>
  </si>
  <si>
    <t>14/02/2025 07:15</t>
  </si>
  <si>
    <t>14/02/2025 07:30</t>
  </si>
  <si>
    <t>14/02/2025 07:45</t>
  </si>
  <si>
    <t>14/02/2025 08:00</t>
  </si>
  <si>
    <t>14/02/2025 08:15</t>
  </si>
  <si>
    <t>14/02/2025 08:30</t>
  </si>
  <si>
    <t>14/02/2025 08:45</t>
  </si>
  <si>
    <t>14/02/2025 09:00</t>
  </si>
  <si>
    <t>14/02/2025 09:15</t>
  </si>
  <si>
    <t>14/02/2025 09:30</t>
  </si>
  <si>
    <t>14/02/2025 09:45</t>
  </si>
  <si>
    <t>14/02/2025 10:00</t>
  </si>
  <si>
    <t>14/02/2025 10:15</t>
  </si>
  <si>
    <t>14/02/2025 10:30</t>
  </si>
  <si>
    <t>14/02/2025 10:45</t>
  </si>
  <si>
    <t>14/02/2025 11:00</t>
  </si>
  <si>
    <t>14/02/2025 11:15</t>
  </si>
  <si>
    <t>14/02/2025 11:30</t>
  </si>
  <si>
    <t>14/02/2025 11:45</t>
  </si>
  <si>
    <t>14/02/2025 12:00</t>
  </si>
  <si>
    <t>14/02/2025 12:15</t>
  </si>
  <si>
    <t>14/02/2025 12:30</t>
  </si>
  <si>
    <t>14/02/2025 12:45</t>
  </si>
  <si>
    <t>14/02/2025 13:00</t>
  </si>
  <si>
    <t>14/02/2025 13:15</t>
  </si>
  <si>
    <t>14/02/2025 13:30</t>
  </si>
  <si>
    <t>14/02/2025 13:45</t>
  </si>
  <si>
    <t>14/02/2025 14:00</t>
  </si>
  <si>
    <t>14/02/2025 14:15</t>
  </si>
  <si>
    <t>14/02/2025 14:30</t>
  </si>
  <si>
    <t>14/02/2025 14:45</t>
  </si>
  <si>
    <t>14/02/2025 15:00</t>
  </si>
  <si>
    <t>14/02/2025 15:15</t>
  </si>
  <si>
    <t>14/02/2025 15:30</t>
  </si>
  <si>
    <t>14/02/2025 15:45</t>
  </si>
  <si>
    <t>14/02/2025 16:00</t>
  </si>
  <si>
    <t>14/02/2025 16:15</t>
  </si>
  <si>
    <t>14/02/2025 16:30</t>
  </si>
  <si>
    <t>14/02/2025 16:45</t>
  </si>
  <si>
    <t>14/02/2025 17:00</t>
  </si>
  <si>
    <t>14/02/2025 17:15</t>
  </si>
  <si>
    <t>14/02/2025 17:30</t>
  </si>
  <si>
    <t>14/02/2025 17:45</t>
  </si>
  <si>
    <t>14/02/2025 18:00</t>
  </si>
  <si>
    <t>14/02/2025 18:15</t>
  </si>
  <si>
    <t>14/02/2025 18:30</t>
  </si>
  <si>
    <t>14/02/2025 18:45</t>
  </si>
  <si>
    <t>14/02/2025 19:00</t>
  </si>
  <si>
    <t>14/02/2025 19:15</t>
  </si>
  <si>
    <t>14/02/2025 19:30</t>
  </si>
  <si>
    <t>14/02/2025 19:45</t>
  </si>
  <si>
    <t>14/02/2025 20:00</t>
  </si>
  <si>
    <t>14/02/2025 20:15</t>
  </si>
  <si>
    <t>14/02/2025 20:30</t>
  </si>
  <si>
    <t>14/02/2025 20:45</t>
  </si>
  <si>
    <t>14/02/2025 21:00</t>
  </si>
  <si>
    <t>14/02/2025 21:15</t>
  </si>
  <si>
    <t>14/02/2025 21:30</t>
  </si>
  <si>
    <t>14/02/2025 21:45</t>
  </si>
  <si>
    <t>14/02/2025 22:00</t>
  </si>
  <si>
    <t>14/02/2025 22:15</t>
  </si>
  <si>
    <t>14/02/2025 22:30</t>
  </si>
  <si>
    <t>14/02/2025 22:45</t>
  </si>
  <si>
    <t>14/02/2025 23:00</t>
  </si>
  <si>
    <t>14/02/2025 23:15</t>
  </si>
  <si>
    <t>14/02/2025 23:30</t>
  </si>
  <si>
    <t>14/02/2025 23:45</t>
  </si>
  <si>
    <t>14/02/2025 24:00</t>
  </si>
  <si>
    <t>15/02/2025 00:15</t>
  </si>
  <si>
    <t>15/02/2025 00:30</t>
  </si>
  <si>
    <t>15/02/2025 00:45</t>
  </si>
  <si>
    <t>15/02/2025 01:00</t>
  </si>
  <si>
    <t>15/02/2025 01:15</t>
  </si>
  <si>
    <t>15/02/2025 01:30</t>
  </si>
  <si>
    <t>15/02/2025 01:45</t>
  </si>
  <si>
    <t>15/02/2025 02:00</t>
  </si>
  <si>
    <t>15/02/2025 02:15</t>
  </si>
  <si>
    <t>15/02/2025 02:30</t>
  </si>
  <si>
    <t>15/02/2025 02:45</t>
  </si>
  <si>
    <t>15/02/2025 03:00</t>
  </si>
  <si>
    <t>15/02/2025 03:15</t>
  </si>
  <si>
    <t>15/02/2025 03:30</t>
  </si>
  <si>
    <t>15/02/2025 03:45</t>
  </si>
  <si>
    <t>15/02/2025 04:00</t>
  </si>
  <si>
    <t>15/02/2025 04:15</t>
  </si>
  <si>
    <t>15/02/2025 04:30</t>
  </si>
  <si>
    <t>15/02/2025 04:45</t>
  </si>
  <si>
    <t>15/02/2025 05:00</t>
  </si>
  <si>
    <t>15/02/2025 05:15</t>
  </si>
  <si>
    <t>15/02/2025 05:30</t>
  </si>
  <si>
    <t>15/02/2025 05:45</t>
  </si>
  <si>
    <t>15/02/2025 06:00</t>
  </si>
  <si>
    <t>15/02/2025 06:15</t>
  </si>
  <si>
    <t>15/02/2025 06:30</t>
  </si>
  <si>
    <t>15/02/2025 06:45</t>
  </si>
  <si>
    <t>15/02/2025 07:00</t>
  </si>
  <si>
    <t>15/02/2025 07:15</t>
  </si>
  <si>
    <t>15/02/2025 07:30</t>
  </si>
  <si>
    <t>15/02/2025 07:45</t>
  </si>
  <si>
    <t>15/02/2025 08:00</t>
  </si>
  <si>
    <t>15/02/2025 08:15</t>
  </si>
  <si>
    <t>15/02/2025 08:30</t>
  </si>
  <si>
    <t>15/02/2025 08:45</t>
  </si>
  <si>
    <t>15/02/2025 09:00</t>
  </si>
  <si>
    <t>15/02/2025 09:15</t>
  </si>
  <si>
    <t>15/02/2025 09:30</t>
  </si>
  <si>
    <t>15/02/2025 09:45</t>
  </si>
  <si>
    <t>15/02/2025 10:00</t>
  </si>
  <si>
    <t>15/02/2025 10:15</t>
  </si>
  <si>
    <t>15/02/2025 10:30</t>
  </si>
  <si>
    <t>15/02/2025 10:45</t>
  </si>
  <si>
    <t>15/02/2025 11:00</t>
  </si>
  <si>
    <t>15/02/2025 11:15</t>
  </si>
  <si>
    <t>15/02/2025 11:30</t>
  </si>
  <si>
    <t>15/02/2025 11:45</t>
  </si>
  <si>
    <t>15/02/2025 12:00</t>
  </si>
  <si>
    <t>15/02/2025 12:15</t>
  </si>
  <si>
    <t>15/02/2025 12:30</t>
  </si>
  <si>
    <t>15/02/2025 12:45</t>
  </si>
  <si>
    <t>15/02/2025 13:00</t>
  </si>
  <si>
    <t>15/02/2025 13:15</t>
  </si>
  <si>
    <t>15/02/2025 13:30</t>
  </si>
  <si>
    <t>15/02/2025 13:45</t>
  </si>
  <si>
    <t>15/02/2025 14:00</t>
  </si>
  <si>
    <t>15/02/2025 14:15</t>
  </si>
  <si>
    <t>15/02/2025 14:30</t>
  </si>
  <si>
    <t>15/02/2025 14:45</t>
  </si>
  <si>
    <t>15/02/2025 15:00</t>
  </si>
  <si>
    <t>15/02/2025 15:15</t>
  </si>
  <si>
    <t>15/02/2025 15:30</t>
  </si>
  <si>
    <t>15/02/2025 15:45</t>
  </si>
  <si>
    <t>15/02/2025 16:00</t>
  </si>
  <si>
    <t>15/02/2025 16:15</t>
  </si>
  <si>
    <t>15/02/2025 16:30</t>
  </si>
  <si>
    <t>15/02/2025 16:45</t>
  </si>
  <si>
    <t>15/02/2025 17:00</t>
  </si>
  <si>
    <t>15/02/2025 17:15</t>
  </si>
  <si>
    <t>15/02/2025 17:30</t>
  </si>
  <si>
    <t>15/02/2025 17:45</t>
  </si>
  <si>
    <t>15/02/2025 18:00</t>
  </si>
  <si>
    <t>15/02/2025 18:15</t>
  </si>
  <si>
    <t>15/02/2025 18:30</t>
  </si>
  <si>
    <t>15/02/2025 18:45</t>
  </si>
  <si>
    <t>15/02/2025 19:00</t>
  </si>
  <si>
    <t>15/02/2025 19:15</t>
  </si>
  <si>
    <t>15/02/2025 19:30</t>
  </si>
  <si>
    <t>15/02/2025 19:45</t>
  </si>
  <si>
    <t>15/02/2025 20:00</t>
  </si>
  <si>
    <t>15/02/2025 20:15</t>
  </si>
  <si>
    <t>15/02/2025 20:30</t>
  </si>
  <si>
    <t>15/02/2025 20:45</t>
  </si>
  <si>
    <t>15/02/2025 21:00</t>
  </si>
  <si>
    <t>15/02/2025 21:15</t>
  </si>
  <si>
    <t>15/02/2025 21:30</t>
  </si>
  <si>
    <t>15/02/2025 21:45</t>
  </si>
  <si>
    <t>15/02/2025 22:00</t>
  </si>
  <si>
    <t>15/02/2025 22:15</t>
  </si>
  <si>
    <t>15/02/2025 22:30</t>
  </si>
  <si>
    <t>15/02/2025 22:45</t>
  </si>
  <si>
    <t>15/02/2025 23:00</t>
  </si>
  <si>
    <t>15/02/2025 23:15</t>
  </si>
  <si>
    <t>15/02/2025 23:30</t>
  </si>
  <si>
    <t>15/02/2025 23:45</t>
  </si>
  <si>
    <t>15/02/2025 24:00</t>
  </si>
  <si>
    <t>16/02/2025 00:15</t>
  </si>
  <si>
    <t>16/02/2025 00:30</t>
  </si>
  <si>
    <t>16/02/2025 00:45</t>
  </si>
  <si>
    <t>16/02/2025 01:00</t>
  </si>
  <si>
    <t>16/02/2025 01:15</t>
  </si>
  <si>
    <t>16/02/2025 01:30</t>
  </si>
  <si>
    <t>16/02/2025 01:45</t>
  </si>
  <si>
    <t>16/02/2025 02:00</t>
  </si>
  <si>
    <t>16/02/2025 02:15</t>
  </si>
  <si>
    <t>16/02/2025 02:30</t>
  </si>
  <si>
    <t>16/02/2025 02:45</t>
  </si>
  <si>
    <t>16/02/2025 03:00</t>
  </si>
  <si>
    <t>16/02/2025 03:15</t>
  </si>
  <si>
    <t>16/02/2025 03:30</t>
  </si>
  <si>
    <t>16/02/2025 03:45</t>
  </si>
  <si>
    <t>16/02/2025 04:00</t>
  </si>
  <si>
    <t>16/02/2025 04:15</t>
  </si>
  <si>
    <t>16/02/2025 04:30</t>
  </si>
  <si>
    <t>16/02/2025 04:45</t>
  </si>
  <si>
    <t>16/02/2025 05:00</t>
  </si>
  <si>
    <t>16/02/2025 05:15</t>
  </si>
  <si>
    <t>16/02/2025 05:30</t>
  </si>
  <si>
    <t>16/02/2025 05:45</t>
  </si>
  <si>
    <t>16/02/2025 06:00</t>
  </si>
  <si>
    <t>16/02/2025 06:15</t>
  </si>
  <si>
    <t>16/02/2025 06:30</t>
  </si>
  <si>
    <t>16/02/2025 06:45</t>
  </si>
  <si>
    <t>16/02/2025 07:00</t>
  </si>
  <si>
    <t>16/02/2025 07:15</t>
  </si>
  <si>
    <t>16/02/2025 07:30</t>
  </si>
  <si>
    <t>16/02/2025 07:45</t>
  </si>
  <si>
    <t>16/02/2025 08:00</t>
  </si>
  <si>
    <t>16/02/2025 08:15</t>
  </si>
  <si>
    <t>16/02/2025 08:30</t>
  </si>
  <si>
    <t>16/02/2025 08:45</t>
  </si>
  <si>
    <t>16/02/2025 09:00</t>
  </si>
  <si>
    <t>16/02/2025 09:15</t>
  </si>
  <si>
    <t>16/02/2025 09:30</t>
  </si>
  <si>
    <t>16/02/2025 09:45</t>
  </si>
  <si>
    <t>16/02/2025 10:00</t>
  </si>
  <si>
    <t>16/02/2025 10:15</t>
  </si>
  <si>
    <t>16/02/2025 10:30</t>
  </si>
  <si>
    <t>16/02/2025 10:45</t>
  </si>
  <si>
    <t>16/02/2025 11:00</t>
  </si>
  <si>
    <t>16/02/2025 11:15</t>
  </si>
  <si>
    <t>16/02/2025 11:30</t>
  </si>
  <si>
    <t>16/02/2025 11:45</t>
  </si>
  <si>
    <t>16/02/2025 12:00</t>
  </si>
  <si>
    <t>16/02/2025 12:15</t>
  </si>
  <si>
    <t>16/02/2025 12:30</t>
  </si>
  <si>
    <t>16/02/2025 12:45</t>
  </si>
  <si>
    <t>16/02/2025 13:00</t>
  </si>
  <si>
    <t>16/02/2025 13:15</t>
  </si>
  <si>
    <t>16/02/2025 13:30</t>
  </si>
  <si>
    <t>16/02/2025 13:45</t>
  </si>
  <si>
    <t>16/02/2025 14:00</t>
  </si>
  <si>
    <t>16/02/2025 14:15</t>
  </si>
  <si>
    <t>16/02/2025 14:30</t>
  </si>
  <si>
    <t>16/02/2025 14:45</t>
  </si>
  <si>
    <t>16/02/2025 15:00</t>
  </si>
  <si>
    <t>16/02/2025 15:15</t>
  </si>
  <si>
    <t>16/02/2025 15:30</t>
  </si>
  <si>
    <t>16/02/2025 15:45</t>
  </si>
  <si>
    <t>16/02/2025 16:00</t>
  </si>
  <si>
    <t>16/02/2025 16:15</t>
  </si>
  <si>
    <t>16/02/2025 16:30</t>
  </si>
  <si>
    <t>16/02/2025 16:45</t>
  </si>
  <si>
    <t>16/02/2025 17:00</t>
  </si>
  <si>
    <t>16/02/2025 17:15</t>
  </si>
  <si>
    <t>16/02/2025 17:30</t>
  </si>
  <si>
    <t>16/02/2025 17:45</t>
  </si>
  <si>
    <t>16/02/2025 18:00</t>
  </si>
  <si>
    <t>16/02/2025 18:15</t>
  </si>
  <si>
    <t>16/02/2025 18:30</t>
  </si>
  <si>
    <t>16/02/2025 18:45</t>
  </si>
  <si>
    <t>16/02/2025 19:00</t>
  </si>
  <si>
    <t>16/02/2025 19:15</t>
  </si>
  <si>
    <t>16/02/2025 19:30</t>
  </si>
  <si>
    <t>16/02/2025 19:45</t>
  </si>
  <si>
    <t>16/02/2025 20:00</t>
  </si>
  <si>
    <t>16/02/2025 20:15</t>
  </si>
  <si>
    <t>16/02/2025 20:30</t>
  </si>
  <si>
    <t>16/02/2025 20:45</t>
  </si>
  <si>
    <t>16/02/2025 21:00</t>
  </si>
  <si>
    <t>16/02/2025 21:15</t>
  </si>
  <si>
    <t>16/02/2025 21:30</t>
  </si>
  <si>
    <t>16/02/2025 21:45</t>
  </si>
  <si>
    <t>16/02/2025 22:00</t>
  </si>
  <si>
    <t>16/02/2025 22:15</t>
  </si>
  <si>
    <t>16/02/2025 22:30</t>
  </si>
  <si>
    <t>16/02/2025 22:45</t>
  </si>
  <si>
    <t>16/02/2025 23:00</t>
  </si>
  <si>
    <t>16/02/2025 23:15</t>
  </si>
  <si>
    <t>16/02/2025 23:30</t>
  </si>
  <si>
    <t>16/02/2025 23:45</t>
  </si>
  <si>
    <t>16/02/2025 24:00</t>
  </si>
  <si>
    <t>17/02/2025 00:15</t>
  </si>
  <si>
    <t>17/02/2025 00:30</t>
  </si>
  <si>
    <t>17/02/2025 00:45</t>
  </si>
  <si>
    <t>17/02/2025 01:00</t>
  </si>
  <si>
    <t>17/02/2025 01:15</t>
  </si>
  <si>
    <t>17/02/2025 01:30</t>
  </si>
  <si>
    <t>17/02/2025 01:45</t>
  </si>
  <si>
    <t>17/02/2025 02:00</t>
  </si>
  <si>
    <t>17/02/2025 02:15</t>
  </si>
  <si>
    <t>17/02/2025 02:30</t>
  </si>
  <si>
    <t>17/02/2025 02:45</t>
  </si>
  <si>
    <t>17/02/2025 03:00</t>
  </si>
  <si>
    <t>17/02/2025 03:15</t>
  </si>
  <si>
    <t>17/02/2025 03:30</t>
  </si>
  <si>
    <t>17/02/2025 03:45</t>
  </si>
  <si>
    <t>17/02/2025 04:00</t>
  </si>
  <si>
    <t>17/02/2025 04:15</t>
  </si>
  <si>
    <t>17/02/2025 04:30</t>
  </si>
  <si>
    <t>17/02/2025 04:45</t>
  </si>
  <si>
    <t>17/02/2025 05:00</t>
  </si>
  <si>
    <t>17/02/2025 05:15</t>
  </si>
  <si>
    <t>17/02/2025 05:30</t>
  </si>
  <si>
    <t>17/02/2025 05:45</t>
  </si>
  <si>
    <t>17/02/2025 06:00</t>
  </si>
  <si>
    <t>17/02/2025 06:15</t>
  </si>
  <si>
    <t>17/02/2025 06:30</t>
  </si>
  <si>
    <t>17/02/2025 06:45</t>
  </si>
  <si>
    <t>17/02/2025 07:00</t>
  </si>
  <si>
    <t>17/02/2025 07:15</t>
  </si>
  <si>
    <t>17/02/2025 07:30</t>
  </si>
  <si>
    <t>17/02/2025 07:45</t>
  </si>
  <si>
    <t>17/02/2025 08:00</t>
  </si>
  <si>
    <t>17/02/2025 08:15</t>
  </si>
  <si>
    <t>17/02/2025 08:30</t>
  </si>
  <si>
    <t>17/02/2025 08:45</t>
  </si>
  <si>
    <t>17/02/2025 09:00</t>
  </si>
  <si>
    <t>17/02/2025 09:15</t>
  </si>
  <si>
    <t>17/02/2025 09:30</t>
  </si>
  <si>
    <t>17/02/2025 09:45</t>
  </si>
  <si>
    <t>17/02/2025 10:00</t>
  </si>
  <si>
    <t>17/02/2025 10:15</t>
  </si>
  <si>
    <t>17/02/2025 10:30</t>
  </si>
  <si>
    <t>17/02/2025 10:45</t>
  </si>
  <si>
    <t>17/02/2025 11:00</t>
  </si>
  <si>
    <t>17/02/2025 11:15</t>
  </si>
  <si>
    <t>17/02/2025 11:30</t>
  </si>
  <si>
    <t>17/02/2025 11:45</t>
  </si>
  <si>
    <t>17/02/2025 12:00</t>
  </si>
  <si>
    <t>17/02/2025 12:15</t>
  </si>
  <si>
    <t>17/02/2025 12:30</t>
  </si>
  <si>
    <t>17/02/2025 12:45</t>
  </si>
  <si>
    <t>17/02/2025 13:00</t>
  </si>
  <si>
    <t>17/02/2025 13:15</t>
  </si>
  <si>
    <t>17/02/2025 13:30</t>
  </si>
  <si>
    <t>17/02/2025 13:45</t>
  </si>
  <si>
    <t>17/02/2025 14:00</t>
  </si>
  <si>
    <t>17/02/2025 14:15</t>
  </si>
  <si>
    <t>17/02/2025 14:30</t>
  </si>
  <si>
    <t>17/02/2025 14:45</t>
  </si>
  <si>
    <t>17/02/2025 15:00</t>
  </si>
  <si>
    <t>17/02/2025 15:15</t>
  </si>
  <si>
    <t>17/02/2025 15:30</t>
  </si>
  <si>
    <t>17/02/2025 15:45</t>
  </si>
  <si>
    <t>17/02/2025 16:00</t>
  </si>
  <si>
    <t>17/02/2025 16:15</t>
  </si>
  <si>
    <t>17/02/2025 16:30</t>
  </si>
  <si>
    <t>17/02/2025 16:45</t>
  </si>
  <si>
    <t>17/02/2025 17:00</t>
  </si>
  <si>
    <t>17/02/2025 17:15</t>
  </si>
  <si>
    <t>17/02/2025 17:30</t>
  </si>
  <si>
    <t>17/02/2025 17:45</t>
  </si>
  <si>
    <t>17/02/2025 18:00</t>
  </si>
  <si>
    <t>17/02/2025 18:15</t>
  </si>
  <si>
    <t>17/02/2025 18:30</t>
  </si>
  <si>
    <t>17/02/2025 18:45</t>
  </si>
  <si>
    <t>17/02/2025 19:00</t>
  </si>
  <si>
    <t>17/02/2025 19:15</t>
  </si>
  <si>
    <t>17/02/2025 19:30</t>
  </si>
  <si>
    <t>17/02/2025 19:45</t>
  </si>
  <si>
    <t>17/02/2025 20:00</t>
  </si>
  <si>
    <t>17/02/2025 20:15</t>
  </si>
  <si>
    <t>17/02/2025 20:30</t>
  </si>
  <si>
    <t>17/02/2025 20:45</t>
  </si>
  <si>
    <t>17/02/2025 21:00</t>
  </si>
  <si>
    <t>17/02/2025 21:15</t>
  </si>
  <si>
    <t>17/02/2025 21:30</t>
  </si>
  <si>
    <t>17/02/2025 21:45</t>
  </si>
  <si>
    <t>17/02/2025 22:00</t>
  </si>
  <si>
    <t>17/02/2025 22:15</t>
  </si>
  <si>
    <t>17/02/2025 22:30</t>
  </si>
  <si>
    <t>17/02/2025 22:45</t>
  </si>
  <si>
    <t>17/02/2025 23:00</t>
  </si>
  <si>
    <t>17/02/2025 23:15</t>
  </si>
  <si>
    <t>17/02/2025 23:30</t>
  </si>
  <si>
    <t>17/02/2025 23:45</t>
  </si>
  <si>
    <t>17/02/2025 24:00</t>
  </si>
  <si>
    <t>18/02/2025 00:15</t>
  </si>
  <si>
    <t>18/02/2025 00:30</t>
  </si>
  <si>
    <t>18/02/2025 00:45</t>
  </si>
  <si>
    <t>18/02/2025 01:00</t>
  </si>
  <si>
    <t>18/02/2025 01:15</t>
  </si>
  <si>
    <t>18/02/2025 01:30</t>
  </si>
  <si>
    <t>18/02/2025 01:45</t>
  </si>
  <si>
    <t>18/02/2025 02:00</t>
  </si>
  <si>
    <t>18/02/2025 02:15</t>
  </si>
  <si>
    <t>18/02/2025 02:30</t>
  </si>
  <si>
    <t>18/02/2025 02:45</t>
  </si>
  <si>
    <t>18/02/2025 03:00</t>
  </si>
  <si>
    <t>18/02/2025 03:15</t>
  </si>
  <si>
    <t>18/02/2025 03:30</t>
  </si>
  <si>
    <t>18/02/2025 03:45</t>
  </si>
  <si>
    <t>18/02/2025 04:00</t>
  </si>
  <si>
    <t>18/02/2025 04:15</t>
  </si>
  <si>
    <t>18/02/2025 04:30</t>
  </si>
  <si>
    <t>18/02/2025 04:45</t>
  </si>
  <si>
    <t>18/02/2025 05:00</t>
  </si>
  <si>
    <t>18/02/2025 05:15</t>
  </si>
  <si>
    <t>18/02/2025 05:30</t>
  </si>
  <si>
    <t>18/02/2025 05:45</t>
  </si>
  <si>
    <t>18/02/2025 06:00</t>
  </si>
  <si>
    <t>18/02/2025 06:15</t>
  </si>
  <si>
    <t>18/02/2025 06:30</t>
  </si>
  <si>
    <t>18/02/2025 06:45</t>
  </si>
  <si>
    <t>18/02/2025 07:00</t>
  </si>
  <si>
    <t>18/02/2025 07:15</t>
  </si>
  <si>
    <t>18/02/2025 07:30</t>
  </si>
  <si>
    <t>18/02/2025 07:45</t>
  </si>
  <si>
    <t>18/02/2025 08:00</t>
  </si>
  <si>
    <t>18/02/2025 08:15</t>
  </si>
  <si>
    <t>18/02/2025 08:30</t>
  </si>
  <si>
    <t>18/02/2025 08:45</t>
  </si>
  <si>
    <t>18/02/2025 09:00</t>
  </si>
  <si>
    <t>18/02/2025 09:15</t>
  </si>
  <si>
    <t>18/02/2025 09:30</t>
  </si>
  <si>
    <t>18/02/2025 09:45</t>
  </si>
  <si>
    <t>18/02/2025 10:00</t>
  </si>
  <si>
    <t>18/02/2025 10:15</t>
  </si>
  <si>
    <t>18/02/2025 10:30</t>
  </si>
  <si>
    <t>18/02/2025 10:45</t>
  </si>
  <si>
    <t>18/02/2025 11:00</t>
  </si>
  <si>
    <t>18/02/2025 11:15</t>
  </si>
  <si>
    <t>18/02/2025 11:30</t>
  </si>
  <si>
    <t>18/02/2025 11:45</t>
  </si>
  <si>
    <t>18/02/2025 12:00</t>
  </si>
  <si>
    <t>18/02/2025 12:15</t>
  </si>
  <si>
    <t>18/02/2025 12:30</t>
  </si>
  <si>
    <t>18/02/2025 12:45</t>
  </si>
  <si>
    <t>18/02/2025 13:00</t>
  </si>
  <si>
    <t>18/02/2025 13:15</t>
  </si>
  <si>
    <t>18/02/2025 13:30</t>
  </si>
  <si>
    <t>18/02/2025 13:45</t>
  </si>
  <si>
    <t>18/02/2025 14:00</t>
  </si>
  <si>
    <t>18/02/2025 14:15</t>
  </si>
  <si>
    <t>18/02/2025 14:30</t>
  </si>
  <si>
    <t>18/02/2025 14:45</t>
  </si>
  <si>
    <t>18/02/2025 15:00</t>
  </si>
  <si>
    <t>18/02/2025 15:15</t>
  </si>
  <si>
    <t>18/02/2025 15:30</t>
  </si>
  <si>
    <t>18/02/2025 15:45</t>
  </si>
  <si>
    <t>18/02/2025 16:00</t>
  </si>
  <si>
    <t>18/02/2025 16:15</t>
  </si>
  <si>
    <t>18/02/2025 16:30</t>
  </si>
  <si>
    <t>18/02/2025 16:45</t>
  </si>
  <si>
    <t>18/02/2025 17:00</t>
  </si>
  <si>
    <t>18/02/2025 17:15</t>
  </si>
  <si>
    <t>18/02/2025 17:30</t>
  </si>
  <si>
    <t>18/02/2025 17:45</t>
  </si>
  <si>
    <t>18/02/2025 18:00</t>
  </si>
  <si>
    <t>18/02/2025 18:15</t>
  </si>
  <si>
    <t>18/02/2025 18:30</t>
  </si>
  <si>
    <t>18/02/2025 18:45</t>
  </si>
  <si>
    <t>18/02/2025 19:00</t>
  </si>
  <si>
    <t>18/02/2025 19:15</t>
  </si>
  <si>
    <t>18/02/2025 19:30</t>
  </si>
  <si>
    <t>18/02/2025 19:45</t>
  </si>
  <si>
    <t>18/02/2025 20:00</t>
  </si>
  <si>
    <t>18/02/2025 20:15</t>
  </si>
  <si>
    <t>18/02/2025 20:30</t>
  </si>
  <si>
    <t>18/02/2025 20:45</t>
  </si>
  <si>
    <t>18/02/2025 21:00</t>
  </si>
  <si>
    <t>18/02/2025 21:15</t>
  </si>
  <si>
    <t>18/02/2025 21:30</t>
  </si>
  <si>
    <t>18/02/2025 21:45</t>
  </si>
  <si>
    <t>18/02/2025 22:00</t>
  </si>
  <si>
    <t>18/02/2025 22:15</t>
  </si>
  <si>
    <t>18/02/2025 22:30</t>
  </si>
  <si>
    <t>18/02/2025 22:45</t>
  </si>
  <si>
    <t>18/02/2025 23:00</t>
  </si>
  <si>
    <t>18/02/2025 23:15</t>
  </si>
  <si>
    <t>18/02/2025 23:30</t>
  </si>
  <si>
    <t>18/02/2025 23:45</t>
  </si>
  <si>
    <t>18/02/2025 24:00</t>
  </si>
  <si>
    <t>19/02/2025 00:15</t>
  </si>
  <si>
    <t>19/02/2025 00:30</t>
  </si>
  <si>
    <t>19/02/2025 00:45</t>
  </si>
  <si>
    <t>19/02/2025 01:00</t>
  </si>
  <si>
    <t>19/02/2025 01:15</t>
  </si>
  <si>
    <t>19/02/2025 01:30</t>
  </si>
  <si>
    <t>19/02/2025 01:45</t>
  </si>
  <si>
    <t>19/02/2025 02:00</t>
  </si>
  <si>
    <t>19/02/2025 02:15</t>
  </si>
  <si>
    <t>19/02/2025 02:30</t>
  </si>
  <si>
    <t>19/02/2025 02:45</t>
  </si>
  <si>
    <t>19/02/2025 03:00</t>
  </si>
  <si>
    <t>19/02/2025 03:15</t>
  </si>
  <si>
    <t>19/02/2025 03:30</t>
  </si>
  <si>
    <t>19/02/2025 03:45</t>
  </si>
  <si>
    <t>19/02/2025 04:00</t>
  </si>
  <si>
    <t>19/02/2025 04:15</t>
  </si>
  <si>
    <t>19/02/2025 04:30</t>
  </si>
  <si>
    <t>19/02/2025 04:45</t>
  </si>
  <si>
    <t>19/02/2025 05:00</t>
  </si>
  <si>
    <t>19/02/2025 05:15</t>
  </si>
  <si>
    <t>19/02/2025 05:30</t>
  </si>
  <si>
    <t>19/02/2025 05:45</t>
  </si>
  <si>
    <t>19/02/2025 06:00</t>
  </si>
  <si>
    <t>19/02/2025 06:15</t>
  </si>
  <si>
    <t>19/02/2025 06:30</t>
  </si>
  <si>
    <t>19/02/2025 06:45</t>
  </si>
  <si>
    <t>19/02/2025 07:00</t>
  </si>
  <si>
    <t>19/02/2025 07:15</t>
  </si>
  <si>
    <t>19/02/2025 07:30</t>
  </si>
  <si>
    <t>19/02/2025 07:45</t>
  </si>
  <si>
    <t>19/02/2025 08:00</t>
  </si>
  <si>
    <t>19/02/2025 08:15</t>
  </si>
  <si>
    <t>19/02/2025 08:30</t>
  </si>
  <si>
    <t>19/02/2025 08:45</t>
  </si>
  <si>
    <t>19/02/2025 09:00</t>
  </si>
  <si>
    <t>19/02/2025 09:15</t>
  </si>
  <si>
    <t>19/02/2025 09:30</t>
  </si>
  <si>
    <t>19/02/2025 09:45</t>
  </si>
  <si>
    <t>19/02/2025 10:00</t>
  </si>
  <si>
    <t>19/02/2025 10:15</t>
  </si>
  <si>
    <t>19/02/2025 10:30</t>
  </si>
  <si>
    <t>19/02/2025 10:45</t>
  </si>
  <si>
    <t>19/02/2025 11:00</t>
  </si>
  <si>
    <t>19/02/2025 11:15</t>
  </si>
  <si>
    <t>19/02/2025 11:30</t>
  </si>
  <si>
    <t>19/02/2025 11:45</t>
  </si>
  <si>
    <t>19/02/2025 12:00</t>
  </si>
  <si>
    <t>19/02/2025 12:15</t>
  </si>
  <si>
    <t>19/02/2025 12:30</t>
  </si>
  <si>
    <t>19/02/2025 12:45</t>
  </si>
  <si>
    <t>19/02/2025 13:00</t>
  </si>
  <si>
    <t>19/02/2025 13:15</t>
  </si>
  <si>
    <t>19/02/2025 13:30</t>
  </si>
  <si>
    <t>19/02/2025 13:45</t>
  </si>
  <si>
    <t>19/02/2025 14:00</t>
  </si>
  <si>
    <t>19/02/2025 14:15</t>
  </si>
  <si>
    <t>19/02/2025 14:30</t>
  </si>
  <si>
    <t>19/02/2025 14:45</t>
  </si>
  <si>
    <t>19/02/2025 15:00</t>
  </si>
  <si>
    <t>19/02/2025 15:15</t>
  </si>
  <si>
    <t>19/02/2025 15:30</t>
  </si>
  <si>
    <t>19/02/2025 15:45</t>
  </si>
  <si>
    <t>19/02/2025 16:00</t>
  </si>
  <si>
    <t>19/02/2025 16:15</t>
  </si>
  <si>
    <t>19/02/2025 16:30</t>
  </si>
  <si>
    <t>19/02/2025 16:45</t>
  </si>
  <si>
    <t>19/02/2025 17:00</t>
  </si>
  <si>
    <t>19/02/2025 17:15</t>
  </si>
  <si>
    <t>19/02/2025 17:30</t>
  </si>
  <si>
    <t>19/02/2025 17:45</t>
  </si>
  <si>
    <t>19/02/2025 18:00</t>
  </si>
  <si>
    <t>19/02/2025 18:15</t>
  </si>
  <si>
    <t>19/02/2025 18:30</t>
  </si>
  <si>
    <t>19/02/2025 18:45</t>
  </si>
  <si>
    <t>19/02/2025 19:00</t>
  </si>
  <si>
    <t>19/02/2025 19:15</t>
  </si>
  <si>
    <t>19/02/2025 19:30</t>
  </si>
  <si>
    <t>19/02/2025 19:45</t>
  </si>
  <si>
    <t>19/02/2025 20:00</t>
  </si>
  <si>
    <t>19/02/2025 20:15</t>
  </si>
  <si>
    <t>19/02/2025 20:30</t>
  </si>
  <si>
    <t>19/02/2025 20:45</t>
  </si>
  <si>
    <t>19/02/2025 21:00</t>
  </si>
  <si>
    <t>19/02/2025 21:15</t>
  </si>
  <si>
    <t>19/02/2025 21:30</t>
  </si>
  <si>
    <t>19/02/2025 21:45</t>
  </si>
  <si>
    <t>19/02/2025 22:00</t>
  </si>
  <si>
    <t>19/02/2025 22:15</t>
  </si>
  <si>
    <t>19/02/2025 22:30</t>
  </si>
  <si>
    <t>19/02/2025 22:45</t>
  </si>
  <si>
    <t>19/02/2025 23:00</t>
  </si>
  <si>
    <t>19/02/2025 23:15</t>
  </si>
  <si>
    <t>19/02/2025 23:30</t>
  </si>
  <si>
    <t>19/02/2025 23:45</t>
  </si>
  <si>
    <t>19/02/2025 24:00</t>
  </si>
  <si>
    <t>20/02/2025 00:15</t>
  </si>
  <si>
    <t>20/02/2025 00:30</t>
  </si>
  <si>
    <t>20/02/2025 00:45</t>
  </si>
  <si>
    <t>20/02/2025 01:00</t>
  </si>
  <si>
    <t>20/02/2025 01:15</t>
  </si>
  <si>
    <t>20/02/2025 01:30</t>
  </si>
  <si>
    <t>20/02/2025 01:45</t>
  </si>
  <si>
    <t>20/02/2025 02:00</t>
  </si>
  <si>
    <t>20/02/2025 02:15</t>
  </si>
  <si>
    <t>20/02/2025 02:30</t>
  </si>
  <si>
    <t>20/02/2025 02:45</t>
  </si>
  <si>
    <t>20/02/2025 03:00</t>
  </si>
  <si>
    <t>20/02/2025 03:15</t>
  </si>
  <si>
    <t>20/02/2025 03:30</t>
  </si>
  <si>
    <t>20/02/2025 03:45</t>
  </si>
  <si>
    <t>20/02/2025 04:00</t>
  </si>
  <si>
    <t>20/02/2025 04:15</t>
  </si>
  <si>
    <t>20/02/2025 04:30</t>
  </si>
  <si>
    <t>20/02/2025 04:45</t>
  </si>
  <si>
    <t>20/02/2025 05:00</t>
  </si>
  <si>
    <t>20/02/2025 05:15</t>
  </si>
  <si>
    <t>20/02/2025 05:30</t>
  </si>
  <si>
    <t>20/02/2025 05:45</t>
  </si>
  <si>
    <t>20/02/2025 06:00</t>
  </si>
  <si>
    <t>20/02/2025 06:15</t>
  </si>
  <si>
    <t>20/02/2025 06:30</t>
  </si>
  <si>
    <t>20/02/2025 06:45</t>
  </si>
  <si>
    <t>20/02/2025 07:00</t>
  </si>
  <si>
    <t>20/02/2025 07:15</t>
  </si>
  <si>
    <t>20/02/2025 07:30</t>
  </si>
  <si>
    <t>20/02/2025 07:45</t>
  </si>
  <si>
    <t>20/02/2025 08:00</t>
  </si>
  <si>
    <t>20/02/2025 08:15</t>
  </si>
  <si>
    <t>20/02/2025 08:30</t>
  </si>
  <si>
    <t>20/02/2025 08:45</t>
  </si>
  <si>
    <t>20/02/2025 09:00</t>
  </si>
  <si>
    <t>20/02/2025 09:15</t>
  </si>
  <si>
    <t>20/02/2025 09:30</t>
  </si>
  <si>
    <t>20/02/2025 09:45</t>
  </si>
  <si>
    <t>20/02/2025 10:00</t>
  </si>
  <si>
    <t>20/02/2025 10:15</t>
  </si>
  <si>
    <t>20/02/2025 10:30</t>
  </si>
  <si>
    <t>20/02/2025 10:45</t>
  </si>
  <si>
    <t>20/02/2025 11:00</t>
  </si>
  <si>
    <t>20/02/2025 11:15</t>
  </si>
  <si>
    <t>20/02/2025 11:30</t>
  </si>
  <si>
    <t>20/02/2025 11:45</t>
  </si>
  <si>
    <t>20/02/2025 12:00</t>
  </si>
  <si>
    <t>20/02/2025 12:15</t>
  </si>
  <si>
    <t>20/02/2025 12:30</t>
  </si>
  <si>
    <t>20/02/2025 12:45</t>
  </si>
  <si>
    <t>20/02/2025 13:00</t>
  </si>
  <si>
    <t>20/02/2025 13:15</t>
  </si>
  <si>
    <t>20/02/2025 13:30</t>
  </si>
  <si>
    <t>20/02/2025 13:45</t>
  </si>
  <si>
    <t>20/02/2025 14:00</t>
  </si>
  <si>
    <t>20/02/2025 14:15</t>
  </si>
  <si>
    <t>20/02/2025 14:30</t>
  </si>
  <si>
    <t>20/02/2025 14:45</t>
  </si>
  <si>
    <t>20/02/2025 15:00</t>
  </si>
  <si>
    <t>20/02/2025 15:15</t>
  </si>
  <si>
    <t>20/02/2025 15:30</t>
  </si>
  <si>
    <t>20/02/2025 15:45</t>
  </si>
  <si>
    <t>20/02/2025 16:00</t>
  </si>
  <si>
    <t>20/02/2025 16:15</t>
  </si>
  <si>
    <t>20/02/2025 16:30</t>
  </si>
  <si>
    <t>20/02/2025 16:45</t>
  </si>
  <si>
    <t>20/02/2025 17:00</t>
  </si>
  <si>
    <t>20/02/2025 17:15</t>
  </si>
  <si>
    <t>20/02/2025 17:30</t>
  </si>
  <si>
    <t>20/02/2025 17:45</t>
  </si>
  <si>
    <t>20/02/2025 18:00</t>
  </si>
  <si>
    <t>20/02/2025 18:15</t>
  </si>
  <si>
    <t>20/02/2025 18:30</t>
  </si>
  <si>
    <t>20/02/2025 18:45</t>
  </si>
  <si>
    <t>20/02/2025 19:00</t>
  </si>
  <si>
    <t>20/02/2025 19:15</t>
  </si>
  <si>
    <t>20/02/2025 19:30</t>
  </si>
  <si>
    <t>20/02/2025 19:45</t>
  </si>
  <si>
    <t>20/02/2025 20:00</t>
  </si>
  <si>
    <t>20/02/2025 20:15</t>
  </si>
  <si>
    <t>20/02/2025 20:30</t>
  </si>
  <si>
    <t>20/02/2025 20:45</t>
  </si>
  <si>
    <t>20/02/2025 21:00</t>
  </si>
  <si>
    <t>20/02/2025 21:15</t>
  </si>
  <si>
    <t>20/02/2025 21:30</t>
  </si>
  <si>
    <t>20/02/2025 21:45</t>
  </si>
  <si>
    <t>20/02/2025 22:00</t>
  </si>
  <si>
    <t>20/02/2025 22:15</t>
  </si>
  <si>
    <t>20/02/2025 22:30</t>
  </si>
  <si>
    <t>20/02/2025 22:45</t>
  </si>
  <si>
    <t>20/02/2025 23:00</t>
  </si>
  <si>
    <t>20/02/2025 23:15</t>
  </si>
  <si>
    <t>20/02/2025 23:30</t>
  </si>
  <si>
    <t>20/02/2025 23:45</t>
  </si>
  <si>
    <t>20/02/2025 24:00</t>
  </si>
  <si>
    <t>24/02/2025 00:15</t>
  </si>
  <si>
    <t>24/02/2025 00:30</t>
  </si>
  <si>
    <t>24/02/2025 00:45</t>
  </si>
  <si>
    <t>24/02/2025 01:00</t>
  </si>
  <si>
    <t>24/02/2025 01:15</t>
  </si>
  <si>
    <t>24/02/2025 01:30</t>
  </si>
  <si>
    <t>24/02/2025 01:45</t>
  </si>
  <si>
    <t>24/02/2025 02:00</t>
  </si>
  <si>
    <t>24/02/2025 02:15</t>
  </si>
  <si>
    <t>24/02/2025 02:30</t>
  </si>
  <si>
    <t>24/02/2025 02:45</t>
  </si>
  <si>
    <t>24/02/2025 03:00</t>
  </si>
  <si>
    <t>24/02/2025 03:15</t>
  </si>
  <si>
    <t>24/02/2025 03:30</t>
  </si>
  <si>
    <t>24/02/2025 03:45</t>
  </si>
  <si>
    <t>24/02/2025 04:00</t>
  </si>
  <si>
    <t>24/02/2025 04:15</t>
  </si>
  <si>
    <t>24/02/2025 04:30</t>
  </si>
  <si>
    <t>24/02/2025 04:45</t>
  </si>
  <si>
    <t>24/02/2025 05:00</t>
  </si>
  <si>
    <t>24/02/2025 05:15</t>
  </si>
  <si>
    <t>24/02/2025 05:30</t>
  </si>
  <si>
    <t>24/02/2025 05:45</t>
  </si>
  <si>
    <t>24/02/2025 06:00</t>
  </si>
  <si>
    <t>24/02/2025 06:15</t>
  </si>
  <si>
    <t>24/02/2025 06:30</t>
  </si>
  <si>
    <t>24/02/2025 06:45</t>
  </si>
  <si>
    <t>24/02/2025 07:00</t>
  </si>
  <si>
    <t>24/02/2025 07:15</t>
  </si>
  <si>
    <t>24/02/2025 07:30</t>
  </si>
  <si>
    <t>24/02/2025 07:45</t>
  </si>
  <si>
    <t>24/02/2025 08:00</t>
  </si>
  <si>
    <t>24/02/2025 08:15</t>
  </si>
  <si>
    <t>24/02/2025 08:30</t>
  </si>
  <si>
    <t>24/02/2025 08:45</t>
  </si>
  <si>
    <t>24/02/2025 09:00</t>
  </si>
  <si>
    <t>24/02/2025 09:15</t>
  </si>
  <si>
    <t>24/02/2025 09:30</t>
  </si>
  <si>
    <t>24/02/2025 09:45</t>
  </si>
  <si>
    <t>24/02/2025 10:00</t>
  </si>
  <si>
    <t>24/02/2025 10:15</t>
  </si>
  <si>
    <t>24/02/2025 10:30</t>
  </si>
  <si>
    <t>24/02/2025 10:45</t>
  </si>
  <si>
    <t>24/02/2025 11:00</t>
  </si>
  <si>
    <t>24/02/2025 11:15</t>
  </si>
  <si>
    <t>24/02/2025 11:30</t>
  </si>
  <si>
    <t>24/02/2025 11:45</t>
  </si>
  <si>
    <t>24/02/2025 12:00</t>
  </si>
  <si>
    <t>24/02/2025 12:15</t>
  </si>
  <si>
    <t>24/02/2025 12:30</t>
  </si>
  <si>
    <t>24/02/2025 12:45</t>
  </si>
  <si>
    <t>24/02/2025 13:00</t>
  </si>
  <si>
    <t>24/02/2025 13:15</t>
  </si>
  <si>
    <t>24/02/2025 13:30</t>
  </si>
  <si>
    <t>24/02/2025 13:45</t>
  </si>
  <si>
    <t>24/02/2025 14:00</t>
  </si>
  <si>
    <t>24/02/2025 14:15</t>
  </si>
  <si>
    <t>24/02/2025 14:30</t>
  </si>
  <si>
    <t>24/02/2025 14:45</t>
  </si>
  <si>
    <t>24/02/2025 15:00</t>
  </si>
  <si>
    <t>24/02/2025 15:15</t>
  </si>
  <si>
    <t>24/02/2025 15:30</t>
  </si>
  <si>
    <t>24/02/2025 15:45</t>
  </si>
  <si>
    <t>24/02/2025 16:00</t>
  </si>
  <si>
    <t>24/02/2025 16:15</t>
  </si>
  <si>
    <t>24/02/2025 16:30</t>
  </si>
  <si>
    <t>24/02/2025 16:45</t>
  </si>
  <si>
    <t>24/02/2025 17:00</t>
  </si>
  <si>
    <t>24/02/2025 17:15</t>
  </si>
  <si>
    <t>24/02/2025 17:30</t>
  </si>
  <si>
    <t>24/02/2025 17:45</t>
  </si>
  <si>
    <t>24/02/2025 18:00</t>
  </si>
  <si>
    <t>24/02/2025 18:15</t>
  </si>
  <si>
    <t>24/02/2025 18:30</t>
  </si>
  <si>
    <t>24/02/2025 18:45</t>
  </si>
  <si>
    <t>24/02/2025 19:00</t>
  </si>
  <si>
    <t>24/02/2025 19:15</t>
  </si>
  <si>
    <t>24/02/2025 19:30</t>
  </si>
  <si>
    <t>24/02/2025 19:45</t>
  </si>
  <si>
    <t>24/02/2025 20:00</t>
  </si>
  <si>
    <t>24/02/2025 20:15</t>
  </si>
  <si>
    <t>24/02/2025 20:30</t>
  </si>
  <si>
    <t>24/02/2025 20:45</t>
  </si>
  <si>
    <t>24/02/2025 21:00</t>
  </si>
  <si>
    <t>24/02/2025 21:15</t>
  </si>
  <si>
    <t>24/02/2025 21:30</t>
  </si>
  <si>
    <t>24/02/2025 21:45</t>
  </si>
  <si>
    <t>24/02/2025 22:00</t>
  </si>
  <si>
    <t>24/02/2025 22:15</t>
  </si>
  <si>
    <t>24/02/2025 22:30</t>
  </si>
  <si>
    <t>24/02/2025 22:45</t>
  </si>
  <si>
    <t>24/02/2025 23:00</t>
  </si>
  <si>
    <t>24/02/2025 23:15</t>
  </si>
  <si>
    <t>24/02/2025 23:30</t>
  </si>
  <si>
    <t>24/02/2025 23:45</t>
  </si>
  <si>
    <t>24/02/2025 24:00</t>
  </si>
  <si>
    <t>25/02/2025 00:15</t>
  </si>
  <si>
    <t>25/02/2025 00:30</t>
  </si>
  <si>
    <t>25/02/2025 00:45</t>
  </si>
  <si>
    <t>25/02/2025 01:00</t>
  </si>
  <si>
    <t>25/02/2025 01:15</t>
  </si>
  <si>
    <t>25/02/2025 01:30</t>
  </si>
  <si>
    <t>25/02/2025 01:45</t>
  </si>
  <si>
    <t>25/02/2025 02:00</t>
  </si>
  <si>
    <t>25/02/2025 02:15</t>
  </si>
  <si>
    <t>25/02/2025 02:30</t>
  </si>
  <si>
    <t>25/02/2025 02:45</t>
  </si>
  <si>
    <t>25/02/2025 03:00</t>
  </si>
  <si>
    <t>25/02/2025 03:15</t>
  </si>
  <si>
    <t>25/02/2025 03:30</t>
  </si>
  <si>
    <t>25/02/2025 03:45</t>
  </si>
  <si>
    <t>25/02/2025 04:00</t>
  </si>
  <si>
    <t>25/02/2025 04:15</t>
  </si>
  <si>
    <t>25/02/2025 04:30</t>
  </si>
  <si>
    <t>25/02/2025 04:45</t>
  </si>
  <si>
    <t>25/02/2025 05:00</t>
  </si>
  <si>
    <t>25/02/2025 05:15</t>
  </si>
  <si>
    <t>25/02/2025 05:30</t>
  </si>
  <si>
    <t>25/02/2025 05:45</t>
  </si>
  <si>
    <t>25/02/2025 06:00</t>
  </si>
  <si>
    <t>25/02/2025 06:15</t>
  </si>
  <si>
    <t>25/02/2025 06:30</t>
  </si>
  <si>
    <t>25/02/2025 06:45</t>
  </si>
  <si>
    <t>25/02/2025 07:00</t>
  </si>
  <si>
    <t>25/02/2025 07:15</t>
  </si>
  <si>
    <t>25/02/2025 07:30</t>
  </si>
  <si>
    <t>25/02/2025 07:45</t>
  </si>
  <si>
    <t>25/02/2025 08:00</t>
  </si>
  <si>
    <t>25/02/2025 08:15</t>
  </si>
  <si>
    <t>25/02/2025 08:30</t>
  </si>
  <si>
    <t>25/02/2025 08:45</t>
  </si>
  <si>
    <t>25/02/2025 09:00</t>
  </si>
  <si>
    <t>25/02/2025 09:15</t>
  </si>
  <si>
    <t>25/02/2025 09:30</t>
  </si>
  <si>
    <t>25/02/2025 09:45</t>
  </si>
  <si>
    <t>25/02/2025 10:00</t>
  </si>
  <si>
    <t>25/02/2025 10:15</t>
  </si>
  <si>
    <t>25/02/2025 10:30</t>
  </si>
  <si>
    <t>25/02/2025 10:45</t>
  </si>
  <si>
    <t>25/02/2025 11:00</t>
  </si>
  <si>
    <t>25/02/2025 11:15</t>
  </si>
  <si>
    <t>25/02/2025 11:30</t>
  </si>
  <si>
    <t>25/02/2025 11:45</t>
  </si>
  <si>
    <t>25/02/2025 12:00</t>
  </si>
  <si>
    <t>25/02/2025 12:15</t>
  </si>
  <si>
    <t>25/02/2025 12:30</t>
  </si>
  <si>
    <t>25/02/2025 12:45</t>
  </si>
  <si>
    <t>25/02/2025 13:00</t>
  </si>
  <si>
    <t>25/02/2025 13:15</t>
  </si>
  <si>
    <t>25/02/2025 13:30</t>
  </si>
  <si>
    <t>25/02/2025 13:45</t>
  </si>
  <si>
    <t>25/02/2025 14:00</t>
  </si>
  <si>
    <t>25/02/2025 14:15</t>
  </si>
  <si>
    <t>25/02/2025 14:30</t>
  </si>
  <si>
    <t>25/02/2025 14:45</t>
  </si>
  <si>
    <t>25/02/2025 15:00</t>
  </si>
  <si>
    <t>25/02/2025 15:15</t>
  </si>
  <si>
    <t>25/02/2025 15:30</t>
  </si>
  <si>
    <t>25/02/2025 15:45</t>
  </si>
  <si>
    <t>25/02/2025 16:00</t>
  </si>
  <si>
    <t>25/02/2025 16:15</t>
  </si>
  <si>
    <t>25/02/2025 16:30</t>
  </si>
  <si>
    <t>25/02/2025 16:45</t>
  </si>
  <si>
    <t>25/02/2025 17:00</t>
  </si>
  <si>
    <t>25/02/2025 17:15</t>
  </si>
  <si>
    <t>25/02/2025 17:30</t>
  </si>
  <si>
    <t>25/02/2025 17:45</t>
  </si>
  <si>
    <t>25/02/2025 18:00</t>
  </si>
  <si>
    <t>25/02/2025 18:15</t>
  </si>
  <si>
    <t>25/02/2025 18:30</t>
  </si>
  <si>
    <t>25/02/2025 18:45</t>
  </si>
  <si>
    <t>25/02/2025 19:00</t>
  </si>
  <si>
    <t>25/02/2025 19:15</t>
  </si>
  <si>
    <t>25/02/2025 19:30</t>
  </si>
  <si>
    <t>25/02/2025 19:45</t>
  </si>
  <si>
    <t>25/02/2025 20:00</t>
  </si>
  <si>
    <t>25/02/2025 20:15</t>
  </si>
  <si>
    <t>25/02/2025 20:30</t>
  </si>
  <si>
    <t>25/02/2025 20:45</t>
  </si>
  <si>
    <t>25/02/2025 21:00</t>
  </si>
  <si>
    <t>25/02/2025 21:15</t>
  </si>
  <si>
    <t>25/02/2025 21:30</t>
  </si>
  <si>
    <t>25/02/2025 21:45</t>
  </si>
  <si>
    <t>25/02/2025 22:00</t>
  </si>
  <si>
    <t>25/02/2025 22:15</t>
  </si>
  <si>
    <t>25/02/2025 22:30</t>
  </si>
  <si>
    <t>25/02/2025 22:45</t>
  </si>
  <si>
    <t>25/02/2025 23:00</t>
  </si>
  <si>
    <t>25/02/2025 23:15</t>
  </si>
  <si>
    <t>25/02/2025 23:30</t>
  </si>
  <si>
    <t>25/02/2025 23:45</t>
  </si>
  <si>
    <t>25/02/2025 24:00</t>
  </si>
  <si>
    <t>26/02/2025 00:15</t>
  </si>
  <si>
    <t>26/02/2025 00:30</t>
  </si>
  <si>
    <t>26/02/2025 00:45</t>
  </si>
  <si>
    <t>26/02/2025 01:00</t>
  </si>
  <si>
    <t>26/02/2025 01:15</t>
  </si>
  <si>
    <t>26/02/2025 01:30</t>
  </si>
  <si>
    <t>26/02/2025 01:45</t>
  </si>
  <si>
    <t>26/02/2025 02:00</t>
  </si>
  <si>
    <t>26/02/2025 02:15</t>
  </si>
  <si>
    <t>26/02/2025 02:30</t>
  </si>
  <si>
    <t>26/02/2025 02:45</t>
  </si>
  <si>
    <t>26/02/2025 03:00</t>
  </si>
  <si>
    <t>26/02/2025 03:15</t>
  </si>
  <si>
    <t>26/02/2025 03:30</t>
  </si>
  <si>
    <t>26/02/2025 03:45</t>
  </si>
  <si>
    <t>26/02/2025 04:00</t>
  </si>
  <si>
    <t>26/02/2025 04:15</t>
  </si>
  <si>
    <t>26/02/2025 04:30</t>
  </si>
  <si>
    <t>26/02/2025 04:45</t>
  </si>
  <si>
    <t>26/02/2025 05:00</t>
  </si>
  <si>
    <t>26/02/2025 05:15</t>
  </si>
  <si>
    <t>26/02/2025 05:30</t>
  </si>
  <si>
    <t>26/02/2025 05:45</t>
  </si>
  <si>
    <t>26/02/2025 06:00</t>
  </si>
  <si>
    <t>26/02/2025 06:15</t>
  </si>
  <si>
    <t>26/02/2025 06:30</t>
  </si>
  <si>
    <t>26/02/2025 06:45</t>
  </si>
  <si>
    <t>26/02/2025 07:00</t>
  </si>
  <si>
    <t>26/02/2025 07:15</t>
  </si>
  <si>
    <t>26/02/2025 07:30</t>
  </si>
  <si>
    <t>26/02/2025 07:45</t>
  </si>
  <si>
    <t>26/02/2025 08:00</t>
  </si>
  <si>
    <t>26/02/2025 08:15</t>
  </si>
  <si>
    <t>26/02/2025 08:30</t>
  </si>
  <si>
    <t>26/02/2025 08:45</t>
  </si>
  <si>
    <t>26/02/2025 09:00</t>
  </si>
  <si>
    <t>26/02/2025 09:15</t>
  </si>
  <si>
    <t>26/02/2025 09:30</t>
  </si>
  <si>
    <t>26/02/2025 09:45</t>
  </si>
  <si>
    <t>26/02/2025 10:00</t>
  </si>
  <si>
    <t>26/02/2025 10:15</t>
  </si>
  <si>
    <t>26/02/2025 10:30</t>
  </si>
  <si>
    <t>26/02/2025 10:45</t>
  </si>
  <si>
    <t>26/02/2025 11:00</t>
  </si>
  <si>
    <t>26/02/2025 11:15</t>
  </si>
  <si>
    <t>26/02/2025 11:30</t>
  </si>
  <si>
    <t>26/02/2025 11:45</t>
  </si>
  <si>
    <t>26/02/2025 12:00</t>
  </si>
  <si>
    <t>26/02/2025 12:15</t>
  </si>
  <si>
    <t>26/02/2025 12:30</t>
  </si>
  <si>
    <t>26/02/2025 12:45</t>
  </si>
  <si>
    <t>26/02/2025 13:00</t>
  </si>
  <si>
    <t>26/02/2025 13:15</t>
  </si>
  <si>
    <t>26/02/2025 13:30</t>
  </si>
  <si>
    <t>26/02/2025 13:45</t>
  </si>
  <si>
    <t>26/02/2025 14:00</t>
  </si>
  <si>
    <t>26/02/2025 14:15</t>
  </si>
  <si>
    <t>26/02/2025 14:30</t>
  </si>
  <si>
    <t>26/02/2025 14:45</t>
  </si>
  <si>
    <t>26/02/2025 15:00</t>
  </si>
  <si>
    <t>26/02/2025 15:15</t>
  </si>
  <si>
    <t>26/02/2025 15:30</t>
  </si>
  <si>
    <t>26/02/2025 15:45</t>
  </si>
  <si>
    <t>26/02/2025 16:00</t>
  </si>
  <si>
    <t>26/02/2025 16:15</t>
  </si>
  <si>
    <t>26/02/2025 16:30</t>
  </si>
  <si>
    <t>26/02/2025 16:45</t>
  </si>
  <si>
    <t>26/02/2025 17:00</t>
  </si>
  <si>
    <t>26/02/2025 17:15</t>
  </si>
  <si>
    <t>26/02/2025 17:30</t>
  </si>
  <si>
    <t>26/02/2025 17:45</t>
  </si>
  <si>
    <t>26/02/2025 18:00</t>
  </si>
  <si>
    <t>26/02/2025 18:15</t>
  </si>
  <si>
    <t>26/02/2025 18:30</t>
  </si>
  <si>
    <t>26/02/2025 18:45</t>
  </si>
  <si>
    <t>26/02/2025 19:00</t>
  </si>
  <si>
    <t>26/02/2025 19:15</t>
  </si>
  <si>
    <t>26/02/2025 19:30</t>
  </si>
  <si>
    <t>26/02/2025 19:45</t>
  </si>
  <si>
    <t>26/02/2025 20:00</t>
  </si>
  <si>
    <t>26/02/2025 20:15</t>
  </si>
  <si>
    <t>26/02/2025 20:30</t>
  </si>
  <si>
    <t>26/02/2025 20:45</t>
  </si>
  <si>
    <t>26/02/2025 21:00</t>
  </si>
  <si>
    <t>26/02/2025 21:15</t>
  </si>
  <si>
    <t>26/02/2025 21:30</t>
  </si>
  <si>
    <t>26/02/2025 21:45</t>
  </si>
  <si>
    <t>26/02/2025 22:00</t>
  </si>
  <si>
    <t>26/02/2025 22:15</t>
  </si>
  <si>
    <t>26/02/2025 22:30</t>
  </si>
  <si>
    <t>26/02/2025 22:45</t>
  </si>
  <si>
    <t>26/02/2025 23:00</t>
  </si>
  <si>
    <t>26/02/2025 23:15</t>
  </si>
  <si>
    <t>26/02/2025 23:30</t>
  </si>
  <si>
    <t>26/02/2025 23:45</t>
  </si>
  <si>
    <t>26/02/2025 24:00</t>
  </si>
  <si>
    <t>27/02/2025 00:15</t>
  </si>
  <si>
    <t>27/02/2025 00:30</t>
  </si>
  <si>
    <t>27/02/2025 00:45</t>
  </si>
  <si>
    <t>27/02/2025 01:00</t>
  </si>
  <si>
    <t>27/02/2025 01:15</t>
  </si>
  <si>
    <t>27/02/2025 01:30</t>
  </si>
  <si>
    <t>27/02/2025 01:45</t>
  </si>
  <si>
    <t>27/02/2025 02:00</t>
  </si>
  <si>
    <t>27/02/2025 02:15</t>
  </si>
  <si>
    <t>27/02/2025 02:30</t>
  </si>
  <si>
    <t>27/02/2025 02:45</t>
  </si>
  <si>
    <t>27/02/2025 03:00</t>
  </si>
  <si>
    <t>27/02/2025 03:15</t>
  </si>
  <si>
    <t>27/02/2025 03:30</t>
  </si>
  <si>
    <t>27/02/2025 03:45</t>
  </si>
  <si>
    <t>27/02/2025 04:00</t>
  </si>
  <si>
    <t>27/02/2025 04:15</t>
  </si>
  <si>
    <t>27/02/2025 04:30</t>
  </si>
  <si>
    <t>27/02/2025 04:45</t>
  </si>
  <si>
    <t>27/02/2025 05:00</t>
  </si>
  <si>
    <t>27/02/2025 05:15</t>
  </si>
  <si>
    <t>27/02/2025 05:30</t>
  </si>
  <si>
    <t>27/02/2025 05:45</t>
  </si>
  <si>
    <t>27/02/2025 06:00</t>
  </si>
  <si>
    <t>27/02/2025 06:15</t>
  </si>
  <si>
    <t>27/02/2025 06:30</t>
  </si>
  <si>
    <t>27/02/2025 06:45</t>
  </si>
  <si>
    <t>27/02/2025 07:00</t>
  </si>
  <si>
    <t>27/02/2025 07:15</t>
  </si>
  <si>
    <t>27/02/2025 07:30</t>
  </si>
  <si>
    <t>27/02/2025 07:45</t>
  </si>
  <si>
    <t>27/02/2025 08:00</t>
  </si>
  <si>
    <t>27/02/2025 08:15</t>
  </si>
  <si>
    <t>27/02/2025 08:30</t>
  </si>
  <si>
    <t>27/02/2025 08:45</t>
  </si>
  <si>
    <t>27/02/2025 09:00</t>
  </si>
  <si>
    <t>27/02/2025 09:15</t>
  </si>
  <si>
    <t>27/02/2025 09:30</t>
  </si>
  <si>
    <t>27/02/2025 09:45</t>
  </si>
  <si>
    <t>27/02/2025 10:00</t>
  </si>
  <si>
    <t>27/02/2025 10:15</t>
  </si>
  <si>
    <t>27/02/2025 10:30</t>
  </si>
  <si>
    <t>27/02/2025 10:45</t>
  </si>
  <si>
    <t>27/02/2025 11:00</t>
  </si>
  <si>
    <t>27/02/2025 11:15</t>
  </si>
  <si>
    <t>27/02/2025 11:30</t>
  </si>
  <si>
    <t>27/02/2025 11:45</t>
  </si>
  <si>
    <t>27/02/2025 12:00</t>
  </si>
  <si>
    <t>27/02/2025 12:15</t>
  </si>
  <si>
    <t>27/02/2025 12:30</t>
  </si>
  <si>
    <t>27/02/2025 12:45</t>
  </si>
  <si>
    <t>27/02/2025 13:00</t>
  </si>
  <si>
    <t>27/02/2025 13:15</t>
  </si>
  <si>
    <t>27/02/2025 13:30</t>
  </si>
  <si>
    <t>27/02/2025 13:45</t>
  </si>
  <si>
    <t>27/02/2025 14:00</t>
  </si>
  <si>
    <t>27/02/2025 14:15</t>
  </si>
  <si>
    <t>27/02/2025 14:30</t>
  </si>
  <si>
    <t>27/02/2025 14:45</t>
  </si>
  <si>
    <t>27/02/2025 15:00</t>
  </si>
  <si>
    <t>27/02/2025 15:15</t>
  </si>
  <si>
    <t>27/02/2025 15:30</t>
  </si>
  <si>
    <t>27/02/2025 15:45</t>
  </si>
  <si>
    <t>27/02/2025 16:00</t>
  </si>
  <si>
    <t>27/02/2025 16:15</t>
  </si>
  <si>
    <t>27/02/2025 16:30</t>
  </si>
  <si>
    <t>27/02/2025 16:45</t>
  </si>
  <si>
    <t>27/02/2025 17:00</t>
  </si>
  <si>
    <t>27/02/2025 17:15</t>
  </si>
  <si>
    <t>27/02/2025 17:30</t>
  </si>
  <si>
    <t>27/02/2025 17:45</t>
  </si>
  <si>
    <t>27/02/2025 18:00</t>
  </si>
  <si>
    <t>27/02/2025 18:15</t>
  </si>
  <si>
    <t>27/02/2025 18:30</t>
  </si>
  <si>
    <t>27/02/2025 18:45</t>
  </si>
  <si>
    <t>27/02/2025 19:00</t>
  </si>
  <si>
    <t>27/02/2025 19:15</t>
  </si>
  <si>
    <t>27/02/2025 19:30</t>
  </si>
  <si>
    <t>27/02/2025 19:45</t>
  </si>
  <si>
    <t>27/02/2025 20:00</t>
  </si>
  <si>
    <t>27/02/2025 20:15</t>
  </si>
  <si>
    <t>27/02/2025 20:30</t>
  </si>
  <si>
    <t>27/02/2025 20:45</t>
  </si>
  <si>
    <t>27/02/2025 21:00</t>
  </si>
  <si>
    <t>27/02/2025 21:15</t>
  </si>
  <si>
    <t>27/02/2025 21:30</t>
  </si>
  <si>
    <t>27/02/2025 21:45</t>
  </si>
  <si>
    <t>27/02/2025 22:00</t>
  </si>
  <si>
    <t>27/02/2025 22:15</t>
  </si>
  <si>
    <t>27/02/2025 22:30</t>
  </si>
  <si>
    <t>27/02/2025 22:45</t>
  </si>
  <si>
    <t>27/02/2025 23:00</t>
  </si>
  <si>
    <t>27/02/2025 23:15</t>
  </si>
  <si>
    <t>27/02/2025 23:30</t>
  </si>
  <si>
    <t>27/02/2025 23:45</t>
  </si>
  <si>
    <t>27/02/2025 24:00</t>
  </si>
  <si>
    <t>28/02/2025 00:15</t>
  </si>
  <si>
    <t>28/02/2025 00:30</t>
  </si>
  <si>
    <t>28/02/2025 00:45</t>
  </si>
  <si>
    <t>28/02/2025 01:00</t>
  </si>
  <si>
    <t>28/02/2025 01:15</t>
  </si>
  <si>
    <t>28/02/2025 01:30</t>
  </si>
  <si>
    <t>28/02/2025 01:45</t>
  </si>
  <si>
    <t>28/02/2025 02:00</t>
  </si>
  <si>
    <t>28/02/2025 02:15</t>
  </si>
  <si>
    <t>28/02/2025 02:30</t>
  </si>
  <si>
    <t>28/02/2025 02:45</t>
  </si>
  <si>
    <t>28/02/2025 03:00</t>
  </si>
  <si>
    <t>28/02/2025 03:15</t>
  </si>
  <si>
    <t>28/02/2025 03:30</t>
  </si>
  <si>
    <t>28/02/2025 03:45</t>
  </si>
  <si>
    <t>28/02/2025 04:00</t>
  </si>
  <si>
    <t>28/02/2025 04:15</t>
  </si>
  <si>
    <t>28/02/2025 04:30</t>
  </si>
  <si>
    <t>28/02/2025 04:45</t>
  </si>
  <si>
    <t>28/02/2025 05:00</t>
  </si>
  <si>
    <t>28/02/2025 05:15</t>
  </si>
  <si>
    <t>28/02/2025 05:30</t>
  </si>
  <si>
    <t>28/02/2025 05:45</t>
  </si>
  <si>
    <t>28/02/2025 06:00</t>
  </si>
  <si>
    <t>28/02/2025 06:15</t>
  </si>
  <si>
    <t>28/02/2025 06:30</t>
  </si>
  <si>
    <t>28/02/2025 06:45</t>
  </si>
  <si>
    <t>28/02/2025 07:00</t>
  </si>
  <si>
    <t>28/02/2025 07:15</t>
  </si>
  <si>
    <t>28/02/2025 07:30</t>
  </si>
  <si>
    <t>28/02/2025 07:45</t>
  </si>
  <si>
    <t>28/02/2025 08:00</t>
  </si>
  <si>
    <t>28/02/2025 08:15</t>
  </si>
  <si>
    <t>28/02/2025 08:30</t>
  </si>
  <si>
    <t>28/02/2025 08:45</t>
  </si>
  <si>
    <t>28/02/2025 09:00</t>
  </si>
  <si>
    <t>28/02/2025 09:15</t>
  </si>
  <si>
    <t>28/02/2025 09:30</t>
  </si>
  <si>
    <t>28/02/2025 09:45</t>
  </si>
  <si>
    <t>28/02/2025 10:00</t>
  </si>
  <si>
    <t>28/02/2025 10:15</t>
  </si>
  <si>
    <t>28/02/2025 10:30</t>
  </si>
  <si>
    <t>28/02/2025 10:45</t>
  </si>
  <si>
    <t>28/02/2025 11:00</t>
  </si>
  <si>
    <t>28/02/2025 11:15</t>
  </si>
  <si>
    <t>28/02/2025 11:30</t>
  </si>
  <si>
    <t>28/02/2025 11:45</t>
  </si>
  <si>
    <t>28/02/2025 12:00</t>
  </si>
  <si>
    <t>28/02/2025 12:15</t>
  </si>
  <si>
    <t>28/02/2025 12:30</t>
  </si>
  <si>
    <t>28/02/2025 12:45</t>
  </si>
  <si>
    <t>28/02/2025 13:00</t>
  </si>
  <si>
    <t>28/02/2025 13:15</t>
  </si>
  <si>
    <t>28/02/2025 13:30</t>
  </si>
  <si>
    <t>28/02/2025 13:45</t>
  </si>
  <si>
    <t>28/02/2025 14:00</t>
  </si>
  <si>
    <t>28/02/2025 14:15</t>
  </si>
  <si>
    <t>28/02/2025 14:30</t>
  </si>
  <si>
    <t>28/02/2025 14:45</t>
  </si>
  <si>
    <t>28/02/2025 15:00</t>
  </si>
  <si>
    <t>28/02/2025 15:15</t>
  </si>
  <si>
    <t>28/02/2025 15:30</t>
  </si>
  <si>
    <t>28/02/2025 15:45</t>
  </si>
  <si>
    <t>28/02/2025 16:00</t>
  </si>
  <si>
    <t>28/02/2025 16:15</t>
  </si>
  <si>
    <t>28/02/2025 16:30</t>
  </si>
  <si>
    <t>28/02/2025 16:45</t>
  </si>
  <si>
    <t>28/02/2025 17:00</t>
  </si>
  <si>
    <t>28/02/2025 17:15</t>
  </si>
  <si>
    <t>28/02/2025 17:30</t>
  </si>
  <si>
    <t>28/02/2025 17:45</t>
  </si>
  <si>
    <t>28/02/2025 18:00</t>
  </si>
  <si>
    <t>28/02/2025 18:15</t>
  </si>
  <si>
    <t>28/02/2025 18:30</t>
  </si>
  <si>
    <t>28/02/2025 18:45</t>
  </si>
  <si>
    <t>28/02/2025 19:00</t>
  </si>
  <si>
    <t>28/02/2025 19:15</t>
  </si>
  <si>
    <t>28/02/2025 19:30</t>
  </si>
  <si>
    <t>28/02/2025 19:45</t>
  </si>
  <si>
    <t>28/02/2025 20:00</t>
  </si>
  <si>
    <t>28/02/2025 20:15</t>
  </si>
  <si>
    <t>28/02/2025 20:30</t>
  </si>
  <si>
    <t>28/02/2025 20:45</t>
  </si>
  <si>
    <t>28/02/2025 21:00</t>
  </si>
  <si>
    <t>28/02/2025 21:15</t>
  </si>
  <si>
    <t>28/02/2025 21:30</t>
  </si>
  <si>
    <t>28/02/2025 21:45</t>
  </si>
  <si>
    <t>28/02/2025 22:00</t>
  </si>
  <si>
    <t>28/02/2025 22:15</t>
  </si>
  <si>
    <t>28/02/2025 22:30</t>
  </si>
  <si>
    <t>28/02/2025 22:45</t>
  </si>
  <si>
    <t>28/02/2025 23:00</t>
  </si>
  <si>
    <t>28/02/2025 23:15</t>
  </si>
  <si>
    <t>28/02/2025 23:30</t>
  </si>
  <si>
    <t>28/02/2025 23:45</t>
  </si>
  <si>
    <t>28/02/2025 24:00</t>
  </si>
  <si>
    <t>03/02/2025 00:15</t>
  </si>
  <si>
    <t>03/02/2025 00:30</t>
  </si>
  <si>
    <t>03/02/2025 00:45</t>
  </si>
  <si>
    <t>03/02/2025 01:00</t>
  </si>
  <si>
    <t>03/02/2025 01:15</t>
  </si>
  <si>
    <t>03/02/2025 01:30</t>
  </si>
  <si>
    <t>03/02/2025 01:45</t>
  </si>
  <si>
    <t>03/02/2025 02:00</t>
  </si>
  <si>
    <t>03/02/2025 02:15</t>
  </si>
  <si>
    <t>03/02/2025 02:30</t>
  </si>
  <si>
    <t>03/02/2025 02:45</t>
  </si>
  <si>
    <t>03/02/2025 03:00</t>
  </si>
  <si>
    <t>03/02/2025 03:15</t>
  </si>
  <si>
    <t>03/02/2025 03:30</t>
  </si>
  <si>
    <t>03/02/2025 03:45</t>
  </si>
  <si>
    <t>03/02/2025 04:00</t>
  </si>
  <si>
    <t>03/02/2025 04:15</t>
  </si>
  <si>
    <t>03/02/2025 04:30</t>
  </si>
  <si>
    <t>03/02/2025 04:45</t>
  </si>
  <si>
    <t>03/02/2025 05:00</t>
  </si>
  <si>
    <t>03/02/2025 05:15</t>
  </si>
  <si>
    <t>03/02/2025 05:30</t>
  </si>
  <si>
    <t>03/02/2025 05:45</t>
  </si>
  <si>
    <t>03/02/2025 06:00</t>
  </si>
  <si>
    <t>03/02/2025 06:15</t>
  </si>
  <si>
    <t>03/02/2025 06:30</t>
  </si>
  <si>
    <t>03/02/2025 06:45</t>
  </si>
  <si>
    <t>03/02/2025 07:00</t>
  </si>
  <si>
    <t>03/02/2025 07:15</t>
  </si>
  <si>
    <t>03/02/2025 07:30</t>
  </si>
  <si>
    <t>03/02/2025 07:45</t>
  </si>
  <si>
    <t>03/02/2025 08:00</t>
  </si>
  <si>
    <t>03/02/2025 08:15</t>
  </si>
  <si>
    <t>03/02/2025 08:30</t>
  </si>
  <si>
    <t>03/02/2025 08:45</t>
  </si>
  <si>
    <t>03/02/2025 09:00</t>
  </si>
  <si>
    <t>03/02/2025 09:15</t>
  </si>
  <si>
    <t>03/02/2025 09:30</t>
  </si>
  <si>
    <t>03/02/2025 09:45</t>
  </si>
  <si>
    <t>03/02/2025 10:00</t>
  </si>
  <si>
    <t>03/02/2025 10:15</t>
  </si>
  <si>
    <t>03/02/2025 10:30</t>
  </si>
  <si>
    <t>03/02/2025 10:45</t>
  </si>
  <si>
    <t>03/02/2025 11:00</t>
  </si>
  <si>
    <t>03/02/2025 11:15</t>
  </si>
  <si>
    <t>03/02/2025 11:30</t>
  </si>
  <si>
    <t>03/02/2025 11:45</t>
  </si>
  <si>
    <t>03/02/2025 12:00</t>
  </si>
  <si>
    <t>03/02/2025 12:15</t>
  </si>
  <si>
    <t>03/02/2025 12:30</t>
  </si>
  <si>
    <t>03/02/2025 12:45</t>
  </si>
  <si>
    <t>03/02/2025 13:00</t>
  </si>
  <si>
    <t>03/02/2025 13:15</t>
  </si>
  <si>
    <t>03/02/2025 13:30</t>
  </si>
  <si>
    <t>03/02/2025 13:45</t>
  </si>
  <si>
    <t>03/02/2025 14:00</t>
  </si>
  <si>
    <t>03/02/2025 14:15</t>
  </si>
  <si>
    <t>03/02/2025 14:30</t>
  </si>
  <si>
    <t>03/02/2025 14:45</t>
  </si>
  <si>
    <t>03/02/2025 15:00</t>
  </si>
  <si>
    <t>03/02/2025 15:15</t>
  </si>
  <si>
    <t>03/02/2025 15:30</t>
  </si>
  <si>
    <t>03/02/2025 15:45</t>
  </si>
  <si>
    <t>03/02/2025 16:00</t>
  </si>
  <si>
    <t>03/02/2025 16:15</t>
  </si>
  <si>
    <t>03/02/2025 16:30</t>
  </si>
  <si>
    <t>03/02/2025 16:45</t>
  </si>
  <si>
    <t>03/02/2025 17:00</t>
  </si>
  <si>
    <t>03/02/2025 17:15</t>
  </si>
  <si>
    <t>03/02/2025 17:30</t>
  </si>
  <si>
    <t>03/02/2025 17:45</t>
  </si>
  <si>
    <t>03/02/2025 18:00</t>
  </si>
  <si>
    <t>03/02/2025 18:15</t>
  </si>
  <si>
    <t>03/02/2025 18:30</t>
  </si>
  <si>
    <t>03/02/2025 18:45</t>
  </si>
  <si>
    <t>03/02/2025 19:00</t>
  </si>
  <si>
    <t>03/02/2025 19:15</t>
  </si>
  <si>
    <t>03/02/2025 19:30</t>
  </si>
  <si>
    <t>03/02/2025 19:45</t>
  </si>
  <si>
    <t>03/02/2025 20:00</t>
  </si>
  <si>
    <t>03/02/2025 20:15</t>
  </si>
  <si>
    <t>03/02/2025 20:30</t>
  </si>
  <si>
    <t>03/02/2025 20:45</t>
  </si>
  <si>
    <t>03/02/2025 21:00</t>
  </si>
  <si>
    <t>03/02/2025 21:15</t>
  </si>
  <si>
    <t>03/02/2025 21:30</t>
  </si>
  <si>
    <t>03/02/2025 21:45</t>
  </si>
  <si>
    <t>03/02/2025 22:00</t>
  </si>
  <si>
    <t>03/02/2025 22:15</t>
  </si>
  <si>
    <t>03/02/2025 22:30</t>
  </si>
  <si>
    <t>03/02/2025 22:45</t>
  </si>
  <si>
    <t>03/02/2025 23:00</t>
  </si>
  <si>
    <t>03/02/2025 23:15</t>
  </si>
  <si>
    <t>03/02/2025 23:30</t>
  </si>
  <si>
    <t>03/02/2025 23:45</t>
  </si>
  <si>
    <t>03/02/2025 24:00</t>
  </si>
  <si>
    <t>04/02/2025 00:15</t>
  </si>
  <si>
    <t>04/02/2025 00:30</t>
  </si>
  <si>
    <t>04/02/2025 00:45</t>
  </si>
  <si>
    <t>04/02/2025 01:00</t>
  </si>
  <si>
    <t>04/02/2025 01:15</t>
  </si>
  <si>
    <t>04/02/2025 01:30</t>
  </si>
  <si>
    <t>04/02/2025 01:45</t>
  </si>
  <si>
    <t>04/02/2025 02:00</t>
  </si>
  <si>
    <t>04/02/2025 02:15</t>
  </si>
  <si>
    <t>04/02/2025 02:30</t>
  </si>
  <si>
    <t>04/02/2025 02:45</t>
  </si>
  <si>
    <t>04/02/2025 03:00</t>
  </si>
  <si>
    <t>04/02/2025 03:15</t>
  </si>
  <si>
    <t>04/02/2025 03:30</t>
  </si>
  <si>
    <t>04/02/2025 03:45</t>
  </si>
  <si>
    <t>04/02/2025 04:00</t>
  </si>
  <si>
    <t>04/02/2025 04:15</t>
  </si>
  <si>
    <t>04/02/2025 04:30</t>
  </si>
  <si>
    <t>04/02/2025 04:45</t>
  </si>
  <si>
    <t>04/02/2025 05:00</t>
  </si>
  <si>
    <t>04/02/2025 05:15</t>
  </si>
  <si>
    <t>04/02/2025 05:30</t>
  </si>
  <si>
    <t>04/02/2025 05:45</t>
  </si>
  <si>
    <t>04/02/2025 06:00</t>
  </si>
  <si>
    <t>04/02/2025 06:15</t>
  </si>
  <si>
    <t>04/02/2025 06:30</t>
  </si>
  <si>
    <t>04/02/2025 06:45</t>
  </si>
  <si>
    <t>04/02/2025 07:00</t>
  </si>
  <si>
    <t>04/02/2025 07:15</t>
  </si>
  <si>
    <t>04/02/2025 07:30</t>
  </si>
  <si>
    <t>04/02/2025 07:45</t>
  </si>
  <si>
    <t>04/02/2025 08:00</t>
  </si>
  <si>
    <t>04/02/2025 08:15</t>
  </si>
  <si>
    <t>04/02/2025 08:30</t>
  </si>
  <si>
    <t>04/02/2025 08:45</t>
  </si>
  <si>
    <t>04/02/2025 09:00</t>
  </si>
  <si>
    <t>04/02/2025 09:15</t>
  </si>
  <si>
    <t>04/02/2025 09:30</t>
  </si>
  <si>
    <t>04/02/2025 09:45</t>
  </si>
  <si>
    <t>04/02/2025 10:00</t>
  </si>
  <si>
    <t>04/02/2025 10:15</t>
  </si>
  <si>
    <t>04/02/2025 10:30</t>
  </si>
  <si>
    <t>04/02/2025 10:45</t>
  </si>
  <si>
    <t>04/02/2025 11:00</t>
  </si>
  <si>
    <t>04/02/2025 11:15</t>
  </si>
  <si>
    <t>04/02/2025 11:30</t>
  </si>
  <si>
    <t>04/02/2025 11:45</t>
  </si>
  <si>
    <t>04/02/2025 12:00</t>
  </si>
  <si>
    <t>04/02/2025 12:15</t>
  </si>
  <si>
    <t>04/02/2025 12:30</t>
  </si>
  <si>
    <t>04/02/2025 12:45</t>
  </si>
  <si>
    <t>04/02/2025 13:00</t>
  </si>
  <si>
    <t>04/02/2025 13:15</t>
  </si>
  <si>
    <t>04/02/2025 13:30</t>
  </si>
  <si>
    <t>04/02/2025 13:45</t>
  </si>
  <si>
    <t>04/02/2025 14:00</t>
  </si>
  <si>
    <t>04/02/2025 14:15</t>
  </si>
  <si>
    <t>04/02/2025 14:30</t>
  </si>
  <si>
    <t>04/02/2025 14:45</t>
  </si>
  <si>
    <t>04/02/2025 15:00</t>
  </si>
  <si>
    <t>04/02/2025 15:15</t>
  </si>
  <si>
    <t>04/02/2025 15:30</t>
  </si>
  <si>
    <t>04/02/2025 15:45</t>
  </si>
  <si>
    <t>04/02/2025 16:00</t>
  </si>
  <si>
    <t>04/02/2025 16:15</t>
  </si>
  <si>
    <t>04/02/2025 16:30</t>
  </si>
  <si>
    <t>04/02/2025 16:45</t>
  </si>
  <si>
    <t>04/02/2025 17:00</t>
  </si>
  <si>
    <t>04/02/2025 17:15</t>
  </si>
  <si>
    <t>04/02/2025 17:30</t>
  </si>
  <si>
    <t>04/02/2025 17:45</t>
  </si>
  <si>
    <t>04/02/2025 18:00</t>
  </si>
  <si>
    <t>04/02/2025 18:15</t>
  </si>
  <si>
    <t>04/02/2025 18:30</t>
  </si>
  <si>
    <t>04/02/2025 18:45</t>
  </si>
  <si>
    <t>04/02/2025 19:00</t>
  </si>
  <si>
    <t>04/02/2025 19:15</t>
  </si>
  <si>
    <t>04/02/2025 19:30</t>
  </si>
  <si>
    <t>04/02/2025 19:45</t>
  </si>
  <si>
    <t>04/02/2025 20:00</t>
  </si>
  <si>
    <t>04/02/2025 20:15</t>
  </si>
  <si>
    <t>04/02/2025 20:30</t>
  </si>
  <si>
    <t>04/02/2025 20:45</t>
  </si>
  <si>
    <t>04/02/2025 21:00</t>
  </si>
  <si>
    <t>04/02/2025 21:15</t>
  </si>
  <si>
    <t>04/02/2025 21:30</t>
  </si>
  <si>
    <t>04/02/2025 21:45</t>
  </si>
  <si>
    <t>04/02/2025 22:00</t>
  </si>
  <si>
    <t>04/02/2025 22:15</t>
  </si>
  <si>
    <t>04/02/2025 22:30</t>
  </si>
  <si>
    <t>04/02/2025 22:45</t>
  </si>
  <si>
    <t>04/02/2025 23:00</t>
  </si>
  <si>
    <t>04/02/2025 23:15</t>
  </si>
  <si>
    <t>04/02/2025 23:30</t>
  </si>
  <si>
    <t>04/02/2025 23:45</t>
  </si>
  <si>
    <t>04/02/2025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</si>
</sst>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0" fillId="0" borderId="7" xfId="0" applyBorder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7"/>
  <sheetViews>
    <sheetView zoomScale="80" zoomScaleNormal="80" workbookViewId="0">
      <pane xSplit="1" ySplit="8" topLeftCell="B42" activePane="bottomRight" state="frozen"/>
      <selection pane="topRight"/>
      <selection pane="bottomLeft"/>
      <selection pane="bottomRight" activeCell="L113" sqref="L1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239</v>
      </c>
      <c r="B9" s="100">
        <v>11</v>
      </c>
      <c r="C9" s="100">
        <v>26.45</v>
      </c>
      <c r="D9" s="100">
        <v>23.99</v>
      </c>
      <c r="E9" s="100">
        <v>10.130000000000001</v>
      </c>
      <c r="F9" s="152" t="s">
        <v>15</v>
      </c>
      <c r="G9" s="100">
        <v>85.7</v>
      </c>
      <c r="H9" s="100">
        <v>26.02</v>
      </c>
      <c r="I9" s="100">
        <v>11.32</v>
      </c>
      <c r="J9" s="100">
        <v>0.14000000000000001</v>
      </c>
      <c r="K9" s="100">
        <v>156.62</v>
      </c>
      <c r="L9" s="100">
        <v>21.92</v>
      </c>
      <c r="M9" s="100">
        <v>83.39</v>
      </c>
      <c r="N9" s="100">
        <v>1.3</v>
      </c>
      <c r="O9" s="100">
        <v>0</v>
      </c>
      <c r="P9" s="100">
        <v>0.96</v>
      </c>
      <c r="Q9" s="100">
        <v>12.97</v>
      </c>
      <c r="R9" s="6"/>
      <c r="S9" s="6"/>
      <c r="T9" s="156"/>
      <c r="U9" s="6"/>
    </row>
    <row r="10" spans="1:21" customFormat="1">
      <c r="A10" s="163" t="s">
        <v>240</v>
      </c>
      <c r="B10" s="100">
        <v>11.25</v>
      </c>
      <c r="C10" s="100">
        <v>24.95</v>
      </c>
      <c r="D10" s="100">
        <v>23.41</v>
      </c>
      <c r="E10" s="100">
        <v>9.8699999999999992</v>
      </c>
      <c r="F10" s="152" t="s">
        <v>15</v>
      </c>
      <c r="G10" s="100">
        <v>85.7</v>
      </c>
      <c r="H10" s="100">
        <v>26.02</v>
      </c>
      <c r="I10" s="100">
        <v>11.4</v>
      </c>
      <c r="J10" s="100">
        <v>0.17</v>
      </c>
      <c r="K10" s="100">
        <v>189.37</v>
      </c>
      <c r="L10" s="100">
        <v>21.7</v>
      </c>
      <c r="M10" s="100">
        <v>87.51</v>
      </c>
      <c r="N10" s="100">
        <v>1.4</v>
      </c>
      <c r="O10" s="100">
        <v>0</v>
      </c>
      <c r="P10" s="100">
        <v>0.96</v>
      </c>
      <c r="Q10" s="100">
        <v>12.95</v>
      </c>
      <c r="R10" s="6"/>
      <c r="S10" s="6"/>
      <c r="T10" s="156"/>
      <c r="U10" s="6"/>
    </row>
    <row r="11" spans="1:21" customFormat="1">
      <c r="A11" s="163" t="s">
        <v>241</v>
      </c>
      <c r="B11" s="100">
        <v>11.59</v>
      </c>
      <c r="C11" s="100">
        <v>23.63</v>
      </c>
      <c r="D11" s="100">
        <v>22.99</v>
      </c>
      <c r="E11" s="100">
        <v>9.7100000000000009</v>
      </c>
      <c r="F11" s="152" t="s">
        <v>15</v>
      </c>
      <c r="G11" s="100">
        <v>85.7</v>
      </c>
      <c r="H11" s="100">
        <v>26</v>
      </c>
      <c r="I11" s="100">
        <v>11.48</v>
      </c>
      <c r="J11" s="100">
        <v>0.15</v>
      </c>
      <c r="K11" s="100">
        <v>177.76</v>
      </c>
      <c r="L11" s="100">
        <v>21.21</v>
      </c>
      <c r="M11" s="100">
        <v>88.34</v>
      </c>
      <c r="N11" s="100">
        <v>1.6</v>
      </c>
      <c r="O11" s="100">
        <v>0</v>
      </c>
      <c r="P11" s="100">
        <v>0.97</v>
      </c>
      <c r="Q11" s="100">
        <v>12.95</v>
      </c>
      <c r="R11" s="6"/>
      <c r="S11" s="6"/>
      <c r="T11" s="156"/>
      <c r="U11" s="6"/>
    </row>
    <row r="12" spans="1:21" customFormat="1">
      <c r="A12" s="163" t="s">
        <v>242</v>
      </c>
      <c r="B12" s="100">
        <v>11.86</v>
      </c>
      <c r="C12" s="100">
        <v>24.49</v>
      </c>
      <c r="D12" s="100">
        <v>23.66</v>
      </c>
      <c r="E12" s="100">
        <v>9.7799999999999994</v>
      </c>
      <c r="F12" s="152" t="s">
        <v>15</v>
      </c>
      <c r="G12" s="100">
        <v>85.84</v>
      </c>
      <c r="H12" s="100">
        <v>25.41</v>
      </c>
      <c r="I12" s="100">
        <v>11.54</v>
      </c>
      <c r="J12" s="100">
        <v>0.16</v>
      </c>
      <c r="K12" s="100">
        <v>218.05</v>
      </c>
      <c r="L12" s="100">
        <v>21.07</v>
      </c>
      <c r="M12" s="100">
        <v>88.69</v>
      </c>
      <c r="N12" s="100">
        <v>1.4</v>
      </c>
      <c r="O12" s="100">
        <v>0</v>
      </c>
      <c r="P12" s="100">
        <v>0.97</v>
      </c>
      <c r="Q12" s="100">
        <v>12.96</v>
      </c>
      <c r="R12" s="6"/>
      <c r="S12" s="6"/>
      <c r="T12" s="156"/>
      <c r="U12" s="6"/>
    </row>
    <row r="13" spans="1:21" customFormat="1">
      <c r="A13" s="163" t="s">
        <v>243</v>
      </c>
      <c r="B13" s="100">
        <v>12.11</v>
      </c>
      <c r="C13" s="100">
        <v>24.53</v>
      </c>
      <c r="D13" s="100">
        <v>23.88</v>
      </c>
      <c r="E13" s="100">
        <v>9.86</v>
      </c>
      <c r="F13" s="152" t="s">
        <v>15</v>
      </c>
      <c r="G13" s="100">
        <v>85.84</v>
      </c>
      <c r="H13" s="100">
        <v>25.41</v>
      </c>
      <c r="I13" s="100">
        <v>11.53</v>
      </c>
      <c r="J13" s="100">
        <v>0.09</v>
      </c>
      <c r="K13" s="100">
        <v>162.09</v>
      </c>
      <c r="L13" s="100">
        <v>20.97</v>
      </c>
      <c r="M13" s="100">
        <v>87.27</v>
      </c>
      <c r="N13" s="100">
        <v>1.3</v>
      </c>
      <c r="O13" s="100">
        <v>0</v>
      </c>
      <c r="P13" s="100">
        <v>0.97</v>
      </c>
      <c r="Q13" s="100">
        <v>12.96</v>
      </c>
      <c r="R13" s="6"/>
      <c r="S13" s="6"/>
      <c r="T13" s="156"/>
      <c r="U13" s="6"/>
    </row>
    <row r="14" spans="1:21" customFormat="1">
      <c r="A14" s="163" t="s">
        <v>244</v>
      </c>
      <c r="B14" s="100">
        <v>12.39</v>
      </c>
      <c r="C14" s="100">
        <v>23.4</v>
      </c>
      <c r="D14" s="100">
        <v>23.52</v>
      </c>
      <c r="E14" s="100">
        <v>9.82</v>
      </c>
      <c r="F14" s="152" t="s">
        <v>15</v>
      </c>
      <c r="G14" s="100">
        <v>85.84</v>
      </c>
      <c r="H14" s="100">
        <v>25.41</v>
      </c>
      <c r="I14" s="100">
        <v>11.59</v>
      </c>
      <c r="J14" s="100">
        <v>0.13</v>
      </c>
      <c r="K14" s="100">
        <v>192.97</v>
      </c>
      <c r="L14" s="100">
        <v>20.87</v>
      </c>
      <c r="M14" s="100">
        <v>87.37</v>
      </c>
      <c r="N14" s="100">
        <v>1.3</v>
      </c>
      <c r="O14" s="100">
        <v>0</v>
      </c>
      <c r="P14" s="100">
        <v>0.98</v>
      </c>
      <c r="Q14" s="100">
        <v>12.96</v>
      </c>
      <c r="R14" s="6"/>
      <c r="S14" s="6"/>
      <c r="T14" s="156"/>
      <c r="U14" s="6"/>
    </row>
    <row r="15" spans="1:21" customFormat="1">
      <c r="A15" s="163" t="s">
        <v>245</v>
      </c>
      <c r="B15" s="100">
        <v>12.64</v>
      </c>
      <c r="C15" s="100">
        <v>23.58</v>
      </c>
      <c r="D15" s="100">
        <v>23.81</v>
      </c>
      <c r="E15" s="100">
        <v>9.67</v>
      </c>
      <c r="F15" s="152" t="s">
        <v>15</v>
      </c>
      <c r="G15" s="100">
        <v>85.66</v>
      </c>
      <c r="H15" s="100">
        <v>25.53</v>
      </c>
      <c r="I15" s="100">
        <v>11.58</v>
      </c>
      <c r="J15" s="100">
        <v>0.13</v>
      </c>
      <c r="K15" s="100">
        <v>186.51</v>
      </c>
      <c r="L15" s="100">
        <v>20.72</v>
      </c>
      <c r="M15" s="100">
        <v>87.44</v>
      </c>
      <c r="N15" s="100">
        <v>1.4</v>
      </c>
      <c r="O15" s="100">
        <v>0</v>
      </c>
      <c r="P15" s="100">
        <v>0.98</v>
      </c>
      <c r="Q15" s="100">
        <v>12.95</v>
      </c>
      <c r="R15" s="6"/>
      <c r="S15" s="6"/>
      <c r="T15" s="156"/>
      <c r="U15" s="6"/>
    </row>
    <row r="16" spans="1:21" customFormat="1">
      <c r="A16" s="163" t="s">
        <v>246</v>
      </c>
      <c r="B16" s="100">
        <v>12.83</v>
      </c>
      <c r="C16" s="100">
        <v>24.53</v>
      </c>
      <c r="D16" s="100">
        <v>24.46</v>
      </c>
      <c r="E16" s="100">
        <v>9.75</v>
      </c>
      <c r="F16" s="152" t="s">
        <v>15</v>
      </c>
      <c r="G16" s="100">
        <v>80.47</v>
      </c>
      <c r="H16" s="100">
        <v>29.32</v>
      </c>
      <c r="I16" s="100">
        <v>11.55</v>
      </c>
      <c r="J16" s="100">
        <v>0.12</v>
      </c>
      <c r="K16" s="100">
        <v>144.30000000000001</v>
      </c>
      <c r="L16" s="100">
        <v>20.55</v>
      </c>
      <c r="M16" s="100">
        <v>87.86</v>
      </c>
      <c r="N16" s="100">
        <v>1.3</v>
      </c>
      <c r="O16" s="100">
        <v>0</v>
      </c>
      <c r="P16" s="100">
        <v>0.97</v>
      </c>
      <c r="Q16" s="100">
        <v>12.95</v>
      </c>
      <c r="R16" s="6"/>
      <c r="S16" s="6"/>
      <c r="T16" s="156"/>
      <c r="U16" s="6"/>
    </row>
    <row r="17" spans="1:21" customFormat="1">
      <c r="A17" s="163" t="s">
        <v>247</v>
      </c>
      <c r="B17" s="100">
        <v>13.13</v>
      </c>
      <c r="C17" s="100">
        <v>23.89</v>
      </c>
      <c r="D17" s="100">
        <v>24.36</v>
      </c>
      <c r="E17" s="100">
        <v>8.91</v>
      </c>
      <c r="F17" s="152" t="s">
        <v>15</v>
      </c>
      <c r="G17" s="100">
        <v>80.47</v>
      </c>
      <c r="H17" s="100">
        <v>29.32</v>
      </c>
      <c r="I17" s="100">
        <v>11.57</v>
      </c>
      <c r="J17" s="100">
        <v>0.2</v>
      </c>
      <c r="K17" s="100">
        <v>151.99</v>
      </c>
      <c r="L17" s="100">
        <v>20.46</v>
      </c>
      <c r="M17" s="100">
        <v>88.63</v>
      </c>
      <c r="N17" s="100">
        <v>1.4</v>
      </c>
      <c r="O17" s="100">
        <v>0</v>
      </c>
      <c r="P17" s="100">
        <v>0.99</v>
      </c>
      <c r="Q17" s="100">
        <v>12.95</v>
      </c>
      <c r="R17" s="6"/>
      <c r="S17" s="6"/>
      <c r="T17" s="156"/>
      <c r="U17" s="6"/>
    </row>
    <row r="18" spans="1:21" customFormat="1">
      <c r="A18" s="163" t="s">
        <v>248</v>
      </c>
      <c r="B18" s="100">
        <v>13.34</v>
      </c>
      <c r="C18" s="100">
        <v>24.26</v>
      </c>
      <c r="D18" s="100">
        <v>24.72</v>
      </c>
      <c r="E18" s="100">
        <v>10.16</v>
      </c>
      <c r="F18" s="152" t="s">
        <v>15</v>
      </c>
      <c r="G18" s="100">
        <v>80.47</v>
      </c>
      <c r="H18" s="100">
        <v>29.32</v>
      </c>
      <c r="I18" s="100">
        <v>11.54</v>
      </c>
      <c r="J18" s="100">
        <v>0.13</v>
      </c>
      <c r="K18" s="100">
        <v>171.8</v>
      </c>
      <c r="L18" s="100">
        <v>20.32</v>
      </c>
      <c r="M18" s="100">
        <v>88.46</v>
      </c>
      <c r="N18" s="100">
        <v>1.4</v>
      </c>
      <c r="O18" s="100">
        <v>0</v>
      </c>
      <c r="P18" s="100">
        <v>0.99</v>
      </c>
      <c r="Q18" s="100">
        <v>12.96</v>
      </c>
      <c r="R18" s="6"/>
      <c r="S18" s="6"/>
      <c r="T18" s="156"/>
      <c r="U18" s="6"/>
    </row>
    <row r="19" spans="1:21" customFormat="1">
      <c r="A19" s="163" t="s">
        <v>249</v>
      </c>
      <c r="B19" s="100">
        <v>13.5</v>
      </c>
      <c r="C19" s="100">
        <v>24.49</v>
      </c>
      <c r="D19" s="100">
        <v>24.97</v>
      </c>
      <c r="E19" s="100">
        <v>10.24</v>
      </c>
      <c r="F19" s="152" t="s">
        <v>15</v>
      </c>
      <c r="G19" s="100">
        <v>80.180000000000007</v>
      </c>
      <c r="H19" s="100">
        <v>29.19</v>
      </c>
      <c r="I19" s="100">
        <v>11.56</v>
      </c>
      <c r="J19" s="100">
        <v>0.15</v>
      </c>
      <c r="K19" s="100">
        <v>229.58</v>
      </c>
      <c r="L19" s="100">
        <v>20.079999999999998</v>
      </c>
      <c r="M19" s="100">
        <v>89.54</v>
      </c>
      <c r="N19" s="100">
        <v>1.4</v>
      </c>
      <c r="O19" s="100">
        <v>0</v>
      </c>
      <c r="P19" s="100">
        <v>1</v>
      </c>
      <c r="Q19" s="100">
        <v>12.96</v>
      </c>
      <c r="R19" s="6"/>
      <c r="S19" s="6"/>
      <c r="T19" s="156"/>
      <c r="U19" s="6"/>
    </row>
    <row r="20" spans="1:21" customFormat="1">
      <c r="A20" s="163" t="s">
        <v>250</v>
      </c>
      <c r="B20" s="100">
        <v>13.64</v>
      </c>
      <c r="C20" s="100">
        <v>24.54</v>
      </c>
      <c r="D20" s="100">
        <v>25.11</v>
      </c>
      <c r="E20" s="100">
        <v>10.33</v>
      </c>
      <c r="F20" s="152" t="s">
        <v>15</v>
      </c>
      <c r="G20" s="100">
        <v>71.72</v>
      </c>
      <c r="H20" s="100">
        <v>24.83</v>
      </c>
      <c r="I20" s="100">
        <v>11.64</v>
      </c>
      <c r="J20" s="100">
        <v>0.11</v>
      </c>
      <c r="K20" s="100">
        <v>199.99</v>
      </c>
      <c r="L20" s="100">
        <v>19.97</v>
      </c>
      <c r="M20" s="100">
        <v>90.19</v>
      </c>
      <c r="N20" s="100">
        <v>1.3</v>
      </c>
      <c r="O20" s="100">
        <v>0</v>
      </c>
      <c r="P20" s="100">
        <v>0.99</v>
      </c>
      <c r="Q20" s="100">
        <v>12.97</v>
      </c>
      <c r="R20" s="6"/>
      <c r="S20" s="6"/>
      <c r="T20" s="156"/>
      <c r="U20" s="6"/>
    </row>
    <row r="21" spans="1:21" customFormat="1">
      <c r="A21" s="163" t="s">
        <v>251</v>
      </c>
      <c r="B21" s="100">
        <v>13.8</v>
      </c>
      <c r="C21" s="100">
        <v>22.84</v>
      </c>
      <c r="D21" s="100">
        <v>24.35</v>
      </c>
      <c r="E21" s="100">
        <v>10.210000000000001</v>
      </c>
      <c r="F21" s="152" t="s">
        <v>15</v>
      </c>
      <c r="G21" s="100">
        <v>71.72</v>
      </c>
      <c r="H21" s="100">
        <v>24.83</v>
      </c>
      <c r="I21" s="100">
        <v>11.76</v>
      </c>
      <c r="J21" s="100">
        <v>0.08</v>
      </c>
      <c r="K21" s="100">
        <v>182.43</v>
      </c>
      <c r="L21" s="100">
        <v>19.920000000000002</v>
      </c>
      <c r="M21" s="100">
        <v>91.15</v>
      </c>
      <c r="N21" s="100">
        <v>1.3</v>
      </c>
      <c r="O21" s="100">
        <v>0</v>
      </c>
      <c r="P21" s="100">
        <v>0.99</v>
      </c>
      <c r="Q21" s="100">
        <v>12.96</v>
      </c>
      <c r="R21" s="6"/>
      <c r="S21" s="6"/>
      <c r="T21" s="156"/>
      <c r="U21" s="6"/>
    </row>
    <row r="22" spans="1:21" customFormat="1">
      <c r="A22" s="163" t="s">
        <v>252</v>
      </c>
      <c r="B22" s="100">
        <v>13.58</v>
      </c>
      <c r="C22" s="100">
        <v>21.76</v>
      </c>
      <c r="D22" s="100">
        <v>23.61</v>
      </c>
      <c r="E22" s="100">
        <v>9.7799999999999994</v>
      </c>
      <c r="F22" s="152" t="s">
        <v>15</v>
      </c>
      <c r="G22" s="100">
        <v>71.72</v>
      </c>
      <c r="H22" s="100">
        <v>24.83</v>
      </c>
      <c r="I22" s="100">
        <v>11.91</v>
      </c>
      <c r="J22" s="100">
        <v>0.11</v>
      </c>
      <c r="K22" s="100">
        <v>187.5</v>
      </c>
      <c r="L22" s="100">
        <v>19.940000000000001</v>
      </c>
      <c r="M22" s="100">
        <v>90.29</v>
      </c>
      <c r="N22" s="100">
        <v>1.2</v>
      </c>
      <c r="O22" s="100">
        <v>0</v>
      </c>
      <c r="P22" s="100">
        <v>0.99</v>
      </c>
      <c r="Q22" s="100">
        <v>12.95</v>
      </c>
      <c r="R22" s="6"/>
      <c r="S22" s="6"/>
      <c r="T22" s="156"/>
      <c r="U22" s="6"/>
    </row>
    <row r="23" spans="1:21" customFormat="1">
      <c r="A23" s="163" t="s">
        <v>253</v>
      </c>
      <c r="B23" s="100">
        <v>13.23</v>
      </c>
      <c r="C23" s="100">
        <v>21.44</v>
      </c>
      <c r="D23" s="100">
        <v>23.17</v>
      </c>
      <c r="E23" s="100">
        <v>9.23</v>
      </c>
      <c r="F23" s="152" t="s">
        <v>15</v>
      </c>
      <c r="G23" s="100">
        <v>71.489999999999995</v>
      </c>
      <c r="H23" s="100">
        <v>24.83</v>
      </c>
      <c r="I23" s="100">
        <v>12.02</v>
      </c>
      <c r="J23" s="100">
        <v>0.13</v>
      </c>
      <c r="K23" s="100">
        <v>201.19</v>
      </c>
      <c r="L23" s="100">
        <v>19.940000000000001</v>
      </c>
      <c r="M23" s="100">
        <v>90.05</v>
      </c>
      <c r="N23" s="100">
        <v>1.3</v>
      </c>
      <c r="O23" s="100">
        <v>0</v>
      </c>
      <c r="P23" s="100">
        <v>0.98</v>
      </c>
      <c r="Q23" s="100">
        <v>12.97</v>
      </c>
      <c r="R23" s="6"/>
      <c r="S23" s="6"/>
      <c r="T23" s="156"/>
      <c r="U23" s="6"/>
    </row>
    <row r="24" spans="1:21" customFormat="1">
      <c r="A24" s="163" t="s">
        <v>254</v>
      </c>
      <c r="B24" s="100">
        <v>12.94</v>
      </c>
      <c r="C24" s="100">
        <v>21.5</v>
      </c>
      <c r="D24" s="100">
        <v>22.96</v>
      </c>
      <c r="E24" s="100">
        <v>9.43</v>
      </c>
      <c r="F24" s="152" t="s">
        <v>15</v>
      </c>
      <c r="G24" s="100">
        <v>64.63</v>
      </c>
      <c r="H24" s="100">
        <v>24.9</v>
      </c>
      <c r="I24" s="100">
        <v>12.02</v>
      </c>
      <c r="J24" s="100">
        <v>0.12</v>
      </c>
      <c r="K24" s="100">
        <v>167.9</v>
      </c>
      <c r="L24" s="100">
        <v>19.96</v>
      </c>
      <c r="M24" s="100">
        <v>89.74</v>
      </c>
      <c r="N24" s="100">
        <v>1.2</v>
      </c>
      <c r="O24" s="100">
        <v>0</v>
      </c>
      <c r="P24" s="100">
        <v>0.97</v>
      </c>
      <c r="Q24" s="100">
        <v>12.97</v>
      </c>
      <c r="R24" s="6"/>
      <c r="S24" s="6"/>
      <c r="T24" s="156"/>
      <c r="U24" s="6"/>
    </row>
    <row r="25" spans="1:21" customFormat="1">
      <c r="A25" s="163" t="s">
        <v>255</v>
      </c>
      <c r="B25" s="100">
        <v>12.72</v>
      </c>
      <c r="C25" s="100">
        <v>21.19</v>
      </c>
      <c r="D25" s="100">
        <v>22.62</v>
      </c>
      <c r="E25" s="100">
        <v>9.26</v>
      </c>
      <c r="F25" s="152" t="s">
        <v>15</v>
      </c>
      <c r="G25" s="100">
        <v>64.63</v>
      </c>
      <c r="H25" s="100">
        <v>24.9</v>
      </c>
      <c r="I25" s="100">
        <v>11.97</v>
      </c>
      <c r="J25" s="100">
        <v>0.15</v>
      </c>
      <c r="K25" s="100">
        <v>171.26</v>
      </c>
      <c r="L25" s="100">
        <v>20.07</v>
      </c>
      <c r="M25" s="100">
        <v>88.6</v>
      </c>
      <c r="N25" s="100">
        <v>1.3</v>
      </c>
      <c r="O25" s="100">
        <v>0</v>
      </c>
      <c r="P25" s="100">
        <v>0.96</v>
      </c>
      <c r="Q25" s="100">
        <v>12.96</v>
      </c>
      <c r="R25" s="6"/>
      <c r="S25" s="6"/>
      <c r="T25" s="156"/>
      <c r="U25" s="6"/>
    </row>
    <row r="26" spans="1:21" customFormat="1">
      <c r="A26" s="163" t="s">
        <v>256</v>
      </c>
      <c r="B26" s="100">
        <v>12.54</v>
      </c>
      <c r="C26" s="100">
        <v>20.97</v>
      </c>
      <c r="D26" s="100">
        <v>22.36</v>
      </c>
      <c r="E26" s="100">
        <v>9.15</v>
      </c>
      <c r="F26" s="152" t="s">
        <v>15</v>
      </c>
      <c r="G26" s="100">
        <v>64.63</v>
      </c>
      <c r="H26" s="100">
        <v>24.9</v>
      </c>
      <c r="I26" s="100">
        <v>11.92</v>
      </c>
      <c r="J26" s="100">
        <v>0.15</v>
      </c>
      <c r="K26" s="100">
        <v>161.47</v>
      </c>
      <c r="L26" s="100">
        <v>20.04</v>
      </c>
      <c r="M26" s="100">
        <v>88.97</v>
      </c>
      <c r="N26" s="100">
        <v>1.3</v>
      </c>
      <c r="O26" s="100">
        <v>0</v>
      </c>
      <c r="P26" s="100">
        <v>0.97</v>
      </c>
      <c r="Q26" s="100">
        <v>12.96</v>
      </c>
      <c r="R26" s="6"/>
      <c r="S26" s="6"/>
      <c r="T26" s="156"/>
      <c r="U26" s="6"/>
    </row>
    <row r="27" spans="1:21" customFormat="1">
      <c r="A27" s="163" t="s">
        <v>257</v>
      </c>
      <c r="B27" s="100">
        <v>12.47</v>
      </c>
      <c r="C27" s="100">
        <v>21.07</v>
      </c>
      <c r="D27" s="100">
        <v>22.36</v>
      </c>
      <c r="E27" s="100">
        <v>9</v>
      </c>
      <c r="F27" s="152" t="s">
        <v>15</v>
      </c>
      <c r="G27" s="100">
        <v>64.53</v>
      </c>
      <c r="H27" s="100">
        <v>24.87</v>
      </c>
      <c r="I27" s="100">
        <v>11.91</v>
      </c>
      <c r="J27" s="100">
        <v>0.15</v>
      </c>
      <c r="K27" s="100">
        <v>187.92</v>
      </c>
      <c r="L27" s="100">
        <v>20.03</v>
      </c>
      <c r="M27" s="100">
        <v>88.78</v>
      </c>
      <c r="N27" s="100">
        <v>1.2</v>
      </c>
      <c r="O27" s="100">
        <v>0</v>
      </c>
      <c r="P27" s="100">
        <v>0.96</v>
      </c>
      <c r="Q27" s="100">
        <v>12.95</v>
      </c>
      <c r="R27" s="6"/>
      <c r="S27" s="6"/>
      <c r="T27" s="156"/>
      <c r="U27" s="6"/>
    </row>
    <row r="28" spans="1:21" customFormat="1">
      <c r="A28" s="163" t="s">
        <v>258</v>
      </c>
      <c r="B28" s="100">
        <v>12.41</v>
      </c>
      <c r="C28" s="100">
        <v>21.06</v>
      </c>
      <c r="D28" s="100">
        <v>22.31</v>
      </c>
      <c r="E28" s="100">
        <v>9.2200000000000006</v>
      </c>
      <c r="F28" s="152" t="s">
        <v>15</v>
      </c>
      <c r="G28" s="100">
        <v>61.77</v>
      </c>
      <c r="H28" s="100">
        <v>23.87</v>
      </c>
      <c r="I28" s="100">
        <v>11.9</v>
      </c>
      <c r="J28" s="100">
        <v>0.14000000000000001</v>
      </c>
      <c r="K28" s="100">
        <v>205.22</v>
      </c>
      <c r="L28" s="100">
        <v>19.989999999999998</v>
      </c>
      <c r="M28" s="100">
        <v>89.53</v>
      </c>
      <c r="N28" s="100">
        <v>1.3</v>
      </c>
      <c r="O28" s="100">
        <v>0</v>
      </c>
      <c r="P28" s="100">
        <v>0.95</v>
      </c>
      <c r="Q28" s="100">
        <v>12.95</v>
      </c>
      <c r="R28" s="6"/>
      <c r="S28" s="6"/>
      <c r="T28" s="156"/>
      <c r="U28" s="6"/>
    </row>
    <row r="29" spans="1:21" customFormat="1">
      <c r="A29" s="163" t="s">
        <v>259</v>
      </c>
      <c r="B29" s="100">
        <v>12.28</v>
      </c>
      <c r="C29" s="100">
        <v>20.97</v>
      </c>
      <c r="D29" s="100">
        <v>22.15</v>
      </c>
      <c r="E29" s="100">
        <v>8.5299999999999994</v>
      </c>
      <c r="F29" s="152" t="s">
        <v>15</v>
      </c>
      <c r="G29" s="100">
        <v>61.77</v>
      </c>
      <c r="H29" s="100">
        <v>23.87</v>
      </c>
      <c r="I29" s="100">
        <v>11.9</v>
      </c>
      <c r="J29" s="100">
        <v>0.11</v>
      </c>
      <c r="K29" s="100">
        <v>215.24</v>
      </c>
      <c r="L29" s="100">
        <v>19.71</v>
      </c>
      <c r="M29" s="100">
        <v>92.08</v>
      </c>
      <c r="N29" s="100">
        <v>1.4</v>
      </c>
      <c r="O29" s="100">
        <v>0</v>
      </c>
      <c r="P29" s="100">
        <v>0.95</v>
      </c>
      <c r="Q29" s="100">
        <v>12.93</v>
      </c>
      <c r="R29" s="6"/>
      <c r="S29" s="6"/>
      <c r="T29" s="156"/>
      <c r="U29" s="6"/>
    </row>
    <row r="30" spans="1:21" customFormat="1">
      <c r="A30" s="163" t="s">
        <v>260</v>
      </c>
      <c r="B30" s="100">
        <v>12.14</v>
      </c>
      <c r="C30" s="100">
        <v>20.68</v>
      </c>
      <c r="D30" s="100">
        <v>21.89</v>
      </c>
      <c r="E30" s="100">
        <v>8.94</v>
      </c>
      <c r="F30" s="152" t="s">
        <v>15</v>
      </c>
      <c r="G30" s="100">
        <v>61.77</v>
      </c>
      <c r="H30" s="100">
        <v>23.87</v>
      </c>
      <c r="I30" s="100">
        <v>11.91</v>
      </c>
      <c r="J30" s="100">
        <v>0.12</v>
      </c>
      <c r="K30" s="100">
        <v>237.15</v>
      </c>
      <c r="L30" s="100">
        <v>19.45</v>
      </c>
      <c r="M30" s="100">
        <v>93.4</v>
      </c>
      <c r="N30" s="100">
        <v>1.4</v>
      </c>
      <c r="O30" s="100">
        <v>0</v>
      </c>
      <c r="P30" s="100">
        <v>0.94</v>
      </c>
      <c r="Q30" s="100">
        <v>12.94</v>
      </c>
      <c r="R30" s="6"/>
      <c r="S30" s="6"/>
      <c r="T30" s="156"/>
      <c r="U30" s="6"/>
    </row>
    <row r="31" spans="1:21" customFormat="1">
      <c r="A31" s="163" t="s">
        <v>261</v>
      </c>
      <c r="B31" s="100">
        <v>12.01</v>
      </c>
      <c r="C31" s="100">
        <v>20.55</v>
      </c>
      <c r="D31" s="100">
        <v>21.72</v>
      </c>
      <c r="E31" s="100">
        <v>8.92</v>
      </c>
      <c r="F31" s="152" t="s">
        <v>15</v>
      </c>
      <c r="G31" s="100">
        <v>61.83</v>
      </c>
      <c r="H31" s="100">
        <v>23.84</v>
      </c>
      <c r="I31" s="100">
        <v>11.84</v>
      </c>
      <c r="J31" s="100">
        <v>0.13</v>
      </c>
      <c r="K31" s="100">
        <v>170.2</v>
      </c>
      <c r="L31" s="100">
        <v>19.61</v>
      </c>
      <c r="M31" s="100">
        <v>91.98</v>
      </c>
      <c r="N31" s="100">
        <v>1.2</v>
      </c>
      <c r="O31" s="100">
        <v>0</v>
      </c>
      <c r="P31" s="100">
        <v>0.92</v>
      </c>
      <c r="Q31" s="100">
        <v>12.95</v>
      </c>
      <c r="R31" s="6"/>
      <c r="S31" s="6"/>
      <c r="T31" s="156"/>
      <c r="U31" s="6"/>
    </row>
    <row r="32" spans="1:21" customFormat="1">
      <c r="A32" s="163" t="s">
        <v>262</v>
      </c>
      <c r="B32" s="100">
        <v>12.03</v>
      </c>
      <c r="C32" s="100">
        <v>20.78</v>
      </c>
      <c r="D32" s="100">
        <v>21.86</v>
      </c>
      <c r="E32" s="100">
        <v>9.08</v>
      </c>
      <c r="F32" s="152" t="s">
        <v>15</v>
      </c>
      <c r="G32" s="100">
        <v>63.1</v>
      </c>
      <c r="H32" s="100">
        <v>21.56</v>
      </c>
      <c r="I32" s="100">
        <v>11.76</v>
      </c>
      <c r="J32" s="100">
        <v>0.14000000000000001</v>
      </c>
      <c r="K32" s="100">
        <v>171.15</v>
      </c>
      <c r="L32" s="100">
        <v>19.71</v>
      </c>
      <c r="M32" s="100">
        <v>91.7</v>
      </c>
      <c r="N32" s="100">
        <v>1.2</v>
      </c>
      <c r="O32" s="100">
        <v>0</v>
      </c>
      <c r="P32" s="100">
        <v>0.92</v>
      </c>
      <c r="Q32" s="100">
        <v>12.95</v>
      </c>
      <c r="R32" s="6"/>
      <c r="S32" s="6"/>
      <c r="T32" s="156"/>
      <c r="U32" s="6"/>
    </row>
    <row r="33" spans="1:21" customFormat="1">
      <c r="A33" s="163" t="s">
        <v>263</v>
      </c>
      <c r="B33" s="100">
        <v>12.05</v>
      </c>
      <c r="C33" s="100">
        <v>20.440000000000001</v>
      </c>
      <c r="D33" s="100">
        <v>21.7</v>
      </c>
      <c r="E33" s="100">
        <v>8.92</v>
      </c>
      <c r="F33" s="152" t="s">
        <v>15</v>
      </c>
      <c r="G33" s="100">
        <v>63.1</v>
      </c>
      <c r="H33" s="100">
        <v>21.56</v>
      </c>
      <c r="I33" s="100">
        <v>11.75</v>
      </c>
      <c r="J33" s="100">
        <v>0.19</v>
      </c>
      <c r="K33" s="100">
        <v>166.36</v>
      </c>
      <c r="L33" s="100">
        <v>19.79</v>
      </c>
      <c r="M33" s="100">
        <v>92.33</v>
      </c>
      <c r="N33" s="100">
        <v>1.2</v>
      </c>
      <c r="O33" s="100">
        <v>0</v>
      </c>
      <c r="P33" s="100">
        <v>0.91</v>
      </c>
      <c r="Q33" s="100">
        <v>12.94</v>
      </c>
      <c r="R33" s="6"/>
      <c r="S33" s="6"/>
      <c r="T33" s="156"/>
      <c r="U33" s="6"/>
    </row>
    <row r="34" spans="1:21" customFormat="1">
      <c r="A34" s="163" t="s">
        <v>264</v>
      </c>
      <c r="B34" s="100">
        <v>12.01</v>
      </c>
      <c r="C34" s="100">
        <v>20.420000000000002</v>
      </c>
      <c r="D34" s="100">
        <v>21.65</v>
      </c>
      <c r="E34" s="100">
        <v>8.7799999999999994</v>
      </c>
      <c r="F34" s="152" t="s">
        <v>15</v>
      </c>
      <c r="G34" s="100">
        <v>63.1</v>
      </c>
      <c r="H34" s="100">
        <v>21.56</v>
      </c>
      <c r="I34" s="100">
        <v>11.79</v>
      </c>
      <c r="J34" s="100">
        <v>0.27</v>
      </c>
      <c r="K34" s="100">
        <v>168.6</v>
      </c>
      <c r="L34" s="100">
        <v>19.68</v>
      </c>
      <c r="M34" s="100">
        <v>92.93</v>
      </c>
      <c r="N34" s="100">
        <v>1.7</v>
      </c>
      <c r="O34" s="100">
        <v>0</v>
      </c>
      <c r="P34" s="100">
        <v>0.91</v>
      </c>
      <c r="Q34" s="100">
        <v>12.96</v>
      </c>
      <c r="R34" s="6"/>
      <c r="S34" s="6"/>
      <c r="T34" s="156"/>
      <c r="U34" s="6"/>
    </row>
    <row r="35" spans="1:21" customFormat="1">
      <c r="A35" s="163" t="s">
        <v>265</v>
      </c>
      <c r="B35" s="100">
        <v>11.97</v>
      </c>
      <c r="C35" s="100">
        <v>20.329999999999998</v>
      </c>
      <c r="D35" s="100">
        <v>21.57</v>
      </c>
      <c r="E35" s="100">
        <v>8.59</v>
      </c>
      <c r="F35" s="152" t="s">
        <v>15</v>
      </c>
      <c r="G35" s="100">
        <v>62.82</v>
      </c>
      <c r="H35" s="100">
        <v>21.6</v>
      </c>
      <c r="I35" s="100">
        <v>11.8</v>
      </c>
      <c r="J35" s="100">
        <v>0.13</v>
      </c>
      <c r="K35" s="100">
        <v>193.93</v>
      </c>
      <c r="L35" s="100">
        <v>19.47</v>
      </c>
      <c r="M35" s="100">
        <v>93.56</v>
      </c>
      <c r="N35" s="100">
        <v>3.2</v>
      </c>
      <c r="O35" s="100">
        <v>0</v>
      </c>
      <c r="P35" s="100">
        <v>0.91</v>
      </c>
      <c r="Q35" s="100">
        <v>12.96</v>
      </c>
      <c r="R35" s="6"/>
      <c r="S35" s="6"/>
      <c r="T35" s="156"/>
      <c r="U35" s="6"/>
    </row>
    <row r="36" spans="1:21" customFormat="1">
      <c r="A36" s="163" t="s">
        <v>266</v>
      </c>
      <c r="B36" s="100">
        <v>12</v>
      </c>
      <c r="C36" s="100">
        <v>20.29</v>
      </c>
      <c r="D36" s="100">
        <v>21.58</v>
      </c>
      <c r="E36" s="100">
        <v>8.8699999999999992</v>
      </c>
      <c r="F36" s="152" t="s">
        <v>15</v>
      </c>
      <c r="G36" s="100">
        <v>54.8</v>
      </c>
      <c r="H36" s="100">
        <v>23.03</v>
      </c>
      <c r="I36" s="100">
        <v>11.81</v>
      </c>
      <c r="J36" s="100">
        <v>0.14000000000000001</v>
      </c>
      <c r="K36" s="100">
        <v>170.82</v>
      </c>
      <c r="L36" s="100">
        <v>19.420000000000002</v>
      </c>
      <c r="M36" s="100">
        <v>94.98</v>
      </c>
      <c r="N36" s="100">
        <v>7.6</v>
      </c>
      <c r="O36" s="100">
        <v>0</v>
      </c>
      <c r="P36" s="100">
        <v>0.92</v>
      </c>
      <c r="Q36" s="100">
        <v>12.96</v>
      </c>
      <c r="R36" s="6"/>
      <c r="S36" s="6"/>
      <c r="T36" s="156"/>
      <c r="U36" s="6"/>
    </row>
    <row r="37" spans="1:21" customFormat="1">
      <c r="A37" s="163" t="s">
        <v>267</v>
      </c>
      <c r="B37" s="100">
        <v>12.04</v>
      </c>
      <c r="C37" s="100">
        <v>20.010000000000002</v>
      </c>
      <c r="D37" s="100">
        <v>21.46</v>
      </c>
      <c r="E37" s="100">
        <v>8.73</v>
      </c>
      <c r="F37" s="152" t="s">
        <v>15</v>
      </c>
      <c r="G37" s="100">
        <v>54.8</v>
      </c>
      <c r="H37" s="100">
        <v>23.03</v>
      </c>
      <c r="I37" s="100">
        <v>11.88</v>
      </c>
      <c r="J37" s="100">
        <v>0.25</v>
      </c>
      <c r="K37" s="100">
        <v>171.87</v>
      </c>
      <c r="L37" s="100">
        <v>19.649999999999999</v>
      </c>
      <c r="M37" s="100">
        <v>94.23</v>
      </c>
      <c r="N37" s="100">
        <v>14.9</v>
      </c>
      <c r="O37" s="100">
        <v>0</v>
      </c>
      <c r="P37" s="100">
        <v>0.91</v>
      </c>
      <c r="Q37" s="100">
        <v>12.95</v>
      </c>
      <c r="R37" s="6"/>
      <c r="S37" s="6"/>
      <c r="T37" s="156"/>
      <c r="U37" s="6"/>
    </row>
    <row r="38" spans="1:21" customFormat="1">
      <c r="A38" s="163" t="s">
        <v>268</v>
      </c>
      <c r="B38" s="100">
        <v>12.07</v>
      </c>
      <c r="C38" s="100">
        <v>20</v>
      </c>
      <c r="D38" s="100">
        <v>21.48</v>
      </c>
      <c r="E38" s="100">
        <v>8.58</v>
      </c>
      <c r="F38" s="152" t="s">
        <v>15</v>
      </c>
      <c r="G38" s="100">
        <v>54.8</v>
      </c>
      <c r="H38" s="100">
        <v>23.03</v>
      </c>
      <c r="I38" s="100">
        <v>11.96</v>
      </c>
      <c r="J38" s="100">
        <v>0.17</v>
      </c>
      <c r="K38" s="100">
        <v>162.24</v>
      </c>
      <c r="L38" s="100">
        <v>19.82</v>
      </c>
      <c r="M38" s="100">
        <v>92.36</v>
      </c>
      <c r="N38" s="100">
        <v>24.8</v>
      </c>
      <c r="O38" s="100">
        <v>0</v>
      </c>
      <c r="P38" s="100">
        <v>0.92</v>
      </c>
      <c r="Q38" s="100">
        <v>12.95</v>
      </c>
      <c r="R38" s="6"/>
      <c r="S38" s="6"/>
      <c r="T38" s="156"/>
      <c r="U38" s="6"/>
    </row>
    <row r="39" spans="1:21" customFormat="1">
      <c r="A39" s="163" t="s">
        <v>269</v>
      </c>
      <c r="B39" s="100">
        <v>12.04</v>
      </c>
      <c r="C39" s="100">
        <v>20.16</v>
      </c>
      <c r="D39" s="100">
        <v>21.54</v>
      </c>
      <c r="E39" s="100">
        <v>8.8000000000000007</v>
      </c>
      <c r="F39" s="152" t="s">
        <v>15</v>
      </c>
      <c r="G39" s="100">
        <v>54.93</v>
      </c>
      <c r="H39" s="100">
        <v>23.03</v>
      </c>
      <c r="I39" s="100">
        <v>12.08</v>
      </c>
      <c r="J39" s="100">
        <v>0.23</v>
      </c>
      <c r="K39" s="100">
        <v>156.34</v>
      </c>
      <c r="L39" s="100">
        <v>20.57</v>
      </c>
      <c r="M39" s="100">
        <v>89.59</v>
      </c>
      <c r="N39" s="100">
        <v>34.799999999999997</v>
      </c>
      <c r="O39" s="100">
        <v>0</v>
      </c>
      <c r="P39" s="100">
        <v>0.94</v>
      </c>
      <c r="Q39" s="100">
        <v>12.94</v>
      </c>
      <c r="R39" s="6"/>
      <c r="S39" s="6"/>
      <c r="T39" s="156"/>
      <c r="U39" s="6"/>
    </row>
    <row r="40" spans="1:21" customFormat="1">
      <c r="A40" s="163" t="s">
        <v>270</v>
      </c>
      <c r="B40" s="100">
        <v>11.95</v>
      </c>
      <c r="C40" s="100">
        <v>20.25</v>
      </c>
      <c r="D40" s="100">
        <v>21.51</v>
      </c>
      <c r="E40" s="100">
        <v>9.07</v>
      </c>
      <c r="F40" s="152" t="s">
        <v>15</v>
      </c>
      <c r="G40" s="100">
        <v>57.75</v>
      </c>
      <c r="H40" s="100">
        <v>23.27</v>
      </c>
      <c r="I40" s="100">
        <v>12.22</v>
      </c>
      <c r="J40" s="100">
        <v>0.2</v>
      </c>
      <c r="K40" s="100">
        <v>155.58000000000001</v>
      </c>
      <c r="L40" s="100">
        <v>21.49</v>
      </c>
      <c r="M40" s="100">
        <v>86</v>
      </c>
      <c r="N40" s="100">
        <v>44</v>
      </c>
      <c r="O40" s="100">
        <v>0</v>
      </c>
      <c r="P40" s="100">
        <v>0.94</v>
      </c>
      <c r="Q40" s="100">
        <v>12.94</v>
      </c>
      <c r="R40" s="6"/>
      <c r="S40" s="6"/>
      <c r="T40" s="156"/>
      <c r="U40" s="6"/>
    </row>
    <row r="41" spans="1:21" customFormat="1">
      <c r="A41" s="163" t="s">
        <v>271</v>
      </c>
      <c r="B41" s="100">
        <v>11.81</v>
      </c>
      <c r="C41" s="100">
        <v>22.1</v>
      </c>
      <c r="D41" s="100">
        <v>22.37</v>
      </c>
      <c r="E41" s="100">
        <v>9.2200000000000006</v>
      </c>
      <c r="F41" s="152" t="s">
        <v>15</v>
      </c>
      <c r="G41" s="100">
        <v>57.75</v>
      </c>
      <c r="H41" s="100">
        <v>23.27</v>
      </c>
      <c r="I41" s="100">
        <v>12.45</v>
      </c>
      <c r="J41" s="100">
        <v>0.22</v>
      </c>
      <c r="K41" s="100">
        <v>253.18</v>
      </c>
      <c r="L41" s="100">
        <v>22.23</v>
      </c>
      <c r="M41" s="100">
        <v>82.13</v>
      </c>
      <c r="N41" s="100">
        <v>70</v>
      </c>
      <c r="O41" s="100">
        <v>0</v>
      </c>
      <c r="P41" s="100">
        <v>0.95</v>
      </c>
      <c r="Q41" s="100">
        <v>12.94</v>
      </c>
      <c r="R41" s="6"/>
      <c r="S41" s="6"/>
      <c r="T41" s="156"/>
      <c r="U41" s="6"/>
    </row>
    <row r="42" spans="1:21" customFormat="1">
      <c r="A42" s="163" t="s">
        <v>272</v>
      </c>
      <c r="B42" s="100">
        <v>11.99</v>
      </c>
      <c r="C42" s="100">
        <v>22.67</v>
      </c>
      <c r="D42" s="100">
        <v>22.81</v>
      </c>
      <c r="E42" s="100">
        <v>8.7100000000000009</v>
      </c>
      <c r="F42" s="152" t="s">
        <v>15</v>
      </c>
      <c r="G42" s="100">
        <v>57.75</v>
      </c>
      <c r="H42" s="100">
        <v>23.27</v>
      </c>
      <c r="I42" s="100">
        <v>12.55</v>
      </c>
      <c r="J42" s="100">
        <v>0.32</v>
      </c>
      <c r="K42" s="100">
        <v>262.69</v>
      </c>
      <c r="L42" s="100">
        <v>23</v>
      </c>
      <c r="M42" s="100">
        <v>78.48</v>
      </c>
      <c r="N42" s="100">
        <v>125.9</v>
      </c>
      <c r="O42" s="100">
        <v>0</v>
      </c>
      <c r="P42" s="100">
        <v>0.93</v>
      </c>
      <c r="Q42" s="100">
        <v>12.96</v>
      </c>
      <c r="R42" s="6"/>
      <c r="S42" s="6"/>
      <c r="T42" s="156"/>
      <c r="U42" s="6"/>
    </row>
    <row r="43" spans="1:21" customFormat="1">
      <c r="A43" s="163" t="s">
        <v>273</v>
      </c>
      <c r="B43" s="100">
        <v>12.11</v>
      </c>
      <c r="C43" s="100">
        <v>22.8</v>
      </c>
      <c r="D43" s="100">
        <v>22.97</v>
      </c>
      <c r="E43" s="100">
        <v>9.11</v>
      </c>
      <c r="F43" s="152" t="s">
        <v>15</v>
      </c>
      <c r="G43" s="100">
        <v>57.82</v>
      </c>
      <c r="H43" s="100">
        <v>23.29</v>
      </c>
      <c r="I43" s="100">
        <v>12.58</v>
      </c>
      <c r="J43" s="100">
        <v>0.23</v>
      </c>
      <c r="K43" s="100">
        <v>266.52</v>
      </c>
      <c r="L43" s="100">
        <v>23.82</v>
      </c>
      <c r="M43" s="100">
        <v>75.19</v>
      </c>
      <c r="N43" s="100">
        <v>156.1</v>
      </c>
      <c r="O43" s="100">
        <v>0</v>
      </c>
      <c r="P43" s="100">
        <v>0.92</v>
      </c>
      <c r="Q43" s="100">
        <v>12.96</v>
      </c>
      <c r="R43" s="6"/>
      <c r="S43" s="6"/>
      <c r="T43" s="156"/>
      <c r="U43" s="6"/>
    </row>
    <row r="44" spans="1:21" customFormat="1">
      <c r="A44" s="163" t="s">
        <v>274</v>
      </c>
      <c r="B44" s="100">
        <v>12.14</v>
      </c>
      <c r="C44" s="100">
        <v>23.27</v>
      </c>
      <c r="D44" s="100">
        <v>23.24</v>
      </c>
      <c r="E44" s="100">
        <v>9.56</v>
      </c>
      <c r="F44" s="152" t="s">
        <v>15</v>
      </c>
      <c r="G44" s="100">
        <v>59.33</v>
      </c>
      <c r="H44" s="100">
        <v>24.08</v>
      </c>
      <c r="I44" s="100">
        <v>12.55</v>
      </c>
      <c r="J44" s="100">
        <v>7.0000000000000007E-2</v>
      </c>
      <c r="K44" s="100">
        <v>216.31</v>
      </c>
      <c r="L44" s="100">
        <v>24.9</v>
      </c>
      <c r="M44" s="100">
        <v>70.599999999999994</v>
      </c>
      <c r="N44" s="100">
        <v>166.3</v>
      </c>
      <c r="O44" s="100">
        <v>0</v>
      </c>
      <c r="P44" s="100">
        <v>0.92</v>
      </c>
      <c r="Q44" s="100">
        <v>12.95</v>
      </c>
      <c r="R44" s="6"/>
      <c r="S44" s="6"/>
      <c r="T44" s="156"/>
      <c r="U44" s="6"/>
    </row>
    <row r="45" spans="1:21" customFormat="1">
      <c r="A45" s="163" t="s">
        <v>275</v>
      </c>
      <c r="B45" s="100">
        <v>12.02</v>
      </c>
      <c r="C45" s="100">
        <v>22.83</v>
      </c>
      <c r="D45" s="100">
        <v>22.91</v>
      </c>
      <c r="E45" s="100">
        <v>9.43</v>
      </c>
      <c r="F45" s="152" t="s">
        <v>15</v>
      </c>
      <c r="G45" s="100">
        <v>59.33</v>
      </c>
      <c r="H45" s="100">
        <v>24.08</v>
      </c>
      <c r="I45" s="100">
        <v>12.51</v>
      </c>
      <c r="J45" s="100">
        <v>0.2</v>
      </c>
      <c r="K45" s="100">
        <v>264.85000000000002</v>
      </c>
      <c r="L45" s="100">
        <v>25.72</v>
      </c>
      <c r="M45" s="100">
        <v>66.959999999999994</v>
      </c>
      <c r="N45" s="100">
        <v>196.9</v>
      </c>
      <c r="O45" s="100">
        <v>0</v>
      </c>
      <c r="P45" s="100">
        <v>0.92</v>
      </c>
      <c r="Q45" s="100">
        <v>12.94</v>
      </c>
      <c r="R45" s="6"/>
      <c r="S45" s="6"/>
      <c r="T45" s="156"/>
      <c r="U45" s="6"/>
    </row>
    <row r="46" spans="1:21" customFormat="1">
      <c r="A46" s="163" t="s">
        <v>276</v>
      </c>
      <c r="B46" s="100">
        <v>11.8</v>
      </c>
      <c r="C46" s="100">
        <v>21.61</v>
      </c>
      <c r="D46" s="100">
        <v>22.1</v>
      </c>
      <c r="E46" s="100">
        <v>9.6</v>
      </c>
      <c r="F46" s="152" t="s">
        <v>15</v>
      </c>
      <c r="G46" s="100">
        <v>59.33</v>
      </c>
      <c r="H46" s="100">
        <v>24.08</v>
      </c>
      <c r="I46" s="100">
        <v>12.48</v>
      </c>
      <c r="J46" s="100">
        <v>0.24</v>
      </c>
      <c r="K46" s="100">
        <v>264.36</v>
      </c>
      <c r="L46" s="100">
        <v>26.4</v>
      </c>
      <c r="M46" s="100">
        <v>63.4</v>
      </c>
      <c r="N46" s="100">
        <v>236.3</v>
      </c>
      <c r="O46" s="100">
        <v>0</v>
      </c>
      <c r="P46" s="100">
        <v>0.91</v>
      </c>
      <c r="Q46" s="100">
        <v>12.94</v>
      </c>
      <c r="R46" s="6"/>
      <c r="S46" s="6"/>
      <c r="T46" s="156"/>
      <c r="U46" s="6"/>
    </row>
    <row r="47" spans="1:21" customFormat="1">
      <c r="A47" s="163" t="s">
        <v>277</v>
      </c>
      <c r="B47" s="100">
        <v>11.41</v>
      </c>
      <c r="C47" s="100">
        <v>23.13</v>
      </c>
      <c r="D47" s="100">
        <v>22.59</v>
      </c>
      <c r="E47" s="100">
        <v>9.81</v>
      </c>
      <c r="F47" s="152" t="s">
        <v>15</v>
      </c>
      <c r="G47" s="100">
        <v>59.24</v>
      </c>
      <c r="H47" s="100">
        <v>24.14</v>
      </c>
      <c r="I47" s="100">
        <v>12.37</v>
      </c>
      <c r="J47" s="100">
        <v>0.28999999999999998</v>
      </c>
      <c r="K47" s="100">
        <v>260.49</v>
      </c>
      <c r="L47" s="100">
        <v>27.49</v>
      </c>
      <c r="M47" s="100">
        <v>59.21</v>
      </c>
      <c r="N47" s="100">
        <v>256.39999999999998</v>
      </c>
      <c r="O47" s="100">
        <v>0</v>
      </c>
      <c r="P47" s="100">
        <v>0.9</v>
      </c>
      <c r="Q47" s="100">
        <v>12.95</v>
      </c>
      <c r="R47" s="6"/>
      <c r="S47" s="6"/>
      <c r="T47" s="156"/>
      <c r="U47" s="6"/>
    </row>
    <row r="48" spans="1:21" customFormat="1">
      <c r="A48" s="163" t="s">
        <v>278</v>
      </c>
      <c r="B48" s="100">
        <v>11</v>
      </c>
      <c r="C48" s="100">
        <v>20.28</v>
      </c>
      <c r="D48" s="100">
        <v>20.77</v>
      </c>
      <c r="E48" s="100">
        <v>9.6999999999999993</v>
      </c>
      <c r="F48" s="152" t="s">
        <v>15</v>
      </c>
      <c r="G48" s="100">
        <v>56.68</v>
      </c>
      <c r="H48" s="100">
        <v>25.84</v>
      </c>
      <c r="I48" s="100">
        <v>12.22</v>
      </c>
      <c r="J48" s="100">
        <v>0.38</v>
      </c>
      <c r="K48" s="100">
        <v>255.73</v>
      </c>
      <c r="L48" s="100">
        <v>27.96</v>
      </c>
      <c r="M48" s="100">
        <v>56.87</v>
      </c>
      <c r="N48" s="100">
        <v>269</v>
      </c>
      <c r="O48" s="100">
        <v>0</v>
      </c>
      <c r="P48" s="100">
        <v>0.88</v>
      </c>
      <c r="Q48" s="100">
        <v>12.96</v>
      </c>
      <c r="R48" s="6"/>
      <c r="S48" s="6"/>
      <c r="T48" s="156"/>
      <c r="U48" s="6"/>
    </row>
    <row r="49" spans="1:21" customFormat="1">
      <c r="A49" s="163" t="s">
        <v>279</v>
      </c>
      <c r="B49" s="100">
        <v>10.42</v>
      </c>
      <c r="C49" s="100">
        <v>22.96</v>
      </c>
      <c r="D49" s="100">
        <v>21.71</v>
      </c>
      <c r="E49" s="100">
        <v>9.56</v>
      </c>
      <c r="F49" s="152" t="s">
        <v>15</v>
      </c>
      <c r="G49" s="100">
        <v>56.68</v>
      </c>
      <c r="H49" s="100">
        <v>25.84</v>
      </c>
      <c r="I49" s="100">
        <v>12.04</v>
      </c>
      <c r="J49" s="100">
        <v>0.32</v>
      </c>
      <c r="K49" s="100">
        <v>254.31</v>
      </c>
      <c r="L49" s="100">
        <v>28.53</v>
      </c>
      <c r="M49" s="100">
        <v>54.2</v>
      </c>
      <c r="N49" s="100">
        <v>232.2</v>
      </c>
      <c r="O49" s="100">
        <v>0</v>
      </c>
      <c r="P49" s="100">
        <v>0.87</v>
      </c>
      <c r="Q49" s="100">
        <v>12.95</v>
      </c>
      <c r="R49" s="6"/>
      <c r="S49" s="6"/>
      <c r="T49" s="156"/>
      <c r="U49" s="6"/>
    </row>
    <row r="50" spans="1:21" customFormat="1">
      <c r="A50" s="163" t="s">
        <v>280</v>
      </c>
      <c r="B50" s="100">
        <v>9.85</v>
      </c>
      <c r="C50" s="100">
        <v>19.79</v>
      </c>
      <c r="D50" s="100">
        <v>19.59</v>
      </c>
      <c r="E50" s="100">
        <v>10.82</v>
      </c>
      <c r="F50" s="152" t="s">
        <v>15</v>
      </c>
      <c r="G50" s="100">
        <v>56.68</v>
      </c>
      <c r="H50" s="100">
        <v>25.84</v>
      </c>
      <c r="I50" s="100">
        <v>11.88</v>
      </c>
      <c r="J50" s="100">
        <v>0.1</v>
      </c>
      <c r="K50" s="100">
        <v>192.06</v>
      </c>
      <c r="L50" s="100">
        <v>29.47</v>
      </c>
      <c r="M50" s="100">
        <v>50.68</v>
      </c>
      <c r="N50" s="100">
        <v>302.3</v>
      </c>
      <c r="O50" s="100">
        <v>0</v>
      </c>
      <c r="P50" s="100">
        <v>0.85</v>
      </c>
      <c r="Q50" s="100">
        <v>12.95</v>
      </c>
      <c r="R50" s="6"/>
      <c r="S50" s="6"/>
      <c r="T50" s="156"/>
      <c r="U50" s="6"/>
    </row>
    <row r="51" spans="1:21" customFormat="1">
      <c r="A51" s="163" t="s">
        <v>281</v>
      </c>
      <c r="B51" s="100">
        <v>9.24</v>
      </c>
      <c r="C51" s="100">
        <v>19.489999999999998</v>
      </c>
      <c r="D51" s="100">
        <v>18.940000000000001</v>
      </c>
      <c r="E51" s="100">
        <v>10.93</v>
      </c>
      <c r="F51" s="152" t="s">
        <v>15</v>
      </c>
      <c r="G51" s="100">
        <v>56.23</v>
      </c>
      <c r="H51" s="100">
        <v>25.69</v>
      </c>
      <c r="I51" s="100">
        <v>11.7</v>
      </c>
      <c r="J51" s="100">
        <v>0.15</v>
      </c>
      <c r="K51" s="100">
        <v>229.59</v>
      </c>
      <c r="L51" s="100">
        <v>30.4</v>
      </c>
      <c r="M51" s="100">
        <v>45.86</v>
      </c>
      <c r="N51" s="100">
        <v>320.5</v>
      </c>
      <c r="O51" s="100">
        <v>0</v>
      </c>
      <c r="P51" s="100">
        <v>0.83</v>
      </c>
      <c r="Q51" s="100">
        <v>12.94</v>
      </c>
      <c r="R51" s="6"/>
      <c r="S51" s="6"/>
      <c r="T51" s="156"/>
      <c r="U51" s="6"/>
    </row>
    <row r="52" spans="1:21" customFormat="1">
      <c r="A52" s="163" t="s">
        <v>282</v>
      </c>
      <c r="B52" s="100">
        <v>8.6999999999999993</v>
      </c>
      <c r="C52" s="100">
        <v>21.96</v>
      </c>
      <c r="D52" s="100">
        <v>19.8</v>
      </c>
      <c r="E52" s="100">
        <v>10.62</v>
      </c>
      <c r="F52" s="152" t="s">
        <v>15</v>
      </c>
      <c r="G52" s="100">
        <v>46.69</v>
      </c>
      <c r="H52" s="100">
        <v>20.73</v>
      </c>
      <c r="I52" s="100">
        <v>11.45</v>
      </c>
      <c r="J52" s="100">
        <v>0.1</v>
      </c>
      <c r="K52" s="100">
        <v>255.93</v>
      </c>
      <c r="L52" s="100">
        <v>30.86</v>
      </c>
      <c r="M52" s="100">
        <v>42.89</v>
      </c>
      <c r="N52" s="100">
        <v>329.3</v>
      </c>
      <c r="O52" s="100">
        <v>0</v>
      </c>
      <c r="P52" s="100">
        <v>0.83</v>
      </c>
      <c r="Q52" s="100">
        <v>12.96</v>
      </c>
      <c r="R52" s="6"/>
      <c r="S52" s="6"/>
      <c r="T52" s="156"/>
      <c r="U52" s="6"/>
    </row>
    <row r="53" spans="1:21" customFormat="1">
      <c r="A53" s="163" t="s">
        <v>283</v>
      </c>
      <c r="B53" s="100">
        <v>8.15</v>
      </c>
      <c r="C53" s="100">
        <v>20.2</v>
      </c>
      <c r="D53" s="100">
        <v>18.440000000000001</v>
      </c>
      <c r="E53" s="100">
        <v>11</v>
      </c>
      <c r="F53" s="152" t="s">
        <v>15</v>
      </c>
      <c r="G53" s="100">
        <v>46.69</v>
      </c>
      <c r="H53" s="100">
        <v>20.73</v>
      </c>
      <c r="I53" s="100">
        <v>11.31</v>
      </c>
      <c r="J53" s="100">
        <v>0.44</v>
      </c>
      <c r="K53" s="100">
        <v>278.3</v>
      </c>
      <c r="L53" s="100">
        <v>31.19</v>
      </c>
      <c r="M53" s="100">
        <v>40.340000000000003</v>
      </c>
      <c r="N53" s="100">
        <v>333.5</v>
      </c>
      <c r="O53" s="100">
        <v>0</v>
      </c>
      <c r="P53" s="100">
        <v>0.8</v>
      </c>
      <c r="Q53" s="100">
        <v>12.95</v>
      </c>
      <c r="R53" s="6"/>
      <c r="S53" s="6"/>
      <c r="T53" s="156"/>
      <c r="U53" s="6"/>
    </row>
    <row r="54" spans="1:21" customFormat="1">
      <c r="A54" s="163" t="s">
        <v>284</v>
      </c>
      <c r="B54" s="100">
        <v>7.58</v>
      </c>
      <c r="C54" s="100">
        <v>18.34</v>
      </c>
      <c r="D54" s="100">
        <v>17.02</v>
      </c>
      <c r="E54" s="100">
        <v>10.82</v>
      </c>
      <c r="F54" s="152" t="s">
        <v>15</v>
      </c>
      <c r="G54" s="100">
        <v>46.69</v>
      </c>
      <c r="H54" s="100">
        <v>20.73</v>
      </c>
      <c r="I54" s="100">
        <v>11.09</v>
      </c>
      <c r="J54" s="100">
        <v>0.25</v>
      </c>
      <c r="K54" s="100">
        <v>212.02</v>
      </c>
      <c r="L54" s="100">
        <v>31.96</v>
      </c>
      <c r="M54" s="100">
        <v>37.69</v>
      </c>
      <c r="N54" s="100">
        <v>306.10000000000002</v>
      </c>
      <c r="O54" s="100">
        <v>0</v>
      </c>
      <c r="P54" s="100">
        <v>0.77</v>
      </c>
      <c r="Q54" s="100">
        <v>12.93</v>
      </c>
      <c r="R54" s="6"/>
      <c r="S54" s="6"/>
      <c r="T54" s="156"/>
      <c r="U54" s="6"/>
    </row>
    <row r="55" spans="1:21" customFormat="1">
      <c r="A55" s="163" t="s">
        <v>285</v>
      </c>
      <c r="B55" s="100">
        <v>7.05</v>
      </c>
      <c r="C55" s="100">
        <v>17.059999999999999</v>
      </c>
      <c r="D55" s="100">
        <v>15.92</v>
      </c>
      <c r="E55" s="100">
        <v>10.76</v>
      </c>
      <c r="F55" s="152" t="s">
        <v>15</v>
      </c>
      <c r="G55" s="100">
        <v>46.63</v>
      </c>
      <c r="H55" s="100">
        <v>20.74</v>
      </c>
      <c r="I55" s="100">
        <v>10.67</v>
      </c>
      <c r="J55" s="100">
        <v>0.41</v>
      </c>
      <c r="K55" s="100">
        <v>265.12</v>
      </c>
      <c r="L55" s="100">
        <v>31.92</v>
      </c>
      <c r="M55" s="100">
        <v>36.21</v>
      </c>
      <c r="N55" s="100">
        <v>320.3</v>
      </c>
      <c r="O55" s="100">
        <v>0</v>
      </c>
      <c r="P55" s="100">
        <v>0.73</v>
      </c>
      <c r="Q55" s="100">
        <v>12.94</v>
      </c>
      <c r="R55" s="6"/>
      <c r="S55" s="6"/>
      <c r="T55" s="156"/>
      <c r="U55" s="6"/>
    </row>
    <row r="56" spans="1:21" customFormat="1">
      <c r="A56" s="163" t="s">
        <v>286</v>
      </c>
      <c r="B56" s="100">
        <v>6.57</v>
      </c>
      <c r="C56" s="100">
        <v>19.11</v>
      </c>
      <c r="D56" s="100">
        <v>16.600000000000001</v>
      </c>
      <c r="E56" s="100">
        <v>10.75</v>
      </c>
      <c r="F56" s="152" t="s">
        <v>15</v>
      </c>
      <c r="G56" s="100">
        <v>45.38</v>
      </c>
      <c r="H56" s="100">
        <v>21.07</v>
      </c>
      <c r="I56" s="100">
        <v>10.41</v>
      </c>
      <c r="J56" s="100">
        <v>0.49</v>
      </c>
      <c r="K56" s="100">
        <v>283.13</v>
      </c>
      <c r="L56" s="100">
        <v>32.25</v>
      </c>
      <c r="M56" s="100">
        <v>36.020000000000003</v>
      </c>
      <c r="N56" s="100">
        <v>351.7</v>
      </c>
      <c r="O56" s="100">
        <v>0</v>
      </c>
      <c r="P56" s="100">
        <v>0.73</v>
      </c>
      <c r="Q56" s="100">
        <v>12.92</v>
      </c>
      <c r="R56" s="6"/>
      <c r="S56" s="6"/>
      <c r="T56" s="156"/>
      <c r="U56" s="6"/>
    </row>
    <row r="57" spans="1:21" customFormat="1">
      <c r="A57" s="163" t="s">
        <v>287</v>
      </c>
      <c r="B57" s="100">
        <v>6.24</v>
      </c>
      <c r="C57" s="100">
        <v>20.329999999999998</v>
      </c>
      <c r="D57" s="100">
        <v>16.98</v>
      </c>
      <c r="E57" s="100">
        <v>10.47</v>
      </c>
      <c r="F57" s="152" t="s">
        <v>15</v>
      </c>
      <c r="G57" s="100">
        <v>45.38</v>
      </c>
      <c r="H57" s="100">
        <v>21.07</v>
      </c>
      <c r="I57" s="100">
        <v>9.9499999999999993</v>
      </c>
      <c r="J57" s="100">
        <v>0.41</v>
      </c>
      <c r="K57" s="100">
        <v>263.29000000000002</v>
      </c>
      <c r="L57" s="100">
        <v>32.64</v>
      </c>
      <c r="M57" s="100">
        <v>35.299999999999997</v>
      </c>
      <c r="N57" s="100">
        <v>360.9</v>
      </c>
      <c r="O57" s="100">
        <v>0</v>
      </c>
      <c r="P57" s="100">
        <v>0.73</v>
      </c>
      <c r="Q57" s="100">
        <v>12.92</v>
      </c>
      <c r="R57" s="6"/>
      <c r="S57" s="6"/>
      <c r="T57" s="156"/>
      <c r="U57" s="6"/>
    </row>
    <row r="58" spans="1:21" customFormat="1">
      <c r="A58" s="163" t="s">
        <v>288</v>
      </c>
      <c r="B58" s="100">
        <v>5.94</v>
      </c>
      <c r="C58" s="100">
        <v>18.55</v>
      </c>
      <c r="D58" s="100">
        <v>15.81</v>
      </c>
      <c r="E58" s="100">
        <v>10.67</v>
      </c>
      <c r="F58" s="152" t="s">
        <v>15</v>
      </c>
      <c r="G58" s="100">
        <v>45.38</v>
      </c>
      <c r="H58" s="100">
        <v>21.07</v>
      </c>
      <c r="I58" s="100">
        <v>9.82</v>
      </c>
      <c r="J58" s="100">
        <v>0.25</v>
      </c>
      <c r="K58" s="100">
        <v>241.95</v>
      </c>
      <c r="L58" s="100">
        <v>33.26</v>
      </c>
      <c r="M58" s="100">
        <v>34.479999999999997</v>
      </c>
      <c r="N58" s="100">
        <v>358.9</v>
      </c>
      <c r="O58" s="100">
        <v>0</v>
      </c>
      <c r="P58" s="100">
        <v>0.71</v>
      </c>
      <c r="Q58" s="100">
        <v>12.92</v>
      </c>
      <c r="R58" s="6"/>
      <c r="S58" s="6"/>
      <c r="T58" s="156"/>
      <c r="U58" s="6"/>
    </row>
    <row r="59" spans="1:21" customFormat="1">
      <c r="A59" s="163" t="s">
        <v>289</v>
      </c>
      <c r="B59" s="100">
        <v>5.67</v>
      </c>
      <c r="C59" s="100">
        <v>17.38</v>
      </c>
      <c r="D59" s="100">
        <v>14.98</v>
      </c>
      <c r="E59" s="100">
        <v>10.53</v>
      </c>
      <c r="F59" s="152" t="s">
        <v>15</v>
      </c>
      <c r="G59" s="100">
        <v>45.26</v>
      </c>
      <c r="H59" s="100">
        <v>21.09</v>
      </c>
      <c r="I59" s="100">
        <v>9.6999999999999993</v>
      </c>
      <c r="J59" s="100">
        <v>0.51</v>
      </c>
      <c r="K59" s="100">
        <v>254.49</v>
      </c>
      <c r="L59" s="100">
        <v>32.950000000000003</v>
      </c>
      <c r="M59" s="100">
        <v>34.82</v>
      </c>
      <c r="N59" s="100">
        <v>358.3</v>
      </c>
      <c r="O59" s="100">
        <v>0</v>
      </c>
      <c r="P59" s="100">
        <v>0.68</v>
      </c>
      <c r="Q59" s="100">
        <v>12.92</v>
      </c>
      <c r="R59" s="6"/>
      <c r="S59" s="6"/>
      <c r="T59" s="156"/>
      <c r="U59" s="6"/>
    </row>
    <row r="60" spans="1:21" customFormat="1">
      <c r="A60" s="163" t="s">
        <v>290</v>
      </c>
      <c r="B60" s="100">
        <v>5.38</v>
      </c>
      <c r="C60" s="100">
        <v>16.8</v>
      </c>
      <c r="D60" s="100">
        <v>14.44</v>
      </c>
      <c r="E60" s="100">
        <v>10.78</v>
      </c>
      <c r="F60" s="152" t="s">
        <v>15</v>
      </c>
      <c r="G60" s="100">
        <v>42.72</v>
      </c>
      <c r="H60" s="100">
        <v>21.73</v>
      </c>
      <c r="I60" s="100">
        <v>9.51</v>
      </c>
      <c r="J60" s="100">
        <v>0.86</v>
      </c>
      <c r="K60" s="100">
        <v>264.3</v>
      </c>
      <c r="L60" s="100">
        <v>32.76</v>
      </c>
      <c r="M60" s="100">
        <v>32.65</v>
      </c>
      <c r="N60" s="100">
        <v>367.2</v>
      </c>
      <c r="O60" s="100">
        <v>0</v>
      </c>
      <c r="P60" s="100">
        <v>0.65</v>
      </c>
      <c r="Q60" s="100">
        <v>12.93</v>
      </c>
      <c r="R60" s="6"/>
      <c r="S60" s="6"/>
      <c r="T60" s="156"/>
      <c r="U60" s="6"/>
    </row>
    <row r="61" spans="1:21" customFormat="1">
      <c r="A61" s="163" t="s">
        <v>291</v>
      </c>
      <c r="B61" s="100">
        <v>4.97</v>
      </c>
      <c r="C61" s="100">
        <v>16.510000000000002</v>
      </c>
      <c r="D61" s="100">
        <v>13.96</v>
      </c>
      <c r="E61" s="100">
        <v>10.09</v>
      </c>
      <c r="F61" s="152" t="s">
        <v>15</v>
      </c>
      <c r="G61" s="100">
        <v>42.72</v>
      </c>
      <c r="H61" s="100">
        <v>21.73</v>
      </c>
      <c r="I61" s="100">
        <v>9.15</v>
      </c>
      <c r="J61" s="100">
        <v>0.54</v>
      </c>
      <c r="K61" s="100">
        <v>267.13</v>
      </c>
      <c r="L61" s="100">
        <v>33.159999999999997</v>
      </c>
      <c r="M61" s="100">
        <v>31.4</v>
      </c>
      <c r="N61" s="100">
        <v>355.5</v>
      </c>
      <c r="O61" s="100">
        <v>0</v>
      </c>
      <c r="P61" s="100">
        <v>0.66</v>
      </c>
      <c r="Q61" s="100">
        <v>12.93</v>
      </c>
      <c r="R61" s="6"/>
      <c r="S61" s="6"/>
      <c r="T61" s="156"/>
      <c r="U61" s="6"/>
    </row>
    <row r="62" spans="1:21" customFormat="1">
      <c r="A62" s="163" t="s">
        <v>292</v>
      </c>
      <c r="B62" s="100">
        <v>4.62</v>
      </c>
      <c r="C62" s="100">
        <v>17.09</v>
      </c>
      <c r="D62" s="100">
        <v>13.98</v>
      </c>
      <c r="E62" s="100">
        <v>9.9</v>
      </c>
      <c r="F62" s="152" t="s">
        <v>15</v>
      </c>
      <c r="G62" s="100">
        <v>42.72</v>
      </c>
      <c r="H62" s="100">
        <v>21.73</v>
      </c>
      <c r="I62" s="100">
        <v>8.93</v>
      </c>
      <c r="J62" s="100">
        <v>0.68</v>
      </c>
      <c r="K62" s="100">
        <v>263.16000000000003</v>
      </c>
      <c r="L62" s="100">
        <v>33.159999999999997</v>
      </c>
      <c r="M62" s="100">
        <v>31.41</v>
      </c>
      <c r="N62" s="100">
        <v>338.5</v>
      </c>
      <c r="O62" s="100">
        <v>0</v>
      </c>
      <c r="P62" s="100">
        <v>0.65</v>
      </c>
      <c r="Q62" s="100">
        <v>12.92</v>
      </c>
      <c r="R62" s="6"/>
      <c r="S62" s="6"/>
      <c r="T62" s="156"/>
      <c r="U62" s="6"/>
    </row>
    <row r="63" spans="1:21" customFormat="1">
      <c r="A63" s="163" t="s">
        <v>293</v>
      </c>
      <c r="B63" s="100">
        <v>4.41</v>
      </c>
      <c r="C63" s="100">
        <v>17.43</v>
      </c>
      <c r="D63" s="100">
        <v>14</v>
      </c>
      <c r="E63" s="100">
        <v>9.39</v>
      </c>
      <c r="F63" s="152" t="s">
        <v>15</v>
      </c>
      <c r="G63" s="100">
        <v>42.59</v>
      </c>
      <c r="H63" s="100">
        <v>21.63</v>
      </c>
      <c r="I63" s="100">
        <v>8.68</v>
      </c>
      <c r="J63" s="100">
        <v>0.7</v>
      </c>
      <c r="K63" s="100">
        <v>281.43</v>
      </c>
      <c r="L63" s="100">
        <v>33.270000000000003</v>
      </c>
      <c r="M63" s="100">
        <v>31.66</v>
      </c>
      <c r="N63" s="100">
        <v>346</v>
      </c>
      <c r="O63" s="100">
        <v>0</v>
      </c>
      <c r="P63" s="100">
        <v>0.64</v>
      </c>
      <c r="Q63" s="100">
        <v>12.92</v>
      </c>
      <c r="R63" s="6"/>
      <c r="S63" s="6"/>
      <c r="T63" s="156"/>
      <c r="U63" s="6"/>
    </row>
    <row r="64" spans="1:21" customFormat="1">
      <c r="A64" s="163" t="s">
        <v>294</v>
      </c>
      <c r="B64" s="100">
        <v>4.3099999999999996</v>
      </c>
      <c r="C64" s="100">
        <v>17.82</v>
      </c>
      <c r="D64" s="100">
        <v>14.12</v>
      </c>
      <c r="E64" s="100">
        <v>9.6199999999999992</v>
      </c>
      <c r="F64" s="152" t="s">
        <v>15</v>
      </c>
      <c r="G64" s="100">
        <v>39.72</v>
      </c>
      <c r="H64" s="100">
        <v>18.420000000000002</v>
      </c>
      <c r="I64" s="100">
        <v>8.41</v>
      </c>
      <c r="J64" s="100">
        <v>0.83</v>
      </c>
      <c r="K64" s="100">
        <v>289.35000000000002</v>
      </c>
      <c r="L64" s="100">
        <v>32.83</v>
      </c>
      <c r="M64" s="100">
        <v>31.74</v>
      </c>
      <c r="N64" s="100">
        <v>351.5</v>
      </c>
      <c r="O64" s="100">
        <v>0</v>
      </c>
      <c r="P64" s="100">
        <v>0.61</v>
      </c>
      <c r="Q64" s="100">
        <v>12.91</v>
      </c>
      <c r="R64" s="6"/>
      <c r="S64" s="6"/>
      <c r="T64" s="156"/>
      <c r="U64" s="6"/>
    </row>
    <row r="65" spans="1:21" customFormat="1">
      <c r="A65" s="163" t="s">
        <v>295</v>
      </c>
      <c r="B65" s="100">
        <v>4.2699999999999996</v>
      </c>
      <c r="C65" s="100">
        <v>18.11</v>
      </c>
      <c r="D65" s="100">
        <v>14.24</v>
      </c>
      <c r="E65" s="100">
        <v>9.3699999999999992</v>
      </c>
      <c r="F65" s="152" t="s">
        <v>15</v>
      </c>
      <c r="G65" s="100">
        <v>39.72</v>
      </c>
      <c r="H65" s="100">
        <v>18.420000000000002</v>
      </c>
      <c r="I65" s="100">
        <v>8.0500000000000007</v>
      </c>
      <c r="J65" s="100">
        <v>0.96</v>
      </c>
      <c r="K65" s="100">
        <v>277.55</v>
      </c>
      <c r="L65" s="100">
        <v>33.18</v>
      </c>
      <c r="M65" s="100">
        <v>30.16</v>
      </c>
      <c r="N65" s="100">
        <v>341.8</v>
      </c>
      <c r="O65" s="100">
        <v>0</v>
      </c>
      <c r="P65" s="100">
        <v>0.57999999999999996</v>
      </c>
      <c r="Q65" s="100">
        <v>12.91</v>
      </c>
      <c r="R65" s="6"/>
      <c r="S65" s="6"/>
      <c r="T65" s="156"/>
      <c r="U65" s="6"/>
    </row>
    <row r="66" spans="1:21" customFormat="1">
      <c r="A66" s="163" t="s">
        <v>296</v>
      </c>
      <c r="B66" s="100">
        <v>4.1900000000000004</v>
      </c>
      <c r="C66" s="100">
        <v>17.96</v>
      </c>
      <c r="D66" s="100">
        <v>14.09</v>
      </c>
      <c r="E66" s="100">
        <v>9.68</v>
      </c>
      <c r="F66" s="152" t="s">
        <v>15</v>
      </c>
      <c r="G66" s="100">
        <v>39.72</v>
      </c>
      <c r="H66" s="100">
        <v>18.420000000000002</v>
      </c>
      <c r="I66" s="100">
        <v>7.75</v>
      </c>
      <c r="J66" s="100">
        <v>0.68</v>
      </c>
      <c r="K66" s="100">
        <v>272.32</v>
      </c>
      <c r="L66" s="100">
        <v>32.94</v>
      </c>
      <c r="M66" s="100">
        <v>28.71</v>
      </c>
      <c r="N66" s="100">
        <v>214.1</v>
      </c>
      <c r="O66" s="100">
        <v>0</v>
      </c>
      <c r="P66" s="100">
        <v>0.56999999999999995</v>
      </c>
      <c r="Q66" s="100">
        <v>12.91</v>
      </c>
      <c r="R66" s="6"/>
      <c r="S66" s="6"/>
      <c r="T66" s="156"/>
      <c r="U66" s="6"/>
    </row>
    <row r="67" spans="1:21" customFormat="1">
      <c r="A67" s="163" t="s">
        <v>297</v>
      </c>
      <c r="B67" s="100">
        <v>4.1399999999999997</v>
      </c>
      <c r="C67" s="100">
        <v>18.059999999999999</v>
      </c>
      <c r="D67" s="100">
        <v>14.11</v>
      </c>
      <c r="E67" s="100">
        <v>9.93</v>
      </c>
      <c r="F67" s="152" t="s">
        <v>15</v>
      </c>
      <c r="G67" s="100">
        <v>39.729999999999997</v>
      </c>
      <c r="H67" s="100">
        <v>18.440000000000001</v>
      </c>
      <c r="I67" s="100">
        <v>7.45</v>
      </c>
      <c r="J67" s="100">
        <v>0.64</v>
      </c>
      <c r="K67" s="100">
        <v>291.08</v>
      </c>
      <c r="L67" s="100">
        <v>33</v>
      </c>
      <c r="M67" s="100">
        <v>27.61</v>
      </c>
      <c r="N67" s="100">
        <v>114.3</v>
      </c>
      <c r="O67" s="100">
        <v>0</v>
      </c>
      <c r="P67" s="100">
        <v>0.56000000000000005</v>
      </c>
      <c r="Q67" s="100">
        <v>12.91</v>
      </c>
      <c r="R67" s="6"/>
      <c r="S67" s="6"/>
      <c r="T67" s="156"/>
      <c r="U67" s="6"/>
    </row>
    <row r="68" spans="1:21" customFormat="1">
      <c r="A68" s="163" t="s">
        <v>298</v>
      </c>
      <c r="B68" s="100">
        <v>4.12</v>
      </c>
      <c r="C68" s="100">
        <v>18.28</v>
      </c>
      <c r="D68" s="100">
        <v>14.21</v>
      </c>
      <c r="E68" s="100">
        <v>9.75</v>
      </c>
      <c r="F68" s="152" t="s">
        <v>15</v>
      </c>
      <c r="G68" s="100">
        <v>40.03</v>
      </c>
      <c r="H68" s="100">
        <v>19.34</v>
      </c>
      <c r="I68" s="100">
        <v>7.21</v>
      </c>
      <c r="J68" s="100">
        <v>0.73</v>
      </c>
      <c r="K68" s="100">
        <v>280.93</v>
      </c>
      <c r="L68" s="100">
        <v>32.72</v>
      </c>
      <c r="M68" s="100">
        <v>29.51</v>
      </c>
      <c r="N68" s="100">
        <v>78.2</v>
      </c>
      <c r="O68" s="100">
        <v>0</v>
      </c>
      <c r="P68" s="100">
        <v>0.53</v>
      </c>
      <c r="Q68" s="100">
        <v>12.92</v>
      </c>
      <c r="R68" s="6"/>
      <c r="S68" s="6"/>
      <c r="T68" s="156"/>
      <c r="U68" s="6"/>
    </row>
    <row r="69" spans="1:21" customFormat="1">
      <c r="A69" s="163" t="s">
        <v>299</v>
      </c>
      <c r="B69" s="100">
        <v>4.1500000000000004</v>
      </c>
      <c r="C69" s="100">
        <v>18.43</v>
      </c>
      <c r="D69" s="100">
        <v>14.31</v>
      </c>
      <c r="E69" s="100">
        <v>10.35</v>
      </c>
      <c r="F69" s="152" t="s">
        <v>15</v>
      </c>
      <c r="G69" s="100">
        <v>40.03</v>
      </c>
      <c r="H69" s="100">
        <v>19.34</v>
      </c>
      <c r="I69" s="100">
        <v>6.79</v>
      </c>
      <c r="J69" s="100">
        <v>0.53</v>
      </c>
      <c r="K69" s="100">
        <v>278.38</v>
      </c>
      <c r="L69" s="100">
        <v>32.68</v>
      </c>
      <c r="M69" s="100">
        <v>29.24</v>
      </c>
      <c r="N69" s="100">
        <v>69.900000000000006</v>
      </c>
      <c r="O69" s="100">
        <v>0</v>
      </c>
      <c r="P69" s="100">
        <v>0.54</v>
      </c>
      <c r="Q69" s="100">
        <v>12.92</v>
      </c>
      <c r="R69" s="6"/>
      <c r="S69" s="6"/>
      <c r="T69" s="156"/>
      <c r="U69" s="6"/>
    </row>
    <row r="70" spans="1:21" customFormat="1">
      <c r="A70" s="163" t="s">
        <v>300</v>
      </c>
      <c r="B70" s="100">
        <v>4.12</v>
      </c>
      <c r="C70" s="100">
        <v>18.63</v>
      </c>
      <c r="D70" s="100">
        <v>14.39</v>
      </c>
      <c r="E70" s="100">
        <v>9.66</v>
      </c>
      <c r="F70" s="152" t="s">
        <v>15</v>
      </c>
      <c r="G70" s="100">
        <v>40.03</v>
      </c>
      <c r="H70" s="100">
        <v>19.34</v>
      </c>
      <c r="I70" s="100">
        <v>6.71</v>
      </c>
      <c r="J70" s="100">
        <v>0.27</v>
      </c>
      <c r="K70" s="100">
        <v>238.55</v>
      </c>
      <c r="L70" s="100">
        <v>32.6</v>
      </c>
      <c r="M70" s="100">
        <v>29.3</v>
      </c>
      <c r="N70" s="100">
        <v>77</v>
      </c>
      <c r="O70" s="100">
        <v>0</v>
      </c>
      <c r="P70" s="100">
        <v>0.52</v>
      </c>
      <c r="Q70" s="100">
        <v>12.92</v>
      </c>
      <c r="R70" s="6"/>
      <c r="S70" s="6"/>
      <c r="T70" s="156"/>
      <c r="U70" s="6"/>
    </row>
    <row r="71" spans="1:21" customFormat="1">
      <c r="A71" s="163" t="s">
        <v>301</v>
      </c>
      <c r="B71" s="100">
        <v>4.07</v>
      </c>
      <c r="C71" s="100">
        <v>18.7</v>
      </c>
      <c r="D71" s="100">
        <v>14.38</v>
      </c>
      <c r="E71" s="100">
        <v>9.8800000000000008</v>
      </c>
      <c r="F71" s="152" t="s">
        <v>15</v>
      </c>
      <c r="G71" s="100">
        <v>40.01</v>
      </c>
      <c r="H71" s="100">
        <v>19.27</v>
      </c>
      <c r="I71" s="100">
        <v>6.47</v>
      </c>
      <c r="J71" s="100">
        <v>0.42</v>
      </c>
      <c r="K71" s="100">
        <v>253.9</v>
      </c>
      <c r="L71" s="100">
        <v>32.46</v>
      </c>
      <c r="M71" s="100">
        <v>30.55</v>
      </c>
      <c r="N71" s="100">
        <v>76</v>
      </c>
      <c r="O71" s="100">
        <v>0</v>
      </c>
      <c r="P71" s="100">
        <v>0.52</v>
      </c>
      <c r="Q71" s="100">
        <v>12.93</v>
      </c>
      <c r="R71" s="6"/>
      <c r="S71" s="6"/>
      <c r="T71" s="156"/>
      <c r="U71" s="6"/>
    </row>
    <row r="72" spans="1:21" customFormat="1">
      <c r="A72" s="163" t="s">
        <v>302</v>
      </c>
      <c r="B72" s="100">
        <v>4.08</v>
      </c>
      <c r="C72" s="100">
        <v>18.829999999999998</v>
      </c>
      <c r="D72" s="100">
        <v>14.46</v>
      </c>
      <c r="E72" s="100">
        <v>9.9700000000000006</v>
      </c>
      <c r="F72" s="152" t="s">
        <v>15</v>
      </c>
      <c r="G72" s="100">
        <v>39.630000000000003</v>
      </c>
      <c r="H72" s="100">
        <v>17.100000000000001</v>
      </c>
      <c r="I72" s="100">
        <v>6.38</v>
      </c>
      <c r="J72" s="100">
        <v>0.44</v>
      </c>
      <c r="K72" s="100">
        <v>269.70999999999998</v>
      </c>
      <c r="L72" s="100">
        <v>32.270000000000003</v>
      </c>
      <c r="M72" s="100">
        <v>31.63</v>
      </c>
      <c r="N72" s="100">
        <v>51.6</v>
      </c>
      <c r="O72" s="100">
        <v>0</v>
      </c>
      <c r="P72" s="100">
        <v>0.5</v>
      </c>
      <c r="Q72" s="100">
        <v>12.92</v>
      </c>
      <c r="R72" s="6"/>
      <c r="S72" s="6"/>
      <c r="T72" s="156"/>
      <c r="U72" s="6"/>
    </row>
    <row r="73" spans="1:21" customFormat="1">
      <c r="A73" s="163" t="s">
        <v>303</v>
      </c>
      <c r="B73" s="100">
        <v>4.07</v>
      </c>
      <c r="C73" s="100">
        <v>18.55</v>
      </c>
      <c r="D73" s="100">
        <v>14.31</v>
      </c>
      <c r="E73" s="100">
        <v>9.58</v>
      </c>
      <c r="F73" s="152" t="s">
        <v>15</v>
      </c>
      <c r="G73" s="100">
        <v>39.630000000000003</v>
      </c>
      <c r="H73" s="100">
        <v>17.100000000000001</v>
      </c>
      <c r="I73" s="100">
        <v>6.03</v>
      </c>
      <c r="J73" s="100">
        <v>0.21</v>
      </c>
      <c r="K73" s="100">
        <v>233.52</v>
      </c>
      <c r="L73" s="100">
        <v>32.090000000000003</v>
      </c>
      <c r="M73" s="100">
        <v>32.47</v>
      </c>
      <c r="N73" s="100">
        <v>47.5</v>
      </c>
      <c r="O73" s="100">
        <v>0</v>
      </c>
      <c r="P73" s="100">
        <v>0.49</v>
      </c>
      <c r="Q73" s="100">
        <v>12.91</v>
      </c>
      <c r="R73" s="6"/>
      <c r="S73" s="6"/>
      <c r="T73" s="156"/>
      <c r="U73" s="6"/>
    </row>
    <row r="74" spans="1:21" customFormat="1">
      <c r="A74" s="163" t="s">
        <v>304</v>
      </c>
      <c r="B74" s="100">
        <v>4.0599999999999996</v>
      </c>
      <c r="C74" s="100">
        <v>18.420000000000002</v>
      </c>
      <c r="D74" s="100">
        <v>14.23</v>
      </c>
      <c r="E74" s="100">
        <v>9.84</v>
      </c>
      <c r="F74" s="152" t="s">
        <v>15</v>
      </c>
      <c r="G74" s="100">
        <v>39.630000000000003</v>
      </c>
      <c r="H74" s="100">
        <v>17.100000000000001</v>
      </c>
      <c r="I74" s="100">
        <v>5.95</v>
      </c>
      <c r="J74" s="100">
        <v>0.19</v>
      </c>
      <c r="K74" s="100">
        <v>204.47</v>
      </c>
      <c r="L74" s="100">
        <v>31.88</v>
      </c>
      <c r="M74" s="100">
        <v>33.4</v>
      </c>
      <c r="N74" s="100">
        <v>41.9</v>
      </c>
      <c r="O74" s="100">
        <v>0</v>
      </c>
      <c r="P74" s="100">
        <v>0.5</v>
      </c>
      <c r="Q74" s="100">
        <v>12.92</v>
      </c>
      <c r="R74" s="6"/>
      <c r="S74" s="6"/>
      <c r="T74" s="156"/>
      <c r="U74" s="6"/>
    </row>
    <row r="75" spans="1:21" customFormat="1">
      <c r="A75" s="163" t="s">
        <v>305</v>
      </c>
      <c r="B75" s="100">
        <v>4.0999999999999996</v>
      </c>
      <c r="C75" s="100">
        <v>18.36</v>
      </c>
      <c r="D75" s="100">
        <v>14.23</v>
      </c>
      <c r="E75" s="100">
        <v>9.98</v>
      </c>
      <c r="F75" s="152" t="s">
        <v>15</v>
      </c>
      <c r="G75" s="100">
        <v>39.520000000000003</v>
      </c>
      <c r="H75" s="100">
        <v>17.13</v>
      </c>
      <c r="I75" s="100">
        <v>5.94</v>
      </c>
      <c r="J75" s="100">
        <v>0.23</v>
      </c>
      <c r="K75" s="100">
        <v>255.43</v>
      </c>
      <c r="L75" s="100">
        <v>31.58</v>
      </c>
      <c r="M75" s="100">
        <v>34.700000000000003</v>
      </c>
      <c r="N75" s="100">
        <v>40.799999999999997</v>
      </c>
      <c r="O75" s="100">
        <v>0</v>
      </c>
      <c r="P75" s="100">
        <v>0.49</v>
      </c>
      <c r="Q75" s="100">
        <v>12.92</v>
      </c>
      <c r="R75" s="6"/>
      <c r="S75" s="6"/>
      <c r="T75" s="156"/>
      <c r="U75" s="6"/>
    </row>
    <row r="76" spans="1:21" customFormat="1">
      <c r="A76" s="163" t="s">
        <v>306</v>
      </c>
      <c r="B76" s="100">
        <v>4.0999999999999996</v>
      </c>
      <c r="C76" s="100">
        <v>18.510000000000002</v>
      </c>
      <c r="D76" s="100">
        <v>14.31</v>
      </c>
      <c r="E76" s="100">
        <v>10.25</v>
      </c>
      <c r="F76" s="152" t="s">
        <v>15</v>
      </c>
      <c r="G76" s="100">
        <v>37.15</v>
      </c>
      <c r="H76" s="100">
        <v>18.16</v>
      </c>
      <c r="I76" s="100">
        <v>5.73</v>
      </c>
      <c r="J76" s="100">
        <v>0.13</v>
      </c>
      <c r="K76" s="100">
        <v>204.8</v>
      </c>
      <c r="L76" s="100">
        <v>31.18</v>
      </c>
      <c r="M76" s="100">
        <v>35.64</v>
      </c>
      <c r="N76" s="100">
        <v>26.8</v>
      </c>
      <c r="O76" s="100">
        <v>0</v>
      </c>
      <c r="P76" s="100">
        <v>0.49</v>
      </c>
      <c r="Q76" s="100">
        <v>12.93</v>
      </c>
      <c r="R76" s="6"/>
      <c r="S76" s="6"/>
      <c r="T76" s="156"/>
      <c r="U76" s="6"/>
    </row>
    <row r="77" spans="1:21" customFormat="1">
      <c r="A77" s="163" t="s">
        <v>307</v>
      </c>
      <c r="B77" s="100">
        <v>4.1100000000000003</v>
      </c>
      <c r="C77" s="100">
        <v>18.670000000000002</v>
      </c>
      <c r="D77" s="100">
        <v>14.4</v>
      </c>
      <c r="E77" s="100">
        <v>9.9</v>
      </c>
      <c r="F77" s="152" t="s">
        <v>15</v>
      </c>
      <c r="G77" s="100">
        <v>37.15</v>
      </c>
      <c r="H77" s="100">
        <v>18.16</v>
      </c>
      <c r="I77" s="100">
        <v>5.71</v>
      </c>
      <c r="J77" s="100">
        <v>0.21</v>
      </c>
      <c r="K77" s="100">
        <v>172.97</v>
      </c>
      <c r="L77" s="100">
        <v>30.7</v>
      </c>
      <c r="M77" s="100">
        <v>38.71</v>
      </c>
      <c r="N77" s="100">
        <v>19.399999999999999</v>
      </c>
      <c r="O77" s="100">
        <v>0</v>
      </c>
      <c r="P77" s="100">
        <v>0.49</v>
      </c>
      <c r="Q77" s="100">
        <v>12.93</v>
      </c>
      <c r="R77" s="6"/>
      <c r="S77" s="6"/>
      <c r="T77" s="156"/>
      <c r="U77" s="6"/>
    </row>
    <row r="78" spans="1:21" customFormat="1">
      <c r="A78" s="163" t="s">
        <v>308</v>
      </c>
      <c r="B78" s="100">
        <v>4.1399999999999997</v>
      </c>
      <c r="C78" s="100">
        <v>18.75</v>
      </c>
      <c r="D78" s="100">
        <v>14.47</v>
      </c>
      <c r="E78" s="100">
        <v>10.06</v>
      </c>
      <c r="F78" s="152" t="s">
        <v>15</v>
      </c>
      <c r="G78" s="100">
        <v>37.15</v>
      </c>
      <c r="H78" s="100">
        <v>18.16</v>
      </c>
      <c r="I78" s="100">
        <v>5.7</v>
      </c>
      <c r="J78" s="100">
        <v>0.24</v>
      </c>
      <c r="K78" s="100">
        <v>172.68</v>
      </c>
      <c r="L78" s="100">
        <v>29.99</v>
      </c>
      <c r="M78" s="100">
        <v>40.06</v>
      </c>
      <c r="N78" s="100">
        <v>12.2</v>
      </c>
      <c r="O78" s="100">
        <v>0</v>
      </c>
      <c r="P78" s="100">
        <v>0.51</v>
      </c>
      <c r="Q78" s="100">
        <v>12.92</v>
      </c>
      <c r="R78" s="6"/>
      <c r="S78" s="6"/>
      <c r="T78" s="156"/>
      <c r="U78" s="6"/>
    </row>
    <row r="79" spans="1:21" customFormat="1">
      <c r="A79" s="163" t="s">
        <v>309</v>
      </c>
      <c r="B79" s="100">
        <v>4.24</v>
      </c>
      <c r="C79" s="100">
        <v>19.07</v>
      </c>
      <c r="D79" s="100">
        <v>14.71</v>
      </c>
      <c r="E79" s="100">
        <v>10.15</v>
      </c>
      <c r="F79" s="152" t="s">
        <v>15</v>
      </c>
      <c r="G79" s="100">
        <v>37.29</v>
      </c>
      <c r="H79" s="100">
        <v>18.12</v>
      </c>
      <c r="I79" s="100">
        <v>5.68</v>
      </c>
      <c r="J79" s="100">
        <v>0.05</v>
      </c>
      <c r="K79" s="100">
        <v>213.77</v>
      </c>
      <c r="L79" s="100">
        <v>29.52</v>
      </c>
      <c r="M79" s="100">
        <v>39.82</v>
      </c>
      <c r="N79" s="100">
        <v>5.8</v>
      </c>
      <c r="O79" s="100">
        <v>0</v>
      </c>
      <c r="P79" s="100">
        <v>0.54</v>
      </c>
      <c r="Q79" s="100">
        <v>12.93</v>
      </c>
      <c r="R79" s="6"/>
      <c r="S79" s="6"/>
      <c r="T79" s="156"/>
      <c r="U79" s="6"/>
    </row>
    <row r="80" spans="1:21" customFormat="1">
      <c r="A80" s="163" t="s">
        <v>310</v>
      </c>
      <c r="B80" s="100">
        <v>4.4800000000000004</v>
      </c>
      <c r="C80" s="100">
        <v>20.02</v>
      </c>
      <c r="D80" s="100">
        <v>15.4</v>
      </c>
      <c r="E80" s="100">
        <v>11.06</v>
      </c>
      <c r="F80" s="152" t="s">
        <v>15</v>
      </c>
      <c r="G80" s="100">
        <v>40.26</v>
      </c>
      <c r="H80" s="100">
        <v>16.62</v>
      </c>
      <c r="I80" s="100">
        <v>5.79</v>
      </c>
      <c r="J80" s="100">
        <v>0.25</v>
      </c>
      <c r="K80" s="100">
        <v>105.36</v>
      </c>
      <c r="L80" s="100">
        <v>29.14</v>
      </c>
      <c r="M80" s="100">
        <v>41.15</v>
      </c>
      <c r="N80" s="100">
        <v>2.6</v>
      </c>
      <c r="O80" s="100">
        <v>0</v>
      </c>
      <c r="P80" s="100">
        <v>0.56999999999999995</v>
      </c>
      <c r="Q80" s="100">
        <v>12.92</v>
      </c>
      <c r="R80" s="6"/>
      <c r="S80" s="6"/>
      <c r="T80" s="156"/>
      <c r="U80" s="6"/>
    </row>
    <row r="81" spans="1:21" customFormat="1">
      <c r="A81" s="163" t="s">
        <v>311</v>
      </c>
      <c r="B81" s="100">
        <v>4.95</v>
      </c>
      <c r="C81" s="100">
        <v>22.66</v>
      </c>
      <c r="D81" s="100">
        <v>17.16</v>
      </c>
      <c r="E81" s="100">
        <v>6.83</v>
      </c>
      <c r="F81" s="152" t="s">
        <v>15</v>
      </c>
      <c r="G81" s="100">
        <v>40.26</v>
      </c>
      <c r="H81" s="100">
        <v>16.62</v>
      </c>
      <c r="I81" s="100">
        <v>6.16</v>
      </c>
      <c r="J81" s="100">
        <v>0.28000000000000003</v>
      </c>
      <c r="K81" s="100">
        <v>152.08000000000001</v>
      </c>
      <c r="L81" s="100">
        <v>27.93</v>
      </c>
      <c r="M81" s="100">
        <v>46.66</v>
      </c>
      <c r="N81" s="100">
        <v>2.2000000000000002</v>
      </c>
      <c r="O81" s="100">
        <v>0</v>
      </c>
      <c r="P81" s="100">
        <v>0.59</v>
      </c>
      <c r="Q81" s="100">
        <v>12.91</v>
      </c>
      <c r="R81" s="6"/>
      <c r="S81" s="6"/>
      <c r="T81" s="156"/>
      <c r="U81" s="6"/>
    </row>
    <row r="82" spans="1:21" customFormat="1">
      <c r="A82" s="163" t="s">
        <v>312</v>
      </c>
      <c r="B82" s="100">
        <v>5.56</v>
      </c>
      <c r="C82" s="100">
        <v>21.85</v>
      </c>
      <c r="D82" s="100">
        <v>17.22</v>
      </c>
      <c r="E82" s="100">
        <v>8.32</v>
      </c>
      <c r="F82" s="152" t="s">
        <v>15</v>
      </c>
      <c r="G82" s="100">
        <v>40.26</v>
      </c>
      <c r="H82" s="100">
        <v>16.62</v>
      </c>
      <c r="I82" s="100">
        <v>6.47</v>
      </c>
      <c r="J82" s="100">
        <v>0.24</v>
      </c>
      <c r="K82" s="100">
        <v>129.06</v>
      </c>
      <c r="L82" s="100">
        <v>27.24</v>
      </c>
      <c r="M82" s="100">
        <v>50.07</v>
      </c>
      <c r="N82" s="100">
        <v>1.8</v>
      </c>
      <c r="O82" s="100">
        <v>0</v>
      </c>
      <c r="P82" s="100">
        <v>0.57999999999999996</v>
      </c>
      <c r="Q82" s="100">
        <v>12.91</v>
      </c>
      <c r="R82" s="6"/>
      <c r="S82" s="6"/>
      <c r="T82" s="156"/>
      <c r="U82" s="6"/>
    </row>
    <row r="83" spans="1:21" customFormat="1">
      <c r="A83" s="163" t="s">
        <v>313</v>
      </c>
      <c r="B83" s="100">
        <v>6.27</v>
      </c>
      <c r="C83" s="100">
        <v>24.54</v>
      </c>
      <c r="D83" s="100">
        <v>19.2</v>
      </c>
      <c r="E83" s="100">
        <v>8.3800000000000008</v>
      </c>
      <c r="F83" s="152" t="s">
        <v>15</v>
      </c>
      <c r="G83" s="100">
        <v>44.32</v>
      </c>
      <c r="H83" s="100">
        <v>16.739999999999998</v>
      </c>
      <c r="I83" s="100">
        <v>6.93</v>
      </c>
      <c r="J83" s="100">
        <v>0.34</v>
      </c>
      <c r="K83" s="100">
        <v>83.68</v>
      </c>
      <c r="L83" s="100">
        <v>27.05</v>
      </c>
      <c r="M83" s="100">
        <v>47.92</v>
      </c>
      <c r="N83" s="100">
        <v>1.2</v>
      </c>
      <c r="O83" s="100">
        <v>0</v>
      </c>
      <c r="P83" s="100">
        <v>0.63</v>
      </c>
      <c r="Q83" s="100">
        <v>12.94</v>
      </c>
      <c r="R83" s="6"/>
      <c r="S83" s="6"/>
      <c r="T83" s="156"/>
      <c r="U83" s="6"/>
    </row>
    <row r="84" spans="1:21" customFormat="1">
      <c r="A84" s="163" t="s">
        <v>314</v>
      </c>
      <c r="B84" s="100">
        <v>7.12</v>
      </c>
      <c r="C84" s="100">
        <v>25.36</v>
      </c>
      <c r="D84" s="100">
        <v>20.309999999999999</v>
      </c>
      <c r="E84" s="100">
        <v>9.2200000000000006</v>
      </c>
      <c r="F84" s="152" t="s">
        <v>15</v>
      </c>
      <c r="G84" s="100">
        <v>131.52000000000001</v>
      </c>
      <c r="H84" s="100">
        <v>20.309999999999999</v>
      </c>
      <c r="I84" s="100">
        <v>7.16</v>
      </c>
      <c r="J84" s="100">
        <v>0.48</v>
      </c>
      <c r="K84" s="100">
        <v>66.72</v>
      </c>
      <c r="L84" s="100">
        <v>27.68</v>
      </c>
      <c r="M84" s="100">
        <v>43.56</v>
      </c>
      <c r="N84" s="100">
        <v>0.7</v>
      </c>
      <c r="O84" s="100">
        <v>0</v>
      </c>
      <c r="P84" s="100">
        <v>0.68</v>
      </c>
      <c r="Q84" s="100">
        <v>12.95</v>
      </c>
      <c r="R84" s="6"/>
      <c r="S84" s="6"/>
      <c r="T84" s="156"/>
      <c r="U84" s="6"/>
    </row>
    <row r="85" spans="1:21" customFormat="1">
      <c r="A85" s="163" t="s">
        <v>315</v>
      </c>
      <c r="B85" s="100">
        <v>8.1199999999999992</v>
      </c>
      <c r="C85" s="100">
        <v>26.16</v>
      </c>
      <c r="D85" s="100">
        <v>21.53</v>
      </c>
      <c r="E85" s="100">
        <v>9.0299999999999994</v>
      </c>
      <c r="F85" s="152" t="s">
        <v>15</v>
      </c>
      <c r="G85" s="100">
        <v>131.52000000000001</v>
      </c>
      <c r="H85" s="100">
        <v>20.309999999999999</v>
      </c>
      <c r="I85" s="100">
        <v>7.55</v>
      </c>
      <c r="J85" s="100">
        <v>0.33</v>
      </c>
      <c r="K85" s="100">
        <v>61.95</v>
      </c>
      <c r="L85" s="100">
        <v>27.6</v>
      </c>
      <c r="M85" s="100">
        <v>45.27</v>
      </c>
      <c r="N85" s="100">
        <v>1.1000000000000001</v>
      </c>
      <c r="O85" s="100">
        <v>0</v>
      </c>
      <c r="P85" s="100">
        <v>0.69</v>
      </c>
      <c r="Q85" s="100">
        <v>12.93</v>
      </c>
      <c r="R85" s="6"/>
      <c r="S85" s="6"/>
      <c r="T85" s="156"/>
      <c r="U85" s="6"/>
    </row>
    <row r="86" spans="1:21" customFormat="1">
      <c r="A86" s="163" t="s">
        <v>316</v>
      </c>
      <c r="B86" s="100">
        <v>9.17</v>
      </c>
      <c r="C86" s="100">
        <v>24.41</v>
      </c>
      <c r="D86" s="100">
        <v>21.46</v>
      </c>
      <c r="E86" s="100">
        <v>8.7899999999999991</v>
      </c>
      <c r="F86" s="152" t="s">
        <v>15</v>
      </c>
      <c r="G86" s="100">
        <v>131.52000000000001</v>
      </c>
      <c r="H86" s="100">
        <v>20.309999999999999</v>
      </c>
      <c r="I86" s="100">
        <v>8.4700000000000006</v>
      </c>
      <c r="J86" s="100">
        <v>0.16</v>
      </c>
      <c r="K86" s="100">
        <v>170.32</v>
      </c>
      <c r="L86" s="100">
        <v>26.44</v>
      </c>
      <c r="M86" s="100">
        <v>52.63</v>
      </c>
      <c r="N86" s="100">
        <v>2.1</v>
      </c>
      <c r="O86" s="100">
        <v>0</v>
      </c>
      <c r="P86" s="100">
        <v>0.68</v>
      </c>
      <c r="Q86" s="100">
        <v>12.94</v>
      </c>
      <c r="R86" s="6"/>
      <c r="S86" s="6"/>
      <c r="T86" s="156"/>
      <c r="U86" s="6"/>
    </row>
    <row r="87" spans="1:21" customFormat="1">
      <c r="A87" s="163" t="s">
        <v>317</v>
      </c>
      <c r="B87" s="100">
        <v>10.029999999999999</v>
      </c>
      <c r="C87" s="100">
        <v>26.05</v>
      </c>
      <c r="D87" s="100">
        <v>23.01</v>
      </c>
      <c r="E87" s="100">
        <v>8.6199999999999992</v>
      </c>
      <c r="F87" s="152" t="s">
        <v>15</v>
      </c>
      <c r="G87" s="100">
        <v>132.13999999999999</v>
      </c>
      <c r="H87" s="100">
        <v>20.5</v>
      </c>
      <c r="I87" s="100">
        <v>8.73</v>
      </c>
      <c r="J87" s="100">
        <v>0.21</v>
      </c>
      <c r="K87" s="100">
        <v>55.89</v>
      </c>
      <c r="L87" s="100">
        <v>26.05</v>
      </c>
      <c r="M87" s="100">
        <v>52.79</v>
      </c>
      <c r="N87" s="100">
        <v>1.1000000000000001</v>
      </c>
      <c r="O87" s="100">
        <v>0</v>
      </c>
      <c r="P87" s="100">
        <v>0.7</v>
      </c>
      <c r="Q87" s="100">
        <v>12.95</v>
      </c>
      <c r="R87" s="6"/>
      <c r="S87" s="6"/>
      <c r="T87" s="156"/>
      <c r="U87" s="6"/>
    </row>
    <row r="88" spans="1:21" customFormat="1">
      <c r="A88" s="163" t="s">
        <v>318</v>
      </c>
      <c r="B88" s="100">
        <v>11.05</v>
      </c>
      <c r="C88" s="100">
        <v>27.11</v>
      </c>
      <c r="D88" s="100">
        <v>24.37</v>
      </c>
      <c r="E88" s="100">
        <v>8.98</v>
      </c>
      <c r="F88" s="152" t="s">
        <v>15</v>
      </c>
      <c r="G88" s="100">
        <v>145.38</v>
      </c>
      <c r="H88" s="100">
        <v>24.73</v>
      </c>
      <c r="I88" s="100">
        <v>8.69</v>
      </c>
      <c r="J88" s="100">
        <v>0.24</v>
      </c>
      <c r="K88" s="100">
        <v>62.52</v>
      </c>
      <c r="L88" s="100">
        <v>26.24</v>
      </c>
      <c r="M88" s="100">
        <v>52.26</v>
      </c>
      <c r="N88" s="100">
        <v>1.1000000000000001</v>
      </c>
      <c r="O88" s="100">
        <v>0</v>
      </c>
      <c r="P88" s="100">
        <v>0.73</v>
      </c>
      <c r="Q88" s="100">
        <v>12.96</v>
      </c>
      <c r="R88" s="6"/>
      <c r="S88" s="6"/>
      <c r="T88" s="156"/>
      <c r="U88" s="6"/>
    </row>
    <row r="89" spans="1:21" customFormat="1">
      <c r="A89" s="163" t="s">
        <v>319</v>
      </c>
      <c r="B89" s="100">
        <v>12.34</v>
      </c>
      <c r="C89" s="100">
        <v>26.33</v>
      </c>
      <c r="D89" s="100">
        <v>25.01</v>
      </c>
      <c r="E89" s="100">
        <v>8.57</v>
      </c>
      <c r="F89" s="152" t="s">
        <v>15</v>
      </c>
      <c r="G89" s="100">
        <v>145.38</v>
      </c>
      <c r="H89" s="100">
        <v>24.73</v>
      </c>
      <c r="I89" s="100">
        <v>8.9</v>
      </c>
      <c r="J89" s="100">
        <v>0.13</v>
      </c>
      <c r="K89" s="100">
        <v>94.27</v>
      </c>
      <c r="L89" s="100">
        <v>26.09</v>
      </c>
      <c r="M89" s="100">
        <v>53.58</v>
      </c>
      <c r="N89" s="100">
        <v>1.4</v>
      </c>
      <c r="O89" s="100">
        <v>0</v>
      </c>
      <c r="P89" s="100">
        <v>0.78</v>
      </c>
      <c r="Q89" s="100">
        <v>12.96</v>
      </c>
      <c r="R89" s="6"/>
      <c r="S89" s="6"/>
      <c r="T89" s="156"/>
      <c r="U89" s="6"/>
    </row>
    <row r="90" spans="1:21" customFormat="1">
      <c r="A90" s="163" t="s">
        <v>320</v>
      </c>
      <c r="B90" s="100">
        <v>13.39</v>
      </c>
      <c r="C90" s="100">
        <v>26.48</v>
      </c>
      <c r="D90" s="100">
        <v>25.92</v>
      </c>
      <c r="E90" s="100">
        <v>8.7799999999999994</v>
      </c>
      <c r="F90" s="152" t="s">
        <v>15</v>
      </c>
      <c r="G90" s="100">
        <v>145.38</v>
      </c>
      <c r="H90" s="100">
        <v>24.73</v>
      </c>
      <c r="I90" s="100">
        <v>9.19</v>
      </c>
      <c r="J90" s="100">
        <v>0.26</v>
      </c>
      <c r="K90" s="100">
        <v>183.11</v>
      </c>
      <c r="L90" s="100">
        <v>24.65</v>
      </c>
      <c r="M90" s="100">
        <v>64.83</v>
      </c>
      <c r="N90" s="100">
        <v>2.4</v>
      </c>
      <c r="O90" s="100">
        <v>0</v>
      </c>
      <c r="P90" s="100">
        <v>0.79</v>
      </c>
      <c r="Q90" s="100">
        <v>12.95</v>
      </c>
      <c r="R90" s="6"/>
      <c r="S90" s="6"/>
      <c r="T90" s="156"/>
      <c r="U90" s="6"/>
    </row>
    <row r="91" spans="1:21" customFormat="1">
      <c r="A91" s="163" t="s">
        <v>321</v>
      </c>
      <c r="B91" s="100">
        <v>14.03</v>
      </c>
      <c r="C91" s="100">
        <v>26.07</v>
      </c>
      <c r="D91" s="100">
        <v>26.22</v>
      </c>
      <c r="E91" s="100">
        <v>8.89</v>
      </c>
      <c r="F91" s="152" t="s">
        <v>15</v>
      </c>
      <c r="G91" s="100">
        <v>144.72</v>
      </c>
      <c r="H91" s="100">
        <v>24.79</v>
      </c>
      <c r="I91" s="100">
        <v>9.33</v>
      </c>
      <c r="J91" s="100">
        <v>0.18</v>
      </c>
      <c r="K91" s="100">
        <v>163.22999999999999</v>
      </c>
      <c r="L91" s="100">
        <v>23.78</v>
      </c>
      <c r="M91" s="100">
        <v>68.09</v>
      </c>
      <c r="N91" s="100">
        <v>1.7</v>
      </c>
      <c r="O91" s="100">
        <v>0</v>
      </c>
      <c r="P91" s="100">
        <v>0.8</v>
      </c>
      <c r="Q91" s="100">
        <v>12.97</v>
      </c>
      <c r="R91" s="6"/>
      <c r="S91" s="6"/>
      <c r="T91" s="156"/>
      <c r="U91" s="6"/>
    </row>
    <row r="92" spans="1:21" customFormat="1">
      <c r="A92" s="163" t="s">
        <v>322</v>
      </c>
      <c r="B92" s="100">
        <v>14.63</v>
      </c>
      <c r="C92" s="100">
        <v>25.83</v>
      </c>
      <c r="D92" s="100">
        <v>26.57</v>
      </c>
      <c r="E92" s="100">
        <v>8.92</v>
      </c>
      <c r="F92" s="152" t="s">
        <v>15</v>
      </c>
      <c r="G92" s="100">
        <v>130.55000000000001</v>
      </c>
      <c r="H92" s="100">
        <v>26.57</v>
      </c>
      <c r="I92" s="100">
        <v>9.52</v>
      </c>
      <c r="J92" s="100">
        <v>0.24</v>
      </c>
      <c r="K92" s="100">
        <v>162.97999999999999</v>
      </c>
      <c r="L92" s="100">
        <v>23.56</v>
      </c>
      <c r="M92" s="100">
        <v>70.22</v>
      </c>
      <c r="N92" s="100">
        <v>1.4</v>
      </c>
      <c r="O92" s="100">
        <v>0</v>
      </c>
      <c r="P92" s="100">
        <v>0.84</v>
      </c>
      <c r="Q92" s="100">
        <v>12.97</v>
      </c>
      <c r="R92" s="6"/>
      <c r="S92" s="6"/>
      <c r="T92" s="156"/>
      <c r="U92" s="6"/>
    </row>
    <row r="93" spans="1:21" customFormat="1">
      <c r="A93" s="163" t="s">
        <v>323</v>
      </c>
      <c r="B93" s="100">
        <v>15.35</v>
      </c>
      <c r="C93" s="100">
        <v>25.66</v>
      </c>
      <c r="D93" s="100">
        <v>27.07</v>
      </c>
      <c r="E93" s="100">
        <v>9.18</v>
      </c>
      <c r="F93" s="152" t="s">
        <v>15</v>
      </c>
      <c r="G93" s="100">
        <v>130.55000000000001</v>
      </c>
      <c r="H93" s="100">
        <v>26.57</v>
      </c>
      <c r="I93" s="100">
        <v>9.73</v>
      </c>
      <c r="J93" s="100">
        <v>0.34</v>
      </c>
      <c r="K93" s="100">
        <v>177.76</v>
      </c>
      <c r="L93" s="100">
        <v>23.21</v>
      </c>
      <c r="M93" s="100">
        <v>69.23</v>
      </c>
      <c r="N93" s="100">
        <v>1.5</v>
      </c>
      <c r="O93" s="100">
        <v>0</v>
      </c>
      <c r="P93" s="100">
        <v>0.85</v>
      </c>
      <c r="Q93" s="100">
        <v>12.98</v>
      </c>
      <c r="R93" s="6"/>
      <c r="S93" s="6"/>
      <c r="T93" s="156"/>
      <c r="U93" s="6"/>
    </row>
    <row r="94" spans="1:21" customFormat="1">
      <c r="A94" s="163" t="s">
        <v>324</v>
      </c>
      <c r="B94" s="100">
        <v>15.75</v>
      </c>
      <c r="C94" s="100">
        <v>25.67</v>
      </c>
      <c r="D94" s="100">
        <v>27.39</v>
      </c>
      <c r="E94" s="100">
        <v>9.3000000000000007</v>
      </c>
      <c r="F94" s="152" t="s">
        <v>15</v>
      </c>
      <c r="G94" s="100">
        <v>130.55000000000001</v>
      </c>
      <c r="H94" s="100">
        <v>26.57</v>
      </c>
      <c r="I94" s="100">
        <v>9.9499999999999993</v>
      </c>
      <c r="J94" s="100">
        <v>0.18</v>
      </c>
      <c r="K94" s="100">
        <v>217.23</v>
      </c>
      <c r="L94" s="100">
        <v>23.02</v>
      </c>
      <c r="M94" s="100">
        <v>70.930000000000007</v>
      </c>
      <c r="N94" s="100">
        <v>1.4</v>
      </c>
      <c r="O94" s="100">
        <v>0</v>
      </c>
      <c r="P94" s="100">
        <v>0.87</v>
      </c>
      <c r="Q94" s="100">
        <v>12.97</v>
      </c>
      <c r="R94" s="6"/>
      <c r="S94" s="6"/>
      <c r="T94" s="156"/>
      <c r="U94" s="6"/>
    </row>
    <row r="95" spans="1:21" customFormat="1">
      <c r="A95" s="163" t="s">
        <v>325</v>
      </c>
      <c r="B95" s="100">
        <v>15.94</v>
      </c>
      <c r="C95" s="100">
        <v>25.48</v>
      </c>
      <c r="D95" s="100">
        <v>27.45</v>
      </c>
      <c r="E95" s="100">
        <v>9.0500000000000007</v>
      </c>
      <c r="F95" s="152" t="s">
        <v>15</v>
      </c>
      <c r="G95" s="100">
        <v>129.87</v>
      </c>
      <c r="H95" s="100">
        <v>26.55</v>
      </c>
      <c r="I95" s="100">
        <v>10.24</v>
      </c>
      <c r="J95" s="100">
        <v>0.16</v>
      </c>
      <c r="K95" s="100">
        <v>224.41</v>
      </c>
      <c r="L95" s="100">
        <v>22.82</v>
      </c>
      <c r="M95" s="100">
        <v>70.16</v>
      </c>
      <c r="N95" s="100">
        <v>1.4</v>
      </c>
      <c r="O95" s="100">
        <v>0</v>
      </c>
      <c r="P95" s="100">
        <v>0.88</v>
      </c>
      <c r="Q95" s="100">
        <v>12.97</v>
      </c>
      <c r="R95" s="6"/>
      <c r="S95" s="6"/>
      <c r="T95" s="156"/>
      <c r="U95" s="6"/>
    </row>
    <row r="96" spans="1:21" customFormat="1">
      <c r="A96" s="163" t="s">
        <v>326</v>
      </c>
      <c r="B96" s="100">
        <v>16.100000000000001</v>
      </c>
      <c r="C96" s="100">
        <v>25.45</v>
      </c>
      <c r="D96" s="100">
        <v>27.56</v>
      </c>
      <c r="E96" s="100">
        <v>9.7200000000000006</v>
      </c>
      <c r="F96" s="152" t="s">
        <v>15</v>
      </c>
      <c r="G96" s="100">
        <v>115.13</v>
      </c>
      <c r="H96" s="100">
        <v>25.85</v>
      </c>
      <c r="I96" s="100">
        <v>10.42</v>
      </c>
      <c r="J96" s="100">
        <v>0.2</v>
      </c>
      <c r="K96" s="100">
        <v>222.59</v>
      </c>
      <c r="L96" s="100">
        <v>22.44</v>
      </c>
      <c r="M96" s="100">
        <v>71.08</v>
      </c>
      <c r="N96" s="100">
        <v>1.4</v>
      </c>
      <c r="O96" s="100">
        <v>0</v>
      </c>
      <c r="P96" s="100">
        <v>0.89</v>
      </c>
      <c r="Q96" s="100">
        <v>12.97</v>
      </c>
      <c r="R96" s="6"/>
      <c r="S96" s="6"/>
      <c r="T96" s="156"/>
      <c r="U96" s="6"/>
    </row>
    <row r="97" spans="1:28" customFormat="1">
      <c r="A97" s="163" t="s">
        <v>327</v>
      </c>
      <c r="B97" s="100">
        <v>16.22</v>
      </c>
      <c r="C97" s="100">
        <v>25.28</v>
      </c>
      <c r="D97" s="100">
        <v>27.57</v>
      </c>
      <c r="E97" s="100">
        <v>9.5299999999999994</v>
      </c>
      <c r="F97" s="152" t="s">
        <v>15</v>
      </c>
      <c r="G97" s="100">
        <v>115.13</v>
      </c>
      <c r="H97" s="100">
        <v>25.85</v>
      </c>
      <c r="I97" s="100">
        <v>10.53</v>
      </c>
      <c r="J97" s="100">
        <v>0.13</v>
      </c>
      <c r="K97" s="100">
        <v>194.97</v>
      </c>
      <c r="L97" s="100">
        <v>22.26</v>
      </c>
      <c r="M97" s="100">
        <v>73.11</v>
      </c>
      <c r="N97" s="100">
        <v>1.3</v>
      </c>
      <c r="O97" s="100">
        <v>0</v>
      </c>
      <c r="P97" s="100">
        <v>0.9</v>
      </c>
      <c r="Q97" s="100">
        <v>12.98</v>
      </c>
      <c r="R97" s="6"/>
      <c r="S97" s="6"/>
      <c r="T97" s="156"/>
      <c r="U97" s="6"/>
    </row>
    <row r="98" spans="1:28" customFormat="1">
      <c r="A98" s="163" t="s">
        <v>328</v>
      </c>
      <c r="B98" s="100">
        <v>16.329999999999998</v>
      </c>
      <c r="C98" s="100">
        <v>25.08</v>
      </c>
      <c r="D98" s="100">
        <v>27.55</v>
      </c>
      <c r="E98" s="100">
        <v>8.99</v>
      </c>
      <c r="F98" s="152" t="s">
        <v>15</v>
      </c>
      <c r="G98" s="100">
        <v>115.13</v>
      </c>
      <c r="H98" s="100">
        <v>25.85</v>
      </c>
      <c r="I98" s="100">
        <v>10.6</v>
      </c>
      <c r="J98" s="100">
        <v>0.17</v>
      </c>
      <c r="K98" s="100">
        <v>167.51</v>
      </c>
      <c r="L98" s="100">
        <v>22.13</v>
      </c>
      <c r="M98" s="100">
        <v>74.56</v>
      </c>
      <c r="N98" s="100">
        <v>1.2</v>
      </c>
      <c r="O98" s="100">
        <v>0</v>
      </c>
      <c r="P98" s="100">
        <v>0.91</v>
      </c>
      <c r="Q98" s="100">
        <v>12.97</v>
      </c>
      <c r="R98" s="6"/>
      <c r="S98" s="6"/>
      <c r="T98" s="156"/>
      <c r="U98" s="6"/>
    </row>
    <row r="99" spans="1:28" customFormat="1">
      <c r="A99" s="163" t="s">
        <v>329</v>
      </c>
      <c r="B99" s="100">
        <v>16.440000000000001</v>
      </c>
      <c r="C99" s="100">
        <v>24.66</v>
      </c>
      <c r="D99" s="100">
        <v>27.42</v>
      </c>
      <c r="E99" s="100">
        <v>9.49</v>
      </c>
      <c r="F99" s="152" t="s">
        <v>15</v>
      </c>
      <c r="G99" s="100">
        <v>114.93</v>
      </c>
      <c r="H99" s="100">
        <v>25.8</v>
      </c>
      <c r="I99" s="100">
        <v>10.69</v>
      </c>
      <c r="J99" s="100">
        <v>0.21</v>
      </c>
      <c r="K99" s="100">
        <v>165.92</v>
      </c>
      <c r="L99" s="100">
        <v>21.97</v>
      </c>
      <c r="M99" s="100">
        <v>77.349999999999994</v>
      </c>
      <c r="N99" s="100">
        <v>1.3</v>
      </c>
      <c r="O99" s="100">
        <v>0</v>
      </c>
      <c r="P99" s="100">
        <v>0.92</v>
      </c>
      <c r="Q99" s="100">
        <v>12.95</v>
      </c>
      <c r="R99" s="6"/>
      <c r="S99" s="6"/>
      <c r="T99" s="156"/>
      <c r="U99" s="6"/>
    </row>
    <row r="100" spans="1:28" customFormat="1">
      <c r="A100" s="163" t="s">
        <v>330</v>
      </c>
      <c r="B100" s="100">
        <v>16.38</v>
      </c>
      <c r="C100" s="100">
        <v>23.76</v>
      </c>
      <c r="D100" s="100">
        <v>26.9</v>
      </c>
      <c r="E100" s="100">
        <v>9.36</v>
      </c>
      <c r="F100" s="152" t="s">
        <v>15</v>
      </c>
      <c r="G100" s="100">
        <v>110.63</v>
      </c>
      <c r="H100" s="100">
        <v>24.16</v>
      </c>
      <c r="I100" s="100">
        <v>10.85</v>
      </c>
      <c r="J100" s="100">
        <v>0.15</v>
      </c>
      <c r="K100" s="100">
        <v>215.14</v>
      </c>
      <c r="L100" s="100">
        <v>21.67</v>
      </c>
      <c r="M100" s="100">
        <v>76.45</v>
      </c>
      <c r="N100" s="100">
        <v>1.4</v>
      </c>
      <c r="O100" s="100">
        <v>0</v>
      </c>
      <c r="P100" s="100">
        <v>0.93</v>
      </c>
      <c r="Q100" s="100">
        <v>12.97</v>
      </c>
      <c r="R100" s="6"/>
      <c r="S100" s="6"/>
      <c r="T100" s="156"/>
      <c r="U100" s="6"/>
      <c r="AB100" s="161"/>
    </row>
    <row r="101" spans="1:28" customFormat="1">
      <c r="A101" s="163" t="s">
        <v>331</v>
      </c>
      <c r="B101" s="100">
        <v>16.04</v>
      </c>
      <c r="C101" s="100">
        <v>23.66</v>
      </c>
      <c r="D101" s="100">
        <v>26.57</v>
      </c>
      <c r="E101" s="100">
        <v>8.73</v>
      </c>
      <c r="F101" s="152" t="s">
        <v>15</v>
      </c>
      <c r="G101" s="100">
        <v>110.63</v>
      </c>
      <c r="H101" s="100">
        <v>24.16</v>
      </c>
      <c r="I101" s="100">
        <v>11.01</v>
      </c>
      <c r="J101" s="100">
        <v>0.17</v>
      </c>
      <c r="K101" s="100">
        <v>212.81</v>
      </c>
      <c r="L101" s="100">
        <v>21.6</v>
      </c>
      <c r="M101" s="100">
        <v>76.64</v>
      </c>
      <c r="N101" s="100">
        <v>1.3</v>
      </c>
      <c r="O101" s="100">
        <v>0</v>
      </c>
      <c r="P101" s="100">
        <v>0.95</v>
      </c>
      <c r="Q101" s="100">
        <v>12.98</v>
      </c>
      <c r="R101" s="6"/>
      <c r="S101" s="6"/>
      <c r="T101" s="156"/>
      <c r="U101" s="6"/>
    </row>
    <row r="102" spans="1:28" customFormat="1">
      <c r="A102" s="163" t="s">
        <v>332</v>
      </c>
      <c r="B102" s="100">
        <v>15.62</v>
      </c>
      <c r="C102" s="100">
        <v>23.78</v>
      </c>
      <c r="D102" s="100">
        <v>26.3</v>
      </c>
      <c r="E102" s="100">
        <v>8.7799999999999994</v>
      </c>
      <c r="F102" s="152" t="s">
        <v>15</v>
      </c>
      <c r="G102" s="100">
        <v>110.63</v>
      </c>
      <c r="H102" s="100">
        <v>24.16</v>
      </c>
      <c r="I102" s="100">
        <v>11.21</v>
      </c>
      <c r="J102" s="100">
        <v>0.25</v>
      </c>
      <c r="K102" s="100">
        <v>158.05000000000001</v>
      </c>
      <c r="L102" s="100">
        <v>21.6</v>
      </c>
      <c r="M102" s="100">
        <v>77.88</v>
      </c>
      <c r="N102" s="100">
        <v>1.2</v>
      </c>
      <c r="O102" s="100">
        <v>0</v>
      </c>
      <c r="P102" s="100">
        <v>0.97</v>
      </c>
      <c r="Q102" s="100">
        <v>12.97</v>
      </c>
      <c r="R102" s="6"/>
      <c r="S102" s="6"/>
      <c r="T102" s="156"/>
      <c r="U102" s="6"/>
    </row>
    <row r="103" spans="1:28" customFormat="1">
      <c r="A103" s="163" t="s">
        <v>333</v>
      </c>
      <c r="B103" s="100">
        <v>15.23</v>
      </c>
      <c r="C103" s="100">
        <v>23.86</v>
      </c>
      <c r="D103" s="100">
        <v>26.02</v>
      </c>
      <c r="E103" s="100">
        <v>8.31</v>
      </c>
      <c r="F103" s="152" t="s">
        <v>15</v>
      </c>
      <c r="G103" s="100">
        <v>109.96</v>
      </c>
      <c r="H103" s="100">
        <v>24.25</v>
      </c>
      <c r="I103" s="100">
        <v>11.48</v>
      </c>
      <c r="J103" s="100">
        <v>0.14000000000000001</v>
      </c>
      <c r="K103" s="100">
        <v>179.45</v>
      </c>
      <c r="L103" s="100">
        <v>21.59</v>
      </c>
      <c r="M103" s="100">
        <v>77.88</v>
      </c>
      <c r="N103" s="100">
        <v>1.2</v>
      </c>
      <c r="O103" s="100">
        <v>0</v>
      </c>
      <c r="P103" s="100">
        <v>0.98</v>
      </c>
      <c r="Q103" s="100">
        <v>12.98</v>
      </c>
      <c r="R103" s="6"/>
      <c r="S103" s="6"/>
      <c r="T103" s="156"/>
      <c r="U103" s="6"/>
    </row>
    <row r="104" spans="1:28" customFormat="1">
      <c r="A104" s="163" t="s">
        <v>334</v>
      </c>
      <c r="B104" s="100">
        <v>14.89</v>
      </c>
      <c r="C104" s="100">
        <v>23.76</v>
      </c>
      <c r="D104" s="100">
        <v>25.7</v>
      </c>
      <c r="E104" s="100">
        <v>8.26</v>
      </c>
      <c r="F104" s="152" t="s">
        <v>15</v>
      </c>
      <c r="G104" s="100">
        <v>95.67</v>
      </c>
      <c r="H104" s="100">
        <v>27.18</v>
      </c>
      <c r="I104" s="100">
        <v>11.67</v>
      </c>
      <c r="J104" s="100">
        <v>0.17</v>
      </c>
      <c r="K104" s="100">
        <v>200.86</v>
      </c>
      <c r="L104" s="100">
        <v>21.46</v>
      </c>
      <c r="M104" s="100">
        <v>79.14</v>
      </c>
      <c r="N104" s="100">
        <v>1.2</v>
      </c>
      <c r="O104" s="100">
        <v>0</v>
      </c>
      <c r="P104" s="100">
        <v>0.99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4.0599999999999996</v>
      </c>
      <c r="C106" s="158">
        <f>MIN(C9:C104)</f>
        <v>16.510000000000002</v>
      </c>
      <c r="D106" s="158">
        <f t="shared" ref="D106:Q106" si="0">MIN(D9:D104)</f>
        <v>13.96</v>
      </c>
      <c r="E106" s="158">
        <f t="shared" si="0"/>
        <v>6.83</v>
      </c>
      <c r="F106" s="158">
        <f t="shared" si="0"/>
        <v>0</v>
      </c>
      <c r="G106" s="158">
        <f t="shared" si="0"/>
        <v>37.15</v>
      </c>
      <c r="H106" s="158">
        <f t="shared" si="0"/>
        <v>16.62</v>
      </c>
      <c r="I106" s="158">
        <f t="shared" si="0"/>
        <v>5.68</v>
      </c>
      <c r="J106" s="158">
        <f t="shared" si="0"/>
        <v>0.05</v>
      </c>
      <c r="K106" s="158">
        <f t="shared" si="0"/>
        <v>55.89</v>
      </c>
      <c r="L106" s="158">
        <f t="shared" si="0"/>
        <v>19.420000000000002</v>
      </c>
      <c r="M106" s="158">
        <f t="shared" si="0"/>
        <v>27.61</v>
      </c>
      <c r="N106" s="158">
        <f t="shared" si="0"/>
        <v>0.7</v>
      </c>
      <c r="O106" s="158">
        <f t="shared" si="0"/>
        <v>0</v>
      </c>
      <c r="P106" s="158">
        <f t="shared" si="0"/>
        <v>0.49</v>
      </c>
      <c r="Q106" s="158">
        <f t="shared" si="0"/>
        <v>12.91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16.440000000000001</v>
      </c>
      <c r="C107" s="157">
        <f t="shared" ref="C107:Q107" si="1">MAX(C9:C104)</f>
        <v>27.11</v>
      </c>
      <c r="D107" s="157">
        <f t="shared" si="1"/>
        <v>27.57</v>
      </c>
      <c r="E107" s="157">
        <f t="shared" si="1"/>
        <v>11.06</v>
      </c>
      <c r="F107" s="157">
        <f t="shared" si="1"/>
        <v>0</v>
      </c>
      <c r="G107" s="157">
        <f t="shared" si="1"/>
        <v>145.38</v>
      </c>
      <c r="H107" s="157">
        <f t="shared" si="1"/>
        <v>29.32</v>
      </c>
      <c r="I107" s="157">
        <f t="shared" si="1"/>
        <v>12.58</v>
      </c>
      <c r="J107" s="157">
        <f t="shared" si="1"/>
        <v>0.96</v>
      </c>
      <c r="K107" s="157">
        <f t="shared" si="1"/>
        <v>291.08</v>
      </c>
      <c r="L107" s="157">
        <f t="shared" si="1"/>
        <v>33.270000000000003</v>
      </c>
      <c r="M107" s="157">
        <f t="shared" si="1"/>
        <v>94.98</v>
      </c>
      <c r="N107" s="157">
        <f t="shared" si="1"/>
        <v>367.2</v>
      </c>
      <c r="O107" s="157">
        <f t="shared" si="1"/>
        <v>0</v>
      </c>
      <c r="P107" s="157">
        <f t="shared" si="1"/>
        <v>1</v>
      </c>
      <c r="Q107" s="157">
        <f t="shared" si="1"/>
        <v>12.98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10.149270833333336</v>
      </c>
      <c r="C108" s="158">
        <f t="shared" ref="C108:Q108" si="2">AVERAGE(C9:C104)</f>
        <v>21.721458333333331</v>
      </c>
      <c r="D108" s="158">
        <f t="shared" si="2"/>
        <v>20.838645833333342</v>
      </c>
      <c r="E108" s="158">
        <f t="shared" si="2"/>
        <v>9.5063541666666627</v>
      </c>
      <c r="F108" s="158" t="e">
        <f t="shared" si="2"/>
        <v>#DIV/0!</v>
      </c>
      <c r="G108" s="158">
        <f t="shared" si="2"/>
        <v>71.219895833333382</v>
      </c>
      <c r="H108" s="158">
        <f t="shared" si="2"/>
        <v>22.801874999999981</v>
      </c>
      <c r="I108" s="158">
        <f t="shared" si="2"/>
        <v>10.100416666666669</v>
      </c>
      <c r="J108" s="158">
        <f t="shared" si="2"/>
        <v>0.26375000000000004</v>
      </c>
      <c r="K108" s="158">
        <f t="shared" si="2"/>
        <v>201.80229166666655</v>
      </c>
      <c r="L108" s="158">
        <f t="shared" si="2"/>
        <v>25.502500000000015</v>
      </c>
      <c r="M108" s="158">
        <f t="shared" si="2"/>
        <v>63.667500000000018</v>
      </c>
      <c r="N108" s="158">
        <f t="shared" si="2"/>
        <v>85.703125000000014</v>
      </c>
      <c r="O108" s="158">
        <f t="shared" si="2"/>
        <v>0</v>
      </c>
      <c r="P108" s="158">
        <f t="shared" si="2"/>
        <v>0.80822916666666689</v>
      </c>
      <c r="Q108" s="158">
        <f t="shared" si="2"/>
        <v>12.945416666666661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4.0223638624155642</v>
      </c>
      <c r="C109" s="158">
        <f t="shared" ref="C109:Q109" si="3">STDEV(C9:C104)</f>
        <v>2.8424011269817022</v>
      </c>
      <c r="D109" s="158">
        <f t="shared" si="3"/>
        <v>4.412061606620389</v>
      </c>
      <c r="E109" s="158">
        <f t="shared" si="3"/>
        <v>0.74675595927940108</v>
      </c>
      <c r="F109" s="158" t="e">
        <f t="shared" si="3"/>
        <v>#DIV/0!</v>
      </c>
      <c r="G109" s="158">
        <f t="shared" si="3"/>
        <v>32.322386457451152</v>
      </c>
      <c r="H109" s="158">
        <f t="shared" si="3"/>
        <v>3.2465727070414294</v>
      </c>
      <c r="I109" s="158">
        <f t="shared" si="3"/>
        <v>2.1759832220070185</v>
      </c>
      <c r="J109" s="158">
        <f t="shared" si="3"/>
        <v>0.18718552575621764</v>
      </c>
      <c r="K109" s="158">
        <f t="shared" si="3"/>
        <v>55.262774764691535</v>
      </c>
      <c r="L109" s="158">
        <f t="shared" si="3"/>
        <v>5.0610573058038781</v>
      </c>
      <c r="M109" s="158">
        <f t="shared" si="3"/>
        <v>23.618433701799848</v>
      </c>
      <c r="N109" s="158">
        <f t="shared" si="3"/>
        <v>130.05016477710677</v>
      </c>
      <c r="O109" s="158">
        <f t="shared" si="3"/>
        <v>0</v>
      </c>
      <c r="P109" s="158">
        <f t="shared" si="3"/>
        <v>0.16799746108148259</v>
      </c>
      <c r="Q109" s="158">
        <f t="shared" si="3"/>
        <v>1.9730642301102237E-2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79" activePane="bottomRight" state="frozen"/>
      <selection pane="topRight"/>
      <selection pane="bottomLeft"/>
      <selection pane="bottomRight" activeCell="L99" sqref="L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335</v>
      </c>
      <c r="B9" s="100">
        <v>14.48</v>
      </c>
      <c r="C9" s="100">
        <v>22.42</v>
      </c>
      <c r="D9" s="100">
        <v>24.68</v>
      </c>
      <c r="E9" s="100">
        <v>8.18</v>
      </c>
      <c r="F9" s="152" t="s">
        <v>15</v>
      </c>
      <c r="G9" s="100">
        <v>95.67</v>
      </c>
      <c r="H9" s="100">
        <v>27.18</v>
      </c>
      <c r="I9" s="100">
        <v>11.86</v>
      </c>
      <c r="J9" s="100">
        <v>0.17</v>
      </c>
      <c r="K9" s="100">
        <v>207.42</v>
      </c>
      <c r="L9" s="100">
        <v>21.27</v>
      </c>
      <c r="M9" s="100">
        <v>79.39</v>
      </c>
      <c r="N9" s="100">
        <v>1.4</v>
      </c>
      <c r="O9" s="100">
        <v>0</v>
      </c>
      <c r="P9" s="100">
        <v>0.99</v>
      </c>
      <c r="Q9" s="100">
        <v>12.97</v>
      </c>
      <c r="R9" s="6"/>
      <c r="S9" s="6"/>
      <c r="T9" s="156"/>
      <c r="U9" s="6"/>
    </row>
    <row r="10" spans="1:21" customFormat="1">
      <c r="A10" s="163" t="s">
        <v>336</v>
      </c>
      <c r="B10" s="100">
        <v>14.21</v>
      </c>
      <c r="C10" s="100">
        <v>23.38</v>
      </c>
      <c r="D10" s="100">
        <v>24.96</v>
      </c>
      <c r="E10" s="100">
        <v>8.09</v>
      </c>
      <c r="F10" s="152" t="s">
        <v>15</v>
      </c>
      <c r="G10" s="100">
        <v>95.67</v>
      </c>
      <c r="H10" s="100">
        <v>27.18</v>
      </c>
      <c r="I10" s="100">
        <v>12.05</v>
      </c>
      <c r="J10" s="100">
        <v>0.14000000000000001</v>
      </c>
      <c r="K10" s="100">
        <v>202.35</v>
      </c>
      <c r="L10" s="100">
        <v>20.95</v>
      </c>
      <c r="M10" s="100">
        <v>80.44</v>
      </c>
      <c r="N10" s="100">
        <v>1.4</v>
      </c>
      <c r="O10" s="100">
        <v>0</v>
      </c>
      <c r="P10" s="100">
        <v>1.01</v>
      </c>
      <c r="Q10" s="100">
        <v>12.96</v>
      </c>
      <c r="R10" s="6"/>
      <c r="S10" s="6"/>
      <c r="T10" s="156"/>
      <c r="U10" s="6"/>
    </row>
    <row r="11" spans="1:21" customFormat="1">
      <c r="A11" s="163" t="s">
        <v>337</v>
      </c>
      <c r="B11" s="100">
        <v>13.98</v>
      </c>
      <c r="C11" s="100">
        <v>23.51</v>
      </c>
      <c r="D11" s="100">
        <v>24.84</v>
      </c>
      <c r="E11" s="100">
        <v>7.94</v>
      </c>
      <c r="F11" s="152" t="s">
        <v>15</v>
      </c>
      <c r="G11" s="100">
        <v>96.08</v>
      </c>
      <c r="H11" s="100">
        <v>27.08</v>
      </c>
      <c r="I11" s="100">
        <v>12.19</v>
      </c>
      <c r="J11" s="100">
        <v>0.14000000000000001</v>
      </c>
      <c r="K11" s="100">
        <v>215.2</v>
      </c>
      <c r="L11" s="100">
        <v>20.91</v>
      </c>
      <c r="M11" s="100">
        <v>82.35</v>
      </c>
      <c r="N11" s="100">
        <v>1.2</v>
      </c>
      <c r="O11" s="100">
        <v>0</v>
      </c>
      <c r="P11" s="100">
        <v>1.01</v>
      </c>
      <c r="Q11" s="100">
        <v>12.96</v>
      </c>
      <c r="R11" s="6"/>
      <c r="S11" s="6"/>
      <c r="T11" s="156"/>
      <c r="U11" s="6"/>
    </row>
    <row r="12" spans="1:21" customFormat="1">
      <c r="A12" s="163" t="s">
        <v>338</v>
      </c>
      <c r="B12" s="100">
        <v>13.78</v>
      </c>
      <c r="C12" s="100">
        <v>23.39</v>
      </c>
      <c r="D12" s="100">
        <v>24.62</v>
      </c>
      <c r="E12" s="100">
        <v>7.94</v>
      </c>
      <c r="F12" s="152" t="s">
        <v>15</v>
      </c>
      <c r="G12" s="100">
        <v>104.91</v>
      </c>
      <c r="H12" s="100">
        <v>24.13</v>
      </c>
      <c r="I12" s="100">
        <v>12.35</v>
      </c>
      <c r="J12" s="100">
        <v>0.15</v>
      </c>
      <c r="K12" s="100">
        <v>226.82</v>
      </c>
      <c r="L12" s="100">
        <v>20.78</v>
      </c>
      <c r="M12" s="100">
        <v>82.84</v>
      </c>
      <c r="N12" s="100">
        <v>1.3</v>
      </c>
      <c r="O12" s="100">
        <v>0</v>
      </c>
      <c r="P12" s="100">
        <v>1.02</v>
      </c>
      <c r="Q12" s="100">
        <v>12.96</v>
      </c>
      <c r="R12" s="6"/>
      <c r="S12" s="6"/>
      <c r="T12" s="156"/>
      <c r="U12" s="6"/>
    </row>
    <row r="13" spans="1:21" customFormat="1">
      <c r="A13" s="163" t="s">
        <v>339</v>
      </c>
      <c r="B13" s="100">
        <v>13.63</v>
      </c>
      <c r="C13" s="100">
        <v>23.37</v>
      </c>
      <c r="D13" s="100">
        <v>24.49</v>
      </c>
      <c r="E13" s="100">
        <v>8.11</v>
      </c>
      <c r="F13" s="152" t="s">
        <v>15</v>
      </c>
      <c r="G13" s="100">
        <v>104.91</v>
      </c>
      <c r="H13" s="100">
        <v>24.13</v>
      </c>
      <c r="I13" s="100">
        <v>12.52</v>
      </c>
      <c r="J13" s="100">
        <v>0.16</v>
      </c>
      <c r="K13" s="100">
        <v>203.88</v>
      </c>
      <c r="L13" s="100">
        <v>20.8</v>
      </c>
      <c r="M13" s="100">
        <v>83.61</v>
      </c>
      <c r="N13" s="100">
        <v>1.2</v>
      </c>
      <c r="O13" s="100">
        <v>0</v>
      </c>
      <c r="P13" s="100">
        <v>1.02</v>
      </c>
      <c r="Q13" s="100">
        <v>12.96</v>
      </c>
      <c r="R13" s="6"/>
      <c r="S13" s="6"/>
      <c r="T13" s="156"/>
      <c r="U13" s="6"/>
    </row>
    <row r="14" spans="1:21" customFormat="1">
      <c r="A14" s="163" t="s">
        <v>340</v>
      </c>
      <c r="B14" s="100">
        <v>13.53</v>
      </c>
      <c r="C14" s="100">
        <v>23.33</v>
      </c>
      <c r="D14" s="100">
        <v>24.39</v>
      </c>
      <c r="E14" s="100">
        <v>7.66</v>
      </c>
      <c r="F14" s="152" t="s">
        <v>15</v>
      </c>
      <c r="G14" s="100">
        <v>104.91</v>
      </c>
      <c r="H14" s="100">
        <v>24.13</v>
      </c>
      <c r="I14" s="100">
        <v>12.68</v>
      </c>
      <c r="J14" s="100">
        <v>0.17</v>
      </c>
      <c r="K14" s="100">
        <v>202.11</v>
      </c>
      <c r="L14" s="100">
        <v>20.67</v>
      </c>
      <c r="M14" s="100">
        <v>84.51</v>
      </c>
      <c r="N14" s="100">
        <v>1.3</v>
      </c>
      <c r="O14" s="100">
        <v>0</v>
      </c>
      <c r="P14" s="100">
        <v>1.03</v>
      </c>
      <c r="Q14" s="100">
        <v>12.97</v>
      </c>
      <c r="R14" s="6"/>
      <c r="S14" s="6"/>
      <c r="T14" s="156"/>
      <c r="U14" s="6"/>
    </row>
    <row r="15" spans="1:21" customFormat="1">
      <c r="A15" s="163" t="s">
        <v>341</v>
      </c>
      <c r="B15" s="100">
        <v>13.42</v>
      </c>
      <c r="C15" s="100">
        <v>23.19</v>
      </c>
      <c r="D15" s="100">
        <v>24.23</v>
      </c>
      <c r="E15" s="100">
        <v>7.6</v>
      </c>
      <c r="F15" s="152" t="s">
        <v>15</v>
      </c>
      <c r="G15" s="100">
        <v>104.27</v>
      </c>
      <c r="H15" s="100">
        <v>24.15</v>
      </c>
      <c r="I15" s="100">
        <v>12.77</v>
      </c>
      <c r="J15" s="100">
        <v>0.16</v>
      </c>
      <c r="K15" s="100">
        <v>211.01</v>
      </c>
      <c r="L15" s="100">
        <v>20.57</v>
      </c>
      <c r="M15" s="100">
        <v>84.05</v>
      </c>
      <c r="N15" s="100">
        <v>1.3</v>
      </c>
      <c r="O15" s="100">
        <v>0</v>
      </c>
      <c r="P15" s="100">
        <v>1.03</v>
      </c>
      <c r="Q15" s="100">
        <v>12.98</v>
      </c>
      <c r="R15" s="6"/>
      <c r="S15" s="6"/>
      <c r="T15" s="156"/>
      <c r="U15" s="6"/>
    </row>
    <row r="16" spans="1:21" customFormat="1">
      <c r="A16" s="163" t="s">
        <v>342</v>
      </c>
      <c r="B16" s="100">
        <v>13.29</v>
      </c>
      <c r="C16" s="100">
        <v>23.15</v>
      </c>
      <c r="D16" s="100">
        <v>24.1</v>
      </c>
      <c r="E16" s="100">
        <v>7.65</v>
      </c>
      <c r="F16" s="152" t="s">
        <v>15</v>
      </c>
      <c r="G16" s="100">
        <v>90.49</v>
      </c>
      <c r="H16" s="100">
        <v>24.78</v>
      </c>
      <c r="I16" s="100">
        <v>12.85</v>
      </c>
      <c r="J16" s="100">
        <v>0.13</v>
      </c>
      <c r="K16" s="100">
        <v>199.41</v>
      </c>
      <c r="L16" s="100">
        <v>20.49</v>
      </c>
      <c r="M16" s="100">
        <v>83.71</v>
      </c>
      <c r="N16" s="100">
        <v>1.3</v>
      </c>
      <c r="O16" s="100">
        <v>0</v>
      </c>
      <c r="P16" s="100">
        <v>1.02</v>
      </c>
      <c r="Q16" s="100">
        <v>12.96</v>
      </c>
      <c r="R16" s="6"/>
      <c r="S16" s="6"/>
      <c r="T16" s="156"/>
      <c r="U16" s="6"/>
    </row>
    <row r="17" spans="1:21" customFormat="1">
      <c r="A17" s="163" t="s">
        <v>343</v>
      </c>
      <c r="B17" s="100">
        <v>13.2</v>
      </c>
      <c r="C17" s="100">
        <v>23</v>
      </c>
      <c r="D17" s="100">
        <v>23.95</v>
      </c>
      <c r="E17" s="100">
        <v>9.07</v>
      </c>
      <c r="F17" s="152" t="s">
        <v>15</v>
      </c>
      <c r="G17" s="100">
        <v>90.49</v>
      </c>
      <c r="H17" s="100">
        <v>24.78</v>
      </c>
      <c r="I17" s="100">
        <v>12.94</v>
      </c>
      <c r="J17" s="100">
        <v>0.12</v>
      </c>
      <c r="K17" s="100">
        <v>157.46</v>
      </c>
      <c r="L17" s="100">
        <v>20.3</v>
      </c>
      <c r="M17" s="100">
        <v>83.76</v>
      </c>
      <c r="N17" s="100">
        <v>1.4</v>
      </c>
      <c r="O17" s="100">
        <v>0</v>
      </c>
      <c r="P17" s="100">
        <v>1.03</v>
      </c>
      <c r="Q17" s="100">
        <v>12.95</v>
      </c>
      <c r="R17" s="6"/>
      <c r="S17" s="6"/>
      <c r="T17" s="156"/>
      <c r="U17" s="6"/>
    </row>
    <row r="18" spans="1:21" customFormat="1">
      <c r="A18" s="163" t="s">
        <v>344</v>
      </c>
      <c r="B18" s="100">
        <v>13.15</v>
      </c>
      <c r="C18" s="100">
        <v>22.77</v>
      </c>
      <c r="D18" s="100">
        <v>23.79</v>
      </c>
      <c r="E18" s="100">
        <v>11.22</v>
      </c>
      <c r="F18" s="152" t="s">
        <v>15</v>
      </c>
      <c r="G18" s="100">
        <v>90.49</v>
      </c>
      <c r="H18" s="100">
        <v>24.78</v>
      </c>
      <c r="I18" s="100">
        <v>12.99</v>
      </c>
      <c r="J18" s="100">
        <v>0.11</v>
      </c>
      <c r="K18" s="100">
        <v>140.57</v>
      </c>
      <c r="L18" s="100">
        <v>20.190000000000001</v>
      </c>
      <c r="M18" s="100">
        <v>83.94</v>
      </c>
      <c r="N18" s="100">
        <v>1.3</v>
      </c>
      <c r="O18" s="100">
        <v>0</v>
      </c>
      <c r="P18" s="100">
        <v>1.03</v>
      </c>
      <c r="Q18" s="100">
        <v>12.96</v>
      </c>
      <c r="R18" s="6"/>
      <c r="S18" s="6"/>
      <c r="T18" s="156"/>
      <c r="U18" s="6"/>
    </row>
    <row r="19" spans="1:21" customFormat="1">
      <c r="A19" s="163" t="s">
        <v>345</v>
      </c>
      <c r="B19" s="100">
        <v>13.02</v>
      </c>
      <c r="C19" s="100">
        <v>22.49</v>
      </c>
      <c r="D19" s="100">
        <v>23.54</v>
      </c>
      <c r="E19" s="100">
        <v>10.74</v>
      </c>
      <c r="F19" s="152" t="s">
        <v>15</v>
      </c>
      <c r="G19" s="100">
        <v>90.24</v>
      </c>
      <c r="H19" s="100">
        <v>24.62</v>
      </c>
      <c r="I19" s="100">
        <v>13.02</v>
      </c>
      <c r="J19" s="100">
        <v>0.18</v>
      </c>
      <c r="K19" s="100">
        <v>157.08000000000001</v>
      </c>
      <c r="L19" s="100">
        <v>20.22</v>
      </c>
      <c r="M19" s="100">
        <v>84.27</v>
      </c>
      <c r="N19" s="100">
        <v>1.1000000000000001</v>
      </c>
      <c r="O19" s="100">
        <v>0</v>
      </c>
      <c r="P19" s="100">
        <v>1.03</v>
      </c>
      <c r="Q19" s="100">
        <v>12.96</v>
      </c>
      <c r="R19" s="6"/>
      <c r="S19" s="6"/>
      <c r="T19" s="156"/>
      <c r="U19" s="6"/>
    </row>
    <row r="20" spans="1:21" customFormat="1">
      <c r="A20" s="163" t="s">
        <v>346</v>
      </c>
      <c r="B20" s="100">
        <v>12.83</v>
      </c>
      <c r="C20" s="100">
        <v>22.55</v>
      </c>
      <c r="D20" s="100">
        <v>23.42</v>
      </c>
      <c r="E20" s="100">
        <v>11.03</v>
      </c>
      <c r="F20" s="152" t="s">
        <v>15</v>
      </c>
      <c r="G20" s="100">
        <v>83.25</v>
      </c>
      <c r="H20" s="100">
        <v>21.37</v>
      </c>
      <c r="I20" s="100">
        <v>13.08</v>
      </c>
      <c r="J20" s="100">
        <v>0.18</v>
      </c>
      <c r="K20" s="100">
        <v>162.49</v>
      </c>
      <c r="L20" s="100">
        <v>20.239999999999998</v>
      </c>
      <c r="M20" s="100">
        <v>83.85</v>
      </c>
      <c r="N20" s="100">
        <v>1.3</v>
      </c>
      <c r="O20" s="100">
        <v>0</v>
      </c>
      <c r="P20" s="100">
        <v>1.02</v>
      </c>
      <c r="Q20" s="100">
        <v>12.93</v>
      </c>
      <c r="R20" s="6"/>
      <c r="S20" s="6"/>
      <c r="T20" s="156"/>
      <c r="U20" s="6"/>
    </row>
    <row r="21" spans="1:21" customFormat="1">
      <c r="A21" s="163" t="s">
        <v>347</v>
      </c>
      <c r="B21" s="100">
        <v>12.67</v>
      </c>
      <c r="C21" s="100">
        <v>22.25</v>
      </c>
      <c r="D21" s="100">
        <v>23.13</v>
      </c>
      <c r="E21" s="100">
        <v>10.76</v>
      </c>
      <c r="F21" s="152" t="s">
        <v>15</v>
      </c>
      <c r="G21" s="100">
        <v>83.25</v>
      </c>
      <c r="H21" s="100">
        <v>21.37</v>
      </c>
      <c r="I21" s="100">
        <v>13.11</v>
      </c>
      <c r="J21" s="100">
        <v>0.16</v>
      </c>
      <c r="K21" s="100">
        <v>172.42</v>
      </c>
      <c r="L21" s="100">
        <v>20.09</v>
      </c>
      <c r="M21" s="100">
        <v>84.96</v>
      </c>
      <c r="N21" s="100">
        <v>1.3</v>
      </c>
      <c r="O21" s="100">
        <v>0</v>
      </c>
      <c r="P21" s="100">
        <v>1.03</v>
      </c>
      <c r="Q21" s="100">
        <v>12.93</v>
      </c>
      <c r="R21" s="6"/>
      <c r="S21" s="6"/>
      <c r="T21" s="156"/>
      <c r="U21" s="6"/>
    </row>
    <row r="22" spans="1:21" customFormat="1">
      <c r="A22" s="163" t="s">
        <v>348</v>
      </c>
      <c r="B22" s="100">
        <v>12.47</v>
      </c>
      <c r="C22" s="100">
        <v>22.03</v>
      </c>
      <c r="D22" s="100">
        <v>22.86</v>
      </c>
      <c r="E22" s="100">
        <v>10.95</v>
      </c>
      <c r="F22" s="152" t="s">
        <v>15</v>
      </c>
      <c r="G22" s="100">
        <v>83.25</v>
      </c>
      <c r="H22" s="100">
        <v>21.37</v>
      </c>
      <c r="I22" s="100">
        <v>13.12</v>
      </c>
      <c r="J22" s="100">
        <v>0.19</v>
      </c>
      <c r="K22" s="100">
        <v>223.14</v>
      </c>
      <c r="L22" s="100">
        <v>19.989999999999998</v>
      </c>
      <c r="M22" s="100">
        <v>84.21</v>
      </c>
      <c r="N22" s="100">
        <v>1.1000000000000001</v>
      </c>
      <c r="O22" s="100">
        <v>0</v>
      </c>
      <c r="P22" s="100">
        <v>1.02</v>
      </c>
      <c r="Q22" s="100">
        <v>12.95</v>
      </c>
      <c r="R22" s="6"/>
      <c r="S22" s="6"/>
      <c r="T22" s="156"/>
      <c r="U22" s="6"/>
    </row>
    <row r="23" spans="1:21" customFormat="1">
      <c r="A23" s="163" t="s">
        <v>349</v>
      </c>
      <c r="B23" s="100">
        <v>12.18</v>
      </c>
      <c r="C23" s="100">
        <v>22.07</v>
      </c>
      <c r="D23" s="100">
        <v>22.65</v>
      </c>
      <c r="E23" s="100">
        <v>10.59</v>
      </c>
      <c r="F23" s="152" t="s">
        <v>15</v>
      </c>
      <c r="G23" s="100">
        <v>82.52</v>
      </c>
      <c r="H23" s="100">
        <v>21.46</v>
      </c>
      <c r="I23" s="100">
        <v>13.17</v>
      </c>
      <c r="J23" s="100">
        <v>0.19</v>
      </c>
      <c r="K23" s="100">
        <v>226.52</v>
      </c>
      <c r="L23" s="100">
        <v>19.920000000000002</v>
      </c>
      <c r="M23" s="100">
        <v>85.26</v>
      </c>
      <c r="N23" s="100">
        <v>1.3</v>
      </c>
      <c r="O23" s="100">
        <v>0</v>
      </c>
      <c r="P23" s="100">
        <v>1.02</v>
      </c>
      <c r="Q23" s="100">
        <v>12.95</v>
      </c>
      <c r="R23" s="6"/>
      <c r="S23" s="6"/>
      <c r="T23" s="156"/>
      <c r="U23" s="6"/>
    </row>
    <row r="24" spans="1:21" customFormat="1">
      <c r="A24" s="163" t="s">
        <v>350</v>
      </c>
      <c r="B24" s="100">
        <v>12.09</v>
      </c>
      <c r="C24" s="100">
        <v>22.29</v>
      </c>
      <c r="D24" s="100">
        <v>22.69</v>
      </c>
      <c r="E24" s="100">
        <v>11.39</v>
      </c>
      <c r="F24" s="152" t="s">
        <v>15</v>
      </c>
      <c r="G24" s="100">
        <v>61.21</v>
      </c>
      <c r="H24" s="100">
        <v>24.32</v>
      </c>
      <c r="I24" s="100">
        <v>13.18</v>
      </c>
      <c r="J24" s="100">
        <v>0.13</v>
      </c>
      <c r="K24" s="100">
        <v>187.66</v>
      </c>
      <c r="L24" s="100">
        <v>19.670000000000002</v>
      </c>
      <c r="M24" s="100">
        <v>87.39</v>
      </c>
      <c r="N24" s="100">
        <v>1.4</v>
      </c>
      <c r="O24" s="100">
        <v>0</v>
      </c>
      <c r="P24" s="100">
        <v>1.03</v>
      </c>
      <c r="Q24" s="100">
        <v>12.96</v>
      </c>
      <c r="R24" s="6"/>
      <c r="S24" s="6"/>
      <c r="T24" s="156"/>
      <c r="U24" s="6"/>
    </row>
    <row r="25" spans="1:21" customFormat="1">
      <c r="A25" s="163" t="s">
        <v>351</v>
      </c>
      <c r="B25" s="100">
        <v>12.31</v>
      </c>
      <c r="C25" s="100">
        <v>22.05</v>
      </c>
      <c r="D25" s="100">
        <v>22.74</v>
      </c>
      <c r="E25" s="100">
        <v>11.57</v>
      </c>
      <c r="F25" s="152" t="s">
        <v>15</v>
      </c>
      <c r="G25" s="100">
        <v>61.21</v>
      </c>
      <c r="H25" s="100">
        <v>24.32</v>
      </c>
      <c r="I25" s="100">
        <v>13.12</v>
      </c>
      <c r="J25" s="100">
        <v>0.12</v>
      </c>
      <c r="K25" s="100">
        <v>194.85</v>
      </c>
      <c r="L25" s="100">
        <v>19.559999999999999</v>
      </c>
      <c r="M25" s="100">
        <v>87.58</v>
      </c>
      <c r="N25" s="100">
        <v>1.3</v>
      </c>
      <c r="O25" s="100">
        <v>0</v>
      </c>
      <c r="P25" s="100">
        <v>1.02</v>
      </c>
      <c r="Q25" s="100">
        <v>12.96</v>
      </c>
      <c r="R25" s="6"/>
      <c r="S25" s="6"/>
      <c r="T25" s="156"/>
      <c r="U25" s="6"/>
    </row>
    <row r="26" spans="1:21" customFormat="1">
      <c r="A26" s="163" t="s">
        <v>352</v>
      </c>
      <c r="B26" s="100">
        <v>12.47</v>
      </c>
      <c r="C26" s="100">
        <v>22.15</v>
      </c>
      <c r="D26" s="100">
        <v>22.93</v>
      </c>
      <c r="E26" s="100">
        <v>11.67</v>
      </c>
      <c r="F26" s="152" t="s">
        <v>15</v>
      </c>
      <c r="G26" s="100">
        <v>61.21</v>
      </c>
      <c r="H26" s="100">
        <v>24.32</v>
      </c>
      <c r="I26" s="100">
        <v>13.09</v>
      </c>
      <c r="J26" s="100">
        <v>0.12</v>
      </c>
      <c r="K26" s="100">
        <v>189.35</v>
      </c>
      <c r="L26" s="100">
        <v>19.55</v>
      </c>
      <c r="M26" s="100">
        <v>88.86</v>
      </c>
      <c r="N26" s="100">
        <v>1.3</v>
      </c>
      <c r="O26" s="100">
        <v>0</v>
      </c>
      <c r="P26" s="100">
        <v>1.01</v>
      </c>
      <c r="Q26" s="100">
        <v>12.94</v>
      </c>
      <c r="R26" s="6"/>
      <c r="S26" s="6"/>
      <c r="T26" s="156"/>
      <c r="U26" s="6"/>
    </row>
    <row r="27" spans="1:21" customFormat="1">
      <c r="A27" s="163" t="s">
        <v>353</v>
      </c>
      <c r="B27" s="100">
        <v>12.6</v>
      </c>
      <c r="C27" s="100">
        <v>22.46</v>
      </c>
      <c r="D27" s="100">
        <v>23.19</v>
      </c>
      <c r="E27" s="100">
        <v>11.72</v>
      </c>
      <c r="F27" s="152" t="s">
        <v>15</v>
      </c>
      <c r="G27" s="100">
        <v>61.01</v>
      </c>
      <c r="H27" s="100">
        <v>24.29</v>
      </c>
      <c r="I27" s="100">
        <v>13.1</v>
      </c>
      <c r="J27" s="100">
        <v>0.08</v>
      </c>
      <c r="K27" s="100">
        <v>202.95</v>
      </c>
      <c r="L27" s="100">
        <v>19.47</v>
      </c>
      <c r="M27" s="100">
        <v>86.69</v>
      </c>
      <c r="N27" s="100">
        <v>1.3</v>
      </c>
      <c r="O27" s="100">
        <v>0</v>
      </c>
      <c r="P27" s="100">
        <v>1.02</v>
      </c>
      <c r="Q27" s="100">
        <v>12.95</v>
      </c>
      <c r="R27" s="6"/>
      <c r="S27" s="6"/>
      <c r="T27" s="156"/>
      <c r="U27" s="6"/>
    </row>
    <row r="28" spans="1:21" customFormat="1">
      <c r="A28" s="163" t="s">
        <v>354</v>
      </c>
      <c r="B28" s="100">
        <v>12.69</v>
      </c>
      <c r="C28" s="100">
        <v>22.75</v>
      </c>
      <c r="D28" s="100">
        <v>23.41</v>
      </c>
      <c r="E28" s="100">
        <v>11</v>
      </c>
      <c r="F28" s="152" t="s">
        <v>15</v>
      </c>
      <c r="G28" s="100">
        <v>55.25</v>
      </c>
      <c r="H28" s="100">
        <v>23.34</v>
      </c>
      <c r="I28" s="100">
        <v>13.1</v>
      </c>
      <c r="J28" s="100">
        <v>0.13</v>
      </c>
      <c r="K28" s="100">
        <v>166.44</v>
      </c>
      <c r="L28" s="100">
        <v>19.649999999999999</v>
      </c>
      <c r="M28" s="100">
        <v>83.54</v>
      </c>
      <c r="N28" s="100">
        <v>1.2</v>
      </c>
      <c r="O28" s="100">
        <v>0</v>
      </c>
      <c r="P28" s="100">
        <v>1.02</v>
      </c>
      <c r="Q28" s="100">
        <v>12.96</v>
      </c>
      <c r="R28" s="6"/>
      <c r="S28" s="6"/>
      <c r="T28" s="156"/>
      <c r="U28" s="6"/>
    </row>
    <row r="29" spans="1:21" customFormat="1">
      <c r="A29" s="163" t="s">
        <v>355</v>
      </c>
      <c r="B29" s="100">
        <v>12.76</v>
      </c>
      <c r="C29" s="100">
        <v>22.76</v>
      </c>
      <c r="D29" s="100">
        <v>23.48</v>
      </c>
      <c r="E29" s="100">
        <v>11.5</v>
      </c>
      <c r="F29" s="152" t="s">
        <v>15</v>
      </c>
      <c r="G29" s="100">
        <v>55.25</v>
      </c>
      <c r="H29" s="100">
        <v>23.34</v>
      </c>
      <c r="I29" s="100">
        <v>13.15</v>
      </c>
      <c r="J29" s="100">
        <v>0.09</v>
      </c>
      <c r="K29" s="100">
        <v>139.02000000000001</v>
      </c>
      <c r="L29" s="100">
        <v>19.66</v>
      </c>
      <c r="M29" s="100">
        <v>83.83</v>
      </c>
      <c r="N29" s="100">
        <v>1.2</v>
      </c>
      <c r="O29" s="100">
        <v>0</v>
      </c>
      <c r="P29" s="100">
        <v>1.01</v>
      </c>
      <c r="Q29" s="100">
        <v>12.96</v>
      </c>
      <c r="R29" s="6"/>
      <c r="S29" s="6"/>
      <c r="T29" s="156"/>
      <c r="U29" s="6"/>
    </row>
    <row r="30" spans="1:21" customFormat="1">
      <c r="A30" s="163" t="s">
        <v>356</v>
      </c>
      <c r="B30" s="100">
        <v>12.98</v>
      </c>
      <c r="C30" s="100">
        <v>22.5</v>
      </c>
      <c r="D30" s="100">
        <v>23.52</v>
      </c>
      <c r="E30" s="100">
        <v>11.55</v>
      </c>
      <c r="F30" s="152" t="s">
        <v>15</v>
      </c>
      <c r="G30" s="100">
        <v>55.25</v>
      </c>
      <c r="H30" s="100">
        <v>23.34</v>
      </c>
      <c r="I30" s="100">
        <v>13.09</v>
      </c>
      <c r="J30" s="100">
        <v>0.22</v>
      </c>
      <c r="K30" s="100">
        <v>175.59</v>
      </c>
      <c r="L30" s="100">
        <v>19.71</v>
      </c>
      <c r="M30" s="100">
        <v>82.5</v>
      </c>
      <c r="N30" s="100">
        <v>1.2</v>
      </c>
      <c r="O30" s="100">
        <v>0</v>
      </c>
      <c r="P30" s="100">
        <v>1.01</v>
      </c>
      <c r="Q30" s="100">
        <v>12.97</v>
      </c>
      <c r="R30" s="6"/>
      <c r="S30" s="6"/>
      <c r="T30" s="156"/>
      <c r="U30" s="6"/>
    </row>
    <row r="31" spans="1:21" customFormat="1">
      <c r="A31" s="163" t="s">
        <v>357</v>
      </c>
      <c r="B31" s="100">
        <v>13.26</v>
      </c>
      <c r="C31" s="100">
        <v>22.85</v>
      </c>
      <c r="D31" s="100">
        <v>23.92</v>
      </c>
      <c r="E31" s="100">
        <v>10.82</v>
      </c>
      <c r="F31" s="152" t="s">
        <v>15</v>
      </c>
      <c r="G31" s="100">
        <v>55.37</v>
      </c>
      <c r="H31" s="100">
        <v>23.28</v>
      </c>
      <c r="I31" s="100">
        <v>13.03</v>
      </c>
      <c r="J31" s="100">
        <v>0.18</v>
      </c>
      <c r="K31" s="100">
        <v>165.38</v>
      </c>
      <c r="L31" s="100">
        <v>19.579999999999998</v>
      </c>
      <c r="M31" s="100">
        <v>86.47</v>
      </c>
      <c r="N31" s="100">
        <v>1.3</v>
      </c>
      <c r="O31" s="100">
        <v>0</v>
      </c>
      <c r="P31" s="100">
        <v>1</v>
      </c>
      <c r="Q31" s="100">
        <v>12.96</v>
      </c>
      <c r="R31" s="6"/>
      <c r="S31" s="6"/>
      <c r="T31" s="156"/>
      <c r="U31" s="6"/>
    </row>
    <row r="32" spans="1:21" customFormat="1">
      <c r="A32" s="163" t="s">
        <v>358</v>
      </c>
      <c r="B32" s="100">
        <v>13.4</v>
      </c>
      <c r="C32" s="100">
        <v>23.32</v>
      </c>
      <c r="D32" s="100">
        <v>24.28</v>
      </c>
      <c r="E32" s="100">
        <v>10.88</v>
      </c>
      <c r="F32" s="152" t="s">
        <v>15</v>
      </c>
      <c r="G32" s="100">
        <v>58.79</v>
      </c>
      <c r="H32" s="100">
        <v>21.23</v>
      </c>
      <c r="I32" s="100">
        <v>12.95</v>
      </c>
      <c r="J32" s="100">
        <v>0.19</v>
      </c>
      <c r="K32" s="100">
        <v>156.66</v>
      </c>
      <c r="L32" s="100">
        <v>19.489999999999998</v>
      </c>
      <c r="M32" s="100">
        <v>86.2</v>
      </c>
      <c r="N32" s="100">
        <v>1.3</v>
      </c>
      <c r="O32" s="100">
        <v>0</v>
      </c>
      <c r="P32" s="100">
        <v>1.01</v>
      </c>
      <c r="Q32" s="100">
        <v>12.96</v>
      </c>
      <c r="R32" s="6"/>
      <c r="S32" s="6"/>
      <c r="T32" s="156"/>
      <c r="U32" s="6"/>
    </row>
    <row r="33" spans="1:21" customFormat="1">
      <c r="A33" s="163" t="s">
        <v>359</v>
      </c>
      <c r="B33" s="100">
        <v>13.51</v>
      </c>
      <c r="C33" s="100">
        <v>22.87</v>
      </c>
      <c r="D33" s="100">
        <v>24.14</v>
      </c>
      <c r="E33" s="100">
        <v>10.93</v>
      </c>
      <c r="F33" s="152" t="s">
        <v>15</v>
      </c>
      <c r="G33" s="100">
        <v>58.79</v>
      </c>
      <c r="H33" s="100">
        <v>21.23</v>
      </c>
      <c r="I33" s="100">
        <v>12.85</v>
      </c>
      <c r="J33" s="100">
        <v>0.16</v>
      </c>
      <c r="K33" s="100">
        <v>155.22999999999999</v>
      </c>
      <c r="L33" s="100">
        <v>19.37</v>
      </c>
      <c r="M33" s="100">
        <v>87.78</v>
      </c>
      <c r="N33" s="100">
        <v>1.3</v>
      </c>
      <c r="O33" s="100">
        <v>0</v>
      </c>
      <c r="P33" s="100">
        <v>1</v>
      </c>
      <c r="Q33" s="100">
        <v>12.96</v>
      </c>
      <c r="R33" s="6"/>
      <c r="S33" s="6"/>
      <c r="T33" s="156"/>
      <c r="U33" s="6"/>
    </row>
    <row r="34" spans="1:21" customFormat="1">
      <c r="A34" s="163" t="s">
        <v>360</v>
      </c>
      <c r="B34" s="100">
        <v>13.71</v>
      </c>
      <c r="C34" s="100">
        <v>22.62</v>
      </c>
      <c r="D34" s="100">
        <v>24.16</v>
      </c>
      <c r="E34" s="100">
        <v>10.82</v>
      </c>
      <c r="F34" s="152" t="s">
        <v>15</v>
      </c>
      <c r="G34" s="100">
        <v>58.79</v>
      </c>
      <c r="H34" s="100">
        <v>21.23</v>
      </c>
      <c r="I34" s="100">
        <v>12.78</v>
      </c>
      <c r="J34" s="100">
        <v>0.17</v>
      </c>
      <c r="K34" s="100">
        <v>172.84</v>
      </c>
      <c r="L34" s="100">
        <v>19.309999999999999</v>
      </c>
      <c r="M34" s="100">
        <v>86.78</v>
      </c>
      <c r="N34" s="100">
        <v>1.6</v>
      </c>
      <c r="O34" s="100">
        <v>0</v>
      </c>
      <c r="P34" s="100">
        <v>0.99</v>
      </c>
      <c r="Q34" s="100">
        <v>12.96</v>
      </c>
      <c r="R34" s="6"/>
      <c r="S34" s="6"/>
      <c r="T34" s="156"/>
      <c r="U34" s="6"/>
    </row>
    <row r="35" spans="1:21" customFormat="1">
      <c r="A35" s="163" t="s">
        <v>361</v>
      </c>
      <c r="B35" s="100">
        <v>14.07</v>
      </c>
      <c r="C35" s="100">
        <v>22.64</v>
      </c>
      <c r="D35" s="100">
        <v>24.46</v>
      </c>
      <c r="E35" s="100">
        <v>10.92</v>
      </c>
      <c r="F35" s="152" t="s">
        <v>15</v>
      </c>
      <c r="G35" s="100">
        <v>58.64</v>
      </c>
      <c r="H35" s="100">
        <v>21.24</v>
      </c>
      <c r="I35" s="100">
        <v>12.65</v>
      </c>
      <c r="J35" s="100">
        <v>0.2</v>
      </c>
      <c r="K35" s="100">
        <v>158.63</v>
      </c>
      <c r="L35" s="100">
        <v>19.2</v>
      </c>
      <c r="M35" s="100">
        <v>88.94</v>
      </c>
      <c r="N35" s="100">
        <v>3.2</v>
      </c>
      <c r="O35" s="100">
        <v>0</v>
      </c>
      <c r="P35" s="100">
        <v>0.98</v>
      </c>
      <c r="Q35" s="100">
        <v>12.94</v>
      </c>
      <c r="R35" s="6"/>
      <c r="S35" s="6"/>
      <c r="T35" s="156"/>
      <c r="U35" s="6"/>
    </row>
    <row r="36" spans="1:21" customFormat="1">
      <c r="A36" s="163" t="s">
        <v>362</v>
      </c>
      <c r="B36" s="100">
        <v>14.28</v>
      </c>
      <c r="C36" s="100">
        <v>22.59</v>
      </c>
      <c r="D36" s="100">
        <v>24.6</v>
      </c>
      <c r="E36" s="100">
        <v>10.95</v>
      </c>
      <c r="F36" s="152" t="s">
        <v>15</v>
      </c>
      <c r="G36" s="100">
        <v>54.22</v>
      </c>
      <c r="H36" s="100">
        <v>21.65</v>
      </c>
      <c r="I36" s="100">
        <v>12.52</v>
      </c>
      <c r="J36" s="100">
        <v>0.2</v>
      </c>
      <c r="K36" s="100">
        <v>177.69</v>
      </c>
      <c r="L36" s="100">
        <v>19</v>
      </c>
      <c r="M36" s="100">
        <v>89.51</v>
      </c>
      <c r="N36" s="100">
        <v>7.7</v>
      </c>
      <c r="O36" s="100">
        <v>0</v>
      </c>
      <c r="P36" s="100">
        <v>0.98</v>
      </c>
      <c r="Q36" s="100">
        <v>12.95</v>
      </c>
      <c r="R36" s="6"/>
      <c r="S36" s="6"/>
      <c r="T36" s="156"/>
      <c r="U36" s="6"/>
    </row>
    <row r="37" spans="1:21" customFormat="1">
      <c r="A37" s="163" t="s">
        <v>363</v>
      </c>
      <c r="B37" s="100">
        <v>14.4</v>
      </c>
      <c r="C37" s="100">
        <v>22.47</v>
      </c>
      <c r="D37" s="100">
        <v>24.64</v>
      </c>
      <c r="E37" s="100">
        <v>11.03</v>
      </c>
      <c r="F37" s="152" t="s">
        <v>15</v>
      </c>
      <c r="G37" s="100">
        <v>54.22</v>
      </c>
      <c r="H37" s="100">
        <v>21.65</v>
      </c>
      <c r="I37" s="100">
        <v>12.44</v>
      </c>
      <c r="J37" s="100">
        <v>0.14000000000000001</v>
      </c>
      <c r="K37" s="100">
        <v>166.66</v>
      </c>
      <c r="L37" s="100">
        <v>19.190000000000001</v>
      </c>
      <c r="M37" s="100">
        <v>89.17</v>
      </c>
      <c r="N37" s="100">
        <v>14.4</v>
      </c>
      <c r="O37" s="100">
        <v>0</v>
      </c>
      <c r="P37" s="100">
        <v>0.97</v>
      </c>
      <c r="Q37" s="100">
        <v>12.94</v>
      </c>
      <c r="R37" s="6"/>
      <c r="S37" s="6"/>
      <c r="T37" s="156"/>
      <c r="U37" s="6"/>
    </row>
    <row r="38" spans="1:21" customFormat="1">
      <c r="A38" s="163" t="s">
        <v>364</v>
      </c>
      <c r="B38" s="100">
        <v>14.47</v>
      </c>
      <c r="C38" s="100">
        <v>22.19</v>
      </c>
      <c r="D38" s="100">
        <v>24.55</v>
      </c>
      <c r="E38" s="100">
        <v>11</v>
      </c>
      <c r="F38" s="152" t="s">
        <v>15</v>
      </c>
      <c r="G38" s="100">
        <v>54.22</v>
      </c>
      <c r="H38" s="100">
        <v>21.65</v>
      </c>
      <c r="I38" s="100">
        <v>12.34</v>
      </c>
      <c r="J38" s="100">
        <v>0.18</v>
      </c>
      <c r="K38" s="100">
        <v>158.37</v>
      </c>
      <c r="L38" s="100">
        <v>19.68</v>
      </c>
      <c r="M38" s="100">
        <v>87.89</v>
      </c>
      <c r="N38" s="100">
        <v>22.4</v>
      </c>
      <c r="O38" s="100">
        <v>0</v>
      </c>
      <c r="P38" s="100">
        <v>0.97</v>
      </c>
      <c r="Q38" s="100">
        <v>12.94</v>
      </c>
      <c r="R38" s="6"/>
      <c r="S38" s="6"/>
      <c r="T38" s="156"/>
      <c r="U38" s="6"/>
    </row>
    <row r="39" spans="1:21" customFormat="1">
      <c r="A39" s="163" t="s">
        <v>365</v>
      </c>
      <c r="B39" s="100">
        <v>14.52</v>
      </c>
      <c r="C39" s="100">
        <v>22.12</v>
      </c>
      <c r="D39" s="100">
        <v>24.55</v>
      </c>
      <c r="E39" s="100">
        <v>10.59</v>
      </c>
      <c r="F39" s="152" t="s">
        <v>15</v>
      </c>
      <c r="G39" s="100">
        <v>54.19</v>
      </c>
      <c r="H39" s="100">
        <v>21.59</v>
      </c>
      <c r="I39" s="100">
        <v>12.28</v>
      </c>
      <c r="J39" s="100">
        <v>0.44</v>
      </c>
      <c r="K39" s="100">
        <v>165.67</v>
      </c>
      <c r="L39" s="100">
        <v>20.36</v>
      </c>
      <c r="M39" s="100">
        <v>83.79</v>
      </c>
      <c r="N39" s="100">
        <v>30.5</v>
      </c>
      <c r="O39" s="100">
        <v>0</v>
      </c>
      <c r="P39" s="100">
        <v>0.97</v>
      </c>
      <c r="Q39" s="100">
        <v>12.96</v>
      </c>
      <c r="R39" s="6"/>
      <c r="S39" s="6"/>
      <c r="T39" s="156"/>
      <c r="U39" s="6"/>
    </row>
    <row r="40" spans="1:21" customFormat="1">
      <c r="A40" s="163" t="s">
        <v>366</v>
      </c>
      <c r="B40" s="100">
        <v>14.55</v>
      </c>
      <c r="C40" s="100">
        <v>22.23</v>
      </c>
      <c r="D40" s="100">
        <v>24.63</v>
      </c>
      <c r="E40" s="100">
        <v>10.87</v>
      </c>
      <c r="F40" s="152" t="s">
        <v>15</v>
      </c>
      <c r="G40" s="100">
        <v>53.46</v>
      </c>
      <c r="H40" s="100">
        <v>19.68</v>
      </c>
      <c r="I40" s="100">
        <v>12.24</v>
      </c>
      <c r="J40" s="100">
        <v>0.38</v>
      </c>
      <c r="K40" s="100">
        <v>160.18</v>
      </c>
      <c r="L40" s="100">
        <v>21.05</v>
      </c>
      <c r="M40" s="100">
        <v>79.069999999999993</v>
      </c>
      <c r="N40" s="100">
        <v>38.9</v>
      </c>
      <c r="O40" s="100">
        <v>0</v>
      </c>
      <c r="P40" s="100">
        <v>0.96</v>
      </c>
      <c r="Q40" s="100">
        <v>12.97</v>
      </c>
      <c r="R40" s="6"/>
      <c r="S40" s="6"/>
      <c r="T40" s="156"/>
      <c r="U40" s="6"/>
    </row>
    <row r="41" spans="1:21" customFormat="1">
      <c r="A41" s="163" t="s">
        <v>367</v>
      </c>
      <c r="B41" s="100">
        <v>14.53</v>
      </c>
      <c r="C41" s="100">
        <v>22.33</v>
      </c>
      <c r="D41" s="100">
        <v>24.67</v>
      </c>
      <c r="E41" s="100">
        <v>10.51</v>
      </c>
      <c r="F41" s="152" t="s">
        <v>15</v>
      </c>
      <c r="G41" s="100">
        <v>53.46</v>
      </c>
      <c r="H41" s="100">
        <v>19.68</v>
      </c>
      <c r="I41" s="100">
        <v>12.16</v>
      </c>
      <c r="J41" s="100">
        <v>0.24</v>
      </c>
      <c r="K41" s="100">
        <v>153.62</v>
      </c>
      <c r="L41" s="100">
        <v>22.08</v>
      </c>
      <c r="M41" s="100">
        <v>73.180000000000007</v>
      </c>
      <c r="N41" s="100">
        <v>76.5</v>
      </c>
      <c r="O41" s="100">
        <v>0</v>
      </c>
      <c r="P41" s="100">
        <v>0.96</v>
      </c>
      <c r="Q41" s="100">
        <v>12.97</v>
      </c>
      <c r="R41" s="6"/>
      <c r="S41" s="6"/>
      <c r="T41" s="156"/>
      <c r="U41" s="6"/>
    </row>
    <row r="42" spans="1:21" customFormat="1">
      <c r="A42" s="163" t="s">
        <v>368</v>
      </c>
      <c r="B42" s="100">
        <v>14.41</v>
      </c>
      <c r="C42" s="100">
        <v>22.65</v>
      </c>
      <c r="D42" s="100">
        <v>24.74</v>
      </c>
      <c r="E42" s="100">
        <v>10.74</v>
      </c>
      <c r="F42" s="152" t="s">
        <v>15</v>
      </c>
      <c r="G42" s="100">
        <v>53.46</v>
      </c>
      <c r="H42" s="100">
        <v>19.68</v>
      </c>
      <c r="I42" s="100">
        <v>12.13</v>
      </c>
      <c r="J42" s="100">
        <v>0.11</v>
      </c>
      <c r="K42" s="100">
        <v>243.32</v>
      </c>
      <c r="L42" s="100">
        <v>23.25</v>
      </c>
      <c r="M42" s="100">
        <v>69.08</v>
      </c>
      <c r="N42" s="100">
        <v>152</v>
      </c>
      <c r="O42" s="100">
        <v>0</v>
      </c>
      <c r="P42" s="100">
        <v>0.97</v>
      </c>
      <c r="Q42" s="100">
        <v>12.96</v>
      </c>
      <c r="R42" s="6"/>
      <c r="S42" s="6"/>
      <c r="T42" s="156"/>
      <c r="U42" s="6"/>
    </row>
    <row r="43" spans="1:21" customFormat="1">
      <c r="A43" s="163" t="s">
        <v>369</v>
      </c>
      <c r="B43" s="100">
        <v>14.2</v>
      </c>
      <c r="C43" s="100">
        <v>21.63</v>
      </c>
      <c r="D43" s="100">
        <v>24.04</v>
      </c>
      <c r="E43" s="100">
        <v>10.93</v>
      </c>
      <c r="F43" s="152" t="s">
        <v>15</v>
      </c>
      <c r="G43" s="100">
        <v>53.77</v>
      </c>
      <c r="H43" s="100">
        <v>19.8</v>
      </c>
      <c r="I43" s="100">
        <v>12.16</v>
      </c>
      <c r="J43" s="100">
        <v>0.39</v>
      </c>
      <c r="K43" s="100">
        <v>261.52999999999997</v>
      </c>
      <c r="L43" s="100">
        <v>24.12</v>
      </c>
      <c r="M43" s="100">
        <v>64.88</v>
      </c>
      <c r="N43" s="100">
        <v>175.9</v>
      </c>
      <c r="O43" s="100">
        <v>0</v>
      </c>
      <c r="P43" s="100">
        <v>0.96</v>
      </c>
      <c r="Q43" s="100">
        <v>12.96</v>
      </c>
      <c r="R43" s="6"/>
      <c r="S43" s="6"/>
      <c r="T43" s="156"/>
      <c r="U43" s="6"/>
    </row>
    <row r="44" spans="1:21" customFormat="1">
      <c r="A44" s="163" t="s">
        <v>370</v>
      </c>
      <c r="B44" s="100">
        <v>13.36</v>
      </c>
      <c r="C44" s="100">
        <v>21.22</v>
      </c>
      <c r="D44" s="100">
        <v>23.15</v>
      </c>
      <c r="E44" s="100">
        <v>10.14</v>
      </c>
      <c r="F44" s="152" t="s">
        <v>15</v>
      </c>
      <c r="G44" s="100">
        <v>62.8</v>
      </c>
      <c r="H44" s="100">
        <v>23.43</v>
      </c>
      <c r="I44" s="100">
        <v>12.17</v>
      </c>
      <c r="J44" s="100">
        <v>0.24</v>
      </c>
      <c r="K44" s="100">
        <v>256.94</v>
      </c>
      <c r="L44" s="100">
        <v>25.13</v>
      </c>
      <c r="M44" s="100">
        <v>62.11</v>
      </c>
      <c r="N44" s="100">
        <v>174.8</v>
      </c>
      <c r="O44" s="100">
        <v>0</v>
      </c>
      <c r="P44" s="100">
        <v>0.97</v>
      </c>
      <c r="Q44" s="100">
        <v>12.96</v>
      </c>
      <c r="R44" s="6"/>
      <c r="S44" s="6"/>
      <c r="T44" s="156"/>
      <c r="U44" s="6"/>
    </row>
    <row r="45" spans="1:21" customFormat="1">
      <c r="A45" s="163" t="s">
        <v>371</v>
      </c>
      <c r="B45" s="100">
        <v>12.26</v>
      </c>
      <c r="C45" s="100">
        <v>22.06</v>
      </c>
      <c r="D45" s="100">
        <v>22.71</v>
      </c>
      <c r="E45" s="100">
        <v>9.68</v>
      </c>
      <c r="F45" s="152" t="s">
        <v>15</v>
      </c>
      <c r="G45" s="100">
        <v>62.8</v>
      </c>
      <c r="H45" s="100">
        <v>23.43</v>
      </c>
      <c r="I45" s="100">
        <v>12.19</v>
      </c>
      <c r="J45" s="100">
        <v>0.56000000000000005</v>
      </c>
      <c r="K45" s="100">
        <v>270.93</v>
      </c>
      <c r="L45" s="100">
        <v>25.89</v>
      </c>
      <c r="M45" s="100">
        <v>58.57</v>
      </c>
      <c r="N45" s="100">
        <v>197.5</v>
      </c>
      <c r="O45" s="100">
        <v>0</v>
      </c>
      <c r="P45" s="100">
        <v>0.98</v>
      </c>
      <c r="Q45" s="100">
        <v>12.95</v>
      </c>
      <c r="R45" s="6"/>
      <c r="S45" s="6"/>
      <c r="T45" s="156"/>
      <c r="U45" s="6"/>
    </row>
    <row r="46" spans="1:21" customFormat="1">
      <c r="A46" s="163" t="s">
        <v>372</v>
      </c>
      <c r="B46" s="100">
        <v>10.94</v>
      </c>
      <c r="C46" s="100">
        <v>22.85</v>
      </c>
      <c r="D46" s="100">
        <v>22.06</v>
      </c>
      <c r="E46" s="100">
        <v>9.89</v>
      </c>
      <c r="F46" s="152" t="s">
        <v>15</v>
      </c>
      <c r="G46" s="100">
        <v>62.8</v>
      </c>
      <c r="H46" s="100">
        <v>23.43</v>
      </c>
      <c r="I46" s="100">
        <v>12.34</v>
      </c>
      <c r="J46" s="100">
        <v>0.46</v>
      </c>
      <c r="K46" s="100">
        <v>275.12</v>
      </c>
      <c r="L46" s="100">
        <v>26.68</v>
      </c>
      <c r="M46" s="100">
        <v>56.26</v>
      </c>
      <c r="N46" s="100">
        <v>248.8</v>
      </c>
      <c r="O46" s="100">
        <v>0</v>
      </c>
      <c r="P46" s="100">
        <v>0.99</v>
      </c>
      <c r="Q46" s="100">
        <v>12.95</v>
      </c>
      <c r="R46" s="6"/>
      <c r="S46" s="6"/>
      <c r="T46" s="156"/>
      <c r="U46" s="6"/>
    </row>
    <row r="47" spans="1:21" customFormat="1">
      <c r="A47" s="163" t="s">
        <v>373</v>
      </c>
      <c r="B47" s="100">
        <v>9.58</v>
      </c>
      <c r="C47" s="100">
        <v>23.53</v>
      </c>
      <c r="D47" s="100">
        <v>21.33</v>
      </c>
      <c r="E47" s="100">
        <v>10.119999999999999</v>
      </c>
      <c r="F47" s="152" t="s">
        <v>15</v>
      </c>
      <c r="G47" s="100">
        <v>63.62</v>
      </c>
      <c r="H47" s="100">
        <v>23.5</v>
      </c>
      <c r="I47" s="100">
        <v>12.79</v>
      </c>
      <c r="J47" s="100">
        <v>0.3</v>
      </c>
      <c r="K47" s="100">
        <v>257.64</v>
      </c>
      <c r="L47" s="100">
        <v>27.57</v>
      </c>
      <c r="M47" s="100">
        <v>53.41</v>
      </c>
      <c r="N47" s="100">
        <v>265.5</v>
      </c>
      <c r="O47" s="100">
        <v>0</v>
      </c>
      <c r="P47" s="100">
        <v>1.01</v>
      </c>
      <c r="Q47" s="100">
        <v>12.95</v>
      </c>
      <c r="R47" s="6"/>
      <c r="S47" s="6"/>
      <c r="T47" s="156"/>
      <c r="U47" s="6"/>
    </row>
    <row r="48" spans="1:21" customFormat="1">
      <c r="A48" s="163" t="s">
        <v>374</v>
      </c>
      <c r="B48" s="100">
        <v>8.3000000000000007</v>
      </c>
      <c r="C48" s="100">
        <v>24.14</v>
      </c>
      <c r="D48" s="100">
        <v>20.62</v>
      </c>
      <c r="E48" s="100">
        <v>10.71</v>
      </c>
      <c r="F48" s="152" t="s">
        <v>15</v>
      </c>
      <c r="G48" s="100">
        <v>81.290000000000006</v>
      </c>
      <c r="H48" s="100">
        <v>25.02</v>
      </c>
      <c r="I48" s="100">
        <v>13.59</v>
      </c>
      <c r="J48" s="100">
        <v>0.56999999999999995</v>
      </c>
      <c r="K48" s="100">
        <v>262.26</v>
      </c>
      <c r="L48" s="100">
        <v>28.23</v>
      </c>
      <c r="M48" s="100">
        <v>48.83</v>
      </c>
      <c r="N48" s="100">
        <v>289.5</v>
      </c>
      <c r="O48" s="100">
        <v>0</v>
      </c>
      <c r="P48" s="100">
        <v>1.03</v>
      </c>
      <c r="Q48" s="100">
        <v>12.96</v>
      </c>
      <c r="R48" s="6"/>
      <c r="S48" s="6"/>
      <c r="T48" s="156"/>
      <c r="U48" s="6"/>
    </row>
    <row r="49" spans="1:21" customFormat="1">
      <c r="A49" s="163" t="s">
        <v>375</v>
      </c>
      <c r="B49" s="100">
        <v>7.08</v>
      </c>
      <c r="C49" s="100">
        <v>24.3</v>
      </c>
      <c r="D49" s="100">
        <v>19.72</v>
      </c>
      <c r="E49" s="100">
        <v>7.06</v>
      </c>
      <c r="F49" s="152" t="s">
        <v>15</v>
      </c>
      <c r="G49" s="100">
        <v>81.290000000000006</v>
      </c>
      <c r="H49" s="100">
        <v>25.02</v>
      </c>
      <c r="I49" s="100">
        <v>14.93</v>
      </c>
      <c r="J49" s="100">
        <v>0.47</v>
      </c>
      <c r="K49" s="100">
        <v>262.18</v>
      </c>
      <c r="L49" s="100">
        <v>29.01</v>
      </c>
      <c r="M49" s="100">
        <v>45.54</v>
      </c>
      <c r="N49" s="100">
        <v>236.7</v>
      </c>
      <c r="O49" s="100">
        <v>0</v>
      </c>
      <c r="P49" s="100">
        <v>1.02</v>
      </c>
      <c r="Q49" s="100">
        <v>12.94</v>
      </c>
      <c r="R49" s="6"/>
      <c r="S49" s="6"/>
      <c r="T49" s="156"/>
      <c r="U49" s="6"/>
    </row>
    <row r="50" spans="1:21" customFormat="1">
      <c r="A50" s="163" t="s">
        <v>376</v>
      </c>
      <c r="B50" s="100">
        <v>6.09</v>
      </c>
      <c r="C50" s="100">
        <v>24.48</v>
      </c>
      <c r="D50" s="100">
        <v>19.02</v>
      </c>
      <c r="E50" s="100">
        <v>8.81</v>
      </c>
      <c r="F50" s="152" t="s">
        <v>15</v>
      </c>
      <c r="G50" s="100">
        <v>81.290000000000006</v>
      </c>
      <c r="H50" s="100">
        <v>25.02</v>
      </c>
      <c r="I50" s="100">
        <v>15.7</v>
      </c>
      <c r="J50" s="100">
        <v>0.89</v>
      </c>
      <c r="K50" s="100">
        <v>292.18</v>
      </c>
      <c r="L50" s="100">
        <v>29.32</v>
      </c>
      <c r="M50" s="100">
        <v>43.86</v>
      </c>
      <c r="N50" s="100">
        <v>322.5</v>
      </c>
      <c r="O50" s="100">
        <v>0</v>
      </c>
      <c r="P50" s="100">
        <v>1</v>
      </c>
      <c r="Q50" s="100">
        <v>12.94</v>
      </c>
      <c r="R50" s="6"/>
      <c r="S50" s="6"/>
      <c r="T50" s="156"/>
      <c r="U50" s="6"/>
    </row>
    <row r="51" spans="1:21" customFormat="1">
      <c r="A51" s="163" t="s">
        <v>377</v>
      </c>
      <c r="B51" s="100">
        <v>5.6</v>
      </c>
      <c r="C51" s="100">
        <v>24.88</v>
      </c>
      <c r="D51" s="100">
        <v>18.84</v>
      </c>
      <c r="E51" s="100">
        <v>9.9700000000000006</v>
      </c>
      <c r="F51" s="152" t="s">
        <v>15</v>
      </c>
      <c r="G51" s="100">
        <v>80.75</v>
      </c>
      <c r="H51" s="100">
        <v>24.98</v>
      </c>
      <c r="I51" s="100">
        <v>15.83</v>
      </c>
      <c r="J51" s="100">
        <v>0.81</v>
      </c>
      <c r="K51" s="100">
        <v>278.93</v>
      </c>
      <c r="L51" s="100">
        <v>29.84</v>
      </c>
      <c r="M51" s="100">
        <v>43.9</v>
      </c>
      <c r="N51" s="100">
        <v>329.3</v>
      </c>
      <c r="O51" s="100">
        <v>0</v>
      </c>
      <c r="P51" s="100">
        <v>1.03</v>
      </c>
      <c r="Q51" s="100">
        <v>12.95</v>
      </c>
      <c r="R51" s="6"/>
      <c r="S51" s="6"/>
      <c r="T51" s="156"/>
      <c r="U51" s="6"/>
    </row>
    <row r="52" spans="1:21" customFormat="1">
      <c r="A52" s="163" t="s">
        <v>378</v>
      </c>
      <c r="B52" s="100">
        <v>5.27</v>
      </c>
      <c r="C52" s="100">
        <v>25.26</v>
      </c>
      <c r="D52" s="100">
        <v>18.77</v>
      </c>
      <c r="E52" s="100">
        <v>10.93</v>
      </c>
      <c r="F52" s="152" t="s">
        <v>15</v>
      </c>
      <c r="G52" s="100">
        <v>69.05</v>
      </c>
      <c r="H52" s="100">
        <v>23.71</v>
      </c>
      <c r="I52" s="100">
        <v>15.7</v>
      </c>
      <c r="J52" s="100">
        <v>1</v>
      </c>
      <c r="K52" s="100">
        <v>293.14999999999998</v>
      </c>
      <c r="L52" s="100">
        <v>29.82</v>
      </c>
      <c r="M52" s="100">
        <v>44.42</v>
      </c>
      <c r="N52" s="100">
        <v>336.8</v>
      </c>
      <c r="O52" s="100">
        <v>0</v>
      </c>
      <c r="P52" s="100">
        <v>1.02</v>
      </c>
      <c r="Q52" s="100">
        <v>12.96</v>
      </c>
      <c r="R52" s="6"/>
      <c r="S52" s="6"/>
      <c r="T52" s="156"/>
      <c r="U52" s="6"/>
    </row>
    <row r="53" spans="1:21" customFormat="1">
      <c r="A53" s="163" t="s">
        <v>379</v>
      </c>
      <c r="B53" s="100">
        <v>4.92</v>
      </c>
      <c r="C53" s="100">
        <v>25.26</v>
      </c>
      <c r="D53" s="100">
        <v>18.5</v>
      </c>
      <c r="E53" s="100">
        <v>9.84</v>
      </c>
      <c r="F53" s="152" t="s">
        <v>15</v>
      </c>
      <c r="G53" s="100">
        <v>69.05</v>
      </c>
      <c r="H53" s="100">
        <v>23.71</v>
      </c>
      <c r="I53" s="100">
        <v>15.5</v>
      </c>
      <c r="J53" s="100">
        <v>0.83</v>
      </c>
      <c r="K53" s="100">
        <v>284.82</v>
      </c>
      <c r="L53" s="100">
        <v>30.58</v>
      </c>
      <c r="M53" s="100">
        <v>42.22</v>
      </c>
      <c r="N53" s="100">
        <v>333.6</v>
      </c>
      <c r="O53" s="100">
        <v>0</v>
      </c>
      <c r="P53" s="100">
        <v>1.02</v>
      </c>
      <c r="Q53" s="100">
        <v>12.94</v>
      </c>
      <c r="R53" s="6"/>
      <c r="S53" s="6"/>
      <c r="T53" s="156"/>
      <c r="U53" s="6"/>
    </row>
    <row r="54" spans="1:21" customFormat="1">
      <c r="A54" s="163" t="s">
        <v>380</v>
      </c>
      <c r="B54" s="100">
        <v>4.6500000000000004</v>
      </c>
      <c r="C54" s="100">
        <v>25.1</v>
      </c>
      <c r="D54" s="100">
        <v>18.190000000000001</v>
      </c>
      <c r="E54" s="100">
        <v>9.8000000000000007</v>
      </c>
      <c r="F54" s="152" t="s">
        <v>15</v>
      </c>
      <c r="G54" s="100">
        <v>69.05</v>
      </c>
      <c r="H54" s="100">
        <v>23.71</v>
      </c>
      <c r="I54" s="100">
        <v>15.37</v>
      </c>
      <c r="J54" s="100">
        <v>0.81</v>
      </c>
      <c r="K54" s="100">
        <v>274.57</v>
      </c>
      <c r="L54" s="100">
        <v>31.05</v>
      </c>
      <c r="M54" s="100">
        <v>40.299999999999997</v>
      </c>
      <c r="N54" s="100">
        <v>312.60000000000002</v>
      </c>
      <c r="O54" s="100">
        <v>0</v>
      </c>
      <c r="P54" s="100">
        <v>1.03</v>
      </c>
      <c r="Q54" s="100">
        <v>12.94</v>
      </c>
      <c r="R54" s="6"/>
      <c r="S54" s="6"/>
      <c r="T54" s="156"/>
      <c r="U54" s="6"/>
    </row>
    <row r="55" spans="1:21" customFormat="1">
      <c r="A55" s="163" t="s">
        <v>381</v>
      </c>
      <c r="B55" s="100">
        <v>4.41</v>
      </c>
      <c r="C55" s="100">
        <v>25.25</v>
      </c>
      <c r="D55" s="100">
        <v>18.09</v>
      </c>
      <c r="E55" s="100">
        <v>9.7100000000000009</v>
      </c>
      <c r="F55" s="152" t="s">
        <v>15</v>
      </c>
      <c r="G55" s="100">
        <v>68.739999999999995</v>
      </c>
      <c r="H55" s="100">
        <v>23.7</v>
      </c>
      <c r="I55" s="100">
        <v>15.18</v>
      </c>
      <c r="J55" s="100">
        <v>1.06</v>
      </c>
      <c r="K55" s="100">
        <v>300.69</v>
      </c>
      <c r="L55" s="100">
        <v>31.22</v>
      </c>
      <c r="M55" s="100">
        <v>38.840000000000003</v>
      </c>
      <c r="N55" s="100">
        <v>326.60000000000002</v>
      </c>
      <c r="O55" s="100">
        <v>0</v>
      </c>
      <c r="P55" s="100">
        <v>1.03</v>
      </c>
      <c r="Q55" s="100">
        <v>12.95</v>
      </c>
      <c r="R55" s="6"/>
      <c r="S55" s="6"/>
      <c r="T55" s="156"/>
      <c r="U55" s="6"/>
    </row>
    <row r="56" spans="1:21" customFormat="1">
      <c r="A56" s="163" t="s">
        <v>382</v>
      </c>
      <c r="B56" s="100">
        <v>4.21</v>
      </c>
      <c r="C56" s="100">
        <v>25.11</v>
      </c>
      <c r="D56" s="100">
        <v>17.84</v>
      </c>
      <c r="E56" s="100">
        <v>9.86</v>
      </c>
      <c r="F56" s="152" t="s">
        <v>15</v>
      </c>
      <c r="G56" s="100">
        <v>62.02</v>
      </c>
      <c r="H56" s="100">
        <v>23.15</v>
      </c>
      <c r="I56" s="100">
        <v>14.93</v>
      </c>
      <c r="J56" s="100">
        <v>0.8</v>
      </c>
      <c r="K56" s="100">
        <v>279.70999999999998</v>
      </c>
      <c r="L56" s="100">
        <v>31.62</v>
      </c>
      <c r="M56" s="100">
        <v>38.51</v>
      </c>
      <c r="N56" s="100">
        <v>362.7</v>
      </c>
      <c r="O56" s="100">
        <v>0</v>
      </c>
      <c r="P56" s="100">
        <v>1.01</v>
      </c>
      <c r="Q56" s="100">
        <v>12.94</v>
      </c>
      <c r="R56" s="6"/>
      <c r="S56" s="6"/>
      <c r="T56" s="156"/>
      <c r="U56" s="6"/>
    </row>
    <row r="57" spans="1:21" customFormat="1">
      <c r="A57" s="163" t="s">
        <v>383</v>
      </c>
      <c r="B57" s="100">
        <v>4.0599999999999996</v>
      </c>
      <c r="C57" s="100">
        <v>24.42</v>
      </c>
      <c r="D57" s="100">
        <v>17.36</v>
      </c>
      <c r="E57" s="100">
        <v>9.9</v>
      </c>
      <c r="F57" s="152" t="s">
        <v>15</v>
      </c>
      <c r="G57" s="100">
        <v>62.02</v>
      </c>
      <c r="H57" s="100">
        <v>23.15</v>
      </c>
      <c r="I57" s="100">
        <v>14.58</v>
      </c>
      <c r="J57" s="100">
        <v>0.92</v>
      </c>
      <c r="K57" s="100">
        <v>279.89999999999998</v>
      </c>
      <c r="L57" s="100">
        <v>31.9</v>
      </c>
      <c r="M57" s="100">
        <v>37.57</v>
      </c>
      <c r="N57" s="100">
        <v>363.4</v>
      </c>
      <c r="O57" s="100">
        <v>0</v>
      </c>
      <c r="P57" s="100">
        <v>0.99</v>
      </c>
      <c r="Q57" s="100">
        <v>12.95</v>
      </c>
      <c r="R57" s="6"/>
      <c r="S57" s="6"/>
      <c r="T57" s="156"/>
      <c r="U57" s="6"/>
    </row>
    <row r="58" spans="1:21" customFormat="1">
      <c r="A58" s="163" t="s">
        <v>384</v>
      </c>
      <c r="B58" s="100">
        <v>4.03</v>
      </c>
      <c r="C58" s="100">
        <v>24.2</v>
      </c>
      <c r="D58" s="100">
        <v>17.23</v>
      </c>
      <c r="E58" s="100">
        <v>10.38</v>
      </c>
      <c r="F58" s="152" t="s">
        <v>15</v>
      </c>
      <c r="G58" s="100">
        <v>62.02</v>
      </c>
      <c r="H58" s="100">
        <v>23.15</v>
      </c>
      <c r="I58" s="100">
        <v>14.27</v>
      </c>
      <c r="J58" s="100">
        <v>1.1599999999999999</v>
      </c>
      <c r="K58" s="100">
        <v>308.52999999999997</v>
      </c>
      <c r="L58" s="100">
        <v>31.89</v>
      </c>
      <c r="M58" s="100">
        <v>37.270000000000003</v>
      </c>
      <c r="N58" s="100">
        <v>359.3</v>
      </c>
      <c r="O58" s="100">
        <v>0</v>
      </c>
      <c r="P58" s="100">
        <v>1</v>
      </c>
      <c r="Q58" s="100">
        <v>12.94</v>
      </c>
      <c r="R58" s="6"/>
      <c r="S58" s="6"/>
      <c r="T58" s="156"/>
      <c r="U58" s="6"/>
    </row>
    <row r="59" spans="1:21" customFormat="1">
      <c r="A59" s="163" t="s">
        <v>385</v>
      </c>
      <c r="B59" s="100">
        <v>4.07</v>
      </c>
      <c r="C59" s="100">
        <v>24.42</v>
      </c>
      <c r="D59" s="100">
        <v>17.38</v>
      </c>
      <c r="E59" s="100">
        <v>10.37</v>
      </c>
      <c r="F59" s="152" t="s">
        <v>15</v>
      </c>
      <c r="G59" s="100">
        <v>62</v>
      </c>
      <c r="H59" s="100">
        <v>23.19</v>
      </c>
      <c r="I59" s="100">
        <v>14.1</v>
      </c>
      <c r="J59" s="100">
        <v>0.8</v>
      </c>
      <c r="K59" s="100">
        <v>302.32</v>
      </c>
      <c r="L59" s="100">
        <v>32.03</v>
      </c>
      <c r="M59" s="100">
        <v>37.229999999999997</v>
      </c>
      <c r="N59" s="100">
        <v>363.7</v>
      </c>
      <c r="O59" s="100">
        <v>0</v>
      </c>
      <c r="P59" s="100">
        <v>1.01</v>
      </c>
      <c r="Q59" s="100">
        <v>12.93</v>
      </c>
      <c r="R59" s="6"/>
      <c r="S59" s="6"/>
      <c r="T59" s="156"/>
      <c r="U59" s="6"/>
    </row>
    <row r="60" spans="1:21" customFormat="1">
      <c r="A60" s="163" t="s">
        <v>386</v>
      </c>
      <c r="B60" s="100">
        <v>4.03</v>
      </c>
      <c r="C60" s="100">
        <v>24.83</v>
      </c>
      <c r="D60" s="100">
        <v>17.559999999999999</v>
      </c>
      <c r="E60" s="100">
        <v>10.85</v>
      </c>
      <c r="F60" s="152" t="s">
        <v>15</v>
      </c>
      <c r="G60" s="100">
        <v>61.6</v>
      </c>
      <c r="H60" s="100">
        <v>24.52</v>
      </c>
      <c r="I60" s="100">
        <v>14.04</v>
      </c>
      <c r="J60" s="100">
        <v>0.74</v>
      </c>
      <c r="K60" s="100">
        <v>302.86</v>
      </c>
      <c r="L60" s="100">
        <v>32.51</v>
      </c>
      <c r="M60" s="100">
        <v>36.18</v>
      </c>
      <c r="N60" s="100">
        <v>359.1</v>
      </c>
      <c r="O60" s="100">
        <v>0</v>
      </c>
      <c r="P60" s="100">
        <v>1.01</v>
      </c>
      <c r="Q60" s="100">
        <v>12.94</v>
      </c>
      <c r="R60" s="6"/>
      <c r="S60" s="6"/>
      <c r="T60" s="156"/>
      <c r="U60" s="6"/>
    </row>
    <row r="61" spans="1:21" customFormat="1">
      <c r="A61" s="163" t="s">
        <v>387</v>
      </c>
      <c r="B61" s="100">
        <v>4.07</v>
      </c>
      <c r="C61" s="100">
        <v>24.52</v>
      </c>
      <c r="D61" s="100">
        <v>17.420000000000002</v>
      </c>
      <c r="E61" s="100">
        <v>10.41</v>
      </c>
      <c r="F61" s="152" t="s">
        <v>15</v>
      </c>
      <c r="G61" s="100">
        <v>61.6</v>
      </c>
      <c r="H61" s="100">
        <v>24.52</v>
      </c>
      <c r="I61" s="100">
        <v>13.88</v>
      </c>
      <c r="J61" s="100">
        <v>0.74</v>
      </c>
      <c r="K61" s="100">
        <v>274.39</v>
      </c>
      <c r="L61" s="100">
        <v>32.840000000000003</v>
      </c>
      <c r="M61" s="100">
        <v>33.67</v>
      </c>
      <c r="N61" s="100">
        <v>363.8</v>
      </c>
      <c r="O61" s="100">
        <v>0</v>
      </c>
      <c r="P61" s="100">
        <v>0.99</v>
      </c>
      <c r="Q61" s="100">
        <v>12.93</v>
      </c>
      <c r="R61" s="6"/>
      <c r="S61" s="6"/>
      <c r="T61" s="156"/>
      <c r="U61" s="6"/>
    </row>
    <row r="62" spans="1:21" customFormat="1">
      <c r="A62" s="163" t="s">
        <v>388</v>
      </c>
      <c r="B62" s="100">
        <v>4.03</v>
      </c>
      <c r="C62" s="100">
        <v>24.05</v>
      </c>
      <c r="D62" s="100">
        <v>17.149999999999999</v>
      </c>
      <c r="E62" s="100">
        <v>9.8800000000000008</v>
      </c>
      <c r="F62" s="152" t="s">
        <v>15</v>
      </c>
      <c r="G62" s="100">
        <v>61.6</v>
      </c>
      <c r="H62" s="100">
        <v>24.52</v>
      </c>
      <c r="I62" s="100">
        <v>13.75</v>
      </c>
      <c r="J62" s="100">
        <v>0.49</v>
      </c>
      <c r="K62" s="100">
        <v>251.13</v>
      </c>
      <c r="L62" s="100">
        <v>33.31</v>
      </c>
      <c r="M62" s="100">
        <v>32.369999999999997</v>
      </c>
      <c r="N62" s="100">
        <v>352.4</v>
      </c>
      <c r="O62" s="100">
        <v>0</v>
      </c>
      <c r="P62" s="100">
        <v>0.95</v>
      </c>
      <c r="Q62" s="100">
        <v>12.92</v>
      </c>
      <c r="R62" s="6"/>
      <c r="S62" s="6"/>
      <c r="T62" s="156"/>
      <c r="U62" s="6"/>
    </row>
    <row r="63" spans="1:21" customFormat="1">
      <c r="A63" s="163" t="s">
        <v>389</v>
      </c>
      <c r="B63" s="100">
        <v>3.94</v>
      </c>
      <c r="C63" s="100">
        <v>23.52</v>
      </c>
      <c r="D63" s="100">
        <v>16.8</v>
      </c>
      <c r="E63" s="100">
        <v>9.8699999999999992</v>
      </c>
      <c r="F63" s="152" t="s">
        <v>15</v>
      </c>
      <c r="G63" s="100">
        <v>61.25</v>
      </c>
      <c r="H63" s="100">
        <v>24.49</v>
      </c>
      <c r="I63" s="100">
        <v>13.36</v>
      </c>
      <c r="J63" s="100">
        <v>0.69</v>
      </c>
      <c r="K63" s="100">
        <v>272.29000000000002</v>
      </c>
      <c r="L63" s="100">
        <v>32.9</v>
      </c>
      <c r="M63" s="100">
        <v>33.64</v>
      </c>
      <c r="N63" s="100">
        <v>352.3</v>
      </c>
      <c r="O63" s="100">
        <v>0</v>
      </c>
      <c r="P63" s="100">
        <v>0.88</v>
      </c>
      <c r="Q63" s="100">
        <v>12.93</v>
      </c>
      <c r="R63" s="6"/>
      <c r="S63" s="6"/>
      <c r="T63" s="156"/>
      <c r="U63" s="6"/>
    </row>
    <row r="64" spans="1:21" customFormat="1">
      <c r="A64" s="163" t="s">
        <v>390</v>
      </c>
      <c r="B64" s="100">
        <v>4.0199999999999996</v>
      </c>
      <c r="C64" s="100">
        <v>22.62</v>
      </c>
      <c r="D64" s="100">
        <v>16.39</v>
      </c>
      <c r="E64" s="100">
        <v>10.31</v>
      </c>
      <c r="F64" s="152" t="s">
        <v>15</v>
      </c>
      <c r="G64" s="100">
        <v>51.17</v>
      </c>
      <c r="H64" s="100">
        <v>23.73</v>
      </c>
      <c r="I64" s="100">
        <v>12.84</v>
      </c>
      <c r="J64" s="100">
        <v>0.71</v>
      </c>
      <c r="K64" s="100">
        <v>295.11</v>
      </c>
      <c r="L64" s="100">
        <v>33.15</v>
      </c>
      <c r="M64" s="100">
        <v>34.11</v>
      </c>
      <c r="N64" s="100">
        <v>351.3</v>
      </c>
      <c r="O64" s="100">
        <v>0</v>
      </c>
      <c r="P64" s="100">
        <v>0.88</v>
      </c>
      <c r="Q64" s="100">
        <v>12.92</v>
      </c>
      <c r="R64" s="6"/>
      <c r="S64" s="6"/>
      <c r="T64" s="156"/>
      <c r="U64" s="6"/>
    </row>
    <row r="65" spans="1:21" customFormat="1">
      <c r="A65" s="163" t="s">
        <v>391</v>
      </c>
      <c r="B65" s="100">
        <v>4.18</v>
      </c>
      <c r="C65" s="100">
        <v>22.7</v>
      </c>
      <c r="D65" s="100">
        <v>16.559999999999999</v>
      </c>
      <c r="E65" s="100">
        <v>9.75</v>
      </c>
      <c r="F65" s="152" t="s">
        <v>15</v>
      </c>
      <c r="G65" s="100">
        <v>51.17</v>
      </c>
      <c r="H65" s="100">
        <v>23.73</v>
      </c>
      <c r="I65" s="100">
        <v>12.01</v>
      </c>
      <c r="J65" s="100">
        <v>0.56999999999999995</v>
      </c>
      <c r="K65" s="100">
        <v>279.45999999999998</v>
      </c>
      <c r="L65" s="100">
        <v>33.04</v>
      </c>
      <c r="M65" s="100">
        <v>33.909999999999997</v>
      </c>
      <c r="N65" s="100">
        <v>340.5</v>
      </c>
      <c r="O65" s="100">
        <v>0</v>
      </c>
      <c r="P65" s="100">
        <v>0.84</v>
      </c>
      <c r="Q65" s="100">
        <v>12.93</v>
      </c>
      <c r="R65" s="6"/>
      <c r="S65" s="6"/>
      <c r="T65" s="156"/>
      <c r="U65" s="6"/>
    </row>
    <row r="66" spans="1:21" customFormat="1">
      <c r="A66" s="163" t="s">
        <v>392</v>
      </c>
      <c r="B66" s="100">
        <v>4.3099999999999996</v>
      </c>
      <c r="C66" s="100">
        <v>22.17</v>
      </c>
      <c r="D66" s="100">
        <v>16.39</v>
      </c>
      <c r="E66" s="100">
        <v>10</v>
      </c>
      <c r="F66" s="152" t="s">
        <v>15</v>
      </c>
      <c r="G66" s="100">
        <v>51.17</v>
      </c>
      <c r="H66" s="100">
        <v>23.73</v>
      </c>
      <c r="I66" s="100">
        <v>11.72</v>
      </c>
      <c r="J66" s="100">
        <v>0.51</v>
      </c>
      <c r="K66" s="100">
        <v>302.27</v>
      </c>
      <c r="L66" s="100">
        <v>33.22</v>
      </c>
      <c r="M66" s="100">
        <v>33.03</v>
      </c>
      <c r="N66" s="100">
        <v>228.9</v>
      </c>
      <c r="O66" s="100">
        <v>0</v>
      </c>
      <c r="P66" s="100">
        <v>0.82</v>
      </c>
      <c r="Q66" s="100">
        <v>12.92</v>
      </c>
      <c r="R66" s="6"/>
      <c r="S66" s="6"/>
      <c r="T66" s="156"/>
      <c r="U66" s="6"/>
    </row>
    <row r="67" spans="1:21" customFormat="1">
      <c r="A67" s="163" t="s">
        <v>393</v>
      </c>
      <c r="B67" s="100">
        <v>4.42</v>
      </c>
      <c r="C67" s="100">
        <v>21.13</v>
      </c>
      <c r="D67" s="100">
        <v>15.94</v>
      </c>
      <c r="E67" s="100">
        <v>10.41</v>
      </c>
      <c r="F67" s="152" t="s">
        <v>15</v>
      </c>
      <c r="G67" s="100">
        <v>51.07</v>
      </c>
      <c r="H67" s="100">
        <v>23.69</v>
      </c>
      <c r="I67" s="100">
        <v>11.38</v>
      </c>
      <c r="J67" s="100">
        <v>0.61</v>
      </c>
      <c r="K67" s="100">
        <v>290.08</v>
      </c>
      <c r="L67" s="100">
        <v>32.880000000000003</v>
      </c>
      <c r="M67" s="100">
        <v>32.19</v>
      </c>
      <c r="N67" s="100">
        <v>123</v>
      </c>
      <c r="O67" s="100">
        <v>0</v>
      </c>
      <c r="P67" s="100">
        <v>0.76</v>
      </c>
      <c r="Q67" s="100">
        <v>12.93</v>
      </c>
      <c r="R67" s="6"/>
      <c r="S67" s="6"/>
      <c r="T67" s="156"/>
      <c r="U67" s="6"/>
    </row>
    <row r="68" spans="1:21" customFormat="1">
      <c r="A68" s="163" t="s">
        <v>394</v>
      </c>
      <c r="B68" s="100">
        <v>4.4400000000000004</v>
      </c>
      <c r="C68" s="100">
        <v>19.48</v>
      </c>
      <c r="D68" s="100">
        <v>15.09</v>
      </c>
      <c r="E68" s="100">
        <v>12.27</v>
      </c>
      <c r="F68" s="152" t="s">
        <v>15</v>
      </c>
      <c r="G68" s="100">
        <v>48.93</v>
      </c>
      <c r="H68" s="100">
        <v>22.3</v>
      </c>
      <c r="I68" s="100">
        <v>10.85</v>
      </c>
      <c r="J68" s="100">
        <v>0.71</v>
      </c>
      <c r="K68" s="100">
        <v>298.67</v>
      </c>
      <c r="L68" s="100">
        <v>32.520000000000003</v>
      </c>
      <c r="M68" s="100">
        <v>32.82</v>
      </c>
      <c r="N68" s="100">
        <v>72.7</v>
      </c>
      <c r="O68" s="100">
        <v>0</v>
      </c>
      <c r="P68" s="100">
        <v>0.72</v>
      </c>
      <c r="Q68" s="100">
        <v>12.93</v>
      </c>
      <c r="R68" s="6"/>
      <c r="S68" s="6"/>
      <c r="T68" s="156"/>
      <c r="U68" s="6"/>
    </row>
    <row r="69" spans="1:21" customFormat="1">
      <c r="A69" s="163" t="s">
        <v>395</v>
      </c>
      <c r="B69" s="100">
        <v>4.4400000000000004</v>
      </c>
      <c r="C69" s="100">
        <v>20.59</v>
      </c>
      <c r="D69" s="100">
        <v>15.67</v>
      </c>
      <c r="E69" s="100">
        <v>12.89</v>
      </c>
      <c r="F69" s="152" t="s">
        <v>15</v>
      </c>
      <c r="G69" s="100">
        <v>48.93</v>
      </c>
      <c r="H69" s="100">
        <v>22.3</v>
      </c>
      <c r="I69" s="100">
        <v>10.130000000000001</v>
      </c>
      <c r="J69" s="100">
        <v>0.74</v>
      </c>
      <c r="K69" s="100">
        <v>275.02999999999997</v>
      </c>
      <c r="L69" s="100">
        <v>32.54</v>
      </c>
      <c r="M69" s="100">
        <v>33.18</v>
      </c>
      <c r="N69" s="100">
        <v>65.400000000000006</v>
      </c>
      <c r="O69" s="100">
        <v>0</v>
      </c>
      <c r="P69" s="100">
        <v>0.72</v>
      </c>
      <c r="Q69" s="100">
        <v>12.9</v>
      </c>
      <c r="R69" s="6"/>
      <c r="S69" s="6"/>
      <c r="T69" s="156"/>
      <c r="U69" s="6"/>
    </row>
    <row r="70" spans="1:21" customFormat="1">
      <c r="A70" s="163" t="s">
        <v>396</v>
      </c>
      <c r="B70" s="100">
        <v>4.46</v>
      </c>
      <c r="C70" s="100">
        <v>20.28</v>
      </c>
      <c r="D70" s="100">
        <v>15.52</v>
      </c>
      <c r="E70" s="100">
        <v>13.51</v>
      </c>
      <c r="F70" s="152" t="s">
        <v>15</v>
      </c>
      <c r="G70" s="100">
        <v>48.93</v>
      </c>
      <c r="H70" s="100">
        <v>22.3</v>
      </c>
      <c r="I70" s="100">
        <v>9.6300000000000008</v>
      </c>
      <c r="J70" s="100">
        <v>0.44</v>
      </c>
      <c r="K70" s="100">
        <v>280.85000000000002</v>
      </c>
      <c r="L70" s="100">
        <v>32.549999999999997</v>
      </c>
      <c r="M70" s="100">
        <v>32.89</v>
      </c>
      <c r="N70" s="100">
        <v>71.2</v>
      </c>
      <c r="O70" s="100">
        <v>0</v>
      </c>
      <c r="P70" s="100">
        <v>0.68</v>
      </c>
      <c r="Q70" s="100">
        <v>12.91</v>
      </c>
      <c r="R70" s="6"/>
      <c r="S70" s="6"/>
      <c r="T70" s="156"/>
      <c r="U70" s="6"/>
    </row>
    <row r="71" spans="1:21" customFormat="1">
      <c r="A71" s="163" t="s">
        <v>397</v>
      </c>
      <c r="B71" s="100">
        <v>4.43</v>
      </c>
      <c r="C71" s="100">
        <v>20.22</v>
      </c>
      <c r="D71" s="100">
        <v>15.47</v>
      </c>
      <c r="E71" s="100">
        <v>14.35</v>
      </c>
      <c r="F71" s="152" t="s">
        <v>15</v>
      </c>
      <c r="G71" s="100">
        <v>48.51</v>
      </c>
      <c r="H71" s="100">
        <v>22.16</v>
      </c>
      <c r="I71" s="100">
        <v>9.43</v>
      </c>
      <c r="J71" s="100">
        <v>0.63</v>
      </c>
      <c r="K71" s="100">
        <v>268.72000000000003</v>
      </c>
      <c r="L71" s="100">
        <v>32.53</v>
      </c>
      <c r="M71" s="100">
        <v>33.75</v>
      </c>
      <c r="N71" s="100">
        <v>76.5</v>
      </c>
      <c r="O71" s="100">
        <v>0</v>
      </c>
      <c r="P71" s="100">
        <v>0.68</v>
      </c>
      <c r="Q71" s="100">
        <v>12.92</v>
      </c>
      <c r="R71" s="6"/>
      <c r="S71" s="6"/>
      <c r="T71" s="156"/>
      <c r="U71" s="6"/>
    </row>
    <row r="72" spans="1:21" customFormat="1">
      <c r="A72" s="163" t="s">
        <v>398</v>
      </c>
      <c r="B72" s="100">
        <v>4.42</v>
      </c>
      <c r="C72" s="100">
        <v>20.96</v>
      </c>
      <c r="D72" s="100">
        <v>15.85</v>
      </c>
      <c r="E72" s="100">
        <v>16.670000000000002</v>
      </c>
      <c r="F72" s="152" t="s">
        <v>15</v>
      </c>
      <c r="G72" s="100">
        <v>39.369999999999997</v>
      </c>
      <c r="H72" s="100">
        <v>19.13</v>
      </c>
      <c r="I72" s="100">
        <v>8.64</v>
      </c>
      <c r="J72" s="100">
        <v>0.66</v>
      </c>
      <c r="K72" s="100">
        <v>287.55</v>
      </c>
      <c r="L72" s="100">
        <v>32.4</v>
      </c>
      <c r="M72" s="100">
        <v>32.380000000000003</v>
      </c>
      <c r="N72" s="100">
        <v>47.2</v>
      </c>
      <c r="O72" s="100">
        <v>0</v>
      </c>
      <c r="P72" s="100">
        <v>0.67</v>
      </c>
      <c r="Q72" s="100">
        <v>12.94</v>
      </c>
      <c r="R72" s="6"/>
      <c r="S72" s="6"/>
      <c r="T72" s="156"/>
      <c r="U72" s="6"/>
    </row>
    <row r="73" spans="1:21" customFormat="1">
      <c r="A73" s="163" t="s">
        <v>399</v>
      </c>
      <c r="B73" s="100">
        <v>4.41</v>
      </c>
      <c r="C73" s="100">
        <v>21.81</v>
      </c>
      <c r="D73" s="100">
        <v>16.29</v>
      </c>
      <c r="E73" s="100">
        <v>16.600000000000001</v>
      </c>
      <c r="F73" s="152" t="s">
        <v>15</v>
      </c>
      <c r="G73" s="100">
        <v>39.369999999999997</v>
      </c>
      <c r="H73" s="100">
        <v>19.13</v>
      </c>
      <c r="I73" s="100">
        <v>8.58</v>
      </c>
      <c r="J73" s="100">
        <v>0.75</v>
      </c>
      <c r="K73" s="100">
        <v>272.62</v>
      </c>
      <c r="L73" s="100">
        <v>32.17</v>
      </c>
      <c r="M73" s="100">
        <v>32.090000000000003</v>
      </c>
      <c r="N73" s="100">
        <v>42.9</v>
      </c>
      <c r="O73" s="100">
        <v>0</v>
      </c>
      <c r="P73" s="100">
        <v>0.69</v>
      </c>
      <c r="Q73" s="100">
        <v>12.92</v>
      </c>
      <c r="R73" s="6"/>
      <c r="S73" s="6"/>
      <c r="T73" s="156"/>
      <c r="U73" s="6"/>
    </row>
    <row r="74" spans="1:21" customFormat="1">
      <c r="A74" s="163" t="s">
        <v>400</v>
      </c>
      <c r="B74" s="100">
        <v>4.49</v>
      </c>
      <c r="C74" s="100">
        <v>21.02</v>
      </c>
      <c r="D74" s="100">
        <v>15.93</v>
      </c>
      <c r="E74" s="100">
        <v>17.45</v>
      </c>
      <c r="F74" s="152" t="s">
        <v>15</v>
      </c>
      <c r="G74" s="100">
        <v>39.369999999999997</v>
      </c>
      <c r="H74" s="100">
        <v>19.13</v>
      </c>
      <c r="I74" s="100">
        <v>9.07</v>
      </c>
      <c r="J74" s="100">
        <v>0.68</v>
      </c>
      <c r="K74" s="100">
        <v>278.45999999999998</v>
      </c>
      <c r="L74" s="100">
        <v>32</v>
      </c>
      <c r="M74" s="100">
        <v>32.53</v>
      </c>
      <c r="N74" s="100">
        <v>38.9</v>
      </c>
      <c r="O74" s="100">
        <v>0</v>
      </c>
      <c r="P74" s="100">
        <v>0.71</v>
      </c>
      <c r="Q74" s="100">
        <v>12.91</v>
      </c>
      <c r="R74" s="6"/>
      <c r="S74" s="6"/>
      <c r="T74" s="156"/>
      <c r="U74" s="6"/>
    </row>
    <row r="75" spans="1:21" customFormat="1">
      <c r="A75" s="163" t="s">
        <v>401</v>
      </c>
      <c r="B75" s="100">
        <v>4.54</v>
      </c>
      <c r="C75" s="100">
        <v>21.82</v>
      </c>
      <c r="D75" s="100">
        <v>16.39</v>
      </c>
      <c r="E75" s="100">
        <v>18.29</v>
      </c>
      <c r="F75" s="152" t="s">
        <v>15</v>
      </c>
      <c r="G75" s="100">
        <v>39.29</v>
      </c>
      <c r="H75" s="100">
        <v>19.03</v>
      </c>
      <c r="I75" s="100">
        <v>9.1999999999999993</v>
      </c>
      <c r="J75" s="100">
        <v>0.56000000000000005</v>
      </c>
      <c r="K75" s="100">
        <v>273.04000000000002</v>
      </c>
      <c r="L75" s="100">
        <v>31.72</v>
      </c>
      <c r="M75" s="100">
        <v>33.81</v>
      </c>
      <c r="N75" s="100">
        <v>39.200000000000003</v>
      </c>
      <c r="O75" s="100">
        <v>0</v>
      </c>
      <c r="P75" s="100">
        <v>0.72</v>
      </c>
      <c r="Q75" s="100">
        <v>12.92</v>
      </c>
      <c r="R75" s="6"/>
      <c r="S75" s="6"/>
      <c r="T75" s="156"/>
      <c r="U75" s="6"/>
    </row>
    <row r="76" spans="1:21" customFormat="1">
      <c r="A76" s="163" t="s">
        <v>402</v>
      </c>
      <c r="B76" s="100">
        <v>4.54</v>
      </c>
      <c r="C76" s="100">
        <v>21.25</v>
      </c>
      <c r="D76" s="100">
        <v>16.09</v>
      </c>
      <c r="E76" s="100">
        <v>19.059999999999999</v>
      </c>
      <c r="F76" s="152" t="s">
        <v>15</v>
      </c>
      <c r="G76" s="100">
        <v>37.54</v>
      </c>
      <c r="H76" s="100">
        <v>15.65</v>
      </c>
      <c r="I76" s="100">
        <v>9.3000000000000007</v>
      </c>
      <c r="J76" s="100">
        <v>0.46</v>
      </c>
      <c r="K76" s="100">
        <v>262.08999999999997</v>
      </c>
      <c r="L76" s="100">
        <v>31.38</v>
      </c>
      <c r="M76" s="100">
        <v>33.9</v>
      </c>
      <c r="N76" s="100">
        <v>25.6</v>
      </c>
      <c r="O76" s="100">
        <v>0</v>
      </c>
      <c r="P76" s="100">
        <v>0.68</v>
      </c>
      <c r="Q76" s="100">
        <v>12.92</v>
      </c>
      <c r="R76" s="6"/>
      <c r="S76" s="6"/>
      <c r="T76" s="156"/>
      <c r="U76" s="6"/>
    </row>
    <row r="77" spans="1:21" customFormat="1">
      <c r="A77" s="163" t="s">
        <v>403</v>
      </c>
      <c r="B77" s="100">
        <v>4.54</v>
      </c>
      <c r="C77" s="100">
        <v>21.37</v>
      </c>
      <c r="D77" s="100">
        <v>16.16</v>
      </c>
      <c r="E77" s="100">
        <v>17.32</v>
      </c>
      <c r="F77" s="152" t="s">
        <v>15</v>
      </c>
      <c r="G77" s="100">
        <v>37.54</v>
      </c>
      <c r="H77" s="100">
        <v>15.65</v>
      </c>
      <c r="I77" s="100">
        <v>9.08</v>
      </c>
      <c r="J77" s="100">
        <v>0.4</v>
      </c>
      <c r="K77" s="100">
        <v>257.83999999999997</v>
      </c>
      <c r="L77" s="100">
        <v>30.95</v>
      </c>
      <c r="M77" s="100">
        <v>34.71</v>
      </c>
      <c r="N77" s="100">
        <v>18.399999999999999</v>
      </c>
      <c r="O77" s="100">
        <v>0</v>
      </c>
      <c r="P77" s="100">
        <v>0.7</v>
      </c>
      <c r="Q77" s="100">
        <v>12.9</v>
      </c>
      <c r="R77" s="6"/>
      <c r="S77" s="6"/>
      <c r="T77" s="156"/>
      <c r="U77" s="6"/>
    </row>
    <row r="78" spans="1:21" customFormat="1">
      <c r="A78" s="163" t="s">
        <v>404</v>
      </c>
      <c r="B78" s="100">
        <v>4.6100000000000003</v>
      </c>
      <c r="C78" s="100">
        <v>20.55</v>
      </c>
      <c r="D78" s="100">
        <v>15.79</v>
      </c>
      <c r="E78" s="100">
        <v>17.27</v>
      </c>
      <c r="F78" s="152" t="s">
        <v>15</v>
      </c>
      <c r="G78" s="100">
        <v>37.54</v>
      </c>
      <c r="H78" s="100">
        <v>15.65</v>
      </c>
      <c r="I78" s="100">
        <v>8.9600000000000009</v>
      </c>
      <c r="J78" s="100">
        <v>0.24</v>
      </c>
      <c r="K78" s="100">
        <v>217.88</v>
      </c>
      <c r="L78" s="100">
        <v>30.38</v>
      </c>
      <c r="M78" s="100">
        <v>36.94</v>
      </c>
      <c r="N78" s="100">
        <v>12</v>
      </c>
      <c r="O78" s="100">
        <v>0</v>
      </c>
      <c r="P78" s="100">
        <v>0.71</v>
      </c>
      <c r="Q78" s="100">
        <v>12.91</v>
      </c>
      <c r="R78" s="6"/>
      <c r="S78" s="6"/>
      <c r="T78" s="156"/>
      <c r="U78" s="6"/>
    </row>
    <row r="79" spans="1:21" customFormat="1">
      <c r="A79" s="163" t="s">
        <v>405</v>
      </c>
      <c r="B79" s="100">
        <v>4.76</v>
      </c>
      <c r="C79" s="100">
        <v>20.83</v>
      </c>
      <c r="D79" s="100">
        <v>16.05</v>
      </c>
      <c r="E79" s="100">
        <v>15.26</v>
      </c>
      <c r="F79" s="152" t="s">
        <v>15</v>
      </c>
      <c r="G79" s="100">
        <v>37.85</v>
      </c>
      <c r="H79" s="100">
        <v>15.73</v>
      </c>
      <c r="I79" s="100">
        <v>8.9499999999999993</v>
      </c>
      <c r="J79" s="100">
        <v>7.0000000000000007E-2</v>
      </c>
      <c r="K79" s="100">
        <v>213.26</v>
      </c>
      <c r="L79" s="100">
        <v>29.7</v>
      </c>
      <c r="M79" s="100">
        <v>40.01</v>
      </c>
      <c r="N79" s="100">
        <v>6.2</v>
      </c>
      <c r="O79" s="100">
        <v>0</v>
      </c>
      <c r="P79" s="100">
        <v>0.76</v>
      </c>
      <c r="Q79" s="100">
        <v>12.91</v>
      </c>
      <c r="R79" s="6"/>
      <c r="S79" s="6"/>
      <c r="T79" s="156"/>
      <c r="U79" s="6"/>
    </row>
    <row r="80" spans="1:21" customFormat="1">
      <c r="A80" s="163" t="s">
        <v>406</v>
      </c>
      <c r="B80" s="100">
        <v>5.05</v>
      </c>
      <c r="C80" s="100">
        <v>21.8</v>
      </c>
      <c r="D80" s="100">
        <v>16.79</v>
      </c>
      <c r="E80" s="100">
        <v>14.37</v>
      </c>
      <c r="F80" s="152" t="s">
        <v>15</v>
      </c>
      <c r="G80" s="100">
        <v>44.47</v>
      </c>
      <c r="H80" s="100">
        <v>18.22</v>
      </c>
      <c r="I80" s="100">
        <v>8.94</v>
      </c>
      <c r="J80" s="100">
        <v>0.2</v>
      </c>
      <c r="K80" s="100">
        <v>271.18</v>
      </c>
      <c r="L80" s="100">
        <v>29.3</v>
      </c>
      <c r="M80" s="100">
        <v>40.98</v>
      </c>
      <c r="N80" s="100">
        <v>2.7</v>
      </c>
      <c r="O80" s="100">
        <v>0</v>
      </c>
      <c r="P80" s="100">
        <v>0.73</v>
      </c>
      <c r="Q80" s="100">
        <v>12.93</v>
      </c>
      <c r="R80" s="6"/>
      <c r="S80" s="6"/>
      <c r="T80" s="156"/>
      <c r="U80" s="6"/>
    </row>
    <row r="81" spans="1:21" customFormat="1">
      <c r="A81" s="163" t="s">
        <v>407</v>
      </c>
      <c r="B81" s="100">
        <v>5.34</v>
      </c>
      <c r="C81" s="100">
        <v>21.64</v>
      </c>
      <c r="D81" s="100">
        <v>16.940000000000001</v>
      </c>
      <c r="E81" s="100">
        <v>9.42</v>
      </c>
      <c r="F81" s="152" t="s">
        <v>15</v>
      </c>
      <c r="G81" s="100">
        <v>44.47</v>
      </c>
      <c r="H81" s="100">
        <v>18.22</v>
      </c>
      <c r="I81" s="100">
        <v>9.25</v>
      </c>
      <c r="J81" s="100">
        <v>0.13</v>
      </c>
      <c r="K81" s="100">
        <v>270.41000000000003</v>
      </c>
      <c r="L81" s="100">
        <v>29</v>
      </c>
      <c r="M81" s="100">
        <v>40.99</v>
      </c>
      <c r="N81" s="100">
        <v>1.7</v>
      </c>
      <c r="O81" s="100">
        <v>0</v>
      </c>
      <c r="P81" s="100">
        <v>0.73</v>
      </c>
      <c r="Q81" s="100">
        <v>12.92</v>
      </c>
      <c r="R81" s="6"/>
      <c r="S81" s="6"/>
      <c r="T81" s="156"/>
      <c r="U81" s="6"/>
    </row>
    <row r="82" spans="1:21" customFormat="1">
      <c r="A82" s="163" t="s">
        <v>408</v>
      </c>
      <c r="B82" s="100">
        <v>5.63</v>
      </c>
      <c r="C82" s="100">
        <v>22.13</v>
      </c>
      <c r="D82" s="100">
        <v>17.43</v>
      </c>
      <c r="E82" s="100">
        <v>11.76</v>
      </c>
      <c r="F82" s="152" t="s">
        <v>15</v>
      </c>
      <c r="G82" s="100">
        <v>44.47</v>
      </c>
      <c r="H82" s="100">
        <v>18.22</v>
      </c>
      <c r="I82" s="100">
        <v>9.1</v>
      </c>
      <c r="J82" s="100">
        <v>0.14000000000000001</v>
      </c>
      <c r="K82" s="100">
        <v>215.7</v>
      </c>
      <c r="L82" s="100">
        <v>28.53</v>
      </c>
      <c r="M82" s="100">
        <v>42.46</v>
      </c>
      <c r="N82" s="100">
        <v>1.6</v>
      </c>
      <c r="O82" s="100">
        <v>0</v>
      </c>
      <c r="P82" s="100">
        <v>0.76</v>
      </c>
      <c r="Q82" s="100">
        <v>12.94</v>
      </c>
      <c r="R82" s="6"/>
      <c r="S82" s="6"/>
      <c r="T82" s="156"/>
      <c r="U82" s="6"/>
    </row>
    <row r="83" spans="1:21" customFormat="1">
      <c r="A83" s="163" t="s">
        <v>409</v>
      </c>
      <c r="B83" s="100">
        <v>5.87</v>
      </c>
      <c r="C83" s="100">
        <v>21.51</v>
      </c>
      <c r="D83" s="100">
        <v>17.3</v>
      </c>
      <c r="E83" s="100">
        <v>10.130000000000001</v>
      </c>
      <c r="F83" s="152" t="s">
        <v>15</v>
      </c>
      <c r="G83" s="100">
        <v>45.47</v>
      </c>
      <c r="H83" s="100">
        <v>18.22</v>
      </c>
      <c r="I83" s="100">
        <v>9.31</v>
      </c>
      <c r="J83" s="100">
        <v>0.28999999999999998</v>
      </c>
      <c r="K83" s="100">
        <v>168.72</v>
      </c>
      <c r="L83" s="100">
        <v>27.71</v>
      </c>
      <c r="M83" s="100">
        <v>51.21</v>
      </c>
      <c r="N83" s="100">
        <v>2</v>
      </c>
      <c r="O83" s="100">
        <v>0</v>
      </c>
      <c r="P83" s="100">
        <v>0.74</v>
      </c>
      <c r="Q83" s="100">
        <v>12.93</v>
      </c>
      <c r="R83" s="6"/>
      <c r="S83" s="6"/>
      <c r="T83" s="156"/>
      <c r="U83" s="6"/>
    </row>
    <row r="84" spans="1:21" customFormat="1">
      <c r="A84" s="163" t="s">
        <v>410</v>
      </c>
      <c r="B84" s="100">
        <v>5.93</v>
      </c>
      <c r="C84" s="100">
        <v>21.93</v>
      </c>
      <c r="D84" s="100">
        <v>17.559999999999999</v>
      </c>
      <c r="E84" s="100">
        <v>9.19</v>
      </c>
      <c r="F84" s="152" t="s">
        <v>15</v>
      </c>
      <c r="G84" s="100">
        <v>67.040000000000006</v>
      </c>
      <c r="H84" s="100">
        <v>18.18</v>
      </c>
      <c r="I84" s="100">
        <v>9.42</v>
      </c>
      <c r="J84" s="100">
        <v>0.28000000000000003</v>
      </c>
      <c r="K84" s="100">
        <v>169.76</v>
      </c>
      <c r="L84" s="100">
        <v>26.62</v>
      </c>
      <c r="M84" s="100">
        <v>57.48</v>
      </c>
      <c r="N84" s="100">
        <v>2.1</v>
      </c>
      <c r="O84" s="100">
        <v>0</v>
      </c>
      <c r="P84" s="100">
        <v>0.74</v>
      </c>
      <c r="Q84" s="100">
        <v>12.94</v>
      </c>
      <c r="R84" s="6"/>
      <c r="S84" s="6"/>
      <c r="T84" s="156"/>
      <c r="U84" s="6"/>
    </row>
    <row r="85" spans="1:21" customFormat="1">
      <c r="A85" s="163" t="s">
        <v>411</v>
      </c>
      <c r="B85" s="100">
        <v>5.88</v>
      </c>
      <c r="C85" s="100">
        <v>22.22</v>
      </c>
      <c r="D85" s="100">
        <v>17.68</v>
      </c>
      <c r="E85" s="100">
        <v>9.02</v>
      </c>
      <c r="F85" s="152" t="s">
        <v>15</v>
      </c>
      <c r="G85" s="100">
        <v>67.040000000000006</v>
      </c>
      <c r="H85" s="100">
        <v>18.18</v>
      </c>
      <c r="I85" s="100">
        <v>9.35</v>
      </c>
      <c r="J85" s="100">
        <v>0.33</v>
      </c>
      <c r="K85" s="100">
        <v>160.34</v>
      </c>
      <c r="L85" s="100">
        <v>26.07</v>
      </c>
      <c r="M85" s="100">
        <v>57.69</v>
      </c>
      <c r="N85" s="100">
        <v>1.7</v>
      </c>
      <c r="O85" s="100">
        <v>0</v>
      </c>
      <c r="P85" s="100">
        <v>0.75</v>
      </c>
      <c r="Q85" s="100">
        <v>12.94</v>
      </c>
      <c r="R85" s="6"/>
      <c r="S85" s="6"/>
      <c r="T85" s="156"/>
      <c r="U85" s="6"/>
    </row>
    <row r="86" spans="1:21" customFormat="1">
      <c r="A86" s="163" t="s">
        <v>412</v>
      </c>
      <c r="B86" s="100">
        <v>5.85</v>
      </c>
      <c r="C86" s="100">
        <v>22.36</v>
      </c>
      <c r="D86" s="100">
        <v>17.72</v>
      </c>
      <c r="E86" s="100">
        <v>8.61</v>
      </c>
      <c r="F86" s="152" t="s">
        <v>15</v>
      </c>
      <c r="G86" s="100">
        <v>67.040000000000006</v>
      </c>
      <c r="H86" s="100">
        <v>18.18</v>
      </c>
      <c r="I86" s="100">
        <v>9.31</v>
      </c>
      <c r="J86" s="100">
        <v>0.33</v>
      </c>
      <c r="K86" s="100">
        <v>160.63</v>
      </c>
      <c r="L86" s="100">
        <v>25.74</v>
      </c>
      <c r="M86" s="100">
        <v>60.85</v>
      </c>
      <c r="N86" s="100">
        <v>1.5</v>
      </c>
      <c r="O86" s="100">
        <v>0</v>
      </c>
      <c r="P86" s="100">
        <v>0.75</v>
      </c>
      <c r="Q86" s="100">
        <v>12.94</v>
      </c>
      <c r="R86" s="6"/>
      <c r="S86" s="6"/>
      <c r="T86" s="156"/>
      <c r="U86" s="6"/>
    </row>
    <row r="87" spans="1:21" customFormat="1">
      <c r="A87" s="163" t="s">
        <v>413</v>
      </c>
      <c r="B87" s="100">
        <v>5.98</v>
      </c>
      <c r="C87" s="100">
        <v>22.59</v>
      </c>
      <c r="D87" s="100">
        <v>17.95</v>
      </c>
      <c r="E87" s="100">
        <v>8.39</v>
      </c>
      <c r="F87" s="152" t="s">
        <v>15</v>
      </c>
      <c r="G87" s="100">
        <v>67.150000000000006</v>
      </c>
      <c r="H87" s="100">
        <v>18.22</v>
      </c>
      <c r="I87" s="100">
        <v>9.2799999999999994</v>
      </c>
      <c r="J87" s="100">
        <v>0.19</v>
      </c>
      <c r="K87" s="100">
        <v>179.41</v>
      </c>
      <c r="L87" s="100">
        <v>25.49</v>
      </c>
      <c r="M87" s="100">
        <v>60.55</v>
      </c>
      <c r="N87" s="100">
        <v>1.4</v>
      </c>
      <c r="O87" s="100">
        <v>0</v>
      </c>
      <c r="P87" s="100">
        <v>0.77</v>
      </c>
      <c r="Q87" s="100">
        <v>12.95</v>
      </c>
      <c r="R87" s="6"/>
      <c r="S87" s="6"/>
      <c r="T87" s="156"/>
      <c r="U87" s="6"/>
    </row>
    <row r="88" spans="1:21" customFormat="1">
      <c r="A88" s="163" t="s">
        <v>414</v>
      </c>
      <c r="B88" s="100">
        <v>6.22</v>
      </c>
      <c r="C88" s="100">
        <v>22.98</v>
      </c>
      <c r="D88" s="100">
        <v>18.34</v>
      </c>
      <c r="E88" s="100">
        <v>8.73</v>
      </c>
      <c r="F88" s="152" t="s">
        <v>15</v>
      </c>
      <c r="G88" s="100">
        <v>70.489999999999995</v>
      </c>
      <c r="H88" s="100">
        <v>19.46</v>
      </c>
      <c r="I88" s="100">
        <v>9.33</v>
      </c>
      <c r="J88" s="100">
        <v>0.26</v>
      </c>
      <c r="K88" s="100">
        <v>186.39</v>
      </c>
      <c r="L88" s="100">
        <v>24.8</v>
      </c>
      <c r="M88" s="100">
        <v>63.11</v>
      </c>
      <c r="N88" s="100">
        <v>1.8</v>
      </c>
      <c r="O88" s="100">
        <v>0</v>
      </c>
      <c r="P88" s="100">
        <v>0.78</v>
      </c>
      <c r="Q88" s="100">
        <v>12.93</v>
      </c>
      <c r="R88" s="6"/>
      <c r="S88" s="6"/>
      <c r="T88" s="156"/>
      <c r="U88" s="6"/>
    </row>
    <row r="89" spans="1:21" customFormat="1">
      <c r="A89" s="163" t="s">
        <v>415</v>
      </c>
      <c r="B89" s="100">
        <v>6.41</v>
      </c>
      <c r="C89" s="100">
        <v>23.11</v>
      </c>
      <c r="D89" s="100">
        <v>18.57</v>
      </c>
      <c r="E89" s="100">
        <v>8.2799999999999994</v>
      </c>
      <c r="F89" s="152" t="s">
        <v>15</v>
      </c>
      <c r="G89" s="100">
        <v>70.489999999999995</v>
      </c>
      <c r="H89" s="100">
        <v>19.46</v>
      </c>
      <c r="I89" s="100">
        <v>9.5500000000000007</v>
      </c>
      <c r="J89" s="100">
        <v>0.24</v>
      </c>
      <c r="K89" s="100">
        <v>181.14</v>
      </c>
      <c r="L89" s="100">
        <v>24.32</v>
      </c>
      <c r="M89" s="100">
        <v>67.61</v>
      </c>
      <c r="N89" s="100">
        <v>1.5</v>
      </c>
      <c r="O89" s="100">
        <v>0</v>
      </c>
      <c r="P89" s="100">
        <v>0.79</v>
      </c>
      <c r="Q89" s="100">
        <v>12.94</v>
      </c>
      <c r="R89" s="6"/>
      <c r="S89" s="6"/>
      <c r="T89" s="156"/>
      <c r="U89" s="6"/>
    </row>
    <row r="90" spans="1:21" customFormat="1">
      <c r="A90" s="163" t="s">
        <v>416</v>
      </c>
      <c r="B90" s="100">
        <v>6.57</v>
      </c>
      <c r="C90" s="100">
        <v>23.18</v>
      </c>
      <c r="D90" s="100">
        <v>18.73</v>
      </c>
      <c r="E90" s="100">
        <v>8.67</v>
      </c>
      <c r="F90" s="152" t="s">
        <v>15</v>
      </c>
      <c r="G90" s="100">
        <v>70.489999999999995</v>
      </c>
      <c r="H90" s="100">
        <v>19.46</v>
      </c>
      <c r="I90" s="100">
        <v>9.65</v>
      </c>
      <c r="J90" s="100">
        <v>0.31</v>
      </c>
      <c r="K90" s="100">
        <v>164.11</v>
      </c>
      <c r="L90" s="100">
        <v>24.43</v>
      </c>
      <c r="M90" s="100">
        <v>66.489999999999995</v>
      </c>
      <c r="N90" s="100">
        <v>1.2</v>
      </c>
      <c r="O90" s="100">
        <v>0</v>
      </c>
      <c r="P90" s="100">
        <v>0.82</v>
      </c>
      <c r="Q90" s="100">
        <v>12.94</v>
      </c>
      <c r="R90" s="6"/>
      <c r="S90" s="6"/>
      <c r="T90" s="156"/>
      <c r="U90" s="6"/>
    </row>
    <row r="91" spans="1:21" customFormat="1">
      <c r="A91" s="163" t="s">
        <v>417</v>
      </c>
      <c r="B91" s="100">
        <v>6.8</v>
      </c>
      <c r="C91" s="100">
        <v>23.14</v>
      </c>
      <c r="D91" s="100">
        <v>18.89</v>
      </c>
      <c r="E91" s="100">
        <v>7.95</v>
      </c>
      <c r="F91" s="152" t="s">
        <v>15</v>
      </c>
      <c r="G91" s="100">
        <v>70.44</v>
      </c>
      <c r="H91" s="100">
        <v>19.510000000000002</v>
      </c>
      <c r="I91" s="100">
        <v>9.74</v>
      </c>
      <c r="J91" s="100">
        <v>0.2</v>
      </c>
      <c r="K91" s="100">
        <v>195.84</v>
      </c>
      <c r="L91" s="100">
        <v>24.1</v>
      </c>
      <c r="M91" s="100">
        <v>68.709999999999994</v>
      </c>
      <c r="N91" s="100">
        <v>1.4</v>
      </c>
      <c r="O91" s="100">
        <v>0</v>
      </c>
      <c r="P91" s="100">
        <v>0.83</v>
      </c>
      <c r="Q91" s="100">
        <v>12.95</v>
      </c>
      <c r="R91" s="6"/>
      <c r="S91" s="6"/>
      <c r="T91" s="156"/>
      <c r="U91" s="6"/>
    </row>
    <row r="92" spans="1:21" customFormat="1">
      <c r="A92" s="163" t="s">
        <v>418</v>
      </c>
      <c r="B92" s="100">
        <v>6.98</v>
      </c>
      <c r="C92" s="100">
        <v>23.12</v>
      </c>
      <c r="D92" s="100">
        <v>19.03</v>
      </c>
      <c r="E92" s="100">
        <v>8.32</v>
      </c>
      <c r="F92" s="152" t="s">
        <v>15</v>
      </c>
      <c r="G92" s="100">
        <v>69.400000000000006</v>
      </c>
      <c r="H92" s="100">
        <v>20.66</v>
      </c>
      <c r="I92" s="100">
        <v>9.9</v>
      </c>
      <c r="J92" s="100">
        <v>0.28000000000000003</v>
      </c>
      <c r="K92" s="100">
        <v>216.12</v>
      </c>
      <c r="L92" s="100">
        <v>23.65</v>
      </c>
      <c r="M92" s="100">
        <v>69.069999999999993</v>
      </c>
      <c r="N92" s="100">
        <v>1.5</v>
      </c>
      <c r="O92" s="100">
        <v>0</v>
      </c>
      <c r="P92" s="100">
        <v>0.85</v>
      </c>
      <c r="Q92" s="100">
        <v>12.94</v>
      </c>
      <c r="R92" s="6"/>
      <c r="S92" s="6"/>
      <c r="T92" s="156"/>
      <c r="U92" s="6"/>
    </row>
    <row r="93" spans="1:21" customFormat="1">
      <c r="A93" s="163" t="s">
        <v>419</v>
      </c>
      <c r="B93" s="100">
        <v>7.15</v>
      </c>
      <c r="C93" s="100">
        <v>23.01</v>
      </c>
      <c r="D93" s="100">
        <v>19.11</v>
      </c>
      <c r="E93" s="100">
        <v>8.65</v>
      </c>
      <c r="F93" s="152" t="s">
        <v>15</v>
      </c>
      <c r="G93" s="100">
        <v>69.400000000000006</v>
      </c>
      <c r="H93" s="100">
        <v>20.66</v>
      </c>
      <c r="I93" s="100">
        <v>10.1</v>
      </c>
      <c r="J93" s="100">
        <v>0.25</v>
      </c>
      <c r="K93" s="100">
        <v>163.01</v>
      </c>
      <c r="L93" s="100">
        <v>23.48</v>
      </c>
      <c r="M93" s="100">
        <v>69.27</v>
      </c>
      <c r="N93" s="100">
        <v>1.4</v>
      </c>
      <c r="O93" s="100">
        <v>0</v>
      </c>
      <c r="P93" s="100">
        <v>0.86</v>
      </c>
      <c r="Q93" s="100">
        <v>12.93</v>
      </c>
      <c r="R93" s="6"/>
      <c r="S93" s="6"/>
      <c r="T93" s="156"/>
      <c r="U93" s="6"/>
    </row>
    <row r="94" spans="1:21" customFormat="1">
      <c r="A94" s="163" t="s">
        <v>420</v>
      </c>
      <c r="B94" s="100">
        <v>7.32</v>
      </c>
      <c r="C94" s="100">
        <v>22.87</v>
      </c>
      <c r="D94" s="100">
        <v>19.170000000000002</v>
      </c>
      <c r="E94" s="100">
        <v>8.14</v>
      </c>
      <c r="F94" s="152" t="s">
        <v>15</v>
      </c>
      <c r="G94" s="100">
        <v>69.400000000000006</v>
      </c>
      <c r="H94" s="100">
        <v>20.66</v>
      </c>
      <c r="I94" s="100">
        <v>10.26</v>
      </c>
      <c r="J94" s="100">
        <v>0.27</v>
      </c>
      <c r="K94" s="100">
        <v>158.43</v>
      </c>
      <c r="L94" s="100">
        <v>23.62</v>
      </c>
      <c r="M94" s="100">
        <v>66.52</v>
      </c>
      <c r="N94" s="100">
        <v>1.2</v>
      </c>
      <c r="O94" s="100">
        <v>0</v>
      </c>
      <c r="P94" s="100">
        <v>0.87</v>
      </c>
      <c r="Q94" s="100">
        <v>12.94</v>
      </c>
      <c r="R94" s="6"/>
      <c r="S94" s="6"/>
      <c r="T94" s="156"/>
      <c r="U94" s="6"/>
    </row>
    <row r="95" spans="1:21" customFormat="1">
      <c r="A95" s="163" t="s">
        <v>421</v>
      </c>
      <c r="B95" s="100">
        <v>7.51</v>
      </c>
      <c r="C95" s="100">
        <v>22.76</v>
      </c>
      <c r="D95" s="100">
        <v>19.27</v>
      </c>
      <c r="E95" s="100">
        <v>8.6199999999999992</v>
      </c>
      <c r="F95" s="152" t="s">
        <v>15</v>
      </c>
      <c r="G95" s="100">
        <v>69.510000000000005</v>
      </c>
      <c r="H95" s="100">
        <v>20.64</v>
      </c>
      <c r="I95" s="100">
        <v>10.39</v>
      </c>
      <c r="J95" s="100">
        <v>0.21</v>
      </c>
      <c r="K95" s="100">
        <v>174.91</v>
      </c>
      <c r="L95" s="100">
        <v>23.41</v>
      </c>
      <c r="M95" s="100">
        <v>69.930000000000007</v>
      </c>
      <c r="N95" s="100">
        <v>1.3</v>
      </c>
      <c r="O95" s="100">
        <v>0</v>
      </c>
      <c r="P95" s="100">
        <v>0.89</v>
      </c>
      <c r="Q95" s="100">
        <v>12.93</v>
      </c>
      <c r="R95" s="6"/>
      <c r="S95" s="6"/>
      <c r="T95" s="156"/>
      <c r="U95" s="6"/>
    </row>
    <row r="96" spans="1:21" customFormat="1">
      <c r="A96" s="163" t="s">
        <v>422</v>
      </c>
      <c r="B96" s="100">
        <v>7.67</v>
      </c>
      <c r="C96" s="100">
        <v>22.79</v>
      </c>
      <c r="D96" s="100">
        <v>19.41</v>
      </c>
      <c r="E96" s="100">
        <v>8.16</v>
      </c>
      <c r="F96" s="152" t="s">
        <v>15</v>
      </c>
      <c r="G96" s="100">
        <v>71.77</v>
      </c>
      <c r="H96" s="100">
        <v>20.079999999999998</v>
      </c>
      <c r="I96" s="100">
        <v>10.55</v>
      </c>
      <c r="J96" s="100">
        <v>0.17</v>
      </c>
      <c r="K96" s="100">
        <v>215.19</v>
      </c>
      <c r="L96" s="100">
        <v>22.83</v>
      </c>
      <c r="M96" s="100">
        <v>73.2</v>
      </c>
      <c r="N96" s="100">
        <v>1.6</v>
      </c>
      <c r="O96" s="100">
        <v>0</v>
      </c>
      <c r="P96" s="100">
        <v>0.89</v>
      </c>
      <c r="Q96" s="100">
        <v>12.94</v>
      </c>
      <c r="R96" s="6"/>
      <c r="S96" s="6"/>
      <c r="T96" s="156"/>
      <c r="U96" s="6"/>
    </row>
    <row r="97" spans="1:28" customFormat="1">
      <c r="A97" s="163" t="s">
        <v>423</v>
      </c>
      <c r="B97" s="100">
        <v>7.86</v>
      </c>
      <c r="C97" s="100">
        <v>22.72</v>
      </c>
      <c r="D97" s="100">
        <v>19.53</v>
      </c>
      <c r="E97" s="100">
        <v>8.19</v>
      </c>
      <c r="F97" s="152" t="s">
        <v>15</v>
      </c>
      <c r="G97" s="100">
        <v>71.77</v>
      </c>
      <c r="H97" s="100">
        <v>20.079999999999998</v>
      </c>
      <c r="I97" s="100">
        <v>10.68</v>
      </c>
      <c r="J97" s="100">
        <v>0.18</v>
      </c>
      <c r="K97" s="100">
        <v>164.07</v>
      </c>
      <c r="L97" s="100">
        <v>22.81</v>
      </c>
      <c r="M97" s="100">
        <v>71.989999999999995</v>
      </c>
      <c r="N97" s="100">
        <v>1.3</v>
      </c>
      <c r="O97" s="100">
        <v>0</v>
      </c>
      <c r="P97" s="100">
        <v>0.92</v>
      </c>
      <c r="Q97" s="100">
        <v>12.95</v>
      </c>
      <c r="R97" s="6"/>
      <c r="S97" s="6"/>
      <c r="T97" s="156"/>
      <c r="U97" s="6"/>
    </row>
    <row r="98" spans="1:28" customFormat="1">
      <c r="A98" s="163" t="s">
        <v>424</v>
      </c>
      <c r="B98" s="100">
        <v>8.0500000000000007</v>
      </c>
      <c r="C98" s="100">
        <v>22.69</v>
      </c>
      <c r="D98" s="100">
        <v>19.66</v>
      </c>
      <c r="E98" s="100">
        <v>8.1999999999999993</v>
      </c>
      <c r="F98" s="152" t="s">
        <v>15</v>
      </c>
      <c r="G98" s="100">
        <v>71.77</v>
      </c>
      <c r="H98" s="100">
        <v>20.079999999999998</v>
      </c>
      <c r="I98" s="100">
        <v>10.9</v>
      </c>
      <c r="J98" s="100">
        <v>0.25</v>
      </c>
      <c r="K98" s="100">
        <v>159.55000000000001</v>
      </c>
      <c r="L98" s="100">
        <v>22.91</v>
      </c>
      <c r="M98" s="100">
        <v>72.19</v>
      </c>
      <c r="N98" s="100">
        <v>1.1000000000000001</v>
      </c>
      <c r="O98" s="100">
        <v>0</v>
      </c>
      <c r="P98" s="100">
        <v>0.95</v>
      </c>
      <c r="Q98" s="100">
        <v>12.94</v>
      </c>
      <c r="R98" s="6"/>
      <c r="S98" s="6"/>
      <c r="T98" s="156"/>
      <c r="U98" s="6"/>
    </row>
    <row r="99" spans="1:28" customFormat="1">
      <c r="A99" s="163" t="s">
        <v>425</v>
      </c>
      <c r="B99" s="100">
        <v>8.2200000000000006</v>
      </c>
      <c r="C99" s="100">
        <v>22.65</v>
      </c>
      <c r="D99" s="100">
        <v>19.78</v>
      </c>
      <c r="E99" s="100">
        <v>8.57</v>
      </c>
      <c r="F99" s="152" t="s">
        <v>15</v>
      </c>
      <c r="G99" s="100">
        <v>72.010000000000005</v>
      </c>
      <c r="H99" s="100">
        <v>20.100000000000001</v>
      </c>
      <c r="I99" s="100">
        <v>11.23</v>
      </c>
      <c r="J99" s="100">
        <v>0.21</v>
      </c>
      <c r="K99" s="100">
        <v>175.09</v>
      </c>
      <c r="L99" s="100">
        <v>22.77</v>
      </c>
      <c r="M99" s="100">
        <v>73.66</v>
      </c>
      <c r="N99" s="100">
        <v>1.3</v>
      </c>
      <c r="O99" s="100">
        <v>0</v>
      </c>
      <c r="P99" s="100">
        <v>0.98</v>
      </c>
      <c r="Q99" s="100">
        <v>12.94</v>
      </c>
      <c r="R99" s="6"/>
      <c r="S99" s="6"/>
      <c r="T99" s="156"/>
      <c r="U99" s="6"/>
    </row>
    <row r="100" spans="1:28" customFormat="1">
      <c r="A100" s="163" t="s">
        <v>426</v>
      </c>
      <c r="B100" s="100">
        <v>8.3800000000000008</v>
      </c>
      <c r="C100" s="100">
        <v>22.61</v>
      </c>
      <c r="D100" s="100">
        <v>19.88</v>
      </c>
      <c r="E100" s="100">
        <v>8.5</v>
      </c>
      <c r="F100" s="152" t="s">
        <v>15</v>
      </c>
      <c r="G100" s="100">
        <v>77.040000000000006</v>
      </c>
      <c r="H100" s="100">
        <v>20.5</v>
      </c>
      <c r="I100" s="100">
        <v>11.55</v>
      </c>
      <c r="J100" s="100">
        <v>0.21</v>
      </c>
      <c r="K100" s="100">
        <v>163.51</v>
      </c>
      <c r="L100" s="100">
        <v>22.5</v>
      </c>
      <c r="M100" s="100">
        <v>72.489999999999995</v>
      </c>
      <c r="N100" s="100">
        <v>1.3</v>
      </c>
      <c r="O100" s="100">
        <v>0</v>
      </c>
      <c r="P100" s="100">
        <v>1.01</v>
      </c>
      <c r="Q100" s="100">
        <v>12.94</v>
      </c>
      <c r="R100" s="6"/>
      <c r="S100" s="6"/>
      <c r="T100" s="156"/>
      <c r="U100" s="6"/>
      <c r="AB100" s="161"/>
    </row>
    <row r="101" spans="1:28" customFormat="1">
      <c r="A101" s="163" t="s">
        <v>427</v>
      </c>
      <c r="B101" s="100">
        <v>8.58</v>
      </c>
      <c r="C101" s="100">
        <v>22.54</v>
      </c>
      <c r="D101" s="100">
        <v>20.010000000000002</v>
      </c>
      <c r="E101" s="100">
        <v>8.3000000000000007</v>
      </c>
      <c r="F101" s="152" t="s">
        <v>15</v>
      </c>
      <c r="G101" s="100">
        <v>77.040000000000006</v>
      </c>
      <c r="H101" s="100">
        <v>20.5</v>
      </c>
      <c r="I101" s="100">
        <v>11.86</v>
      </c>
      <c r="J101" s="100">
        <v>0.26</v>
      </c>
      <c r="K101" s="100">
        <v>161.84</v>
      </c>
      <c r="L101" s="100">
        <v>22.61</v>
      </c>
      <c r="M101" s="100">
        <v>73.209999999999994</v>
      </c>
      <c r="N101" s="100">
        <v>1.3</v>
      </c>
      <c r="O101" s="100">
        <v>0</v>
      </c>
      <c r="P101" s="100">
        <v>1.03</v>
      </c>
      <c r="Q101" s="100">
        <v>12.93</v>
      </c>
      <c r="R101" s="6"/>
      <c r="S101" s="6"/>
      <c r="T101" s="156"/>
      <c r="U101" s="6"/>
    </row>
    <row r="102" spans="1:28" customFormat="1">
      <c r="A102" s="163" t="s">
        <v>428</v>
      </c>
      <c r="B102" s="100">
        <v>9.1</v>
      </c>
      <c r="C102" s="100">
        <v>22.85</v>
      </c>
      <c r="D102" s="100">
        <v>20.58</v>
      </c>
      <c r="E102" s="100">
        <v>8.35</v>
      </c>
      <c r="F102" s="152" t="s">
        <v>15</v>
      </c>
      <c r="G102" s="100">
        <v>77.040000000000006</v>
      </c>
      <c r="H102" s="100">
        <v>20.5</v>
      </c>
      <c r="I102" s="100">
        <v>12.28</v>
      </c>
      <c r="J102" s="100">
        <v>0.22</v>
      </c>
      <c r="K102" s="100">
        <v>159.19</v>
      </c>
      <c r="L102" s="100">
        <v>22.55</v>
      </c>
      <c r="M102" s="100">
        <v>70.87</v>
      </c>
      <c r="N102" s="100">
        <v>1.3</v>
      </c>
      <c r="O102" s="100">
        <v>0</v>
      </c>
      <c r="P102" s="100">
        <v>1.05</v>
      </c>
      <c r="Q102" s="100">
        <v>12.93</v>
      </c>
      <c r="R102" s="6"/>
      <c r="S102" s="6"/>
      <c r="T102" s="156"/>
      <c r="U102" s="6"/>
    </row>
    <row r="103" spans="1:28" customFormat="1">
      <c r="A103" s="163" t="s">
        <v>429</v>
      </c>
      <c r="B103" s="100">
        <v>10.17</v>
      </c>
      <c r="C103" s="100">
        <v>23.14</v>
      </c>
      <c r="D103" s="100">
        <v>21.6</v>
      </c>
      <c r="E103" s="100">
        <v>8.43</v>
      </c>
      <c r="F103" s="152" t="s">
        <v>15</v>
      </c>
      <c r="G103" s="100">
        <v>77.2</v>
      </c>
      <c r="H103" s="100">
        <v>20.62</v>
      </c>
      <c r="I103" s="100">
        <v>12.67</v>
      </c>
      <c r="J103" s="100">
        <v>0.19</v>
      </c>
      <c r="K103" s="100">
        <v>179.1</v>
      </c>
      <c r="L103" s="100">
        <v>22.11</v>
      </c>
      <c r="M103" s="100">
        <v>75.16</v>
      </c>
      <c r="N103" s="100">
        <v>1.6</v>
      </c>
      <c r="O103" s="100">
        <v>0</v>
      </c>
      <c r="P103" s="100">
        <v>1.08</v>
      </c>
      <c r="Q103" s="100">
        <v>12.94</v>
      </c>
      <c r="R103" s="6"/>
      <c r="S103" s="6"/>
      <c r="T103" s="156"/>
      <c r="U103" s="6"/>
    </row>
    <row r="104" spans="1:28" customFormat="1">
      <c r="A104" s="163" t="s">
        <v>430</v>
      </c>
      <c r="B104" s="100">
        <v>11</v>
      </c>
      <c r="C104" s="100">
        <v>23.6</v>
      </c>
      <c r="D104" s="100">
        <v>22.5</v>
      </c>
      <c r="E104" s="100">
        <v>8.84</v>
      </c>
      <c r="F104" s="152" t="s">
        <v>15</v>
      </c>
      <c r="G104" s="100">
        <v>80.69</v>
      </c>
      <c r="H104" s="100">
        <v>24.4</v>
      </c>
      <c r="I104" s="100">
        <v>12.98</v>
      </c>
      <c r="J104" s="100">
        <v>0.19</v>
      </c>
      <c r="K104" s="100">
        <v>134.34</v>
      </c>
      <c r="L104" s="100">
        <v>21.92</v>
      </c>
      <c r="M104" s="100">
        <v>73.22</v>
      </c>
      <c r="N104" s="100">
        <v>1.4</v>
      </c>
      <c r="O104" s="100">
        <v>0</v>
      </c>
      <c r="P104" s="100">
        <v>1.1000000000000001</v>
      </c>
      <c r="Q104" s="100">
        <v>12.94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3.94</v>
      </c>
      <c r="C106" s="158">
        <f>MIN(C9:C104)</f>
        <v>19.48</v>
      </c>
      <c r="D106" s="158">
        <f t="shared" ref="D106:Q106" si="0">MIN(D9:D104)</f>
        <v>15.09</v>
      </c>
      <c r="E106" s="158">
        <f t="shared" si="0"/>
        <v>7.06</v>
      </c>
      <c r="F106" s="158">
        <f t="shared" si="0"/>
        <v>0</v>
      </c>
      <c r="G106" s="158">
        <f t="shared" si="0"/>
        <v>37.54</v>
      </c>
      <c r="H106" s="158">
        <f t="shared" si="0"/>
        <v>15.65</v>
      </c>
      <c r="I106" s="158">
        <f t="shared" si="0"/>
        <v>8.58</v>
      </c>
      <c r="J106" s="158">
        <f t="shared" si="0"/>
        <v>7.0000000000000007E-2</v>
      </c>
      <c r="K106" s="158">
        <f t="shared" si="0"/>
        <v>134.34</v>
      </c>
      <c r="L106" s="158">
        <f t="shared" si="0"/>
        <v>19</v>
      </c>
      <c r="M106" s="158">
        <f t="shared" si="0"/>
        <v>32.090000000000003</v>
      </c>
      <c r="N106" s="158">
        <f t="shared" si="0"/>
        <v>1.1000000000000001</v>
      </c>
      <c r="O106" s="158">
        <f t="shared" si="0"/>
        <v>0</v>
      </c>
      <c r="P106" s="158">
        <f t="shared" si="0"/>
        <v>0.67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14.55</v>
      </c>
      <c r="C107" s="157">
        <f t="shared" ref="C107:Q107" si="1">MAX(C9:C104)</f>
        <v>25.26</v>
      </c>
      <c r="D107" s="157">
        <f t="shared" si="1"/>
        <v>24.96</v>
      </c>
      <c r="E107" s="157">
        <f t="shared" si="1"/>
        <v>19.059999999999999</v>
      </c>
      <c r="F107" s="157">
        <f t="shared" si="1"/>
        <v>0</v>
      </c>
      <c r="G107" s="157">
        <f t="shared" si="1"/>
        <v>104.91</v>
      </c>
      <c r="H107" s="157">
        <f t="shared" si="1"/>
        <v>27.18</v>
      </c>
      <c r="I107" s="157">
        <f t="shared" si="1"/>
        <v>15.83</v>
      </c>
      <c r="J107" s="157">
        <f t="shared" si="1"/>
        <v>1.1599999999999999</v>
      </c>
      <c r="K107" s="157">
        <f t="shared" si="1"/>
        <v>308.52999999999997</v>
      </c>
      <c r="L107" s="157">
        <f t="shared" si="1"/>
        <v>33.31</v>
      </c>
      <c r="M107" s="157">
        <f t="shared" si="1"/>
        <v>89.51</v>
      </c>
      <c r="N107" s="157">
        <f t="shared" si="1"/>
        <v>363.8</v>
      </c>
      <c r="O107" s="157">
        <f t="shared" si="1"/>
        <v>0</v>
      </c>
      <c r="P107" s="157">
        <f t="shared" si="1"/>
        <v>1.1000000000000001</v>
      </c>
      <c r="Q107" s="157">
        <f t="shared" si="1"/>
        <v>12.98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8.8174999999999972</v>
      </c>
      <c r="C108" s="158">
        <f t="shared" ref="C108:Q108" si="2">AVERAGE(C9:C104)</f>
        <v>22.713645833333327</v>
      </c>
      <c r="D108" s="158">
        <f t="shared" si="2"/>
        <v>20.288958333333333</v>
      </c>
      <c r="E108" s="158">
        <f t="shared" si="2"/>
        <v>10.544791666666665</v>
      </c>
      <c r="F108" s="158" t="e">
        <f t="shared" si="2"/>
        <v>#DIV/0!</v>
      </c>
      <c r="G108" s="158">
        <f t="shared" si="2"/>
        <v>65.308958333333337</v>
      </c>
      <c r="H108" s="158">
        <f t="shared" si="2"/>
        <v>21.862187500000008</v>
      </c>
      <c r="I108" s="158">
        <f t="shared" si="2"/>
        <v>11.943854166666668</v>
      </c>
      <c r="J108" s="158">
        <f t="shared" si="2"/>
        <v>0.36552083333333329</v>
      </c>
      <c r="K108" s="158">
        <f t="shared" si="2"/>
        <v>218.13510416666657</v>
      </c>
      <c r="L108" s="158">
        <f t="shared" si="2"/>
        <v>25.417604166666674</v>
      </c>
      <c r="M108" s="158">
        <f t="shared" si="2"/>
        <v>61.876458333333318</v>
      </c>
      <c r="N108" s="158">
        <f t="shared" si="2"/>
        <v>87.542708333333323</v>
      </c>
      <c r="O108" s="158">
        <f t="shared" si="2"/>
        <v>0</v>
      </c>
      <c r="P108" s="158">
        <f t="shared" si="2"/>
        <v>0.92218750000000027</v>
      </c>
      <c r="Q108" s="158">
        <f t="shared" si="2"/>
        <v>12.942500000000008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3.9827903469010857</v>
      </c>
      <c r="C109" s="158">
        <f t="shared" ref="C109:Q109" si="3">STDEV(C9:C104)</f>
        <v>1.1651791096033866</v>
      </c>
      <c r="D109" s="158">
        <f t="shared" si="3"/>
        <v>3.2295006878745363</v>
      </c>
      <c r="E109" s="158">
        <f t="shared" si="3"/>
        <v>2.5085122364363461</v>
      </c>
      <c r="F109" s="158" t="e">
        <f t="shared" si="3"/>
        <v>#DIV/0!</v>
      </c>
      <c r="G109" s="158">
        <f t="shared" si="3"/>
        <v>16.596398561715077</v>
      </c>
      <c r="H109" s="158">
        <f t="shared" si="3"/>
        <v>2.6150750026980711</v>
      </c>
      <c r="I109" s="158">
        <f t="shared" si="3"/>
        <v>1.9079939146938392</v>
      </c>
      <c r="J109" s="158">
        <f t="shared" si="3"/>
        <v>0.26424816801303574</v>
      </c>
      <c r="K109" s="158">
        <f t="shared" si="3"/>
        <v>52.794141381403165</v>
      </c>
      <c r="L109" s="158">
        <f t="shared" si="3"/>
        <v>5.0092368879462166</v>
      </c>
      <c r="M109" s="158">
        <f t="shared" si="3"/>
        <v>20.811701768054856</v>
      </c>
      <c r="N109" s="158">
        <f t="shared" si="3"/>
        <v>133.02531832208857</v>
      </c>
      <c r="O109" s="158">
        <f t="shared" si="3"/>
        <v>0</v>
      </c>
      <c r="P109" s="158">
        <f t="shared" si="3"/>
        <v>0.12304216756868136</v>
      </c>
      <c r="Q109" s="158">
        <f t="shared" si="3"/>
        <v>1.6795989496242936E-2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2735</v>
      </c>
      <c r="B9" s="100">
        <v>12.25</v>
      </c>
      <c r="C9" s="100">
        <v>21.03</v>
      </c>
      <c r="D9" s="100">
        <v>22.16</v>
      </c>
      <c r="E9" s="100">
        <v>9.1999999999999993</v>
      </c>
      <c r="F9" s="152" t="s">
        <v>15</v>
      </c>
      <c r="G9" s="100">
        <v>69.069999999999993</v>
      </c>
      <c r="H9" s="100">
        <v>17.420000000000002</v>
      </c>
      <c r="I9" s="100">
        <v>8.91</v>
      </c>
      <c r="J9" s="100">
        <v>0.17</v>
      </c>
      <c r="K9" s="100">
        <v>176.87</v>
      </c>
      <c r="L9" s="100">
        <v>20.83</v>
      </c>
      <c r="M9" s="100">
        <v>62.17</v>
      </c>
      <c r="N9" s="100">
        <v>1</v>
      </c>
      <c r="O9" s="100">
        <v>0</v>
      </c>
      <c r="P9" s="100">
        <v>0.77</v>
      </c>
      <c r="Q9" s="100">
        <v>14.58</v>
      </c>
      <c r="R9" s="6"/>
      <c r="S9" s="6"/>
      <c r="T9" s="156"/>
      <c r="U9" s="6"/>
    </row>
    <row r="10" spans="1:21" customFormat="1">
      <c r="A10" s="163" t="s">
        <v>2736</v>
      </c>
      <c r="B10" s="100">
        <v>12.36</v>
      </c>
      <c r="C10" s="100">
        <v>21.32</v>
      </c>
      <c r="D10" s="100">
        <v>22.4</v>
      </c>
      <c r="E10" s="100">
        <v>9.35</v>
      </c>
      <c r="F10" s="152" t="s">
        <v>15</v>
      </c>
      <c r="G10" s="100">
        <v>72.23</v>
      </c>
      <c r="H10" s="100">
        <v>21.6</v>
      </c>
      <c r="I10" s="100">
        <v>9.1300000000000008</v>
      </c>
      <c r="J10" s="100">
        <v>0.14000000000000001</v>
      </c>
      <c r="K10" s="100">
        <v>205.45</v>
      </c>
      <c r="L10" s="100">
        <v>20.56</v>
      </c>
      <c r="M10" s="100">
        <v>65.19</v>
      </c>
      <c r="N10" s="100">
        <v>1.1000000000000001</v>
      </c>
      <c r="O10" s="100">
        <v>0</v>
      </c>
      <c r="P10" s="100">
        <v>0.78</v>
      </c>
      <c r="Q10" s="100">
        <v>14.58</v>
      </c>
      <c r="R10" s="6"/>
      <c r="S10" s="6"/>
      <c r="T10" s="156"/>
      <c r="U10" s="6"/>
    </row>
    <row r="11" spans="1:21" customFormat="1">
      <c r="A11" s="163" t="s">
        <v>2737</v>
      </c>
      <c r="B11" s="100">
        <v>12.52</v>
      </c>
      <c r="C11" s="100">
        <v>21.42</v>
      </c>
      <c r="D11" s="100">
        <v>22.58</v>
      </c>
      <c r="E11" s="100">
        <v>9.64</v>
      </c>
      <c r="F11" s="152" t="s">
        <v>15</v>
      </c>
      <c r="G11" s="100">
        <v>73.37</v>
      </c>
      <c r="H11" s="100">
        <v>21.67</v>
      </c>
      <c r="I11" s="100">
        <v>9.33</v>
      </c>
      <c r="J11" s="100">
        <v>0.26</v>
      </c>
      <c r="K11" s="100">
        <v>86.52</v>
      </c>
      <c r="L11" s="100">
        <v>20.57</v>
      </c>
      <c r="M11" s="100">
        <v>62.74</v>
      </c>
      <c r="N11" s="100">
        <v>0.9</v>
      </c>
      <c r="O11" s="100">
        <v>0</v>
      </c>
      <c r="P11" s="100">
        <v>0.77</v>
      </c>
      <c r="Q11" s="100">
        <v>14.58</v>
      </c>
      <c r="R11" s="6"/>
      <c r="S11" s="6"/>
      <c r="T11" s="156"/>
      <c r="U11" s="6"/>
    </row>
    <row r="12" spans="1:21" customFormat="1">
      <c r="A12" s="163" t="s">
        <v>2738</v>
      </c>
      <c r="B12" s="100">
        <v>12.84</v>
      </c>
      <c r="C12" s="100">
        <v>21.69</v>
      </c>
      <c r="D12" s="100">
        <v>22.98</v>
      </c>
      <c r="E12" s="100">
        <v>9.39</v>
      </c>
      <c r="F12" s="152" t="s">
        <v>15</v>
      </c>
      <c r="G12" s="100">
        <v>73.37</v>
      </c>
      <c r="H12" s="100">
        <v>21.67</v>
      </c>
      <c r="I12" s="100">
        <v>9.5</v>
      </c>
      <c r="J12" s="100">
        <v>0.64</v>
      </c>
      <c r="K12" s="100">
        <v>41.06</v>
      </c>
      <c r="L12" s="100">
        <v>21.99</v>
      </c>
      <c r="M12" s="100">
        <v>51.4</v>
      </c>
      <c r="N12" s="100">
        <v>0</v>
      </c>
      <c r="O12" s="100">
        <v>0</v>
      </c>
      <c r="P12" s="100">
        <v>0.73</v>
      </c>
      <c r="Q12" s="100">
        <v>14.58</v>
      </c>
      <c r="R12" s="6"/>
      <c r="S12" s="6"/>
      <c r="T12" s="156"/>
      <c r="U12" s="6"/>
    </row>
    <row r="13" spans="1:21" customFormat="1">
      <c r="A13" s="163" t="s">
        <v>2739</v>
      </c>
      <c r="B13" s="100">
        <v>13.8</v>
      </c>
      <c r="C13" s="100">
        <v>22.41</v>
      </c>
      <c r="D13" s="100">
        <v>24.13</v>
      </c>
      <c r="E13" s="100">
        <v>9.5</v>
      </c>
      <c r="F13" s="152" t="s">
        <v>15</v>
      </c>
      <c r="G13" s="100">
        <v>73.37</v>
      </c>
      <c r="H13" s="100">
        <v>21.67</v>
      </c>
      <c r="I13" s="100">
        <v>9.58</v>
      </c>
      <c r="J13" s="100">
        <v>0.2</v>
      </c>
      <c r="K13" s="100">
        <v>67.75</v>
      </c>
      <c r="L13" s="100">
        <v>22.41</v>
      </c>
      <c r="M13" s="100">
        <v>51.31</v>
      </c>
      <c r="N13" s="100">
        <v>0.9</v>
      </c>
      <c r="O13" s="100">
        <v>0</v>
      </c>
      <c r="P13" s="100">
        <v>0.74</v>
      </c>
      <c r="Q13" s="100">
        <v>14.58</v>
      </c>
      <c r="R13" s="6"/>
      <c r="S13" s="6"/>
      <c r="T13" s="156"/>
      <c r="U13" s="6"/>
    </row>
    <row r="14" spans="1:21" customFormat="1">
      <c r="A14" s="163" t="s">
        <v>2740</v>
      </c>
      <c r="B14" s="100">
        <v>14.84</v>
      </c>
      <c r="C14" s="100">
        <v>22.99</v>
      </c>
      <c r="D14" s="100">
        <v>25.27</v>
      </c>
      <c r="E14" s="100">
        <v>9.8000000000000007</v>
      </c>
      <c r="F14" s="152" t="s">
        <v>15</v>
      </c>
      <c r="G14" s="100">
        <v>77.78</v>
      </c>
      <c r="H14" s="100">
        <v>19.34</v>
      </c>
      <c r="I14" s="100">
        <v>9.77</v>
      </c>
      <c r="J14" s="100">
        <v>0.19</v>
      </c>
      <c r="K14" s="100">
        <v>142.35</v>
      </c>
      <c r="L14" s="100">
        <v>22.07</v>
      </c>
      <c r="M14" s="100">
        <v>54.42</v>
      </c>
      <c r="N14" s="100">
        <v>1.4</v>
      </c>
      <c r="O14" s="100">
        <v>0</v>
      </c>
      <c r="P14" s="100">
        <v>0.78</v>
      </c>
      <c r="Q14" s="100">
        <v>14.58</v>
      </c>
      <c r="R14" s="6"/>
      <c r="S14" s="6"/>
      <c r="T14" s="156"/>
      <c r="U14" s="6"/>
    </row>
    <row r="15" spans="1:21" customFormat="1">
      <c r="A15" s="163" t="s">
        <v>2741</v>
      </c>
      <c r="B15" s="100">
        <v>15.8</v>
      </c>
      <c r="C15" s="100">
        <v>23.55</v>
      </c>
      <c r="D15" s="100">
        <v>26.32</v>
      </c>
      <c r="E15" s="100">
        <v>10.199999999999999</v>
      </c>
      <c r="F15" s="152" t="s">
        <v>15</v>
      </c>
      <c r="G15" s="100">
        <v>79.38</v>
      </c>
      <c r="H15" s="100">
        <v>19.3</v>
      </c>
      <c r="I15" s="100">
        <v>10.27</v>
      </c>
      <c r="J15" s="100">
        <v>0.23</v>
      </c>
      <c r="K15" s="100">
        <v>181.05</v>
      </c>
      <c r="L15" s="100">
        <v>21.53</v>
      </c>
      <c r="M15" s="100">
        <v>58</v>
      </c>
      <c r="N15" s="100">
        <v>1.6</v>
      </c>
      <c r="O15" s="100">
        <v>0</v>
      </c>
      <c r="P15" s="100">
        <v>0.81</v>
      </c>
      <c r="Q15" s="100">
        <v>14.58</v>
      </c>
      <c r="R15" s="6"/>
      <c r="S15" s="6"/>
      <c r="T15" s="156"/>
      <c r="U15" s="6"/>
    </row>
    <row r="16" spans="1:21" customFormat="1">
      <c r="A16" s="163" t="s">
        <v>2742</v>
      </c>
      <c r="B16" s="100">
        <v>16.73</v>
      </c>
      <c r="C16" s="100">
        <v>23.87</v>
      </c>
      <c r="D16" s="100">
        <v>27.24</v>
      </c>
      <c r="E16" s="100">
        <v>10.039999999999999</v>
      </c>
      <c r="F16" s="152" t="s">
        <v>15</v>
      </c>
      <c r="G16" s="100">
        <v>79.38</v>
      </c>
      <c r="H16" s="100">
        <v>19.3</v>
      </c>
      <c r="I16" s="100">
        <v>10.91</v>
      </c>
      <c r="J16" s="100">
        <v>0.19</v>
      </c>
      <c r="K16" s="100">
        <v>194.6</v>
      </c>
      <c r="L16" s="100">
        <v>20.63</v>
      </c>
      <c r="M16" s="100">
        <v>64.44</v>
      </c>
      <c r="N16" s="100">
        <v>1.8</v>
      </c>
      <c r="O16" s="100">
        <v>0</v>
      </c>
      <c r="P16" s="100">
        <v>0.84</v>
      </c>
      <c r="Q16" s="100">
        <v>14.58</v>
      </c>
      <c r="R16" s="6"/>
      <c r="S16" s="6"/>
      <c r="T16" s="156"/>
      <c r="U16" s="6"/>
    </row>
    <row r="17" spans="1:21" customFormat="1">
      <c r="A17" s="163" t="s">
        <v>2743</v>
      </c>
      <c r="B17" s="100">
        <v>17.47</v>
      </c>
      <c r="C17" s="100">
        <v>24.02</v>
      </c>
      <c r="D17" s="100">
        <v>27.91</v>
      </c>
      <c r="E17" s="100">
        <v>8.2899999999999991</v>
      </c>
      <c r="F17" s="152" t="s">
        <v>15</v>
      </c>
      <c r="G17" s="100">
        <v>79.38</v>
      </c>
      <c r="H17" s="100">
        <v>19.3</v>
      </c>
      <c r="I17" s="100">
        <v>11.59</v>
      </c>
      <c r="J17" s="100">
        <v>0.22</v>
      </c>
      <c r="K17" s="100">
        <v>184.03</v>
      </c>
      <c r="L17" s="100">
        <v>20.18</v>
      </c>
      <c r="M17" s="100">
        <v>67.36</v>
      </c>
      <c r="N17" s="100">
        <v>1.6</v>
      </c>
      <c r="O17" s="100">
        <v>0</v>
      </c>
      <c r="P17" s="100">
        <v>0.88</v>
      </c>
      <c r="Q17" s="100">
        <v>14.58</v>
      </c>
      <c r="R17" s="6"/>
      <c r="S17" s="6"/>
      <c r="T17" s="156"/>
      <c r="U17" s="6"/>
    </row>
    <row r="18" spans="1:21" customFormat="1">
      <c r="A18" s="163" t="s">
        <v>2744</v>
      </c>
      <c r="B18" s="100">
        <v>17.97</v>
      </c>
      <c r="C18" s="100">
        <v>24.05</v>
      </c>
      <c r="D18" s="100">
        <v>28.33</v>
      </c>
      <c r="E18" s="100">
        <v>9.7200000000000006</v>
      </c>
      <c r="F18" s="152" t="s">
        <v>15</v>
      </c>
      <c r="G18" s="100">
        <v>96.26</v>
      </c>
      <c r="H18" s="100">
        <v>26.23</v>
      </c>
      <c r="I18" s="100">
        <v>12.27</v>
      </c>
      <c r="J18" s="100">
        <v>0.21</v>
      </c>
      <c r="K18" s="100">
        <v>167.84</v>
      </c>
      <c r="L18" s="100">
        <v>20.02</v>
      </c>
      <c r="M18" s="100">
        <v>66.39</v>
      </c>
      <c r="N18" s="100">
        <v>1.3</v>
      </c>
      <c r="O18" s="100">
        <v>0</v>
      </c>
      <c r="P18" s="100">
        <v>0.9</v>
      </c>
      <c r="Q18" s="100">
        <v>14.58</v>
      </c>
      <c r="R18" s="6"/>
      <c r="S18" s="6"/>
      <c r="T18" s="156"/>
      <c r="U18" s="6"/>
    </row>
    <row r="19" spans="1:21" customFormat="1">
      <c r="A19" s="163" t="s">
        <v>2745</v>
      </c>
      <c r="B19" s="100">
        <v>18.46</v>
      </c>
      <c r="C19" s="100">
        <v>23.85</v>
      </c>
      <c r="D19" s="100">
        <v>28.61</v>
      </c>
      <c r="E19" s="100">
        <v>10.16</v>
      </c>
      <c r="F19" s="152" t="s">
        <v>15</v>
      </c>
      <c r="G19" s="100">
        <v>102.4</v>
      </c>
      <c r="H19" s="100">
        <v>26.34</v>
      </c>
      <c r="I19" s="100">
        <v>12.84</v>
      </c>
      <c r="J19" s="100">
        <v>0.14000000000000001</v>
      </c>
      <c r="K19" s="100">
        <v>195.08</v>
      </c>
      <c r="L19" s="100">
        <v>19.75</v>
      </c>
      <c r="M19" s="100">
        <v>69.19</v>
      </c>
      <c r="N19" s="100">
        <v>1.3</v>
      </c>
      <c r="O19" s="100">
        <v>0</v>
      </c>
      <c r="P19" s="100">
        <v>0.92</v>
      </c>
      <c r="Q19" s="100">
        <v>14.58</v>
      </c>
      <c r="R19" s="6"/>
      <c r="S19" s="6"/>
      <c r="T19" s="156"/>
      <c r="U19" s="6"/>
    </row>
    <row r="20" spans="1:21" customFormat="1">
      <c r="A20" s="163" t="s">
        <v>2746</v>
      </c>
      <c r="B20" s="100">
        <v>18.760000000000002</v>
      </c>
      <c r="C20" s="100">
        <v>23.83</v>
      </c>
      <c r="D20" s="100">
        <v>28.85</v>
      </c>
      <c r="E20" s="100">
        <v>9.65</v>
      </c>
      <c r="F20" s="152" t="s">
        <v>15</v>
      </c>
      <c r="G20" s="100">
        <v>102.4</v>
      </c>
      <c r="H20" s="100">
        <v>26.34</v>
      </c>
      <c r="I20" s="100">
        <v>13.29</v>
      </c>
      <c r="J20" s="100">
        <v>0.18</v>
      </c>
      <c r="K20" s="100">
        <v>183.01</v>
      </c>
      <c r="L20" s="100">
        <v>19.66</v>
      </c>
      <c r="M20" s="100">
        <v>67.650000000000006</v>
      </c>
      <c r="N20" s="100">
        <v>1.1000000000000001</v>
      </c>
      <c r="O20" s="100">
        <v>0</v>
      </c>
      <c r="P20" s="100">
        <v>0.93</v>
      </c>
      <c r="Q20" s="100">
        <v>14.58</v>
      </c>
      <c r="R20" s="6"/>
      <c r="S20" s="6"/>
      <c r="T20" s="156"/>
      <c r="U20" s="6"/>
    </row>
    <row r="21" spans="1:21" customFormat="1">
      <c r="A21" s="163" t="s">
        <v>2747</v>
      </c>
      <c r="B21" s="100">
        <v>18.93</v>
      </c>
      <c r="C21" s="100">
        <v>23.81</v>
      </c>
      <c r="D21" s="100">
        <v>28.97</v>
      </c>
      <c r="E21" s="100">
        <v>9.83</v>
      </c>
      <c r="F21" s="152" t="s">
        <v>15</v>
      </c>
      <c r="G21" s="100">
        <v>102.4</v>
      </c>
      <c r="H21" s="100">
        <v>26.34</v>
      </c>
      <c r="I21" s="100">
        <v>13.65</v>
      </c>
      <c r="J21" s="100">
        <v>0.17</v>
      </c>
      <c r="K21" s="100">
        <v>192.95</v>
      </c>
      <c r="L21" s="100">
        <v>19.41</v>
      </c>
      <c r="M21" s="100">
        <v>67.73</v>
      </c>
      <c r="N21" s="100">
        <v>1.1000000000000001</v>
      </c>
      <c r="O21" s="100">
        <v>0</v>
      </c>
      <c r="P21" s="100">
        <v>0.94</v>
      </c>
      <c r="Q21" s="100">
        <v>14.58</v>
      </c>
      <c r="R21" s="6"/>
      <c r="S21" s="6"/>
      <c r="T21" s="156"/>
      <c r="U21" s="6"/>
    </row>
    <row r="22" spans="1:21" customFormat="1">
      <c r="A22" s="163" t="s">
        <v>2748</v>
      </c>
      <c r="B22" s="100">
        <v>19.079999999999998</v>
      </c>
      <c r="C22" s="100">
        <v>23.73</v>
      </c>
      <c r="D22" s="100">
        <v>29.05</v>
      </c>
      <c r="E22" s="100">
        <v>9.52</v>
      </c>
      <c r="F22" s="152" t="s">
        <v>15</v>
      </c>
      <c r="G22" s="100">
        <v>108.21</v>
      </c>
      <c r="H22" s="100">
        <v>23.01</v>
      </c>
      <c r="I22" s="100">
        <v>13.85</v>
      </c>
      <c r="J22" s="100">
        <v>0.17</v>
      </c>
      <c r="K22" s="100">
        <v>196.44</v>
      </c>
      <c r="L22" s="100">
        <v>19.23</v>
      </c>
      <c r="M22" s="100">
        <v>70.5</v>
      </c>
      <c r="N22" s="100">
        <v>1.3</v>
      </c>
      <c r="O22" s="100">
        <v>0</v>
      </c>
      <c r="P22" s="100">
        <v>0.96</v>
      </c>
      <c r="Q22" s="100">
        <v>14.58</v>
      </c>
      <c r="R22" s="6"/>
      <c r="S22" s="6"/>
      <c r="T22" s="156"/>
      <c r="U22" s="6"/>
    </row>
    <row r="23" spans="1:21" customFormat="1">
      <c r="A23" s="163" t="s">
        <v>2749</v>
      </c>
      <c r="B23" s="100">
        <v>19.05</v>
      </c>
      <c r="C23" s="100">
        <v>23.59</v>
      </c>
      <c r="D23" s="100">
        <v>28.96</v>
      </c>
      <c r="E23" s="100">
        <v>9.89</v>
      </c>
      <c r="F23" s="152" t="s">
        <v>15</v>
      </c>
      <c r="G23" s="100">
        <v>110.33</v>
      </c>
      <c r="H23" s="100">
        <v>22.93</v>
      </c>
      <c r="I23" s="100">
        <v>13.98</v>
      </c>
      <c r="J23" s="100">
        <v>0.19</v>
      </c>
      <c r="K23" s="100">
        <v>192.53</v>
      </c>
      <c r="L23" s="100">
        <v>18.809999999999999</v>
      </c>
      <c r="M23" s="100">
        <v>71.23</v>
      </c>
      <c r="N23" s="100">
        <v>1.5</v>
      </c>
      <c r="O23" s="100">
        <v>0</v>
      </c>
      <c r="P23" s="100">
        <v>0.95</v>
      </c>
      <c r="Q23" s="100">
        <v>14.58</v>
      </c>
      <c r="R23" s="6"/>
      <c r="S23" s="6"/>
      <c r="T23" s="156"/>
      <c r="U23" s="6"/>
    </row>
    <row r="24" spans="1:21" customFormat="1">
      <c r="A24" s="163" t="s">
        <v>2750</v>
      </c>
      <c r="B24" s="100">
        <v>19.059999999999999</v>
      </c>
      <c r="C24" s="100">
        <v>23.47</v>
      </c>
      <c r="D24" s="100">
        <v>28.9</v>
      </c>
      <c r="E24" s="100">
        <v>10.15</v>
      </c>
      <c r="F24" s="152" t="s">
        <v>15</v>
      </c>
      <c r="G24" s="100">
        <v>110.33</v>
      </c>
      <c r="H24" s="100">
        <v>22.93</v>
      </c>
      <c r="I24" s="100">
        <v>14.09</v>
      </c>
      <c r="J24" s="100">
        <v>0.16</v>
      </c>
      <c r="K24" s="100">
        <v>147.75</v>
      </c>
      <c r="L24" s="100">
        <v>18.73</v>
      </c>
      <c r="M24" s="100">
        <v>70.73</v>
      </c>
      <c r="N24" s="100">
        <v>1.1000000000000001</v>
      </c>
      <c r="O24" s="100">
        <v>0</v>
      </c>
      <c r="P24" s="100">
        <v>0.94</v>
      </c>
      <c r="Q24" s="100">
        <v>14.58</v>
      </c>
      <c r="R24" s="6"/>
      <c r="S24" s="6"/>
      <c r="T24" s="156"/>
      <c r="U24" s="6"/>
    </row>
    <row r="25" spans="1:21" customFormat="1">
      <c r="A25" s="163" t="s">
        <v>2751</v>
      </c>
      <c r="B25" s="100">
        <v>19.54</v>
      </c>
      <c r="C25" s="100">
        <v>23.58</v>
      </c>
      <c r="D25" s="100">
        <v>29.34</v>
      </c>
      <c r="E25" s="100">
        <v>9.76</v>
      </c>
      <c r="F25" s="152" t="s">
        <v>15</v>
      </c>
      <c r="G25" s="100">
        <v>110.33</v>
      </c>
      <c r="H25" s="100">
        <v>22.93</v>
      </c>
      <c r="I25" s="100">
        <v>14.1</v>
      </c>
      <c r="J25" s="100">
        <v>0.2</v>
      </c>
      <c r="K25" s="100">
        <v>145.52000000000001</v>
      </c>
      <c r="L25" s="100">
        <v>19.059999999999999</v>
      </c>
      <c r="M25" s="100">
        <v>67.02</v>
      </c>
      <c r="N25" s="100">
        <v>0.9</v>
      </c>
      <c r="O25" s="100">
        <v>0</v>
      </c>
      <c r="P25" s="100">
        <v>0.94</v>
      </c>
      <c r="Q25" s="100">
        <v>14.58</v>
      </c>
      <c r="R25" s="6"/>
      <c r="S25" s="6"/>
      <c r="T25" s="156"/>
      <c r="U25" s="6"/>
    </row>
    <row r="26" spans="1:21" customFormat="1">
      <c r="A26" s="163" t="s">
        <v>2752</v>
      </c>
      <c r="B26" s="100">
        <v>20.5</v>
      </c>
      <c r="C26" s="100">
        <v>23.71</v>
      </c>
      <c r="D26" s="100">
        <v>30.18</v>
      </c>
      <c r="E26" s="100">
        <v>9.9499999999999993</v>
      </c>
      <c r="F26" s="152" t="s">
        <v>15</v>
      </c>
      <c r="G26" s="100">
        <v>109.34</v>
      </c>
      <c r="H26" s="100">
        <v>22.25</v>
      </c>
      <c r="I26" s="100">
        <v>14.07</v>
      </c>
      <c r="J26" s="100">
        <v>0.14000000000000001</v>
      </c>
      <c r="K26" s="100">
        <v>171</v>
      </c>
      <c r="L26" s="100">
        <v>19.11</v>
      </c>
      <c r="M26" s="100">
        <v>68.91</v>
      </c>
      <c r="N26" s="100">
        <v>1.1000000000000001</v>
      </c>
      <c r="O26" s="100">
        <v>0</v>
      </c>
      <c r="P26" s="100">
        <v>0.94</v>
      </c>
      <c r="Q26" s="100">
        <v>14.58</v>
      </c>
      <c r="R26" s="6"/>
      <c r="S26" s="6"/>
      <c r="T26" s="156"/>
      <c r="U26" s="6"/>
    </row>
    <row r="27" spans="1:21" customFormat="1">
      <c r="A27" s="163" t="s">
        <v>2753</v>
      </c>
      <c r="B27" s="100">
        <v>22.29</v>
      </c>
      <c r="C27" s="100">
        <v>23.85</v>
      </c>
      <c r="D27" s="100">
        <v>31.69</v>
      </c>
      <c r="E27" s="100">
        <v>9.8800000000000008</v>
      </c>
      <c r="F27" s="152" t="s">
        <v>15</v>
      </c>
      <c r="G27" s="100">
        <v>108.97</v>
      </c>
      <c r="H27" s="100">
        <v>22.24</v>
      </c>
      <c r="I27" s="100">
        <v>14.07</v>
      </c>
      <c r="J27" s="100">
        <v>0.13</v>
      </c>
      <c r="K27" s="100">
        <v>152.41</v>
      </c>
      <c r="L27" s="100">
        <v>19.27</v>
      </c>
      <c r="M27" s="100">
        <v>66.81</v>
      </c>
      <c r="N27" s="100">
        <v>1</v>
      </c>
      <c r="O27" s="100">
        <v>0</v>
      </c>
      <c r="P27" s="100">
        <v>0.95</v>
      </c>
      <c r="Q27" s="100">
        <v>14.58</v>
      </c>
      <c r="R27" s="6"/>
      <c r="S27" s="6"/>
      <c r="T27" s="156"/>
      <c r="U27" s="6"/>
    </row>
    <row r="28" spans="1:21" customFormat="1">
      <c r="A28" s="163" t="s">
        <v>2754</v>
      </c>
      <c r="B28" s="100">
        <v>25.06</v>
      </c>
      <c r="C28" s="100">
        <v>24.36</v>
      </c>
      <c r="D28" s="100">
        <v>34.17</v>
      </c>
      <c r="E28" s="100">
        <v>10.17</v>
      </c>
      <c r="F28" s="152" t="s">
        <v>15</v>
      </c>
      <c r="G28" s="100">
        <v>108.97</v>
      </c>
      <c r="H28" s="100">
        <v>22.24</v>
      </c>
      <c r="I28" s="100">
        <v>14.09</v>
      </c>
      <c r="J28" s="100">
        <v>0.19</v>
      </c>
      <c r="K28" s="100">
        <v>162.25</v>
      </c>
      <c r="L28" s="100">
        <v>19.350000000000001</v>
      </c>
      <c r="M28" s="100">
        <v>67.569999999999993</v>
      </c>
      <c r="N28" s="100">
        <v>1</v>
      </c>
      <c r="O28" s="100">
        <v>0</v>
      </c>
      <c r="P28" s="100">
        <v>0.96</v>
      </c>
      <c r="Q28" s="100">
        <v>14.58</v>
      </c>
      <c r="R28" s="6"/>
      <c r="S28" s="6"/>
      <c r="T28" s="156"/>
      <c r="U28" s="6"/>
    </row>
    <row r="29" spans="1:21" customFormat="1">
      <c r="A29" s="163" t="s">
        <v>2755</v>
      </c>
      <c r="B29" s="100">
        <v>27.94</v>
      </c>
      <c r="C29" s="100">
        <v>24.37</v>
      </c>
      <c r="D29" s="100">
        <v>36.49</v>
      </c>
      <c r="E29" s="100">
        <v>9.75</v>
      </c>
      <c r="F29" s="152" t="s">
        <v>15</v>
      </c>
      <c r="G29" s="100">
        <v>108.97</v>
      </c>
      <c r="H29" s="100">
        <v>22.24</v>
      </c>
      <c r="I29" s="100">
        <v>14.18</v>
      </c>
      <c r="J29" s="100">
        <v>0.23</v>
      </c>
      <c r="K29" s="100">
        <v>164.06</v>
      </c>
      <c r="L29" s="100">
        <v>19.260000000000002</v>
      </c>
      <c r="M29" s="100">
        <v>73.849999999999994</v>
      </c>
      <c r="N29" s="100">
        <v>1.3</v>
      </c>
      <c r="O29" s="100">
        <v>0</v>
      </c>
      <c r="P29" s="100">
        <v>0.96</v>
      </c>
      <c r="Q29" s="100">
        <v>14.58</v>
      </c>
      <c r="R29" s="6"/>
      <c r="S29" s="6"/>
      <c r="T29" s="156"/>
      <c r="U29" s="6"/>
    </row>
    <row r="30" spans="1:21" customFormat="1">
      <c r="A30" s="163" t="s">
        <v>2756</v>
      </c>
      <c r="B30" s="100">
        <v>30.09</v>
      </c>
      <c r="C30" s="100">
        <v>24.37</v>
      </c>
      <c r="D30" s="100">
        <v>38.21</v>
      </c>
      <c r="E30" s="100">
        <v>9.77</v>
      </c>
      <c r="F30" s="152" t="s">
        <v>15</v>
      </c>
      <c r="G30" s="100">
        <v>119.67</v>
      </c>
      <c r="H30" s="100">
        <v>25.05</v>
      </c>
      <c r="I30" s="100">
        <v>14.3</v>
      </c>
      <c r="J30" s="100">
        <v>0.15</v>
      </c>
      <c r="K30" s="100">
        <v>169.94</v>
      </c>
      <c r="L30" s="100">
        <v>18.96</v>
      </c>
      <c r="M30" s="100">
        <v>71.61</v>
      </c>
      <c r="N30" s="100">
        <v>1.2</v>
      </c>
      <c r="O30" s="100">
        <v>0</v>
      </c>
      <c r="P30" s="100">
        <v>0.98</v>
      </c>
      <c r="Q30" s="100">
        <v>14.58</v>
      </c>
      <c r="R30" s="6"/>
      <c r="S30" s="6"/>
      <c r="T30" s="156"/>
      <c r="U30" s="6"/>
    </row>
    <row r="31" spans="1:21" customFormat="1">
      <c r="A31" s="163" t="s">
        <v>2757</v>
      </c>
      <c r="B31" s="100">
        <v>32.31</v>
      </c>
      <c r="C31" s="100">
        <v>24.46</v>
      </c>
      <c r="D31" s="100">
        <v>40.049999999999997</v>
      </c>
      <c r="E31" s="100">
        <v>9.82</v>
      </c>
      <c r="F31" s="152" t="s">
        <v>15</v>
      </c>
      <c r="G31" s="100">
        <v>123.55</v>
      </c>
      <c r="H31" s="100">
        <v>25.09</v>
      </c>
      <c r="I31" s="100">
        <v>14.44</v>
      </c>
      <c r="J31" s="100">
        <v>0.2</v>
      </c>
      <c r="K31" s="100">
        <v>159.51</v>
      </c>
      <c r="L31" s="100">
        <v>19.09</v>
      </c>
      <c r="M31" s="100">
        <v>72.36</v>
      </c>
      <c r="N31" s="100">
        <v>1.1000000000000001</v>
      </c>
      <c r="O31" s="100">
        <v>0</v>
      </c>
      <c r="P31" s="100">
        <v>0.98</v>
      </c>
      <c r="Q31" s="100">
        <v>14.58</v>
      </c>
      <c r="R31" s="6"/>
      <c r="S31" s="6"/>
      <c r="T31" s="156"/>
      <c r="U31" s="6"/>
    </row>
    <row r="32" spans="1:21" customFormat="1">
      <c r="A32" s="163" t="s">
        <v>2758</v>
      </c>
      <c r="B32" s="100">
        <v>34.520000000000003</v>
      </c>
      <c r="C32" s="100">
        <v>25.18</v>
      </c>
      <c r="D32" s="100">
        <v>42.19</v>
      </c>
      <c r="E32" s="100">
        <v>10.1</v>
      </c>
      <c r="F32" s="152" t="s">
        <v>15</v>
      </c>
      <c r="G32" s="100">
        <v>123.55</v>
      </c>
      <c r="H32" s="100">
        <v>25.09</v>
      </c>
      <c r="I32" s="100">
        <v>14.59</v>
      </c>
      <c r="J32" s="100">
        <v>0.1</v>
      </c>
      <c r="K32" s="100">
        <v>194.07</v>
      </c>
      <c r="L32" s="100">
        <v>19.13</v>
      </c>
      <c r="M32" s="100">
        <v>68.03</v>
      </c>
      <c r="N32" s="100">
        <v>1</v>
      </c>
      <c r="O32" s="100">
        <v>0</v>
      </c>
      <c r="P32" s="100">
        <v>1.05</v>
      </c>
      <c r="Q32" s="100">
        <v>14.58</v>
      </c>
      <c r="R32" s="6"/>
      <c r="S32" s="6"/>
      <c r="T32" s="156"/>
      <c r="U32" s="6"/>
    </row>
    <row r="33" spans="1:21" customFormat="1">
      <c r="A33" s="163" t="s">
        <v>2759</v>
      </c>
      <c r="B33" s="100">
        <v>36.75</v>
      </c>
      <c r="C33" s="100">
        <v>25.74</v>
      </c>
      <c r="D33" s="100">
        <v>44.27</v>
      </c>
      <c r="E33" s="100">
        <v>10.220000000000001</v>
      </c>
      <c r="F33" s="152" t="s">
        <v>15</v>
      </c>
      <c r="G33" s="100">
        <v>123.55</v>
      </c>
      <c r="H33" s="100">
        <v>25.09</v>
      </c>
      <c r="I33" s="100">
        <v>14.85</v>
      </c>
      <c r="J33" s="100">
        <v>0.19</v>
      </c>
      <c r="K33" s="100">
        <v>176.98</v>
      </c>
      <c r="L33" s="100">
        <v>19.03</v>
      </c>
      <c r="M33" s="100">
        <v>68.52</v>
      </c>
      <c r="N33" s="100">
        <v>1.3</v>
      </c>
      <c r="O33" s="100">
        <v>0</v>
      </c>
      <c r="P33" s="100">
        <v>1.0900000000000001</v>
      </c>
      <c r="Q33" s="100">
        <v>14.58</v>
      </c>
      <c r="R33" s="6"/>
      <c r="S33" s="6"/>
      <c r="T33" s="156"/>
      <c r="U33" s="6"/>
    </row>
    <row r="34" spans="1:21" customFormat="1">
      <c r="A34" s="163" t="s">
        <v>2760</v>
      </c>
      <c r="B34" s="100">
        <v>38.5</v>
      </c>
      <c r="C34" s="100">
        <v>25.81</v>
      </c>
      <c r="D34" s="100">
        <v>45.71</v>
      </c>
      <c r="E34" s="100">
        <v>10.27</v>
      </c>
      <c r="F34" s="152" t="s">
        <v>15</v>
      </c>
      <c r="G34" s="100">
        <v>124.59</v>
      </c>
      <c r="H34" s="100">
        <v>26.3</v>
      </c>
      <c r="I34" s="100">
        <v>15.13</v>
      </c>
      <c r="J34" s="100">
        <v>0.22</v>
      </c>
      <c r="K34" s="100">
        <v>201.97</v>
      </c>
      <c r="L34" s="100">
        <v>18.23</v>
      </c>
      <c r="M34" s="100">
        <v>78.22</v>
      </c>
      <c r="N34" s="100">
        <v>2.6</v>
      </c>
      <c r="O34" s="100">
        <v>0</v>
      </c>
      <c r="P34" s="100">
        <v>1.1100000000000001</v>
      </c>
      <c r="Q34" s="100">
        <v>14.58</v>
      </c>
      <c r="R34" s="6"/>
      <c r="S34" s="6"/>
      <c r="T34" s="156"/>
      <c r="U34" s="6"/>
    </row>
    <row r="35" spans="1:21" customFormat="1">
      <c r="A35" s="163" t="s">
        <v>2761</v>
      </c>
      <c r="B35" s="100">
        <v>39.450000000000003</v>
      </c>
      <c r="C35" s="100">
        <v>25.78</v>
      </c>
      <c r="D35" s="100">
        <v>46.46</v>
      </c>
      <c r="E35" s="100">
        <v>9.7799999999999994</v>
      </c>
      <c r="F35" s="152" t="s">
        <v>15</v>
      </c>
      <c r="G35" s="100">
        <v>124.97</v>
      </c>
      <c r="H35" s="100">
        <v>26.32</v>
      </c>
      <c r="I35" s="100">
        <v>15.4</v>
      </c>
      <c r="J35" s="100">
        <v>0.15</v>
      </c>
      <c r="K35" s="100">
        <v>173.8</v>
      </c>
      <c r="L35" s="100">
        <v>17.940000000000001</v>
      </c>
      <c r="M35" s="100">
        <v>79.5</v>
      </c>
      <c r="N35" s="100">
        <v>5.4</v>
      </c>
      <c r="O35" s="100">
        <v>0</v>
      </c>
      <c r="P35" s="100">
        <v>1.1200000000000001</v>
      </c>
      <c r="Q35" s="100">
        <v>14.58</v>
      </c>
      <c r="R35" s="6"/>
      <c r="S35" s="6"/>
      <c r="T35" s="156"/>
      <c r="U35" s="6"/>
    </row>
    <row r="36" spans="1:21" customFormat="1">
      <c r="A36" s="163" t="s">
        <v>2762</v>
      </c>
      <c r="B36" s="100">
        <v>40.07</v>
      </c>
      <c r="C36" s="100">
        <v>25.56</v>
      </c>
      <c r="D36" s="100">
        <v>46.84</v>
      </c>
      <c r="E36" s="100">
        <v>9.6300000000000008</v>
      </c>
      <c r="F36" s="152" t="s">
        <v>15</v>
      </c>
      <c r="G36" s="100">
        <v>124.97</v>
      </c>
      <c r="H36" s="100">
        <v>26.32</v>
      </c>
      <c r="I36" s="100">
        <v>15.63</v>
      </c>
      <c r="J36" s="100">
        <v>0.24</v>
      </c>
      <c r="K36" s="100">
        <v>159.27000000000001</v>
      </c>
      <c r="L36" s="100">
        <v>18.170000000000002</v>
      </c>
      <c r="M36" s="100">
        <v>77.959999999999994</v>
      </c>
      <c r="N36" s="100">
        <v>10.7</v>
      </c>
      <c r="O36" s="100">
        <v>0</v>
      </c>
      <c r="P36" s="100">
        <v>1.1299999999999999</v>
      </c>
      <c r="Q36" s="100">
        <v>14.58</v>
      </c>
      <c r="R36" s="6"/>
      <c r="S36" s="6"/>
      <c r="T36" s="156"/>
      <c r="U36" s="6"/>
    </row>
    <row r="37" spans="1:21" customFormat="1">
      <c r="A37" s="163" t="s">
        <v>2763</v>
      </c>
      <c r="B37" s="100">
        <v>40.880000000000003</v>
      </c>
      <c r="C37" s="100">
        <v>25.38</v>
      </c>
      <c r="D37" s="100">
        <v>47.39</v>
      </c>
      <c r="E37" s="100">
        <v>9.2100000000000009</v>
      </c>
      <c r="F37" s="152" t="s">
        <v>15</v>
      </c>
      <c r="G37" s="100">
        <v>124.97</v>
      </c>
      <c r="H37" s="100">
        <v>26.32</v>
      </c>
      <c r="I37" s="100">
        <v>15.72</v>
      </c>
      <c r="J37" s="100">
        <v>0.09</v>
      </c>
      <c r="K37" s="100">
        <v>189.51</v>
      </c>
      <c r="L37" s="100">
        <v>18.63</v>
      </c>
      <c r="M37" s="100">
        <v>74.72</v>
      </c>
      <c r="N37" s="100">
        <v>17</v>
      </c>
      <c r="O37" s="100">
        <v>0</v>
      </c>
      <c r="P37" s="100">
        <v>1.1499999999999999</v>
      </c>
      <c r="Q37" s="100">
        <v>14.58</v>
      </c>
      <c r="R37" s="6"/>
      <c r="S37" s="6"/>
      <c r="T37" s="156"/>
      <c r="U37" s="6"/>
    </row>
    <row r="38" spans="1:21" customFormat="1">
      <c r="A38" s="163" t="s">
        <v>2764</v>
      </c>
      <c r="B38" s="100">
        <v>42.14</v>
      </c>
      <c r="C38" s="100">
        <v>25.41</v>
      </c>
      <c r="D38" s="100">
        <v>48.42</v>
      </c>
      <c r="E38" s="100">
        <v>9.8699999999999992</v>
      </c>
      <c r="F38" s="152" t="s">
        <v>15</v>
      </c>
      <c r="G38" s="100">
        <v>119.77</v>
      </c>
      <c r="H38" s="100">
        <v>25.24</v>
      </c>
      <c r="I38" s="100">
        <v>15.83</v>
      </c>
      <c r="J38" s="100">
        <v>0.03</v>
      </c>
      <c r="K38" s="100">
        <v>320.41000000000003</v>
      </c>
      <c r="L38" s="100">
        <v>19.59</v>
      </c>
      <c r="M38" s="100">
        <v>70.02</v>
      </c>
      <c r="N38" s="100">
        <v>24.1</v>
      </c>
      <c r="O38" s="100">
        <v>0</v>
      </c>
      <c r="P38" s="100">
        <v>1.1599999999999999</v>
      </c>
      <c r="Q38" s="100">
        <v>14.58</v>
      </c>
      <c r="R38" s="6"/>
      <c r="S38" s="6"/>
      <c r="T38" s="156"/>
      <c r="U38" s="6"/>
    </row>
    <row r="39" spans="1:21" customFormat="1">
      <c r="A39" s="163" t="s">
        <v>2765</v>
      </c>
      <c r="B39" s="100">
        <v>43.28</v>
      </c>
      <c r="C39" s="100">
        <v>25.75</v>
      </c>
      <c r="D39" s="100">
        <v>49.52</v>
      </c>
      <c r="E39" s="100">
        <v>9.67</v>
      </c>
      <c r="F39" s="152" t="s">
        <v>15</v>
      </c>
      <c r="G39" s="100">
        <v>117.88</v>
      </c>
      <c r="H39" s="100">
        <v>25.22</v>
      </c>
      <c r="I39" s="100">
        <v>15.99</v>
      </c>
      <c r="J39" s="100">
        <v>0.25</v>
      </c>
      <c r="K39" s="100">
        <v>40.93</v>
      </c>
      <c r="L39" s="100">
        <v>20.85</v>
      </c>
      <c r="M39" s="100">
        <v>61.21</v>
      </c>
      <c r="N39" s="100">
        <v>30.9</v>
      </c>
      <c r="O39" s="100">
        <v>0</v>
      </c>
      <c r="P39" s="100">
        <v>1.19</v>
      </c>
      <c r="Q39" s="100">
        <v>14.58</v>
      </c>
      <c r="R39" s="6"/>
      <c r="S39" s="6"/>
      <c r="T39" s="156"/>
      <c r="U39" s="6"/>
    </row>
    <row r="40" spans="1:21" customFormat="1">
      <c r="A40" s="163" t="s">
        <v>2766</v>
      </c>
      <c r="B40" s="100">
        <v>43.65</v>
      </c>
      <c r="C40" s="100">
        <v>26.61</v>
      </c>
      <c r="D40" s="100">
        <v>50.26</v>
      </c>
      <c r="E40" s="100">
        <v>10.45</v>
      </c>
      <c r="F40" s="152" t="s">
        <v>15</v>
      </c>
      <c r="G40" s="100">
        <v>117.88</v>
      </c>
      <c r="H40" s="100">
        <v>25.22</v>
      </c>
      <c r="I40" s="100">
        <v>16.22</v>
      </c>
      <c r="J40" s="100">
        <v>0.4</v>
      </c>
      <c r="K40" s="100">
        <v>38.840000000000003</v>
      </c>
      <c r="L40" s="100">
        <v>21.92</v>
      </c>
      <c r="M40" s="100">
        <v>56.38</v>
      </c>
      <c r="N40" s="100">
        <v>39.799999999999997</v>
      </c>
      <c r="O40" s="100">
        <v>0</v>
      </c>
      <c r="P40" s="100">
        <v>1.22</v>
      </c>
      <c r="Q40" s="100">
        <v>14.58</v>
      </c>
      <c r="R40" s="6"/>
      <c r="S40" s="6"/>
      <c r="T40" s="156"/>
      <c r="U40" s="6"/>
    </row>
    <row r="41" spans="1:21" customFormat="1">
      <c r="A41" s="163" t="s">
        <v>2767</v>
      </c>
      <c r="B41" s="100">
        <v>43.38</v>
      </c>
      <c r="C41" s="100">
        <v>27.28</v>
      </c>
      <c r="D41" s="100">
        <v>50.39</v>
      </c>
      <c r="E41" s="100">
        <v>10.45</v>
      </c>
      <c r="F41" s="152" t="s">
        <v>15</v>
      </c>
      <c r="G41" s="100">
        <v>117.88</v>
      </c>
      <c r="H41" s="100">
        <v>25.22</v>
      </c>
      <c r="I41" s="100">
        <v>16.59</v>
      </c>
      <c r="J41" s="100">
        <v>0.82</v>
      </c>
      <c r="K41" s="100">
        <v>52.46</v>
      </c>
      <c r="L41" s="100">
        <v>22.74</v>
      </c>
      <c r="M41" s="100">
        <v>51.16</v>
      </c>
      <c r="N41" s="100">
        <v>109.8</v>
      </c>
      <c r="O41" s="100">
        <v>0</v>
      </c>
      <c r="P41" s="100">
        <v>1.24</v>
      </c>
      <c r="Q41" s="100">
        <v>14.58</v>
      </c>
      <c r="R41" s="6"/>
      <c r="S41" s="6"/>
      <c r="T41" s="156"/>
      <c r="U41" s="6"/>
    </row>
    <row r="42" spans="1:21" customFormat="1">
      <c r="A42" s="163" t="s">
        <v>2768</v>
      </c>
      <c r="B42" s="100">
        <v>42.44</v>
      </c>
      <c r="C42" s="100">
        <v>27.78</v>
      </c>
      <c r="D42" s="100">
        <v>49.9</v>
      </c>
      <c r="E42" s="100">
        <v>10.76</v>
      </c>
      <c r="F42" s="152" t="s">
        <v>15</v>
      </c>
      <c r="G42" s="100">
        <v>132.43</v>
      </c>
      <c r="H42" s="100">
        <v>35.78</v>
      </c>
      <c r="I42" s="100">
        <v>16.940000000000001</v>
      </c>
      <c r="J42" s="100">
        <v>0.77</v>
      </c>
      <c r="K42" s="100">
        <v>44.35</v>
      </c>
      <c r="L42" s="100">
        <v>23.54</v>
      </c>
      <c r="M42" s="100">
        <v>47.48</v>
      </c>
      <c r="N42" s="100">
        <v>140</v>
      </c>
      <c r="O42" s="100">
        <v>0</v>
      </c>
      <c r="P42" s="100">
        <v>1.26</v>
      </c>
      <c r="Q42" s="100">
        <v>14.58</v>
      </c>
      <c r="R42" s="6"/>
      <c r="S42" s="6"/>
      <c r="T42" s="156"/>
      <c r="U42" s="6"/>
    </row>
    <row r="43" spans="1:21" customFormat="1">
      <c r="A43" s="163" t="s">
        <v>2769</v>
      </c>
      <c r="B43" s="100">
        <v>41.44</v>
      </c>
      <c r="C43" s="100">
        <v>28.02</v>
      </c>
      <c r="D43" s="100">
        <v>49.22</v>
      </c>
      <c r="E43" s="100">
        <v>11.08</v>
      </c>
      <c r="F43" s="152" t="s">
        <v>15</v>
      </c>
      <c r="G43" s="100">
        <v>137.72</v>
      </c>
      <c r="H43" s="100">
        <v>35.94</v>
      </c>
      <c r="I43" s="100">
        <v>17.13</v>
      </c>
      <c r="J43" s="100">
        <v>0.75</v>
      </c>
      <c r="K43" s="100">
        <v>48.93</v>
      </c>
      <c r="L43" s="100">
        <v>24.37</v>
      </c>
      <c r="M43" s="100">
        <v>44.62</v>
      </c>
      <c r="N43" s="100">
        <v>194.5</v>
      </c>
      <c r="O43" s="100">
        <v>0</v>
      </c>
      <c r="P43" s="100">
        <v>1.28</v>
      </c>
      <c r="Q43" s="100">
        <v>14.58</v>
      </c>
      <c r="R43" s="6"/>
      <c r="S43" s="6"/>
      <c r="T43" s="156"/>
      <c r="U43" s="6"/>
    </row>
    <row r="44" spans="1:21" customFormat="1">
      <c r="A44" s="163" t="s">
        <v>2770</v>
      </c>
      <c r="B44" s="100">
        <v>40.29</v>
      </c>
      <c r="C44" s="100">
        <v>27.95</v>
      </c>
      <c r="D44" s="100">
        <v>48.26</v>
      </c>
      <c r="E44" s="100">
        <v>10.94</v>
      </c>
      <c r="F44" s="152" t="s">
        <v>15</v>
      </c>
      <c r="G44" s="100">
        <v>137.72</v>
      </c>
      <c r="H44" s="100">
        <v>35.94</v>
      </c>
      <c r="I44" s="100">
        <v>17.16</v>
      </c>
      <c r="J44" s="100">
        <v>1.1499999999999999</v>
      </c>
      <c r="K44" s="100">
        <v>52.6</v>
      </c>
      <c r="L44" s="100">
        <v>25.01</v>
      </c>
      <c r="M44" s="100">
        <v>41.57</v>
      </c>
      <c r="N44" s="100">
        <v>210.2</v>
      </c>
      <c r="O44" s="100">
        <v>0</v>
      </c>
      <c r="P44" s="100">
        <v>1.28</v>
      </c>
      <c r="Q44" s="100">
        <v>14.58</v>
      </c>
      <c r="R44" s="6"/>
      <c r="S44" s="6"/>
      <c r="T44" s="156"/>
      <c r="U44" s="6"/>
    </row>
    <row r="45" spans="1:21" customFormat="1">
      <c r="A45" s="163" t="s">
        <v>2771</v>
      </c>
      <c r="B45" s="100">
        <v>38.799999999999997</v>
      </c>
      <c r="C45" s="100">
        <v>27.98</v>
      </c>
      <c r="D45" s="100">
        <v>47.09</v>
      </c>
      <c r="E45" s="100">
        <v>11.14</v>
      </c>
      <c r="F45" s="152" t="s">
        <v>15</v>
      </c>
      <c r="G45" s="100">
        <v>137.72</v>
      </c>
      <c r="H45" s="100">
        <v>35.94</v>
      </c>
      <c r="I45" s="100">
        <v>17.09</v>
      </c>
      <c r="J45" s="100">
        <v>0.89</v>
      </c>
      <c r="K45" s="100">
        <v>55.74</v>
      </c>
      <c r="L45" s="100">
        <v>25.9</v>
      </c>
      <c r="M45" s="100">
        <v>37.770000000000003</v>
      </c>
      <c r="N45" s="100">
        <v>187.4</v>
      </c>
      <c r="O45" s="100">
        <v>0</v>
      </c>
      <c r="P45" s="100">
        <v>1.27</v>
      </c>
      <c r="Q45" s="100">
        <v>14.58</v>
      </c>
      <c r="R45" s="6"/>
      <c r="S45" s="6"/>
      <c r="T45" s="156"/>
      <c r="U45" s="6"/>
    </row>
    <row r="46" spans="1:21" customFormat="1">
      <c r="A46" s="163" t="s">
        <v>2772</v>
      </c>
      <c r="B46" s="100">
        <v>37.18</v>
      </c>
      <c r="C46" s="100">
        <v>27.66</v>
      </c>
      <c r="D46" s="100">
        <v>45.61</v>
      </c>
      <c r="E46" s="100">
        <v>11.21</v>
      </c>
      <c r="F46" s="152" t="s">
        <v>15</v>
      </c>
      <c r="G46" s="100">
        <v>129.07</v>
      </c>
      <c r="H46" s="100">
        <v>39.44</v>
      </c>
      <c r="I46" s="100">
        <v>17.010000000000002</v>
      </c>
      <c r="J46" s="100">
        <v>0.96</v>
      </c>
      <c r="K46" s="100">
        <v>48.96</v>
      </c>
      <c r="L46" s="100">
        <v>26.45</v>
      </c>
      <c r="M46" s="100">
        <v>36.590000000000003</v>
      </c>
      <c r="N46" s="100">
        <v>261.39999999999998</v>
      </c>
      <c r="O46" s="100">
        <v>0</v>
      </c>
      <c r="P46" s="100">
        <v>1.25</v>
      </c>
      <c r="Q46" s="100">
        <v>14.58</v>
      </c>
      <c r="R46" s="6"/>
      <c r="S46" s="6"/>
      <c r="T46" s="156"/>
      <c r="U46" s="6"/>
    </row>
    <row r="47" spans="1:21" customFormat="1">
      <c r="A47" s="163" t="s">
        <v>2773</v>
      </c>
      <c r="B47" s="100">
        <v>35.64</v>
      </c>
      <c r="C47" s="100">
        <v>27.7</v>
      </c>
      <c r="D47" s="100">
        <v>44.41</v>
      </c>
      <c r="E47" s="100">
        <v>11.35</v>
      </c>
      <c r="F47" s="152" t="s">
        <v>15</v>
      </c>
      <c r="G47" s="100">
        <v>125.92</v>
      </c>
      <c r="H47" s="100">
        <v>39.520000000000003</v>
      </c>
      <c r="I47" s="100">
        <v>16.850000000000001</v>
      </c>
      <c r="J47" s="100">
        <v>0.56000000000000005</v>
      </c>
      <c r="K47" s="100">
        <v>81.02</v>
      </c>
      <c r="L47" s="100">
        <v>27.24</v>
      </c>
      <c r="M47" s="100">
        <v>34.979999999999997</v>
      </c>
      <c r="N47" s="100">
        <v>273.2</v>
      </c>
      <c r="O47" s="100">
        <v>0</v>
      </c>
      <c r="P47" s="100">
        <v>1.23</v>
      </c>
      <c r="Q47" s="100">
        <v>14.58</v>
      </c>
      <c r="R47" s="6"/>
      <c r="S47" s="6"/>
      <c r="T47" s="156"/>
      <c r="U47" s="6"/>
    </row>
    <row r="48" spans="1:21" customFormat="1">
      <c r="A48" s="163" t="s">
        <v>2774</v>
      </c>
      <c r="B48" s="100">
        <v>33.83</v>
      </c>
      <c r="C48" s="100">
        <v>27.68</v>
      </c>
      <c r="D48" s="100">
        <v>42.94</v>
      </c>
      <c r="E48" s="100">
        <v>10.79</v>
      </c>
      <c r="F48" s="152" t="s">
        <v>15</v>
      </c>
      <c r="G48" s="100">
        <v>125.92</v>
      </c>
      <c r="H48" s="100">
        <v>39.520000000000003</v>
      </c>
      <c r="I48" s="100">
        <v>16.63</v>
      </c>
      <c r="J48" s="100">
        <v>0.75</v>
      </c>
      <c r="K48" s="100">
        <v>71.150000000000006</v>
      </c>
      <c r="L48" s="100">
        <v>28.13</v>
      </c>
      <c r="M48" s="100">
        <v>33.32</v>
      </c>
      <c r="N48" s="100">
        <v>284.60000000000002</v>
      </c>
      <c r="O48" s="100">
        <v>0</v>
      </c>
      <c r="P48" s="100">
        <v>1.2</v>
      </c>
      <c r="Q48" s="100">
        <v>14.58</v>
      </c>
      <c r="R48" s="6"/>
      <c r="S48" s="6"/>
      <c r="T48" s="156"/>
      <c r="U48" s="6"/>
    </row>
    <row r="49" spans="1:21" customFormat="1">
      <c r="A49" s="163" t="s">
        <v>2775</v>
      </c>
      <c r="B49" s="100">
        <v>31.72</v>
      </c>
      <c r="C49" s="100">
        <v>27.87</v>
      </c>
      <c r="D49" s="100">
        <v>41.35</v>
      </c>
      <c r="E49" s="100">
        <v>10.71</v>
      </c>
      <c r="F49" s="152" t="s">
        <v>15</v>
      </c>
      <c r="G49" s="100">
        <v>125.92</v>
      </c>
      <c r="H49" s="100">
        <v>39.520000000000003</v>
      </c>
      <c r="I49" s="100">
        <v>16.45</v>
      </c>
      <c r="J49" s="100">
        <v>0.41</v>
      </c>
      <c r="K49" s="100">
        <v>20.170000000000002</v>
      </c>
      <c r="L49" s="100">
        <v>28.37</v>
      </c>
      <c r="M49" s="100">
        <v>33.54</v>
      </c>
      <c r="N49" s="100">
        <v>226.7</v>
      </c>
      <c r="O49" s="100">
        <v>0</v>
      </c>
      <c r="P49" s="100">
        <v>1.18</v>
      </c>
      <c r="Q49" s="100">
        <v>14.58</v>
      </c>
      <c r="R49" s="6"/>
      <c r="S49" s="6"/>
      <c r="T49" s="156"/>
      <c r="U49" s="6"/>
    </row>
    <row r="50" spans="1:21" customFormat="1">
      <c r="A50" s="163" t="s">
        <v>2776</v>
      </c>
      <c r="B50" s="100">
        <v>29.63</v>
      </c>
      <c r="C50" s="100">
        <v>27.96</v>
      </c>
      <c r="D50" s="100">
        <v>39.72</v>
      </c>
      <c r="E50" s="100">
        <v>11.8</v>
      </c>
      <c r="F50" s="152" t="s">
        <v>15</v>
      </c>
      <c r="G50" s="100">
        <v>120.15</v>
      </c>
      <c r="H50" s="100">
        <v>39.18</v>
      </c>
      <c r="I50" s="100">
        <v>16.21</v>
      </c>
      <c r="J50" s="100">
        <v>0.22</v>
      </c>
      <c r="K50" s="100">
        <v>250.84</v>
      </c>
      <c r="L50" s="100">
        <v>29.31</v>
      </c>
      <c r="M50" s="100">
        <v>32.08</v>
      </c>
      <c r="N50" s="100">
        <v>265</v>
      </c>
      <c r="O50" s="100">
        <v>0</v>
      </c>
      <c r="P50" s="100">
        <v>1.1599999999999999</v>
      </c>
      <c r="Q50" s="100">
        <v>14.58</v>
      </c>
      <c r="R50" s="6"/>
      <c r="S50" s="6"/>
      <c r="T50" s="156"/>
      <c r="U50" s="6"/>
    </row>
    <row r="51" spans="1:21" customFormat="1">
      <c r="A51" s="163" t="s">
        <v>2777</v>
      </c>
      <c r="B51" s="100">
        <v>26.94</v>
      </c>
      <c r="C51" s="100">
        <v>28.11</v>
      </c>
      <c r="D51" s="100">
        <v>37.64</v>
      </c>
      <c r="E51" s="100">
        <v>11.47</v>
      </c>
      <c r="F51" s="152" t="s">
        <v>15</v>
      </c>
      <c r="G51" s="100">
        <v>118.05</v>
      </c>
      <c r="H51" s="100">
        <v>39.17</v>
      </c>
      <c r="I51" s="100">
        <v>15.95</v>
      </c>
      <c r="J51" s="100">
        <v>0.24</v>
      </c>
      <c r="K51" s="100">
        <v>267.02</v>
      </c>
      <c r="L51" s="100">
        <v>29.98</v>
      </c>
      <c r="M51" s="100">
        <v>31.3</v>
      </c>
      <c r="N51" s="100">
        <v>313.8</v>
      </c>
      <c r="O51" s="100">
        <v>0</v>
      </c>
      <c r="P51" s="100">
        <v>1.0900000000000001</v>
      </c>
      <c r="Q51" s="100">
        <v>14.58</v>
      </c>
      <c r="R51" s="6"/>
      <c r="S51" s="6"/>
      <c r="T51" s="156"/>
      <c r="U51" s="6"/>
    </row>
    <row r="52" spans="1:21" customFormat="1">
      <c r="A52" s="163" t="s">
        <v>2778</v>
      </c>
      <c r="B52" s="100">
        <v>23.32</v>
      </c>
      <c r="C52" s="100">
        <v>29</v>
      </c>
      <c r="D52" s="100">
        <v>35.21</v>
      </c>
      <c r="E52" s="100">
        <v>11.17</v>
      </c>
      <c r="F52" s="152" t="s">
        <v>15</v>
      </c>
      <c r="G52" s="100">
        <v>118.05</v>
      </c>
      <c r="H52" s="100">
        <v>39.17</v>
      </c>
      <c r="I52" s="100">
        <v>15.76</v>
      </c>
      <c r="J52" s="100">
        <v>0.31</v>
      </c>
      <c r="K52" s="100">
        <v>263.27</v>
      </c>
      <c r="L52" s="100">
        <v>30.78</v>
      </c>
      <c r="M52" s="100">
        <v>29.07</v>
      </c>
      <c r="N52" s="100">
        <v>322.7</v>
      </c>
      <c r="O52" s="100">
        <v>0</v>
      </c>
      <c r="P52" s="100">
        <v>1.03</v>
      </c>
      <c r="Q52" s="100">
        <v>14.58</v>
      </c>
      <c r="R52" s="6"/>
      <c r="S52" s="6"/>
      <c r="T52" s="156"/>
      <c r="U52" s="6"/>
    </row>
    <row r="53" spans="1:21" customFormat="1">
      <c r="A53" s="163" t="s">
        <v>2779</v>
      </c>
      <c r="B53" s="100">
        <v>19.41</v>
      </c>
      <c r="C53" s="100">
        <v>30.08</v>
      </c>
      <c r="D53" s="100">
        <v>32.630000000000003</v>
      </c>
      <c r="E53" s="100">
        <v>12.19</v>
      </c>
      <c r="F53" s="152" t="s">
        <v>15</v>
      </c>
      <c r="G53" s="100">
        <v>118.05</v>
      </c>
      <c r="H53" s="100">
        <v>39.17</v>
      </c>
      <c r="I53" s="100">
        <v>15.55</v>
      </c>
      <c r="J53" s="100">
        <v>0.62</v>
      </c>
      <c r="K53" s="100">
        <v>309.94</v>
      </c>
      <c r="L53" s="100">
        <v>30.74</v>
      </c>
      <c r="M53" s="100">
        <v>28.05</v>
      </c>
      <c r="N53" s="100">
        <v>324</v>
      </c>
      <c r="O53" s="100">
        <v>0</v>
      </c>
      <c r="P53" s="100">
        <v>0.98</v>
      </c>
      <c r="Q53" s="100">
        <v>14.58</v>
      </c>
      <c r="R53" s="6"/>
      <c r="S53" s="6"/>
      <c r="T53" s="156"/>
      <c r="U53" s="6"/>
    </row>
    <row r="54" spans="1:21" customFormat="1">
      <c r="A54" s="163" t="s">
        <v>2780</v>
      </c>
      <c r="B54" s="100">
        <v>13.38</v>
      </c>
      <c r="C54" s="100">
        <v>31.01</v>
      </c>
      <c r="D54" s="100">
        <v>28.28</v>
      </c>
      <c r="E54" s="100">
        <v>18.399999999999999</v>
      </c>
      <c r="F54" s="152" t="s">
        <v>15</v>
      </c>
      <c r="G54" s="100">
        <v>107.74</v>
      </c>
      <c r="H54" s="100">
        <v>38.93</v>
      </c>
      <c r="I54" s="100">
        <v>15.19</v>
      </c>
      <c r="J54" s="100">
        <v>0.15</v>
      </c>
      <c r="K54" s="100">
        <v>63.49</v>
      </c>
      <c r="L54" s="100">
        <v>31.28</v>
      </c>
      <c r="M54" s="100">
        <v>27.4</v>
      </c>
      <c r="N54" s="100">
        <v>301</v>
      </c>
      <c r="O54" s="100">
        <v>0</v>
      </c>
      <c r="P54" s="100">
        <v>0.9</v>
      </c>
      <c r="Q54" s="100">
        <v>14.58</v>
      </c>
      <c r="R54" s="6"/>
      <c r="S54" s="6"/>
      <c r="T54" s="156"/>
      <c r="U54" s="6"/>
    </row>
    <row r="55" spans="1:21" customFormat="1">
      <c r="A55" s="163" t="s">
        <v>2781</v>
      </c>
      <c r="B55" s="100">
        <v>7.47</v>
      </c>
      <c r="C55" s="100">
        <v>32.409999999999997</v>
      </c>
      <c r="D55" s="100">
        <v>24.27</v>
      </c>
      <c r="E55" s="100">
        <v>12.2</v>
      </c>
      <c r="F55" s="152" t="s">
        <v>15</v>
      </c>
      <c r="G55" s="100">
        <v>103.99</v>
      </c>
      <c r="H55" s="100">
        <v>38.93</v>
      </c>
      <c r="I55" s="100">
        <v>14.55</v>
      </c>
      <c r="J55" s="100">
        <v>0.31</v>
      </c>
      <c r="K55" s="100">
        <v>269.7</v>
      </c>
      <c r="L55" s="100">
        <v>31.81</v>
      </c>
      <c r="M55" s="100">
        <v>27.6</v>
      </c>
      <c r="N55" s="100">
        <v>299</v>
      </c>
      <c r="O55" s="100">
        <v>0</v>
      </c>
      <c r="P55" s="100">
        <v>0.87</v>
      </c>
      <c r="Q55" s="100">
        <v>14.58</v>
      </c>
      <c r="R55" s="6"/>
      <c r="S55" s="6"/>
      <c r="T55" s="156"/>
      <c r="U55" s="6"/>
    </row>
    <row r="56" spans="1:21" customFormat="1">
      <c r="A56" s="163" t="s">
        <v>2782</v>
      </c>
      <c r="B56" s="100">
        <v>5.12</v>
      </c>
      <c r="C56" s="100">
        <v>32.229999999999997</v>
      </c>
      <c r="D56" s="100">
        <v>22.3</v>
      </c>
      <c r="E56" s="100">
        <v>11.32</v>
      </c>
      <c r="F56" s="152" t="s">
        <v>15</v>
      </c>
      <c r="G56" s="100">
        <v>103.99</v>
      </c>
      <c r="H56" s="100">
        <v>38.93</v>
      </c>
      <c r="I56" s="100">
        <v>13.77</v>
      </c>
      <c r="J56" s="100">
        <v>0.48</v>
      </c>
      <c r="K56" s="100">
        <v>255.05</v>
      </c>
      <c r="L56" s="100">
        <v>32.04</v>
      </c>
      <c r="M56" s="100">
        <v>28.4</v>
      </c>
      <c r="N56" s="100">
        <v>328.3</v>
      </c>
      <c r="O56" s="100">
        <v>0</v>
      </c>
      <c r="P56" s="100">
        <v>0.84</v>
      </c>
      <c r="Q56" s="100">
        <v>14.58</v>
      </c>
      <c r="R56" s="6"/>
      <c r="S56" s="6"/>
      <c r="T56" s="156"/>
      <c r="U56" s="6"/>
    </row>
    <row r="57" spans="1:21" customFormat="1">
      <c r="A57" s="163" t="s">
        <v>2783</v>
      </c>
      <c r="B57" s="100">
        <v>4.29</v>
      </c>
      <c r="C57" s="100">
        <v>31.14</v>
      </c>
      <c r="D57" s="100">
        <v>21.06</v>
      </c>
      <c r="E57" s="100">
        <v>11.85</v>
      </c>
      <c r="F57" s="152" t="s">
        <v>15</v>
      </c>
      <c r="G57" s="100">
        <v>103.99</v>
      </c>
      <c r="H57" s="100">
        <v>38.93</v>
      </c>
      <c r="I57" s="100">
        <v>13.28</v>
      </c>
      <c r="J57" s="100">
        <v>0.76</v>
      </c>
      <c r="K57" s="100">
        <v>253.66</v>
      </c>
      <c r="L57" s="100">
        <v>32.08</v>
      </c>
      <c r="M57" s="100">
        <v>29.23</v>
      </c>
      <c r="N57" s="100">
        <v>335.9</v>
      </c>
      <c r="O57" s="100">
        <v>0</v>
      </c>
      <c r="P57" s="100">
        <v>0.81</v>
      </c>
      <c r="Q57" s="100">
        <v>14.58</v>
      </c>
      <c r="R57" s="6"/>
      <c r="S57" s="6"/>
      <c r="T57" s="156"/>
      <c r="U57" s="6"/>
    </row>
    <row r="58" spans="1:21" customFormat="1">
      <c r="A58" s="163" t="s">
        <v>2784</v>
      </c>
      <c r="B58" s="100">
        <v>3.93</v>
      </c>
      <c r="C58" s="100">
        <v>29.74</v>
      </c>
      <c r="D58" s="100">
        <v>20.04</v>
      </c>
      <c r="E58" s="100">
        <v>11.91</v>
      </c>
      <c r="F58" s="152" t="s">
        <v>15</v>
      </c>
      <c r="G58" s="100">
        <v>94.67</v>
      </c>
      <c r="H58" s="100">
        <v>40.08</v>
      </c>
      <c r="I58" s="100">
        <v>12.94</v>
      </c>
      <c r="J58" s="100">
        <v>0.36</v>
      </c>
      <c r="K58" s="100">
        <v>259.08</v>
      </c>
      <c r="L58" s="100">
        <v>32.64</v>
      </c>
      <c r="M58" s="100">
        <v>28.72</v>
      </c>
      <c r="N58" s="100">
        <v>330.4</v>
      </c>
      <c r="O58" s="100">
        <v>0</v>
      </c>
      <c r="P58" s="100">
        <v>0.8</v>
      </c>
      <c r="Q58" s="100">
        <v>14.58</v>
      </c>
      <c r="R58" s="6"/>
      <c r="S58" s="6"/>
      <c r="T58" s="156"/>
      <c r="U58" s="6"/>
    </row>
    <row r="59" spans="1:21" customFormat="1">
      <c r="A59" s="163" t="s">
        <v>2785</v>
      </c>
      <c r="B59" s="100">
        <v>3.78</v>
      </c>
      <c r="C59" s="100">
        <v>28.71</v>
      </c>
      <c r="D59" s="100">
        <v>19.38</v>
      </c>
      <c r="E59" s="100">
        <v>12.37</v>
      </c>
      <c r="F59" s="152" t="s">
        <v>15</v>
      </c>
      <c r="G59" s="100">
        <v>91.28</v>
      </c>
      <c r="H59" s="100">
        <v>40.1</v>
      </c>
      <c r="I59" s="100">
        <v>12.63</v>
      </c>
      <c r="J59" s="100">
        <v>0.57999999999999996</v>
      </c>
      <c r="K59" s="100">
        <v>254.63</v>
      </c>
      <c r="L59" s="100">
        <v>33</v>
      </c>
      <c r="M59" s="100">
        <v>28.56</v>
      </c>
      <c r="N59" s="100">
        <v>318.2</v>
      </c>
      <c r="O59" s="100">
        <v>0</v>
      </c>
      <c r="P59" s="100">
        <v>0.79</v>
      </c>
      <c r="Q59" s="100">
        <v>12.92</v>
      </c>
      <c r="R59" s="6"/>
      <c r="S59" s="6"/>
      <c r="T59" s="156"/>
      <c r="U59" s="6"/>
    </row>
    <row r="60" spans="1:21" customFormat="1">
      <c r="A60" s="163" t="s">
        <v>2786</v>
      </c>
      <c r="B60" s="100">
        <v>3.8</v>
      </c>
      <c r="C60" s="100">
        <v>27.87</v>
      </c>
      <c r="D60" s="100">
        <v>18.96</v>
      </c>
      <c r="E60" s="100">
        <v>13.83</v>
      </c>
      <c r="F60" s="152" t="s">
        <v>15</v>
      </c>
      <c r="G60" s="100">
        <v>91.28</v>
      </c>
      <c r="H60" s="100">
        <v>40.1</v>
      </c>
      <c r="I60" s="100">
        <v>12.44</v>
      </c>
      <c r="J60" s="100">
        <v>1.06</v>
      </c>
      <c r="K60" s="100">
        <v>294.7</v>
      </c>
      <c r="L60" s="100">
        <v>32.51</v>
      </c>
      <c r="M60" s="100">
        <v>29.68</v>
      </c>
      <c r="N60" s="100">
        <v>318.39999999999998</v>
      </c>
      <c r="O60" s="100">
        <v>0</v>
      </c>
      <c r="P60" s="100">
        <v>0.8</v>
      </c>
      <c r="Q60" s="100">
        <v>12.92</v>
      </c>
      <c r="R60" s="6"/>
      <c r="S60" s="6"/>
      <c r="T60" s="156"/>
      <c r="U60" s="6"/>
    </row>
    <row r="61" spans="1:21" customFormat="1">
      <c r="A61" s="163" t="s">
        <v>2787</v>
      </c>
      <c r="B61" s="100">
        <v>3.88</v>
      </c>
      <c r="C61" s="100">
        <v>27.74</v>
      </c>
      <c r="D61" s="100">
        <v>18.96</v>
      </c>
      <c r="E61" s="100">
        <v>13.99</v>
      </c>
      <c r="F61" s="152" t="s">
        <v>15</v>
      </c>
      <c r="G61" s="100">
        <v>91.28</v>
      </c>
      <c r="H61" s="100">
        <v>40.1</v>
      </c>
      <c r="I61" s="100">
        <v>12.29</v>
      </c>
      <c r="J61" s="100">
        <v>1</v>
      </c>
      <c r="K61" s="100">
        <v>292.69</v>
      </c>
      <c r="L61" s="100">
        <v>32.659999999999997</v>
      </c>
      <c r="M61" s="100">
        <v>29.5</v>
      </c>
      <c r="N61" s="100">
        <v>317.8</v>
      </c>
      <c r="O61" s="100">
        <v>0</v>
      </c>
      <c r="P61" s="100">
        <v>0.81</v>
      </c>
      <c r="Q61" s="100">
        <v>12.92</v>
      </c>
      <c r="R61" s="6"/>
      <c r="S61" s="6"/>
      <c r="T61" s="156"/>
      <c r="U61" s="6"/>
    </row>
    <row r="62" spans="1:21" customFormat="1">
      <c r="A62" s="163" t="s">
        <v>2788</v>
      </c>
      <c r="B62" s="100">
        <v>3.9</v>
      </c>
      <c r="C62" s="100">
        <v>27.7</v>
      </c>
      <c r="D62" s="100">
        <v>18.95</v>
      </c>
      <c r="E62" s="100">
        <v>14.62</v>
      </c>
      <c r="F62" s="152" t="s">
        <v>15</v>
      </c>
      <c r="G62" s="100">
        <v>91.63</v>
      </c>
      <c r="H62" s="100">
        <v>40.840000000000003</v>
      </c>
      <c r="I62" s="100">
        <v>12.27</v>
      </c>
      <c r="J62" s="100">
        <v>0.57999999999999996</v>
      </c>
      <c r="K62" s="100">
        <v>243.57</v>
      </c>
      <c r="L62" s="100">
        <v>33.33</v>
      </c>
      <c r="M62" s="100">
        <v>29.06</v>
      </c>
      <c r="N62" s="100">
        <v>297.8</v>
      </c>
      <c r="O62" s="100">
        <v>0</v>
      </c>
      <c r="P62" s="100">
        <v>0.81</v>
      </c>
      <c r="Q62" s="100">
        <v>12.93</v>
      </c>
      <c r="R62" s="6"/>
      <c r="S62" s="6"/>
      <c r="T62" s="156"/>
      <c r="U62" s="6"/>
    </row>
    <row r="63" spans="1:21" customFormat="1">
      <c r="A63" s="163" t="s">
        <v>2789</v>
      </c>
      <c r="B63" s="100">
        <v>3.9</v>
      </c>
      <c r="C63" s="100">
        <v>27.25</v>
      </c>
      <c r="D63" s="100">
        <v>18.71</v>
      </c>
      <c r="E63" s="100">
        <v>14.84</v>
      </c>
      <c r="F63" s="152" t="s">
        <v>15</v>
      </c>
      <c r="G63" s="100">
        <v>91.76</v>
      </c>
      <c r="H63" s="100">
        <v>40.85</v>
      </c>
      <c r="I63" s="100">
        <v>12.36</v>
      </c>
      <c r="J63" s="100">
        <v>1.1200000000000001</v>
      </c>
      <c r="K63" s="100">
        <v>316.57</v>
      </c>
      <c r="L63" s="100">
        <v>33.090000000000003</v>
      </c>
      <c r="M63" s="100">
        <v>28.94</v>
      </c>
      <c r="N63" s="100">
        <v>296.10000000000002</v>
      </c>
      <c r="O63" s="100">
        <v>0</v>
      </c>
      <c r="P63" s="100">
        <v>0.82</v>
      </c>
      <c r="Q63" s="100">
        <v>12.92</v>
      </c>
      <c r="R63" s="6"/>
      <c r="S63" s="6"/>
      <c r="T63" s="156"/>
      <c r="U63" s="6"/>
    </row>
    <row r="64" spans="1:21" customFormat="1">
      <c r="A64" s="163" t="s">
        <v>2790</v>
      </c>
      <c r="B64" s="100">
        <v>3.91</v>
      </c>
      <c r="C64" s="100">
        <v>26.96</v>
      </c>
      <c r="D64" s="100">
        <v>18.57</v>
      </c>
      <c r="E64" s="100">
        <v>14.91</v>
      </c>
      <c r="F64" s="152" t="s">
        <v>15</v>
      </c>
      <c r="G64" s="100">
        <v>91.76</v>
      </c>
      <c r="H64" s="100">
        <v>40.85</v>
      </c>
      <c r="I64" s="100">
        <v>12.36</v>
      </c>
      <c r="J64" s="100">
        <v>0.73</v>
      </c>
      <c r="K64" s="100">
        <v>281.33</v>
      </c>
      <c r="L64" s="100">
        <v>33.1</v>
      </c>
      <c r="M64" s="100">
        <v>29.67</v>
      </c>
      <c r="N64" s="100">
        <v>302.2</v>
      </c>
      <c r="O64" s="100">
        <v>0</v>
      </c>
      <c r="P64" s="100">
        <v>0.81</v>
      </c>
      <c r="Q64" s="100">
        <v>12.93</v>
      </c>
      <c r="R64" s="6"/>
      <c r="S64" s="6"/>
      <c r="T64" s="156"/>
      <c r="U64" s="6"/>
    </row>
    <row r="65" spans="1:21" customFormat="1">
      <c r="A65" s="163" t="s">
        <v>2791</v>
      </c>
      <c r="B65" s="100">
        <v>3.87</v>
      </c>
      <c r="C65" s="100">
        <v>26.32</v>
      </c>
      <c r="D65" s="100">
        <v>18.2</v>
      </c>
      <c r="E65" s="100">
        <v>14.4</v>
      </c>
      <c r="F65" s="152" t="s">
        <v>15</v>
      </c>
      <c r="G65" s="100">
        <v>91.76</v>
      </c>
      <c r="H65" s="100">
        <v>40.85</v>
      </c>
      <c r="I65" s="100">
        <v>12.29</v>
      </c>
      <c r="J65" s="100">
        <v>0.97</v>
      </c>
      <c r="K65" s="100">
        <v>293.92</v>
      </c>
      <c r="L65" s="100">
        <v>33.4</v>
      </c>
      <c r="M65" s="100">
        <v>27.2</v>
      </c>
      <c r="N65" s="100">
        <v>299.5</v>
      </c>
      <c r="O65" s="100">
        <v>0</v>
      </c>
      <c r="P65" s="100">
        <v>0.77</v>
      </c>
      <c r="Q65" s="100">
        <v>12.92</v>
      </c>
      <c r="R65" s="6"/>
      <c r="S65" s="6"/>
      <c r="T65" s="156"/>
      <c r="U65" s="6"/>
    </row>
    <row r="66" spans="1:21" customFormat="1">
      <c r="A66" s="163" t="s">
        <v>2792</v>
      </c>
      <c r="B66" s="100">
        <v>3.81</v>
      </c>
      <c r="C66" s="100">
        <v>25.8</v>
      </c>
      <c r="D66" s="100">
        <v>17.88</v>
      </c>
      <c r="E66" s="100">
        <v>15.28</v>
      </c>
      <c r="F66" s="152" t="s">
        <v>15</v>
      </c>
      <c r="G66" s="100">
        <v>84.75</v>
      </c>
      <c r="H66" s="100">
        <v>39.96</v>
      </c>
      <c r="I66" s="100">
        <v>12.1</v>
      </c>
      <c r="J66" s="100">
        <v>0.94</v>
      </c>
      <c r="K66" s="100">
        <v>280.43</v>
      </c>
      <c r="L66" s="100">
        <v>33.11</v>
      </c>
      <c r="M66" s="100">
        <v>28.34</v>
      </c>
      <c r="N66" s="100">
        <v>301.89999999999998</v>
      </c>
      <c r="O66" s="100">
        <v>0</v>
      </c>
      <c r="P66" s="100">
        <v>0.77</v>
      </c>
      <c r="Q66" s="100">
        <v>12.93</v>
      </c>
      <c r="R66" s="6"/>
      <c r="S66" s="6"/>
      <c r="T66" s="156"/>
      <c r="U66" s="6"/>
    </row>
    <row r="67" spans="1:21" customFormat="1">
      <c r="A67" s="163" t="s">
        <v>2793</v>
      </c>
      <c r="B67" s="100">
        <v>3.8</v>
      </c>
      <c r="C67" s="100">
        <v>25.28</v>
      </c>
      <c r="D67" s="100">
        <v>17.61</v>
      </c>
      <c r="E67" s="100">
        <v>15.35</v>
      </c>
      <c r="F67" s="152" t="s">
        <v>15</v>
      </c>
      <c r="G67" s="100">
        <v>82.21</v>
      </c>
      <c r="H67" s="100">
        <v>39.950000000000003</v>
      </c>
      <c r="I67" s="100">
        <v>11.76</v>
      </c>
      <c r="J67" s="100">
        <v>0.81</v>
      </c>
      <c r="K67" s="100">
        <v>290.14</v>
      </c>
      <c r="L67" s="100">
        <v>33.26</v>
      </c>
      <c r="M67" s="100">
        <v>27.96</v>
      </c>
      <c r="N67" s="100">
        <v>238.5</v>
      </c>
      <c r="O67" s="100">
        <v>0</v>
      </c>
      <c r="P67" s="100">
        <v>0.74</v>
      </c>
      <c r="Q67" s="100">
        <v>12.92</v>
      </c>
      <c r="R67" s="6"/>
      <c r="S67" s="6"/>
      <c r="T67" s="156"/>
      <c r="U67" s="6"/>
    </row>
    <row r="68" spans="1:21" customFormat="1">
      <c r="A68" s="163" t="s">
        <v>2794</v>
      </c>
      <c r="B68" s="100">
        <v>3.79</v>
      </c>
      <c r="C68" s="100">
        <v>24.61</v>
      </c>
      <c r="D68" s="100">
        <v>17.239999999999998</v>
      </c>
      <c r="E68" s="100">
        <v>15.32</v>
      </c>
      <c r="F68" s="152" t="s">
        <v>15</v>
      </c>
      <c r="G68" s="100">
        <v>82.21</v>
      </c>
      <c r="H68" s="100">
        <v>39.950000000000003</v>
      </c>
      <c r="I68" s="100">
        <v>11.45</v>
      </c>
      <c r="J68" s="100">
        <v>0.78</v>
      </c>
      <c r="K68" s="100">
        <v>257.60000000000002</v>
      </c>
      <c r="L68" s="100">
        <v>33.270000000000003</v>
      </c>
      <c r="M68" s="100">
        <v>28.45</v>
      </c>
      <c r="N68" s="100">
        <v>115.7</v>
      </c>
      <c r="O68" s="100">
        <v>0</v>
      </c>
      <c r="P68" s="100">
        <v>0.73</v>
      </c>
      <c r="Q68" s="100">
        <v>12.93</v>
      </c>
      <c r="R68" s="6"/>
      <c r="S68" s="6"/>
      <c r="T68" s="156"/>
      <c r="U68" s="6"/>
    </row>
    <row r="69" spans="1:21" customFormat="1">
      <c r="A69" s="163" t="s">
        <v>2795</v>
      </c>
      <c r="B69" s="100">
        <v>3.77</v>
      </c>
      <c r="C69" s="100">
        <v>23.95</v>
      </c>
      <c r="D69" s="100">
        <v>16.89</v>
      </c>
      <c r="E69" s="100">
        <v>15.62</v>
      </c>
      <c r="F69" s="152" t="s">
        <v>15</v>
      </c>
      <c r="G69" s="100">
        <v>82.21</v>
      </c>
      <c r="H69" s="100">
        <v>39.950000000000003</v>
      </c>
      <c r="I69" s="100">
        <v>11.12</v>
      </c>
      <c r="J69" s="100">
        <v>0.87</v>
      </c>
      <c r="K69" s="100">
        <v>280.13</v>
      </c>
      <c r="L69" s="100">
        <v>32.659999999999997</v>
      </c>
      <c r="M69" s="100">
        <v>29.55</v>
      </c>
      <c r="N69" s="100">
        <v>75.099999999999994</v>
      </c>
      <c r="O69" s="100">
        <v>0</v>
      </c>
      <c r="P69" s="100">
        <v>0.71</v>
      </c>
      <c r="Q69" s="100">
        <v>12.91</v>
      </c>
      <c r="R69" s="6"/>
      <c r="S69" s="6"/>
      <c r="T69" s="156"/>
      <c r="U69" s="6"/>
    </row>
    <row r="70" spans="1:21" customFormat="1">
      <c r="A70" s="163" t="s">
        <v>2796</v>
      </c>
      <c r="B70" s="100">
        <v>3.81</v>
      </c>
      <c r="C70" s="100">
        <v>23.44</v>
      </c>
      <c r="D70" s="100">
        <v>16.66</v>
      </c>
      <c r="E70" s="100">
        <v>20.71</v>
      </c>
      <c r="F70" s="152" t="s">
        <v>15</v>
      </c>
      <c r="G70" s="100">
        <v>71.59</v>
      </c>
      <c r="H70" s="100">
        <v>38.92</v>
      </c>
      <c r="I70" s="100">
        <v>10.81</v>
      </c>
      <c r="J70" s="100">
        <v>0.59</v>
      </c>
      <c r="K70" s="100">
        <v>283.74</v>
      </c>
      <c r="L70" s="100">
        <v>32.57</v>
      </c>
      <c r="M70" s="100">
        <v>29.69</v>
      </c>
      <c r="N70" s="100">
        <v>66</v>
      </c>
      <c r="O70" s="100">
        <v>0</v>
      </c>
      <c r="P70" s="100">
        <v>0.71</v>
      </c>
      <c r="Q70" s="100">
        <v>12.9</v>
      </c>
      <c r="R70" s="6"/>
      <c r="S70" s="6"/>
      <c r="T70" s="156"/>
      <c r="U70" s="6"/>
    </row>
    <row r="71" spans="1:21" customFormat="1">
      <c r="A71" s="163" t="s">
        <v>2797</v>
      </c>
      <c r="B71" s="100">
        <v>3.89</v>
      </c>
      <c r="C71" s="100">
        <v>23.51</v>
      </c>
      <c r="D71" s="100">
        <v>16.75</v>
      </c>
      <c r="E71" s="100">
        <v>24.67</v>
      </c>
      <c r="F71" s="152" t="s">
        <v>15</v>
      </c>
      <c r="G71" s="100">
        <v>67.73</v>
      </c>
      <c r="H71" s="100">
        <v>38.89</v>
      </c>
      <c r="I71" s="100">
        <v>10.59</v>
      </c>
      <c r="J71" s="100">
        <v>0.78</v>
      </c>
      <c r="K71" s="100">
        <v>313.35000000000002</v>
      </c>
      <c r="L71" s="100">
        <v>32.35</v>
      </c>
      <c r="M71" s="100">
        <v>29.08</v>
      </c>
      <c r="N71" s="100">
        <v>66.900000000000006</v>
      </c>
      <c r="O71" s="100">
        <v>0</v>
      </c>
      <c r="P71" s="100">
        <v>0.71</v>
      </c>
      <c r="Q71" s="100">
        <v>12.91</v>
      </c>
      <c r="R71" s="6"/>
      <c r="S71" s="6"/>
      <c r="T71" s="156"/>
      <c r="U71" s="6"/>
    </row>
    <row r="72" spans="1:21" customFormat="1">
      <c r="A72" s="163" t="s">
        <v>2798</v>
      </c>
      <c r="B72" s="100">
        <v>3.92</v>
      </c>
      <c r="C72" s="100">
        <v>24.14</v>
      </c>
      <c r="D72" s="100">
        <v>17.11</v>
      </c>
      <c r="E72" s="100">
        <v>32.630000000000003</v>
      </c>
      <c r="F72" s="152" t="s">
        <v>15</v>
      </c>
      <c r="G72" s="100">
        <v>67.73</v>
      </c>
      <c r="H72" s="100">
        <v>38.89</v>
      </c>
      <c r="I72" s="100">
        <v>10.42</v>
      </c>
      <c r="J72" s="100">
        <v>0.23</v>
      </c>
      <c r="K72" s="100">
        <v>281.39</v>
      </c>
      <c r="L72" s="100">
        <v>32.17</v>
      </c>
      <c r="M72" s="100">
        <v>29.54</v>
      </c>
      <c r="N72" s="100">
        <v>59.3</v>
      </c>
      <c r="O72" s="100">
        <v>0</v>
      </c>
      <c r="P72" s="100">
        <v>0.73</v>
      </c>
      <c r="Q72" s="100">
        <v>12.9</v>
      </c>
      <c r="R72" s="6"/>
      <c r="S72" s="6"/>
      <c r="T72" s="156"/>
      <c r="U72" s="6"/>
    </row>
    <row r="73" spans="1:21" customFormat="1">
      <c r="A73" s="163" t="s">
        <v>2799</v>
      </c>
      <c r="B73" s="100">
        <v>4.01</v>
      </c>
      <c r="C73" s="100">
        <v>24.05</v>
      </c>
      <c r="D73" s="100">
        <v>17.13</v>
      </c>
      <c r="E73" s="100">
        <v>32.22</v>
      </c>
      <c r="F73" s="152" t="s">
        <v>15</v>
      </c>
      <c r="G73" s="100">
        <v>67.73</v>
      </c>
      <c r="H73" s="100">
        <v>38.89</v>
      </c>
      <c r="I73" s="100">
        <v>10.039999999999999</v>
      </c>
      <c r="J73" s="100">
        <v>0.59</v>
      </c>
      <c r="K73" s="100">
        <v>313.95</v>
      </c>
      <c r="L73" s="100">
        <v>32.06</v>
      </c>
      <c r="M73" s="100">
        <v>30.16</v>
      </c>
      <c r="N73" s="100">
        <v>72.8</v>
      </c>
      <c r="O73" s="100">
        <v>0</v>
      </c>
      <c r="P73" s="100">
        <v>0.73</v>
      </c>
      <c r="Q73" s="100">
        <v>12.89</v>
      </c>
      <c r="R73" s="6"/>
      <c r="S73" s="6"/>
      <c r="T73" s="156"/>
      <c r="U73" s="6"/>
    </row>
    <row r="74" spans="1:21" customFormat="1">
      <c r="A74" s="163" t="s">
        <v>2800</v>
      </c>
      <c r="B74" s="100">
        <v>4.0999999999999996</v>
      </c>
      <c r="C74" s="100">
        <v>24.17</v>
      </c>
      <c r="D74" s="100">
        <v>17.260000000000002</v>
      </c>
      <c r="E74" s="100">
        <v>35.89</v>
      </c>
      <c r="F74" s="152" t="s">
        <v>15</v>
      </c>
      <c r="G74" s="100">
        <v>67.16</v>
      </c>
      <c r="H74" s="100">
        <v>37.79</v>
      </c>
      <c r="I74" s="100">
        <v>9.67</v>
      </c>
      <c r="J74" s="100">
        <v>0.79</v>
      </c>
      <c r="K74" s="100">
        <v>322.26</v>
      </c>
      <c r="L74" s="100">
        <v>32</v>
      </c>
      <c r="M74" s="100">
        <v>30.13</v>
      </c>
      <c r="N74" s="100">
        <v>46.6</v>
      </c>
      <c r="O74" s="100">
        <v>0</v>
      </c>
      <c r="P74" s="100">
        <v>0.72</v>
      </c>
      <c r="Q74" s="100">
        <v>12.9</v>
      </c>
      <c r="R74" s="6"/>
      <c r="S74" s="6"/>
      <c r="T74" s="156"/>
      <c r="U74" s="6"/>
    </row>
    <row r="75" spans="1:21" customFormat="1">
      <c r="A75" s="163" t="s">
        <v>2801</v>
      </c>
      <c r="B75" s="100">
        <v>4.1900000000000004</v>
      </c>
      <c r="C75" s="100">
        <v>24.07</v>
      </c>
      <c r="D75" s="100">
        <v>17.29</v>
      </c>
      <c r="E75" s="100">
        <v>29.76</v>
      </c>
      <c r="F75" s="152" t="s">
        <v>15</v>
      </c>
      <c r="G75" s="100">
        <v>66.95</v>
      </c>
      <c r="H75" s="100">
        <v>37.770000000000003</v>
      </c>
      <c r="I75" s="100">
        <v>9.35</v>
      </c>
      <c r="J75" s="100">
        <v>0.67</v>
      </c>
      <c r="K75" s="100">
        <v>324.25</v>
      </c>
      <c r="L75" s="100">
        <v>31.86</v>
      </c>
      <c r="M75" s="100">
        <v>30.55</v>
      </c>
      <c r="N75" s="100">
        <v>34.700000000000003</v>
      </c>
      <c r="O75" s="100">
        <v>0</v>
      </c>
      <c r="P75" s="100">
        <v>0.73</v>
      </c>
      <c r="Q75" s="100">
        <v>12.89</v>
      </c>
      <c r="R75" s="6"/>
      <c r="S75" s="6"/>
      <c r="T75" s="156"/>
      <c r="U75" s="6"/>
    </row>
    <row r="76" spans="1:21" customFormat="1">
      <c r="A76" s="163" t="s">
        <v>2802</v>
      </c>
      <c r="B76" s="100">
        <v>4.32</v>
      </c>
      <c r="C76" s="100">
        <v>24.32</v>
      </c>
      <c r="D76" s="100">
        <v>17.52</v>
      </c>
      <c r="E76" s="100">
        <v>44.16</v>
      </c>
      <c r="F76" s="152" t="s">
        <v>15</v>
      </c>
      <c r="G76" s="100">
        <v>66.95</v>
      </c>
      <c r="H76" s="100">
        <v>37.770000000000003</v>
      </c>
      <c r="I76" s="100">
        <v>9.1199999999999992</v>
      </c>
      <c r="J76" s="100">
        <v>0.51</v>
      </c>
      <c r="K76" s="100">
        <v>4.47</v>
      </c>
      <c r="L76" s="100">
        <v>31.78</v>
      </c>
      <c r="M76" s="100">
        <v>30.3</v>
      </c>
      <c r="N76" s="100">
        <v>32.200000000000003</v>
      </c>
      <c r="O76" s="100">
        <v>0</v>
      </c>
      <c r="P76" s="100">
        <v>0.76</v>
      </c>
      <c r="Q76" s="100">
        <v>12.89</v>
      </c>
      <c r="R76" s="6"/>
      <c r="S76" s="6"/>
      <c r="T76" s="156"/>
      <c r="U76" s="6"/>
    </row>
    <row r="77" spans="1:21" customFormat="1">
      <c r="A77" s="163" t="s">
        <v>2803</v>
      </c>
      <c r="B77" s="100">
        <v>4.47</v>
      </c>
      <c r="C77" s="100">
        <v>25.03</v>
      </c>
      <c r="D77" s="100">
        <v>18.010000000000002</v>
      </c>
      <c r="E77" s="100">
        <v>41.89</v>
      </c>
      <c r="F77" s="152" t="s">
        <v>15</v>
      </c>
      <c r="G77" s="100">
        <v>66.95</v>
      </c>
      <c r="H77" s="100">
        <v>37.770000000000003</v>
      </c>
      <c r="I77" s="100">
        <v>9.1</v>
      </c>
      <c r="J77" s="100">
        <v>0.47</v>
      </c>
      <c r="K77" s="100">
        <v>34.590000000000003</v>
      </c>
      <c r="L77" s="100">
        <v>31.59</v>
      </c>
      <c r="M77" s="100">
        <v>30.75</v>
      </c>
      <c r="N77" s="100">
        <v>23.3</v>
      </c>
      <c r="O77" s="100">
        <v>0</v>
      </c>
      <c r="P77" s="100">
        <v>0.76</v>
      </c>
      <c r="Q77" s="100">
        <v>12.91</v>
      </c>
      <c r="R77" s="6"/>
      <c r="S77" s="6"/>
      <c r="T77" s="156"/>
      <c r="U77" s="6"/>
    </row>
    <row r="78" spans="1:21" customFormat="1">
      <c r="A78" s="163" t="s">
        <v>2804</v>
      </c>
      <c r="B78" s="100">
        <v>4.66</v>
      </c>
      <c r="C78" s="100">
        <v>25.7</v>
      </c>
      <c r="D78" s="100">
        <v>18.52</v>
      </c>
      <c r="E78" s="100">
        <v>34.04</v>
      </c>
      <c r="F78" s="152" t="s">
        <v>15</v>
      </c>
      <c r="G78" s="100">
        <v>69.67</v>
      </c>
      <c r="H78" s="100">
        <v>33.869999999999997</v>
      </c>
      <c r="I78" s="100">
        <v>9.0399999999999991</v>
      </c>
      <c r="J78" s="100">
        <v>0.44</v>
      </c>
      <c r="K78" s="100">
        <v>39.15</v>
      </c>
      <c r="L78" s="100">
        <v>31.2</v>
      </c>
      <c r="M78" s="100">
        <v>31.87</v>
      </c>
      <c r="N78" s="100">
        <v>15</v>
      </c>
      <c r="O78" s="100">
        <v>0</v>
      </c>
      <c r="P78" s="100">
        <v>0.78</v>
      </c>
      <c r="Q78" s="100">
        <v>12.91</v>
      </c>
      <c r="R78" s="6"/>
      <c r="S78" s="6"/>
      <c r="T78" s="156"/>
      <c r="U78" s="6"/>
    </row>
    <row r="79" spans="1:21" customFormat="1">
      <c r="A79" s="163" t="s">
        <v>2805</v>
      </c>
      <c r="B79" s="100">
        <v>4.8899999999999997</v>
      </c>
      <c r="C79" s="100">
        <v>26.2</v>
      </c>
      <c r="D79" s="100">
        <v>18.96</v>
      </c>
      <c r="E79" s="100">
        <v>36.82</v>
      </c>
      <c r="F79" s="152" t="s">
        <v>15</v>
      </c>
      <c r="G79" s="100">
        <v>70.650000000000006</v>
      </c>
      <c r="H79" s="100">
        <v>33.81</v>
      </c>
      <c r="I79" s="100">
        <v>9.02</v>
      </c>
      <c r="J79" s="100">
        <v>0.44</v>
      </c>
      <c r="K79" s="100">
        <v>48.55</v>
      </c>
      <c r="L79" s="100">
        <v>30.83</v>
      </c>
      <c r="M79" s="100">
        <v>32.08</v>
      </c>
      <c r="N79" s="100">
        <v>8.5</v>
      </c>
      <c r="O79" s="100">
        <v>0</v>
      </c>
      <c r="P79" s="100">
        <v>0.81</v>
      </c>
      <c r="Q79" s="100">
        <v>12.92</v>
      </c>
      <c r="R79" s="6"/>
      <c r="S79" s="6"/>
      <c r="T79" s="156"/>
      <c r="U79" s="6"/>
    </row>
    <row r="80" spans="1:21" customFormat="1">
      <c r="A80" s="163" t="s">
        <v>2806</v>
      </c>
      <c r="B80" s="100">
        <v>5.29</v>
      </c>
      <c r="C80" s="100">
        <v>26.55</v>
      </c>
      <c r="D80" s="100">
        <v>19.46</v>
      </c>
      <c r="E80" s="100">
        <v>31.96</v>
      </c>
      <c r="F80" s="152" t="s">
        <v>15</v>
      </c>
      <c r="G80" s="100">
        <v>70.650000000000006</v>
      </c>
      <c r="H80" s="100">
        <v>33.81</v>
      </c>
      <c r="I80" s="100">
        <v>9.1</v>
      </c>
      <c r="J80" s="100">
        <v>0.47</v>
      </c>
      <c r="K80" s="100">
        <v>53.89</v>
      </c>
      <c r="L80" s="100">
        <v>30.27</v>
      </c>
      <c r="M80" s="100">
        <v>33.33</v>
      </c>
      <c r="N80" s="100">
        <v>3.8</v>
      </c>
      <c r="O80" s="100">
        <v>0</v>
      </c>
      <c r="P80" s="100">
        <v>0.81</v>
      </c>
      <c r="Q80" s="100">
        <v>12.91</v>
      </c>
      <c r="R80" s="6"/>
      <c r="S80" s="6"/>
      <c r="T80" s="156"/>
      <c r="U80" s="6"/>
    </row>
    <row r="81" spans="1:21" customFormat="1">
      <c r="A81" s="163" t="s">
        <v>2807</v>
      </c>
      <c r="B81" s="100">
        <v>5.92</v>
      </c>
      <c r="C81" s="100">
        <v>27.33</v>
      </c>
      <c r="D81" s="100">
        <v>20.38</v>
      </c>
      <c r="E81" s="100">
        <v>19.36</v>
      </c>
      <c r="F81" s="152" t="s">
        <v>15</v>
      </c>
      <c r="G81" s="100">
        <v>70.650000000000006</v>
      </c>
      <c r="H81" s="100">
        <v>33.81</v>
      </c>
      <c r="I81" s="100">
        <v>9.2799999999999994</v>
      </c>
      <c r="J81" s="100">
        <v>0.39</v>
      </c>
      <c r="K81" s="100">
        <v>50.11</v>
      </c>
      <c r="L81" s="100">
        <v>29.82</v>
      </c>
      <c r="M81" s="100">
        <v>34.25</v>
      </c>
      <c r="N81" s="100">
        <v>1.9</v>
      </c>
      <c r="O81" s="100">
        <v>0</v>
      </c>
      <c r="P81" s="100">
        <v>0.85</v>
      </c>
      <c r="Q81" s="100">
        <v>12.91</v>
      </c>
      <c r="R81" s="6"/>
      <c r="S81" s="6"/>
      <c r="T81" s="156"/>
      <c r="U81" s="6"/>
    </row>
    <row r="82" spans="1:21" customFormat="1">
      <c r="A82" s="163" t="s">
        <v>2808</v>
      </c>
      <c r="B82" s="100">
        <v>6.15</v>
      </c>
      <c r="C82" s="100">
        <v>27.87</v>
      </c>
      <c r="D82" s="100">
        <v>20.84</v>
      </c>
      <c r="E82" s="100">
        <v>14.61</v>
      </c>
      <c r="F82" s="152" t="s">
        <v>15</v>
      </c>
      <c r="G82" s="100">
        <v>77.73</v>
      </c>
      <c r="H82" s="100">
        <v>35.32</v>
      </c>
      <c r="I82" s="100">
        <v>9.51</v>
      </c>
      <c r="J82" s="100">
        <v>0.21</v>
      </c>
      <c r="K82" s="100">
        <v>138.35</v>
      </c>
      <c r="L82" s="100">
        <v>28.55</v>
      </c>
      <c r="M82" s="100">
        <v>42.33</v>
      </c>
      <c r="N82" s="100">
        <v>2.2000000000000002</v>
      </c>
      <c r="O82" s="100">
        <v>0</v>
      </c>
      <c r="P82" s="100">
        <v>0.8</v>
      </c>
      <c r="Q82" s="100">
        <v>12.91</v>
      </c>
      <c r="R82" s="6"/>
      <c r="S82" s="6"/>
      <c r="T82" s="156"/>
      <c r="U82" s="6"/>
    </row>
    <row r="83" spans="1:21" customFormat="1">
      <c r="A83" s="163" t="s">
        <v>2809</v>
      </c>
      <c r="B83" s="100">
        <v>6.35</v>
      </c>
      <c r="C83" s="100">
        <v>27.86</v>
      </c>
      <c r="D83" s="100">
        <v>21</v>
      </c>
      <c r="E83" s="100">
        <v>15.63</v>
      </c>
      <c r="F83" s="152" t="s">
        <v>15</v>
      </c>
      <c r="G83" s="100">
        <v>80.3</v>
      </c>
      <c r="H83" s="100">
        <v>35.35</v>
      </c>
      <c r="I83" s="100">
        <v>9.64</v>
      </c>
      <c r="J83" s="100">
        <v>0.46</v>
      </c>
      <c r="K83" s="100">
        <v>60.85</v>
      </c>
      <c r="L83" s="100">
        <v>28.28</v>
      </c>
      <c r="M83" s="100">
        <v>38.83</v>
      </c>
      <c r="N83" s="100">
        <v>1.1000000000000001</v>
      </c>
      <c r="O83" s="100">
        <v>0</v>
      </c>
      <c r="P83" s="100">
        <v>0.83</v>
      </c>
      <c r="Q83" s="100">
        <v>12.92</v>
      </c>
      <c r="R83" s="6"/>
      <c r="S83" s="6"/>
      <c r="T83" s="156"/>
      <c r="U83" s="6"/>
    </row>
    <row r="84" spans="1:21" customFormat="1">
      <c r="A84" s="163" t="s">
        <v>2810</v>
      </c>
      <c r="B84" s="100">
        <v>6.58</v>
      </c>
      <c r="C84" s="100">
        <v>27.82</v>
      </c>
      <c r="D84" s="100">
        <v>21.16</v>
      </c>
      <c r="E84" s="100">
        <v>15.53</v>
      </c>
      <c r="F84" s="152" t="s">
        <v>15</v>
      </c>
      <c r="G84" s="100">
        <v>80.3</v>
      </c>
      <c r="H84" s="100">
        <v>35.35</v>
      </c>
      <c r="I84" s="100">
        <v>9.65</v>
      </c>
      <c r="J84" s="100">
        <v>0.52</v>
      </c>
      <c r="K84" s="100">
        <v>65.75</v>
      </c>
      <c r="L84" s="100">
        <v>28.4</v>
      </c>
      <c r="M84" s="100">
        <v>37.659999999999997</v>
      </c>
      <c r="N84" s="100">
        <v>1.1000000000000001</v>
      </c>
      <c r="O84" s="100">
        <v>0</v>
      </c>
      <c r="P84" s="100">
        <v>0.84</v>
      </c>
      <c r="Q84" s="100">
        <v>12.93</v>
      </c>
      <c r="R84" s="6"/>
      <c r="S84" s="6"/>
      <c r="T84" s="156"/>
      <c r="U84" s="6"/>
    </row>
    <row r="85" spans="1:21" customFormat="1">
      <c r="A85" s="163" t="s">
        <v>2811</v>
      </c>
      <c r="B85" s="100">
        <v>6.87</v>
      </c>
      <c r="C85" s="100">
        <v>27.53</v>
      </c>
      <c r="D85" s="100">
        <v>21.25</v>
      </c>
      <c r="E85" s="100">
        <v>13.38</v>
      </c>
      <c r="F85" s="152" t="s">
        <v>15</v>
      </c>
      <c r="G85" s="100">
        <v>80.3</v>
      </c>
      <c r="H85" s="100">
        <v>35.35</v>
      </c>
      <c r="I85" s="100">
        <v>10.5</v>
      </c>
      <c r="J85" s="100">
        <v>0.19</v>
      </c>
      <c r="K85" s="100">
        <v>147.71</v>
      </c>
      <c r="L85" s="100">
        <v>27.3</v>
      </c>
      <c r="M85" s="100">
        <v>48.44</v>
      </c>
      <c r="N85" s="100">
        <v>2.1</v>
      </c>
      <c r="O85" s="100">
        <v>0</v>
      </c>
      <c r="P85" s="100">
        <v>0.83</v>
      </c>
      <c r="Q85" s="100">
        <v>12.94</v>
      </c>
      <c r="R85" s="6"/>
      <c r="S85" s="6"/>
      <c r="T85" s="156"/>
      <c r="U85" s="6"/>
    </row>
    <row r="86" spans="1:21" customFormat="1">
      <c r="A86" s="163" t="s">
        <v>2812</v>
      </c>
      <c r="B86" s="100">
        <v>7.07</v>
      </c>
      <c r="C86" s="100">
        <v>27.31</v>
      </c>
      <c r="D86" s="100">
        <v>21.29</v>
      </c>
      <c r="E86" s="100">
        <v>11.43</v>
      </c>
      <c r="F86" s="152" t="s">
        <v>15</v>
      </c>
      <c r="G86" s="100">
        <v>89.97</v>
      </c>
      <c r="H86" s="100">
        <v>34.64</v>
      </c>
      <c r="I86" s="100">
        <v>11.27</v>
      </c>
      <c r="J86" s="100">
        <v>0.25</v>
      </c>
      <c r="K86" s="100">
        <v>160.21</v>
      </c>
      <c r="L86" s="100">
        <v>26.41</v>
      </c>
      <c r="M86" s="100">
        <v>49.91</v>
      </c>
      <c r="N86" s="100">
        <v>1.8</v>
      </c>
      <c r="O86" s="100">
        <v>0</v>
      </c>
      <c r="P86" s="100">
        <v>0.84</v>
      </c>
      <c r="Q86" s="100">
        <v>12.92</v>
      </c>
      <c r="R86" s="6"/>
      <c r="S86" s="6"/>
      <c r="T86" s="156"/>
      <c r="U86" s="6"/>
    </row>
    <row r="87" spans="1:21" customFormat="1">
      <c r="A87" s="163" t="s">
        <v>2813</v>
      </c>
      <c r="B87" s="100">
        <v>7.23</v>
      </c>
      <c r="C87" s="100">
        <v>27.24</v>
      </c>
      <c r="D87" s="100">
        <v>21.38</v>
      </c>
      <c r="E87" s="100">
        <v>11.36</v>
      </c>
      <c r="F87" s="152" t="s">
        <v>15</v>
      </c>
      <c r="G87" s="100">
        <v>93.49</v>
      </c>
      <c r="H87" s="100">
        <v>34.630000000000003</v>
      </c>
      <c r="I87" s="100">
        <v>10.91</v>
      </c>
      <c r="J87" s="100">
        <v>0.27</v>
      </c>
      <c r="K87" s="100">
        <v>233.35</v>
      </c>
      <c r="L87" s="100">
        <v>25.46</v>
      </c>
      <c r="M87" s="100">
        <v>52.79</v>
      </c>
      <c r="N87" s="100">
        <v>2</v>
      </c>
      <c r="O87" s="100">
        <v>0</v>
      </c>
      <c r="P87" s="100">
        <v>0.85</v>
      </c>
      <c r="Q87" s="100">
        <v>12.92</v>
      </c>
      <c r="R87" s="6"/>
      <c r="S87" s="6"/>
      <c r="T87" s="156"/>
      <c r="U87" s="6"/>
    </row>
    <row r="88" spans="1:21" customFormat="1">
      <c r="A88" s="163" t="s">
        <v>2814</v>
      </c>
      <c r="B88" s="100">
        <v>7.47</v>
      </c>
      <c r="C88" s="100">
        <v>26.71</v>
      </c>
      <c r="D88" s="100">
        <v>21.3</v>
      </c>
      <c r="E88" s="100">
        <v>10.85</v>
      </c>
      <c r="F88" s="152" t="s">
        <v>15</v>
      </c>
      <c r="G88" s="100">
        <v>93.49</v>
      </c>
      <c r="H88" s="100">
        <v>34.630000000000003</v>
      </c>
      <c r="I88" s="100">
        <v>10.66</v>
      </c>
      <c r="J88" s="100">
        <v>0.23</v>
      </c>
      <c r="K88" s="100">
        <v>181.52</v>
      </c>
      <c r="L88" s="100">
        <v>24.97</v>
      </c>
      <c r="M88" s="100">
        <v>55</v>
      </c>
      <c r="N88" s="100">
        <v>1.7</v>
      </c>
      <c r="O88" s="100">
        <v>0</v>
      </c>
      <c r="P88" s="100">
        <v>0.87</v>
      </c>
      <c r="Q88" s="100">
        <v>12.91</v>
      </c>
      <c r="R88" s="6"/>
      <c r="S88" s="6"/>
      <c r="T88" s="156"/>
      <c r="U88" s="6"/>
    </row>
    <row r="89" spans="1:21" customFormat="1">
      <c r="A89" s="163" t="s">
        <v>2815</v>
      </c>
      <c r="B89" s="100">
        <v>7.57</v>
      </c>
      <c r="C89" s="100">
        <v>26.3</v>
      </c>
      <c r="D89" s="100">
        <v>21.16</v>
      </c>
      <c r="E89" s="100">
        <v>10.56</v>
      </c>
      <c r="F89" s="152" t="s">
        <v>15</v>
      </c>
      <c r="G89" s="100">
        <v>93.49</v>
      </c>
      <c r="H89" s="100">
        <v>34.630000000000003</v>
      </c>
      <c r="I89" s="100">
        <v>10.84</v>
      </c>
      <c r="J89" s="100">
        <v>0.23</v>
      </c>
      <c r="K89" s="100">
        <v>173.21</v>
      </c>
      <c r="L89" s="100">
        <v>24.55</v>
      </c>
      <c r="M89" s="100">
        <v>55.46</v>
      </c>
      <c r="N89" s="100">
        <v>1.2</v>
      </c>
      <c r="O89" s="100">
        <v>0</v>
      </c>
      <c r="P89" s="100">
        <v>0.87</v>
      </c>
      <c r="Q89" s="100">
        <v>12.9</v>
      </c>
      <c r="R89" s="6"/>
      <c r="S89" s="6"/>
      <c r="T89" s="156"/>
      <c r="U89" s="6"/>
    </row>
    <row r="90" spans="1:21" customFormat="1">
      <c r="A90" s="163" t="s">
        <v>2816</v>
      </c>
      <c r="B90" s="100">
        <v>7.68</v>
      </c>
      <c r="C90" s="100">
        <v>25.91</v>
      </c>
      <c r="D90" s="100">
        <v>21.04</v>
      </c>
      <c r="E90" s="100">
        <v>9.9700000000000006</v>
      </c>
      <c r="F90" s="152" t="s">
        <v>15</v>
      </c>
      <c r="G90" s="100">
        <v>102.73</v>
      </c>
      <c r="H90" s="100">
        <v>35.61</v>
      </c>
      <c r="I90" s="100">
        <v>10.94</v>
      </c>
      <c r="J90" s="100">
        <v>0.19</v>
      </c>
      <c r="K90" s="100">
        <v>205.05</v>
      </c>
      <c r="L90" s="100">
        <v>24.25</v>
      </c>
      <c r="M90" s="100">
        <v>57.82</v>
      </c>
      <c r="N90" s="100">
        <v>1.5</v>
      </c>
      <c r="O90" s="100">
        <v>0</v>
      </c>
      <c r="P90" s="100">
        <v>0.86</v>
      </c>
      <c r="Q90" s="100">
        <v>12.91</v>
      </c>
      <c r="R90" s="6"/>
      <c r="S90" s="6"/>
      <c r="T90" s="156"/>
      <c r="U90" s="6"/>
    </row>
    <row r="91" spans="1:21" customFormat="1">
      <c r="A91" s="163" t="s">
        <v>2817</v>
      </c>
      <c r="B91" s="100">
        <v>7.63</v>
      </c>
      <c r="C91" s="100">
        <v>25.4</v>
      </c>
      <c r="D91" s="100">
        <v>20.74</v>
      </c>
      <c r="E91" s="100">
        <v>10.82</v>
      </c>
      <c r="F91" s="152" t="s">
        <v>15</v>
      </c>
      <c r="G91" s="100">
        <v>106.09</v>
      </c>
      <c r="H91" s="100">
        <v>35.619999999999997</v>
      </c>
      <c r="I91" s="100">
        <v>10.96</v>
      </c>
      <c r="J91" s="100">
        <v>0.19</v>
      </c>
      <c r="K91" s="100">
        <v>166.46</v>
      </c>
      <c r="L91" s="100">
        <v>24.18</v>
      </c>
      <c r="M91" s="100">
        <v>57.46</v>
      </c>
      <c r="N91" s="100">
        <v>1.1000000000000001</v>
      </c>
      <c r="O91" s="100">
        <v>0</v>
      </c>
      <c r="P91" s="100">
        <v>0.81</v>
      </c>
      <c r="Q91" s="100">
        <v>12.92</v>
      </c>
      <c r="R91" s="6"/>
      <c r="S91" s="6"/>
      <c r="T91" s="156"/>
      <c r="U91" s="6"/>
    </row>
    <row r="92" spans="1:21" customFormat="1">
      <c r="A92" s="163" t="s">
        <v>2818</v>
      </c>
      <c r="B92" s="100">
        <v>7.42</v>
      </c>
      <c r="C92" s="100">
        <v>25.63</v>
      </c>
      <c r="D92" s="100">
        <v>20.69</v>
      </c>
      <c r="E92" s="100">
        <v>10.45</v>
      </c>
      <c r="F92" s="152" t="s">
        <v>15</v>
      </c>
      <c r="G92" s="100">
        <v>106.09</v>
      </c>
      <c r="H92" s="100">
        <v>35.619999999999997</v>
      </c>
      <c r="I92" s="100">
        <v>10.98</v>
      </c>
      <c r="J92" s="100">
        <v>0.23</v>
      </c>
      <c r="K92" s="100">
        <v>199.15</v>
      </c>
      <c r="L92" s="100">
        <v>23.95</v>
      </c>
      <c r="M92" s="100">
        <v>61.64</v>
      </c>
      <c r="N92" s="100">
        <v>1.3</v>
      </c>
      <c r="O92" s="100">
        <v>0</v>
      </c>
      <c r="P92" s="100">
        <v>0.81</v>
      </c>
      <c r="Q92" s="100">
        <v>12.92</v>
      </c>
      <c r="R92" s="6"/>
      <c r="S92" s="6"/>
      <c r="T92" s="156"/>
      <c r="U92" s="6"/>
    </row>
    <row r="93" spans="1:21" customFormat="1">
      <c r="A93" s="163" t="s">
        <v>2819</v>
      </c>
      <c r="B93" s="100">
        <v>7.35</v>
      </c>
      <c r="C93" s="100">
        <v>25.83</v>
      </c>
      <c r="D93" s="100">
        <v>20.75</v>
      </c>
      <c r="E93" s="100">
        <v>9.9</v>
      </c>
      <c r="F93" s="152" t="s">
        <v>15</v>
      </c>
      <c r="G93" s="100">
        <v>106.09</v>
      </c>
      <c r="H93" s="100">
        <v>35.619999999999997</v>
      </c>
      <c r="I93" s="100">
        <v>11.03</v>
      </c>
      <c r="J93" s="100">
        <v>0.2</v>
      </c>
      <c r="K93" s="100">
        <v>175.49</v>
      </c>
      <c r="L93" s="100">
        <v>23.52</v>
      </c>
      <c r="M93" s="100">
        <v>61.27</v>
      </c>
      <c r="N93" s="100">
        <v>1.2</v>
      </c>
      <c r="O93" s="100">
        <v>0</v>
      </c>
      <c r="P93" s="100">
        <v>0.81</v>
      </c>
      <c r="Q93" s="100">
        <v>12.94</v>
      </c>
      <c r="R93" s="6"/>
      <c r="S93" s="6"/>
      <c r="T93" s="156"/>
      <c r="U93" s="6"/>
    </row>
    <row r="94" spans="1:21" customFormat="1">
      <c r="A94" s="163" t="s">
        <v>2820</v>
      </c>
      <c r="B94" s="100">
        <v>7.31</v>
      </c>
      <c r="C94" s="100">
        <v>25.89</v>
      </c>
      <c r="D94" s="100">
        <v>20.74</v>
      </c>
      <c r="E94" s="100">
        <v>10.35</v>
      </c>
      <c r="F94" s="152" t="s">
        <v>15</v>
      </c>
      <c r="G94" s="100">
        <v>107.21</v>
      </c>
      <c r="H94" s="100">
        <v>35.03</v>
      </c>
      <c r="I94" s="100">
        <v>11.08</v>
      </c>
      <c r="J94" s="100">
        <v>0.23</v>
      </c>
      <c r="K94" s="100">
        <v>181.23</v>
      </c>
      <c r="L94" s="100">
        <v>23.4</v>
      </c>
      <c r="M94" s="100">
        <v>64.37</v>
      </c>
      <c r="N94" s="100">
        <v>1.2</v>
      </c>
      <c r="O94" s="100">
        <v>0</v>
      </c>
      <c r="P94" s="100">
        <v>0.83</v>
      </c>
      <c r="Q94" s="100">
        <v>12.93</v>
      </c>
      <c r="R94" s="6"/>
      <c r="S94" s="6"/>
      <c r="T94" s="156"/>
      <c r="U94" s="6"/>
    </row>
    <row r="95" spans="1:21" customFormat="1">
      <c r="A95" s="163" t="s">
        <v>2821</v>
      </c>
      <c r="B95" s="100">
        <v>7.38</v>
      </c>
      <c r="C95" s="100">
        <v>25.81</v>
      </c>
      <c r="D95" s="100">
        <v>20.75</v>
      </c>
      <c r="E95" s="100">
        <v>10.25</v>
      </c>
      <c r="F95" s="152" t="s">
        <v>15</v>
      </c>
      <c r="G95" s="100">
        <v>107.61</v>
      </c>
      <c r="H95" s="100">
        <v>35.020000000000003</v>
      </c>
      <c r="I95" s="100">
        <v>11.15</v>
      </c>
      <c r="J95" s="100">
        <v>0.24</v>
      </c>
      <c r="K95" s="100">
        <v>170.26</v>
      </c>
      <c r="L95" s="100">
        <v>23.18</v>
      </c>
      <c r="M95" s="100">
        <v>65.55</v>
      </c>
      <c r="N95" s="100">
        <v>1.2</v>
      </c>
      <c r="O95" s="100">
        <v>0</v>
      </c>
      <c r="P95" s="100">
        <v>0.83</v>
      </c>
      <c r="Q95" s="100">
        <v>12.93</v>
      </c>
      <c r="R95" s="6"/>
      <c r="S95" s="6"/>
      <c r="T95" s="156"/>
      <c r="U95" s="6"/>
    </row>
    <row r="96" spans="1:21" customFormat="1">
      <c r="A96" s="163" t="s">
        <v>2822</v>
      </c>
      <c r="B96" s="100">
        <v>7.4</v>
      </c>
      <c r="C96" s="100">
        <v>25.71</v>
      </c>
      <c r="D96" s="100">
        <v>20.72</v>
      </c>
      <c r="E96" s="100">
        <v>10.5</v>
      </c>
      <c r="F96" s="152" t="s">
        <v>15</v>
      </c>
      <c r="G96" s="100">
        <v>107.61</v>
      </c>
      <c r="H96" s="100">
        <v>35.020000000000003</v>
      </c>
      <c r="I96" s="100">
        <v>11.27</v>
      </c>
      <c r="J96" s="100">
        <v>0.21</v>
      </c>
      <c r="K96" s="100">
        <v>204.52</v>
      </c>
      <c r="L96" s="100">
        <v>22.81</v>
      </c>
      <c r="M96" s="100">
        <v>64.03</v>
      </c>
      <c r="N96" s="100">
        <v>1.4</v>
      </c>
      <c r="O96" s="100">
        <v>0</v>
      </c>
      <c r="P96" s="100">
        <v>0.84</v>
      </c>
      <c r="Q96" s="100">
        <v>12.93</v>
      </c>
      <c r="R96" s="6"/>
      <c r="S96" s="6"/>
      <c r="T96" s="156"/>
      <c r="U96" s="6"/>
    </row>
    <row r="97" spans="1:28" customFormat="1">
      <c r="A97" s="163" t="s">
        <v>2823</v>
      </c>
      <c r="B97" s="100">
        <v>7.32</v>
      </c>
      <c r="C97" s="100">
        <v>25.73</v>
      </c>
      <c r="D97" s="100">
        <v>20.66</v>
      </c>
      <c r="E97" s="100">
        <v>10.49</v>
      </c>
      <c r="F97" s="152" t="s">
        <v>15</v>
      </c>
      <c r="G97" s="100">
        <v>107.61</v>
      </c>
      <c r="H97" s="100">
        <v>35.020000000000003</v>
      </c>
      <c r="I97" s="100">
        <v>11.42</v>
      </c>
      <c r="J97" s="100">
        <v>0.19</v>
      </c>
      <c r="K97" s="100">
        <v>186.97</v>
      </c>
      <c r="L97" s="100">
        <v>22.78</v>
      </c>
      <c r="M97" s="100">
        <v>64.22</v>
      </c>
      <c r="N97" s="100">
        <v>1.2</v>
      </c>
      <c r="O97" s="100">
        <v>0</v>
      </c>
      <c r="P97" s="100">
        <v>0.85</v>
      </c>
      <c r="Q97" s="100">
        <v>12.93</v>
      </c>
      <c r="R97" s="6"/>
      <c r="S97" s="6"/>
      <c r="T97" s="156"/>
      <c r="U97" s="6"/>
    </row>
    <row r="98" spans="1:28" customFormat="1">
      <c r="A98" s="163" t="s">
        <v>2824</v>
      </c>
      <c r="B98" s="100">
        <v>7.2</v>
      </c>
      <c r="C98" s="100">
        <v>25.46</v>
      </c>
      <c r="D98" s="100">
        <v>20.43</v>
      </c>
      <c r="E98" s="100">
        <v>10.18</v>
      </c>
      <c r="F98" s="152" t="s">
        <v>15</v>
      </c>
      <c r="G98" s="100">
        <v>102.21</v>
      </c>
      <c r="H98" s="100">
        <v>30.59</v>
      </c>
      <c r="I98" s="100">
        <v>11.51</v>
      </c>
      <c r="J98" s="100">
        <v>0.2</v>
      </c>
      <c r="K98" s="100">
        <v>179.71</v>
      </c>
      <c r="L98" s="100">
        <v>22.69</v>
      </c>
      <c r="M98" s="100">
        <v>62.92</v>
      </c>
      <c r="N98" s="100">
        <v>1.1000000000000001</v>
      </c>
      <c r="O98" s="100">
        <v>0</v>
      </c>
      <c r="P98" s="100">
        <v>0.86</v>
      </c>
      <c r="Q98" s="100">
        <v>12.94</v>
      </c>
      <c r="R98" s="6"/>
      <c r="S98" s="6"/>
      <c r="T98" s="156"/>
      <c r="U98" s="6"/>
    </row>
    <row r="99" spans="1:28" customFormat="1">
      <c r="A99" s="163" t="s">
        <v>2825</v>
      </c>
      <c r="B99" s="100">
        <v>7.12</v>
      </c>
      <c r="C99" s="100">
        <v>25.2</v>
      </c>
      <c r="D99" s="100">
        <v>20.22</v>
      </c>
      <c r="E99" s="100">
        <v>10.67</v>
      </c>
      <c r="F99" s="152" t="s">
        <v>15</v>
      </c>
      <c r="G99" s="100">
        <v>100.25</v>
      </c>
      <c r="H99" s="100">
        <v>30.53</v>
      </c>
      <c r="I99" s="100">
        <v>11.55</v>
      </c>
      <c r="J99" s="100">
        <v>0.22</v>
      </c>
      <c r="K99" s="100">
        <v>180.46</v>
      </c>
      <c r="L99" s="100">
        <v>22.44</v>
      </c>
      <c r="M99" s="100">
        <v>66.64</v>
      </c>
      <c r="N99" s="100">
        <v>1.3</v>
      </c>
      <c r="O99" s="100">
        <v>0</v>
      </c>
      <c r="P99" s="100">
        <v>0.86</v>
      </c>
      <c r="Q99" s="100">
        <v>12.93</v>
      </c>
      <c r="R99" s="6"/>
      <c r="S99" s="6"/>
      <c r="T99" s="156"/>
      <c r="U99" s="6"/>
    </row>
    <row r="100" spans="1:28" customFormat="1">
      <c r="A100" s="163" t="s">
        <v>2826</v>
      </c>
      <c r="B100" s="100">
        <v>7.1</v>
      </c>
      <c r="C100" s="100">
        <v>25.11</v>
      </c>
      <c r="D100" s="100">
        <v>20.170000000000002</v>
      </c>
      <c r="E100" s="100">
        <v>10.199999999999999</v>
      </c>
      <c r="F100" s="152" t="s">
        <v>15</v>
      </c>
      <c r="G100" s="100">
        <v>100.25</v>
      </c>
      <c r="H100" s="100">
        <v>30.53</v>
      </c>
      <c r="I100" s="100">
        <v>11.67</v>
      </c>
      <c r="J100" s="100">
        <v>0.2</v>
      </c>
      <c r="K100" s="100">
        <v>176.79</v>
      </c>
      <c r="L100" s="100">
        <v>22.17</v>
      </c>
      <c r="M100" s="100">
        <v>68.16</v>
      </c>
      <c r="N100" s="100">
        <v>1.1000000000000001</v>
      </c>
      <c r="O100" s="100">
        <v>0</v>
      </c>
      <c r="P100" s="100">
        <v>0.86</v>
      </c>
      <c r="Q100" s="100">
        <v>12.93</v>
      </c>
      <c r="R100" s="6"/>
      <c r="S100" s="6"/>
      <c r="T100" s="156"/>
      <c r="U100" s="6"/>
      <c r="AB100" s="161"/>
    </row>
    <row r="101" spans="1:28" customFormat="1">
      <c r="A101" s="163" t="s">
        <v>2827</v>
      </c>
      <c r="B101" s="100">
        <v>7.13</v>
      </c>
      <c r="C101" s="100">
        <v>25.05</v>
      </c>
      <c r="D101" s="100">
        <v>20.149999999999999</v>
      </c>
      <c r="E101" s="100">
        <v>10.14</v>
      </c>
      <c r="F101" s="152" t="s">
        <v>15</v>
      </c>
      <c r="G101" s="100">
        <v>100.25</v>
      </c>
      <c r="H101" s="100">
        <v>30.53</v>
      </c>
      <c r="I101" s="100">
        <v>11.82</v>
      </c>
      <c r="J101" s="100">
        <v>0.25</v>
      </c>
      <c r="K101" s="100">
        <v>162.6</v>
      </c>
      <c r="L101" s="100">
        <v>22.05</v>
      </c>
      <c r="M101" s="100">
        <v>68.91</v>
      </c>
      <c r="N101" s="100">
        <v>1.2</v>
      </c>
      <c r="O101" s="100">
        <v>0</v>
      </c>
      <c r="P101" s="100">
        <v>0.86</v>
      </c>
      <c r="Q101" s="100">
        <v>12.91</v>
      </c>
      <c r="R101" s="6"/>
      <c r="S101" s="6"/>
      <c r="T101" s="156"/>
      <c r="U101" s="6"/>
    </row>
    <row r="102" spans="1:28" customFormat="1">
      <c r="A102" s="163" t="s">
        <v>2828</v>
      </c>
      <c r="B102" s="100">
        <v>7.2</v>
      </c>
      <c r="C102" s="100">
        <v>24.86</v>
      </c>
      <c r="D102" s="100">
        <v>20.11</v>
      </c>
      <c r="E102" s="100">
        <v>10.41</v>
      </c>
      <c r="F102" s="152" t="s">
        <v>15</v>
      </c>
      <c r="G102" s="100">
        <v>105.79</v>
      </c>
      <c r="H102" s="100">
        <v>31.97</v>
      </c>
      <c r="I102" s="100">
        <v>11.89</v>
      </c>
      <c r="J102" s="100">
        <v>0.2</v>
      </c>
      <c r="K102" s="100">
        <v>174.45</v>
      </c>
      <c r="L102" s="100">
        <v>21.89</v>
      </c>
      <c r="M102" s="100">
        <v>67.709999999999994</v>
      </c>
      <c r="N102" s="100">
        <v>1.2</v>
      </c>
      <c r="O102" s="100">
        <v>0</v>
      </c>
      <c r="P102" s="100">
        <v>0.86</v>
      </c>
      <c r="Q102" s="100">
        <v>12.91</v>
      </c>
      <c r="R102" s="6"/>
      <c r="S102" s="6"/>
      <c r="T102" s="156"/>
      <c r="U102" s="6"/>
    </row>
    <row r="103" spans="1:28" customFormat="1">
      <c r="A103" s="163" t="s">
        <v>2829</v>
      </c>
      <c r="B103" s="100">
        <v>7.22</v>
      </c>
      <c r="C103" s="100">
        <v>24.64</v>
      </c>
      <c r="D103" s="100">
        <v>20.010000000000002</v>
      </c>
      <c r="E103" s="100">
        <v>10.65</v>
      </c>
      <c r="F103" s="152" t="s">
        <v>15</v>
      </c>
      <c r="G103" s="100">
        <v>107.8</v>
      </c>
      <c r="H103" s="100">
        <v>31.99</v>
      </c>
      <c r="I103" s="100">
        <v>11.93</v>
      </c>
      <c r="J103" s="100">
        <v>0.19</v>
      </c>
      <c r="K103" s="100">
        <v>174.01</v>
      </c>
      <c r="L103" s="100">
        <v>21.86</v>
      </c>
      <c r="M103" s="100">
        <v>63.8</v>
      </c>
      <c r="N103" s="100">
        <v>1</v>
      </c>
      <c r="O103" s="100">
        <v>0</v>
      </c>
      <c r="P103" s="100">
        <v>0.86</v>
      </c>
      <c r="Q103" s="100">
        <v>12.91</v>
      </c>
      <c r="R103" s="6"/>
      <c r="S103" s="6"/>
      <c r="T103" s="156"/>
      <c r="U103" s="6"/>
    </row>
    <row r="104" spans="1:28" customFormat="1">
      <c r="A104" s="163" t="s">
        <v>2830</v>
      </c>
      <c r="B104" s="100">
        <v>7.08</v>
      </c>
      <c r="C104" s="100">
        <v>24.57</v>
      </c>
      <c r="D104" s="100">
        <v>19.87</v>
      </c>
      <c r="E104" s="100">
        <v>10.59</v>
      </c>
      <c r="F104" s="152" t="s">
        <v>15</v>
      </c>
      <c r="G104" s="100">
        <v>107.8</v>
      </c>
      <c r="H104" s="100">
        <v>31.99</v>
      </c>
      <c r="I104" s="100">
        <v>11.92</v>
      </c>
      <c r="J104" s="100">
        <v>0.15</v>
      </c>
      <c r="K104" s="100">
        <v>200.21</v>
      </c>
      <c r="L104" s="100">
        <v>21.82</v>
      </c>
      <c r="M104" s="100">
        <v>64.27</v>
      </c>
      <c r="N104" s="100">
        <v>1.1000000000000001</v>
      </c>
      <c r="O104" s="100">
        <v>0</v>
      </c>
      <c r="P104" s="100">
        <v>0.85</v>
      </c>
      <c r="Q104" s="100">
        <v>12.93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3.77</v>
      </c>
      <c r="C106" s="158">
        <f>MIN(C9:C104)</f>
        <v>21.03</v>
      </c>
      <c r="D106" s="158">
        <f t="shared" ref="D106:Q106" si="0">MIN(D9:D104)</f>
        <v>16.66</v>
      </c>
      <c r="E106" s="158">
        <f t="shared" si="0"/>
        <v>8.2899999999999991</v>
      </c>
      <c r="F106" s="158">
        <f t="shared" si="0"/>
        <v>0</v>
      </c>
      <c r="G106" s="158">
        <f t="shared" si="0"/>
        <v>66.95</v>
      </c>
      <c r="H106" s="158">
        <f t="shared" si="0"/>
        <v>17.420000000000002</v>
      </c>
      <c r="I106" s="158">
        <f t="shared" si="0"/>
        <v>8.91</v>
      </c>
      <c r="J106" s="158">
        <f t="shared" si="0"/>
        <v>0.03</v>
      </c>
      <c r="K106" s="158">
        <f t="shared" si="0"/>
        <v>4.47</v>
      </c>
      <c r="L106" s="158">
        <f t="shared" si="0"/>
        <v>17.940000000000001</v>
      </c>
      <c r="M106" s="158">
        <f t="shared" si="0"/>
        <v>27.2</v>
      </c>
      <c r="N106" s="158">
        <f t="shared" si="0"/>
        <v>0</v>
      </c>
      <c r="O106" s="158">
        <f t="shared" si="0"/>
        <v>0</v>
      </c>
      <c r="P106" s="158">
        <f t="shared" si="0"/>
        <v>0.71</v>
      </c>
      <c r="Q106" s="158">
        <f t="shared" si="0"/>
        <v>12.89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43.65</v>
      </c>
      <c r="C107" s="157">
        <f t="shared" ref="C107:Q107" si="1">MAX(C9:C104)</f>
        <v>32.409999999999997</v>
      </c>
      <c r="D107" s="157">
        <f t="shared" si="1"/>
        <v>50.39</v>
      </c>
      <c r="E107" s="157">
        <f t="shared" si="1"/>
        <v>44.16</v>
      </c>
      <c r="F107" s="157">
        <f t="shared" si="1"/>
        <v>0</v>
      </c>
      <c r="G107" s="157">
        <f t="shared" si="1"/>
        <v>137.72</v>
      </c>
      <c r="H107" s="157">
        <f t="shared" si="1"/>
        <v>40.85</v>
      </c>
      <c r="I107" s="157">
        <f t="shared" si="1"/>
        <v>17.16</v>
      </c>
      <c r="J107" s="157">
        <f t="shared" si="1"/>
        <v>1.1499999999999999</v>
      </c>
      <c r="K107" s="157">
        <f t="shared" si="1"/>
        <v>324.25</v>
      </c>
      <c r="L107" s="157">
        <f t="shared" si="1"/>
        <v>33.4</v>
      </c>
      <c r="M107" s="157">
        <f t="shared" si="1"/>
        <v>79.5</v>
      </c>
      <c r="N107" s="157">
        <f t="shared" si="1"/>
        <v>335.9</v>
      </c>
      <c r="O107" s="157">
        <f t="shared" si="1"/>
        <v>0</v>
      </c>
      <c r="P107" s="157">
        <f t="shared" si="1"/>
        <v>1.28</v>
      </c>
      <c r="Q107" s="157">
        <f t="shared" si="1"/>
        <v>14.58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15.995937500000005</v>
      </c>
      <c r="C108" s="158">
        <f t="shared" ref="C108:Q108" si="2">AVERAGE(C9:C104)</f>
        <v>25.836354166666663</v>
      </c>
      <c r="D108" s="158">
        <f t="shared" si="2"/>
        <v>27.677083333333339</v>
      </c>
      <c r="E108" s="158">
        <f t="shared" si="2"/>
        <v>13.8221875</v>
      </c>
      <c r="F108" s="158" t="e">
        <f t="shared" si="2"/>
        <v>#DIV/0!</v>
      </c>
      <c r="G108" s="158">
        <f t="shared" si="2"/>
        <v>99.183020833333273</v>
      </c>
      <c r="H108" s="158">
        <f t="shared" si="2"/>
        <v>32.228541666666672</v>
      </c>
      <c r="I108" s="158">
        <f t="shared" si="2"/>
        <v>12.597187500000002</v>
      </c>
      <c r="J108" s="158">
        <f t="shared" si="2"/>
        <v>0.39729166666666677</v>
      </c>
      <c r="K108" s="158">
        <f t="shared" si="2"/>
        <v>176.00937499999995</v>
      </c>
      <c r="L108" s="158">
        <f t="shared" si="2"/>
        <v>25.470624999999995</v>
      </c>
      <c r="M108" s="158">
        <f t="shared" si="2"/>
        <v>49.935937500000016</v>
      </c>
      <c r="N108" s="158">
        <f t="shared" si="2"/>
        <v>85.529166666666711</v>
      </c>
      <c r="O108" s="158">
        <f t="shared" si="2"/>
        <v>0</v>
      </c>
      <c r="P108" s="158">
        <f t="shared" si="2"/>
        <v>0.90916666666666668</v>
      </c>
      <c r="Q108" s="158">
        <f t="shared" si="2"/>
        <v>13.783437500000014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13.210722405692403</v>
      </c>
      <c r="C109" s="158">
        <f t="shared" ref="C109:Q109" si="3">STDEV(C9:C104)</f>
        <v>2.2374817234380484</v>
      </c>
      <c r="D109" s="158">
        <f t="shared" si="3"/>
        <v>10.709714716006467</v>
      </c>
      <c r="E109" s="158">
        <f t="shared" si="3"/>
        <v>7.6088152758044805</v>
      </c>
      <c r="F109" s="158" t="e">
        <f t="shared" si="3"/>
        <v>#DIV/0!</v>
      </c>
      <c r="G109" s="158">
        <f t="shared" si="3"/>
        <v>19.934434324333083</v>
      </c>
      <c r="H109" s="158">
        <f t="shared" si="3"/>
        <v>6.989475242582011</v>
      </c>
      <c r="I109" s="158">
        <f t="shared" si="3"/>
        <v>2.4639086206248453</v>
      </c>
      <c r="J109" s="158">
        <f t="shared" si="3"/>
        <v>0.28166975499189295</v>
      </c>
      <c r="K109" s="158">
        <f t="shared" si="3"/>
        <v>85.922029425857531</v>
      </c>
      <c r="L109" s="158">
        <f t="shared" si="3"/>
        <v>5.2608099861643618</v>
      </c>
      <c r="M109" s="158">
        <f t="shared" si="3"/>
        <v>17.386657048506088</v>
      </c>
      <c r="N109" s="158">
        <f t="shared" si="3"/>
        <v>124.14297098754334</v>
      </c>
      <c r="O109" s="158">
        <f t="shared" si="3"/>
        <v>0</v>
      </c>
      <c r="P109" s="158">
        <f t="shared" si="3"/>
        <v>0.15974760794958284</v>
      </c>
      <c r="Q109" s="158">
        <f t="shared" si="3"/>
        <v>0.83488143264714365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L17" sqref="L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2831</v>
      </c>
      <c r="B9" s="100">
        <v>10.16</v>
      </c>
      <c r="C9" s="100">
        <v>25.67</v>
      </c>
      <c r="D9" s="100">
        <v>22.91</v>
      </c>
      <c r="E9" s="100">
        <v>11.28</v>
      </c>
      <c r="F9" s="152" t="s">
        <v>15</v>
      </c>
      <c r="G9" s="100">
        <v>89.53</v>
      </c>
      <c r="H9" s="100">
        <v>26.38</v>
      </c>
      <c r="I9" s="100">
        <v>11.52</v>
      </c>
      <c r="J9" s="100">
        <v>0.09</v>
      </c>
      <c r="K9" s="100">
        <v>94.97</v>
      </c>
      <c r="L9" s="100">
        <v>23.86</v>
      </c>
      <c r="M9" s="100">
        <v>54.71</v>
      </c>
      <c r="N9" s="100">
        <v>1.2</v>
      </c>
      <c r="O9" s="100">
        <v>0</v>
      </c>
      <c r="P9" s="100">
        <v>0.9</v>
      </c>
      <c r="Q9" s="100">
        <v>12.96</v>
      </c>
      <c r="R9" s="6"/>
      <c r="S9" s="6"/>
      <c r="T9" s="156"/>
      <c r="U9" s="6"/>
    </row>
    <row r="10" spans="1:21" customFormat="1">
      <c r="A10" s="163" t="s">
        <v>2832</v>
      </c>
      <c r="B10" s="100">
        <v>10.42</v>
      </c>
      <c r="C10" s="100">
        <v>26.32</v>
      </c>
      <c r="D10" s="100">
        <v>23.46</v>
      </c>
      <c r="E10" s="100">
        <v>11.03</v>
      </c>
      <c r="F10" s="152" t="s">
        <v>15</v>
      </c>
      <c r="G10" s="100">
        <v>102.25</v>
      </c>
      <c r="H10" s="100">
        <v>35.299999999999997</v>
      </c>
      <c r="I10" s="100">
        <v>11.72</v>
      </c>
      <c r="J10" s="100">
        <v>0.08</v>
      </c>
      <c r="K10" s="100">
        <v>133.61000000000001</v>
      </c>
      <c r="L10" s="100">
        <v>22.84</v>
      </c>
      <c r="M10" s="100">
        <v>60.18</v>
      </c>
      <c r="N10" s="100">
        <v>1.8</v>
      </c>
      <c r="O10" s="100">
        <v>0</v>
      </c>
      <c r="P10" s="100">
        <v>0.91</v>
      </c>
      <c r="Q10" s="100">
        <v>12.98</v>
      </c>
      <c r="R10" s="6"/>
      <c r="S10" s="6"/>
      <c r="T10" s="156"/>
      <c r="U10" s="6"/>
    </row>
    <row r="11" spans="1:21" customFormat="1">
      <c r="A11" s="163" t="s">
        <v>2833</v>
      </c>
      <c r="B11" s="100">
        <v>11.09</v>
      </c>
      <c r="C11" s="100">
        <v>27.03</v>
      </c>
      <c r="D11" s="100">
        <v>24.36</v>
      </c>
      <c r="E11" s="100">
        <v>10.84</v>
      </c>
      <c r="F11" s="152" t="s">
        <v>15</v>
      </c>
      <c r="G11" s="100">
        <v>106.88</v>
      </c>
      <c r="H11" s="100">
        <v>35.44</v>
      </c>
      <c r="I11" s="100">
        <v>11.85</v>
      </c>
      <c r="J11" s="100">
        <v>0.33</v>
      </c>
      <c r="K11" s="100">
        <v>83.5</v>
      </c>
      <c r="L11" s="100">
        <v>23.2</v>
      </c>
      <c r="M11" s="100">
        <v>56.69</v>
      </c>
      <c r="N11" s="100">
        <v>0.8</v>
      </c>
      <c r="O11" s="100">
        <v>0</v>
      </c>
      <c r="P11" s="100">
        <v>0.92</v>
      </c>
      <c r="Q11" s="100">
        <v>12.97</v>
      </c>
      <c r="R11" s="6"/>
      <c r="S11" s="6"/>
      <c r="T11" s="156"/>
      <c r="U11" s="6"/>
    </row>
    <row r="12" spans="1:21" customFormat="1">
      <c r="A12" s="163" t="s">
        <v>2834</v>
      </c>
      <c r="B12" s="100">
        <v>12.16</v>
      </c>
      <c r="C12" s="100">
        <v>27.86</v>
      </c>
      <c r="D12" s="100">
        <v>25.66</v>
      </c>
      <c r="E12" s="100">
        <v>11.05</v>
      </c>
      <c r="F12" s="152" t="s">
        <v>15</v>
      </c>
      <c r="G12" s="100">
        <v>106.88</v>
      </c>
      <c r="H12" s="100">
        <v>35.44</v>
      </c>
      <c r="I12" s="100">
        <v>11.96</v>
      </c>
      <c r="J12" s="100">
        <v>0.28000000000000003</v>
      </c>
      <c r="K12" s="100">
        <v>184.61</v>
      </c>
      <c r="L12" s="100">
        <v>22.45</v>
      </c>
      <c r="M12" s="100">
        <v>63.58</v>
      </c>
      <c r="N12" s="100">
        <v>1.9</v>
      </c>
      <c r="O12" s="100">
        <v>0</v>
      </c>
      <c r="P12" s="100">
        <v>0.93</v>
      </c>
      <c r="Q12" s="100">
        <v>12.99</v>
      </c>
      <c r="R12" s="6"/>
      <c r="S12" s="6"/>
      <c r="T12" s="156"/>
      <c r="U12" s="6"/>
    </row>
    <row r="13" spans="1:21" customFormat="1">
      <c r="A13" s="163" t="s">
        <v>2835</v>
      </c>
      <c r="B13" s="100">
        <v>12.48</v>
      </c>
      <c r="C13" s="100">
        <v>28.21</v>
      </c>
      <c r="D13" s="100">
        <v>26.1</v>
      </c>
      <c r="E13" s="100">
        <v>11.18</v>
      </c>
      <c r="F13" s="152" t="s">
        <v>15</v>
      </c>
      <c r="G13" s="100">
        <v>106.88</v>
      </c>
      <c r="H13" s="100">
        <v>35.44</v>
      </c>
      <c r="I13" s="100">
        <v>12.17</v>
      </c>
      <c r="J13" s="100">
        <v>0.21</v>
      </c>
      <c r="K13" s="100">
        <v>163.54</v>
      </c>
      <c r="L13" s="100">
        <v>21.67</v>
      </c>
      <c r="M13" s="100">
        <v>66.459999999999994</v>
      </c>
      <c r="N13" s="100">
        <v>1.5</v>
      </c>
      <c r="O13" s="100">
        <v>0</v>
      </c>
      <c r="P13" s="100">
        <v>0.94</v>
      </c>
      <c r="Q13" s="100">
        <v>12.99</v>
      </c>
      <c r="R13" s="6"/>
      <c r="S13" s="6"/>
      <c r="T13" s="156"/>
      <c r="U13" s="6"/>
    </row>
    <row r="14" spans="1:21" customFormat="1">
      <c r="A14" s="163" t="s">
        <v>2836</v>
      </c>
      <c r="B14" s="100">
        <v>12.38</v>
      </c>
      <c r="C14" s="100">
        <v>28.19</v>
      </c>
      <c r="D14" s="100">
        <v>26.01</v>
      </c>
      <c r="E14" s="100">
        <v>11.18</v>
      </c>
      <c r="F14" s="152" t="s">
        <v>15</v>
      </c>
      <c r="G14" s="100">
        <v>113.17</v>
      </c>
      <c r="H14" s="100">
        <v>35.28</v>
      </c>
      <c r="I14" s="100">
        <v>12.37</v>
      </c>
      <c r="J14" s="100">
        <v>0.15</v>
      </c>
      <c r="K14" s="100">
        <v>226.79</v>
      </c>
      <c r="L14" s="100">
        <v>21.29</v>
      </c>
      <c r="M14" s="100">
        <v>68.55</v>
      </c>
      <c r="N14" s="100">
        <v>1.4</v>
      </c>
      <c r="O14" s="100">
        <v>0</v>
      </c>
      <c r="P14" s="100">
        <v>0.95</v>
      </c>
      <c r="Q14" s="100">
        <v>12.99</v>
      </c>
      <c r="R14" s="6"/>
      <c r="S14" s="6"/>
      <c r="T14" s="156"/>
      <c r="U14" s="6"/>
    </row>
    <row r="15" spans="1:21" customFormat="1">
      <c r="A15" s="163" t="s">
        <v>2837</v>
      </c>
      <c r="B15" s="100">
        <v>12.67</v>
      </c>
      <c r="C15" s="100">
        <v>28.13</v>
      </c>
      <c r="D15" s="100">
        <v>26.21</v>
      </c>
      <c r="E15" s="100">
        <v>10.84</v>
      </c>
      <c r="F15" s="152" t="s">
        <v>15</v>
      </c>
      <c r="G15" s="100">
        <v>115.46</v>
      </c>
      <c r="H15" s="100">
        <v>35.28</v>
      </c>
      <c r="I15" s="100">
        <v>12.47</v>
      </c>
      <c r="J15" s="100">
        <v>7.0000000000000007E-2</v>
      </c>
      <c r="K15" s="100">
        <v>142.25</v>
      </c>
      <c r="L15" s="100">
        <v>21.34</v>
      </c>
      <c r="M15" s="100">
        <v>66.62</v>
      </c>
      <c r="N15" s="100">
        <v>1.1000000000000001</v>
      </c>
      <c r="O15" s="100">
        <v>0</v>
      </c>
      <c r="P15" s="100">
        <v>0.96</v>
      </c>
      <c r="Q15" s="100">
        <v>12.99</v>
      </c>
      <c r="R15" s="6"/>
      <c r="S15" s="6"/>
      <c r="T15" s="156"/>
      <c r="U15" s="6"/>
    </row>
    <row r="16" spans="1:21" customFormat="1">
      <c r="A16" s="163" t="s">
        <v>2838</v>
      </c>
      <c r="B16" s="100">
        <v>13.21</v>
      </c>
      <c r="C16" s="100">
        <v>28.24</v>
      </c>
      <c r="D16" s="100">
        <v>26.7</v>
      </c>
      <c r="E16" s="100">
        <v>10.75</v>
      </c>
      <c r="F16" s="152" t="s">
        <v>15</v>
      </c>
      <c r="G16" s="100">
        <v>115.46</v>
      </c>
      <c r="H16" s="100">
        <v>35.28</v>
      </c>
      <c r="I16" s="100">
        <v>12.56</v>
      </c>
      <c r="J16" s="100">
        <v>0.26</v>
      </c>
      <c r="K16" s="100">
        <v>198.74</v>
      </c>
      <c r="L16" s="100">
        <v>21.43</v>
      </c>
      <c r="M16" s="100">
        <v>67.83</v>
      </c>
      <c r="N16" s="100">
        <v>1.1000000000000001</v>
      </c>
      <c r="O16" s="100">
        <v>0</v>
      </c>
      <c r="P16" s="100">
        <v>0.97</v>
      </c>
      <c r="Q16" s="100">
        <v>13</v>
      </c>
      <c r="R16" s="6"/>
      <c r="S16" s="6"/>
      <c r="T16" s="156"/>
      <c r="U16" s="6"/>
    </row>
    <row r="17" spans="1:21" customFormat="1">
      <c r="A17" s="163" t="s">
        <v>2839</v>
      </c>
      <c r="B17" s="100">
        <v>13.44</v>
      </c>
      <c r="C17" s="100">
        <v>28.33</v>
      </c>
      <c r="D17" s="100">
        <v>26.93</v>
      </c>
      <c r="E17" s="100">
        <v>9.1</v>
      </c>
      <c r="F17" s="152" t="s">
        <v>15</v>
      </c>
      <c r="G17" s="100">
        <v>115.46</v>
      </c>
      <c r="H17" s="100">
        <v>35.28</v>
      </c>
      <c r="I17" s="100">
        <v>12.65</v>
      </c>
      <c r="J17" s="100">
        <v>0.08</v>
      </c>
      <c r="K17" s="100">
        <v>218.1</v>
      </c>
      <c r="L17" s="100">
        <v>21.06</v>
      </c>
      <c r="M17" s="100">
        <v>68.53</v>
      </c>
      <c r="N17" s="100">
        <v>1.3</v>
      </c>
      <c r="O17" s="100">
        <v>0</v>
      </c>
      <c r="P17" s="100">
        <v>0.98</v>
      </c>
      <c r="Q17" s="100">
        <v>13</v>
      </c>
      <c r="R17" s="6"/>
      <c r="S17" s="6"/>
      <c r="T17" s="156"/>
      <c r="U17" s="6"/>
    </row>
    <row r="18" spans="1:21" customFormat="1">
      <c r="A18" s="163" t="s">
        <v>2840</v>
      </c>
      <c r="B18" s="100">
        <v>13.89</v>
      </c>
      <c r="C18" s="100">
        <v>28.62</v>
      </c>
      <c r="D18" s="100">
        <v>27.44</v>
      </c>
      <c r="E18" s="100">
        <v>10.65</v>
      </c>
      <c r="F18" s="152" t="s">
        <v>15</v>
      </c>
      <c r="G18" s="100">
        <v>108.31</v>
      </c>
      <c r="H18" s="100">
        <v>35.42</v>
      </c>
      <c r="I18" s="100">
        <v>12.74</v>
      </c>
      <c r="J18" s="100">
        <v>0.21</v>
      </c>
      <c r="K18" s="100">
        <v>103.22</v>
      </c>
      <c r="L18" s="100">
        <v>21.52</v>
      </c>
      <c r="M18" s="100">
        <v>66.16</v>
      </c>
      <c r="N18" s="100">
        <v>0.8</v>
      </c>
      <c r="O18" s="100">
        <v>0</v>
      </c>
      <c r="P18" s="100">
        <v>0.99</v>
      </c>
      <c r="Q18" s="100">
        <v>13</v>
      </c>
      <c r="R18" s="6"/>
      <c r="S18" s="6"/>
      <c r="T18" s="156"/>
      <c r="U18" s="6"/>
    </row>
    <row r="19" spans="1:21" customFormat="1">
      <c r="A19" s="163" t="s">
        <v>2841</v>
      </c>
      <c r="B19" s="100">
        <v>14.82</v>
      </c>
      <c r="C19" s="100">
        <v>28.84</v>
      </c>
      <c r="D19" s="100">
        <v>28.3</v>
      </c>
      <c r="E19" s="100">
        <v>11.03</v>
      </c>
      <c r="F19" s="152" t="s">
        <v>15</v>
      </c>
      <c r="G19" s="100">
        <v>105.72</v>
      </c>
      <c r="H19" s="100">
        <v>35.42</v>
      </c>
      <c r="I19" s="100">
        <v>12.81</v>
      </c>
      <c r="J19" s="100">
        <v>0.01</v>
      </c>
      <c r="K19" s="100">
        <v>349.69</v>
      </c>
      <c r="L19" s="100">
        <v>21.15</v>
      </c>
      <c r="M19" s="100">
        <v>70.05</v>
      </c>
      <c r="N19" s="100">
        <v>1.4</v>
      </c>
      <c r="O19" s="100">
        <v>0</v>
      </c>
      <c r="P19" s="100">
        <v>1</v>
      </c>
      <c r="Q19" s="100">
        <v>13</v>
      </c>
      <c r="R19" s="6"/>
      <c r="S19" s="6"/>
      <c r="T19" s="156"/>
      <c r="U19" s="6"/>
    </row>
    <row r="20" spans="1:21" customFormat="1">
      <c r="A20" s="163" t="s">
        <v>2842</v>
      </c>
      <c r="B20" s="100">
        <v>15.34</v>
      </c>
      <c r="C20" s="100">
        <v>29.46</v>
      </c>
      <c r="D20" s="100">
        <v>29.05</v>
      </c>
      <c r="E20" s="100">
        <v>11.34</v>
      </c>
      <c r="F20" s="152" t="s">
        <v>15</v>
      </c>
      <c r="G20" s="100">
        <v>105.72</v>
      </c>
      <c r="H20" s="100">
        <v>35.42</v>
      </c>
      <c r="I20" s="100">
        <v>12.88</v>
      </c>
      <c r="J20" s="100">
        <v>0.49</v>
      </c>
      <c r="K20" s="100">
        <v>63.8</v>
      </c>
      <c r="L20" s="100">
        <v>21.83</v>
      </c>
      <c r="M20" s="100">
        <v>65.39</v>
      </c>
      <c r="N20" s="100">
        <v>0.4</v>
      </c>
      <c r="O20" s="100">
        <v>0</v>
      </c>
      <c r="P20" s="100">
        <v>1.04</v>
      </c>
      <c r="Q20" s="100">
        <v>12.99</v>
      </c>
      <c r="R20" s="6"/>
      <c r="S20" s="6"/>
      <c r="T20" s="156"/>
      <c r="U20" s="6"/>
    </row>
    <row r="21" spans="1:21" customFormat="1">
      <c r="A21" s="163" t="s">
        <v>2843</v>
      </c>
      <c r="B21" s="100">
        <v>15.36</v>
      </c>
      <c r="C21" s="100">
        <v>29.15</v>
      </c>
      <c r="D21" s="100">
        <v>28.9</v>
      </c>
      <c r="E21" s="100">
        <v>11.29</v>
      </c>
      <c r="F21" s="152" t="s">
        <v>15</v>
      </c>
      <c r="G21" s="100">
        <v>105.72</v>
      </c>
      <c r="H21" s="100">
        <v>35.42</v>
      </c>
      <c r="I21" s="100">
        <v>12.93</v>
      </c>
      <c r="J21" s="100">
        <v>0.62</v>
      </c>
      <c r="K21" s="100">
        <v>46.6</v>
      </c>
      <c r="L21" s="100">
        <v>22.25</v>
      </c>
      <c r="M21" s="100">
        <v>65.25</v>
      </c>
      <c r="N21" s="100">
        <v>0.7</v>
      </c>
      <c r="O21" s="100">
        <v>0</v>
      </c>
      <c r="P21" s="100">
        <v>1.06</v>
      </c>
      <c r="Q21" s="100">
        <v>13</v>
      </c>
      <c r="R21" s="6"/>
      <c r="S21" s="6"/>
      <c r="T21" s="156"/>
      <c r="U21" s="6"/>
    </row>
    <row r="22" spans="1:21" customFormat="1">
      <c r="A22" s="163" t="s">
        <v>2844</v>
      </c>
      <c r="B22" s="100">
        <v>15.26</v>
      </c>
      <c r="C22" s="100">
        <v>28.88</v>
      </c>
      <c r="D22" s="100">
        <v>28.67</v>
      </c>
      <c r="E22" s="100">
        <v>11.28</v>
      </c>
      <c r="F22" s="152" t="s">
        <v>15</v>
      </c>
      <c r="G22" s="100">
        <v>101.14</v>
      </c>
      <c r="H22" s="100">
        <v>25.94</v>
      </c>
      <c r="I22" s="100">
        <v>12.92</v>
      </c>
      <c r="J22" s="100">
        <v>0.28999999999999998</v>
      </c>
      <c r="K22" s="100">
        <v>70.95</v>
      </c>
      <c r="L22" s="100">
        <v>22.11</v>
      </c>
      <c r="M22" s="100">
        <v>66.260000000000005</v>
      </c>
      <c r="N22" s="100">
        <v>1.4</v>
      </c>
      <c r="O22" s="100">
        <v>0</v>
      </c>
      <c r="P22" s="100">
        <v>1.05</v>
      </c>
      <c r="Q22" s="100">
        <v>12.99</v>
      </c>
      <c r="R22" s="6"/>
      <c r="S22" s="6"/>
      <c r="T22" s="156"/>
      <c r="U22" s="6"/>
    </row>
    <row r="23" spans="1:21" customFormat="1">
      <c r="A23" s="163" t="s">
        <v>2845</v>
      </c>
      <c r="B23" s="100">
        <v>14.78</v>
      </c>
      <c r="C23" s="100">
        <v>28.48</v>
      </c>
      <c r="D23" s="100">
        <v>28.08</v>
      </c>
      <c r="E23" s="100">
        <v>10.95</v>
      </c>
      <c r="F23" s="152" t="s">
        <v>15</v>
      </c>
      <c r="G23" s="100">
        <v>99.47</v>
      </c>
      <c r="H23" s="100">
        <v>25.7</v>
      </c>
      <c r="I23" s="100">
        <v>12.86</v>
      </c>
      <c r="J23" s="100">
        <v>0.19</v>
      </c>
      <c r="K23" s="100">
        <v>224.59</v>
      </c>
      <c r="L23" s="100">
        <v>21.63</v>
      </c>
      <c r="M23" s="100">
        <v>69.75</v>
      </c>
      <c r="N23" s="100">
        <v>1.7</v>
      </c>
      <c r="O23" s="100">
        <v>0</v>
      </c>
      <c r="P23" s="100">
        <v>1.04</v>
      </c>
      <c r="Q23" s="100">
        <v>12.97</v>
      </c>
      <c r="R23" s="6"/>
      <c r="S23" s="6"/>
      <c r="T23" s="156"/>
      <c r="U23" s="6"/>
    </row>
    <row r="24" spans="1:21" customFormat="1">
      <c r="A24" s="163" t="s">
        <v>2846</v>
      </c>
      <c r="B24" s="100">
        <v>14.42</v>
      </c>
      <c r="C24" s="100">
        <v>27.99</v>
      </c>
      <c r="D24" s="100">
        <v>27.54</v>
      </c>
      <c r="E24" s="100">
        <v>10.98</v>
      </c>
      <c r="F24" s="152" t="s">
        <v>15</v>
      </c>
      <c r="G24" s="100">
        <v>99.47</v>
      </c>
      <c r="H24" s="100">
        <v>25.7</v>
      </c>
      <c r="I24" s="100">
        <v>12.75</v>
      </c>
      <c r="J24" s="100">
        <v>0.05</v>
      </c>
      <c r="K24" s="100">
        <v>117.92</v>
      </c>
      <c r="L24" s="100">
        <v>21.23</v>
      </c>
      <c r="M24" s="100">
        <v>71.91</v>
      </c>
      <c r="N24" s="100">
        <v>1.6</v>
      </c>
      <c r="O24" s="100">
        <v>0</v>
      </c>
      <c r="P24" s="100">
        <v>1.03</v>
      </c>
      <c r="Q24" s="100">
        <v>12.99</v>
      </c>
      <c r="R24" s="6"/>
      <c r="S24" s="6"/>
      <c r="T24" s="156"/>
      <c r="U24" s="6"/>
    </row>
    <row r="25" spans="1:21" customFormat="1">
      <c r="A25" s="163" t="s">
        <v>2847</v>
      </c>
      <c r="B25" s="100">
        <v>14.28</v>
      </c>
      <c r="C25" s="100">
        <v>27.76</v>
      </c>
      <c r="D25" s="100">
        <v>27.31</v>
      </c>
      <c r="E25" s="100">
        <v>10.62</v>
      </c>
      <c r="F25" s="152" t="s">
        <v>15</v>
      </c>
      <c r="G25" s="100">
        <v>99.47</v>
      </c>
      <c r="H25" s="100">
        <v>25.7</v>
      </c>
      <c r="I25" s="100">
        <v>12.62</v>
      </c>
      <c r="J25" s="100">
        <v>0.17</v>
      </c>
      <c r="K25" s="100">
        <v>49.78</v>
      </c>
      <c r="L25" s="100">
        <v>21.06</v>
      </c>
      <c r="M25" s="100">
        <v>72.58</v>
      </c>
      <c r="N25" s="100">
        <v>1.3</v>
      </c>
      <c r="O25" s="100">
        <v>0</v>
      </c>
      <c r="P25" s="100">
        <v>1.02</v>
      </c>
      <c r="Q25" s="100">
        <v>12.99</v>
      </c>
      <c r="R25" s="6"/>
      <c r="S25" s="6"/>
      <c r="T25" s="156"/>
      <c r="U25" s="6"/>
    </row>
    <row r="26" spans="1:21" customFormat="1">
      <c r="A26" s="163" t="s">
        <v>2848</v>
      </c>
      <c r="B26" s="100">
        <v>14.48</v>
      </c>
      <c r="C26" s="100">
        <v>27.79</v>
      </c>
      <c r="D26" s="100">
        <v>27.48</v>
      </c>
      <c r="E26" s="100">
        <v>10.91</v>
      </c>
      <c r="F26" s="152" t="s">
        <v>15</v>
      </c>
      <c r="G26" s="100">
        <v>86.3</v>
      </c>
      <c r="H26" s="100">
        <v>22.16</v>
      </c>
      <c r="I26" s="100">
        <v>12.49</v>
      </c>
      <c r="J26" s="100">
        <v>0.16</v>
      </c>
      <c r="K26" s="100">
        <v>115.31</v>
      </c>
      <c r="L26" s="100">
        <v>21.38</v>
      </c>
      <c r="M26" s="100">
        <v>70.599999999999994</v>
      </c>
      <c r="N26" s="100">
        <v>1.2</v>
      </c>
      <c r="O26" s="100">
        <v>0</v>
      </c>
      <c r="P26" s="100">
        <v>1.01</v>
      </c>
      <c r="Q26" s="100">
        <v>12.99</v>
      </c>
      <c r="R26" s="6"/>
      <c r="S26" s="6"/>
      <c r="T26" s="156"/>
      <c r="U26" s="6"/>
    </row>
    <row r="27" spans="1:21" customFormat="1">
      <c r="A27" s="163" t="s">
        <v>2849</v>
      </c>
      <c r="B27" s="100">
        <v>14.51</v>
      </c>
      <c r="C27" s="100">
        <v>27.83</v>
      </c>
      <c r="D27" s="100">
        <v>27.53</v>
      </c>
      <c r="E27" s="100">
        <v>10.54</v>
      </c>
      <c r="F27" s="152" t="s">
        <v>15</v>
      </c>
      <c r="G27" s="100">
        <v>81.510000000000005</v>
      </c>
      <c r="H27" s="100">
        <v>22.1</v>
      </c>
      <c r="I27" s="100">
        <v>12.35</v>
      </c>
      <c r="J27" s="100">
        <v>0.12</v>
      </c>
      <c r="K27" s="100">
        <v>205.99</v>
      </c>
      <c r="L27" s="100">
        <v>20.87</v>
      </c>
      <c r="M27" s="100">
        <v>75.42</v>
      </c>
      <c r="N27" s="100">
        <v>1.6</v>
      </c>
      <c r="O27" s="100">
        <v>0</v>
      </c>
      <c r="P27" s="100">
        <v>1</v>
      </c>
      <c r="Q27" s="100">
        <v>12.99</v>
      </c>
      <c r="R27" s="6"/>
      <c r="S27" s="6"/>
      <c r="T27" s="156"/>
      <c r="U27" s="6"/>
    </row>
    <row r="28" spans="1:21" customFormat="1">
      <c r="A28" s="163" t="s">
        <v>2850</v>
      </c>
      <c r="B28" s="100">
        <v>14.61</v>
      </c>
      <c r="C28" s="100">
        <v>27.38</v>
      </c>
      <c r="D28" s="100">
        <v>27.38</v>
      </c>
      <c r="E28" s="100">
        <v>10.49</v>
      </c>
      <c r="F28" s="152" t="s">
        <v>15</v>
      </c>
      <c r="G28" s="100">
        <v>81.510000000000005</v>
      </c>
      <c r="H28" s="100">
        <v>22.1</v>
      </c>
      <c r="I28" s="100">
        <v>12.22</v>
      </c>
      <c r="J28" s="100">
        <v>0.15</v>
      </c>
      <c r="K28" s="100">
        <v>4.08</v>
      </c>
      <c r="L28" s="100">
        <v>21.03</v>
      </c>
      <c r="M28" s="100">
        <v>72.72</v>
      </c>
      <c r="N28" s="100">
        <v>0.8</v>
      </c>
      <c r="O28" s="100">
        <v>0</v>
      </c>
      <c r="P28" s="100">
        <v>1</v>
      </c>
      <c r="Q28" s="100">
        <v>12.98</v>
      </c>
      <c r="R28" s="6"/>
      <c r="S28" s="6"/>
      <c r="T28" s="156"/>
      <c r="U28" s="6"/>
    </row>
    <row r="29" spans="1:21" customFormat="1">
      <c r="A29" s="163" t="s">
        <v>2851</v>
      </c>
      <c r="B29" s="100">
        <v>14.83</v>
      </c>
      <c r="C29" s="100">
        <v>27.16</v>
      </c>
      <c r="D29" s="100">
        <v>27.44</v>
      </c>
      <c r="E29" s="100">
        <v>10.25</v>
      </c>
      <c r="F29" s="152" t="s">
        <v>15</v>
      </c>
      <c r="G29" s="100">
        <v>81.510000000000005</v>
      </c>
      <c r="H29" s="100">
        <v>22.1</v>
      </c>
      <c r="I29" s="100">
        <v>12.08</v>
      </c>
      <c r="J29" s="100">
        <v>0.14000000000000001</v>
      </c>
      <c r="K29" s="100">
        <v>72.16</v>
      </c>
      <c r="L29" s="100">
        <v>21.13</v>
      </c>
      <c r="M29" s="100">
        <v>71.900000000000006</v>
      </c>
      <c r="N29" s="100">
        <v>1.1000000000000001</v>
      </c>
      <c r="O29" s="100">
        <v>0</v>
      </c>
      <c r="P29" s="100">
        <v>0.99</v>
      </c>
      <c r="Q29" s="100">
        <v>12.99</v>
      </c>
      <c r="R29" s="6"/>
      <c r="S29" s="6"/>
      <c r="T29" s="156"/>
      <c r="U29" s="6"/>
    </row>
    <row r="30" spans="1:21" customFormat="1">
      <c r="A30" s="163" t="s">
        <v>2852</v>
      </c>
      <c r="B30" s="100">
        <v>14.99</v>
      </c>
      <c r="C30" s="100">
        <v>27.23</v>
      </c>
      <c r="D30" s="100">
        <v>27.59</v>
      </c>
      <c r="E30" s="100">
        <v>10.64</v>
      </c>
      <c r="F30" s="152" t="s">
        <v>15</v>
      </c>
      <c r="G30" s="100">
        <v>87.59</v>
      </c>
      <c r="H30" s="100">
        <v>34.07</v>
      </c>
      <c r="I30" s="100">
        <v>11.98</v>
      </c>
      <c r="J30" s="100">
        <v>0.25</v>
      </c>
      <c r="K30" s="100">
        <v>29.31</v>
      </c>
      <c r="L30" s="100">
        <v>20.97</v>
      </c>
      <c r="M30" s="100">
        <v>73.180000000000007</v>
      </c>
      <c r="N30" s="100">
        <v>1.2</v>
      </c>
      <c r="O30" s="100">
        <v>0</v>
      </c>
      <c r="P30" s="100">
        <v>0.98</v>
      </c>
      <c r="Q30" s="100">
        <v>12.99</v>
      </c>
      <c r="R30" s="6"/>
      <c r="S30" s="6"/>
      <c r="T30" s="156"/>
      <c r="U30" s="6"/>
    </row>
    <row r="31" spans="1:21" customFormat="1">
      <c r="A31" s="163" t="s">
        <v>2853</v>
      </c>
      <c r="B31" s="100">
        <v>15.14</v>
      </c>
      <c r="C31" s="100">
        <v>27.16</v>
      </c>
      <c r="D31" s="100">
        <v>27.68</v>
      </c>
      <c r="E31" s="100">
        <v>10.17</v>
      </c>
      <c r="F31" s="152" t="s">
        <v>15</v>
      </c>
      <c r="G31" s="100">
        <v>89.8</v>
      </c>
      <c r="H31" s="100">
        <v>34.25</v>
      </c>
      <c r="I31" s="100">
        <v>11.92</v>
      </c>
      <c r="J31" s="100">
        <v>0.2</v>
      </c>
      <c r="K31" s="100">
        <v>43.94</v>
      </c>
      <c r="L31" s="100">
        <v>21.02</v>
      </c>
      <c r="M31" s="100">
        <v>73.38</v>
      </c>
      <c r="N31" s="100">
        <v>1.2</v>
      </c>
      <c r="O31" s="100">
        <v>0</v>
      </c>
      <c r="P31" s="100">
        <v>0.98</v>
      </c>
      <c r="Q31" s="100">
        <v>12.98</v>
      </c>
      <c r="R31" s="6"/>
      <c r="S31" s="6"/>
      <c r="T31" s="156"/>
      <c r="U31" s="6"/>
    </row>
    <row r="32" spans="1:21" customFormat="1">
      <c r="A32" s="163" t="s">
        <v>2854</v>
      </c>
      <c r="B32" s="100">
        <v>15.23</v>
      </c>
      <c r="C32" s="100">
        <v>26.75</v>
      </c>
      <c r="D32" s="100">
        <v>27.54</v>
      </c>
      <c r="E32" s="100">
        <v>10.37</v>
      </c>
      <c r="F32" s="152" t="s">
        <v>15</v>
      </c>
      <c r="G32" s="100">
        <v>89.8</v>
      </c>
      <c r="H32" s="100">
        <v>34.25</v>
      </c>
      <c r="I32" s="100">
        <v>11.84</v>
      </c>
      <c r="J32" s="100">
        <v>0.33</v>
      </c>
      <c r="K32" s="100">
        <v>39</v>
      </c>
      <c r="L32" s="100">
        <v>20.72</v>
      </c>
      <c r="M32" s="100">
        <v>75.33</v>
      </c>
      <c r="N32" s="100">
        <v>1.4</v>
      </c>
      <c r="O32" s="100">
        <v>0</v>
      </c>
      <c r="P32" s="100">
        <v>0.98</v>
      </c>
      <c r="Q32" s="100">
        <v>12.98</v>
      </c>
      <c r="R32" s="6"/>
      <c r="S32" s="6"/>
      <c r="T32" s="156"/>
      <c r="U32" s="6"/>
    </row>
    <row r="33" spans="1:21" customFormat="1">
      <c r="A33" s="163" t="s">
        <v>2855</v>
      </c>
      <c r="B33" s="100">
        <v>15.31</v>
      </c>
      <c r="C33" s="100">
        <v>26.61</v>
      </c>
      <c r="D33" s="100">
        <v>27.53</v>
      </c>
      <c r="E33" s="100">
        <v>10.02</v>
      </c>
      <c r="F33" s="152" t="s">
        <v>15</v>
      </c>
      <c r="G33" s="100">
        <v>89.8</v>
      </c>
      <c r="H33" s="100">
        <v>34.25</v>
      </c>
      <c r="I33" s="100">
        <v>11.78</v>
      </c>
      <c r="J33" s="100">
        <v>0.09</v>
      </c>
      <c r="K33" s="100">
        <v>17.04</v>
      </c>
      <c r="L33" s="100">
        <v>20.75</v>
      </c>
      <c r="M33" s="100">
        <v>75.7</v>
      </c>
      <c r="N33" s="100">
        <v>1.3</v>
      </c>
      <c r="O33" s="100">
        <v>0</v>
      </c>
      <c r="P33" s="100">
        <v>0.99</v>
      </c>
      <c r="Q33" s="100">
        <v>12.96</v>
      </c>
      <c r="R33" s="6"/>
      <c r="S33" s="6"/>
      <c r="T33" s="156"/>
      <c r="U33" s="6"/>
    </row>
    <row r="34" spans="1:21" customFormat="1">
      <c r="A34" s="163" t="s">
        <v>2856</v>
      </c>
      <c r="B34" s="100">
        <v>15.35</v>
      </c>
      <c r="C34" s="100">
        <v>26.6</v>
      </c>
      <c r="D34" s="100">
        <v>27.56</v>
      </c>
      <c r="E34" s="100">
        <v>10.35</v>
      </c>
      <c r="F34" s="152" t="s">
        <v>15</v>
      </c>
      <c r="G34" s="100">
        <v>96.18</v>
      </c>
      <c r="H34" s="100">
        <v>32.520000000000003</v>
      </c>
      <c r="I34" s="100">
        <v>11.77</v>
      </c>
      <c r="J34" s="100">
        <v>0.51</v>
      </c>
      <c r="K34" s="100">
        <v>29.6</v>
      </c>
      <c r="L34" s="100">
        <v>20.72</v>
      </c>
      <c r="M34" s="100">
        <v>76.77</v>
      </c>
      <c r="N34" s="100">
        <v>2.2000000000000002</v>
      </c>
      <c r="O34" s="100">
        <v>0</v>
      </c>
      <c r="P34" s="100">
        <v>1</v>
      </c>
      <c r="Q34" s="100">
        <v>12.98</v>
      </c>
      <c r="R34" s="6"/>
      <c r="S34" s="6"/>
      <c r="T34" s="156"/>
      <c r="U34" s="6"/>
    </row>
    <row r="35" spans="1:21" customFormat="1">
      <c r="A35" s="163" t="s">
        <v>2857</v>
      </c>
      <c r="B35" s="100">
        <v>15.64</v>
      </c>
      <c r="C35" s="100">
        <v>26.44</v>
      </c>
      <c r="D35" s="100">
        <v>27.7</v>
      </c>
      <c r="E35" s="100">
        <v>10.96</v>
      </c>
      <c r="F35" s="152" t="s">
        <v>15</v>
      </c>
      <c r="G35" s="100">
        <v>98.5</v>
      </c>
      <c r="H35" s="100">
        <v>32.49</v>
      </c>
      <c r="I35" s="100">
        <v>11.78</v>
      </c>
      <c r="J35" s="100">
        <v>0.38</v>
      </c>
      <c r="K35" s="100">
        <v>41.39</v>
      </c>
      <c r="L35" s="100">
        <v>20.72</v>
      </c>
      <c r="M35" s="100">
        <v>77.400000000000006</v>
      </c>
      <c r="N35" s="100">
        <v>5.9</v>
      </c>
      <c r="O35" s="100">
        <v>0</v>
      </c>
      <c r="P35" s="100">
        <v>1</v>
      </c>
      <c r="Q35" s="100">
        <v>12.97</v>
      </c>
      <c r="R35" s="6"/>
      <c r="S35" s="6"/>
      <c r="T35" s="156"/>
      <c r="U35" s="6"/>
    </row>
    <row r="36" spans="1:21" customFormat="1">
      <c r="A36" s="163" t="s">
        <v>2858</v>
      </c>
      <c r="B36" s="100">
        <v>16.07</v>
      </c>
      <c r="C36" s="100">
        <v>26.45</v>
      </c>
      <c r="D36" s="100">
        <v>28.06</v>
      </c>
      <c r="E36" s="100">
        <v>10.56</v>
      </c>
      <c r="F36" s="152" t="s">
        <v>15</v>
      </c>
      <c r="G36" s="100">
        <v>98.5</v>
      </c>
      <c r="H36" s="100">
        <v>32.49</v>
      </c>
      <c r="I36" s="100">
        <v>11.78</v>
      </c>
      <c r="J36" s="100">
        <v>0.56000000000000005</v>
      </c>
      <c r="K36" s="100">
        <v>44.5</v>
      </c>
      <c r="L36" s="100">
        <v>20.79</v>
      </c>
      <c r="M36" s="100">
        <v>77.36</v>
      </c>
      <c r="N36" s="100">
        <v>12</v>
      </c>
      <c r="O36" s="100">
        <v>0</v>
      </c>
      <c r="P36" s="100">
        <v>1.02</v>
      </c>
      <c r="Q36" s="100">
        <v>12.99</v>
      </c>
      <c r="R36" s="6"/>
      <c r="S36" s="6"/>
      <c r="T36" s="156"/>
      <c r="U36" s="6"/>
    </row>
    <row r="37" spans="1:21" customFormat="1">
      <c r="A37" s="163" t="s">
        <v>2859</v>
      </c>
      <c r="B37" s="100">
        <v>16.489999999999998</v>
      </c>
      <c r="C37" s="100">
        <v>26.36</v>
      </c>
      <c r="D37" s="100">
        <v>28.35</v>
      </c>
      <c r="E37" s="100">
        <v>10.5</v>
      </c>
      <c r="F37" s="152" t="s">
        <v>15</v>
      </c>
      <c r="G37" s="100">
        <v>98.5</v>
      </c>
      <c r="H37" s="100">
        <v>32.49</v>
      </c>
      <c r="I37" s="100">
        <v>11.81</v>
      </c>
      <c r="J37" s="100">
        <v>0.57999999999999996</v>
      </c>
      <c r="K37" s="100">
        <v>50.06</v>
      </c>
      <c r="L37" s="100">
        <v>20.91</v>
      </c>
      <c r="M37" s="100">
        <v>76.87</v>
      </c>
      <c r="N37" s="100">
        <v>19.8</v>
      </c>
      <c r="O37" s="100">
        <v>0</v>
      </c>
      <c r="P37" s="100">
        <v>1.02</v>
      </c>
      <c r="Q37" s="100">
        <v>12.99</v>
      </c>
      <c r="R37" s="6"/>
      <c r="S37" s="6"/>
      <c r="T37" s="156"/>
      <c r="U37" s="6"/>
    </row>
    <row r="38" spans="1:21" customFormat="1">
      <c r="A38" s="163" t="s">
        <v>2860</v>
      </c>
      <c r="B38" s="100">
        <v>16.670000000000002</v>
      </c>
      <c r="C38" s="100">
        <v>26.29</v>
      </c>
      <c r="D38" s="100">
        <v>28.46</v>
      </c>
      <c r="E38" s="100">
        <v>10.77</v>
      </c>
      <c r="F38" s="152" t="s">
        <v>15</v>
      </c>
      <c r="G38" s="100">
        <v>102.96</v>
      </c>
      <c r="H38" s="100">
        <v>32.79</v>
      </c>
      <c r="I38" s="100">
        <v>11.85</v>
      </c>
      <c r="J38" s="100">
        <v>0.96</v>
      </c>
      <c r="K38" s="100">
        <v>55.24</v>
      </c>
      <c r="L38" s="100">
        <v>21.18</v>
      </c>
      <c r="M38" s="100">
        <v>75.08</v>
      </c>
      <c r="N38" s="100">
        <v>28.6</v>
      </c>
      <c r="O38" s="100">
        <v>0</v>
      </c>
      <c r="P38" s="100">
        <v>1.02</v>
      </c>
      <c r="Q38" s="100">
        <v>12.99</v>
      </c>
      <c r="R38" s="6"/>
      <c r="S38" s="6"/>
      <c r="T38" s="156"/>
      <c r="U38" s="6"/>
    </row>
    <row r="39" spans="1:21" customFormat="1">
      <c r="A39" s="163" t="s">
        <v>2861</v>
      </c>
      <c r="B39" s="100">
        <v>16.82</v>
      </c>
      <c r="C39" s="100">
        <v>25.37</v>
      </c>
      <c r="D39" s="100">
        <v>28.09</v>
      </c>
      <c r="E39" s="100">
        <v>10.73</v>
      </c>
      <c r="F39" s="152" t="s">
        <v>15</v>
      </c>
      <c r="G39" s="100">
        <v>104.59</v>
      </c>
      <c r="H39" s="100">
        <v>32.799999999999997</v>
      </c>
      <c r="I39" s="100">
        <v>11.88</v>
      </c>
      <c r="J39" s="100">
        <v>1.1000000000000001</v>
      </c>
      <c r="K39" s="100">
        <v>50.51</v>
      </c>
      <c r="L39" s="100">
        <v>21.56</v>
      </c>
      <c r="M39" s="100">
        <v>73.59</v>
      </c>
      <c r="N39" s="100">
        <v>37.1</v>
      </c>
      <c r="O39" s="100">
        <v>0</v>
      </c>
      <c r="P39" s="100">
        <v>0.97</v>
      </c>
      <c r="Q39" s="100">
        <v>12.98</v>
      </c>
      <c r="R39" s="6"/>
      <c r="S39" s="6"/>
      <c r="T39" s="156"/>
      <c r="U39" s="6"/>
    </row>
    <row r="40" spans="1:21" customFormat="1">
      <c r="A40" s="163" t="s">
        <v>2862</v>
      </c>
      <c r="B40" s="100">
        <v>16.61</v>
      </c>
      <c r="C40" s="100">
        <v>25.44</v>
      </c>
      <c r="D40" s="100">
        <v>27.97</v>
      </c>
      <c r="E40" s="100">
        <v>10.7</v>
      </c>
      <c r="F40" s="152" t="s">
        <v>15</v>
      </c>
      <c r="G40" s="100">
        <v>104.59</v>
      </c>
      <c r="H40" s="100">
        <v>32.799999999999997</v>
      </c>
      <c r="I40" s="100">
        <v>11.89</v>
      </c>
      <c r="J40" s="100">
        <v>1.19</v>
      </c>
      <c r="K40" s="100">
        <v>51.74</v>
      </c>
      <c r="L40" s="100">
        <v>21.83</v>
      </c>
      <c r="M40" s="100">
        <v>72.72</v>
      </c>
      <c r="N40" s="100">
        <v>49.9</v>
      </c>
      <c r="O40" s="100">
        <v>0</v>
      </c>
      <c r="P40" s="100">
        <v>0.94</v>
      </c>
      <c r="Q40" s="100">
        <v>12.99</v>
      </c>
      <c r="R40" s="6"/>
      <c r="S40" s="6"/>
      <c r="T40" s="156"/>
      <c r="U40" s="6"/>
    </row>
    <row r="41" spans="1:21" customFormat="1">
      <c r="A41" s="163" t="s">
        <v>2863</v>
      </c>
      <c r="B41" s="100">
        <v>16.079999999999998</v>
      </c>
      <c r="C41" s="100">
        <v>25.63</v>
      </c>
      <c r="D41" s="100">
        <v>27.64</v>
      </c>
      <c r="E41" s="100">
        <v>10.35</v>
      </c>
      <c r="F41" s="152" t="s">
        <v>15</v>
      </c>
      <c r="G41" s="100">
        <v>104.59</v>
      </c>
      <c r="H41" s="100">
        <v>32.799999999999997</v>
      </c>
      <c r="I41" s="100">
        <v>11.82</v>
      </c>
      <c r="J41" s="100">
        <v>1.53</v>
      </c>
      <c r="K41" s="100">
        <v>51.27</v>
      </c>
      <c r="L41" s="100">
        <v>22.17</v>
      </c>
      <c r="M41" s="100">
        <v>71.69</v>
      </c>
      <c r="N41" s="100">
        <v>100.9</v>
      </c>
      <c r="O41" s="100">
        <v>0</v>
      </c>
      <c r="P41" s="100">
        <v>0.93</v>
      </c>
      <c r="Q41" s="100">
        <v>13</v>
      </c>
      <c r="R41" s="6"/>
      <c r="S41" s="6"/>
      <c r="T41" s="156"/>
      <c r="U41" s="6"/>
    </row>
    <row r="42" spans="1:21" customFormat="1">
      <c r="A42" s="163" t="s">
        <v>2864</v>
      </c>
      <c r="B42" s="100">
        <v>15.4</v>
      </c>
      <c r="C42" s="100">
        <v>25.77</v>
      </c>
      <c r="D42" s="100">
        <v>27.17</v>
      </c>
      <c r="E42" s="100">
        <v>10.7</v>
      </c>
      <c r="F42" s="152" t="s">
        <v>15</v>
      </c>
      <c r="G42" s="100">
        <v>100.39</v>
      </c>
      <c r="H42" s="100">
        <v>25.38</v>
      </c>
      <c r="I42" s="100">
        <v>11.72</v>
      </c>
      <c r="J42" s="100">
        <v>1.1000000000000001</v>
      </c>
      <c r="K42" s="100">
        <v>58.96</v>
      </c>
      <c r="L42" s="100">
        <v>23.05</v>
      </c>
      <c r="M42" s="100">
        <v>68.819999999999993</v>
      </c>
      <c r="N42" s="100">
        <v>127.2</v>
      </c>
      <c r="O42" s="100">
        <v>0</v>
      </c>
      <c r="P42" s="100">
        <v>0.93</v>
      </c>
      <c r="Q42" s="100">
        <v>12.97</v>
      </c>
      <c r="R42" s="6"/>
      <c r="S42" s="6"/>
      <c r="T42" s="156"/>
      <c r="U42" s="6"/>
    </row>
    <row r="43" spans="1:21" customFormat="1">
      <c r="A43" s="163" t="s">
        <v>2865</v>
      </c>
      <c r="B43" s="100">
        <v>14.55</v>
      </c>
      <c r="C43" s="100">
        <v>25.97</v>
      </c>
      <c r="D43" s="100">
        <v>26.59</v>
      </c>
      <c r="E43" s="100">
        <v>10.92</v>
      </c>
      <c r="F43" s="152" t="s">
        <v>15</v>
      </c>
      <c r="G43" s="100">
        <v>98.86</v>
      </c>
      <c r="H43" s="100">
        <v>25.27</v>
      </c>
      <c r="I43" s="100">
        <v>11.58</v>
      </c>
      <c r="J43" s="100">
        <v>1.1100000000000001</v>
      </c>
      <c r="K43" s="100">
        <v>55.34</v>
      </c>
      <c r="L43" s="100">
        <v>23.86</v>
      </c>
      <c r="M43" s="100">
        <v>66.67</v>
      </c>
      <c r="N43" s="100">
        <v>167.8</v>
      </c>
      <c r="O43" s="100">
        <v>0</v>
      </c>
      <c r="P43" s="100">
        <v>0.91</v>
      </c>
      <c r="Q43" s="100">
        <v>12.98</v>
      </c>
      <c r="R43" s="6"/>
      <c r="S43" s="6"/>
      <c r="T43" s="156"/>
      <c r="U43" s="6"/>
    </row>
    <row r="44" spans="1:21" customFormat="1">
      <c r="A44" s="163" t="s">
        <v>2866</v>
      </c>
      <c r="B44" s="100">
        <v>13.65</v>
      </c>
      <c r="C44" s="100">
        <v>26.33</v>
      </c>
      <c r="D44" s="100">
        <v>26.06</v>
      </c>
      <c r="E44" s="100">
        <v>10.62</v>
      </c>
      <c r="F44" s="152" t="s">
        <v>15</v>
      </c>
      <c r="G44" s="100">
        <v>98.86</v>
      </c>
      <c r="H44" s="100">
        <v>25.27</v>
      </c>
      <c r="I44" s="100">
        <v>11.41</v>
      </c>
      <c r="J44" s="100">
        <v>0.88</v>
      </c>
      <c r="K44" s="100">
        <v>60.81</v>
      </c>
      <c r="L44" s="100">
        <v>24.73</v>
      </c>
      <c r="M44" s="100">
        <v>64.75</v>
      </c>
      <c r="N44" s="100">
        <v>178.1</v>
      </c>
      <c r="O44" s="100">
        <v>0</v>
      </c>
      <c r="P44" s="100">
        <v>0.89</v>
      </c>
      <c r="Q44" s="100">
        <v>12.97</v>
      </c>
      <c r="R44" s="6"/>
      <c r="S44" s="6"/>
      <c r="T44" s="156"/>
      <c r="U44" s="6"/>
    </row>
    <row r="45" spans="1:21" customFormat="1">
      <c r="A45" s="163" t="s">
        <v>2867</v>
      </c>
      <c r="B45" s="100">
        <v>12.65</v>
      </c>
      <c r="C45" s="100">
        <v>26.56</v>
      </c>
      <c r="D45" s="100">
        <v>25.37</v>
      </c>
      <c r="E45" s="100">
        <v>10.45</v>
      </c>
      <c r="F45" s="152" t="s">
        <v>15</v>
      </c>
      <c r="G45" s="100">
        <v>98.86</v>
      </c>
      <c r="H45" s="100">
        <v>25.27</v>
      </c>
      <c r="I45" s="100">
        <v>11.26</v>
      </c>
      <c r="J45" s="100">
        <v>0.92</v>
      </c>
      <c r="K45" s="100">
        <v>64.510000000000005</v>
      </c>
      <c r="L45" s="100">
        <v>25.37</v>
      </c>
      <c r="M45" s="100">
        <v>63.38</v>
      </c>
      <c r="N45" s="100">
        <v>168.9</v>
      </c>
      <c r="O45" s="100">
        <v>0</v>
      </c>
      <c r="P45" s="100">
        <v>0.88</v>
      </c>
      <c r="Q45" s="100">
        <v>12.98</v>
      </c>
      <c r="R45" s="6"/>
      <c r="S45" s="6"/>
      <c r="T45" s="156"/>
      <c r="U45" s="6"/>
    </row>
    <row r="46" spans="1:21" customFormat="1">
      <c r="A46" s="163" t="s">
        <v>2868</v>
      </c>
      <c r="B46" s="100">
        <v>11.55</v>
      </c>
      <c r="C46" s="100">
        <v>26.9</v>
      </c>
      <c r="D46" s="100">
        <v>24.66</v>
      </c>
      <c r="E46" s="100">
        <v>10.53</v>
      </c>
      <c r="F46" s="152" t="s">
        <v>15</v>
      </c>
      <c r="G46" s="100">
        <v>90.46</v>
      </c>
      <c r="H46" s="100">
        <v>31.37</v>
      </c>
      <c r="I46" s="100">
        <v>11.09</v>
      </c>
      <c r="J46" s="100">
        <v>1.41</v>
      </c>
      <c r="K46" s="100">
        <v>54.6</v>
      </c>
      <c r="L46" s="100">
        <v>25.62</v>
      </c>
      <c r="M46" s="100">
        <v>62.81</v>
      </c>
      <c r="N46" s="100">
        <v>226</v>
      </c>
      <c r="O46" s="100">
        <v>0</v>
      </c>
      <c r="P46" s="100">
        <v>0.87</v>
      </c>
      <c r="Q46" s="100">
        <v>12.97</v>
      </c>
      <c r="R46" s="6"/>
      <c r="S46" s="6"/>
      <c r="T46" s="156"/>
      <c r="U46" s="6"/>
    </row>
    <row r="47" spans="1:21" customFormat="1">
      <c r="A47" s="163" t="s">
        <v>2869</v>
      </c>
      <c r="B47" s="100">
        <v>10.76</v>
      </c>
      <c r="C47" s="100">
        <v>27.18</v>
      </c>
      <c r="D47" s="100">
        <v>24.18</v>
      </c>
      <c r="E47" s="100">
        <v>10.45</v>
      </c>
      <c r="F47" s="152" t="s">
        <v>15</v>
      </c>
      <c r="G47" s="100">
        <v>87.41</v>
      </c>
      <c r="H47" s="100">
        <v>31.52</v>
      </c>
      <c r="I47" s="100">
        <v>10.94</v>
      </c>
      <c r="J47" s="100">
        <v>1.28</v>
      </c>
      <c r="K47" s="100">
        <v>54.18</v>
      </c>
      <c r="L47" s="100">
        <v>26.21</v>
      </c>
      <c r="M47" s="100">
        <v>60.81</v>
      </c>
      <c r="N47" s="100">
        <v>244.5</v>
      </c>
      <c r="O47" s="100">
        <v>0</v>
      </c>
      <c r="P47" s="100">
        <v>0.85</v>
      </c>
      <c r="Q47" s="100">
        <v>12.96</v>
      </c>
      <c r="R47" s="6"/>
      <c r="S47" s="6"/>
      <c r="T47" s="156"/>
      <c r="U47" s="6"/>
    </row>
    <row r="48" spans="1:21" customFormat="1">
      <c r="A48" s="163" t="s">
        <v>2870</v>
      </c>
      <c r="B48" s="100">
        <v>10.119999999999999</v>
      </c>
      <c r="C48" s="100">
        <v>27.6</v>
      </c>
      <c r="D48" s="100">
        <v>23.89</v>
      </c>
      <c r="E48" s="100">
        <v>10.73</v>
      </c>
      <c r="F48" s="152" t="s">
        <v>15</v>
      </c>
      <c r="G48" s="100">
        <v>87.41</v>
      </c>
      <c r="H48" s="100">
        <v>31.52</v>
      </c>
      <c r="I48" s="100">
        <v>10.77</v>
      </c>
      <c r="J48" s="100">
        <v>1.23</v>
      </c>
      <c r="K48" s="100">
        <v>51.4</v>
      </c>
      <c r="L48" s="100">
        <v>26.74</v>
      </c>
      <c r="M48" s="100">
        <v>59.4</v>
      </c>
      <c r="N48" s="100">
        <v>257.5</v>
      </c>
      <c r="O48" s="100">
        <v>0</v>
      </c>
      <c r="P48" s="100">
        <v>0.84</v>
      </c>
      <c r="Q48" s="100">
        <v>12.97</v>
      </c>
      <c r="R48" s="6"/>
      <c r="S48" s="6"/>
      <c r="T48" s="156"/>
      <c r="U48" s="6"/>
    </row>
    <row r="49" spans="1:21" customFormat="1">
      <c r="A49" s="163" t="s">
        <v>2871</v>
      </c>
      <c r="B49" s="100">
        <v>9.41</v>
      </c>
      <c r="C49" s="100">
        <v>27.99</v>
      </c>
      <c r="D49" s="100">
        <v>23.52</v>
      </c>
      <c r="E49" s="100">
        <v>8.0299999999999994</v>
      </c>
      <c r="F49" s="152" t="s">
        <v>15</v>
      </c>
      <c r="G49" s="100">
        <v>87.41</v>
      </c>
      <c r="H49" s="100">
        <v>31.52</v>
      </c>
      <c r="I49" s="100">
        <v>10.58</v>
      </c>
      <c r="J49" s="100">
        <v>1.25</v>
      </c>
      <c r="K49" s="100">
        <v>39.61</v>
      </c>
      <c r="L49" s="100">
        <v>27.26</v>
      </c>
      <c r="M49" s="100">
        <v>58.28</v>
      </c>
      <c r="N49" s="100">
        <v>219</v>
      </c>
      <c r="O49" s="100">
        <v>0</v>
      </c>
      <c r="P49" s="100">
        <v>0.83</v>
      </c>
      <c r="Q49" s="100">
        <v>12.96</v>
      </c>
      <c r="R49" s="6"/>
      <c r="S49" s="6"/>
      <c r="T49" s="156"/>
      <c r="U49" s="6"/>
    </row>
    <row r="50" spans="1:21" customFormat="1">
      <c r="A50" s="163" t="s">
        <v>2872</v>
      </c>
      <c r="B50" s="100">
        <v>8.5</v>
      </c>
      <c r="C50" s="100">
        <v>28.35</v>
      </c>
      <c r="D50" s="100">
        <v>22.98</v>
      </c>
      <c r="E50" s="100">
        <v>9.83</v>
      </c>
      <c r="F50" s="152" t="s">
        <v>15</v>
      </c>
      <c r="G50" s="100">
        <v>84.78</v>
      </c>
      <c r="H50" s="100">
        <v>26.51</v>
      </c>
      <c r="I50" s="100">
        <v>10.4</v>
      </c>
      <c r="J50" s="100">
        <v>0.7</v>
      </c>
      <c r="K50" s="100">
        <v>39.08</v>
      </c>
      <c r="L50" s="100">
        <v>28.23</v>
      </c>
      <c r="M50" s="100">
        <v>55.31</v>
      </c>
      <c r="N50" s="100">
        <v>244</v>
      </c>
      <c r="O50" s="100">
        <v>0</v>
      </c>
      <c r="P50" s="100">
        <v>0.81</v>
      </c>
      <c r="Q50" s="100">
        <v>12.98</v>
      </c>
      <c r="R50" s="6"/>
      <c r="S50" s="6"/>
      <c r="T50" s="156"/>
      <c r="U50" s="6"/>
    </row>
    <row r="51" spans="1:21" customFormat="1">
      <c r="A51" s="163" t="s">
        <v>2873</v>
      </c>
      <c r="B51" s="100">
        <v>7.61</v>
      </c>
      <c r="C51" s="100">
        <v>28.34</v>
      </c>
      <c r="D51" s="100">
        <v>22.26</v>
      </c>
      <c r="E51" s="100">
        <v>10.38</v>
      </c>
      <c r="F51" s="152" t="s">
        <v>15</v>
      </c>
      <c r="G51" s="100">
        <v>83.82</v>
      </c>
      <c r="H51" s="100">
        <v>26.43</v>
      </c>
      <c r="I51" s="100">
        <v>10.24</v>
      </c>
      <c r="J51" s="100">
        <v>0.61</v>
      </c>
      <c r="K51" s="100">
        <v>0.89</v>
      </c>
      <c r="L51" s="100">
        <v>28.43</v>
      </c>
      <c r="M51" s="100">
        <v>54.97</v>
      </c>
      <c r="N51" s="100">
        <v>285.8</v>
      </c>
      <c r="O51" s="100">
        <v>0</v>
      </c>
      <c r="P51" s="100">
        <v>0.8</v>
      </c>
      <c r="Q51" s="100">
        <v>12.96</v>
      </c>
      <c r="R51" s="6"/>
      <c r="S51" s="6"/>
      <c r="T51" s="156"/>
      <c r="U51" s="6"/>
    </row>
    <row r="52" spans="1:21" customFormat="1">
      <c r="A52" s="163" t="s">
        <v>2874</v>
      </c>
      <c r="B52" s="100">
        <v>6.84</v>
      </c>
      <c r="C52" s="100">
        <v>28.42</v>
      </c>
      <c r="D52" s="100">
        <v>21.68</v>
      </c>
      <c r="E52" s="100">
        <v>9.76</v>
      </c>
      <c r="F52" s="152" t="s">
        <v>15</v>
      </c>
      <c r="G52" s="100">
        <v>83.82</v>
      </c>
      <c r="H52" s="100">
        <v>26.43</v>
      </c>
      <c r="I52" s="100">
        <v>10.130000000000001</v>
      </c>
      <c r="J52" s="100">
        <v>0.32</v>
      </c>
      <c r="K52" s="100">
        <v>58.04</v>
      </c>
      <c r="L52" s="100">
        <v>29.78</v>
      </c>
      <c r="M52" s="100">
        <v>50.14</v>
      </c>
      <c r="N52" s="100">
        <v>289.39999999999998</v>
      </c>
      <c r="O52" s="100">
        <v>0</v>
      </c>
      <c r="P52" s="100">
        <v>0.78</v>
      </c>
      <c r="Q52" s="100">
        <v>12.95</v>
      </c>
      <c r="R52" s="6"/>
      <c r="S52" s="6"/>
      <c r="T52" s="156"/>
      <c r="U52" s="6"/>
    </row>
    <row r="53" spans="1:21" customFormat="1">
      <c r="A53" s="163" t="s">
        <v>2875</v>
      </c>
      <c r="B53" s="100">
        <v>6.02</v>
      </c>
      <c r="C53" s="100">
        <v>28.42</v>
      </c>
      <c r="D53" s="100">
        <v>21.03</v>
      </c>
      <c r="E53" s="100">
        <v>10.56</v>
      </c>
      <c r="F53" s="152" t="s">
        <v>15</v>
      </c>
      <c r="G53" s="100">
        <v>83.82</v>
      </c>
      <c r="H53" s="100">
        <v>26.43</v>
      </c>
      <c r="I53" s="100">
        <v>9.99</v>
      </c>
      <c r="J53" s="100">
        <v>0.4</v>
      </c>
      <c r="K53" s="100">
        <v>69.17</v>
      </c>
      <c r="L53" s="100">
        <v>29.95</v>
      </c>
      <c r="M53" s="100">
        <v>49.24</v>
      </c>
      <c r="N53" s="100">
        <v>308.39999999999998</v>
      </c>
      <c r="O53" s="100">
        <v>0</v>
      </c>
      <c r="P53" s="100">
        <v>0.77</v>
      </c>
      <c r="Q53" s="100">
        <v>12.93</v>
      </c>
      <c r="R53" s="6"/>
      <c r="S53" s="6"/>
      <c r="T53" s="156"/>
      <c r="U53" s="6"/>
    </row>
    <row r="54" spans="1:21" customFormat="1">
      <c r="A54" s="163" t="s">
        <v>2876</v>
      </c>
      <c r="B54" s="100">
        <v>5.34</v>
      </c>
      <c r="C54" s="100">
        <v>28.12</v>
      </c>
      <c r="D54" s="100">
        <v>20.329999999999998</v>
      </c>
      <c r="E54" s="100">
        <v>10.37</v>
      </c>
      <c r="F54" s="152" t="s">
        <v>15</v>
      </c>
      <c r="G54" s="100">
        <v>76.45</v>
      </c>
      <c r="H54" s="100">
        <v>32.9</v>
      </c>
      <c r="I54" s="100">
        <v>9.81</v>
      </c>
      <c r="J54" s="100">
        <v>0.35</v>
      </c>
      <c r="K54" s="100">
        <v>346.07</v>
      </c>
      <c r="L54" s="100">
        <v>30.51</v>
      </c>
      <c r="M54" s="100">
        <v>47.07</v>
      </c>
      <c r="N54" s="100">
        <v>287.39999999999998</v>
      </c>
      <c r="O54" s="100">
        <v>0</v>
      </c>
      <c r="P54" s="100">
        <v>0.75</v>
      </c>
      <c r="Q54" s="100">
        <v>12.94</v>
      </c>
      <c r="R54" s="6"/>
      <c r="S54" s="6"/>
      <c r="T54" s="156"/>
      <c r="U54" s="6"/>
    </row>
    <row r="55" spans="1:21" customFormat="1">
      <c r="A55" s="163" t="s">
        <v>2877</v>
      </c>
      <c r="B55" s="100">
        <v>4.82</v>
      </c>
      <c r="C55" s="100">
        <v>27.8</v>
      </c>
      <c r="D55" s="100">
        <v>19.739999999999998</v>
      </c>
      <c r="E55" s="100">
        <v>10.75</v>
      </c>
      <c r="F55" s="152" t="s">
        <v>15</v>
      </c>
      <c r="G55" s="100">
        <v>73.77</v>
      </c>
      <c r="H55" s="100">
        <v>33</v>
      </c>
      <c r="I55" s="100">
        <v>9.6300000000000008</v>
      </c>
      <c r="J55" s="100">
        <v>0.79</v>
      </c>
      <c r="K55" s="100">
        <v>2.5299999999999998</v>
      </c>
      <c r="L55" s="100">
        <v>30.23</v>
      </c>
      <c r="M55" s="100">
        <v>46.45</v>
      </c>
      <c r="N55" s="100">
        <v>289</v>
      </c>
      <c r="O55" s="100">
        <v>0</v>
      </c>
      <c r="P55" s="100">
        <v>0.74</v>
      </c>
      <c r="Q55" s="100">
        <v>12.94</v>
      </c>
      <c r="R55" s="6"/>
      <c r="S55" s="6"/>
      <c r="T55" s="156"/>
      <c r="U55" s="6"/>
    </row>
    <row r="56" spans="1:21" customFormat="1">
      <c r="A56" s="163" t="s">
        <v>2878</v>
      </c>
      <c r="B56" s="100">
        <v>4.53</v>
      </c>
      <c r="C56" s="100">
        <v>27.4</v>
      </c>
      <c r="D56" s="100">
        <v>19.3</v>
      </c>
      <c r="E56" s="100">
        <v>10.51</v>
      </c>
      <c r="F56" s="152" t="s">
        <v>15</v>
      </c>
      <c r="G56" s="100">
        <v>73.77</v>
      </c>
      <c r="H56" s="100">
        <v>33</v>
      </c>
      <c r="I56" s="100">
        <v>9.44</v>
      </c>
      <c r="J56" s="100">
        <v>0.53</v>
      </c>
      <c r="K56" s="100">
        <v>277.55</v>
      </c>
      <c r="L56" s="100">
        <v>30.92</v>
      </c>
      <c r="M56" s="100">
        <v>45.1</v>
      </c>
      <c r="N56" s="100">
        <v>323.8</v>
      </c>
      <c r="O56" s="100">
        <v>0</v>
      </c>
      <c r="P56" s="100">
        <v>0.73</v>
      </c>
      <c r="Q56" s="100">
        <v>12.93</v>
      </c>
      <c r="R56" s="6"/>
      <c r="S56" s="6"/>
      <c r="T56" s="156"/>
      <c r="U56" s="6"/>
    </row>
    <row r="57" spans="1:21" customFormat="1">
      <c r="A57" s="163" t="s">
        <v>2879</v>
      </c>
      <c r="B57" s="100">
        <v>4.26</v>
      </c>
      <c r="C57" s="100">
        <v>26.88</v>
      </c>
      <c r="D57" s="100">
        <v>18.809999999999999</v>
      </c>
      <c r="E57" s="100">
        <v>10.61</v>
      </c>
      <c r="F57" s="152" t="s">
        <v>15</v>
      </c>
      <c r="G57" s="100">
        <v>73.77</v>
      </c>
      <c r="H57" s="100">
        <v>33</v>
      </c>
      <c r="I57" s="100">
        <v>9.24</v>
      </c>
      <c r="J57" s="100">
        <v>0.49</v>
      </c>
      <c r="K57" s="100">
        <v>331.6</v>
      </c>
      <c r="L57" s="100">
        <v>31.57</v>
      </c>
      <c r="M57" s="100">
        <v>42.86</v>
      </c>
      <c r="N57" s="100">
        <v>322.5</v>
      </c>
      <c r="O57" s="100">
        <v>0</v>
      </c>
      <c r="P57" s="100">
        <v>0.71</v>
      </c>
      <c r="Q57" s="100">
        <v>12.93</v>
      </c>
      <c r="R57" s="6"/>
      <c r="S57" s="6"/>
      <c r="T57" s="156"/>
      <c r="U57" s="6"/>
    </row>
    <row r="58" spans="1:21" customFormat="1">
      <c r="A58" s="163" t="s">
        <v>2880</v>
      </c>
      <c r="B58" s="100">
        <v>4.1100000000000003</v>
      </c>
      <c r="C58" s="100">
        <v>26.55</v>
      </c>
      <c r="D58" s="100">
        <v>18.52</v>
      </c>
      <c r="E58" s="100">
        <v>11.71</v>
      </c>
      <c r="F58" s="152" t="s">
        <v>15</v>
      </c>
      <c r="G58" s="100">
        <v>70.77</v>
      </c>
      <c r="H58" s="100">
        <v>36.450000000000003</v>
      </c>
      <c r="I58" s="100">
        <v>9.07</v>
      </c>
      <c r="J58" s="100">
        <v>0.42</v>
      </c>
      <c r="K58" s="100">
        <v>326.74</v>
      </c>
      <c r="L58" s="100">
        <v>31.99</v>
      </c>
      <c r="M58" s="100">
        <v>40.42</v>
      </c>
      <c r="N58" s="100">
        <v>332.1</v>
      </c>
      <c r="O58" s="100">
        <v>0</v>
      </c>
      <c r="P58" s="100">
        <v>0.7</v>
      </c>
      <c r="Q58" s="100">
        <v>12.93</v>
      </c>
      <c r="R58" s="6"/>
      <c r="S58" s="6"/>
      <c r="T58" s="156"/>
      <c r="U58" s="6"/>
    </row>
    <row r="59" spans="1:21" customFormat="1">
      <c r="A59" s="163" t="s">
        <v>2881</v>
      </c>
      <c r="B59" s="100">
        <v>4.03</v>
      </c>
      <c r="C59" s="100">
        <v>27.07</v>
      </c>
      <c r="D59" s="100">
        <v>18.73</v>
      </c>
      <c r="E59" s="100">
        <v>12.69</v>
      </c>
      <c r="F59" s="152" t="s">
        <v>15</v>
      </c>
      <c r="G59" s="100">
        <v>69.680000000000007</v>
      </c>
      <c r="H59" s="100">
        <v>36.51</v>
      </c>
      <c r="I59" s="100">
        <v>8.89</v>
      </c>
      <c r="J59" s="100">
        <v>0.72</v>
      </c>
      <c r="K59" s="100">
        <v>286.77999999999997</v>
      </c>
      <c r="L59" s="100">
        <v>32.35</v>
      </c>
      <c r="M59" s="100">
        <v>39.76</v>
      </c>
      <c r="N59" s="100">
        <v>327.10000000000002</v>
      </c>
      <c r="O59" s="100">
        <v>0</v>
      </c>
      <c r="P59" s="100">
        <v>0.73</v>
      </c>
      <c r="Q59" s="100">
        <v>12.93</v>
      </c>
      <c r="R59" s="6"/>
      <c r="S59" s="6"/>
      <c r="T59" s="156"/>
      <c r="U59" s="6"/>
    </row>
    <row r="60" spans="1:21" customFormat="1">
      <c r="A60" s="163" t="s">
        <v>2882</v>
      </c>
      <c r="B60" s="100">
        <v>4.09</v>
      </c>
      <c r="C60" s="100">
        <v>27.36</v>
      </c>
      <c r="D60" s="100">
        <v>18.920000000000002</v>
      </c>
      <c r="E60" s="100">
        <v>12.17</v>
      </c>
      <c r="F60" s="152" t="s">
        <v>15</v>
      </c>
      <c r="G60" s="100">
        <v>69.680000000000007</v>
      </c>
      <c r="H60" s="100">
        <v>36.51</v>
      </c>
      <c r="I60" s="100">
        <v>8.73</v>
      </c>
      <c r="J60" s="100">
        <v>0.41</v>
      </c>
      <c r="K60" s="100">
        <v>232.67</v>
      </c>
      <c r="L60" s="100">
        <v>32.99</v>
      </c>
      <c r="M60" s="100">
        <v>37.159999999999997</v>
      </c>
      <c r="N60" s="100">
        <v>342.5</v>
      </c>
      <c r="O60" s="100">
        <v>0</v>
      </c>
      <c r="P60" s="100">
        <v>0.78</v>
      </c>
      <c r="Q60" s="100">
        <v>12.91</v>
      </c>
      <c r="R60" s="6"/>
      <c r="S60" s="6"/>
      <c r="T60" s="156"/>
      <c r="U60" s="6"/>
    </row>
    <row r="61" spans="1:21" customFormat="1">
      <c r="A61" s="163" t="s">
        <v>2883</v>
      </c>
      <c r="B61" s="100">
        <v>4.08</v>
      </c>
      <c r="C61" s="100">
        <v>26.61</v>
      </c>
      <c r="D61" s="100">
        <v>18.53</v>
      </c>
      <c r="E61" s="100">
        <v>15.89</v>
      </c>
      <c r="F61" s="152" t="s">
        <v>15</v>
      </c>
      <c r="G61" s="100">
        <v>69.680000000000007</v>
      </c>
      <c r="H61" s="100">
        <v>36.51</v>
      </c>
      <c r="I61" s="100">
        <v>8.67</v>
      </c>
      <c r="J61" s="100">
        <v>0.41</v>
      </c>
      <c r="K61" s="100">
        <v>353.57</v>
      </c>
      <c r="L61" s="100">
        <v>32.909999999999997</v>
      </c>
      <c r="M61" s="100">
        <v>34.130000000000003</v>
      </c>
      <c r="N61" s="100">
        <v>258.3</v>
      </c>
      <c r="O61" s="100">
        <v>0</v>
      </c>
      <c r="P61" s="100">
        <v>0.77</v>
      </c>
      <c r="Q61" s="100">
        <v>12.93</v>
      </c>
      <c r="R61" s="6"/>
      <c r="S61" s="6"/>
      <c r="T61" s="156"/>
      <c r="U61" s="6"/>
    </row>
    <row r="62" spans="1:21" customFormat="1">
      <c r="A62" s="163" t="s">
        <v>2884</v>
      </c>
      <c r="B62" s="100">
        <v>4.12</v>
      </c>
      <c r="C62" s="100">
        <v>25.67</v>
      </c>
      <c r="D62" s="100">
        <v>18.07</v>
      </c>
      <c r="E62" s="100">
        <v>18.440000000000001</v>
      </c>
      <c r="F62" s="152" t="s">
        <v>15</v>
      </c>
      <c r="G62" s="100">
        <v>66.33</v>
      </c>
      <c r="H62" s="100">
        <v>37.82</v>
      </c>
      <c r="I62" s="100">
        <v>8.59</v>
      </c>
      <c r="J62" s="100">
        <v>0.59</v>
      </c>
      <c r="K62" s="100">
        <v>1.35</v>
      </c>
      <c r="L62" s="100">
        <v>32.85</v>
      </c>
      <c r="M62" s="100">
        <v>32.119999999999997</v>
      </c>
      <c r="N62" s="100">
        <v>250.7</v>
      </c>
      <c r="O62" s="100">
        <v>0</v>
      </c>
      <c r="P62" s="100">
        <v>0.75</v>
      </c>
      <c r="Q62" s="100">
        <v>12.93</v>
      </c>
      <c r="R62" s="6"/>
      <c r="S62" s="6"/>
      <c r="T62" s="156"/>
      <c r="U62" s="6"/>
    </row>
    <row r="63" spans="1:21" customFormat="1">
      <c r="A63" s="163" t="s">
        <v>2885</v>
      </c>
      <c r="B63" s="100">
        <v>4.22</v>
      </c>
      <c r="C63" s="100">
        <v>24.85</v>
      </c>
      <c r="D63" s="100">
        <v>17.72</v>
      </c>
      <c r="E63" s="100">
        <v>19.55</v>
      </c>
      <c r="F63" s="152" t="s">
        <v>15</v>
      </c>
      <c r="G63" s="100">
        <v>65.12</v>
      </c>
      <c r="H63" s="100">
        <v>37.840000000000003</v>
      </c>
      <c r="I63" s="100">
        <v>8.24</v>
      </c>
      <c r="J63" s="100">
        <v>0.63</v>
      </c>
      <c r="K63" s="100">
        <v>29.61</v>
      </c>
      <c r="L63" s="100">
        <v>32.130000000000003</v>
      </c>
      <c r="M63" s="100">
        <v>33.97</v>
      </c>
      <c r="N63" s="100">
        <v>202.3</v>
      </c>
      <c r="O63" s="100">
        <v>0</v>
      </c>
      <c r="P63" s="100">
        <v>0.75</v>
      </c>
      <c r="Q63" s="100">
        <v>12.93</v>
      </c>
      <c r="R63" s="6"/>
      <c r="S63" s="6"/>
      <c r="T63" s="156"/>
      <c r="U63" s="6"/>
    </row>
    <row r="64" spans="1:21" customFormat="1">
      <c r="A64" s="163" t="s">
        <v>2886</v>
      </c>
      <c r="B64" s="100">
        <v>4.22</v>
      </c>
      <c r="C64" s="100">
        <v>24.38</v>
      </c>
      <c r="D64" s="100">
        <v>17.47</v>
      </c>
      <c r="E64" s="100">
        <v>21.85</v>
      </c>
      <c r="F64" s="152" t="s">
        <v>15</v>
      </c>
      <c r="G64" s="100">
        <v>65.12</v>
      </c>
      <c r="H64" s="100">
        <v>37.840000000000003</v>
      </c>
      <c r="I64" s="100">
        <v>8.08</v>
      </c>
      <c r="J64" s="100">
        <v>1.04</v>
      </c>
      <c r="K64" s="100">
        <v>24.67</v>
      </c>
      <c r="L64" s="100">
        <v>32.94</v>
      </c>
      <c r="M64" s="100">
        <v>30.39</v>
      </c>
      <c r="N64" s="100">
        <v>305.60000000000002</v>
      </c>
      <c r="O64" s="100">
        <v>0</v>
      </c>
      <c r="P64" s="100">
        <v>0.74</v>
      </c>
      <c r="Q64" s="100">
        <v>12.93</v>
      </c>
      <c r="R64" s="6"/>
      <c r="S64" s="6"/>
      <c r="T64" s="156"/>
      <c r="U64" s="6"/>
    </row>
    <row r="65" spans="1:21" customFormat="1">
      <c r="A65" s="163" t="s">
        <v>2887</v>
      </c>
      <c r="B65" s="100">
        <v>4.34</v>
      </c>
      <c r="C65" s="100">
        <v>24.57</v>
      </c>
      <c r="D65" s="100">
        <v>17.670000000000002</v>
      </c>
      <c r="E65" s="100">
        <v>24.56</v>
      </c>
      <c r="F65" s="152" t="s">
        <v>15</v>
      </c>
      <c r="G65" s="100">
        <v>65.12</v>
      </c>
      <c r="H65" s="100">
        <v>37.840000000000003</v>
      </c>
      <c r="I65" s="100">
        <v>8.08</v>
      </c>
      <c r="J65" s="100">
        <v>0.94</v>
      </c>
      <c r="K65" s="100">
        <v>339.11</v>
      </c>
      <c r="L65" s="100">
        <v>33.130000000000003</v>
      </c>
      <c r="M65" s="100">
        <v>28.34</v>
      </c>
      <c r="N65" s="100">
        <v>293.39999999999998</v>
      </c>
      <c r="O65" s="100">
        <v>0</v>
      </c>
      <c r="P65" s="100">
        <v>0.64</v>
      </c>
      <c r="Q65" s="100">
        <v>12.92</v>
      </c>
      <c r="R65" s="6"/>
      <c r="S65" s="6"/>
      <c r="T65" s="156"/>
      <c r="U65" s="6"/>
    </row>
    <row r="66" spans="1:21" customFormat="1">
      <c r="A66" s="163" t="s">
        <v>2888</v>
      </c>
      <c r="B66" s="100">
        <v>4.4000000000000004</v>
      </c>
      <c r="C66" s="100">
        <v>25.11</v>
      </c>
      <c r="D66" s="100">
        <v>18</v>
      </c>
      <c r="E66" s="100">
        <v>21.23</v>
      </c>
      <c r="F66" s="152" t="s">
        <v>15</v>
      </c>
      <c r="G66" s="100">
        <v>62.78</v>
      </c>
      <c r="H66" s="100">
        <v>44.21</v>
      </c>
      <c r="I66" s="100">
        <v>8</v>
      </c>
      <c r="J66" s="100">
        <v>1.06</v>
      </c>
      <c r="K66" s="100">
        <v>15.71</v>
      </c>
      <c r="L66" s="100">
        <v>32.979999999999997</v>
      </c>
      <c r="M66" s="100">
        <v>26.13</v>
      </c>
      <c r="N66" s="100">
        <v>305.89999999999998</v>
      </c>
      <c r="O66" s="100">
        <v>0</v>
      </c>
      <c r="P66" s="100">
        <v>0.65</v>
      </c>
      <c r="Q66" s="100">
        <v>12.92</v>
      </c>
      <c r="R66" s="6"/>
      <c r="S66" s="6"/>
      <c r="T66" s="156"/>
      <c r="U66" s="6"/>
    </row>
    <row r="67" spans="1:21" customFormat="1">
      <c r="A67" s="163" t="s">
        <v>2889</v>
      </c>
      <c r="B67" s="100">
        <v>4.47</v>
      </c>
      <c r="C67" s="100">
        <v>26.05</v>
      </c>
      <c r="D67" s="100">
        <v>18.55</v>
      </c>
      <c r="E67" s="100">
        <v>18.170000000000002</v>
      </c>
      <c r="F67" s="152" t="s">
        <v>15</v>
      </c>
      <c r="G67" s="100">
        <v>61.93</v>
      </c>
      <c r="H67" s="100">
        <v>44.31</v>
      </c>
      <c r="I67" s="100">
        <v>7.95</v>
      </c>
      <c r="J67" s="100">
        <v>0.83</v>
      </c>
      <c r="K67" s="100">
        <v>29.68</v>
      </c>
      <c r="L67" s="100">
        <v>33.299999999999997</v>
      </c>
      <c r="M67" s="100">
        <v>24.84</v>
      </c>
      <c r="N67" s="100">
        <v>251.1</v>
      </c>
      <c r="O67" s="100">
        <v>0</v>
      </c>
      <c r="P67" s="100">
        <v>0.64</v>
      </c>
      <c r="Q67" s="100">
        <v>12.91</v>
      </c>
      <c r="R67" s="6"/>
      <c r="S67" s="6"/>
      <c r="T67" s="156"/>
      <c r="U67" s="6"/>
    </row>
    <row r="68" spans="1:21" customFormat="1">
      <c r="A68" s="163" t="s">
        <v>2890</v>
      </c>
      <c r="B68" s="100">
        <v>4.4800000000000004</v>
      </c>
      <c r="C68" s="100">
        <v>25.95</v>
      </c>
      <c r="D68" s="100">
        <v>18.5</v>
      </c>
      <c r="E68" s="100">
        <v>17.260000000000002</v>
      </c>
      <c r="F68" s="152" t="s">
        <v>15</v>
      </c>
      <c r="G68" s="100">
        <v>61.93</v>
      </c>
      <c r="H68" s="100">
        <v>44.31</v>
      </c>
      <c r="I68" s="100">
        <v>7.83</v>
      </c>
      <c r="J68" s="100">
        <v>0.86</v>
      </c>
      <c r="K68" s="100">
        <v>318.58999999999997</v>
      </c>
      <c r="L68" s="100">
        <v>33.19</v>
      </c>
      <c r="M68" s="100">
        <v>24.05</v>
      </c>
      <c r="N68" s="100">
        <v>96.1</v>
      </c>
      <c r="O68" s="100">
        <v>0</v>
      </c>
      <c r="P68" s="100">
        <v>0.63</v>
      </c>
      <c r="Q68" s="100">
        <v>12.92</v>
      </c>
      <c r="R68" s="6"/>
      <c r="S68" s="6"/>
      <c r="T68" s="156"/>
      <c r="U68" s="6"/>
    </row>
    <row r="69" spans="1:21" customFormat="1">
      <c r="A69" s="163" t="s">
        <v>2891</v>
      </c>
      <c r="B69" s="100">
        <v>4.4800000000000004</v>
      </c>
      <c r="C69" s="100">
        <v>25.45</v>
      </c>
      <c r="D69" s="100">
        <v>18.23</v>
      </c>
      <c r="E69" s="100">
        <v>14.51</v>
      </c>
      <c r="F69" s="152" t="s">
        <v>15</v>
      </c>
      <c r="G69" s="100">
        <v>61.93</v>
      </c>
      <c r="H69" s="100">
        <v>44.31</v>
      </c>
      <c r="I69" s="100">
        <v>7.58</v>
      </c>
      <c r="J69" s="100">
        <v>0.3</v>
      </c>
      <c r="K69" s="100">
        <v>250.66</v>
      </c>
      <c r="L69" s="100">
        <v>33.03</v>
      </c>
      <c r="M69" s="100">
        <v>23.83</v>
      </c>
      <c r="N69" s="100">
        <v>72</v>
      </c>
      <c r="O69" s="100">
        <v>0</v>
      </c>
      <c r="P69" s="100">
        <v>0.61</v>
      </c>
      <c r="Q69" s="100">
        <v>12.92</v>
      </c>
      <c r="R69" s="6"/>
      <c r="S69" s="6"/>
      <c r="T69" s="156"/>
      <c r="U69" s="6"/>
    </row>
    <row r="70" spans="1:21" customFormat="1">
      <c r="A70" s="163" t="s">
        <v>2892</v>
      </c>
      <c r="B70" s="100">
        <v>4.4800000000000004</v>
      </c>
      <c r="C70" s="100">
        <v>24.68</v>
      </c>
      <c r="D70" s="100">
        <v>17.84</v>
      </c>
      <c r="E70" s="100">
        <v>16.43</v>
      </c>
      <c r="F70" s="152" t="s">
        <v>15</v>
      </c>
      <c r="G70" s="100">
        <v>62.99</v>
      </c>
      <c r="H70" s="100">
        <v>50.76</v>
      </c>
      <c r="I70" s="100">
        <v>7.34</v>
      </c>
      <c r="J70" s="100">
        <v>0.2</v>
      </c>
      <c r="K70" s="100">
        <v>281.41000000000003</v>
      </c>
      <c r="L70" s="100">
        <v>32.799999999999997</v>
      </c>
      <c r="M70" s="100">
        <v>25.39</v>
      </c>
      <c r="N70" s="100">
        <v>78.7</v>
      </c>
      <c r="O70" s="100">
        <v>0</v>
      </c>
      <c r="P70" s="100">
        <v>0.56999999999999995</v>
      </c>
      <c r="Q70" s="100">
        <v>12.93</v>
      </c>
      <c r="R70" s="6"/>
      <c r="S70" s="6"/>
      <c r="T70" s="156"/>
      <c r="U70" s="6"/>
    </row>
    <row r="71" spans="1:21" customFormat="1">
      <c r="A71" s="163" t="s">
        <v>2893</v>
      </c>
      <c r="B71" s="100">
        <v>4.33</v>
      </c>
      <c r="C71" s="100">
        <v>24.48</v>
      </c>
      <c r="D71" s="100">
        <v>17.61</v>
      </c>
      <c r="E71" s="100">
        <v>14.29</v>
      </c>
      <c r="F71" s="152" t="s">
        <v>15</v>
      </c>
      <c r="G71" s="100">
        <v>63.37</v>
      </c>
      <c r="H71" s="100">
        <v>50.92</v>
      </c>
      <c r="I71" s="100">
        <v>7.23</v>
      </c>
      <c r="J71" s="100">
        <v>0.67</v>
      </c>
      <c r="K71" s="100">
        <v>285.38</v>
      </c>
      <c r="L71" s="100">
        <v>32.4</v>
      </c>
      <c r="M71" s="100">
        <v>24.81</v>
      </c>
      <c r="N71" s="100">
        <v>65.099999999999994</v>
      </c>
      <c r="O71" s="100">
        <v>0</v>
      </c>
      <c r="P71" s="100">
        <v>0.59</v>
      </c>
      <c r="Q71" s="100">
        <v>12.92</v>
      </c>
      <c r="R71" s="6"/>
      <c r="S71" s="6"/>
      <c r="T71" s="156"/>
      <c r="U71" s="6"/>
    </row>
    <row r="72" spans="1:21" customFormat="1">
      <c r="A72" s="163" t="s">
        <v>2894</v>
      </c>
      <c r="B72" s="100">
        <v>4.2699999999999996</v>
      </c>
      <c r="C72" s="100">
        <v>24.02</v>
      </c>
      <c r="D72" s="100">
        <v>17.329999999999998</v>
      </c>
      <c r="E72" s="100">
        <v>14.32</v>
      </c>
      <c r="F72" s="152" t="s">
        <v>15</v>
      </c>
      <c r="G72" s="100">
        <v>63.37</v>
      </c>
      <c r="H72" s="100">
        <v>50.92</v>
      </c>
      <c r="I72" s="100">
        <v>7.24</v>
      </c>
      <c r="J72" s="100">
        <v>0.35</v>
      </c>
      <c r="K72" s="100">
        <v>294.17</v>
      </c>
      <c r="L72" s="100">
        <v>32.340000000000003</v>
      </c>
      <c r="M72" s="100">
        <v>25.05</v>
      </c>
      <c r="N72" s="100">
        <v>69.5</v>
      </c>
      <c r="O72" s="100">
        <v>0</v>
      </c>
      <c r="P72" s="100">
        <v>0.57999999999999996</v>
      </c>
      <c r="Q72" s="100">
        <v>12.91</v>
      </c>
      <c r="R72" s="6"/>
      <c r="S72" s="6"/>
      <c r="T72" s="156"/>
      <c r="U72" s="6"/>
    </row>
    <row r="73" spans="1:21" customFormat="1">
      <c r="A73" s="163" t="s">
        <v>2895</v>
      </c>
      <c r="B73" s="100">
        <v>4.37</v>
      </c>
      <c r="C73" s="100">
        <v>23.54</v>
      </c>
      <c r="D73" s="100">
        <v>17.149999999999999</v>
      </c>
      <c r="E73" s="100">
        <v>12.91</v>
      </c>
      <c r="F73" s="152" t="s">
        <v>15</v>
      </c>
      <c r="G73" s="100">
        <v>63.37</v>
      </c>
      <c r="H73" s="100">
        <v>50.92</v>
      </c>
      <c r="I73" s="100">
        <v>7.19</v>
      </c>
      <c r="J73" s="100">
        <v>0.83</v>
      </c>
      <c r="K73" s="100">
        <v>294.97000000000003</v>
      </c>
      <c r="L73" s="100">
        <v>32.299999999999997</v>
      </c>
      <c r="M73" s="100">
        <v>22.74</v>
      </c>
      <c r="N73" s="100">
        <v>70.2</v>
      </c>
      <c r="O73" s="100">
        <v>0</v>
      </c>
      <c r="P73" s="100">
        <v>0.59</v>
      </c>
      <c r="Q73" s="100">
        <v>12.93</v>
      </c>
      <c r="R73" s="6"/>
      <c r="S73" s="6"/>
      <c r="T73" s="156"/>
      <c r="U73" s="6"/>
    </row>
    <row r="74" spans="1:21" customFormat="1">
      <c r="A74" s="163" t="s">
        <v>2896</v>
      </c>
      <c r="B74" s="100">
        <v>4.46</v>
      </c>
      <c r="C74" s="100">
        <v>23.05</v>
      </c>
      <c r="D74" s="100">
        <v>16.97</v>
      </c>
      <c r="E74" s="100">
        <v>14.9</v>
      </c>
      <c r="F74" s="152" t="s">
        <v>15</v>
      </c>
      <c r="G74" s="100">
        <v>54.42</v>
      </c>
      <c r="H74" s="100">
        <v>42.54</v>
      </c>
      <c r="I74" s="100">
        <v>7.1</v>
      </c>
      <c r="J74" s="100">
        <v>0.44</v>
      </c>
      <c r="K74" s="100">
        <v>256.52</v>
      </c>
      <c r="L74" s="100">
        <v>32.270000000000003</v>
      </c>
      <c r="M74" s="100">
        <v>23.59</v>
      </c>
      <c r="N74" s="100">
        <v>44.2</v>
      </c>
      <c r="O74" s="100">
        <v>0</v>
      </c>
      <c r="P74" s="100">
        <v>0.56000000000000005</v>
      </c>
      <c r="Q74" s="100">
        <v>12.92</v>
      </c>
      <c r="R74" s="6"/>
      <c r="S74" s="6"/>
      <c r="T74" s="156"/>
      <c r="U74" s="6"/>
    </row>
    <row r="75" spans="1:21" customFormat="1">
      <c r="A75" s="163" t="s">
        <v>2897</v>
      </c>
      <c r="B75" s="100">
        <v>4.53</v>
      </c>
      <c r="C75" s="100">
        <v>22.87</v>
      </c>
      <c r="D75" s="100">
        <v>16.93</v>
      </c>
      <c r="E75" s="100">
        <v>14.06</v>
      </c>
      <c r="F75" s="152" t="s">
        <v>15</v>
      </c>
      <c r="G75" s="100">
        <v>51.17</v>
      </c>
      <c r="H75" s="100">
        <v>42.41</v>
      </c>
      <c r="I75" s="100">
        <v>6.96</v>
      </c>
      <c r="J75" s="100">
        <v>0.21</v>
      </c>
      <c r="K75" s="100">
        <v>284.97000000000003</v>
      </c>
      <c r="L75" s="100">
        <v>32.119999999999997</v>
      </c>
      <c r="M75" s="100">
        <v>23.75</v>
      </c>
      <c r="N75" s="100">
        <v>37.5</v>
      </c>
      <c r="O75" s="100">
        <v>0</v>
      </c>
      <c r="P75" s="100">
        <v>0.56000000000000005</v>
      </c>
      <c r="Q75" s="100">
        <v>12.92</v>
      </c>
      <c r="R75" s="6"/>
      <c r="S75" s="6"/>
      <c r="T75" s="156"/>
      <c r="U75" s="6"/>
    </row>
    <row r="76" spans="1:21" customFormat="1">
      <c r="A76" s="163" t="s">
        <v>2898</v>
      </c>
      <c r="B76" s="100">
        <v>4.67</v>
      </c>
      <c r="C76" s="100">
        <v>22.4</v>
      </c>
      <c r="D76" s="100">
        <v>16.8</v>
      </c>
      <c r="E76" s="100">
        <v>14.21</v>
      </c>
      <c r="F76" s="152" t="s">
        <v>15</v>
      </c>
      <c r="G76" s="100">
        <v>51.17</v>
      </c>
      <c r="H76" s="100">
        <v>42.41</v>
      </c>
      <c r="I76" s="100">
        <v>6.91</v>
      </c>
      <c r="J76" s="100">
        <v>0.68</v>
      </c>
      <c r="K76" s="100">
        <v>289.33999999999997</v>
      </c>
      <c r="L76" s="100">
        <v>31.86</v>
      </c>
      <c r="M76" s="100">
        <v>21.79</v>
      </c>
      <c r="N76" s="100">
        <v>31.2</v>
      </c>
      <c r="O76" s="100">
        <v>0</v>
      </c>
      <c r="P76" s="100">
        <v>0.55000000000000004</v>
      </c>
      <c r="Q76" s="100">
        <v>12.92</v>
      </c>
      <c r="R76" s="6"/>
      <c r="S76" s="6"/>
      <c r="T76" s="156"/>
      <c r="U76" s="6"/>
    </row>
    <row r="77" spans="1:21" customFormat="1">
      <c r="A77" s="163" t="s">
        <v>2899</v>
      </c>
      <c r="B77" s="100">
        <v>4.79</v>
      </c>
      <c r="C77" s="100">
        <v>22.27</v>
      </c>
      <c r="D77" s="100">
        <v>16.82</v>
      </c>
      <c r="E77" s="100">
        <v>13.43</v>
      </c>
      <c r="F77" s="152" t="s">
        <v>15</v>
      </c>
      <c r="G77" s="100">
        <v>51.17</v>
      </c>
      <c r="H77" s="100">
        <v>42.41</v>
      </c>
      <c r="I77" s="100">
        <v>6.83</v>
      </c>
      <c r="J77" s="100">
        <v>0.7</v>
      </c>
      <c r="K77" s="100">
        <v>324.73</v>
      </c>
      <c r="L77" s="100">
        <v>31.66</v>
      </c>
      <c r="M77" s="100">
        <v>20.48</v>
      </c>
      <c r="N77" s="100">
        <v>21.9</v>
      </c>
      <c r="O77" s="100">
        <v>0</v>
      </c>
      <c r="P77" s="100">
        <v>0.56000000000000005</v>
      </c>
      <c r="Q77" s="100">
        <v>12.9</v>
      </c>
      <c r="R77" s="6"/>
      <c r="S77" s="6"/>
      <c r="T77" s="156"/>
      <c r="U77" s="6"/>
    </row>
    <row r="78" spans="1:21" customFormat="1">
      <c r="A78" s="163" t="s">
        <v>2900</v>
      </c>
      <c r="B78" s="100">
        <v>5.09</v>
      </c>
      <c r="C78" s="100">
        <v>22.38</v>
      </c>
      <c r="D78" s="100">
        <v>17.13</v>
      </c>
      <c r="E78" s="100">
        <v>13.05</v>
      </c>
      <c r="F78" s="152" t="s">
        <v>15</v>
      </c>
      <c r="G78" s="100">
        <v>47.17</v>
      </c>
      <c r="H78" s="100">
        <v>36.090000000000003</v>
      </c>
      <c r="I78" s="100">
        <v>6.78</v>
      </c>
      <c r="J78" s="100">
        <v>0.1</v>
      </c>
      <c r="K78" s="100">
        <v>293.07</v>
      </c>
      <c r="L78" s="100">
        <v>31.19</v>
      </c>
      <c r="M78" s="100">
        <v>22.31</v>
      </c>
      <c r="N78" s="100">
        <v>14.8</v>
      </c>
      <c r="O78" s="100">
        <v>0</v>
      </c>
      <c r="P78" s="100">
        <v>0.54</v>
      </c>
      <c r="Q78" s="100">
        <v>12.91</v>
      </c>
      <c r="R78" s="6"/>
      <c r="S78" s="6"/>
      <c r="T78" s="156"/>
      <c r="U78" s="6"/>
    </row>
    <row r="79" spans="1:21" customFormat="1">
      <c r="A79" s="163" t="s">
        <v>2901</v>
      </c>
      <c r="B79" s="100">
        <v>5.12</v>
      </c>
      <c r="C79" s="100">
        <v>22.8</v>
      </c>
      <c r="D79" s="100">
        <v>17.37</v>
      </c>
      <c r="E79" s="100">
        <v>11.75</v>
      </c>
      <c r="F79" s="152" t="s">
        <v>15</v>
      </c>
      <c r="G79" s="100">
        <v>45.71</v>
      </c>
      <c r="H79" s="100">
        <v>35.99</v>
      </c>
      <c r="I79" s="100">
        <v>7.27</v>
      </c>
      <c r="J79" s="100">
        <v>0.25</v>
      </c>
      <c r="K79" s="100">
        <v>178.9</v>
      </c>
      <c r="L79" s="100">
        <v>30.04</v>
      </c>
      <c r="M79" s="100">
        <v>26.49</v>
      </c>
      <c r="N79" s="100">
        <v>9.1</v>
      </c>
      <c r="O79" s="100">
        <v>0</v>
      </c>
      <c r="P79" s="100">
        <v>0.51</v>
      </c>
      <c r="Q79" s="100">
        <v>12.92</v>
      </c>
      <c r="R79" s="6"/>
      <c r="S79" s="6"/>
      <c r="T79" s="156"/>
      <c r="U79" s="6"/>
    </row>
    <row r="80" spans="1:21" customFormat="1">
      <c r="A80" s="163" t="s">
        <v>2902</v>
      </c>
      <c r="B80" s="100">
        <v>4.8499999999999996</v>
      </c>
      <c r="C80" s="100">
        <v>23.22</v>
      </c>
      <c r="D80" s="100">
        <v>17.37</v>
      </c>
      <c r="E80" s="100">
        <v>10.33</v>
      </c>
      <c r="F80" s="152" t="s">
        <v>15</v>
      </c>
      <c r="G80" s="100">
        <v>45.71</v>
      </c>
      <c r="H80" s="100">
        <v>35.99</v>
      </c>
      <c r="I80" s="100">
        <v>7.37</v>
      </c>
      <c r="J80" s="100">
        <v>0.21</v>
      </c>
      <c r="K80" s="100">
        <v>174.43</v>
      </c>
      <c r="L80" s="100">
        <v>28.89</v>
      </c>
      <c r="M80" s="100">
        <v>34.03</v>
      </c>
      <c r="N80" s="100">
        <v>4.4000000000000004</v>
      </c>
      <c r="O80" s="100">
        <v>0</v>
      </c>
      <c r="P80" s="100">
        <v>0.5</v>
      </c>
      <c r="Q80" s="100">
        <v>12.92</v>
      </c>
      <c r="R80" s="6"/>
      <c r="S80" s="6"/>
      <c r="T80" s="156"/>
      <c r="U80" s="6"/>
    </row>
    <row r="81" spans="1:21" customFormat="1">
      <c r="A81" s="163" t="s">
        <v>2903</v>
      </c>
      <c r="B81" s="100">
        <v>4.59</v>
      </c>
      <c r="C81" s="100">
        <v>23.2</v>
      </c>
      <c r="D81" s="100">
        <v>17.16</v>
      </c>
      <c r="E81" s="100">
        <v>8.16</v>
      </c>
      <c r="F81" s="152" t="s">
        <v>15</v>
      </c>
      <c r="G81" s="100">
        <v>45.71</v>
      </c>
      <c r="H81" s="100">
        <v>35.99</v>
      </c>
      <c r="I81" s="100">
        <v>7.09</v>
      </c>
      <c r="J81" s="100">
        <v>0.31</v>
      </c>
      <c r="K81" s="100">
        <v>163.25</v>
      </c>
      <c r="L81" s="100">
        <v>28.09</v>
      </c>
      <c r="M81" s="100">
        <v>34.630000000000003</v>
      </c>
      <c r="N81" s="100">
        <v>1.9</v>
      </c>
      <c r="O81" s="100">
        <v>0</v>
      </c>
      <c r="P81" s="100">
        <v>0.49</v>
      </c>
      <c r="Q81" s="100">
        <v>12.91</v>
      </c>
      <c r="R81" s="6"/>
      <c r="S81" s="6"/>
      <c r="T81" s="156"/>
      <c r="U81" s="6"/>
    </row>
    <row r="82" spans="1:21" customFormat="1">
      <c r="A82" s="163" t="s">
        <v>2904</v>
      </c>
      <c r="B82" s="100">
        <v>4.62</v>
      </c>
      <c r="C82" s="100">
        <v>22.92</v>
      </c>
      <c r="D82" s="100">
        <v>17.03</v>
      </c>
      <c r="E82" s="100">
        <v>9.4700000000000006</v>
      </c>
      <c r="F82" s="152" t="s">
        <v>15</v>
      </c>
      <c r="G82" s="100">
        <v>51.09</v>
      </c>
      <c r="H82" s="100">
        <v>34.07</v>
      </c>
      <c r="I82" s="100">
        <v>7.06</v>
      </c>
      <c r="J82" s="100">
        <v>0.33</v>
      </c>
      <c r="K82" s="100">
        <v>165.33</v>
      </c>
      <c r="L82" s="100">
        <v>27.36</v>
      </c>
      <c r="M82" s="100">
        <v>39.64</v>
      </c>
      <c r="N82" s="100">
        <v>1.6</v>
      </c>
      <c r="O82" s="100">
        <v>0</v>
      </c>
      <c r="P82" s="100">
        <v>0.49</v>
      </c>
      <c r="Q82" s="100">
        <v>12.91</v>
      </c>
      <c r="R82" s="6"/>
      <c r="S82" s="6"/>
      <c r="T82" s="156"/>
      <c r="U82" s="6"/>
    </row>
    <row r="83" spans="1:21" customFormat="1">
      <c r="A83" s="163" t="s">
        <v>2905</v>
      </c>
      <c r="B83" s="100">
        <v>4.51</v>
      </c>
      <c r="C83" s="100">
        <v>22.96</v>
      </c>
      <c r="D83" s="100">
        <v>16.96</v>
      </c>
      <c r="E83" s="100">
        <v>9.6199999999999992</v>
      </c>
      <c r="F83" s="152" t="s">
        <v>15</v>
      </c>
      <c r="G83" s="100">
        <v>53.05</v>
      </c>
      <c r="H83" s="100">
        <v>34.04</v>
      </c>
      <c r="I83" s="100">
        <v>7.1</v>
      </c>
      <c r="J83" s="100">
        <v>0.32</v>
      </c>
      <c r="K83" s="100">
        <v>164.95</v>
      </c>
      <c r="L83" s="100">
        <v>26.74</v>
      </c>
      <c r="M83" s="100">
        <v>44.4</v>
      </c>
      <c r="N83" s="100">
        <v>1.6</v>
      </c>
      <c r="O83" s="100">
        <v>0</v>
      </c>
      <c r="P83" s="100">
        <v>0.5</v>
      </c>
      <c r="Q83" s="100">
        <v>12.92</v>
      </c>
      <c r="R83" s="6"/>
      <c r="S83" s="6"/>
      <c r="T83" s="156"/>
      <c r="U83" s="6"/>
    </row>
    <row r="84" spans="1:21" customFormat="1">
      <c r="A84" s="163" t="s">
        <v>2906</v>
      </c>
      <c r="B84" s="100">
        <v>4.5</v>
      </c>
      <c r="C84" s="100">
        <v>23.08</v>
      </c>
      <c r="D84" s="100">
        <v>17.02</v>
      </c>
      <c r="E84" s="100">
        <v>9.58</v>
      </c>
      <c r="F84" s="152" t="s">
        <v>15</v>
      </c>
      <c r="G84" s="100">
        <v>53.05</v>
      </c>
      <c r="H84" s="100">
        <v>34.04</v>
      </c>
      <c r="I84" s="100">
        <v>7.3</v>
      </c>
      <c r="J84" s="100">
        <v>0.2</v>
      </c>
      <c r="K84" s="100">
        <v>201.24</v>
      </c>
      <c r="L84" s="100">
        <v>25.89</v>
      </c>
      <c r="M84" s="100">
        <v>48.31</v>
      </c>
      <c r="N84" s="100">
        <v>1.6</v>
      </c>
      <c r="O84" s="100">
        <v>0</v>
      </c>
      <c r="P84" s="100">
        <v>0.51</v>
      </c>
      <c r="Q84" s="100">
        <v>12.91</v>
      </c>
      <c r="R84" s="6"/>
      <c r="S84" s="6"/>
      <c r="T84" s="156"/>
      <c r="U84" s="6"/>
    </row>
    <row r="85" spans="1:21" customFormat="1">
      <c r="A85" s="163" t="s">
        <v>2907</v>
      </c>
      <c r="B85" s="100">
        <v>4.5999999999999996</v>
      </c>
      <c r="C85" s="100">
        <v>23.07</v>
      </c>
      <c r="D85" s="100">
        <v>17.09</v>
      </c>
      <c r="E85" s="100">
        <v>9.73</v>
      </c>
      <c r="F85" s="152" t="s">
        <v>15</v>
      </c>
      <c r="G85" s="100">
        <v>53.05</v>
      </c>
      <c r="H85" s="100">
        <v>34.04</v>
      </c>
      <c r="I85" s="100">
        <v>7.65</v>
      </c>
      <c r="J85" s="100">
        <v>0.19</v>
      </c>
      <c r="K85" s="100">
        <v>182.78</v>
      </c>
      <c r="L85" s="100">
        <v>25.36</v>
      </c>
      <c r="M85" s="100">
        <v>46.47</v>
      </c>
      <c r="N85" s="100">
        <v>1.3</v>
      </c>
      <c r="O85" s="100">
        <v>0</v>
      </c>
      <c r="P85" s="100">
        <v>0.53</v>
      </c>
      <c r="Q85" s="100">
        <v>12.91</v>
      </c>
      <c r="R85" s="6"/>
      <c r="S85" s="6"/>
      <c r="T85" s="156"/>
      <c r="U85" s="6"/>
    </row>
    <row r="86" spans="1:21" customFormat="1">
      <c r="A86" s="163" t="s">
        <v>2908</v>
      </c>
      <c r="B86" s="100">
        <v>4.8499999999999996</v>
      </c>
      <c r="C86" s="100">
        <v>22.89</v>
      </c>
      <c r="D86" s="100">
        <v>17.2</v>
      </c>
      <c r="E86" s="100">
        <v>9.76</v>
      </c>
      <c r="F86" s="152" t="s">
        <v>15</v>
      </c>
      <c r="G86" s="100">
        <v>69.52</v>
      </c>
      <c r="H86" s="100">
        <v>39.229999999999997</v>
      </c>
      <c r="I86" s="100">
        <v>7.94</v>
      </c>
      <c r="J86" s="100">
        <v>0.24</v>
      </c>
      <c r="K86" s="100">
        <v>187.46</v>
      </c>
      <c r="L86" s="100">
        <v>25.32</v>
      </c>
      <c r="M86" s="100">
        <v>49.06</v>
      </c>
      <c r="N86" s="100">
        <v>1.2</v>
      </c>
      <c r="O86" s="100">
        <v>0</v>
      </c>
      <c r="P86" s="100">
        <v>0.55000000000000004</v>
      </c>
      <c r="Q86" s="100">
        <v>12.9</v>
      </c>
      <c r="R86" s="6"/>
      <c r="S86" s="6"/>
      <c r="T86" s="156"/>
      <c r="U86" s="6"/>
    </row>
    <row r="87" spans="1:21" customFormat="1">
      <c r="A87" s="163" t="s">
        <v>2909</v>
      </c>
      <c r="B87" s="100">
        <v>4.9400000000000004</v>
      </c>
      <c r="C87" s="100">
        <v>22.88</v>
      </c>
      <c r="D87" s="100">
        <v>17.27</v>
      </c>
      <c r="E87" s="100">
        <v>9.93</v>
      </c>
      <c r="F87" s="152" t="s">
        <v>15</v>
      </c>
      <c r="G87" s="100">
        <v>75.5</v>
      </c>
      <c r="H87" s="100">
        <v>39.31</v>
      </c>
      <c r="I87" s="100">
        <v>8.25</v>
      </c>
      <c r="J87" s="100">
        <v>0.25</v>
      </c>
      <c r="K87" s="100">
        <v>240.33</v>
      </c>
      <c r="L87" s="100">
        <v>24.77</v>
      </c>
      <c r="M87" s="100">
        <v>45.79</v>
      </c>
      <c r="N87" s="100">
        <v>1.2</v>
      </c>
      <c r="O87" s="100">
        <v>0</v>
      </c>
      <c r="P87" s="100">
        <v>0.55000000000000004</v>
      </c>
      <c r="Q87" s="100">
        <v>12.91</v>
      </c>
      <c r="R87" s="6"/>
      <c r="S87" s="6"/>
      <c r="T87" s="156"/>
      <c r="U87" s="6"/>
    </row>
    <row r="88" spans="1:21" customFormat="1">
      <c r="A88" s="163" t="s">
        <v>2910</v>
      </c>
      <c r="B88" s="100">
        <v>4.9800000000000004</v>
      </c>
      <c r="C88" s="100">
        <v>22.82</v>
      </c>
      <c r="D88" s="100">
        <v>17.27</v>
      </c>
      <c r="E88" s="100">
        <v>9.24</v>
      </c>
      <c r="F88" s="152" t="s">
        <v>15</v>
      </c>
      <c r="G88" s="100">
        <v>75.5</v>
      </c>
      <c r="H88" s="100">
        <v>39.31</v>
      </c>
      <c r="I88" s="100">
        <v>8.57</v>
      </c>
      <c r="J88" s="100">
        <v>7.0000000000000007E-2</v>
      </c>
      <c r="K88" s="100">
        <v>150.91999999999999</v>
      </c>
      <c r="L88" s="100">
        <v>24.82</v>
      </c>
      <c r="M88" s="100">
        <v>45.27</v>
      </c>
      <c r="N88" s="100">
        <v>0.8</v>
      </c>
      <c r="O88" s="100">
        <v>0</v>
      </c>
      <c r="P88" s="100">
        <v>0.56000000000000005</v>
      </c>
      <c r="Q88" s="100">
        <v>12.91</v>
      </c>
      <c r="R88" s="6"/>
      <c r="S88" s="6"/>
      <c r="T88" s="156"/>
      <c r="U88" s="6"/>
    </row>
    <row r="89" spans="1:21" customFormat="1">
      <c r="A89" s="163" t="s">
        <v>2911</v>
      </c>
      <c r="B89" s="100">
        <v>5.5</v>
      </c>
      <c r="C89" s="100">
        <v>23.16</v>
      </c>
      <c r="D89" s="100">
        <v>17.86</v>
      </c>
      <c r="E89" s="100">
        <v>9.5299999999999994</v>
      </c>
      <c r="F89" s="152" t="s">
        <v>15</v>
      </c>
      <c r="G89" s="100">
        <v>75.5</v>
      </c>
      <c r="H89" s="100">
        <v>39.31</v>
      </c>
      <c r="I89" s="100">
        <v>8.6999999999999993</v>
      </c>
      <c r="J89" s="100">
        <v>0.28000000000000003</v>
      </c>
      <c r="K89" s="100">
        <v>180.24</v>
      </c>
      <c r="L89" s="100">
        <v>24.6</v>
      </c>
      <c r="M89" s="100">
        <v>51.87</v>
      </c>
      <c r="N89" s="100">
        <v>1.3</v>
      </c>
      <c r="O89" s="100">
        <v>0</v>
      </c>
      <c r="P89" s="100">
        <v>0.57999999999999996</v>
      </c>
      <c r="Q89" s="100">
        <v>12.92</v>
      </c>
      <c r="R89" s="6"/>
      <c r="S89" s="6"/>
      <c r="T89" s="156"/>
      <c r="U89" s="6"/>
    </row>
    <row r="90" spans="1:21" customFormat="1">
      <c r="A90" s="163" t="s">
        <v>2912</v>
      </c>
      <c r="B90" s="100">
        <v>6.12</v>
      </c>
      <c r="C90" s="100">
        <v>23.64</v>
      </c>
      <c r="D90" s="100">
        <v>18.61</v>
      </c>
      <c r="E90" s="100">
        <v>9.51</v>
      </c>
      <c r="F90" s="152" t="s">
        <v>15</v>
      </c>
      <c r="G90" s="100">
        <v>70.28</v>
      </c>
      <c r="H90" s="100">
        <v>29.54</v>
      </c>
      <c r="I90" s="100">
        <v>8.7799999999999994</v>
      </c>
      <c r="J90" s="100">
        <v>0.24</v>
      </c>
      <c r="K90" s="100">
        <v>128.97999999999999</v>
      </c>
      <c r="L90" s="100">
        <v>24.27</v>
      </c>
      <c r="M90" s="100">
        <v>49.59</v>
      </c>
      <c r="N90" s="100">
        <v>0.9</v>
      </c>
      <c r="O90" s="100">
        <v>0</v>
      </c>
      <c r="P90" s="100">
        <v>0.6</v>
      </c>
      <c r="Q90" s="100">
        <v>12.92</v>
      </c>
      <c r="R90" s="6"/>
      <c r="S90" s="6"/>
      <c r="T90" s="156"/>
      <c r="U90" s="6"/>
    </row>
    <row r="91" spans="1:21" customFormat="1">
      <c r="A91" s="163" t="s">
        <v>2913</v>
      </c>
      <c r="B91" s="100">
        <v>7.47</v>
      </c>
      <c r="C91" s="100">
        <v>24.36</v>
      </c>
      <c r="D91" s="100">
        <v>20.07</v>
      </c>
      <c r="E91" s="100">
        <v>9.2899999999999991</v>
      </c>
      <c r="F91" s="152" t="s">
        <v>15</v>
      </c>
      <c r="G91" s="100">
        <v>68.38</v>
      </c>
      <c r="H91" s="100">
        <v>29.38</v>
      </c>
      <c r="I91" s="100">
        <v>8.93</v>
      </c>
      <c r="J91" s="100">
        <v>0.31</v>
      </c>
      <c r="K91" s="100">
        <v>159.19</v>
      </c>
      <c r="L91" s="100">
        <v>24.25</v>
      </c>
      <c r="M91" s="100">
        <v>51.97</v>
      </c>
      <c r="N91" s="100">
        <v>1</v>
      </c>
      <c r="O91" s="100">
        <v>0</v>
      </c>
      <c r="P91" s="100">
        <v>0.64</v>
      </c>
      <c r="Q91" s="100">
        <v>12.93</v>
      </c>
      <c r="R91" s="6"/>
      <c r="S91" s="6"/>
      <c r="T91" s="156"/>
      <c r="U91" s="6"/>
    </row>
    <row r="92" spans="1:21" customFormat="1">
      <c r="A92" s="163" t="s">
        <v>2914</v>
      </c>
      <c r="B92" s="100">
        <v>9.2100000000000009</v>
      </c>
      <c r="C92" s="100">
        <v>25.21</v>
      </c>
      <c r="D92" s="100">
        <v>21.91</v>
      </c>
      <c r="E92" s="100">
        <v>9.49</v>
      </c>
      <c r="F92" s="152" t="s">
        <v>15</v>
      </c>
      <c r="G92" s="100">
        <v>68.38</v>
      </c>
      <c r="H92" s="100">
        <v>29.38</v>
      </c>
      <c r="I92" s="100">
        <v>9.16</v>
      </c>
      <c r="J92" s="100">
        <v>0.28000000000000003</v>
      </c>
      <c r="K92" s="100">
        <v>162.87</v>
      </c>
      <c r="L92" s="100">
        <v>23.77</v>
      </c>
      <c r="M92" s="100">
        <v>54.05</v>
      </c>
      <c r="N92" s="100">
        <v>1.1000000000000001</v>
      </c>
      <c r="O92" s="100">
        <v>0</v>
      </c>
      <c r="P92" s="100">
        <v>0.66</v>
      </c>
      <c r="Q92" s="100">
        <v>12.93</v>
      </c>
      <c r="R92" s="6"/>
      <c r="S92" s="6"/>
      <c r="T92" s="156"/>
      <c r="U92" s="6"/>
    </row>
    <row r="93" spans="1:21" customFormat="1">
      <c r="A93" s="163" t="s">
        <v>2915</v>
      </c>
      <c r="B93" s="100">
        <v>10.76</v>
      </c>
      <c r="C93" s="100">
        <v>25.71</v>
      </c>
      <c r="D93" s="100">
        <v>23.41</v>
      </c>
      <c r="E93" s="100">
        <v>9.41</v>
      </c>
      <c r="F93" s="152" t="s">
        <v>15</v>
      </c>
      <c r="G93" s="100">
        <v>68.38</v>
      </c>
      <c r="H93" s="100">
        <v>29.38</v>
      </c>
      <c r="I93" s="100">
        <v>9.49</v>
      </c>
      <c r="J93" s="100">
        <v>0.24</v>
      </c>
      <c r="K93" s="100">
        <v>173.32</v>
      </c>
      <c r="L93" s="100">
        <v>23.31</v>
      </c>
      <c r="M93" s="100">
        <v>58.86</v>
      </c>
      <c r="N93" s="100">
        <v>1.1000000000000001</v>
      </c>
      <c r="O93" s="100">
        <v>0</v>
      </c>
      <c r="P93" s="100">
        <v>0.69</v>
      </c>
      <c r="Q93" s="100">
        <v>12.94</v>
      </c>
      <c r="R93" s="6"/>
      <c r="S93" s="6"/>
      <c r="T93" s="156"/>
      <c r="U93" s="6"/>
    </row>
    <row r="94" spans="1:21" customFormat="1">
      <c r="A94" s="163" t="s">
        <v>2916</v>
      </c>
      <c r="B94" s="100">
        <v>12.23</v>
      </c>
      <c r="C94" s="100">
        <v>26.28</v>
      </c>
      <c r="D94" s="100">
        <v>24.89</v>
      </c>
      <c r="E94" s="100">
        <v>9.68</v>
      </c>
      <c r="F94" s="152" t="s">
        <v>15</v>
      </c>
      <c r="G94" s="100">
        <v>81.87</v>
      </c>
      <c r="H94" s="100">
        <v>29.82</v>
      </c>
      <c r="I94" s="100">
        <v>9.92</v>
      </c>
      <c r="J94" s="100">
        <v>0.24</v>
      </c>
      <c r="K94" s="100">
        <v>208.23</v>
      </c>
      <c r="L94" s="100">
        <v>22.6</v>
      </c>
      <c r="M94" s="100">
        <v>60.46</v>
      </c>
      <c r="N94" s="100">
        <v>1.4</v>
      </c>
      <c r="O94" s="100">
        <v>0</v>
      </c>
      <c r="P94" s="100">
        <v>0.73</v>
      </c>
      <c r="Q94" s="100">
        <v>12.93</v>
      </c>
      <c r="R94" s="6"/>
      <c r="S94" s="6"/>
      <c r="T94" s="156"/>
      <c r="U94" s="6"/>
    </row>
    <row r="95" spans="1:21" customFormat="1">
      <c r="A95" s="163" t="s">
        <v>2917</v>
      </c>
      <c r="B95" s="100">
        <v>13.54</v>
      </c>
      <c r="C95" s="100">
        <v>26.53</v>
      </c>
      <c r="D95" s="100">
        <v>26.07</v>
      </c>
      <c r="E95" s="100">
        <v>9.91</v>
      </c>
      <c r="F95" s="152" t="s">
        <v>15</v>
      </c>
      <c r="G95" s="100">
        <v>86.78</v>
      </c>
      <c r="H95" s="100">
        <v>29.83</v>
      </c>
      <c r="I95" s="100">
        <v>10.36</v>
      </c>
      <c r="J95" s="100">
        <v>0.17</v>
      </c>
      <c r="K95" s="100">
        <v>169.26</v>
      </c>
      <c r="L95" s="100">
        <v>22.3</v>
      </c>
      <c r="M95" s="100">
        <v>55.46</v>
      </c>
      <c r="N95" s="100">
        <v>0.9</v>
      </c>
      <c r="O95" s="100">
        <v>0</v>
      </c>
      <c r="P95" s="100">
        <v>0.75</v>
      </c>
      <c r="Q95" s="100">
        <v>12.96</v>
      </c>
      <c r="R95" s="6"/>
      <c r="S95" s="6"/>
      <c r="T95" s="156"/>
      <c r="U95" s="6"/>
    </row>
    <row r="96" spans="1:21" customFormat="1">
      <c r="A96" s="163" t="s">
        <v>2918</v>
      </c>
      <c r="B96" s="100">
        <v>14.39</v>
      </c>
      <c r="C96" s="100">
        <v>26.72</v>
      </c>
      <c r="D96" s="100">
        <v>26.85</v>
      </c>
      <c r="E96" s="100">
        <v>9.57</v>
      </c>
      <c r="F96" s="152" t="s">
        <v>15</v>
      </c>
      <c r="G96" s="100">
        <v>86.78</v>
      </c>
      <c r="H96" s="100">
        <v>29.83</v>
      </c>
      <c r="I96" s="100">
        <v>10.71</v>
      </c>
      <c r="J96" s="100">
        <v>0.26</v>
      </c>
      <c r="K96" s="100">
        <v>182.9</v>
      </c>
      <c r="L96" s="100">
        <v>22.27</v>
      </c>
      <c r="M96" s="100">
        <v>62.75</v>
      </c>
      <c r="N96" s="100">
        <v>1.1000000000000001</v>
      </c>
      <c r="O96" s="100">
        <v>0</v>
      </c>
      <c r="P96" s="100">
        <v>0.76</v>
      </c>
      <c r="Q96" s="100">
        <v>12.96</v>
      </c>
      <c r="R96" s="6"/>
      <c r="S96" s="6"/>
      <c r="T96" s="156"/>
      <c r="U96" s="6"/>
    </row>
    <row r="97" spans="1:28" customFormat="1">
      <c r="A97" s="163" t="s">
        <v>2919</v>
      </c>
      <c r="B97" s="100">
        <v>14.99</v>
      </c>
      <c r="C97" s="100">
        <v>26.75</v>
      </c>
      <c r="D97" s="100">
        <v>27.35</v>
      </c>
      <c r="E97" s="100">
        <v>9.93</v>
      </c>
      <c r="F97" s="152" t="s">
        <v>15</v>
      </c>
      <c r="G97" s="100">
        <v>86.78</v>
      </c>
      <c r="H97" s="100">
        <v>29.83</v>
      </c>
      <c r="I97" s="100">
        <v>11</v>
      </c>
      <c r="J97" s="100">
        <v>0.17</v>
      </c>
      <c r="K97" s="100">
        <v>194.17</v>
      </c>
      <c r="L97" s="100">
        <v>21.71</v>
      </c>
      <c r="M97" s="100">
        <v>63.63</v>
      </c>
      <c r="N97" s="100">
        <v>1.2</v>
      </c>
      <c r="O97" s="100">
        <v>0</v>
      </c>
      <c r="P97" s="100">
        <v>0.77</v>
      </c>
      <c r="Q97" s="100">
        <v>12.97</v>
      </c>
      <c r="R97" s="6"/>
      <c r="S97" s="6"/>
      <c r="T97" s="156"/>
      <c r="U97" s="6"/>
    </row>
    <row r="98" spans="1:28" customFormat="1">
      <c r="A98" s="163" t="s">
        <v>2920</v>
      </c>
      <c r="B98" s="100">
        <v>15.44</v>
      </c>
      <c r="C98" s="100">
        <v>26.89</v>
      </c>
      <c r="D98" s="100">
        <v>27.78</v>
      </c>
      <c r="E98" s="100">
        <v>9.44</v>
      </c>
      <c r="F98" s="152" t="s">
        <v>15</v>
      </c>
      <c r="G98" s="100">
        <v>90.27</v>
      </c>
      <c r="H98" s="100">
        <v>29.51</v>
      </c>
      <c r="I98" s="100">
        <v>11.24</v>
      </c>
      <c r="J98" s="100">
        <v>0.18</v>
      </c>
      <c r="K98" s="100">
        <v>157.13999999999999</v>
      </c>
      <c r="L98" s="100">
        <v>21.86</v>
      </c>
      <c r="M98" s="100">
        <v>60.27</v>
      </c>
      <c r="N98" s="100">
        <v>0.7</v>
      </c>
      <c r="O98" s="100">
        <v>0</v>
      </c>
      <c r="P98" s="100">
        <v>0.79</v>
      </c>
      <c r="Q98" s="100">
        <v>12.98</v>
      </c>
      <c r="R98" s="6"/>
      <c r="S98" s="6"/>
      <c r="T98" s="156"/>
      <c r="U98" s="6"/>
    </row>
    <row r="99" spans="1:28" customFormat="1">
      <c r="A99" s="163" t="s">
        <v>2921</v>
      </c>
      <c r="B99" s="100">
        <v>16.73</v>
      </c>
      <c r="C99" s="100">
        <v>27.37</v>
      </c>
      <c r="D99" s="100">
        <v>29.07</v>
      </c>
      <c r="E99" s="100">
        <v>9.5</v>
      </c>
      <c r="F99" s="152" t="s">
        <v>15</v>
      </c>
      <c r="G99" s="100">
        <v>91.54</v>
      </c>
      <c r="H99" s="100">
        <v>29.51</v>
      </c>
      <c r="I99" s="100">
        <v>11.48</v>
      </c>
      <c r="J99" s="100">
        <v>0.18</v>
      </c>
      <c r="K99" s="100">
        <v>169.39</v>
      </c>
      <c r="L99" s="100">
        <v>21.98</v>
      </c>
      <c r="M99" s="100">
        <v>59.67</v>
      </c>
      <c r="N99" s="100">
        <v>0.8</v>
      </c>
      <c r="O99" s="100">
        <v>0</v>
      </c>
      <c r="P99" s="100">
        <v>0.85</v>
      </c>
      <c r="Q99" s="100">
        <v>12.97</v>
      </c>
      <c r="R99" s="6"/>
      <c r="S99" s="6"/>
      <c r="T99" s="156"/>
      <c r="U99" s="6"/>
    </row>
    <row r="100" spans="1:28" customFormat="1">
      <c r="A100" s="163" t="s">
        <v>2922</v>
      </c>
      <c r="B100" s="100">
        <v>18.84</v>
      </c>
      <c r="C100" s="100">
        <v>27.31</v>
      </c>
      <c r="D100" s="100">
        <v>30.72</v>
      </c>
      <c r="E100" s="100">
        <v>9.3000000000000007</v>
      </c>
      <c r="F100" s="152" t="s">
        <v>15</v>
      </c>
      <c r="G100" s="100">
        <v>91.54</v>
      </c>
      <c r="H100" s="100">
        <v>29.51</v>
      </c>
      <c r="I100" s="100">
        <v>11.72</v>
      </c>
      <c r="J100" s="100">
        <v>0.23</v>
      </c>
      <c r="K100" s="100">
        <v>165.54</v>
      </c>
      <c r="L100" s="100">
        <v>21.68</v>
      </c>
      <c r="M100" s="100">
        <v>65.709999999999994</v>
      </c>
      <c r="N100" s="100">
        <v>1</v>
      </c>
      <c r="O100" s="100">
        <v>0</v>
      </c>
      <c r="P100" s="100">
        <v>0.87</v>
      </c>
      <c r="Q100" s="100">
        <v>12.97</v>
      </c>
      <c r="R100" s="6"/>
      <c r="S100" s="6"/>
      <c r="T100" s="156"/>
      <c r="U100" s="6"/>
      <c r="AB100" s="161"/>
    </row>
    <row r="101" spans="1:28" customFormat="1">
      <c r="A101" s="163" t="s">
        <v>2923</v>
      </c>
      <c r="B101" s="100">
        <v>21.03</v>
      </c>
      <c r="C101" s="100">
        <v>27.24</v>
      </c>
      <c r="D101" s="100">
        <v>32.450000000000003</v>
      </c>
      <c r="E101" s="100">
        <v>9.43</v>
      </c>
      <c r="F101" s="152" t="s">
        <v>15</v>
      </c>
      <c r="G101" s="100">
        <v>91.54</v>
      </c>
      <c r="H101" s="100">
        <v>29.51</v>
      </c>
      <c r="I101" s="100">
        <v>11.91</v>
      </c>
      <c r="J101" s="100">
        <v>0.18</v>
      </c>
      <c r="K101" s="100">
        <v>183.34</v>
      </c>
      <c r="L101" s="100">
        <v>21.43</v>
      </c>
      <c r="M101" s="100">
        <v>64.78</v>
      </c>
      <c r="N101" s="100">
        <v>1</v>
      </c>
      <c r="O101" s="100">
        <v>0</v>
      </c>
      <c r="P101" s="100">
        <v>0.89</v>
      </c>
      <c r="Q101" s="100">
        <v>12.98</v>
      </c>
      <c r="R101" s="6"/>
      <c r="S101" s="6"/>
      <c r="T101" s="156"/>
      <c r="U101" s="6"/>
    </row>
    <row r="102" spans="1:28" customFormat="1">
      <c r="A102" s="163" t="s">
        <v>2924</v>
      </c>
      <c r="B102" s="100">
        <v>23.35</v>
      </c>
      <c r="C102" s="100">
        <v>27.28</v>
      </c>
      <c r="D102" s="100">
        <v>34.33</v>
      </c>
      <c r="E102" s="100">
        <v>9.75</v>
      </c>
      <c r="F102" s="152" t="s">
        <v>15</v>
      </c>
      <c r="G102" s="100">
        <v>103.11</v>
      </c>
      <c r="H102" s="100">
        <v>29.45</v>
      </c>
      <c r="I102" s="100">
        <v>12.07</v>
      </c>
      <c r="J102" s="100">
        <v>0.23</v>
      </c>
      <c r="K102" s="100">
        <v>197.65</v>
      </c>
      <c r="L102" s="100">
        <v>20.86</v>
      </c>
      <c r="M102" s="100">
        <v>67.400000000000006</v>
      </c>
      <c r="N102" s="100">
        <v>1.3</v>
      </c>
      <c r="O102" s="100">
        <v>0</v>
      </c>
      <c r="P102" s="100">
        <v>0.92</v>
      </c>
      <c r="Q102" s="100">
        <v>12.99</v>
      </c>
      <c r="R102" s="6"/>
      <c r="S102" s="6"/>
      <c r="T102" s="156"/>
      <c r="U102" s="6"/>
    </row>
    <row r="103" spans="1:28" customFormat="1">
      <c r="A103" s="163" t="s">
        <v>2925</v>
      </c>
      <c r="B103" s="100">
        <v>24.46</v>
      </c>
      <c r="C103" s="100">
        <v>27.08</v>
      </c>
      <c r="D103" s="100">
        <v>35.119999999999997</v>
      </c>
      <c r="E103" s="100">
        <v>9.6300000000000008</v>
      </c>
      <c r="F103" s="152" t="s">
        <v>15</v>
      </c>
      <c r="G103" s="100">
        <v>107.32</v>
      </c>
      <c r="H103" s="100">
        <v>29.45</v>
      </c>
      <c r="I103" s="100">
        <v>12.24</v>
      </c>
      <c r="J103" s="100">
        <v>0.16</v>
      </c>
      <c r="K103" s="100">
        <v>171.91</v>
      </c>
      <c r="L103" s="100">
        <v>20.63</v>
      </c>
      <c r="M103" s="100">
        <v>67.88</v>
      </c>
      <c r="N103" s="100">
        <v>1.1000000000000001</v>
      </c>
      <c r="O103" s="100">
        <v>0</v>
      </c>
      <c r="P103" s="100">
        <v>0.92</v>
      </c>
      <c r="Q103" s="100">
        <v>12.99</v>
      </c>
      <c r="R103" s="6"/>
      <c r="S103" s="6"/>
      <c r="T103" s="156"/>
      <c r="U103" s="6"/>
    </row>
    <row r="104" spans="1:28" customFormat="1">
      <c r="A104" s="163" t="s">
        <v>2926</v>
      </c>
      <c r="B104" s="100">
        <v>24.66</v>
      </c>
      <c r="C104" s="100">
        <v>26.62</v>
      </c>
      <c r="D104" s="100">
        <v>35.04</v>
      </c>
      <c r="E104" s="100">
        <v>9.2899999999999991</v>
      </c>
      <c r="F104" s="152" t="s">
        <v>15</v>
      </c>
      <c r="G104" s="100">
        <v>107.32</v>
      </c>
      <c r="H104" s="100">
        <v>29.45</v>
      </c>
      <c r="I104" s="100">
        <v>12.39</v>
      </c>
      <c r="J104" s="100">
        <v>0.19</v>
      </c>
      <c r="K104" s="100">
        <v>203.37</v>
      </c>
      <c r="L104" s="100">
        <v>20.58</v>
      </c>
      <c r="M104" s="100">
        <v>66.760000000000005</v>
      </c>
      <c r="N104" s="100">
        <v>0.9</v>
      </c>
      <c r="O104" s="100">
        <v>0</v>
      </c>
      <c r="P104" s="100">
        <v>0.93</v>
      </c>
      <c r="Q104" s="100">
        <v>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4.03</v>
      </c>
      <c r="C106" s="158">
        <f>MIN(C9:C104)</f>
        <v>22.27</v>
      </c>
      <c r="D106" s="158">
        <f t="shared" ref="D106:Q106" si="0">MIN(D9:D104)</f>
        <v>16.8</v>
      </c>
      <c r="E106" s="158">
        <f t="shared" si="0"/>
        <v>8.0299999999999994</v>
      </c>
      <c r="F106" s="158">
        <f t="shared" si="0"/>
        <v>0</v>
      </c>
      <c r="G106" s="158">
        <f t="shared" si="0"/>
        <v>45.71</v>
      </c>
      <c r="H106" s="158">
        <f t="shared" si="0"/>
        <v>22.1</v>
      </c>
      <c r="I106" s="158">
        <f t="shared" si="0"/>
        <v>6.78</v>
      </c>
      <c r="J106" s="158">
        <f t="shared" si="0"/>
        <v>0.01</v>
      </c>
      <c r="K106" s="158">
        <f t="shared" si="0"/>
        <v>0.89</v>
      </c>
      <c r="L106" s="158">
        <f t="shared" si="0"/>
        <v>20.58</v>
      </c>
      <c r="M106" s="158">
        <f t="shared" si="0"/>
        <v>20.48</v>
      </c>
      <c r="N106" s="158">
        <f t="shared" si="0"/>
        <v>0.4</v>
      </c>
      <c r="O106" s="158">
        <f t="shared" si="0"/>
        <v>0</v>
      </c>
      <c r="P106" s="158">
        <f t="shared" si="0"/>
        <v>0.49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24.66</v>
      </c>
      <c r="C107" s="157">
        <f t="shared" ref="C107:Q107" si="1">MAX(C9:C104)</f>
        <v>29.46</v>
      </c>
      <c r="D107" s="157">
        <f t="shared" si="1"/>
        <v>35.119999999999997</v>
      </c>
      <c r="E107" s="157">
        <f t="shared" si="1"/>
        <v>24.56</v>
      </c>
      <c r="F107" s="157">
        <f t="shared" si="1"/>
        <v>0</v>
      </c>
      <c r="G107" s="157">
        <f t="shared" si="1"/>
        <v>115.46</v>
      </c>
      <c r="H107" s="157">
        <f t="shared" si="1"/>
        <v>50.92</v>
      </c>
      <c r="I107" s="157">
        <f t="shared" si="1"/>
        <v>12.93</v>
      </c>
      <c r="J107" s="157">
        <f t="shared" si="1"/>
        <v>1.53</v>
      </c>
      <c r="K107" s="157">
        <f t="shared" si="1"/>
        <v>353.57</v>
      </c>
      <c r="L107" s="157">
        <f t="shared" si="1"/>
        <v>33.299999999999997</v>
      </c>
      <c r="M107" s="157">
        <f t="shared" si="1"/>
        <v>77.400000000000006</v>
      </c>
      <c r="N107" s="157">
        <f t="shared" si="1"/>
        <v>342.5</v>
      </c>
      <c r="O107" s="157">
        <f t="shared" si="1"/>
        <v>0</v>
      </c>
      <c r="P107" s="157">
        <f t="shared" si="1"/>
        <v>1.06</v>
      </c>
      <c r="Q107" s="157">
        <f t="shared" si="1"/>
        <v>13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10.409479166666673</v>
      </c>
      <c r="C108" s="158">
        <f t="shared" ref="C108:Q108" si="2">AVERAGE(C9:C104)</f>
        <v>26.135208333333328</v>
      </c>
      <c r="D108" s="158">
        <f t="shared" si="2"/>
        <v>23.353749999999991</v>
      </c>
      <c r="E108" s="158">
        <f t="shared" si="2"/>
        <v>11.507916666666665</v>
      </c>
      <c r="F108" s="158" t="e">
        <f t="shared" si="2"/>
        <v>#DIV/0!</v>
      </c>
      <c r="G108" s="158">
        <f t="shared" si="2"/>
        <v>82.487604166666685</v>
      </c>
      <c r="H108" s="158">
        <f t="shared" si="2"/>
        <v>33.683958333333329</v>
      </c>
      <c r="I108" s="158">
        <f t="shared" si="2"/>
        <v>10.210833333333335</v>
      </c>
      <c r="J108" s="158">
        <f t="shared" si="2"/>
        <v>0.453125</v>
      </c>
      <c r="K108" s="158">
        <f t="shared" si="2"/>
        <v>149.67635416666664</v>
      </c>
      <c r="L108" s="158">
        <f t="shared" si="2"/>
        <v>25.627499999999998</v>
      </c>
      <c r="M108" s="158">
        <f t="shared" si="2"/>
        <v>53.817916666666669</v>
      </c>
      <c r="N108" s="158">
        <f t="shared" si="2"/>
        <v>80.610416666666694</v>
      </c>
      <c r="O108" s="158">
        <f t="shared" si="2"/>
        <v>0</v>
      </c>
      <c r="P108" s="158">
        <f t="shared" si="2"/>
        <v>0.79833333333333367</v>
      </c>
      <c r="Q108" s="158">
        <f t="shared" si="2"/>
        <v>12.954895833333332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5.4845849758624459</v>
      </c>
      <c r="C109" s="158">
        <f t="shared" ref="C109:Q109" si="3">STDEV(C9:C104)</f>
        <v>1.908102931774283</v>
      </c>
      <c r="D109" s="158">
        <f t="shared" si="3"/>
        <v>5.0167689853761486</v>
      </c>
      <c r="E109" s="158">
        <f t="shared" si="3"/>
        <v>2.9420161066741173</v>
      </c>
      <c r="F109" s="158" t="e">
        <f t="shared" si="3"/>
        <v>#DIV/0!</v>
      </c>
      <c r="G109" s="158">
        <f t="shared" si="3"/>
        <v>19.232298532186274</v>
      </c>
      <c r="H109" s="158">
        <f t="shared" si="3"/>
        <v>6.3572969229592466</v>
      </c>
      <c r="I109" s="158">
        <f t="shared" si="3"/>
        <v>2.0148332393665034</v>
      </c>
      <c r="J109" s="158">
        <f t="shared" si="3"/>
        <v>0.35796004628567418</v>
      </c>
      <c r="K109" s="158">
        <f t="shared" si="3"/>
        <v>101.37857643630728</v>
      </c>
      <c r="L109" s="158">
        <f t="shared" si="3"/>
        <v>4.5773343196323797</v>
      </c>
      <c r="M109" s="158">
        <f t="shared" si="3"/>
        <v>17.43906249995085</v>
      </c>
      <c r="N109" s="158">
        <f t="shared" si="3"/>
        <v>116.86230356968849</v>
      </c>
      <c r="O109" s="158">
        <f t="shared" si="3"/>
        <v>0</v>
      </c>
      <c r="P109" s="158">
        <f t="shared" si="3"/>
        <v>0.17566515196257543</v>
      </c>
      <c r="Q109" s="158">
        <f t="shared" si="3"/>
        <v>3.1986668001287195E-2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I112" sqref="I1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719</v>
      </c>
      <c r="B9" s="133" t="s">
        <v>4</v>
      </c>
      <c r="C9" s="133" t="s">
        <v>4</v>
      </c>
      <c r="D9" s="133" t="s">
        <v>4</v>
      </c>
      <c r="E9" s="133" t="s">
        <v>4</v>
      </c>
      <c r="F9" s="133" t="s">
        <v>4</v>
      </c>
      <c r="G9" s="133" t="s">
        <v>4</v>
      </c>
      <c r="H9" s="133" t="s">
        <v>4</v>
      </c>
      <c r="I9" s="133" t="s">
        <v>4</v>
      </c>
      <c r="J9" s="133" t="s">
        <v>4</v>
      </c>
      <c r="K9" s="133" t="s">
        <v>4</v>
      </c>
      <c r="L9" s="133" t="s">
        <v>4</v>
      </c>
      <c r="M9" s="133" t="s">
        <v>4</v>
      </c>
      <c r="N9" s="133" t="s">
        <v>4</v>
      </c>
      <c r="O9" s="133" t="s">
        <v>4</v>
      </c>
      <c r="P9" s="133" t="s">
        <v>4</v>
      </c>
      <c r="Q9" s="133" t="s">
        <v>4</v>
      </c>
      <c r="R9" s="6"/>
      <c r="S9" s="6"/>
      <c r="T9" s="156"/>
      <c r="U9" s="6"/>
    </row>
    <row r="10" spans="1:21" customFormat="1">
      <c r="A10" s="163" t="s">
        <v>720</v>
      </c>
      <c r="B10" s="133" t="s">
        <v>4</v>
      </c>
      <c r="C10" s="133" t="s">
        <v>4</v>
      </c>
      <c r="D10" s="133" t="s">
        <v>4</v>
      </c>
      <c r="E10" s="133" t="s">
        <v>4</v>
      </c>
      <c r="F10" s="133" t="s">
        <v>4</v>
      </c>
      <c r="G10" s="133" t="s">
        <v>4</v>
      </c>
      <c r="H10" s="133" t="s">
        <v>4</v>
      </c>
      <c r="I10" s="133" t="s">
        <v>4</v>
      </c>
      <c r="J10" s="133" t="s">
        <v>4</v>
      </c>
      <c r="K10" s="133" t="s">
        <v>4</v>
      </c>
      <c r="L10" s="133" t="s">
        <v>4</v>
      </c>
      <c r="M10" s="133" t="s">
        <v>4</v>
      </c>
      <c r="N10" s="133" t="s">
        <v>4</v>
      </c>
      <c r="O10" s="133" t="s">
        <v>4</v>
      </c>
      <c r="P10" s="133" t="s">
        <v>4</v>
      </c>
      <c r="Q10" s="133" t="s">
        <v>4</v>
      </c>
      <c r="R10" s="6"/>
      <c r="S10" s="6"/>
      <c r="T10" s="156"/>
      <c r="U10" s="6"/>
    </row>
    <row r="11" spans="1:21" customFormat="1">
      <c r="A11" s="163" t="s">
        <v>721</v>
      </c>
      <c r="B11" s="133" t="s">
        <v>4</v>
      </c>
      <c r="C11" s="133" t="s">
        <v>4</v>
      </c>
      <c r="D11" s="133" t="s">
        <v>4</v>
      </c>
      <c r="E11" s="133" t="s">
        <v>4</v>
      </c>
      <c r="F11" s="133" t="s">
        <v>4</v>
      </c>
      <c r="G11" s="133" t="s">
        <v>4</v>
      </c>
      <c r="H11" s="133" t="s">
        <v>4</v>
      </c>
      <c r="I11" s="133" t="s">
        <v>4</v>
      </c>
      <c r="J11" s="133" t="s">
        <v>4</v>
      </c>
      <c r="K11" s="133" t="s">
        <v>4</v>
      </c>
      <c r="L11" s="133" t="s">
        <v>4</v>
      </c>
      <c r="M11" s="133" t="s">
        <v>4</v>
      </c>
      <c r="N11" s="133" t="s">
        <v>4</v>
      </c>
      <c r="O11" s="133" t="s">
        <v>4</v>
      </c>
      <c r="P11" s="133" t="s">
        <v>4</v>
      </c>
      <c r="Q11" s="133" t="s">
        <v>4</v>
      </c>
      <c r="R11" s="6"/>
      <c r="S11" s="6"/>
      <c r="T11" s="156"/>
      <c r="U11" s="6"/>
    </row>
    <row r="12" spans="1:21" customFormat="1">
      <c r="A12" s="163" t="s">
        <v>722</v>
      </c>
      <c r="B12" s="100">
        <v>5.33</v>
      </c>
      <c r="C12" s="100">
        <v>23.88</v>
      </c>
      <c r="D12" s="100">
        <v>18.100000000000001</v>
      </c>
      <c r="E12" s="100">
        <v>11.07</v>
      </c>
      <c r="F12" s="152" t="s">
        <v>15</v>
      </c>
      <c r="G12" s="100">
        <v>72.430000000000007</v>
      </c>
      <c r="H12" s="100">
        <v>27.44</v>
      </c>
      <c r="I12" s="100">
        <v>14.68</v>
      </c>
      <c r="J12" s="100">
        <v>0.82</v>
      </c>
      <c r="K12" s="100">
        <v>289.82</v>
      </c>
      <c r="L12" s="100">
        <v>29.57</v>
      </c>
      <c r="M12" s="100">
        <v>45.13</v>
      </c>
      <c r="N12" s="100">
        <v>257.89999999999998</v>
      </c>
      <c r="O12" s="100">
        <v>0</v>
      </c>
      <c r="P12" s="100">
        <v>1.05</v>
      </c>
      <c r="Q12" s="100">
        <v>12.95</v>
      </c>
      <c r="R12" s="6"/>
      <c r="S12" s="6"/>
      <c r="T12" s="156"/>
      <c r="U12" s="6"/>
    </row>
    <row r="13" spans="1:21" customFormat="1">
      <c r="A13" s="163" t="s">
        <v>723</v>
      </c>
      <c r="B13" s="100">
        <v>4.78</v>
      </c>
      <c r="C13" s="100">
        <v>24.32</v>
      </c>
      <c r="D13" s="100">
        <v>17.89</v>
      </c>
      <c r="E13" s="100">
        <v>11.49</v>
      </c>
      <c r="F13" s="152" t="s">
        <v>15</v>
      </c>
      <c r="G13" s="100">
        <v>72.33</v>
      </c>
      <c r="H13" s="100">
        <v>27.49</v>
      </c>
      <c r="I13" s="100">
        <v>14.75</v>
      </c>
      <c r="J13" s="100">
        <v>0.62</v>
      </c>
      <c r="K13" s="100">
        <v>270.66000000000003</v>
      </c>
      <c r="L13" s="100">
        <v>30.08</v>
      </c>
      <c r="M13" s="100">
        <v>44.41</v>
      </c>
      <c r="N13" s="100">
        <v>276.39999999999998</v>
      </c>
      <c r="O13" s="100">
        <v>0</v>
      </c>
      <c r="P13" s="100">
        <v>1.06</v>
      </c>
      <c r="Q13" s="100">
        <v>12.95</v>
      </c>
      <c r="R13" s="6"/>
      <c r="S13" s="6"/>
      <c r="T13" s="156"/>
      <c r="U13" s="6"/>
    </row>
    <row r="14" spans="1:21" customFormat="1">
      <c r="A14" s="163" t="s">
        <v>724</v>
      </c>
      <c r="B14" s="100">
        <v>4.45</v>
      </c>
      <c r="C14" s="100">
        <v>24.5</v>
      </c>
      <c r="D14" s="100">
        <v>17.72</v>
      </c>
      <c r="E14" s="100">
        <v>12</v>
      </c>
      <c r="F14" s="152" t="s">
        <v>15</v>
      </c>
      <c r="G14" s="100">
        <v>69.430000000000007</v>
      </c>
      <c r="H14" s="100">
        <v>29.22</v>
      </c>
      <c r="I14" s="100">
        <v>14.75</v>
      </c>
      <c r="J14" s="100">
        <v>0.89</v>
      </c>
      <c r="K14" s="100">
        <v>292.63</v>
      </c>
      <c r="L14" s="100">
        <v>30.54</v>
      </c>
      <c r="M14" s="100">
        <v>43.32</v>
      </c>
      <c r="N14" s="100">
        <v>280.8</v>
      </c>
      <c r="O14" s="100">
        <v>0</v>
      </c>
      <c r="P14" s="100">
        <v>1.06</v>
      </c>
      <c r="Q14" s="100">
        <v>12.95</v>
      </c>
      <c r="R14" s="6"/>
      <c r="S14" s="6"/>
      <c r="T14" s="156"/>
      <c r="U14" s="6"/>
    </row>
    <row r="15" spans="1:21" customFormat="1">
      <c r="A15" s="163" t="s">
        <v>725</v>
      </c>
      <c r="B15" s="100">
        <v>4.24</v>
      </c>
      <c r="C15" s="100">
        <v>24.68</v>
      </c>
      <c r="D15" s="100">
        <v>17.64</v>
      </c>
      <c r="E15" s="100">
        <v>11.5</v>
      </c>
      <c r="F15" s="152" t="s">
        <v>15</v>
      </c>
      <c r="G15" s="100">
        <v>69.430000000000007</v>
      </c>
      <c r="H15" s="100">
        <v>29.22</v>
      </c>
      <c r="I15" s="100">
        <v>14.86</v>
      </c>
      <c r="J15" s="100">
        <v>0.61</v>
      </c>
      <c r="K15" s="100">
        <v>275.24</v>
      </c>
      <c r="L15" s="100">
        <v>30.96</v>
      </c>
      <c r="M15" s="100">
        <v>43.17</v>
      </c>
      <c r="N15" s="100">
        <v>285.89999999999998</v>
      </c>
      <c r="O15" s="100">
        <v>0</v>
      </c>
      <c r="P15" s="100">
        <v>1.05</v>
      </c>
      <c r="Q15" s="100">
        <v>12.95</v>
      </c>
      <c r="R15" s="6"/>
      <c r="S15" s="6"/>
      <c r="T15" s="156"/>
      <c r="U15" s="6"/>
    </row>
    <row r="16" spans="1:21" customFormat="1">
      <c r="A16" s="163" t="s">
        <v>726</v>
      </c>
      <c r="B16" s="100">
        <v>4</v>
      </c>
      <c r="C16" s="100">
        <v>24.57</v>
      </c>
      <c r="D16" s="100">
        <v>17.39</v>
      </c>
      <c r="E16" s="100">
        <v>11.29</v>
      </c>
      <c r="F16" s="152" t="s">
        <v>15</v>
      </c>
      <c r="G16" s="100">
        <v>69.430000000000007</v>
      </c>
      <c r="H16" s="100">
        <v>29.22</v>
      </c>
      <c r="I16" s="100">
        <v>14.79</v>
      </c>
      <c r="J16" s="100">
        <v>0.71</v>
      </c>
      <c r="K16" s="100">
        <v>270.14999999999998</v>
      </c>
      <c r="L16" s="100">
        <v>31.41</v>
      </c>
      <c r="M16" s="100">
        <v>41.39</v>
      </c>
      <c r="N16" s="100">
        <v>276.7</v>
      </c>
      <c r="O16" s="100">
        <v>0</v>
      </c>
      <c r="P16" s="100">
        <v>1.04</v>
      </c>
      <c r="Q16" s="100">
        <v>12.95</v>
      </c>
      <c r="R16" s="6"/>
      <c r="S16" s="6"/>
      <c r="T16" s="156"/>
      <c r="U16" s="6"/>
    </row>
    <row r="17" spans="1:21" customFormat="1">
      <c r="A17" s="163" t="s">
        <v>727</v>
      </c>
      <c r="B17" s="100">
        <v>3.82</v>
      </c>
      <c r="C17" s="100">
        <v>24.18</v>
      </c>
      <c r="D17" s="100">
        <v>17.05</v>
      </c>
      <c r="E17" s="100">
        <v>12.1</v>
      </c>
      <c r="F17" s="152" t="s">
        <v>15</v>
      </c>
      <c r="G17" s="100">
        <v>69.569999999999993</v>
      </c>
      <c r="H17" s="100">
        <v>29.23</v>
      </c>
      <c r="I17" s="100">
        <v>14.6</v>
      </c>
      <c r="J17" s="100">
        <v>0.78</v>
      </c>
      <c r="K17" s="100">
        <v>254.62</v>
      </c>
      <c r="L17" s="100">
        <v>32.130000000000003</v>
      </c>
      <c r="M17" s="100">
        <v>39.31</v>
      </c>
      <c r="N17" s="100">
        <v>278.89999999999998</v>
      </c>
      <c r="O17" s="100">
        <v>0</v>
      </c>
      <c r="P17" s="100">
        <v>1</v>
      </c>
      <c r="Q17" s="100">
        <v>12.95</v>
      </c>
      <c r="R17" s="6"/>
      <c r="S17" s="6"/>
      <c r="T17" s="156"/>
      <c r="U17" s="6"/>
    </row>
    <row r="18" spans="1:21" customFormat="1">
      <c r="A18" s="163" t="s">
        <v>728</v>
      </c>
      <c r="B18" s="100">
        <v>3.75</v>
      </c>
      <c r="C18" s="100">
        <v>23.74</v>
      </c>
      <c r="D18" s="100">
        <v>16.760000000000002</v>
      </c>
      <c r="E18" s="100">
        <v>12.44</v>
      </c>
      <c r="F18" s="152" t="s">
        <v>15</v>
      </c>
      <c r="G18" s="100">
        <v>72.540000000000006</v>
      </c>
      <c r="H18" s="100">
        <v>29.45</v>
      </c>
      <c r="I18" s="100">
        <v>14.34</v>
      </c>
      <c r="J18" s="100">
        <v>0.98</v>
      </c>
      <c r="K18" s="100">
        <v>285.68</v>
      </c>
      <c r="L18" s="100">
        <v>32.450000000000003</v>
      </c>
      <c r="M18" s="100">
        <v>37.74</v>
      </c>
      <c r="N18" s="100">
        <v>306</v>
      </c>
      <c r="O18" s="100">
        <v>0</v>
      </c>
      <c r="P18" s="100">
        <v>0.99</v>
      </c>
      <c r="Q18" s="100">
        <v>12.95</v>
      </c>
      <c r="R18" s="6"/>
      <c r="S18" s="6"/>
      <c r="T18" s="156"/>
      <c r="U18" s="6"/>
    </row>
    <row r="19" spans="1:21" customFormat="1">
      <c r="A19" s="163" t="s">
        <v>729</v>
      </c>
      <c r="B19" s="100">
        <v>3.73</v>
      </c>
      <c r="C19" s="100">
        <v>23.54</v>
      </c>
      <c r="D19" s="100">
        <v>16.64</v>
      </c>
      <c r="E19" s="100">
        <v>12.14</v>
      </c>
      <c r="F19" s="152" t="s">
        <v>15</v>
      </c>
      <c r="G19" s="100">
        <v>72.540000000000006</v>
      </c>
      <c r="H19" s="100">
        <v>29.45</v>
      </c>
      <c r="I19" s="100">
        <v>13.95</v>
      </c>
      <c r="J19" s="100">
        <v>1.2</v>
      </c>
      <c r="K19" s="100">
        <v>297.58999999999997</v>
      </c>
      <c r="L19" s="100">
        <v>32.24</v>
      </c>
      <c r="M19" s="100">
        <v>37.03</v>
      </c>
      <c r="N19" s="100">
        <v>307.89999999999998</v>
      </c>
      <c r="O19" s="100">
        <v>0</v>
      </c>
      <c r="P19" s="100">
        <v>0.97</v>
      </c>
      <c r="Q19" s="100">
        <v>12.94</v>
      </c>
      <c r="R19" s="6"/>
      <c r="S19" s="6"/>
      <c r="T19" s="156"/>
      <c r="U19" s="6"/>
    </row>
    <row r="20" spans="1:21" customFormat="1">
      <c r="A20" s="163" t="s">
        <v>730</v>
      </c>
      <c r="B20" s="100">
        <v>3.75</v>
      </c>
      <c r="C20" s="100">
        <v>23.44</v>
      </c>
      <c r="D20" s="100">
        <v>16.600000000000001</v>
      </c>
      <c r="E20" s="100">
        <v>12.94</v>
      </c>
      <c r="F20" s="152" t="s">
        <v>15</v>
      </c>
      <c r="G20" s="100">
        <v>72.540000000000006</v>
      </c>
      <c r="H20" s="100">
        <v>29.45</v>
      </c>
      <c r="I20" s="100">
        <v>13.65</v>
      </c>
      <c r="J20" s="100">
        <v>0.74</v>
      </c>
      <c r="K20" s="100">
        <v>308.29000000000002</v>
      </c>
      <c r="L20" s="100">
        <v>32.36</v>
      </c>
      <c r="M20" s="100">
        <v>37.46</v>
      </c>
      <c r="N20" s="100">
        <v>299.60000000000002</v>
      </c>
      <c r="O20" s="100">
        <v>0</v>
      </c>
      <c r="P20" s="100">
        <v>0.96</v>
      </c>
      <c r="Q20" s="100">
        <v>12.94</v>
      </c>
      <c r="R20" s="6"/>
      <c r="S20" s="6"/>
      <c r="T20" s="156"/>
      <c r="U20" s="6"/>
    </row>
    <row r="21" spans="1:21" customFormat="1">
      <c r="A21" s="163" t="s">
        <v>731</v>
      </c>
      <c r="B21" s="100">
        <v>3.72</v>
      </c>
      <c r="C21" s="100">
        <v>23.43</v>
      </c>
      <c r="D21" s="100">
        <v>16.579999999999998</v>
      </c>
      <c r="E21" s="100">
        <v>13.65</v>
      </c>
      <c r="F21" s="152" t="s">
        <v>15</v>
      </c>
      <c r="G21" s="100">
        <v>72.510000000000005</v>
      </c>
      <c r="H21" s="100">
        <v>29.51</v>
      </c>
      <c r="I21" s="100">
        <v>13.31</v>
      </c>
      <c r="J21" s="100">
        <v>0.83</v>
      </c>
      <c r="K21" s="100">
        <v>290.33999999999997</v>
      </c>
      <c r="L21" s="100">
        <v>32.590000000000003</v>
      </c>
      <c r="M21" s="100">
        <v>37.520000000000003</v>
      </c>
      <c r="N21" s="100">
        <v>310</v>
      </c>
      <c r="O21" s="100">
        <v>0</v>
      </c>
      <c r="P21" s="100">
        <v>0.95</v>
      </c>
      <c r="Q21" s="100">
        <v>12.95</v>
      </c>
      <c r="R21" s="6"/>
      <c r="S21" s="6"/>
      <c r="T21" s="156"/>
      <c r="U21" s="6"/>
    </row>
    <row r="22" spans="1:21" customFormat="1">
      <c r="A22" s="163" t="s">
        <v>732</v>
      </c>
      <c r="B22" s="100">
        <v>3.7</v>
      </c>
      <c r="C22" s="100">
        <v>23.29</v>
      </c>
      <c r="D22" s="100">
        <v>16.489999999999998</v>
      </c>
      <c r="E22" s="100">
        <v>13.64</v>
      </c>
      <c r="F22" s="152" t="s">
        <v>15</v>
      </c>
      <c r="G22" s="100">
        <v>71.900000000000006</v>
      </c>
      <c r="H22" s="100">
        <v>31.53</v>
      </c>
      <c r="I22" s="100">
        <v>13.25</v>
      </c>
      <c r="J22" s="100">
        <v>0.83</v>
      </c>
      <c r="K22" s="100">
        <v>279.52999999999997</v>
      </c>
      <c r="L22" s="100">
        <v>32.94</v>
      </c>
      <c r="M22" s="100">
        <v>36.07</v>
      </c>
      <c r="N22" s="100">
        <v>313.5</v>
      </c>
      <c r="O22" s="100">
        <v>0</v>
      </c>
      <c r="P22" s="100">
        <v>0.95</v>
      </c>
      <c r="Q22" s="100">
        <v>12.96</v>
      </c>
      <c r="R22" s="6"/>
      <c r="S22" s="6"/>
      <c r="T22" s="156"/>
      <c r="U22" s="6"/>
    </row>
    <row r="23" spans="1:21" customFormat="1">
      <c r="A23" s="163" t="s">
        <v>733</v>
      </c>
      <c r="B23" s="100">
        <v>3.69</v>
      </c>
      <c r="C23" s="100">
        <v>23.13</v>
      </c>
      <c r="D23" s="100">
        <v>16.39</v>
      </c>
      <c r="E23" s="100">
        <v>12.68</v>
      </c>
      <c r="F23" s="152" t="s">
        <v>15</v>
      </c>
      <c r="G23" s="100">
        <v>71.900000000000006</v>
      </c>
      <c r="H23" s="100">
        <v>31.53</v>
      </c>
      <c r="I23" s="100">
        <v>13.2</v>
      </c>
      <c r="J23" s="100">
        <v>1.02</v>
      </c>
      <c r="K23" s="100">
        <v>287.97000000000003</v>
      </c>
      <c r="L23" s="100">
        <v>32.85</v>
      </c>
      <c r="M23" s="100">
        <v>35.549999999999997</v>
      </c>
      <c r="N23" s="100">
        <v>299.5</v>
      </c>
      <c r="O23" s="100">
        <v>0</v>
      </c>
      <c r="P23" s="100">
        <v>0.93</v>
      </c>
      <c r="Q23" s="100">
        <v>12.94</v>
      </c>
      <c r="R23" s="6"/>
      <c r="S23" s="6"/>
      <c r="T23" s="156"/>
      <c r="U23" s="6"/>
    </row>
    <row r="24" spans="1:21" customFormat="1">
      <c r="A24" s="163" t="s">
        <v>734</v>
      </c>
      <c r="B24" s="100">
        <v>3.67</v>
      </c>
      <c r="C24" s="100">
        <v>22.89</v>
      </c>
      <c r="D24" s="100">
        <v>16.260000000000002</v>
      </c>
      <c r="E24" s="100">
        <v>14.06</v>
      </c>
      <c r="F24" s="152" t="s">
        <v>15</v>
      </c>
      <c r="G24" s="100">
        <v>71.900000000000006</v>
      </c>
      <c r="H24" s="100">
        <v>31.53</v>
      </c>
      <c r="I24" s="100">
        <v>13.03</v>
      </c>
      <c r="J24" s="100">
        <v>0.95</v>
      </c>
      <c r="K24" s="100">
        <v>269.19</v>
      </c>
      <c r="L24" s="100">
        <v>33.25</v>
      </c>
      <c r="M24" s="100">
        <v>35.68</v>
      </c>
      <c r="N24" s="100">
        <v>280.39999999999998</v>
      </c>
      <c r="O24" s="100">
        <v>0</v>
      </c>
      <c r="P24" s="100">
        <v>0.9</v>
      </c>
      <c r="Q24" s="100">
        <v>12.94</v>
      </c>
      <c r="R24" s="6"/>
      <c r="S24" s="6"/>
      <c r="T24" s="156"/>
      <c r="U24" s="6"/>
    </row>
    <row r="25" spans="1:21" customFormat="1">
      <c r="A25" s="163" t="s">
        <v>735</v>
      </c>
      <c r="B25" s="100">
        <v>3.63</v>
      </c>
      <c r="C25" s="100">
        <v>22.54</v>
      </c>
      <c r="D25" s="100">
        <v>16.04</v>
      </c>
      <c r="E25" s="100">
        <v>13.89</v>
      </c>
      <c r="F25" s="152" t="s">
        <v>15</v>
      </c>
      <c r="G25" s="100">
        <v>72.010000000000005</v>
      </c>
      <c r="H25" s="100">
        <v>31.54</v>
      </c>
      <c r="I25" s="100">
        <v>12.79</v>
      </c>
      <c r="J25" s="100">
        <v>0.96</v>
      </c>
      <c r="K25" s="100">
        <v>272.29000000000002</v>
      </c>
      <c r="L25" s="100">
        <v>33.19</v>
      </c>
      <c r="M25" s="100">
        <v>34.93</v>
      </c>
      <c r="N25" s="100">
        <v>271</v>
      </c>
      <c r="O25" s="100">
        <v>0</v>
      </c>
      <c r="P25" s="100">
        <v>0.88</v>
      </c>
      <c r="Q25" s="100">
        <v>12.94</v>
      </c>
      <c r="R25" s="6"/>
      <c r="S25" s="6"/>
      <c r="T25" s="156"/>
      <c r="U25" s="6"/>
    </row>
    <row r="26" spans="1:21" customFormat="1">
      <c r="A26" s="163" t="s">
        <v>736</v>
      </c>
      <c r="B26" s="100">
        <v>3.63</v>
      </c>
      <c r="C26" s="100">
        <v>22.14</v>
      </c>
      <c r="D26" s="100">
        <v>15.83</v>
      </c>
      <c r="E26" s="100">
        <v>14.17</v>
      </c>
      <c r="F26" s="152" t="s">
        <v>15</v>
      </c>
      <c r="G26" s="100">
        <v>74.41</v>
      </c>
      <c r="H26" s="100">
        <v>31.69</v>
      </c>
      <c r="I26" s="100">
        <v>12.55</v>
      </c>
      <c r="J26" s="100">
        <v>0.69</v>
      </c>
      <c r="K26" s="100">
        <v>254.44</v>
      </c>
      <c r="L26" s="100">
        <v>33.81</v>
      </c>
      <c r="M26" s="100">
        <v>34.33</v>
      </c>
      <c r="N26" s="100">
        <v>291.3</v>
      </c>
      <c r="O26" s="100">
        <v>0</v>
      </c>
      <c r="P26" s="100">
        <v>0.86</v>
      </c>
      <c r="Q26" s="100">
        <v>12.95</v>
      </c>
      <c r="R26" s="6"/>
      <c r="S26" s="6"/>
      <c r="T26" s="156"/>
      <c r="U26" s="6"/>
    </row>
    <row r="27" spans="1:21" customFormat="1">
      <c r="A27" s="163" t="s">
        <v>737</v>
      </c>
      <c r="B27" s="100">
        <v>3.61</v>
      </c>
      <c r="C27" s="100">
        <v>21.71</v>
      </c>
      <c r="D27" s="100">
        <v>15.59</v>
      </c>
      <c r="E27" s="100">
        <v>14.02</v>
      </c>
      <c r="F27" s="152" t="s">
        <v>15</v>
      </c>
      <c r="G27" s="100">
        <v>74.41</v>
      </c>
      <c r="H27" s="100">
        <v>31.69</v>
      </c>
      <c r="I27" s="100">
        <v>12.24</v>
      </c>
      <c r="J27" s="100">
        <v>0.72</v>
      </c>
      <c r="K27" s="100">
        <v>255.33</v>
      </c>
      <c r="L27" s="100">
        <v>33.6</v>
      </c>
      <c r="M27" s="100">
        <v>34.5</v>
      </c>
      <c r="N27" s="100">
        <v>261.8</v>
      </c>
      <c r="O27" s="100">
        <v>0</v>
      </c>
      <c r="P27" s="100">
        <v>0.83</v>
      </c>
      <c r="Q27" s="100">
        <v>12.93</v>
      </c>
      <c r="R27" s="6"/>
      <c r="S27" s="6"/>
      <c r="T27" s="156"/>
      <c r="U27" s="6"/>
    </row>
    <row r="28" spans="1:21" customFormat="1">
      <c r="A28" s="163" t="s">
        <v>738</v>
      </c>
      <c r="B28" s="100">
        <v>3.62</v>
      </c>
      <c r="C28" s="100">
        <v>21.42</v>
      </c>
      <c r="D28" s="100">
        <v>15.45</v>
      </c>
      <c r="E28" s="100">
        <v>15.17</v>
      </c>
      <c r="F28" s="152" t="s">
        <v>15</v>
      </c>
      <c r="G28" s="100">
        <v>74.41</v>
      </c>
      <c r="H28" s="100">
        <v>31.69</v>
      </c>
      <c r="I28" s="100">
        <v>11.97</v>
      </c>
      <c r="J28" s="100">
        <v>0.62</v>
      </c>
      <c r="K28" s="100">
        <v>263.52</v>
      </c>
      <c r="L28" s="100">
        <v>33.630000000000003</v>
      </c>
      <c r="M28" s="100">
        <v>34.29</v>
      </c>
      <c r="N28" s="100">
        <v>265.39999999999998</v>
      </c>
      <c r="O28" s="100">
        <v>0</v>
      </c>
      <c r="P28" s="100">
        <v>0.83</v>
      </c>
      <c r="Q28" s="100">
        <v>12.94</v>
      </c>
      <c r="R28" s="6"/>
      <c r="S28" s="6"/>
      <c r="T28" s="156"/>
      <c r="U28" s="6"/>
    </row>
    <row r="29" spans="1:21" customFormat="1">
      <c r="A29" s="163" t="s">
        <v>739</v>
      </c>
      <c r="B29" s="100">
        <v>3.69</v>
      </c>
      <c r="C29" s="100">
        <v>21.7</v>
      </c>
      <c r="D29" s="100">
        <v>15.64</v>
      </c>
      <c r="E29" s="100">
        <v>18.5</v>
      </c>
      <c r="F29" s="152" t="s">
        <v>15</v>
      </c>
      <c r="G29" s="100">
        <v>74.25</v>
      </c>
      <c r="H29" s="100">
        <v>31.65</v>
      </c>
      <c r="I29" s="100">
        <v>11.82</v>
      </c>
      <c r="J29" s="100">
        <v>0.74</v>
      </c>
      <c r="K29" s="100">
        <v>277.99</v>
      </c>
      <c r="L29" s="100">
        <v>33.409999999999997</v>
      </c>
      <c r="M29" s="100">
        <v>34.06</v>
      </c>
      <c r="N29" s="100">
        <v>192.6</v>
      </c>
      <c r="O29" s="100">
        <v>0</v>
      </c>
      <c r="P29" s="100">
        <v>0.87</v>
      </c>
      <c r="Q29" s="100">
        <v>12.92</v>
      </c>
      <c r="R29" s="6"/>
      <c r="S29" s="6"/>
      <c r="T29" s="156"/>
      <c r="U29" s="6"/>
    </row>
    <row r="30" spans="1:21" customFormat="1">
      <c r="A30" s="163" t="s">
        <v>740</v>
      </c>
      <c r="B30" s="100">
        <v>3.75</v>
      </c>
      <c r="C30" s="100">
        <v>21.85</v>
      </c>
      <c r="D30" s="100">
        <v>15.77</v>
      </c>
      <c r="E30" s="100">
        <v>19.399999999999999</v>
      </c>
      <c r="F30" s="152" t="s">
        <v>15</v>
      </c>
      <c r="G30" s="100">
        <v>69.599999999999994</v>
      </c>
      <c r="H30" s="100">
        <v>30.21</v>
      </c>
      <c r="I30" s="100">
        <v>11.6</v>
      </c>
      <c r="J30" s="100">
        <v>0.77</v>
      </c>
      <c r="K30" s="100">
        <v>260.60000000000002</v>
      </c>
      <c r="L30" s="100">
        <v>33.08</v>
      </c>
      <c r="M30" s="100">
        <v>35</v>
      </c>
      <c r="N30" s="100">
        <v>101.8</v>
      </c>
      <c r="O30" s="100">
        <v>0</v>
      </c>
      <c r="P30" s="100">
        <v>0.89</v>
      </c>
      <c r="Q30" s="100">
        <v>12.92</v>
      </c>
      <c r="R30" s="6"/>
      <c r="S30" s="6"/>
      <c r="T30" s="156"/>
      <c r="U30" s="6"/>
    </row>
    <row r="31" spans="1:21" customFormat="1">
      <c r="A31" s="163" t="s">
        <v>741</v>
      </c>
      <c r="B31" s="100">
        <v>3.72</v>
      </c>
      <c r="C31" s="100">
        <v>21.51</v>
      </c>
      <c r="D31" s="100">
        <v>15.57</v>
      </c>
      <c r="E31" s="100">
        <v>17.66</v>
      </c>
      <c r="F31" s="152" t="s">
        <v>15</v>
      </c>
      <c r="G31" s="100">
        <v>69.599999999999994</v>
      </c>
      <c r="H31" s="100">
        <v>30.21</v>
      </c>
      <c r="I31" s="100">
        <v>11.16</v>
      </c>
      <c r="J31" s="100">
        <v>0.75</v>
      </c>
      <c r="K31" s="100">
        <v>274.95</v>
      </c>
      <c r="L31" s="100">
        <v>32.83</v>
      </c>
      <c r="M31" s="100">
        <v>33.590000000000003</v>
      </c>
      <c r="N31" s="100">
        <v>91.2</v>
      </c>
      <c r="O31" s="100">
        <v>0</v>
      </c>
      <c r="P31" s="100">
        <v>0.88</v>
      </c>
      <c r="Q31" s="100">
        <v>12.92</v>
      </c>
      <c r="R31" s="6"/>
      <c r="S31" s="6"/>
      <c r="T31" s="156"/>
      <c r="U31" s="6"/>
    </row>
    <row r="32" spans="1:21" customFormat="1">
      <c r="A32" s="163" t="s">
        <v>742</v>
      </c>
      <c r="B32" s="100">
        <v>3.78</v>
      </c>
      <c r="C32" s="100">
        <v>21.33</v>
      </c>
      <c r="D32" s="100">
        <v>15.52</v>
      </c>
      <c r="E32" s="100">
        <v>16.57</v>
      </c>
      <c r="F32" s="152" t="s">
        <v>15</v>
      </c>
      <c r="G32" s="100">
        <v>69.599999999999994</v>
      </c>
      <c r="H32" s="100">
        <v>30.21</v>
      </c>
      <c r="I32" s="100">
        <v>10.93</v>
      </c>
      <c r="J32" s="100">
        <v>0.97</v>
      </c>
      <c r="K32" s="100">
        <v>289.5</v>
      </c>
      <c r="L32" s="100">
        <v>33.049999999999997</v>
      </c>
      <c r="M32" s="100">
        <v>31.93</v>
      </c>
      <c r="N32" s="100">
        <v>90.4</v>
      </c>
      <c r="O32" s="100">
        <v>0</v>
      </c>
      <c r="P32" s="100">
        <v>0.85</v>
      </c>
      <c r="Q32" s="100">
        <v>12.93</v>
      </c>
      <c r="R32" s="6"/>
      <c r="S32" s="6"/>
      <c r="T32" s="156"/>
      <c r="U32" s="6"/>
    </row>
    <row r="33" spans="1:21" customFormat="1">
      <c r="A33" s="163" t="s">
        <v>743</v>
      </c>
      <c r="B33" s="100">
        <v>3.89</v>
      </c>
      <c r="C33" s="100">
        <v>21.01</v>
      </c>
      <c r="D33" s="100">
        <v>15.45</v>
      </c>
      <c r="E33" s="100">
        <v>15.07</v>
      </c>
      <c r="F33" s="152" t="s">
        <v>15</v>
      </c>
      <c r="G33" s="100">
        <v>69.52</v>
      </c>
      <c r="H33" s="100">
        <v>30.28</v>
      </c>
      <c r="I33" s="100">
        <v>10.61</v>
      </c>
      <c r="J33" s="100">
        <v>1.25</v>
      </c>
      <c r="K33" s="100">
        <v>295.02999999999997</v>
      </c>
      <c r="L33" s="100">
        <v>32.76</v>
      </c>
      <c r="M33" s="100">
        <v>29.9</v>
      </c>
      <c r="N33" s="100">
        <v>62.3</v>
      </c>
      <c r="O33" s="100">
        <v>0</v>
      </c>
      <c r="P33" s="100">
        <v>0.84</v>
      </c>
      <c r="Q33" s="100">
        <v>12.93</v>
      </c>
      <c r="R33" s="6"/>
      <c r="S33" s="6"/>
      <c r="T33" s="156"/>
      <c r="U33" s="6"/>
    </row>
    <row r="34" spans="1:21" customFormat="1">
      <c r="A34" s="163" t="s">
        <v>744</v>
      </c>
      <c r="B34" s="100">
        <v>3.95</v>
      </c>
      <c r="C34" s="100">
        <v>21.15</v>
      </c>
      <c r="D34" s="100">
        <v>15.57</v>
      </c>
      <c r="E34" s="100">
        <v>16.16</v>
      </c>
      <c r="F34" s="152" t="s">
        <v>15</v>
      </c>
      <c r="G34" s="100">
        <v>67.86</v>
      </c>
      <c r="H34" s="100">
        <v>32.53</v>
      </c>
      <c r="I34" s="100">
        <v>10.27</v>
      </c>
      <c r="J34" s="100">
        <v>1.24</v>
      </c>
      <c r="K34" s="100">
        <v>301.24</v>
      </c>
      <c r="L34" s="100">
        <v>32.65</v>
      </c>
      <c r="M34" s="100">
        <v>31.05</v>
      </c>
      <c r="N34" s="100">
        <v>64</v>
      </c>
      <c r="O34" s="100">
        <v>0</v>
      </c>
      <c r="P34" s="100">
        <v>0.83</v>
      </c>
      <c r="Q34" s="100">
        <v>12.94</v>
      </c>
      <c r="R34" s="6"/>
      <c r="S34" s="6"/>
      <c r="T34" s="156"/>
      <c r="U34" s="6"/>
    </row>
    <row r="35" spans="1:21" customFormat="1">
      <c r="A35" s="163" t="s">
        <v>745</v>
      </c>
      <c r="B35" s="100">
        <v>4.05</v>
      </c>
      <c r="C35" s="100">
        <v>21.24</v>
      </c>
      <c r="D35" s="100">
        <v>15.69</v>
      </c>
      <c r="E35" s="100">
        <v>14.49</v>
      </c>
      <c r="F35" s="152" t="s">
        <v>15</v>
      </c>
      <c r="G35" s="100">
        <v>67.86</v>
      </c>
      <c r="H35" s="100">
        <v>32.53</v>
      </c>
      <c r="I35" s="100">
        <v>10.039999999999999</v>
      </c>
      <c r="J35" s="100">
        <v>1.05</v>
      </c>
      <c r="K35" s="100">
        <v>287.43</v>
      </c>
      <c r="L35" s="100">
        <v>32.4</v>
      </c>
      <c r="M35" s="100">
        <v>28.24</v>
      </c>
      <c r="N35" s="100">
        <v>54</v>
      </c>
      <c r="O35" s="100">
        <v>0</v>
      </c>
      <c r="P35" s="100">
        <v>0.82</v>
      </c>
      <c r="Q35" s="100">
        <v>12.92</v>
      </c>
      <c r="R35" s="6"/>
      <c r="S35" s="6"/>
      <c r="T35" s="156"/>
      <c r="U35" s="6"/>
    </row>
    <row r="36" spans="1:21" customFormat="1">
      <c r="A36" s="163" t="s">
        <v>746</v>
      </c>
      <c r="B36" s="100">
        <v>4.0599999999999996</v>
      </c>
      <c r="C36" s="100">
        <v>21</v>
      </c>
      <c r="D36" s="100">
        <v>15.58</v>
      </c>
      <c r="E36" s="100">
        <v>16.37</v>
      </c>
      <c r="F36" s="152" t="s">
        <v>15</v>
      </c>
      <c r="G36" s="100">
        <v>67.86</v>
      </c>
      <c r="H36" s="100">
        <v>32.53</v>
      </c>
      <c r="I36" s="100">
        <v>9.74</v>
      </c>
      <c r="J36" s="100">
        <v>1.1499999999999999</v>
      </c>
      <c r="K36" s="100">
        <v>305.14</v>
      </c>
      <c r="L36" s="100">
        <v>32.21</v>
      </c>
      <c r="M36" s="100">
        <v>32.1</v>
      </c>
      <c r="N36" s="100">
        <v>48.8</v>
      </c>
      <c r="O36" s="100">
        <v>0</v>
      </c>
      <c r="P36" s="100">
        <v>0.8</v>
      </c>
      <c r="Q36" s="100">
        <v>12.92</v>
      </c>
      <c r="R36" s="6"/>
      <c r="S36" s="6"/>
      <c r="T36" s="156"/>
      <c r="U36" s="6"/>
    </row>
    <row r="37" spans="1:21" customFormat="1">
      <c r="A37" s="163" t="s">
        <v>747</v>
      </c>
      <c r="B37" s="100">
        <v>4.08</v>
      </c>
      <c r="C37" s="100">
        <v>20.99</v>
      </c>
      <c r="D37" s="100">
        <v>15.59</v>
      </c>
      <c r="E37" s="100">
        <v>17.079999999999998</v>
      </c>
      <c r="F37" s="152" t="s">
        <v>15</v>
      </c>
      <c r="G37" s="100">
        <v>67.41</v>
      </c>
      <c r="H37" s="100">
        <v>32.54</v>
      </c>
      <c r="I37" s="100">
        <v>9.48</v>
      </c>
      <c r="J37" s="100">
        <v>0.98</v>
      </c>
      <c r="K37" s="100">
        <v>303.14</v>
      </c>
      <c r="L37" s="100">
        <v>32.11</v>
      </c>
      <c r="M37" s="100">
        <v>32.340000000000003</v>
      </c>
      <c r="N37" s="100">
        <v>43.2</v>
      </c>
      <c r="O37" s="100">
        <v>0</v>
      </c>
      <c r="P37" s="100">
        <v>0.79</v>
      </c>
      <c r="Q37" s="100">
        <v>12.9</v>
      </c>
      <c r="R37" s="6"/>
      <c r="S37" s="6"/>
      <c r="T37" s="156"/>
      <c r="U37" s="6"/>
    </row>
    <row r="38" spans="1:21" customFormat="1">
      <c r="A38" s="163" t="s">
        <v>748</v>
      </c>
      <c r="B38" s="100">
        <v>4.1100000000000003</v>
      </c>
      <c r="C38" s="100">
        <v>21.17</v>
      </c>
      <c r="D38" s="100">
        <v>15.71</v>
      </c>
      <c r="E38" s="100">
        <v>16.329999999999998</v>
      </c>
      <c r="F38" s="152" t="s">
        <v>15</v>
      </c>
      <c r="G38" s="100">
        <v>57.78</v>
      </c>
      <c r="H38" s="100">
        <v>33.07</v>
      </c>
      <c r="I38" s="100">
        <v>9.23</v>
      </c>
      <c r="J38" s="100">
        <v>1.2</v>
      </c>
      <c r="K38" s="100">
        <v>306.31</v>
      </c>
      <c r="L38" s="100">
        <v>31.9</v>
      </c>
      <c r="M38" s="100">
        <v>32.04</v>
      </c>
      <c r="N38" s="100">
        <v>29.9</v>
      </c>
      <c r="O38" s="100">
        <v>0</v>
      </c>
      <c r="P38" s="100">
        <v>0.8</v>
      </c>
      <c r="Q38" s="100">
        <v>12.92</v>
      </c>
      <c r="R38" s="6"/>
      <c r="S38" s="6"/>
      <c r="T38" s="156"/>
      <c r="U38" s="6"/>
    </row>
    <row r="39" spans="1:21" customFormat="1">
      <c r="A39" s="163" t="s">
        <v>749</v>
      </c>
      <c r="B39" s="100">
        <v>4.17</v>
      </c>
      <c r="C39" s="100">
        <v>21.35</v>
      </c>
      <c r="D39" s="100">
        <v>15.85</v>
      </c>
      <c r="E39" s="100">
        <v>17.16</v>
      </c>
      <c r="F39" s="152" t="s">
        <v>15</v>
      </c>
      <c r="G39" s="100">
        <v>57.78</v>
      </c>
      <c r="H39" s="100">
        <v>33.07</v>
      </c>
      <c r="I39" s="100">
        <v>8.92</v>
      </c>
      <c r="J39" s="100">
        <v>0.87</v>
      </c>
      <c r="K39" s="100">
        <v>301.64</v>
      </c>
      <c r="L39" s="100">
        <v>31.51</v>
      </c>
      <c r="M39" s="100">
        <v>32.78</v>
      </c>
      <c r="N39" s="100">
        <v>19.3</v>
      </c>
      <c r="O39" s="100">
        <v>0</v>
      </c>
      <c r="P39" s="100">
        <v>0.79</v>
      </c>
      <c r="Q39" s="100">
        <v>12.93</v>
      </c>
      <c r="R39" s="6"/>
      <c r="S39" s="6"/>
      <c r="T39" s="156"/>
      <c r="U39" s="6"/>
    </row>
    <row r="40" spans="1:21" customFormat="1">
      <c r="A40" s="163" t="s">
        <v>750</v>
      </c>
      <c r="B40" s="100">
        <v>4.25</v>
      </c>
      <c r="C40" s="100">
        <v>21.42</v>
      </c>
      <c r="D40" s="100">
        <v>15.95</v>
      </c>
      <c r="E40" s="100">
        <v>15.18</v>
      </c>
      <c r="F40" s="152" t="s">
        <v>15</v>
      </c>
      <c r="G40" s="100">
        <v>57.78</v>
      </c>
      <c r="H40" s="100">
        <v>33.07</v>
      </c>
      <c r="I40" s="100">
        <v>8.73</v>
      </c>
      <c r="J40" s="100">
        <v>1.1399999999999999</v>
      </c>
      <c r="K40" s="100">
        <v>307.79000000000002</v>
      </c>
      <c r="L40" s="100">
        <v>31.39</v>
      </c>
      <c r="M40" s="100">
        <v>30.28</v>
      </c>
      <c r="N40" s="100">
        <v>13.7</v>
      </c>
      <c r="O40" s="100">
        <v>0</v>
      </c>
      <c r="P40" s="100">
        <v>0.8</v>
      </c>
      <c r="Q40" s="100">
        <v>12.93</v>
      </c>
      <c r="R40" s="6"/>
      <c r="S40" s="6"/>
      <c r="T40" s="156"/>
      <c r="U40" s="6"/>
    </row>
    <row r="41" spans="1:21" customFormat="1">
      <c r="A41" s="163" t="s">
        <v>751</v>
      </c>
      <c r="B41" s="100">
        <v>4.4400000000000004</v>
      </c>
      <c r="C41" s="100">
        <v>21.79</v>
      </c>
      <c r="D41" s="100">
        <v>16.3</v>
      </c>
      <c r="E41" s="100">
        <v>16.34</v>
      </c>
      <c r="F41" s="152" t="s">
        <v>15</v>
      </c>
      <c r="G41" s="100">
        <v>57.96</v>
      </c>
      <c r="H41" s="100">
        <v>32.869999999999997</v>
      </c>
      <c r="I41" s="100">
        <v>8.66</v>
      </c>
      <c r="J41" s="100">
        <v>0.76</v>
      </c>
      <c r="K41" s="100">
        <v>310.04000000000002</v>
      </c>
      <c r="L41" s="100">
        <v>30.99</v>
      </c>
      <c r="M41" s="100">
        <v>31.56</v>
      </c>
      <c r="N41" s="100">
        <v>7.8</v>
      </c>
      <c r="O41" s="100">
        <v>0</v>
      </c>
      <c r="P41" s="100">
        <v>0.82</v>
      </c>
      <c r="Q41" s="100">
        <v>12.93</v>
      </c>
      <c r="R41" s="6"/>
      <c r="S41" s="6"/>
      <c r="T41" s="156"/>
      <c r="U41" s="6"/>
    </row>
    <row r="42" spans="1:21" customFormat="1">
      <c r="A42" s="163" t="s">
        <v>752</v>
      </c>
      <c r="B42" s="100">
        <v>4.6500000000000004</v>
      </c>
      <c r="C42" s="100">
        <v>22.12</v>
      </c>
      <c r="D42" s="100">
        <v>16.64</v>
      </c>
      <c r="E42" s="100">
        <v>16.329999999999998</v>
      </c>
      <c r="F42" s="152" t="s">
        <v>15</v>
      </c>
      <c r="G42" s="100">
        <v>61.82</v>
      </c>
      <c r="H42" s="100">
        <v>26.43</v>
      </c>
      <c r="I42" s="100">
        <v>8.67</v>
      </c>
      <c r="J42" s="100">
        <v>0.44</v>
      </c>
      <c r="K42" s="100">
        <v>299.3</v>
      </c>
      <c r="L42" s="100">
        <v>30.27</v>
      </c>
      <c r="M42" s="100">
        <v>34.130000000000003</v>
      </c>
      <c r="N42" s="100">
        <v>3.4</v>
      </c>
      <c r="O42" s="100">
        <v>0</v>
      </c>
      <c r="P42" s="100">
        <v>0.81</v>
      </c>
      <c r="Q42" s="100">
        <v>12.92</v>
      </c>
      <c r="R42" s="6"/>
      <c r="S42" s="6"/>
      <c r="T42" s="156"/>
      <c r="U42" s="6"/>
    </row>
    <row r="43" spans="1:21" customFormat="1">
      <c r="A43" s="163" t="s">
        <v>753</v>
      </c>
      <c r="B43" s="100">
        <v>4.8099999999999996</v>
      </c>
      <c r="C43" s="100">
        <v>22.51</v>
      </c>
      <c r="D43" s="100">
        <v>16.97</v>
      </c>
      <c r="E43" s="100">
        <v>11.9</v>
      </c>
      <c r="F43" s="152" t="s">
        <v>15</v>
      </c>
      <c r="G43" s="100">
        <v>61.82</v>
      </c>
      <c r="H43" s="100">
        <v>26.43</v>
      </c>
      <c r="I43" s="100">
        <v>8.43</v>
      </c>
      <c r="J43" s="100">
        <v>0.17</v>
      </c>
      <c r="K43" s="100">
        <v>251.39</v>
      </c>
      <c r="L43" s="100">
        <v>29.66</v>
      </c>
      <c r="M43" s="100">
        <v>36.19</v>
      </c>
      <c r="N43" s="100">
        <v>2</v>
      </c>
      <c r="O43" s="100">
        <v>0</v>
      </c>
      <c r="P43" s="100">
        <v>0.82</v>
      </c>
      <c r="Q43" s="100">
        <v>12.93</v>
      </c>
      <c r="R43" s="6"/>
      <c r="S43" s="6"/>
      <c r="T43" s="156"/>
      <c r="U43" s="6"/>
    </row>
    <row r="44" spans="1:21" customFormat="1">
      <c r="A44" s="163" t="s">
        <v>754</v>
      </c>
      <c r="B44" s="100">
        <v>4.9400000000000004</v>
      </c>
      <c r="C44" s="100">
        <v>22.57</v>
      </c>
      <c r="D44" s="100">
        <v>17.100000000000001</v>
      </c>
      <c r="E44" s="100">
        <v>13.65</v>
      </c>
      <c r="F44" s="152" t="s">
        <v>15</v>
      </c>
      <c r="G44" s="100">
        <v>61.82</v>
      </c>
      <c r="H44" s="100">
        <v>26.43</v>
      </c>
      <c r="I44" s="100">
        <v>8.61</v>
      </c>
      <c r="J44" s="100">
        <v>0.21</v>
      </c>
      <c r="K44" s="100">
        <v>176.81</v>
      </c>
      <c r="L44" s="100">
        <v>28.71</v>
      </c>
      <c r="M44" s="100">
        <v>39.270000000000003</v>
      </c>
      <c r="N44" s="100">
        <v>1.9</v>
      </c>
      <c r="O44" s="100">
        <v>0</v>
      </c>
      <c r="P44" s="100">
        <v>0.82</v>
      </c>
      <c r="Q44" s="100">
        <v>12.93</v>
      </c>
      <c r="R44" s="6"/>
      <c r="S44" s="6"/>
      <c r="T44" s="156"/>
      <c r="U44" s="6"/>
    </row>
    <row r="45" spans="1:21" customFormat="1">
      <c r="A45" s="163" t="s">
        <v>755</v>
      </c>
      <c r="B45" s="100">
        <v>5.08</v>
      </c>
      <c r="C45" s="100">
        <v>22.65</v>
      </c>
      <c r="D45" s="100">
        <v>17.260000000000002</v>
      </c>
      <c r="E45" s="100">
        <v>12.29</v>
      </c>
      <c r="F45" s="152" t="s">
        <v>15</v>
      </c>
      <c r="G45" s="100">
        <v>61.9</v>
      </c>
      <c r="H45" s="100">
        <v>26.46</v>
      </c>
      <c r="I45" s="100">
        <v>8.74</v>
      </c>
      <c r="J45" s="100">
        <v>0.35</v>
      </c>
      <c r="K45" s="100">
        <v>171.66</v>
      </c>
      <c r="L45" s="100">
        <v>27.77</v>
      </c>
      <c r="M45" s="100">
        <v>45.46</v>
      </c>
      <c r="N45" s="100">
        <v>1.9</v>
      </c>
      <c r="O45" s="100">
        <v>0</v>
      </c>
      <c r="P45" s="100">
        <v>0.84</v>
      </c>
      <c r="Q45" s="100">
        <v>12.92</v>
      </c>
      <c r="R45" s="6"/>
      <c r="S45" s="6"/>
      <c r="T45" s="156"/>
      <c r="U45" s="6"/>
    </row>
    <row r="46" spans="1:21" customFormat="1">
      <c r="A46" s="163" t="s">
        <v>756</v>
      </c>
      <c r="B46" s="100">
        <v>5.26</v>
      </c>
      <c r="C46" s="100">
        <v>22.52</v>
      </c>
      <c r="D46" s="100">
        <v>17.34</v>
      </c>
      <c r="E46" s="100">
        <v>11.36</v>
      </c>
      <c r="F46" s="152" t="s">
        <v>15</v>
      </c>
      <c r="G46" s="100">
        <v>63.74</v>
      </c>
      <c r="H46" s="100">
        <v>27.61</v>
      </c>
      <c r="I46" s="100">
        <v>8.75</v>
      </c>
      <c r="J46" s="100">
        <v>0.22</v>
      </c>
      <c r="K46" s="100">
        <v>174.17</v>
      </c>
      <c r="L46" s="100">
        <v>26.72</v>
      </c>
      <c r="M46" s="100">
        <v>51.44</v>
      </c>
      <c r="N46" s="100">
        <v>2</v>
      </c>
      <c r="O46" s="100">
        <v>0</v>
      </c>
      <c r="P46" s="100">
        <v>0.84</v>
      </c>
      <c r="Q46" s="100">
        <v>12.93</v>
      </c>
      <c r="R46" s="6"/>
      <c r="S46" s="6"/>
      <c r="T46" s="156"/>
      <c r="U46" s="6"/>
    </row>
    <row r="47" spans="1:21" customFormat="1">
      <c r="A47" s="163" t="s">
        <v>757</v>
      </c>
      <c r="B47" s="100">
        <v>5.48</v>
      </c>
      <c r="C47" s="100">
        <v>22.37</v>
      </c>
      <c r="D47" s="100">
        <v>17.43</v>
      </c>
      <c r="E47" s="100">
        <v>11.4</v>
      </c>
      <c r="F47" s="152" t="s">
        <v>15</v>
      </c>
      <c r="G47" s="100">
        <v>63.74</v>
      </c>
      <c r="H47" s="100">
        <v>27.61</v>
      </c>
      <c r="I47" s="100">
        <v>8.8800000000000008</v>
      </c>
      <c r="J47" s="100">
        <v>0.25</v>
      </c>
      <c r="K47" s="100">
        <v>163.93</v>
      </c>
      <c r="L47" s="100">
        <v>26.08</v>
      </c>
      <c r="M47" s="100">
        <v>53.61</v>
      </c>
      <c r="N47" s="100">
        <v>1.6</v>
      </c>
      <c r="O47" s="100">
        <v>0</v>
      </c>
      <c r="P47" s="100">
        <v>0.86</v>
      </c>
      <c r="Q47" s="100">
        <v>12.93</v>
      </c>
      <c r="R47" s="6"/>
      <c r="S47" s="6"/>
      <c r="T47" s="156"/>
      <c r="U47" s="6"/>
    </row>
    <row r="48" spans="1:21" customFormat="1">
      <c r="A48" s="163" t="s">
        <v>758</v>
      </c>
      <c r="B48" s="100">
        <v>5.72</v>
      </c>
      <c r="C48" s="100">
        <v>21.53</v>
      </c>
      <c r="D48" s="100">
        <v>17.190000000000001</v>
      </c>
      <c r="E48" s="100">
        <v>11.03</v>
      </c>
      <c r="F48" s="152" t="s">
        <v>15</v>
      </c>
      <c r="G48" s="100">
        <v>63.74</v>
      </c>
      <c r="H48" s="100">
        <v>27.61</v>
      </c>
      <c r="I48" s="100">
        <v>9.27</v>
      </c>
      <c r="J48" s="100">
        <v>0.24</v>
      </c>
      <c r="K48" s="100">
        <v>191.04</v>
      </c>
      <c r="L48" s="100">
        <v>25.67</v>
      </c>
      <c r="M48" s="100">
        <v>57.34</v>
      </c>
      <c r="N48" s="100">
        <v>1.6</v>
      </c>
      <c r="O48" s="100">
        <v>0</v>
      </c>
      <c r="P48" s="100">
        <v>0.81</v>
      </c>
      <c r="Q48" s="100">
        <v>12.93</v>
      </c>
      <c r="R48" s="6"/>
      <c r="S48" s="6"/>
      <c r="T48" s="156"/>
      <c r="U48" s="6"/>
    </row>
    <row r="49" spans="1:21" customFormat="1">
      <c r="A49" s="163" t="s">
        <v>759</v>
      </c>
      <c r="B49" s="100">
        <v>5.67</v>
      </c>
      <c r="C49" s="100">
        <v>21.57</v>
      </c>
      <c r="D49" s="100">
        <v>17.170000000000002</v>
      </c>
      <c r="E49" s="100">
        <v>10.98</v>
      </c>
      <c r="F49" s="152" t="s">
        <v>15</v>
      </c>
      <c r="G49" s="100">
        <v>64.56</v>
      </c>
      <c r="H49" s="100">
        <v>28.08</v>
      </c>
      <c r="I49" s="100">
        <v>9.4</v>
      </c>
      <c r="J49" s="100">
        <v>0.2</v>
      </c>
      <c r="K49" s="100">
        <v>182.49</v>
      </c>
      <c r="L49" s="100">
        <v>25.35</v>
      </c>
      <c r="M49" s="100">
        <v>56.45</v>
      </c>
      <c r="N49" s="100">
        <v>1.4</v>
      </c>
      <c r="O49" s="100">
        <v>0</v>
      </c>
      <c r="P49" s="100">
        <v>0.8</v>
      </c>
      <c r="Q49" s="100">
        <v>12.94</v>
      </c>
      <c r="R49" s="6"/>
      <c r="S49" s="6"/>
      <c r="T49" s="156"/>
      <c r="U49" s="6"/>
    </row>
    <row r="50" spans="1:21" customFormat="1">
      <c r="A50" s="163" t="s">
        <v>760</v>
      </c>
      <c r="B50" s="100">
        <v>5.62</v>
      </c>
      <c r="C50" s="100">
        <v>21.75</v>
      </c>
      <c r="D50" s="100">
        <v>17.22</v>
      </c>
      <c r="E50" s="100">
        <v>10.69</v>
      </c>
      <c r="F50" s="152" t="s">
        <v>15</v>
      </c>
      <c r="G50" s="100">
        <v>88.15</v>
      </c>
      <c r="H50" s="100">
        <v>42.93</v>
      </c>
      <c r="I50" s="100">
        <v>9.49</v>
      </c>
      <c r="J50" s="100">
        <v>0.23</v>
      </c>
      <c r="K50" s="100">
        <v>214.86</v>
      </c>
      <c r="L50" s="100">
        <v>24.84</v>
      </c>
      <c r="M50" s="100">
        <v>57.47</v>
      </c>
      <c r="N50" s="100">
        <v>1.6</v>
      </c>
      <c r="O50" s="100">
        <v>0</v>
      </c>
      <c r="P50" s="100">
        <v>0.82</v>
      </c>
      <c r="Q50" s="100">
        <v>12.93</v>
      </c>
      <c r="R50" s="6"/>
      <c r="S50" s="6"/>
      <c r="T50" s="156"/>
      <c r="U50" s="6"/>
    </row>
    <row r="51" spans="1:21" customFormat="1">
      <c r="A51" s="163" t="s">
        <v>761</v>
      </c>
      <c r="B51" s="100">
        <v>5.64</v>
      </c>
      <c r="C51" s="100">
        <v>21.9</v>
      </c>
      <c r="D51" s="100">
        <v>17.32</v>
      </c>
      <c r="E51" s="100">
        <v>10.77</v>
      </c>
      <c r="F51" s="152" t="s">
        <v>15</v>
      </c>
      <c r="G51" s="100">
        <v>88.15</v>
      </c>
      <c r="H51" s="100">
        <v>42.93</v>
      </c>
      <c r="I51" s="100">
        <v>9.68</v>
      </c>
      <c r="J51" s="100">
        <v>0.17</v>
      </c>
      <c r="K51" s="100">
        <v>190</v>
      </c>
      <c r="L51" s="100">
        <v>24.59</v>
      </c>
      <c r="M51" s="100">
        <v>57.44</v>
      </c>
      <c r="N51" s="100">
        <v>1.2</v>
      </c>
      <c r="O51" s="100">
        <v>0</v>
      </c>
      <c r="P51" s="100">
        <v>0.84</v>
      </c>
      <c r="Q51" s="100">
        <v>12.94</v>
      </c>
      <c r="R51" s="6"/>
      <c r="S51" s="6"/>
      <c r="T51" s="156"/>
      <c r="U51" s="6"/>
    </row>
    <row r="52" spans="1:21" customFormat="1">
      <c r="A52" s="163" t="s">
        <v>762</v>
      </c>
      <c r="B52" s="100">
        <v>5.61</v>
      </c>
      <c r="C52" s="100">
        <v>22</v>
      </c>
      <c r="D52" s="100">
        <v>17.34</v>
      </c>
      <c r="E52" s="100">
        <v>10.76</v>
      </c>
      <c r="F52" s="152" t="s">
        <v>15</v>
      </c>
      <c r="G52" s="100">
        <v>88.15</v>
      </c>
      <c r="H52" s="100">
        <v>42.93</v>
      </c>
      <c r="I52" s="100">
        <v>9.77</v>
      </c>
      <c r="J52" s="100">
        <v>0.16</v>
      </c>
      <c r="K52" s="100">
        <v>175.95</v>
      </c>
      <c r="L52" s="100">
        <v>24.58</v>
      </c>
      <c r="M52" s="100">
        <v>57.74</v>
      </c>
      <c r="N52" s="100">
        <v>1.1000000000000001</v>
      </c>
      <c r="O52" s="100">
        <v>0</v>
      </c>
      <c r="P52" s="100">
        <v>0.86</v>
      </c>
      <c r="Q52" s="100">
        <v>12.93</v>
      </c>
      <c r="R52" s="6"/>
      <c r="S52" s="6"/>
      <c r="T52" s="156"/>
      <c r="U52" s="6"/>
    </row>
    <row r="53" spans="1:21" customFormat="1">
      <c r="A53" s="163" t="s">
        <v>763</v>
      </c>
      <c r="B53" s="100">
        <v>5.66</v>
      </c>
      <c r="C53" s="100">
        <v>22.09</v>
      </c>
      <c r="D53" s="100">
        <v>17.43</v>
      </c>
      <c r="E53" s="100">
        <v>10.85</v>
      </c>
      <c r="F53" s="152" t="s">
        <v>15</v>
      </c>
      <c r="G53" s="100">
        <v>88.47</v>
      </c>
      <c r="H53" s="100">
        <v>42.94</v>
      </c>
      <c r="I53" s="100">
        <v>10.02</v>
      </c>
      <c r="J53" s="100">
        <v>0.11</v>
      </c>
      <c r="K53" s="100">
        <v>179.52</v>
      </c>
      <c r="L53" s="100">
        <v>24.25</v>
      </c>
      <c r="M53" s="100">
        <v>60.48</v>
      </c>
      <c r="N53" s="100">
        <v>1.3</v>
      </c>
      <c r="O53" s="100">
        <v>0</v>
      </c>
      <c r="P53" s="100">
        <v>0.89</v>
      </c>
      <c r="Q53" s="100">
        <v>12.93</v>
      </c>
      <c r="R53" s="6"/>
      <c r="S53" s="6"/>
      <c r="T53" s="156"/>
      <c r="U53" s="6"/>
    </row>
    <row r="54" spans="1:21" customFormat="1">
      <c r="A54" s="163" t="s">
        <v>764</v>
      </c>
      <c r="B54" s="100">
        <v>5.72</v>
      </c>
      <c r="C54" s="100">
        <v>22.17</v>
      </c>
      <c r="D54" s="100">
        <v>17.53</v>
      </c>
      <c r="E54" s="100">
        <v>10.99</v>
      </c>
      <c r="F54" s="152" t="s">
        <v>15</v>
      </c>
      <c r="G54" s="100">
        <v>95.28</v>
      </c>
      <c r="H54" s="100">
        <v>43.23</v>
      </c>
      <c r="I54" s="100">
        <v>10.49</v>
      </c>
      <c r="J54" s="100">
        <v>0.15</v>
      </c>
      <c r="K54" s="100">
        <v>164.28</v>
      </c>
      <c r="L54" s="100">
        <v>24.06</v>
      </c>
      <c r="M54" s="100">
        <v>61.83</v>
      </c>
      <c r="N54" s="100">
        <v>1.1000000000000001</v>
      </c>
      <c r="O54" s="100">
        <v>0</v>
      </c>
      <c r="P54" s="100">
        <v>0.92</v>
      </c>
      <c r="Q54" s="100">
        <v>12.94</v>
      </c>
      <c r="R54" s="6"/>
      <c r="S54" s="6"/>
      <c r="T54" s="156"/>
      <c r="U54" s="6"/>
    </row>
    <row r="55" spans="1:21" customFormat="1">
      <c r="A55" s="163" t="s">
        <v>765</v>
      </c>
      <c r="B55" s="100">
        <v>5.75</v>
      </c>
      <c r="C55" s="100">
        <v>22.15</v>
      </c>
      <c r="D55" s="100">
        <v>17.54</v>
      </c>
      <c r="E55" s="100">
        <v>11.24</v>
      </c>
      <c r="F55" s="152" t="s">
        <v>15</v>
      </c>
      <c r="G55" s="100">
        <v>95.28</v>
      </c>
      <c r="H55" s="100">
        <v>43.23</v>
      </c>
      <c r="I55" s="100">
        <v>11.09</v>
      </c>
      <c r="J55" s="100">
        <v>0.17</v>
      </c>
      <c r="K55" s="100">
        <v>173.58</v>
      </c>
      <c r="L55" s="100">
        <v>23.97</v>
      </c>
      <c r="M55" s="100">
        <v>65.52</v>
      </c>
      <c r="N55" s="100">
        <v>1.2</v>
      </c>
      <c r="O55" s="100">
        <v>0</v>
      </c>
      <c r="P55" s="100">
        <v>0.93</v>
      </c>
      <c r="Q55" s="100">
        <v>12.94</v>
      </c>
      <c r="R55" s="6"/>
      <c r="S55" s="6"/>
      <c r="T55" s="156"/>
      <c r="U55" s="6"/>
    </row>
    <row r="56" spans="1:21" customFormat="1">
      <c r="A56" s="163" t="s">
        <v>766</v>
      </c>
      <c r="B56" s="100">
        <v>5.84</v>
      </c>
      <c r="C56" s="100">
        <v>22</v>
      </c>
      <c r="D56" s="100">
        <v>17.53</v>
      </c>
      <c r="E56" s="100">
        <v>11.16</v>
      </c>
      <c r="F56" s="152" t="s">
        <v>15</v>
      </c>
      <c r="G56" s="100">
        <v>95.28</v>
      </c>
      <c r="H56" s="100">
        <v>43.23</v>
      </c>
      <c r="I56" s="100">
        <v>11.65</v>
      </c>
      <c r="J56" s="100">
        <v>0.14000000000000001</v>
      </c>
      <c r="K56" s="100">
        <v>168.6</v>
      </c>
      <c r="L56" s="100">
        <v>23.67</v>
      </c>
      <c r="M56" s="100">
        <v>65.42</v>
      </c>
      <c r="N56" s="100">
        <v>1.2</v>
      </c>
      <c r="O56" s="100">
        <v>0</v>
      </c>
      <c r="P56" s="100">
        <v>0.96</v>
      </c>
      <c r="Q56" s="100">
        <v>12.94</v>
      </c>
      <c r="R56" s="6"/>
      <c r="S56" s="6"/>
      <c r="T56" s="156"/>
      <c r="U56" s="6"/>
    </row>
    <row r="57" spans="1:21" customFormat="1">
      <c r="A57" s="163" t="s">
        <v>767</v>
      </c>
      <c r="B57" s="100">
        <v>5.95</v>
      </c>
      <c r="C57" s="100">
        <v>21.84</v>
      </c>
      <c r="D57" s="100">
        <v>17.54</v>
      </c>
      <c r="E57" s="100">
        <v>10.89</v>
      </c>
      <c r="F57" s="152" t="s">
        <v>15</v>
      </c>
      <c r="G57" s="100">
        <v>99.29</v>
      </c>
      <c r="H57" s="100">
        <v>43.67</v>
      </c>
      <c r="I57" s="100">
        <v>12.16</v>
      </c>
      <c r="J57" s="100">
        <v>0.18</v>
      </c>
      <c r="K57" s="100">
        <v>192.87</v>
      </c>
      <c r="L57" s="100">
        <v>23.53</v>
      </c>
      <c r="M57" s="100">
        <v>66.45</v>
      </c>
      <c r="N57" s="100">
        <v>1.2</v>
      </c>
      <c r="O57" s="100">
        <v>0</v>
      </c>
      <c r="P57" s="100">
        <v>0.98</v>
      </c>
      <c r="Q57" s="100">
        <v>12.94</v>
      </c>
      <c r="R57" s="6"/>
      <c r="S57" s="6"/>
      <c r="T57" s="156"/>
      <c r="U57" s="6"/>
    </row>
    <row r="58" spans="1:21" customFormat="1">
      <c r="A58" s="163" t="s">
        <v>768</v>
      </c>
      <c r="B58" s="100">
        <v>6.07</v>
      </c>
      <c r="C58" s="100">
        <v>21.84</v>
      </c>
      <c r="D58" s="100">
        <v>17.63</v>
      </c>
      <c r="E58" s="100">
        <v>11.07</v>
      </c>
      <c r="F58" s="152" t="s">
        <v>15</v>
      </c>
      <c r="G58" s="100">
        <v>185.6</v>
      </c>
      <c r="H58" s="100">
        <v>57.58</v>
      </c>
      <c r="I58" s="100">
        <v>12.78</v>
      </c>
      <c r="J58" s="100">
        <v>0.13</v>
      </c>
      <c r="K58" s="100">
        <v>168.26</v>
      </c>
      <c r="L58" s="100">
        <v>23.39</v>
      </c>
      <c r="M58" s="100">
        <v>63.06</v>
      </c>
      <c r="N58" s="100">
        <v>1.2</v>
      </c>
      <c r="O58" s="100">
        <v>0</v>
      </c>
      <c r="P58" s="100">
        <v>0.99</v>
      </c>
      <c r="Q58" s="100">
        <v>12.94</v>
      </c>
      <c r="R58" s="6"/>
      <c r="S58" s="6"/>
      <c r="T58" s="156"/>
      <c r="U58" s="6"/>
    </row>
    <row r="59" spans="1:21" customFormat="1">
      <c r="A59" s="163" t="s">
        <v>769</v>
      </c>
      <c r="B59" s="100">
        <v>6.12</v>
      </c>
      <c r="C59" s="100">
        <v>21.84</v>
      </c>
      <c r="D59" s="100">
        <v>17.670000000000002</v>
      </c>
      <c r="E59" s="100">
        <v>10.99</v>
      </c>
      <c r="F59" s="152" t="s">
        <v>15</v>
      </c>
      <c r="G59" s="100">
        <v>185.6</v>
      </c>
      <c r="H59" s="100">
        <v>57.58</v>
      </c>
      <c r="I59" s="100">
        <v>13.15</v>
      </c>
      <c r="J59" s="100">
        <v>0.19</v>
      </c>
      <c r="K59" s="100">
        <v>150.31</v>
      </c>
      <c r="L59" s="100">
        <v>23.5</v>
      </c>
      <c r="M59" s="100">
        <v>64.209999999999994</v>
      </c>
      <c r="N59" s="100">
        <v>1.2</v>
      </c>
      <c r="O59" s="100">
        <v>0</v>
      </c>
      <c r="P59" s="100">
        <v>0.99</v>
      </c>
      <c r="Q59" s="100">
        <v>12.94</v>
      </c>
      <c r="R59" s="6"/>
      <c r="S59" s="6"/>
      <c r="T59" s="156"/>
      <c r="U59" s="6"/>
    </row>
    <row r="60" spans="1:21" customFormat="1">
      <c r="A60" s="163" t="s">
        <v>770</v>
      </c>
      <c r="B60" s="100">
        <v>6.15</v>
      </c>
      <c r="C60" s="100">
        <v>21.8</v>
      </c>
      <c r="D60" s="100">
        <v>17.68</v>
      </c>
      <c r="E60" s="100">
        <v>10.74</v>
      </c>
      <c r="F60" s="152" t="s">
        <v>15</v>
      </c>
      <c r="G60" s="100">
        <v>185.6</v>
      </c>
      <c r="H60" s="100">
        <v>57.58</v>
      </c>
      <c r="I60" s="100">
        <v>13.28</v>
      </c>
      <c r="J60" s="100">
        <v>0.17</v>
      </c>
      <c r="K60" s="100">
        <v>169.36</v>
      </c>
      <c r="L60" s="100">
        <v>23.41</v>
      </c>
      <c r="M60" s="100">
        <v>64.61</v>
      </c>
      <c r="N60" s="100">
        <v>1.1000000000000001</v>
      </c>
      <c r="O60" s="100">
        <v>0</v>
      </c>
      <c r="P60" s="100">
        <v>1</v>
      </c>
      <c r="Q60" s="100">
        <v>12.92</v>
      </c>
      <c r="R60" s="6"/>
      <c r="S60" s="6"/>
      <c r="T60" s="156"/>
      <c r="U60" s="6"/>
    </row>
    <row r="61" spans="1:21" customFormat="1">
      <c r="A61" s="163" t="s">
        <v>771</v>
      </c>
      <c r="B61" s="100">
        <v>6.16</v>
      </c>
      <c r="C61" s="100">
        <v>21.75</v>
      </c>
      <c r="D61" s="100">
        <v>17.66</v>
      </c>
      <c r="E61" s="100">
        <v>10.95</v>
      </c>
      <c r="F61" s="152" t="s">
        <v>15</v>
      </c>
      <c r="G61" s="100">
        <v>181.85</v>
      </c>
      <c r="H61" s="100">
        <v>57.19</v>
      </c>
      <c r="I61" s="100">
        <v>13.45</v>
      </c>
      <c r="J61" s="100">
        <v>0.13</v>
      </c>
      <c r="K61" s="100">
        <v>183.26</v>
      </c>
      <c r="L61" s="100">
        <v>23.27</v>
      </c>
      <c r="M61" s="100">
        <v>65.81</v>
      </c>
      <c r="N61" s="100">
        <v>1.3</v>
      </c>
      <c r="O61" s="100">
        <v>0</v>
      </c>
      <c r="P61" s="100">
        <v>1.01</v>
      </c>
      <c r="Q61" s="100">
        <v>12.93</v>
      </c>
      <c r="R61" s="6"/>
      <c r="S61" s="6"/>
      <c r="T61" s="156"/>
      <c r="U61" s="6"/>
    </row>
    <row r="62" spans="1:21" customFormat="1">
      <c r="A62" s="163" t="s">
        <v>772</v>
      </c>
      <c r="B62" s="100">
        <v>6.15</v>
      </c>
      <c r="C62" s="100">
        <v>21.68</v>
      </c>
      <c r="D62" s="100">
        <v>17.61</v>
      </c>
      <c r="E62" s="100">
        <v>10.96</v>
      </c>
      <c r="F62" s="152" t="s">
        <v>15</v>
      </c>
      <c r="G62" s="100">
        <v>101.38</v>
      </c>
      <c r="H62" s="100">
        <v>45.08</v>
      </c>
      <c r="I62" s="100">
        <v>13.61</v>
      </c>
      <c r="J62" s="100">
        <v>0.14000000000000001</v>
      </c>
      <c r="K62" s="100">
        <v>174.44</v>
      </c>
      <c r="L62" s="100">
        <v>23.11</v>
      </c>
      <c r="M62" s="100">
        <v>67.97</v>
      </c>
      <c r="N62" s="100">
        <v>1.3</v>
      </c>
      <c r="O62" s="100">
        <v>0</v>
      </c>
      <c r="P62" s="100">
        <v>1</v>
      </c>
      <c r="Q62" s="100">
        <v>12.95</v>
      </c>
      <c r="R62" s="6"/>
      <c r="S62" s="6"/>
      <c r="T62" s="156"/>
      <c r="U62" s="6"/>
    </row>
    <row r="63" spans="1:21" customFormat="1">
      <c r="A63" s="163" t="s">
        <v>773</v>
      </c>
      <c r="B63" s="100">
        <v>6.12</v>
      </c>
      <c r="C63" s="100">
        <v>21.55</v>
      </c>
      <c r="D63" s="100">
        <v>17.52</v>
      </c>
      <c r="E63" s="100">
        <v>10.66</v>
      </c>
      <c r="F63" s="152" t="s">
        <v>15</v>
      </c>
      <c r="G63" s="100">
        <v>101.38</v>
      </c>
      <c r="H63" s="100">
        <v>45.08</v>
      </c>
      <c r="I63" s="100">
        <v>13.73</v>
      </c>
      <c r="J63" s="100">
        <v>0.18</v>
      </c>
      <c r="K63" s="100">
        <v>171.22</v>
      </c>
      <c r="L63" s="100">
        <v>23.11</v>
      </c>
      <c r="M63" s="100">
        <v>68.260000000000005</v>
      </c>
      <c r="N63" s="100">
        <v>1.3</v>
      </c>
      <c r="O63" s="100">
        <v>0</v>
      </c>
      <c r="P63" s="100">
        <v>1</v>
      </c>
      <c r="Q63" s="100">
        <v>12.94</v>
      </c>
      <c r="R63" s="6"/>
      <c r="S63" s="6"/>
      <c r="T63" s="156"/>
      <c r="U63" s="6"/>
    </row>
    <row r="64" spans="1:21" customFormat="1">
      <c r="A64" s="163" t="s">
        <v>774</v>
      </c>
      <c r="B64" s="100">
        <v>6.07</v>
      </c>
      <c r="C64" s="100">
        <v>21.48</v>
      </c>
      <c r="D64" s="100">
        <v>17.440000000000001</v>
      </c>
      <c r="E64" s="100">
        <v>10.94</v>
      </c>
      <c r="F64" s="152" t="s">
        <v>15</v>
      </c>
      <c r="G64" s="100">
        <v>101.38</v>
      </c>
      <c r="H64" s="100">
        <v>45.08</v>
      </c>
      <c r="I64" s="100">
        <v>13.78</v>
      </c>
      <c r="J64" s="100">
        <v>0.1</v>
      </c>
      <c r="K64" s="100">
        <v>211.59</v>
      </c>
      <c r="L64" s="100">
        <v>22.96</v>
      </c>
      <c r="M64" s="100">
        <v>66.760000000000005</v>
      </c>
      <c r="N64" s="100">
        <v>1.4</v>
      </c>
      <c r="O64" s="100">
        <v>0</v>
      </c>
      <c r="P64" s="100">
        <v>1</v>
      </c>
      <c r="Q64" s="100">
        <v>12.93</v>
      </c>
      <c r="R64" s="6"/>
      <c r="S64" s="6"/>
      <c r="T64" s="156"/>
      <c r="U64" s="6"/>
    </row>
    <row r="65" spans="1:21" customFormat="1">
      <c r="A65" s="163" t="s">
        <v>775</v>
      </c>
      <c r="B65" s="100">
        <v>5.93</v>
      </c>
      <c r="C65" s="100">
        <v>21.46</v>
      </c>
      <c r="D65" s="100">
        <v>17.32</v>
      </c>
      <c r="E65" s="100">
        <v>10.87</v>
      </c>
      <c r="F65" s="152" t="s">
        <v>15</v>
      </c>
      <c r="G65" s="100">
        <v>100.19</v>
      </c>
      <c r="H65" s="100">
        <v>44.93</v>
      </c>
      <c r="I65" s="100">
        <v>13.81</v>
      </c>
      <c r="J65" s="100">
        <v>0.17</v>
      </c>
      <c r="K65" s="100">
        <v>155.81</v>
      </c>
      <c r="L65" s="100">
        <v>23.08</v>
      </c>
      <c r="M65" s="100">
        <v>65.989999999999995</v>
      </c>
      <c r="N65" s="100">
        <v>1.4</v>
      </c>
      <c r="O65" s="100">
        <v>0</v>
      </c>
      <c r="P65" s="100">
        <v>1</v>
      </c>
      <c r="Q65" s="100">
        <v>12.94</v>
      </c>
      <c r="R65" s="6"/>
      <c r="S65" s="6"/>
      <c r="T65" s="156"/>
      <c r="U65" s="6"/>
    </row>
    <row r="66" spans="1:21" customFormat="1">
      <c r="A66" s="163" t="s">
        <v>776</v>
      </c>
      <c r="B66" s="100">
        <v>5.85</v>
      </c>
      <c r="C66" s="100">
        <v>21.36</v>
      </c>
      <c r="D66" s="100">
        <v>17.2</v>
      </c>
      <c r="E66" s="100">
        <v>11.02</v>
      </c>
      <c r="F66" s="152" t="s">
        <v>15</v>
      </c>
      <c r="G66" s="100">
        <v>74.73</v>
      </c>
      <c r="H66" s="100">
        <v>39.96</v>
      </c>
      <c r="I66" s="100">
        <v>13.8</v>
      </c>
      <c r="J66" s="100">
        <v>0.13</v>
      </c>
      <c r="K66" s="100">
        <v>162.77000000000001</v>
      </c>
      <c r="L66" s="100">
        <v>22.98</v>
      </c>
      <c r="M66" s="100">
        <v>66.66</v>
      </c>
      <c r="N66" s="100">
        <v>1.4</v>
      </c>
      <c r="O66" s="100">
        <v>0</v>
      </c>
      <c r="P66" s="100">
        <v>0.99</v>
      </c>
      <c r="Q66" s="100">
        <v>12.94</v>
      </c>
      <c r="R66" s="6"/>
      <c r="S66" s="6"/>
      <c r="T66" s="156"/>
      <c r="U66" s="6"/>
    </row>
    <row r="67" spans="1:21" customFormat="1">
      <c r="A67" s="163" t="s">
        <v>777</v>
      </c>
      <c r="B67" s="133" t="s">
        <v>4</v>
      </c>
      <c r="C67" s="133" t="s">
        <v>4</v>
      </c>
      <c r="D67" s="133" t="s">
        <v>4</v>
      </c>
      <c r="E67" s="133" t="s">
        <v>4</v>
      </c>
      <c r="F67" s="152" t="s">
        <v>15</v>
      </c>
      <c r="G67" s="133" t="s">
        <v>4</v>
      </c>
      <c r="H67" s="133" t="s">
        <v>4</v>
      </c>
      <c r="I67" s="133" t="s">
        <v>4</v>
      </c>
      <c r="J67" s="133" t="s">
        <v>4</v>
      </c>
      <c r="K67" s="133" t="s">
        <v>4</v>
      </c>
      <c r="L67" s="133" t="s">
        <v>4</v>
      </c>
      <c r="M67" s="133" t="s">
        <v>4</v>
      </c>
      <c r="N67" s="133" t="s">
        <v>4</v>
      </c>
      <c r="O67" s="133" t="s">
        <v>4</v>
      </c>
      <c r="P67" s="133" t="s">
        <v>4</v>
      </c>
      <c r="Q67" s="133" t="s">
        <v>4</v>
      </c>
      <c r="R67" s="6"/>
      <c r="S67" s="6"/>
      <c r="T67" s="156"/>
      <c r="U67" s="6"/>
    </row>
    <row r="68" spans="1:21" customFormat="1">
      <c r="A68" s="163" t="s">
        <v>778</v>
      </c>
      <c r="B68" s="100">
        <v>3.88</v>
      </c>
      <c r="C68" s="100">
        <v>17.39</v>
      </c>
      <c r="D68" s="100">
        <v>13.55</v>
      </c>
      <c r="E68" s="100">
        <v>9.83</v>
      </c>
      <c r="F68" s="152" t="s">
        <v>15</v>
      </c>
      <c r="G68" s="100">
        <v>41.07</v>
      </c>
      <c r="H68" s="100">
        <v>27.49</v>
      </c>
      <c r="I68" s="100">
        <v>7.47</v>
      </c>
      <c r="J68" s="100">
        <v>0.8</v>
      </c>
      <c r="K68" s="100">
        <v>305.32</v>
      </c>
      <c r="L68" s="100">
        <v>33.369999999999997</v>
      </c>
      <c r="M68" s="100">
        <v>26.25</v>
      </c>
      <c r="N68" s="100">
        <v>87.6</v>
      </c>
      <c r="O68" s="100">
        <v>0</v>
      </c>
      <c r="P68" s="100">
        <v>0.49</v>
      </c>
      <c r="Q68" s="100">
        <v>12.93</v>
      </c>
      <c r="R68" s="6"/>
      <c r="S68" s="6"/>
      <c r="T68" s="156"/>
      <c r="U68" s="6"/>
    </row>
    <row r="69" spans="1:21" customFormat="1">
      <c r="A69" s="163" t="s">
        <v>779</v>
      </c>
      <c r="B69" s="100">
        <v>4.13</v>
      </c>
      <c r="C69" s="100">
        <v>16.7</v>
      </c>
      <c r="D69" s="100">
        <v>13.39</v>
      </c>
      <c r="E69" s="100">
        <v>10.1</v>
      </c>
      <c r="F69" s="152" t="s">
        <v>15</v>
      </c>
      <c r="G69" s="100">
        <v>41.07</v>
      </c>
      <c r="H69" s="100">
        <v>27.49</v>
      </c>
      <c r="I69" s="100">
        <v>7.44</v>
      </c>
      <c r="J69" s="100">
        <v>0.61</v>
      </c>
      <c r="K69" s="100">
        <v>276.41000000000003</v>
      </c>
      <c r="L69" s="100">
        <v>33.57</v>
      </c>
      <c r="M69" s="100">
        <v>27.07</v>
      </c>
      <c r="N69" s="100">
        <v>74.2</v>
      </c>
      <c r="O69" s="100">
        <v>0</v>
      </c>
      <c r="P69" s="100">
        <v>0.56000000000000005</v>
      </c>
      <c r="Q69" s="100">
        <v>12.93</v>
      </c>
      <c r="R69" s="6"/>
      <c r="S69" s="6"/>
      <c r="T69" s="156"/>
      <c r="U69" s="6"/>
    </row>
    <row r="70" spans="1:21" customFormat="1">
      <c r="A70" s="163" t="s">
        <v>780</v>
      </c>
      <c r="B70" s="100">
        <v>3.77</v>
      </c>
      <c r="C70" s="100">
        <v>16.329999999999998</v>
      </c>
      <c r="D70" s="100">
        <v>12.9</v>
      </c>
      <c r="E70" s="100">
        <v>9.81</v>
      </c>
      <c r="F70" s="152" t="s">
        <v>15</v>
      </c>
      <c r="G70" s="100">
        <v>41.07</v>
      </c>
      <c r="H70" s="100">
        <v>27.49</v>
      </c>
      <c r="I70" s="100">
        <v>7.16</v>
      </c>
      <c r="J70" s="100">
        <v>0.62</v>
      </c>
      <c r="K70" s="100">
        <v>286.69</v>
      </c>
      <c r="L70" s="100">
        <v>33.450000000000003</v>
      </c>
      <c r="M70" s="100">
        <v>25.97</v>
      </c>
      <c r="N70" s="100">
        <v>78.400000000000006</v>
      </c>
      <c r="O70" s="100">
        <v>0</v>
      </c>
      <c r="P70" s="100">
        <v>0.56000000000000005</v>
      </c>
      <c r="Q70" s="100">
        <v>12.92</v>
      </c>
      <c r="R70" s="6"/>
      <c r="S70" s="6"/>
      <c r="T70" s="156"/>
      <c r="U70" s="6"/>
    </row>
    <row r="71" spans="1:21" customFormat="1">
      <c r="A71" s="163" t="s">
        <v>781</v>
      </c>
      <c r="B71" s="100">
        <v>3.57</v>
      </c>
      <c r="C71" s="100">
        <v>16.170000000000002</v>
      </c>
      <c r="D71" s="100">
        <v>12.66</v>
      </c>
      <c r="E71" s="100">
        <v>8.9</v>
      </c>
      <c r="F71" s="152" t="s">
        <v>15</v>
      </c>
      <c r="G71" s="100">
        <v>40.82</v>
      </c>
      <c r="H71" s="100">
        <v>27.45</v>
      </c>
      <c r="I71" s="100">
        <v>6.95</v>
      </c>
      <c r="J71" s="100">
        <v>0.65</v>
      </c>
      <c r="K71" s="100">
        <v>269.08999999999997</v>
      </c>
      <c r="L71" s="100">
        <v>33.450000000000003</v>
      </c>
      <c r="M71" s="100">
        <v>26.64</v>
      </c>
      <c r="N71" s="100">
        <v>87.6</v>
      </c>
      <c r="O71" s="100">
        <v>0</v>
      </c>
      <c r="P71" s="100">
        <v>0.46</v>
      </c>
      <c r="Q71" s="100">
        <v>12.93</v>
      </c>
      <c r="R71" s="6"/>
      <c r="S71" s="6"/>
      <c r="T71" s="156"/>
      <c r="U71" s="6"/>
    </row>
    <row r="72" spans="1:21" customFormat="1">
      <c r="A72" s="163" t="s">
        <v>782</v>
      </c>
      <c r="B72" s="100">
        <v>3.72</v>
      </c>
      <c r="C72" s="100">
        <v>17.170000000000002</v>
      </c>
      <c r="D72" s="100">
        <v>13.31</v>
      </c>
      <c r="E72" s="100">
        <v>10.47</v>
      </c>
      <c r="F72" s="152" t="s">
        <v>15</v>
      </c>
      <c r="G72" s="100">
        <v>33.6</v>
      </c>
      <c r="H72" s="100">
        <v>25.97</v>
      </c>
      <c r="I72" s="100">
        <v>6.8</v>
      </c>
      <c r="J72" s="100">
        <v>0.78</v>
      </c>
      <c r="K72" s="100">
        <v>272.24</v>
      </c>
      <c r="L72" s="100">
        <v>33.130000000000003</v>
      </c>
      <c r="M72" s="100">
        <v>26.2</v>
      </c>
      <c r="N72" s="100">
        <v>55.2</v>
      </c>
      <c r="O72" s="100">
        <v>0</v>
      </c>
      <c r="P72" s="100">
        <v>0.42</v>
      </c>
      <c r="Q72" s="100">
        <v>12.94</v>
      </c>
      <c r="R72" s="6"/>
      <c r="S72" s="6"/>
      <c r="T72" s="156"/>
      <c r="U72" s="6"/>
    </row>
    <row r="73" spans="1:21" customFormat="1">
      <c r="A73" s="163" t="s">
        <v>783</v>
      </c>
      <c r="B73" s="100">
        <v>3.77</v>
      </c>
      <c r="C73" s="100">
        <v>17.87</v>
      </c>
      <c r="D73" s="100">
        <v>13.71</v>
      </c>
      <c r="E73" s="100">
        <v>10.56</v>
      </c>
      <c r="F73" s="152" t="s">
        <v>15</v>
      </c>
      <c r="G73" s="100">
        <v>33.6</v>
      </c>
      <c r="H73" s="100">
        <v>25.97</v>
      </c>
      <c r="I73" s="100">
        <v>6.65</v>
      </c>
      <c r="J73" s="100">
        <v>0.48</v>
      </c>
      <c r="K73" s="100">
        <v>259.25</v>
      </c>
      <c r="L73" s="100">
        <v>32.89</v>
      </c>
      <c r="M73" s="100">
        <v>27.63</v>
      </c>
      <c r="N73" s="100">
        <v>43.8</v>
      </c>
      <c r="O73" s="100">
        <v>0</v>
      </c>
      <c r="P73" s="100">
        <v>0.44</v>
      </c>
      <c r="Q73" s="100">
        <v>12.95</v>
      </c>
      <c r="R73" s="6"/>
      <c r="S73" s="6"/>
      <c r="T73" s="156"/>
      <c r="U73" s="6"/>
    </row>
    <row r="74" spans="1:21" customFormat="1">
      <c r="A74" s="163" t="s">
        <v>784</v>
      </c>
      <c r="B74" s="100">
        <v>3.78</v>
      </c>
      <c r="C74" s="100">
        <v>18.28</v>
      </c>
      <c r="D74" s="100">
        <v>13.93</v>
      </c>
      <c r="E74" s="100">
        <v>12.28</v>
      </c>
      <c r="F74" s="152" t="s">
        <v>15</v>
      </c>
      <c r="G74" s="100">
        <v>33.6</v>
      </c>
      <c r="H74" s="100">
        <v>25.97</v>
      </c>
      <c r="I74" s="100">
        <v>6.61</v>
      </c>
      <c r="J74" s="100">
        <v>0.48</v>
      </c>
      <c r="K74" s="100">
        <v>288.3</v>
      </c>
      <c r="L74" s="100">
        <v>32.72</v>
      </c>
      <c r="M74" s="100">
        <v>27.37</v>
      </c>
      <c r="N74" s="100">
        <v>40.6</v>
      </c>
      <c r="O74" s="100">
        <v>0</v>
      </c>
      <c r="P74" s="100">
        <v>0.44</v>
      </c>
      <c r="Q74" s="100">
        <v>12.95</v>
      </c>
      <c r="R74" s="6"/>
      <c r="S74" s="6"/>
      <c r="T74" s="156"/>
      <c r="U74" s="6"/>
    </row>
    <row r="75" spans="1:21" customFormat="1">
      <c r="A75" s="163" t="s">
        <v>785</v>
      </c>
      <c r="B75" s="100">
        <v>3.85</v>
      </c>
      <c r="C75" s="100">
        <v>18.940000000000001</v>
      </c>
      <c r="D75" s="100">
        <v>14.34</v>
      </c>
      <c r="E75" s="100">
        <v>12.17</v>
      </c>
      <c r="F75" s="152" t="s">
        <v>15</v>
      </c>
      <c r="G75" s="100">
        <v>33.49</v>
      </c>
      <c r="H75" s="100">
        <v>25.85</v>
      </c>
      <c r="I75" s="100">
        <v>6.61</v>
      </c>
      <c r="J75" s="100">
        <v>0.42</v>
      </c>
      <c r="K75" s="100">
        <v>271.43</v>
      </c>
      <c r="L75" s="100">
        <v>32.67</v>
      </c>
      <c r="M75" s="100">
        <v>27.99</v>
      </c>
      <c r="N75" s="100">
        <v>38.6</v>
      </c>
      <c r="O75" s="100">
        <v>0</v>
      </c>
      <c r="P75" s="100">
        <v>0.45</v>
      </c>
      <c r="Q75" s="100">
        <v>12.95</v>
      </c>
      <c r="R75" s="6"/>
      <c r="S75" s="6"/>
      <c r="T75" s="156"/>
      <c r="U75" s="6"/>
    </row>
    <row r="76" spans="1:21" customFormat="1">
      <c r="A76" s="163" t="s">
        <v>786</v>
      </c>
      <c r="B76" s="100">
        <v>3.92</v>
      </c>
      <c r="C76" s="100">
        <v>19.34</v>
      </c>
      <c r="D76" s="100">
        <v>14.6</v>
      </c>
      <c r="E76" s="100">
        <v>11.77</v>
      </c>
      <c r="F76" s="152" t="s">
        <v>15</v>
      </c>
      <c r="G76" s="100">
        <v>30.26</v>
      </c>
      <c r="H76" s="100">
        <v>21.93</v>
      </c>
      <c r="I76" s="100">
        <v>6.65</v>
      </c>
      <c r="J76" s="100">
        <v>0.48</v>
      </c>
      <c r="K76" s="100">
        <v>260.49</v>
      </c>
      <c r="L76" s="100">
        <v>32.03</v>
      </c>
      <c r="M76" s="100">
        <v>29.63</v>
      </c>
      <c r="N76" s="100">
        <v>26</v>
      </c>
      <c r="O76" s="100">
        <v>0</v>
      </c>
      <c r="P76" s="100">
        <v>0.43</v>
      </c>
      <c r="Q76" s="100">
        <v>12.94</v>
      </c>
      <c r="R76" s="6"/>
      <c r="S76" s="6"/>
      <c r="T76" s="156"/>
      <c r="U76" s="6"/>
    </row>
    <row r="77" spans="1:21" customFormat="1">
      <c r="A77" s="163" t="s">
        <v>787</v>
      </c>
      <c r="B77" s="100">
        <v>3.9</v>
      </c>
      <c r="C77" s="100">
        <v>19.39</v>
      </c>
      <c r="D77" s="100">
        <v>14.61</v>
      </c>
      <c r="E77" s="100">
        <v>11.01</v>
      </c>
      <c r="F77" s="152" t="s">
        <v>15</v>
      </c>
      <c r="G77" s="100">
        <v>30.26</v>
      </c>
      <c r="H77" s="100">
        <v>21.93</v>
      </c>
      <c r="I77" s="100">
        <v>6.69</v>
      </c>
      <c r="J77" s="100">
        <v>0.37</v>
      </c>
      <c r="K77" s="100">
        <v>255.71</v>
      </c>
      <c r="L77" s="100">
        <v>31.5</v>
      </c>
      <c r="M77" s="100">
        <v>30.33</v>
      </c>
      <c r="N77" s="100">
        <v>18.8</v>
      </c>
      <c r="O77" s="100">
        <v>0</v>
      </c>
      <c r="P77" s="100">
        <v>0.43</v>
      </c>
      <c r="Q77" s="100">
        <v>12.94</v>
      </c>
      <c r="R77" s="6"/>
      <c r="S77" s="6"/>
      <c r="T77" s="156"/>
      <c r="U77" s="6"/>
    </row>
    <row r="78" spans="1:21" customFormat="1">
      <c r="A78" s="163" t="s">
        <v>788</v>
      </c>
      <c r="B78" s="100">
        <v>3.93</v>
      </c>
      <c r="C78" s="100">
        <v>19.21</v>
      </c>
      <c r="D78" s="100">
        <v>14.53</v>
      </c>
      <c r="E78" s="100">
        <v>10.48</v>
      </c>
      <c r="F78" s="152" t="s">
        <v>15</v>
      </c>
      <c r="G78" s="100">
        <v>30.26</v>
      </c>
      <c r="H78" s="100">
        <v>21.93</v>
      </c>
      <c r="I78" s="100">
        <v>6.66</v>
      </c>
      <c r="J78" s="100">
        <v>0.4</v>
      </c>
      <c r="K78" s="100">
        <v>252.76</v>
      </c>
      <c r="L78" s="100">
        <v>31.09</v>
      </c>
      <c r="M78" s="100">
        <v>30.34</v>
      </c>
      <c r="N78" s="100">
        <v>12.3</v>
      </c>
      <c r="O78" s="100">
        <v>0</v>
      </c>
      <c r="P78" s="100">
        <v>0.43</v>
      </c>
      <c r="Q78" s="100">
        <v>12.93</v>
      </c>
      <c r="R78" s="6"/>
      <c r="S78" s="6"/>
      <c r="T78" s="156"/>
      <c r="U78" s="6"/>
    </row>
    <row r="79" spans="1:21" customFormat="1">
      <c r="A79" s="163" t="s">
        <v>789</v>
      </c>
      <c r="B79" s="100">
        <v>3.95</v>
      </c>
      <c r="C79" s="100">
        <v>19.21</v>
      </c>
      <c r="D79" s="100">
        <v>14.56</v>
      </c>
      <c r="E79" s="100">
        <v>10.5</v>
      </c>
      <c r="F79" s="152" t="s">
        <v>15</v>
      </c>
      <c r="G79" s="100">
        <v>30.54</v>
      </c>
      <c r="H79" s="100">
        <v>21.91</v>
      </c>
      <c r="I79" s="100">
        <v>6.6</v>
      </c>
      <c r="J79" s="100">
        <v>0.24</v>
      </c>
      <c r="K79" s="100">
        <v>177.8</v>
      </c>
      <c r="L79" s="100">
        <v>30.36</v>
      </c>
      <c r="M79" s="100">
        <v>34.53</v>
      </c>
      <c r="N79" s="100">
        <v>7.1</v>
      </c>
      <c r="O79" s="100">
        <v>0</v>
      </c>
      <c r="P79" s="100">
        <v>0.44</v>
      </c>
      <c r="Q79" s="100">
        <v>12.94</v>
      </c>
      <c r="R79" s="6"/>
      <c r="S79" s="6"/>
      <c r="T79" s="156"/>
      <c r="U79" s="6"/>
    </row>
    <row r="80" spans="1:21" customFormat="1">
      <c r="A80" s="163" t="s">
        <v>790</v>
      </c>
      <c r="B80" s="100">
        <v>4</v>
      </c>
      <c r="C80" s="100">
        <v>19.239999999999998</v>
      </c>
      <c r="D80" s="100">
        <v>14.61</v>
      </c>
      <c r="E80" s="100">
        <v>10.28</v>
      </c>
      <c r="F80" s="152" t="s">
        <v>15</v>
      </c>
      <c r="G80" s="100">
        <v>36.53</v>
      </c>
      <c r="H80" s="100">
        <v>21.34</v>
      </c>
      <c r="I80" s="100">
        <v>6.53</v>
      </c>
      <c r="J80" s="100">
        <v>0.19</v>
      </c>
      <c r="K80" s="100">
        <v>177.45</v>
      </c>
      <c r="L80" s="100">
        <v>29.13</v>
      </c>
      <c r="M80" s="100">
        <v>39.049999999999997</v>
      </c>
      <c r="N80" s="100">
        <v>3.3</v>
      </c>
      <c r="O80" s="100">
        <v>0</v>
      </c>
      <c r="P80" s="100">
        <v>0.44</v>
      </c>
      <c r="Q80" s="100">
        <v>12.94</v>
      </c>
      <c r="R80" s="6"/>
      <c r="S80" s="6"/>
      <c r="T80" s="156"/>
      <c r="U80" s="6"/>
    </row>
    <row r="81" spans="1:21" customFormat="1">
      <c r="A81" s="163" t="s">
        <v>791</v>
      </c>
      <c r="B81" s="100">
        <v>4.0599999999999996</v>
      </c>
      <c r="C81" s="100">
        <v>19.29</v>
      </c>
      <c r="D81" s="100">
        <v>14.68</v>
      </c>
      <c r="E81" s="100">
        <v>8.7899999999999991</v>
      </c>
      <c r="F81" s="152" t="s">
        <v>15</v>
      </c>
      <c r="G81" s="100">
        <v>36.53</v>
      </c>
      <c r="H81" s="100">
        <v>21.34</v>
      </c>
      <c r="I81" s="100">
        <v>6.54</v>
      </c>
      <c r="J81" s="100">
        <v>0.23</v>
      </c>
      <c r="K81" s="100">
        <v>168.25</v>
      </c>
      <c r="L81" s="100">
        <v>28.15</v>
      </c>
      <c r="M81" s="100">
        <v>46.23</v>
      </c>
      <c r="N81" s="100">
        <v>2</v>
      </c>
      <c r="O81" s="100">
        <v>0</v>
      </c>
      <c r="P81" s="100">
        <v>0.44</v>
      </c>
      <c r="Q81" s="100">
        <v>12.94</v>
      </c>
      <c r="R81" s="6"/>
      <c r="S81" s="6"/>
      <c r="T81" s="156"/>
      <c r="U81" s="6"/>
    </row>
    <row r="82" spans="1:21" customFormat="1">
      <c r="A82" s="163" t="s">
        <v>792</v>
      </c>
      <c r="B82" s="100">
        <v>4.1900000000000004</v>
      </c>
      <c r="C82" s="100">
        <v>19.27</v>
      </c>
      <c r="D82" s="100">
        <v>14.78</v>
      </c>
      <c r="E82" s="100">
        <v>9.9499999999999993</v>
      </c>
      <c r="F82" s="152" t="s">
        <v>15</v>
      </c>
      <c r="G82" s="100">
        <v>36.53</v>
      </c>
      <c r="H82" s="100">
        <v>21.34</v>
      </c>
      <c r="I82" s="100">
        <v>6.58</v>
      </c>
      <c r="J82" s="100">
        <v>0.3</v>
      </c>
      <c r="K82" s="100">
        <v>162.9</v>
      </c>
      <c r="L82" s="100">
        <v>27.42</v>
      </c>
      <c r="M82" s="100">
        <v>51.68</v>
      </c>
      <c r="N82" s="100">
        <v>1.7</v>
      </c>
      <c r="O82" s="100">
        <v>0</v>
      </c>
      <c r="P82" s="100">
        <v>0.44</v>
      </c>
      <c r="Q82" s="100">
        <v>12.93</v>
      </c>
      <c r="R82" s="6"/>
      <c r="S82" s="6"/>
      <c r="T82" s="156"/>
      <c r="U82" s="6"/>
    </row>
    <row r="83" spans="1:21" customFormat="1">
      <c r="A83" s="163" t="s">
        <v>793</v>
      </c>
      <c r="B83" s="100">
        <v>4.34</v>
      </c>
      <c r="C83" s="100">
        <v>19.350000000000001</v>
      </c>
      <c r="D83" s="100">
        <v>14.94</v>
      </c>
      <c r="E83" s="100">
        <v>9.75</v>
      </c>
      <c r="F83" s="152" t="s">
        <v>15</v>
      </c>
      <c r="G83" s="100">
        <v>37.729999999999997</v>
      </c>
      <c r="H83" s="100">
        <v>21.29</v>
      </c>
      <c r="I83" s="100">
        <v>6.62</v>
      </c>
      <c r="J83" s="100">
        <v>0.27</v>
      </c>
      <c r="K83" s="100">
        <v>162.69</v>
      </c>
      <c r="L83" s="100">
        <v>27.09</v>
      </c>
      <c r="M83" s="100">
        <v>51.22</v>
      </c>
      <c r="N83" s="100">
        <v>1.5</v>
      </c>
      <c r="O83" s="100">
        <v>0</v>
      </c>
      <c r="P83" s="100">
        <v>0.45</v>
      </c>
      <c r="Q83" s="100">
        <v>12.93</v>
      </c>
      <c r="R83" s="6"/>
      <c r="S83" s="6"/>
      <c r="T83" s="156"/>
      <c r="U83" s="6"/>
    </row>
    <row r="84" spans="1:21" customFormat="1">
      <c r="A84" s="163" t="s">
        <v>794</v>
      </c>
      <c r="B84" s="100">
        <v>4.53</v>
      </c>
      <c r="C84" s="100">
        <v>19.489999999999998</v>
      </c>
      <c r="D84" s="100">
        <v>15.17</v>
      </c>
      <c r="E84" s="100">
        <v>10.1</v>
      </c>
      <c r="F84" s="152" t="s">
        <v>15</v>
      </c>
      <c r="G84" s="100">
        <v>63.55</v>
      </c>
      <c r="H84" s="100">
        <v>19.97</v>
      </c>
      <c r="I84" s="100">
        <v>6.64</v>
      </c>
      <c r="J84" s="100">
        <v>0.26</v>
      </c>
      <c r="K84" s="100">
        <v>167.07</v>
      </c>
      <c r="L84" s="100">
        <v>26.4</v>
      </c>
      <c r="M84" s="100">
        <v>54.82</v>
      </c>
      <c r="N84" s="100">
        <v>1.6</v>
      </c>
      <c r="O84" s="100">
        <v>0</v>
      </c>
      <c r="P84" s="100">
        <v>0.47</v>
      </c>
      <c r="Q84" s="100">
        <v>12.94</v>
      </c>
      <c r="R84" s="6"/>
      <c r="S84" s="6"/>
      <c r="T84" s="156"/>
      <c r="U84" s="6"/>
    </row>
    <row r="85" spans="1:21" customFormat="1">
      <c r="A85" s="163" t="s">
        <v>795</v>
      </c>
      <c r="B85" s="100">
        <v>4.68</v>
      </c>
      <c r="C85" s="100">
        <v>19.559999999999999</v>
      </c>
      <c r="D85" s="100">
        <v>15.32</v>
      </c>
      <c r="E85" s="100">
        <v>9.89</v>
      </c>
      <c r="F85" s="152" t="s">
        <v>15</v>
      </c>
      <c r="G85" s="100">
        <v>63.55</v>
      </c>
      <c r="H85" s="100">
        <v>19.97</v>
      </c>
      <c r="I85" s="100">
        <v>6.67</v>
      </c>
      <c r="J85" s="100">
        <v>0.25</v>
      </c>
      <c r="K85" s="100">
        <v>166.78</v>
      </c>
      <c r="L85" s="100">
        <v>26</v>
      </c>
      <c r="M85" s="100">
        <v>54.07</v>
      </c>
      <c r="N85" s="100">
        <v>1.4</v>
      </c>
      <c r="O85" s="100">
        <v>0</v>
      </c>
      <c r="P85" s="100">
        <v>0.48</v>
      </c>
      <c r="Q85" s="100">
        <v>12.94</v>
      </c>
      <c r="R85" s="6"/>
      <c r="S85" s="6"/>
      <c r="T85" s="156"/>
      <c r="U85" s="6"/>
    </row>
    <row r="86" spans="1:21" customFormat="1">
      <c r="A86" s="163" t="s">
        <v>796</v>
      </c>
      <c r="B86" s="100">
        <v>4.83</v>
      </c>
      <c r="C86" s="100">
        <v>19.760000000000002</v>
      </c>
      <c r="D86" s="100">
        <v>15.55</v>
      </c>
      <c r="E86" s="100">
        <v>10.11</v>
      </c>
      <c r="F86" s="152" t="s">
        <v>15</v>
      </c>
      <c r="G86" s="100">
        <v>63.55</v>
      </c>
      <c r="H86" s="100">
        <v>19.97</v>
      </c>
      <c r="I86" s="100">
        <v>6.78</v>
      </c>
      <c r="J86" s="100">
        <v>0.18</v>
      </c>
      <c r="K86" s="100">
        <v>185.51</v>
      </c>
      <c r="L86" s="100">
        <v>25.56</v>
      </c>
      <c r="M86" s="100">
        <v>57.14</v>
      </c>
      <c r="N86" s="100">
        <v>1.4</v>
      </c>
      <c r="O86" s="100">
        <v>0</v>
      </c>
      <c r="P86" s="100">
        <v>0.5</v>
      </c>
      <c r="Q86" s="100">
        <v>12.94</v>
      </c>
      <c r="R86" s="6"/>
      <c r="S86" s="6"/>
      <c r="T86" s="156"/>
      <c r="U86" s="6"/>
    </row>
    <row r="87" spans="1:21" customFormat="1">
      <c r="A87" s="163" t="s">
        <v>797</v>
      </c>
      <c r="B87" s="100">
        <v>5.04</v>
      </c>
      <c r="C87" s="100">
        <v>19.95</v>
      </c>
      <c r="D87" s="100">
        <v>15.82</v>
      </c>
      <c r="E87" s="100">
        <v>10.09</v>
      </c>
      <c r="F87" s="152" t="s">
        <v>15</v>
      </c>
      <c r="G87" s="100">
        <v>63.63</v>
      </c>
      <c r="H87" s="100">
        <v>19.95</v>
      </c>
      <c r="I87" s="100">
        <v>6.92</v>
      </c>
      <c r="J87" s="100">
        <v>0.22</v>
      </c>
      <c r="K87" s="100">
        <v>195.11</v>
      </c>
      <c r="L87" s="100">
        <v>25.15</v>
      </c>
      <c r="M87" s="100">
        <v>59.24</v>
      </c>
      <c r="N87" s="100">
        <v>1.5</v>
      </c>
      <c r="O87" s="100">
        <v>0</v>
      </c>
      <c r="P87" s="100">
        <v>0.53</v>
      </c>
      <c r="Q87" s="100">
        <v>12.94</v>
      </c>
      <c r="R87" s="6"/>
      <c r="S87" s="6"/>
      <c r="T87" s="156"/>
      <c r="U87" s="6"/>
    </row>
    <row r="88" spans="1:21" customFormat="1">
      <c r="A88" s="163" t="s">
        <v>798</v>
      </c>
      <c r="B88" s="100">
        <v>5.24</v>
      </c>
      <c r="C88" s="100">
        <v>20.149999999999999</v>
      </c>
      <c r="D88" s="100">
        <v>16.079999999999998</v>
      </c>
      <c r="E88" s="100">
        <v>10.37</v>
      </c>
      <c r="F88" s="152" t="s">
        <v>15</v>
      </c>
      <c r="G88" s="100">
        <v>65.86</v>
      </c>
      <c r="H88" s="100">
        <v>19.190000000000001</v>
      </c>
      <c r="I88" s="100">
        <v>7.11</v>
      </c>
      <c r="J88" s="100">
        <v>0.15</v>
      </c>
      <c r="K88" s="100">
        <v>173.06</v>
      </c>
      <c r="L88" s="100">
        <v>24.66</v>
      </c>
      <c r="M88" s="100">
        <v>60.01</v>
      </c>
      <c r="N88" s="100">
        <v>1.3</v>
      </c>
      <c r="O88" s="100">
        <v>0</v>
      </c>
      <c r="P88" s="100">
        <v>0.53</v>
      </c>
      <c r="Q88" s="100">
        <v>12.94</v>
      </c>
      <c r="R88" s="6"/>
      <c r="S88" s="6"/>
      <c r="T88" s="156"/>
      <c r="U88" s="6"/>
    </row>
    <row r="89" spans="1:21" customFormat="1">
      <c r="A89" s="163" t="s">
        <v>799</v>
      </c>
      <c r="B89" s="100">
        <v>5.46</v>
      </c>
      <c r="C89" s="100">
        <v>20.32</v>
      </c>
      <c r="D89" s="100">
        <v>16.350000000000001</v>
      </c>
      <c r="E89" s="100">
        <v>10.199999999999999</v>
      </c>
      <c r="F89" s="152" t="s">
        <v>15</v>
      </c>
      <c r="G89" s="100">
        <v>65.86</v>
      </c>
      <c r="H89" s="100">
        <v>19.190000000000001</v>
      </c>
      <c r="I89" s="100">
        <v>7.28</v>
      </c>
      <c r="J89" s="100">
        <v>0.19</v>
      </c>
      <c r="K89" s="100">
        <v>161.63999999999999</v>
      </c>
      <c r="L89" s="100">
        <v>24.69</v>
      </c>
      <c r="M89" s="100">
        <v>58.35</v>
      </c>
      <c r="N89" s="100">
        <v>1</v>
      </c>
      <c r="O89" s="100">
        <v>0</v>
      </c>
      <c r="P89" s="100">
        <v>0.55000000000000004</v>
      </c>
      <c r="Q89" s="100">
        <v>12.94</v>
      </c>
      <c r="R89" s="6"/>
      <c r="S89" s="6"/>
      <c r="T89" s="156"/>
      <c r="U89" s="6"/>
    </row>
    <row r="90" spans="1:21" customFormat="1">
      <c r="A90" s="163" t="s">
        <v>800</v>
      </c>
      <c r="B90" s="100">
        <v>5.65</v>
      </c>
      <c r="C90" s="100">
        <v>20.56</v>
      </c>
      <c r="D90" s="100">
        <v>16.62</v>
      </c>
      <c r="E90" s="100">
        <v>10.220000000000001</v>
      </c>
      <c r="F90" s="152" t="s">
        <v>15</v>
      </c>
      <c r="G90" s="100">
        <v>65.86</v>
      </c>
      <c r="H90" s="100">
        <v>19.190000000000001</v>
      </c>
      <c r="I90" s="100">
        <v>7.53</v>
      </c>
      <c r="J90" s="100">
        <v>0.15</v>
      </c>
      <c r="K90" s="100">
        <v>184.15</v>
      </c>
      <c r="L90" s="100">
        <v>24.61</v>
      </c>
      <c r="M90" s="100">
        <v>61.63</v>
      </c>
      <c r="N90" s="100">
        <v>1</v>
      </c>
      <c r="O90" s="100">
        <v>0</v>
      </c>
      <c r="P90" s="100">
        <v>0.56999999999999995</v>
      </c>
      <c r="Q90" s="100">
        <v>12.95</v>
      </c>
      <c r="R90" s="6"/>
      <c r="S90" s="6"/>
      <c r="T90" s="156"/>
      <c r="U90" s="6"/>
    </row>
    <row r="91" spans="1:21" customFormat="1">
      <c r="A91" s="163" t="s">
        <v>801</v>
      </c>
      <c r="B91" s="100">
        <v>5.97</v>
      </c>
      <c r="C91" s="100">
        <v>22.49</v>
      </c>
      <c r="D91" s="100">
        <v>17.89</v>
      </c>
      <c r="E91" s="100">
        <v>10.39</v>
      </c>
      <c r="F91" s="152" t="s">
        <v>15</v>
      </c>
      <c r="G91" s="100">
        <v>65.8</v>
      </c>
      <c r="H91" s="100">
        <v>19.21</v>
      </c>
      <c r="I91" s="100">
        <v>7.84</v>
      </c>
      <c r="J91" s="100">
        <v>0.11</v>
      </c>
      <c r="K91" s="100">
        <v>189.93</v>
      </c>
      <c r="L91" s="100">
        <v>24.3</v>
      </c>
      <c r="M91" s="100">
        <v>63.25</v>
      </c>
      <c r="N91" s="100">
        <v>1.1000000000000001</v>
      </c>
      <c r="O91" s="100">
        <v>0</v>
      </c>
      <c r="P91" s="100">
        <v>0.62</v>
      </c>
      <c r="Q91" s="100">
        <v>12.94</v>
      </c>
      <c r="R91" s="6"/>
      <c r="S91" s="6"/>
      <c r="T91" s="156"/>
      <c r="U91" s="6"/>
    </row>
    <row r="92" spans="1:21" customFormat="1">
      <c r="A92" s="163" t="s">
        <v>802</v>
      </c>
      <c r="B92" s="100">
        <v>6.59</v>
      </c>
      <c r="C92" s="100">
        <v>22.91</v>
      </c>
      <c r="D92" s="100">
        <v>18.61</v>
      </c>
      <c r="E92" s="100">
        <v>10.31</v>
      </c>
      <c r="F92" s="152" t="s">
        <v>15</v>
      </c>
      <c r="G92" s="100">
        <v>64.31</v>
      </c>
      <c r="H92" s="100">
        <v>19.98</v>
      </c>
      <c r="I92" s="100">
        <v>8.15</v>
      </c>
      <c r="J92" s="100">
        <v>0.17</v>
      </c>
      <c r="K92" s="100">
        <v>187.62</v>
      </c>
      <c r="L92" s="100">
        <v>24.15</v>
      </c>
      <c r="M92" s="100">
        <v>57.86</v>
      </c>
      <c r="N92" s="100">
        <v>1</v>
      </c>
      <c r="O92" s="100">
        <v>0</v>
      </c>
      <c r="P92" s="100">
        <v>0.66</v>
      </c>
      <c r="Q92" s="100">
        <v>12.93</v>
      </c>
      <c r="R92" s="6"/>
      <c r="S92" s="6"/>
      <c r="T92" s="156"/>
      <c r="U92" s="6"/>
    </row>
    <row r="93" spans="1:21" customFormat="1">
      <c r="A93" s="163" t="s">
        <v>803</v>
      </c>
      <c r="B93" s="100">
        <v>7.2</v>
      </c>
      <c r="C93" s="100">
        <v>22.58</v>
      </c>
      <c r="D93" s="100">
        <v>18.920000000000002</v>
      </c>
      <c r="E93" s="100">
        <v>10.32</v>
      </c>
      <c r="F93" s="152" t="s">
        <v>15</v>
      </c>
      <c r="G93" s="100">
        <v>64.31</v>
      </c>
      <c r="H93" s="100">
        <v>19.98</v>
      </c>
      <c r="I93" s="100">
        <v>8.44</v>
      </c>
      <c r="J93" s="100">
        <v>0.2</v>
      </c>
      <c r="K93" s="100">
        <v>170.88</v>
      </c>
      <c r="L93" s="100">
        <v>23.87</v>
      </c>
      <c r="M93" s="100">
        <v>66.11</v>
      </c>
      <c r="N93" s="100">
        <v>1.3</v>
      </c>
      <c r="O93" s="100">
        <v>0</v>
      </c>
      <c r="P93" s="100">
        <v>0.68</v>
      </c>
      <c r="Q93" s="100">
        <v>12.93</v>
      </c>
      <c r="R93" s="6"/>
      <c r="S93" s="6"/>
      <c r="T93" s="156"/>
      <c r="U93" s="6"/>
    </row>
    <row r="94" spans="1:21" customFormat="1">
      <c r="A94" s="163" t="s">
        <v>804</v>
      </c>
      <c r="B94" s="100">
        <v>7.73</v>
      </c>
      <c r="C94" s="100">
        <v>21.97</v>
      </c>
      <c r="D94" s="100">
        <v>19.03</v>
      </c>
      <c r="E94" s="100">
        <v>9.83</v>
      </c>
      <c r="F94" s="152" t="s">
        <v>15</v>
      </c>
      <c r="G94" s="100">
        <v>64.31</v>
      </c>
      <c r="H94" s="100">
        <v>19.98</v>
      </c>
      <c r="I94" s="100">
        <v>8.8000000000000007</v>
      </c>
      <c r="J94" s="100">
        <v>0.2</v>
      </c>
      <c r="K94" s="100">
        <v>189.1</v>
      </c>
      <c r="L94" s="100">
        <v>23.35</v>
      </c>
      <c r="M94" s="100">
        <v>67.38</v>
      </c>
      <c r="N94" s="100">
        <v>1.5</v>
      </c>
      <c r="O94" s="100">
        <v>0</v>
      </c>
      <c r="P94" s="100">
        <v>0.7</v>
      </c>
      <c r="Q94" s="100">
        <v>12.92</v>
      </c>
      <c r="R94" s="6"/>
      <c r="S94" s="6"/>
      <c r="T94" s="156"/>
      <c r="U94" s="6"/>
    </row>
    <row r="95" spans="1:21" customFormat="1">
      <c r="A95" s="163" t="s">
        <v>805</v>
      </c>
      <c r="B95" s="100">
        <v>8.1300000000000008</v>
      </c>
      <c r="C95" s="100">
        <v>21.98</v>
      </c>
      <c r="D95" s="100">
        <v>19.36</v>
      </c>
      <c r="E95" s="100">
        <v>9.98</v>
      </c>
      <c r="F95" s="152" t="s">
        <v>15</v>
      </c>
      <c r="G95" s="100">
        <v>65.290000000000006</v>
      </c>
      <c r="H95" s="100">
        <v>19.95</v>
      </c>
      <c r="I95" s="100">
        <v>9.09</v>
      </c>
      <c r="J95" s="100">
        <v>0.23</v>
      </c>
      <c r="K95" s="100">
        <v>179.38</v>
      </c>
      <c r="L95" s="100">
        <v>22.89</v>
      </c>
      <c r="M95" s="100">
        <v>67.33</v>
      </c>
      <c r="N95" s="100">
        <v>1.5</v>
      </c>
      <c r="O95" s="100">
        <v>0</v>
      </c>
      <c r="P95" s="100">
        <v>0.72</v>
      </c>
      <c r="Q95" s="100">
        <v>12.92</v>
      </c>
      <c r="R95" s="6"/>
      <c r="S95" s="6"/>
      <c r="T95" s="156"/>
      <c r="U95" s="6"/>
    </row>
    <row r="96" spans="1:21" customFormat="1">
      <c r="A96" s="163" t="s">
        <v>806</v>
      </c>
      <c r="B96" s="100">
        <v>8.5299999999999994</v>
      </c>
      <c r="C96" s="100">
        <v>22.15</v>
      </c>
      <c r="D96" s="100">
        <v>19.77</v>
      </c>
      <c r="E96" s="100">
        <v>10.1</v>
      </c>
      <c r="F96" s="152" t="s">
        <v>15</v>
      </c>
      <c r="G96" s="100">
        <v>86.22</v>
      </c>
      <c r="H96" s="100">
        <v>18.89</v>
      </c>
      <c r="I96" s="100">
        <v>9.44</v>
      </c>
      <c r="J96" s="100">
        <v>0.15</v>
      </c>
      <c r="K96" s="100">
        <v>171.33</v>
      </c>
      <c r="L96" s="100">
        <v>22.91</v>
      </c>
      <c r="M96" s="100">
        <v>69.23</v>
      </c>
      <c r="N96" s="100">
        <v>1</v>
      </c>
      <c r="O96" s="100">
        <v>0</v>
      </c>
      <c r="P96" s="100">
        <v>0.73</v>
      </c>
      <c r="Q96" s="100">
        <v>12.93</v>
      </c>
      <c r="R96" s="6"/>
      <c r="S96" s="6"/>
      <c r="T96" s="156"/>
      <c r="U96" s="6"/>
    </row>
    <row r="97" spans="1:28" customFormat="1">
      <c r="A97" s="163" t="s">
        <v>807</v>
      </c>
      <c r="B97" s="100">
        <v>8.99</v>
      </c>
      <c r="C97" s="100">
        <v>21.62</v>
      </c>
      <c r="D97" s="100">
        <v>19.850000000000001</v>
      </c>
      <c r="E97" s="100">
        <v>9.89</v>
      </c>
      <c r="F97" s="152" t="s">
        <v>15</v>
      </c>
      <c r="G97" s="100">
        <v>86.22</v>
      </c>
      <c r="H97" s="100">
        <v>18.89</v>
      </c>
      <c r="I97" s="100">
        <v>9.81</v>
      </c>
      <c r="J97" s="100">
        <v>0.16</v>
      </c>
      <c r="K97" s="100">
        <v>194.78</v>
      </c>
      <c r="L97" s="100">
        <v>22.8</v>
      </c>
      <c r="M97" s="100">
        <v>70.33</v>
      </c>
      <c r="N97" s="100">
        <v>1.1000000000000001</v>
      </c>
      <c r="O97" s="100">
        <v>0</v>
      </c>
      <c r="P97" s="100">
        <v>0.74</v>
      </c>
      <c r="Q97" s="100">
        <v>12.95</v>
      </c>
      <c r="R97" s="6"/>
      <c r="S97" s="6"/>
      <c r="T97" s="156"/>
      <c r="U97" s="6"/>
    </row>
    <row r="98" spans="1:28" customFormat="1">
      <c r="A98" s="163" t="s">
        <v>808</v>
      </c>
      <c r="B98" s="100">
        <v>9.39</v>
      </c>
      <c r="C98" s="100">
        <v>21.25</v>
      </c>
      <c r="D98" s="100">
        <v>19.989999999999998</v>
      </c>
      <c r="E98" s="100">
        <v>10.09</v>
      </c>
      <c r="F98" s="152" t="s">
        <v>15</v>
      </c>
      <c r="G98" s="100">
        <v>86.22</v>
      </c>
      <c r="H98" s="100">
        <v>18.89</v>
      </c>
      <c r="I98" s="100">
        <v>10.09</v>
      </c>
      <c r="J98" s="100">
        <v>0.1</v>
      </c>
      <c r="K98" s="100">
        <v>174.78</v>
      </c>
      <c r="L98" s="100">
        <v>22.7</v>
      </c>
      <c r="M98" s="100">
        <v>67.52</v>
      </c>
      <c r="N98" s="100">
        <v>1</v>
      </c>
      <c r="O98" s="100">
        <v>0</v>
      </c>
      <c r="P98" s="100">
        <v>0.75</v>
      </c>
      <c r="Q98" s="100">
        <v>12.94</v>
      </c>
      <c r="R98" s="6"/>
      <c r="S98" s="6"/>
      <c r="T98" s="156"/>
      <c r="U98" s="6"/>
    </row>
    <row r="99" spans="1:28" customFormat="1">
      <c r="A99" s="163" t="s">
        <v>809</v>
      </c>
      <c r="B99" s="100">
        <v>9.7200000000000006</v>
      </c>
      <c r="C99" s="100">
        <v>21.27</v>
      </c>
      <c r="D99" s="100">
        <v>20.260000000000002</v>
      </c>
      <c r="E99" s="100">
        <v>10.25</v>
      </c>
      <c r="F99" s="152" t="s">
        <v>15</v>
      </c>
      <c r="G99" s="100">
        <v>85.85</v>
      </c>
      <c r="H99" s="100">
        <v>18.899999999999999</v>
      </c>
      <c r="I99" s="100">
        <v>10.29</v>
      </c>
      <c r="J99" s="100">
        <v>0.13</v>
      </c>
      <c r="K99" s="100">
        <v>172.81</v>
      </c>
      <c r="L99" s="100">
        <v>22.75</v>
      </c>
      <c r="M99" s="100">
        <v>65.75</v>
      </c>
      <c r="N99" s="100">
        <v>1</v>
      </c>
      <c r="O99" s="100">
        <v>0</v>
      </c>
      <c r="P99" s="100">
        <v>0.76</v>
      </c>
      <c r="Q99" s="100">
        <v>12.94</v>
      </c>
      <c r="R99" s="6"/>
      <c r="S99" s="6"/>
      <c r="T99" s="156"/>
      <c r="U99" s="6"/>
    </row>
    <row r="100" spans="1:28" customFormat="1">
      <c r="A100" s="163" t="s">
        <v>810</v>
      </c>
      <c r="B100" s="100">
        <v>10.050000000000001</v>
      </c>
      <c r="C100" s="100">
        <v>21.42</v>
      </c>
      <c r="D100" s="100">
        <v>20.6</v>
      </c>
      <c r="E100" s="100">
        <v>10.52</v>
      </c>
      <c r="F100" s="152" t="s">
        <v>15</v>
      </c>
      <c r="G100" s="100">
        <v>75.209999999999994</v>
      </c>
      <c r="H100" s="100">
        <v>19.2</v>
      </c>
      <c r="I100" s="100">
        <v>10.46</v>
      </c>
      <c r="J100" s="100">
        <v>0.12</v>
      </c>
      <c r="K100" s="100">
        <v>169.46</v>
      </c>
      <c r="L100" s="100">
        <v>22.72</v>
      </c>
      <c r="M100" s="100">
        <v>66.739999999999995</v>
      </c>
      <c r="N100" s="100">
        <v>1</v>
      </c>
      <c r="O100" s="100">
        <v>0</v>
      </c>
      <c r="P100" s="100">
        <v>0.77</v>
      </c>
      <c r="Q100" s="100">
        <v>12.95</v>
      </c>
      <c r="R100" s="6"/>
      <c r="S100" s="6"/>
      <c r="T100" s="156"/>
      <c r="U100" s="6"/>
      <c r="AB100" s="161"/>
    </row>
    <row r="101" spans="1:28" customFormat="1">
      <c r="A101" s="163" t="s">
        <v>811</v>
      </c>
      <c r="B101" s="100">
        <v>10.28</v>
      </c>
      <c r="C101" s="100">
        <v>21.18</v>
      </c>
      <c r="D101" s="100">
        <v>20.66</v>
      </c>
      <c r="E101" s="100">
        <v>10.47</v>
      </c>
      <c r="F101" s="152" t="s">
        <v>15</v>
      </c>
      <c r="G101" s="100">
        <v>75.209999999999994</v>
      </c>
      <c r="H101" s="100">
        <v>19.2</v>
      </c>
      <c r="I101" s="100">
        <v>10.56</v>
      </c>
      <c r="J101" s="100">
        <v>0.14000000000000001</v>
      </c>
      <c r="K101" s="100">
        <v>197.72</v>
      </c>
      <c r="L101" s="100">
        <v>22.69</v>
      </c>
      <c r="M101" s="100">
        <v>65.09</v>
      </c>
      <c r="N101" s="100">
        <v>1</v>
      </c>
      <c r="O101" s="100">
        <v>0</v>
      </c>
      <c r="P101" s="100">
        <v>0.78</v>
      </c>
      <c r="Q101" s="100">
        <v>12.95</v>
      </c>
      <c r="R101" s="6"/>
      <c r="S101" s="6"/>
      <c r="T101" s="156"/>
      <c r="U101" s="6"/>
    </row>
    <row r="102" spans="1:28" customFormat="1">
      <c r="A102" s="163" t="s">
        <v>812</v>
      </c>
      <c r="B102" s="100">
        <v>10.51</v>
      </c>
      <c r="C102" s="100">
        <v>20.89</v>
      </c>
      <c r="D102" s="100">
        <v>20.7</v>
      </c>
      <c r="E102" s="100">
        <v>10.6</v>
      </c>
      <c r="F102" s="152" t="s">
        <v>15</v>
      </c>
      <c r="G102" s="100">
        <v>75.209999999999994</v>
      </c>
      <c r="H102" s="100">
        <v>19.2</v>
      </c>
      <c r="I102" s="100">
        <v>10.71</v>
      </c>
      <c r="J102" s="100">
        <v>7.0000000000000007E-2</v>
      </c>
      <c r="K102" s="100">
        <v>328.95</v>
      </c>
      <c r="L102" s="100">
        <v>22.54</v>
      </c>
      <c r="M102" s="100">
        <v>64.45</v>
      </c>
      <c r="N102" s="100">
        <v>1.1000000000000001</v>
      </c>
      <c r="O102" s="100">
        <v>0</v>
      </c>
      <c r="P102" s="100">
        <v>0.79</v>
      </c>
      <c r="Q102" s="100">
        <v>12.95</v>
      </c>
      <c r="R102" s="6"/>
      <c r="S102" s="6"/>
      <c r="T102" s="156"/>
      <c r="U102" s="6"/>
    </row>
    <row r="103" spans="1:28" customFormat="1">
      <c r="A103" s="163" t="s">
        <v>813</v>
      </c>
      <c r="B103" s="100">
        <v>11.19</v>
      </c>
      <c r="C103" s="100">
        <v>21.23</v>
      </c>
      <c r="D103" s="100">
        <v>21.42</v>
      </c>
      <c r="E103" s="100">
        <v>10.68</v>
      </c>
      <c r="F103" s="152" t="s">
        <v>15</v>
      </c>
      <c r="G103" s="100">
        <v>74.650000000000006</v>
      </c>
      <c r="H103" s="100">
        <v>19.190000000000001</v>
      </c>
      <c r="I103" s="100">
        <v>10.83</v>
      </c>
      <c r="J103" s="100">
        <v>0.1</v>
      </c>
      <c r="K103" s="100">
        <v>121.43</v>
      </c>
      <c r="L103" s="100">
        <v>23</v>
      </c>
      <c r="M103" s="100">
        <v>60.06</v>
      </c>
      <c r="N103" s="100">
        <v>0.8</v>
      </c>
      <c r="O103" s="100">
        <v>0</v>
      </c>
      <c r="P103" s="100">
        <v>0.8</v>
      </c>
      <c r="Q103" s="100">
        <v>12.95</v>
      </c>
      <c r="R103" s="6"/>
      <c r="S103" s="6"/>
      <c r="T103" s="156"/>
      <c r="U103" s="6"/>
    </row>
    <row r="104" spans="1:28" customFormat="1">
      <c r="A104" s="163" t="s">
        <v>814</v>
      </c>
      <c r="B104" s="100">
        <v>12.52</v>
      </c>
      <c r="C104" s="100">
        <v>21.87</v>
      </c>
      <c r="D104" s="100">
        <v>22.82</v>
      </c>
      <c r="E104" s="100">
        <v>10.52</v>
      </c>
      <c r="F104" s="152" t="s">
        <v>15</v>
      </c>
      <c r="G104" s="100">
        <v>58.52</v>
      </c>
      <c r="H104" s="100">
        <v>18.690000000000001</v>
      </c>
      <c r="I104" s="100">
        <v>10.94</v>
      </c>
      <c r="J104" s="100">
        <v>0.23</v>
      </c>
      <c r="K104" s="100">
        <v>184.44</v>
      </c>
      <c r="L104" s="100">
        <v>22.82</v>
      </c>
      <c r="M104" s="100">
        <v>66.7</v>
      </c>
      <c r="N104" s="100">
        <v>1.5</v>
      </c>
      <c r="O104" s="100">
        <v>0</v>
      </c>
      <c r="P104" s="100">
        <v>0.8</v>
      </c>
      <c r="Q104" s="100">
        <v>12.95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16.170000000000002</v>
      </c>
      <c r="D106" s="158">
        <f t="shared" ref="D106:Q106" si="0">MIN(D9:D104)</f>
        <v>12.66</v>
      </c>
      <c r="E106" s="158">
        <f t="shared" si="0"/>
        <v>8.7899999999999991</v>
      </c>
      <c r="F106" s="158">
        <f t="shared" si="0"/>
        <v>0</v>
      </c>
      <c r="G106" s="158">
        <f t="shared" si="0"/>
        <v>30.26</v>
      </c>
      <c r="H106" s="158">
        <f t="shared" si="0"/>
        <v>18.690000000000001</v>
      </c>
      <c r="I106" s="158">
        <f t="shared" si="0"/>
        <v>6.53</v>
      </c>
      <c r="J106" s="158">
        <f t="shared" si="0"/>
        <v>7.0000000000000007E-2</v>
      </c>
      <c r="K106" s="158">
        <f t="shared" si="0"/>
        <v>121.43</v>
      </c>
      <c r="L106" s="158">
        <f t="shared" si="0"/>
        <v>22.54</v>
      </c>
      <c r="M106" s="158">
        <f t="shared" si="0"/>
        <v>25.97</v>
      </c>
      <c r="N106" s="158">
        <f t="shared" si="0"/>
        <v>0.8</v>
      </c>
      <c r="O106" s="158">
        <f t="shared" si="0"/>
        <v>0</v>
      </c>
      <c r="P106" s="158">
        <f t="shared" si="0"/>
        <v>0.42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12.52</v>
      </c>
      <c r="C107" s="157">
        <f t="shared" ref="C107:Q107" si="1">MAX(C9:C104)</f>
        <v>24.68</v>
      </c>
      <c r="D107" s="157">
        <f t="shared" si="1"/>
        <v>22.82</v>
      </c>
      <c r="E107" s="157">
        <f t="shared" si="1"/>
        <v>19.399999999999999</v>
      </c>
      <c r="F107" s="157">
        <f t="shared" si="1"/>
        <v>0</v>
      </c>
      <c r="G107" s="157">
        <f t="shared" si="1"/>
        <v>185.6</v>
      </c>
      <c r="H107" s="157">
        <f t="shared" si="1"/>
        <v>57.58</v>
      </c>
      <c r="I107" s="157">
        <f t="shared" si="1"/>
        <v>14.86</v>
      </c>
      <c r="J107" s="157">
        <f t="shared" si="1"/>
        <v>1.25</v>
      </c>
      <c r="K107" s="157">
        <f t="shared" si="1"/>
        <v>328.95</v>
      </c>
      <c r="L107" s="157">
        <f t="shared" si="1"/>
        <v>33.81</v>
      </c>
      <c r="M107" s="157">
        <f t="shared" si="1"/>
        <v>70.33</v>
      </c>
      <c r="N107" s="157">
        <f t="shared" si="1"/>
        <v>313.5</v>
      </c>
      <c r="O107" s="157">
        <f t="shared" si="1"/>
        <v>0</v>
      </c>
      <c r="P107" s="157">
        <f t="shared" si="1"/>
        <v>1.06</v>
      </c>
      <c r="Q107" s="157">
        <f t="shared" si="1"/>
        <v>12.96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5.2833695652173898</v>
      </c>
      <c r="C108" s="158">
        <f t="shared" ref="C108:Q108" si="2">AVERAGE(C9:C104)</f>
        <v>21.316956521739129</v>
      </c>
      <c r="D108" s="158">
        <f t="shared" si="2"/>
        <v>16.72586956521738</v>
      </c>
      <c r="E108" s="158">
        <f t="shared" si="2"/>
        <v>11.963369565217393</v>
      </c>
      <c r="F108" s="158" t="e">
        <f t="shared" si="2"/>
        <v>#DIV/0!</v>
      </c>
      <c r="G108" s="158">
        <f t="shared" si="2"/>
        <v>71.560869565217402</v>
      </c>
      <c r="H108" s="158">
        <f t="shared" si="2"/>
        <v>29.692717391304317</v>
      </c>
      <c r="I108" s="158">
        <f t="shared" si="2"/>
        <v>10.144891304347826</v>
      </c>
      <c r="J108" s="158">
        <f t="shared" si="2"/>
        <v>0.46086956521739103</v>
      </c>
      <c r="K108" s="158">
        <f t="shared" si="2"/>
        <v>226.82902173913047</v>
      </c>
      <c r="L108" s="158">
        <f t="shared" si="2"/>
        <v>28.184782608695652</v>
      </c>
      <c r="M108" s="158">
        <f t="shared" si="2"/>
        <v>47.581086956521737</v>
      </c>
      <c r="N108" s="158">
        <f t="shared" si="2"/>
        <v>68.729347826086979</v>
      </c>
      <c r="O108" s="158">
        <f t="shared" si="2"/>
        <v>0</v>
      </c>
      <c r="P108" s="158">
        <f t="shared" si="2"/>
        <v>0.77304347826086961</v>
      </c>
      <c r="Q108" s="158">
        <f t="shared" si="2"/>
        <v>12.936630434782627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1.9309180627922575</v>
      </c>
      <c r="C109" s="158">
        <f t="shared" ref="C109:Q109" si="3">STDEV(C9:C104)</f>
        <v>1.7791680603866116</v>
      </c>
      <c r="D109" s="158">
        <f t="shared" si="3"/>
        <v>1.9151358670845604</v>
      </c>
      <c r="E109" s="158">
        <f t="shared" si="3"/>
        <v>2.3538695180647813</v>
      </c>
      <c r="F109" s="158" t="e">
        <f t="shared" si="3"/>
        <v>#DIV/0!</v>
      </c>
      <c r="G109" s="158">
        <f t="shared" si="3"/>
        <v>30.113720382568225</v>
      </c>
      <c r="H109" s="158">
        <f t="shared" si="3"/>
        <v>9.7113062128025547</v>
      </c>
      <c r="I109" s="158">
        <f t="shared" si="3"/>
        <v>2.64502830104521</v>
      </c>
      <c r="J109" s="158">
        <f t="shared" si="3"/>
        <v>0.34982775093934704</v>
      </c>
      <c r="K109" s="158">
        <f t="shared" si="3"/>
        <v>55.993082364331698</v>
      </c>
      <c r="L109" s="158">
        <f t="shared" si="3"/>
        <v>4.1668116987021948</v>
      </c>
      <c r="M109" s="158">
        <f t="shared" si="3"/>
        <v>14.939695662825619</v>
      </c>
      <c r="N109" s="158">
        <f t="shared" si="3"/>
        <v>108.8648446651424</v>
      </c>
      <c r="O109" s="158">
        <f t="shared" si="3"/>
        <v>0</v>
      </c>
      <c r="P109" s="158">
        <f t="shared" si="3"/>
        <v>0.19661273996727496</v>
      </c>
      <c r="Q109" s="158">
        <f t="shared" si="3"/>
        <v>1.0615888352990939E-2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COUNT(B9:B104)+4</f>
        <v>96</v>
      </c>
      <c r="C110" s="157">
        <f t="shared" ref="C110:Q110" si="4">COUNT(C9:C104)+4</f>
        <v>96</v>
      </c>
      <c r="D110" s="157">
        <f t="shared" si="4"/>
        <v>96</v>
      </c>
      <c r="E110" s="157">
        <f t="shared" si="4"/>
        <v>96</v>
      </c>
      <c r="F110" s="157"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815</v>
      </c>
      <c r="B9" s="100">
        <v>13.52</v>
      </c>
      <c r="C9" s="100">
        <v>23.12</v>
      </c>
      <c r="D9" s="100">
        <v>24.27</v>
      </c>
      <c r="E9" s="100">
        <v>10.41</v>
      </c>
      <c r="F9" s="152" t="s">
        <v>15</v>
      </c>
      <c r="G9" s="100">
        <v>58.52</v>
      </c>
      <c r="H9" s="100">
        <v>18.690000000000001</v>
      </c>
      <c r="I9" s="100">
        <v>11.08</v>
      </c>
      <c r="J9" s="100">
        <v>0.08</v>
      </c>
      <c r="K9" s="100">
        <v>166.75</v>
      </c>
      <c r="L9" s="100">
        <v>22.21</v>
      </c>
      <c r="M9" s="100">
        <v>67.66</v>
      </c>
      <c r="N9" s="100">
        <v>1.5</v>
      </c>
      <c r="O9" s="100">
        <v>0</v>
      </c>
      <c r="P9" s="100">
        <v>0.81</v>
      </c>
      <c r="Q9" s="100">
        <v>12.96</v>
      </c>
      <c r="R9" s="6"/>
      <c r="S9" s="6"/>
      <c r="T9" s="156"/>
      <c r="U9" s="6"/>
    </row>
    <row r="10" spans="1:21" customFormat="1">
      <c r="A10" s="163" t="s">
        <v>816</v>
      </c>
      <c r="B10" s="100">
        <v>14.37</v>
      </c>
      <c r="C10" s="100">
        <v>22.49</v>
      </c>
      <c r="D10" s="100">
        <v>24.62</v>
      </c>
      <c r="E10" s="100">
        <v>10.88</v>
      </c>
      <c r="F10" s="152" t="s">
        <v>15</v>
      </c>
      <c r="G10" s="100">
        <v>58.52</v>
      </c>
      <c r="H10" s="100">
        <v>18.690000000000001</v>
      </c>
      <c r="I10" s="100">
        <v>11.22</v>
      </c>
      <c r="J10" s="100">
        <v>0.15</v>
      </c>
      <c r="K10" s="100">
        <v>58.68</v>
      </c>
      <c r="L10" s="100">
        <v>22.87</v>
      </c>
      <c r="M10" s="100">
        <v>60.85</v>
      </c>
      <c r="N10" s="100">
        <v>0.6</v>
      </c>
      <c r="O10" s="100">
        <v>0</v>
      </c>
      <c r="P10" s="100">
        <v>0.83</v>
      </c>
      <c r="Q10" s="100">
        <v>12.96</v>
      </c>
      <c r="R10" s="6"/>
      <c r="S10" s="6"/>
      <c r="T10" s="156"/>
      <c r="U10" s="6"/>
    </row>
    <row r="11" spans="1:21" customFormat="1">
      <c r="A11" s="163" t="s">
        <v>817</v>
      </c>
      <c r="B11" s="100">
        <v>16.079999999999998</v>
      </c>
      <c r="C11" s="100">
        <v>22.88</v>
      </c>
      <c r="D11" s="100">
        <v>26.2</v>
      </c>
      <c r="E11" s="100">
        <v>10.27</v>
      </c>
      <c r="F11" s="152" t="s">
        <v>15</v>
      </c>
      <c r="G11" s="100">
        <v>59.39</v>
      </c>
      <c r="H11" s="100">
        <v>18.72</v>
      </c>
      <c r="I11" s="100">
        <v>11.33</v>
      </c>
      <c r="J11" s="100">
        <v>0.32</v>
      </c>
      <c r="K11" s="100">
        <v>49.85</v>
      </c>
      <c r="L11" s="100">
        <v>23.69</v>
      </c>
      <c r="M11" s="100">
        <v>56.23</v>
      </c>
      <c r="N11" s="100">
        <v>0.5</v>
      </c>
      <c r="O11" s="100">
        <v>0</v>
      </c>
      <c r="P11" s="100">
        <v>0.84</v>
      </c>
      <c r="Q11" s="100">
        <v>12.95</v>
      </c>
      <c r="R11" s="6"/>
      <c r="S11" s="6"/>
      <c r="T11" s="156"/>
      <c r="U11" s="6"/>
    </row>
    <row r="12" spans="1:21" customFormat="1">
      <c r="A12" s="163" t="s">
        <v>818</v>
      </c>
      <c r="B12" s="100">
        <v>17.41</v>
      </c>
      <c r="C12" s="100">
        <v>23.21</v>
      </c>
      <c r="D12" s="100">
        <v>27.44</v>
      </c>
      <c r="E12" s="100">
        <v>11.14</v>
      </c>
      <c r="F12" s="152" t="s">
        <v>15</v>
      </c>
      <c r="G12" s="100">
        <v>78.16</v>
      </c>
      <c r="H12" s="100">
        <v>19.57</v>
      </c>
      <c r="I12" s="100">
        <v>11.44</v>
      </c>
      <c r="J12" s="100">
        <v>0.38</v>
      </c>
      <c r="K12" s="100">
        <v>31.99</v>
      </c>
      <c r="L12" s="100">
        <v>23.81</v>
      </c>
      <c r="M12" s="100">
        <v>56.28</v>
      </c>
      <c r="N12" s="100">
        <v>0.8</v>
      </c>
      <c r="O12" s="100">
        <v>0</v>
      </c>
      <c r="P12" s="100">
        <v>0.85</v>
      </c>
      <c r="Q12" s="100">
        <v>12.98</v>
      </c>
      <c r="R12" s="6"/>
      <c r="S12" s="6"/>
      <c r="T12" s="156"/>
      <c r="U12" s="6"/>
    </row>
    <row r="13" spans="1:21" customFormat="1">
      <c r="A13" s="163" t="s">
        <v>819</v>
      </c>
      <c r="B13" s="100">
        <v>18.260000000000002</v>
      </c>
      <c r="C13" s="100">
        <v>23.15</v>
      </c>
      <c r="D13" s="100">
        <v>28.09</v>
      </c>
      <c r="E13" s="100">
        <v>10.74</v>
      </c>
      <c r="F13" s="152" t="s">
        <v>15</v>
      </c>
      <c r="G13" s="100">
        <v>78.16</v>
      </c>
      <c r="H13" s="100">
        <v>19.57</v>
      </c>
      <c r="I13" s="100">
        <v>11.53</v>
      </c>
      <c r="J13" s="100">
        <v>0.57999999999999996</v>
      </c>
      <c r="K13" s="100">
        <v>23.39</v>
      </c>
      <c r="L13" s="100">
        <v>23.74</v>
      </c>
      <c r="M13" s="100">
        <v>57.67</v>
      </c>
      <c r="N13" s="100">
        <v>0.9</v>
      </c>
      <c r="O13" s="100">
        <v>0</v>
      </c>
      <c r="P13" s="100">
        <v>0.85</v>
      </c>
      <c r="Q13" s="100">
        <v>12.98</v>
      </c>
      <c r="R13" s="6"/>
      <c r="S13" s="6"/>
      <c r="T13" s="156"/>
      <c r="U13" s="6"/>
    </row>
    <row r="14" spans="1:21" customFormat="1">
      <c r="A14" s="163" t="s">
        <v>820</v>
      </c>
      <c r="B14" s="100">
        <v>18.59</v>
      </c>
      <c r="C14" s="100">
        <v>23.11</v>
      </c>
      <c r="D14" s="100">
        <v>28.34</v>
      </c>
      <c r="E14" s="100">
        <v>10.36</v>
      </c>
      <c r="F14" s="152" t="s">
        <v>15</v>
      </c>
      <c r="G14" s="100">
        <v>78.16</v>
      </c>
      <c r="H14" s="100">
        <v>19.57</v>
      </c>
      <c r="I14" s="100">
        <v>11.6</v>
      </c>
      <c r="J14" s="100">
        <v>0.57999999999999996</v>
      </c>
      <c r="K14" s="100">
        <v>40.78</v>
      </c>
      <c r="L14" s="100">
        <v>23.87</v>
      </c>
      <c r="M14" s="100">
        <v>57.88</v>
      </c>
      <c r="N14" s="100">
        <v>0.9</v>
      </c>
      <c r="O14" s="100">
        <v>0</v>
      </c>
      <c r="P14" s="100">
        <v>0.82</v>
      </c>
      <c r="Q14" s="100">
        <v>12.98</v>
      </c>
      <c r="R14" s="6"/>
      <c r="S14" s="6"/>
      <c r="T14" s="156"/>
      <c r="U14" s="6"/>
    </row>
    <row r="15" spans="1:21" customFormat="1">
      <c r="A15" s="163" t="s">
        <v>821</v>
      </c>
      <c r="B15" s="100">
        <v>17.97</v>
      </c>
      <c r="C15" s="100">
        <v>23.33</v>
      </c>
      <c r="D15" s="100">
        <v>27.95</v>
      </c>
      <c r="E15" s="100">
        <v>10.29</v>
      </c>
      <c r="F15" s="152" t="s">
        <v>15</v>
      </c>
      <c r="G15" s="100">
        <v>78.319999999999993</v>
      </c>
      <c r="H15" s="100">
        <v>19.59</v>
      </c>
      <c r="I15" s="100">
        <v>11.62</v>
      </c>
      <c r="J15" s="100">
        <v>0.32</v>
      </c>
      <c r="K15" s="100">
        <v>46.92</v>
      </c>
      <c r="L15" s="100">
        <v>23.84</v>
      </c>
      <c r="M15" s="100">
        <v>58.45</v>
      </c>
      <c r="N15" s="100">
        <v>1.3</v>
      </c>
      <c r="O15" s="100">
        <v>0</v>
      </c>
      <c r="P15" s="100">
        <v>0.77</v>
      </c>
      <c r="Q15" s="100">
        <v>12.99</v>
      </c>
      <c r="R15" s="6"/>
      <c r="S15" s="6"/>
      <c r="T15" s="156"/>
      <c r="U15" s="6"/>
    </row>
    <row r="16" spans="1:21" customFormat="1">
      <c r="A16" s="163" t="s">
        <v>822</v>
      </c>
      <c r="B16" s="100">
        <v>17.309999999999999</v>
      </c>
      <c r="C16" s="100">
        <v>23.67</v>
      </c>
      <c r="D16" s="100">
        <v>27.6</v>
      </c>
      <c r="E16" s="100">
        <v>10.55</v>
      </c>
      <c r="F16" s="152" t="s">
        <v>15</v>
      </c>
      <c r="G16" s="100">
        <v>82.82</v>
      </c>
      <c r="H16" s="100">
        <v>20.45</v>
      </c>
      <c r="I16" s="100">
        <v>11.53</v>
      </c>
      <c r="J16" s="100">
        <v>0.44</v>
      </c>
      <c r="K16" s="100">
        <v>51.7</v>
      </c>
      <c r="L16" s="100">
        <v>23.53</v>
      </c>
      <c r="M16" s="100">
        <v>59.72</v>
      </c>
      <c r="N16" s="100">
        <v>1.4</v>
      </c>
      <c r="O16" s="100">
        <v>0</v>
      </c>
      <c r="P16" s="100">
        <v>0.76</v>
      </c>
      <c r="Q16" s="100">
        <v>12.98</v>
      </c>
      <c r="R16" s="6"/>
      <c r="S16" s="6"/>
      <c r="T16" s="156"/>
      <c r="U16" s="6"/>
    </row>
    <row r="17" spans="1:21" customFormat="1">
      <c r="A17" s="163" t="s">
        <v>823</v>
      </c>
      <c r="B17" s="100">
        <v>16.89</v>
      </c>
      <c r="C17" s="100">
        <v>24.01</v>
      </c>
      <c r="D17" s="100">
        <v>27.44</v>
      </c>
      <c r="E17" s="100">
        <v>8.9499999999999993</v>
      </c>
      <c r="F17" s="152" t="s">
        <v>15</v>
      </c>
      <c r="G17" s="100">
        <v>82.82</v>
      </c>
      <c r="H17" s="100">
        <v>20.45</v>
      </c>
      <c r="I17" s="100">
        <v>11.33</v>
      </c>
      <c r="J17" s="100">
        <v>0.3</v>
      </c>
      <c r="K17" s="100">
        <v>328.48</v>
      </c>
      <c r="L17" s="100">
        <v>23.13</v>
      </c>
      <c r="M17" s="100">
        <v>61.96</v>
      </c>
      <c r="N17" s="100">
        <v>1.5</v>
      </c>
      <c r="O17" s="100">
        <v>0</v>
      </c>
      <c r="P17" s="100">
        <v>0.75</v>
      </c>
      <c r="Q17" s="100">
        <v>12.99</v>
      </c>
      <c r="R17" s="6"/>
      <c r="S17" s="6"/>
      <c r="T17" s="156"/>
      <c r="U17" s="6"/>
    </row>
    <row r="18" spans="1:21" customFormat="1">
      <c r="A18" s="163" t="s">
        <v>824</v>
      </c>
      <c r="B18" s="100">
        <v>16.350000000000001</v>
      </c>
      <c r="C18" s="100">
        <v>24.26</v>
      </c>
      <c r="D18" s="100">
        <v>27.14</v>
      </c>
      <c r="E18" s="100">
        <v>10.45</v>
      </c>
      <c r="F18" s="152" t="s">
        <v>15</v>
      </c>
      <c r="G18" s="100">
        <v>82.82</v>
      </c>
      <c r="H18" s="100">
        <v>20.45</v>
      </c>
      <c r="I18" s="100">
        <v>11.17</v>
      </c>
      <c r="J18" s="100">
        <v>0.54</v>
      </c>
      <c r="K18" s="100">
        <v>37.770000000000003</v>
      </c>
      <c r="L18" s="100">
        <v>23.13</v>
      </c>
      <c r="M18" s="100">
        <v>61.29</v>
      </c>
      <c r="N18" s="100">
        <v>1.1000000000000001</v>
      </c>
      <c r="O18" s="100">
        <v>0</v>
      </c>
      <c r="P18" s="100">
        <v>0.72</v>
      </c>
      <c r="Q18" s="100">
        <v>12.98</v>
      </c>
      <c r="R18" s="6"/>
      <c r="S18" s="6"/>
      <c r="T18" s="156"/>
      <c r="U18" s="6"/>
    </row>
    <row r="19" spans="1:21" customFormat="1">
      <c r="A19" s="163" t="s">
        <v>825</v>
      </c>
      <c r="B19" s="100">
        <v>15.73</v>
      </c>
      <c r="C19" s="100">
        <v>24.54</v>
      </c>
      <c r="D19" s="100">
        <v>26.79</v>
      </c>
      <c r="E19" s="100">
        <v>9.8000000000000007</v>
      </c>
      <c r="F19" s="152" t="s">
        <v>15</v>
      </c>
      <c r="G19" s="100">
        <v>82.18</v>
      </c>
      <c r="H19" s="100">
        <v>20.46</v>
      </c>
      <c r="I19" s="100">
        <v>11.05</v>
      </c>
      <c r="J19" s="100">
        <v>0.64</v>
      </c>
      <c r="K19" s="100">
        <v>39.78</v>
      </c>
      <c r="L19" s="100">
        <v>23.15</v>
      </c>
      <c r="M19" s="100">
        <v>61.34</v>
      </c>
      <c r="N19" s="100">
        <v>1.2</v>
      </c>
      <c r="O19" s="100">
        <v>0</v>
      </c>
      <c r="P19" s="100">
        <v>0.72</v>
      </c>
      <c r="Q19" s="100">
        <v>12.98</v>
      </c>
      <c r="R19" s="6"/>
      <c r="S19" s="6"/>
      <c r="T19" s="156"/>
      <c r="U19" s="6"/>
    </row>
    <row r="20" spans="1:21" customFormat="1">
      <c r="A20" s="163" t="s">
        <v>826</v>
      </c>
      <c r="B20" s="100">
        <v>15.13</v>
      </c>
      <c r="C20" s="100">
        <v>24.83</v>
      </c>
      <c r="D20" s="100">
        <v>26.46</v>
      </c>
      <c r="E20" s="100">
        <v>9.68</v>
      </c>
      <c r="F20" s="152" t="s">
        <v>15</v>
      </c>
      <c r="G20" s="100">
        <v>68.44</v>
      </c>
      <c r="H20" s="100">
        <v>20.55</v>
      </c>
      <c r="I20" s="100">
        <v>10.87</v>
      </c>
      <c r="J20" s="100">
        <v>0.65</v>
      </c>
      <c r="K20" s="100">
        <v>49</v>
      </c>
      <c r="L20" s="100">
        <v>22.85</v>
      </c>
      <c r="M20" s="100">
        <v>62.61</v>
      </c>
      <c r="N20" s="100">
        <v>1.5</v>
      </c>
      <c r="O20" s="100">
        <v>0</v>
      </c>
      <c r="P20" s="100">
        <v>0.71</v>
      </c>
      <c r="Q20" s="100">
        <v>12.98</v>
      </c>
      <c r="R20" s="6"/>
      <c r="S20" s="6"/>
      <c r="T20" s="156"/>
      <c r="U20" s="6"/>
    </row>
    <row r="21" spans="1:21" customFormat="1">
      <c r="A21" s="163" t="s">
        <v>827</v>
      </c>
      <c r="B21" s="100">
        <v>14.33</v>
      </c>
      <c r="C21" s="100">
        <v>24.93</v>
      </c>
      <c r="D21" s="100">
        <v>25.87</v>
      </c>
      <c r="E21" s="100">
        <v>9.86</v>
      </c>
      <c r="F21" s="152" t="s">
        <v>15</v>
      </c>
      <c r="G21" s="100">
        <v>68.44</v>
      </c>
      <c r="H21" s="100">
        <v>20.55</v>
      </c>
      <c r="I21" s="100">
        <v>10.68</v>
      </c>
      <c r="J21" s="100">
        <v>0.6</v>
      </c>
      <c r="K21" s="100">
        <v>38.700000000000003</v>
      </c>
      <c r="L21" s="100">
        <v>22.69</v>
      </c>
      <c r="M21" s="100">
        <v>63.42</v>
      </c>
      <c r="N21" s="100">
        <v>1.5</v>
      </c>
      <c r="O21" s="100">
        <v>0</v>
      </c>
      <c r="P21" s="100">
        <v>0.7</v>
      </c>
      <c r="Q21" s="100">
        <v>12.98</v>
      </c>
      <c r="R21" s="6"/>
      <c r="S21" s="6"/>
      <c r="T21" s="156"/>
      <c r="U21" s="6"/>
    </row>
    <row r="22" spans="1:21" customFormat="1">
      <c r="A22" s="163" t="s">
        <v>828</v>
      </c>
      <c r="B22" s="100">
        <v>13.35</v>
      </c>
      <c r="C22" s="100">
        <v>25.05</v>
      </c>
      <c r="D22" s="100">
        <v>25.14</v>
      </c>
      <c r="E22" s="100">
        <v>9.94</v>
      </c>
      <c r="F22" s="152" t="s">
        <v>15</v>
      </c>
      <c r="G22" s="100">
        <v>68.44</v>
      </c>
      <c r="H22" s="100">
        <v>20.55</v>
      </c>
      <c r="I22" s="100">
        <v>10.49</v>
      </c>
      <c r="J22" s="100">
        <v>0.71</v>
      </c>
      <c r="K22" s="100">
        <v>45.45</v>
      </c>
      <c r="L22" s="100">
        <v>22.4</v>
      </c>
      <c r="M22" s="100">
        <v>64.540000000000006</v>
      </c>
      <c r="N22" s="100">
        <v>1.5</v>
      </c>
      <c r="O22" s="100">
        <v>0</v>
      </c>
      <c r="P22" s="100">
        <v>0.69</v>
      </c>
      <c r="Q22" s="100">
        <v>12.99</v>
      </c>
      <c r="R22" s="6"/>
      <c r="S22" s="6"/>
      <c r="T22" s="156"/>
      <c r="U22" s="6"/>
    </row>
    <row r="23" spans="1:21" customFormat="1">
      <c r="A23" s="163" t="s">
        <v>829</v>
      </c>
      <c r="B23" s="100">
        <v>12.56</v>
      </c>
      <c r="C23" s="100">
        <v>24.99</v>
      </c>
      <c r="D23" s="100">
        <v>24.48</v>
      </c>
      <c r="E23" s="100">
        <v>9.5500000000000007</v>
      </c>
      <c r="F23" s="152" t="s">
        <v>15</v>
      </c>
      <c r="G23" s="100">
        <v>68.16</v>
      </c>
      <c r="H23" s="100">
        <v>20.49</v>
      </c>
      <c r="I23" s="100">
        <v>10.34</v>
      </c>
      <c r="J23" s="100">
        <v>0.67</v>
      </c>
      <c r="K23" s="100">
        <v>42.43</v>
      </c>
      <c r="L23" s="100">
        <v>22.27</v>
      </c>
      <c r="M23" s="100">
        <v>64.95</v>
      </c>
      <c r="N23" s="100">
        <v>1.4</v>
      </c>
      <c r="O23" s="100">
        <v>0</v>
      </c>
      <c r="P23" s="100">
        <v>0.67</v>
      </c>
      <c r="Q23" s="100">
        <v>12.99</v>
      </c>
      <c r="R23" s="6"/>
      <c r="S23" s="6"/>
      <c r="T23" s="156"/>
      <c r="U23" s="6"/>
    </row>
    <row r="24" spans="1:21" customFormat="1">
      <c r="A24" s="163" t="s">
        <v>830</v>
      </c>
      <c r="B24" s="100">
        <v>11.76</v>
      </c>
      <c r="C24" s="100">
        <v>25.18</v>
      </c>
      <c r="D24" s="100">
        <v>23.94</v>
      </c>
      <c r="E24" s="100">
        <v>9.7899999999999991</v>
      </c>
      <c r="F24" s="152" t="s">
        <v>15</v>
      </c>
      <c r="G24" s="100">
        <v>60.24</v>
      </c>
      <c r="H24" s="100">
        <v>18.59</v>
      </c>
      <c r="I24" s="100">
        <v>10.210000000000001</v>
      </c>
      <c r="J24" s="100">
        <v>0.77</v>
      </c>
      <c r="K24" s="100">
        <v>42.05</v>
      </c>
      <c r="L24" s="100">
        <v>22.13</v>
      </c>
      <c r="M24" s="100">
        <v>65.38</v>
      </c>
      <c r="N24" s="100">
        <v>1.3</v>
      </c>
      <c r="O24" s="100">
        <v>0</v>
      </c>
      <c r="P24" s="100">
        <v>0.67</v>
      </c>
      <c r="Q24" s="100">
        <v>12.98</v>
      </c>
      <c r="R24" s="6"/>
      <c r="S24" s="6"/>
      <c r="T24" s="156"/>
      <c r="U24" s="6"/>
    </row>
    <row r="25" spans="1:21" customFormat="1">
      <c r="A25" s="163" t="s">
        <v>831</v>
      </c>
      <c r="B25" s="100">
        <v>10.85</v>
      </c>
      <c r="C25" s="100">
        <v>25.06</v>
      </c>
      <c r="D25" s="100">
        <v>23.14</v>
      </c>
      <c r="E25" s="100">
        <v>9.81</v>
      </c>
      <c r="F25" s="152" t="s">
        <v>15</v>
      </c>
      <c r="G25" s="100">
        <v>60.24</v>
      </c>
      <c r="H25" s="100">
        <v>18.59</v>
      </c>
      <c r="I25" s="100">
        <v>10.09</v>
      </c>
      <c r="J25" s="100">
        <v>0.87</v>
      </c>
      <c r="K25" s="100">
        <v>40.25</v>
      </c>
      <c r="L25" s="100">
        <v>22.09</v>
      </c>
      <c r="M25" s="100">
        <v>65.37</v>
      </c>
      <c r="N25" s="100">
        <v>1.4</v>
      </c>
      <c r="O25" s="100">
        <v>0</v>
      </c>
      <c r="P25" s="100">
        <v>0.65</v>
      </c>
      <c r="Q25" s="100">
        <v>12.97</v>
      </c>
      <c r="R25" s="6"/>
      <c r="S25" s="6"/>
      <c r="T25" s="156"/>
      <c r="U25" s="6"/>
    </row>
    <row r="26" spans="1:21" customFormat="1">
      <c r="A26" s="163" t="s">
        <v>832</v>
      </c>
      <c r="B26" s="100">
        <v>10.06</v>
      </c>
      <c r="C26" s="100">
        <v>25.11</v>
      </c>
      <c r="D26" s="100">
        <v>22.54</v>
      </c>
      <c r="E26" s="100">
        <v>9.99</v>
      </c>
      <c r="F26" s="152" t="s">
        <v>15</v>
      </c>
      <c r="G26" s="100">
        <v>60.24</v>
      </c>
      <c r="H26" s="100">
        <v>18.59</v>
      </c>
      <c r="I26" s="100">
        <v>9.91</v>
      </c>
      <c r="J26" s="100">
        <v>0.88</v>
      </c>
      <c r="K26" s="100">
        <v>29.04</v>
      </c>
      <c r="L26" s="100">
        <v>21.87</v>
      </c>
      <c r="M26" s="100">
        <v>66.33</v>
      </c>
      <c r="N26" s="100">
        <v>1.7</v>
      </c>
      <c r="O26" s="100">
        <v>0</v>
      </c>
      <c r="P26" s="100">
        <v>0.64</v>
      </c>
      <c r="Q26" s="100">
        <v>12.97</v>
      </c>
      <c r="R26" s="6"/>
      <c r="S26" s="6"/>
      <c r="T26" s="156"/>
      <c r="U26" s="6"/>
    </row>
    <row r="27" spans="1:21" customFormat="1">
      <c r="A27" s="163" t="s">
        <v>833</v>
      </c>
      <c r="B27" s="100">
        <v>9.43</v>
      </c>
      <c r="C27" s="100">
        <v>25.27</v>
      </c>
      <c r="D27" s="100">
        <v>22.12</v>
      </c>
      <c r="E27" s="100">
        <v>9.5399999999999991</v>
      </c>
      <c r="F27" s="152" t="s">
        <v>15</v>
      </c>
      <c r="G27" s="100">
        <v>60.12</v>
      </c>
      <c r="H27" s="100">
        <v>18.559999999999999</v>
      </c>
      <c r="I27" s="100">
        <v>9.74</v>
      </c>
      <c r="J27" s="100">
        <v>0.92</v>
      </c>
      <c r="K27" s="100">
        <v>53.26</v>
      </c>
      <c r="L27" s="100">
        <v>21.72</v>
      </c>
      <c r="M27" s="100">
        <v>66.7</v>
      </c>
      <c r="N27" s="100">
        <v>1.6</v>
      </c>
      <c r="O27" s="100">
        <v>0</v>
      </c>
      <c r="P27" s="100">
        <v>0.63</v>
      </c>
      <c r="Q27" s="100">
        <v>12.96</v>
      </c>
      <c r="R27" s="6"/>
      <c r="S27" s="6"/>
      <c r="T27" s="156"/>
      <c r="U27" s="6"/>
    </row>
    <row r="28" spans="1:21" customFormat="1">
      <c r="A28" s="163" t="s">
        <v>834</v>
      </c>
      <c r="B28" s="100">
        <v>8.8800000000000008</v>
      </c>
      <c r="C28" s="100">
        <v>25.28</v>
      </c>
      <c r="D28" s="100">
        <v>21.68</v>
      </c>
      <c r="E28" s="100">
        <v>9.26</v>
      </c>
      <c r="F28" s="152" t="s">
        <v>15</v>
      </c>
      <c r="G28" s="100">
        <v>56.76</v>
      </c>
      <c r="H28" s="100">
        <v>17.71</v>
      </c>
      <c r="I28" s="100">
        <v>9.5500000000000007</v>
      </c>
      <c r="J28" s="100">
        <v>0.81</v>
      </c>
      <c r="K28" s="100">
        <v>45.53</v>
      </c>
      <c r="L28" s="100">
        <v>21.54</v>
      </c>
      <c r="M28" s="100">
        <v>67.11</v>
      </c>
      <c r="N28" s="100">
        <v>1.6</v>
      </c>
      <c r="O28" s="100">
        <v>0</v>
      </c>
      <c r="P28" s="100">
        <v>0.63</v>
      </c>
      <c r="Q28" s="100">
        <v>12.97</v>
      </c>
      <c r="R28" s="6"/>
      <c r="S28" s="6"/>
      <c r="T28" s="156"/>
      <c r="U28" s="6"/>
    </row>
    <row r="29" spans="1:21" customFormat="1">
      <c r="A29" s="163" t="s">
        <v>835</v>
      </c>
      <c r="B29" s="100">
        <v>8.44</v>
      </c>
      <c r="C29" s="100">
        <v>25.13</v>
      </c>
      <c r="D29" s="100">
        <v>21.25</v>
      </c>
      <c r="E29" s="100">
        <v>9.36</v>
      </c>
      <c r="F29" s="152" t="s">
        <v>15</v>
      </c>
      <c r="G29" s="100">
        <v>56.76</v>
      </c>
      <c r="H29" s="100">
        <v>17.71</v>
      </c>
      <c r="I29" s="100">
        <v>9.39</v>
      </c>
      <c r="J29" s="100">
        <v>0.9</v>
      </c>
      <c r="K29" s="100">
        <v>46.17</v>
      </c>
      <c r="L29" s="100">
        <v>21.42</v>
      </c>
      <c r="M29" s="100">
        <v>67.06</v>
      </c>
      <c r="N29" s="100">
        <v>1.4</v>
      </c>
      <c r="O29" s="100">
        <v>0</v>
      </c>
      <c r="P29" s="100">
        <v>0.62</v>
      </c>
      <c r="Q29" s="100">
        <v>12.97</v>
      </c>
      <c r="R29" s="6"/>
      <c r="S29" s="6"/>
      <c r="T29" s="156"/>
      <c r="U29" s="6"/>
    </row>
    <row r="30" spans="1:21" customFormat="1">
      <c r="A30" s="163" t="s">
        <v>836</v>
      </c>
      <c r="B30" s="100">
        <v>7.99</v>
      </c>
      <c r="C30" s="100">
        <v>24.9</v>
      </c>
      <c r="D30" s="100">
        <v>20.77</v>
      </c>
      <c r="E30" s="100">
        <v>9.7100000000000009</v>
      </c>
      <c r="F30" s="152" t="s">
        <v>15</v>
      </c>
      <c r="G30" s="100">
        <v>56.76</v>
      </c>
      <c r="H30" s="100">
        <v>17.71</v>
      </c>
      <c r="I30" s="100">
        <v>9.1999999999999993</v>
      </c>
      <c r="J30" s="100">
        <v>0.91</v>
      </c>
      <c r="K30" s="100">
        <v>41.72</v>
      </c>
      <c r="L30" s="100">
        <v>21.39</v>
      </c>
      <c r="M30" s="100">
        <v>66.510000000000005</v>
      </c>
      <c r="N30" s="100">
        <v>1.4</v>
      </c>
      <c r="O30" s="100">
        <v>0</v>
      </c>
      <c r="P30" s="100">
        <v>0.61</v>
      </c>
      <c r="Q30" s="100">
        <v>12.97</v>
      </c>
      <c r="R30" s="6"/>
      <c r="S30" s="6"/>
      <c r="T30" s="156"/>
      <c r="U30" s="6"/>
    </row>
    <row r="31" spans="1:21" customFormat="1">
      <c r="A31" s="163" t="s">
        <v>837</v>
      </c>
      <c r="B31" s="100">
        <v>7.61</v>
      </c>
      <c r="C31" s="100">
        <v>24.84</v>
      </c>
      <c r="D31" s="100">
        <v>20.43</v>
      </c>
      <c r="E31" s="100">
        <v>9.59</v>
      </c>
      <c r="F31" s="152" t="s">
        <v>15</v>
      </c>
      <c r="G31" s="100">
        <v>56.65</v>
      </c>
      <c r="H31" s="100">
        <v>17.71</v>
      </c>
      <c r="I31" s="100">
        <v>9.09</v>
      </c>
      <c r="J31" s="100">
        <v>0.9</v>
      </c>
      <c r="K31" s="100">
        <v>45.14</v>
      </c>
      <c r="L31" s="100">
        <v>21.35</v>
      </c>
      <c r="M31" s="100">
        <v>66</v>
      </c>
      <c r="N31" s="100">
        <v>1.4</v>
      </c>
      <c r="O31" s="100">
        <v>0</v>
      </c>
      <c r="P31" s="100">
        <v>0.6</v>
      </c>
      <c r="Q31" s="100">
        <v>12.96</v>
      </c>
      <c r="R31" s="6"/>
      <c r="S31" s="6"/>
      <c r="T31" s="156"/>
      <c r="U31" s="6"/>
    </row>
    <row r="32" spans="1:21" customFormat="1">
      <c r="A32" s="163" t="s">
        <v>838</v>
      </c>
      <c r="B32" s="100">
        <v>7.21</v>
      </c>
      <c r="C32" s="100">
        <v>24.72</v>
      </c>
      <c r="D32" s="100">
        <v>20.05</v>
      </c>
      <c r="E32" s="100">
        <v>9.2899999999999991</v>
      </c>
      <c r="F32" s="152" t="s">
        <v>15</v>
      </c>
      <c r="G32" s="100">
        <v>54.27</v>
      </c>
      <c r="H32" s="100">
        <v>17.600000000000001</v>
      </c>
      <c r="I32" s="100">
        <v>9</v>
      </c>
      <c r="J32" s="100">
        <v>1.21</v>
      </c>
      <c r="K32" s="100">
        <v>47.57</v>
      </c>
      <c r="L32" s="100">
        <v>21.14</v>
      </c>
      <c r="M32" s="100">
        <v>67.2</v>
      </c>
      <c r="N32" s="100">
        <v>1.4</v>
      </c>
      <c r="O32" s="100">
        <v>0</v>
      </c>
      <c r="P32" s="100">
        <v>0.6</v>
      </c>
      <c r="Q32" s="100">
        <v>12.95</v>
      </c>
      <c r="R32" s="6"/>
      <c r="S32" s="6"/>
      <c r="T32" s="156"/>
      <c r="U32" s="6"/>
    </row>
    <row r="33" spans="1:21" customFormat="1">
      <c r="A33" s="163" t="s">
        <v>839</v>
      </c>
      <c r="B33" s="100">
        <v>6.8</v>
      </c>
      <c r="C33" s="100">
        <v>24.55</v>
      </c>
      <c r="D33" s="100">
        <v>19.63</v>
      </c>
      <c r="E33" s="100">
        <v>9.18</v>
      </c>
      <c r="F33" s="152" t="s">
        <v>15</v>
      </c>
      <c r="G33" s="100">
        <v>54.27</v>
      </c>
      <c r="H33" s="100">
        <v>17.600000000000001</v>
      </c>
      <c r="I33" s="100">
        <v>8.9499999999999993</v>
      </c>
      <c r="J33" s="100">
        <v>0.95</v>
      </c>
      <c r="K33" s="100">
        <v>42.14</v>
      </c>
      <c r="L33" s="100">
        <v>21.14</v>
      </c>
      <c r="M33" s="100">
        <v>65.86</v>
      </c>
      <c r="N33" s="100">
        <v>1.5</v>
      </c>
      <c r="O33" s="100">
        <v>0</v>
      </c>
      <c r="P33" s="100">
        <v>0.57999999999999996</v>
      </c>
      <c r="Q33" s="100">
        <v>12.94</v>
      </c>
      <c r="R33" s="6"/>
      <c r="S33" s="6"/>
      <c r="T33" s="156"/>
      <c r="U33" s="6"/>
    </row>
    <row r="34" spans="1:21" customFormat="1">
      <c r="A34" s="163" t="s">
        <v>840</v>
      </c>
      <c r="B34" s="100">
        <v>6.66</v>
      </c>
      <c r="C34" s="100">
        <v>24.86</v>
      </c>
      <c r="D34" s="100">
        <v>19.68</v>
      </c>
      <c r="E34" s="100">
        <v>9.09</v>
      </c>
      <c r="F34" s="152" t="s">
        <v>15</v>
      </c>
      <c r="G34" s="100">
        <v>54.27</v>
      </c>
      <c r="H34" s="100">
        <v>17.600000000000001</v>
      </c>
      <c r="I34" s="100">
        <v>8.8800000000000008</v>
      </c>
      <c r="J34" s="100">
        <v>1.27</v>
      </c>
      <c r="K34" s="100">
        <v>54.38</v>
      </c>
      <c r="L34" s="100">
        <v>21.12</v>
      </c>
      <c r="M34" s="100">
        <v>65.760000000000005</v>
      </c>
      <c r="N34" s="100">
        <v>1.8</v>
      </c>
      <c r="O34" s="100">
        <v>0</v>
      </c>
      <c r="P34" s="100">
        <v>0.6</v>
      </c>
      <c r="Q34" s="100">
        <v>12.94</v>
      </c>
      <c r="R34" s="6"/>
      <c r="S34" s="6"/>
      <c r="T34" s="156"/>
      <c r="U34" s="6"/>
    </row>
    <row r="35" spans="1:21" customFormat="1">
      <c r="A35" s="163" t="s">
        <v>841</v>
      </c>
      <c r="B35" s="100">
        <v>6.81</v>
      </c>
      <c r="C35" s="100">
        <v>24.7</v>
      </c>
      <c r="D35" s="100">
        <v>19.72</v>
      </c>
      <c r="E35" s="100">
        <v>9.92</v>
      </c>
      <c r="F35" s="152" t="s">
        <v>15</v>
      </c>
      <c r="G35" s="100">
        <v>54.5</v>
      </c>
      <c r="H35" s="100">
        <v>17.600000000000001</v>
      </c>
      <c r="I35" s="100">
        <v>8.86</v>
      </c>
      <c r="J35" s="100">
        <v>1.32</v>
      </c>
      <c r="K35" s="100">
        <v>48.68</v>
      </c>
      <c r="L35" s="100">
        <v>21.05</v>
      </c>
      <c r="M35" s="100">
        <v>66.040000000000006</v>
      </c>
      <c r="N35" s="100">
        <v>3.7</v>
      </c>
      <c r="O35" s="100">
        <v>0</v>
      </c>
      <c r="P35" s="100">
        <v>0.65</v>
      </c>
      <c r="Q35" s="100">
        <v>12.95</v>
      </c>
      <c r="R35" s="6"/>
      <c r="S35" s="6"/>
      <c r="T35" s="156"/>
      <c r="U35" s="6"/>
    </row>
    <row r="36" spans="1:21" customFormat="1">
      <c r="A36" s="163" t="s">
        <v>842</v>
      </c>
      <c r="B36" s="100">
        <v>6.98</v>
      </c>
      <c r="C36" s="100">
        <v>24.7</v>
      </c>
      <c r="D36" s="100">
        <v>19.86</v>
      </c>
      <c r="E36" s="100">
        <v>9.2899999999999991</v>
      </c>
      <c r="F36" s="152" t="s">
        <v>15</v>
      </c>
      <c r="G36" s="100">
        <v>61.3</v>
      </c>
      <c r="H36" s="100">
        <v>17.46</v>
      </c>
      <c r="I36" s="100">
        <v>8.9</v>
      </c>
      <c r="J36" s="100">
        <v>1.05</v>
      </c>
      <c r="K36" s="100">
        <v>48.93</v>
      </c>
      <c r="L36" s="100">
        <v>20.98</v>
      </c>
      <c r="M36" s="100">
        <v>66.53</v>
      </c>
      <c r="N36" s="100">
        <v>8.6999999999999993</v>
      </c>
      <c r="O36" s="100">
        <v>0</v>
      </c>
      <c r="P36" s="100">
        <v>0.67</v>
      </c>
      <c r="Q36" s="100">
        <v>12.95</v>
      </c>
      <c r="R36" s="6"/>
      <c r="S36" s="6"/>
      <c r="T36" s="156"/>
      <c r="U36" s="6"/>
    </row>
    <row r="37" spans="1:21" customFormat="1">
      <c r="A37" s="163" t="s">
        <v>843</v>
      </c>
      <c r="B37" s="100">
        <v>7.26</v>
      </c>
      <c r="C37" s="100">
        <v>24.41</v>
      </c>
      <c r="D37" s="100">
        <v>19.920000000000002</v>
      </c>
      <c r="E37" s="100">
        <v>8.91</v>
      </c>
      <c r="F37" s="152" t="s">
        <v>15</v>
      </c>
      <c r="G37" s="100">
        <v>61.3</v>
      </c>
      <c r="H37" s="100">
        <v>17.46</v>
      </c>
      <c r="I37" s="100">
        <v>8.89</v>
      </c>
      <c r="J37" s="100">
        <v>1.1499999999999999</v>
      </c>
      <c r="K37" s="100">
        <v>50.52</v>
      </c>
      <c r="L37" s="100">
        <v>20.98</v>
      </c>
      <c r="M37" s="100">
        <v>66.92</v>
      </c>
      <c r="N37" s="100">
        <v>15.2</v>
      </c>
      <c r="O37" s="100">
        <v>0</v>
      </c>
      <c r="P37" s="100">
        <v>0.66</v>
      </c>
      <c r="Q37" s="100">
        <v>12.95</v>
      </c>
      <c r="R37" s="6"/>
      <c r="S37" s="6"/>
      <c r="T37" s="156"/>
      <c r="U37" s="6"/>
    </row>
    <row r="38" spans="1:21" customFormat="1">
      <c r="A38" s="163" t="s">
        <v>844</v>
      </c>
      <c r="B38" s="100">
        <v>7.49</v>
      </c>
      <c r="C38" s="100">
        <v>24.11</v>
      </c>
      <c r="D38" s="100">
        <v>19.96</v>
      </c>
      <c r="E38" s="100">
        <v>9.2100000000000009</v>
      </c>
      <c r="F38" s="152" t="s">
        <v>15</v>
      </c>
      <c r="G38" s="100">
        <v>61.3</v>
      </c>
      <c r="H38" s="100">
        <v>17.46</v>
      </c>
      <c r="I38" s="100">
        <v>8.84</v>
      </c>
      <c r="J38" s="100">
        <v>1.1100000000000001</v>
      </c>
      <c r="K38" s="100">
        <v>54.95</v>
      </c>
      <c r="L38" s="100">
        <v>21.06</v>
      </c>
      <c r="M38" s="100">
        <v>66.900000000000006</v>
      </c>
      <c r="N38" s="100">
        <v>23.3</v>
      </c>
      <c r="O38" s="100">
        <v>0</v>
      </c>
      <c r="P38" s="100">
        <v>0.67</v>
      </c>
      <c r="Q38" s="100">
        <v>12.95</v>
      </c>
      <c r="R38" s="6"/>
      <c r="S38" s="6"/>
      <c r="T38" s="156"/>
      <c r="U38" s="6"/>
    </row>
    <row r="39" spans="1:21" customFormat="1">
      <c r="A39" s="163" t="s">
        <v>845</v>
      </c>
      <c r="B39" s="100">
        <v>7.55</v>
      </c>
      <c r="C39" s="100">
        <v>23.82</v>
      </c>
      <c r="D39" s="100">
        <v>19.86</v>
      </c>
      <c r="E39" s="100">
        <v>8.68</v>
      </c>
      <c r="F39" s="152" t="s">
        <v>15</v>
      </c>
      <c r="G39" s="100">
        <v>60.94</v>
      </c>
      <c r="H39" s="100">
        <v>17.52</v>
      </c>
      <c r="I39" s="100">
        <v>8.8000000000000007</v>
      </c>
      <c r="J39" s="100">
        <v>1.1000000000000001</v>
      </c>
      <c r="K39" s="100">
        <v>52.05</v>
      </c>
      <c r="L39" s="100">
        <v>21.24</v>
      </c>
      <c r="M39" s="100">
        <v>66.430000000000007</v>
      </c>
      <c r="N39" s="100">
        <v>32.299999999999997</v>
      </c>
      <c r="O39" s="100">
        <v>0</v>
      </c>
      <c r="P39" s="100">
        <v>0.67</v>
      </c>
      <c r="Q39" s="100">
        <v>12.94</v>
      </c>
      <c r="R39" s="6"/>
      <c r="S39" s="6"/>
      <c r="T39" s="156"/>
      <c r="U39" s="6"/>
    </row>
    <row r="40" spans="1:21" customFormat="1">
      <c r="A40" s="163" t="s">
        <v>846</v>
      </c>
      <c r="B40" s="100">
        <v>7.63</v>
      </c>
      <c r="C40" s="100">
        <v>23.85</v>
      </c>
      <c r="D40" s="100">
        <v>19.93</v>
      </c>
      <c r="E40" s="100">
        <v>8.9700000000000006</v>
      </c>
      <c r="F40" s="152" t="s">
        <v>15</v>
      </c>
      <c r="G40" s="100">
        <v>53.31</v>
      </c>
      <c r="H40" s="100">
        <v>19.38</v>
      </c>
      <c r="I40" s="100">
        <v>8.77</v>
      </c>
      <c r="J40" s="100">
        <v>1.2</v>
      </c>
      <c r="K40" s="100">
        <v>55.22</v>
      </c>
      <c r="L40" s="100">
        <v>21.49</v>
      </c>
      <c r="M40" s="100">
        <v>65.58</v>
      </c>
      <c r="N40" s="100">
        <v>41.5</v>
      </c>
      <c r="O40" s="100">
        <v>0</v>
      </c>
      <c r="P40" s="100">
        <v>0.66</v>
      </c>
      <c r="Q40" s="100">
        <v>12.94</v>
      </c>
      <c r="R40" s="6"/>
      <c r="S40" s="6"/>
      <c r="T40" s="156"/>
      <c r="U40" s="6"/>
    </row>
    <row r="41" spans="1:21" customFormat="1">
      <c r="A41" s="163" t="s">
        <v>847</v>
      </c>
      <c r="B41" s="100">
        <v>7.63</v>
      </c>
      <c r="C41" s="100">
        <v>23.64</v>
      </c>
      <c r="D41" s="100">
        <v>19.829999999999998</v>
      </c>
      <c r="E41" s="100">
        <v>8.7100000000000009</v>
      </c>
      <c r="F41" s="152" t="s">
        <v>15</v>
      </c>
      <c r="G41" s="100">
        <v>53.31</v>
      </c>
      <c r="H41" s="100">
        <v>19.38</v>
      </c>
      <c r="I41" s="100">
        <v>8.7899999999999991</v>
      </c>
      <c r="J41" s="100">
        <v>1</v>
      </c>
      <c r="K41" s="100">
        <v>52.25</v>
      </c>
      <c r="L41" s="100">
        <v>21.9</v>
      </c>
      <c r="M41" s="100">
        <v>64.34</v>
      </c>
      <c r="N41" s="100">
        <v>77.7</v>
      </c>
      <c r="O41" s="100">
        <v>0</v>
      </c>
      <c r="P41" s="100">
        <v>0.66</v>
      </c>
      <c r="Q41" s="100">
        <v>12.94</v>
      </c>
      <c r="R41" s="6"/>
      <c r="S41" s="6"/>
      <c r="T41" s="156"/>
      <c r="U41" s="6"/>
    </row>
    <row r="42" spans="1:21" customFormat="1">
      <c r="A42" s="163" t="s">
        <v>848</v>
      </c>
      <c r="B42" s="100">
        <v>7.64</v>
      </c>
      <c r="C42" s="100">
        <v>23.63</v>
      </c>
      <c r="D42" s="100">
        <v>19.829999999999998</v>
      </c>
      <c r="E42" s="100">
        <v>8.44</v>
      </c>
      <c r="F42" s="152" t="s">
        <v>15</v>
      </c>
      <c r="G42" s="100">
        <v>53.31</v>
      </c>
      <c r="H42" s="100">
        <v>19.38</v>
      </c>
      <c r="I42" s="100">
        <v>8.81</v>
      </c>
      <c r="J42" s="100">
        <v>1.1000000000000001</v>
      </c>
      <c r="K42" s="100">
        <v>56.86</v>
      </c>
      <c r="L42" s="100">
        <v>22.41</v>
      </c>
      <c r="M42" s="100">
        <v>62.13</v>
      </c>
      <c r="N42" s="100">
        <v>129.9</v>
      </c>
      <c r="O42" s="100">
        <v>0</v>
      </c>
      <c r="P42" s="100">
        <v>0.66</v>
      </c>
      <c r="Q42" s="100">
        <v>12.94</v>
      </c>
      <c r="R42" s="6"/>
      <c r="S42" s="6"/>
      <c r="T42" s="156"/>
      <c r="U42" s="6"/>
    </row>
    <row r="43" spans="1:21" customFormat="1">
      <c r="A43" s="163" t="s">
        <v>849</v>
      </c>
      <c r="B43" s="100">
        <v>7.68</v>
      </c>
      <c r="C43" s="100">
        <v>23.55</v>
      </c>
      <c r="D43" s="100">
        <v>19.82</v>
      </c>
      <c r="E43" s="100">
        <v>8.5299999999999994</v>
      </c>
      <c r="F43" s="152" t="s">
        <v>15</v>
      </c>
      <c r="G43" s="100">
        <v>53.6</v>
      </c>
      <c r="H43" s="100">
        <v>19.39</v>
      </c>
      <c r="I43" s="100">
        <v>8.8000000000000007</v>
      </c>
      <c r="J43" s="100">
        <v>1.48</v>
      </c>
      <c r="K43" s="100">
        <v>49.78</v>
      </c>
      <c r="L43" s="100">
        <v>22.73</v>
      </c>
      <c r="M43" s="100">
        <v>60.05</v>
      </c>
      <c r="N43" s="100">
        <v>157.9</v>
      </c>
      <c r="O43" s="100">
        <v>0</v>
      </c>
      <c r="P43" s="100">
        <v>0.67</v>
      </c>
      <c r="Q43" s="100">
        <v>12.94</v>
      </c>
      <c r="R43" s="6"/>
      <c r="S43" s="6"/>
      <c r="T43" s="156"/>
      <c r="U43" s="6"/>
    </row>
    <row r="44" spans="1:21" customFormat="1">
      <c r="A44" s="163" t="s">
        <v>850</v>
      </c>
      <c r="B44" s="100">
        <v>7.66</v>
      </c>
      <c r="C44" s="100">
        <v>23.52</v>
      </c>
      <c r="D44" s="100">
        <v>19.78</v>
      </c>
      <c r="E44" s="100">
        <v>8.4499999999999993</v>
      </c>
      <c r="F44" s="152" t="s">
        <v>15</v>
      </c>
      <c r="G44" s="100">
        <v>59.89</v>
      </c>
      <c r="H44" s="100">
        <v>19.63</v>
      </c>
      <c r="I44" s="100">
        <v>8.81</v>
      </c>
      <c r="J44" s="100">
        <v>1.39</v>
      </c>
      <c r="K44" s="100">
        <v>52.07</v>
      </c>
      <c r="L44" s="100">
        <v>23.33</v>
      </c>
      <c r="M44" s="100">
        <v>58.4</v>
      </c>
      <c r="N44" s="100">
        <v>169.9</v>
      </c>
      <c r="O44" s="100">
        <v>0</v>
      </c>
      <c r="P44" s="100">
        <v>0.68</v>
      </c>
      <c r="Q44" s="100">
        <v>12.95</v>
      </c>
      <c r="R44" s="6"/>
      <c r="S44" s="6"/>
      <c r="T44" s="156"/>
      <c r="U44" s="6"/>
    </row>
    <row r="45" spans="1:21" customFormat="1">
      <c r="A45" s="163" t="s">
        <v>851</v>
      </c>
      <c r="B45" s="100">
        <v>7.57</v>
      </c>
      <c r="C45" s="100">
        <v>23.35</v>
      </c>
      <c r="D45" s="100">
        <v>19.62</v>
      </c>
      <c r="E45" s="100">
        <v>8.51</v>
      </c>
      <c r="F45" s="152" t="s">
        <v>15</v>
      </c>
      <c r="G45" s="100">
        <v>59.89</v>
      </c>
      <c r="H45" s="100">
        <v>19.63</v>
      </c>
      <c r="I45" s="100">
        <v>8.75</v>
      </c>
      <c r="J45" s="100">
        <v>1.28</v>
      </c>
      <c r="K45" s="100">
        <v>48.92</v>
      </c>
      <c r="L45" s="100">
        <v>23.88</v>
      </c>
      <c r="M45" s="100">
        <v>56.93</v>
      </c>
      <c r="N45" s="100">
        <v>174.3</v>
      </c>
      <c r="O45" s="100">
        <v>0</v>
      </c>
      <c r="P45" s="100">
        <v>0.67</v>
      </c>
      <c r="Q45" s="100">
        <v>12.95</v>
      </c>
      <c r="R45" s="6"/>
      <c r="S45" s="6"/>
      <c r="T45" s="156"/>
      <c r="U45" s="6"/>
    </row>
    <row r="46" spans="1:21" customFormat="1">
      <c r="A46" s="163" t="s">
        <v>852</v>
      </c>
      <c r="B46" s="100">
        <v>7.45</v>
      </c>
      <c r="C46" s="100">
        <v>23.12</v>
      </c>
      <c r="D46" s="100">
        <v>19.399999999999999</v>
      </c>
      <c r="E46" s="100">
        <v>8.93</v>
      </c>
      <c r="F46" s="152" t="s">
        <v>15</v>
      </c>
      <c r="G46" s="100">
        <v>59.89</v>
      </c>
      <c r="H46" s="100">
        <v>19.63</v>
      </c>
      <c r="I46" s="100">
        <v>8.73</v>
      </c>
      <c r="J46" s="100">
        <v>1.48</v>
      </c>
      <c r="K46" s="100">
        <v>49.58</v>
      </c>
      <c r="L46" s="100">
        <v>24.2</v>
      </c>
      <c r="M46" s="100">
        <v>55.96</v>
      </c>
      <c r="N46" s="100">
        <v>223.4</v>
      </c>
      <c r="O46" s="100">
        <v>0</v>
      </c>
      <c r="P46" s="100">
        <v>0.66</v>
      </c>
      <c r="Q46" s="100">
        <v>12.94</v>
      </c>
      <c r="R46" s="6"/>
      <c r="S46" s="6"/>
      <c r="T46" s="156"/>
      <c r="U46" s="6"/>
    </row>
    <row r="47" spans="1:21" customFormat="1">
      <c r="A47" s="163" t="s">
        <v>853</v>
      </c>
      <c r="B47" s="100">
        <v>7.55</v>
      </c>
      <c r="C47" s="100">
        <v>23.35</v>
      </c>
      <c r="D47" s="100">
        <v>19.600000000000001</v>
      </c>
      <c r="E47" s="100">
        <v>9.1999999999999993</v>
      </c>
      <c r="F47" s="152" t="s">
        <v>15</v>
      </c>
      <c r="G47" s="100">
        <v>59.77</v>
      </c>
      <c r="H47" s="100">
        <v>19.670000000000002</v>
      </c>
      <c r="I47" s="100">
        <v>8.7200000000000006</v>
      </c>
      <c r="J47" s="100">
        <v>1.77</v>
      </c>
      <c r="K47" s="100">
        <v>47.54</v>
      </c>
      <c r="L47" s="100">
        <v>24.58</v>
      </c>
      <c r="M47" s="100">
        <v>53.51</v>
      </c>
      <c r="N47" s="100">
        <v>241.2</v>
      </c>
      <c r="O47" s="100">
        <v>0</v>
      </c>
      <c r="P47" s="100">
        <v>0.67</v>
      </c>
      <c r="Q47" s="100">
        <v>12.94</v>
      </c>
      <c r="R47" s="6"/>
      <c r="S47" s="6"/>
      <c r="T47" s="156"/>
      <c r="U47" s="6"/>
    </row>
    <row r="48" spans="1:21" customFormat="1">
      <c r="A48" s="163" t="s">
        <v>854</v>
      </c>
      <c r="B48" s="100">
        <v>7.82</v>
      </c>
      <c r="C48" s="100">
        <v>23.86</v>
      </c>
      <c r="D48" s="100">
        <v>20.09</v>
      </c>
      <c r="E48" s="100">
        <v>9.7899999999999991</v>
      </c>
      <c r="F48" s="152" t="s">
        <v>15</v>
      </c>
      <c r="G48" s="100">
        <v>56.24</v>
      </c>
      <c r="H48" s="100">
        <v>21.11</v>
      </c>
      <c r="I48" s="100">
        <v>8.7200000000000006</v>
      </c>
      <c r="J48" s="100">
        <v>1.62</v>
      </c>
      <c r="K48" s="100">
        <v>52.24</v>
      </c>
      <c r="L48" s="100">
        <v>24.88</v>
      </c>
      <c r="M48" s="100">
        <v>52.16</v>
      </c>
      <c r="N48" s="100">
        <v>256.39999999999998</v>
      </c>
      <c r="O48" s="100">
        <v>0</v>
      </c>
      <c r="P48" s="100">
        <v>0.67</v>
      </c>
      <c r="Q48" s="100">
        <v>12.94</v>
      </c>
      <c r="R48" s="6"/>
      <c r="S48" s="6"/>
      <c r="T48" s="156"/>
      <c r="U48" s="6"/>
    </row>
    <row r="49" spans="1:21" customFormat="1">
      <c r="A49" s="163" t="s">
        <v>855</v>
      </c>
      <c r="B49" s="100">
        <v>7.79</v>
      </c>
      <c r="C49" s="100">
        <v>24.4</v>
      </c>
      <c r="D49" s="100">
        <v>20.34</v>
      </c>
      <c r="E49" s="100">
        <v>8.7100000000000009</v>
      </c>
      <c r="F49" s="152" t="s">
        <v>15</v>
      </c>
      <c r="G49" s="100">
        <v>56.24</v>
      </c>
      <c r="H49" s="100">
        <v>21.11</v>
      </c>
      <c r="I49" s="100">
        <v>8.6999999999999993</v>
      </c>
      <c r="J49" s="100">
        <v>1.33</v>
      </c>
      <c r="K49" s="100">
        <v>50.95</v>
      </c>
      <c r="L49" s="100">
        <v>25.6</v>
      </c>
      <c r="M49" s="100">
        <v>49.81</v>
      </c>
      <c r="N49" s="100">
        <v>212.5</v>
      </c>
      <c r="O49" s="100">
        <v>0</v>
      </c>
      <c r="P49" s="100">
        <v>0.67</v>
      </c>
      <c r="Q49" s="100">
        <v>12.94</v>
      </c>
      <c r="R49" s="6"/>
      <c r="S49" s="6"/>
      <c r="T49" s="156"/>
      <c r="U49" s="6"/>
    </row>
    <row r="50" spans="1:21" customFormat="1">
      <c r="A50" s="163" t="s">
        <v>856</v>
      </c>
      <c r="B50" s="100">
        <v>7.73</v>
      </c>
      <c r="C50" s="100">
        <v>23.92</v>
      </c>
      <c r="D50" s="100">
        <v>20.05</v>
      </c>
      <c r="E50" s="100">
        <v>10.89</v>
      </c>
      <c r="F50" s="152" t="s">
        <v>15</v>
      </c>
      <c r="G50" s="100">
        <v>56.24</v>
      </c>
      <c r="H50" s="100">
        <v>21.11</v>
      </c>
      <c r="I50" s="100">
        <v>8.65</v>
      </c>
      <c r="J50" s="100">
        <v>1.35</v>
      </c>
      <c r="K50" s="100">
        <v>55.63</v>
      </c>
      <c r="L50" s="100">
        <v>26.17</v>
      </c>
      <c r="M50" s="100">
        <v>48.03</v>
      </c>
      <c r="N50" s="100">
        <v>286.60000000000002</v>
      </c>
      <c r="O50" s="100">
        <v>0</v>
      </c>
      <c r="P50" s="100">
        <v>0.66</v>
      </c>
      <c r="Q50" s="100">
        <v>12.95</v>
      </c>
      <c r="R50" s="6"/>
      <c r="S50" s="6"/>
      <c r="T50" s="156"/>
      <c r="U50" s="6"/>
    </row>
    <row r="51" spans="1:21" customFormat="1">
      <c r="A51" s="163" t="s">
        <v>857</v>
      </c>
      <c r="B51" s="100">
        <v>7.95</v>
      </c>
      <c r="C51" s="100">
        <v>25.22</v>
      </c>
      <c r="D51" s="100">
        <v>20.9</v>
      </c>
      <c r="E51" s="100">
        <v>11.46</v>
      </c>
      <c r="F51" s="152" t="s">
        <v>15</v>
      </c>
      <c r="G51" s="100">
        <v>56.45</v>
      </c>
      <c r="H51" s="100">
        <v>21.11</v>
      </c>
      <c r="I51" s="100">
        <v>8.59</v>
      </c>
      <c r="J51" s="100">
        <v>1.56</v>
      </c>
      <c r="K51" s="100">
        <v>48.76</v>
      </c>
      <c r="L51" s="100">
        <v>26.09</v>
      </c>
      <c r="M51" s="100">
        <v>48.28</v>
      </c>
      <c r="N51" s="100">
        <v>298.8</v>
      </c>
      <c r="O51" s="100">
        <v>0</v>
      </c>
      <c r="P51" s="100">
        <v>0.67</v>
      </c>
      <c r="Q51" s="100">
        <v>12.95</v>
      </c>
      <c r="R51" s="6"/>
      <c r="S51" s="6"/>
      <c r="T51" s="156"/>
      <c r="U51" s="6"/>
    </row>
    <row r="52" spans="1:21" customFormat="1">
      <c r="A52" s="163" t="s">
        <v>858</v>
      </c>
      <c r="B52" s="100">
        <v>8.08</v>
      </c>
      <c r="C52" s="100">
        <v>25.43</v>
      </c>
      <c r="D52" s="100">
        <v>21.11</v>
      </c>
      <c r="E52" s="100">
        <v>12.63</v>
      </c>
      <c r="F52" s="152" t="s">
        <v>15</v>
      </c>
      <c r="G52" s="100">
        <v>60.98</v>
      </c>
      <c r="H52" s="100">
        <v>21.09</v>
      </c>
      <c r="I52" s="100">
        <v>8.59</v>
      </c>
      <c r="J52" s="100">
        <v>1.62</v>
      </c>
      <c r="K52" s="100">
        <v>44.91</v>
      </c>
      <c r="L52" s="100">
        <v>26.24</v>
      </c>
      <c r="M52" s="100">
        <v>47.6</v>
      </c>
      <c r="N52" s="100">
        <v>307.7</v>
      </c>
      <c r="O52" s="100">
        <v>0</v>
      </c>
      <c r="P52" s="100">
        <v>0.65</v>
      </c>
      <c r="Q52" s="100">
        <v>12.95</v>
      </c>
      <c r="R52" s="6"/>
      <c r="S52" s="6"/>
      <c r="T52" s="156"/>
      <c r="U52" s="6"/>
    </row>
    <row r="53" spans="1:21" customFormat="1">
      <c r="A53" s="163" t="s">
        <v>859</v>
      </c>
      <c r="B53" s="100">
        <v>8.1300000000000008</v>
      </c>
      <c r="C53" s="100">
        <v>25.18</v>
      </c>
      <c r="D53" s="100">
        <v>21.03</v>
      </c>
      <c r="E53" s="100">
        <v>11.32</v>
      </c>
      <c r="F53" s="152" t="s">
        <v>15</v>
      </c>
      <c r="G53" s="100">
        <v>60.98</v>
      </c>
      <c r="H53" s="100">
        <v>21.09</v>
      </c>
      <c r="I53" s="100">
        <v>8.57</v>
      </c>
      <c r="J53" s="100">
        <v>1.21</v>
      </c>
      <c r="K53" s="100">
        <v>47</v>
      </c>
      <c r="L53" s="100">
        <v>27.03</v>
      </c>
      <c r="M53" s="100">
        <v>45.19</v>
      </c>
      <c r="N53" s="100">
        <v>284.7</v>
      </c>
      <c r="O53" s="100">
        <v>0</v>
      </c>
      <c r="P53" s="100">
        <v>0.64</v>
      </c>
      <c r="Q53" s="100">
        <v>12.95</v>
      </c>
      <c r="R53" s="6"/>
      <c r="S53" s="6"/>
      <c r="T53" s="156"/>
      <c r="U53" s="6"/>
    </row>
    <row r="54" spans="1:21" customFormat="1">
      <c r="A54" s="163" t="s">
        <v>860</v>
      </c>
      <c r="B54" s="100">
        <v>7.81</v>
      </c>
      <c r="C54" s="100">
        <v>24.83</v>
      </c>
      <c r="D54" s="100">
        <v>20.59</v>
      </c>
      <c r="E54" s="100">
        <v>10.02</v>
      </c>
      <c r="F54" s="152" t="s">
        <v>15</v>
      </c>
      <c r="G54" s="100">
        <v>60.98</v>
      </c>
      <c r="H54" s="100">
        <v>21.09</v>
      </c>
      <c r="I54" s="100">
        <v>8.5399999999999991</v>
      </c>
      <c r="J54" s="100">
        <v>1.41</v>
      </c>
      <c r="K54" s="100">
        <v>52.94</v>
      </c>
      <c r="L54" s="100">
        <v>27.39</v>
      </c>
      <c r="M54" s="100">
        <v>43.8</v>
      </c>
      <c r="N54" s="100">
        <v>301.2</v>
      </c>
      <c r="O54" s="100">
        <v>0</v>
      </c>
      <c r="P54" s="100">
        <v>0.56999999999999995</v>
      </c>
      <c r="Q54" s="100">
        <v>12.95</v>
      </c>
      <c r="R54" s="6"/>
      <c r="S54" s="6"/>
      <c r="T54" s="156"/>
      <c r="U54" s="6"/>
    </row>
    <row r="55" spans="1:21" customFormat="1">
      <c r="A55" s="163" t="s">
        <v>861</v>
      </c>
      <c r="B55" s="100">
        <v>7</v>
      </c>
      <c r="C55" s="100">
        <v>25.61</v>
      </c>
      <c r="D55" s="100">
        <v>20.350000000000001</v>
      </c>
      <c r="E55" s="100">
        <v>10.19</v>
      </c>
      <c r="F55" s="152" t="s">
        <v>15</v>
      </c>
      <c r="G55" s="100">
        <v>61.29</v>
      </c>
      <c r="H55" s="100">
        <v>21.22</v>
      </c>
      <c r="I55" s="100">
        <v>8.5299999999999994</v>
      </c>
      <c r="J55" s="100">
        <v>1.07</v>
      </c>
      <c r="K55" s="100">
        <v>50.28</v>
      </c>
      <c r="L55" s="100">
        <v>28.03</v>
      </c>
      <c r="M55" s="100">
        <v>42.66</v>
      </c>
      <c r="N55" s="100">
        <v>320.10000000000002</v>
      </c>
      <c r="O55" s="100">
        <v>0</v>
      </c>
      <c r="P55" s="100">
        <v>0.56000000000000005</v>
      </c>
      <c r="Q55" s="100">
        <v>12.96</v>
      </c>
      <c r="R55" s="6"/>
      <c r="S55" s="6"/>
      <c r="T55" s="156"/>
      <c r="U55" s="6"/>
    </row>
    <row r="56" spans="1:21" customFormat="1">
      <c r="A56" s="163" t="s">
        <v>862</v>
      </c>
      <c r="B56" s="100">
        <v>6.49</v>
      </c>
      <c r="C56" s="100">
        <v>26.33</v>
      </c>
      <c r="D56" s="100">
        <v>20.309999999999999</v>
      </c>
      <c r="E56" s="100">
        <v>10.44</v>
      </c>
      <c r="F56" s="152" t="s">
        <v>15</v>
      </c>
      <c r="G56" s="100">
        <v>68.02</v>
      </c>
      <c r="H56" s="100">
        <v>25.37</v>
      </c>
      <c r="I56" s="100">
        <v>8.4700000000000006</v>
      </c>
      <c r="J56" s="100">
        <v>1.0900000000000001</v>
      </c>
      <c r="K56" s="100">
        <v>37.71</v>
      </c>
      <c r="L56" s="100">
        <v>28.51</v>
      </c>
      <c r="M56" s="100">
        <v>41.03</v>
      </c>
      <c r="N56" s="100">
        <v>317.39999999999998</v>
      </c>
      <c r="O56" s="100">
        <v>0</v>
      </c>
      <c r="P56" s="100">
        <v>0.56000000000000005</v>
      </c>
      <c r="Q56" s="100">
        <v>12.96</v>
      </c>
      <c r="R56" s="6"/>
      <c r="S56" s="6"/>
      <c r="T56" s="156"/>
      <c r="U56" s="6"/>
    </row>
    <row r="57" spans="1:21" customFormat="1">
      <c r="A57" s="163" t="s">
        <v>863</v>
      </c>
      <c r="B57" s="100">
        <v>6.1</v>
      </c>
      <c r="C57" s="100">
        <v>26.72</v>
      </c>
      <c r="D57" s="100">
        <v>20.2</v>
      </c>
      <c r="E57" s="100">
        <v>9.35</v>
      </c>
      <c r="F57" s="152" t="s">
        <v>15</v>
      </c>
      <c r="G57" s="100">
        <v>68.02</v>
      </c>
      <c r="H57" s="100">
        <v>25.37</v>
      </c>
      <c r="I57" s="100">
        <v>8.39</v>
      </c>
      <c r="J57" s="100">
        <v>0.9</v>
      </c>
      <c r="K57" s="100">
        <v>56.86</v>
      </c>
      <c r="L57" s="100">
        <v>28.95</v>
      </c>
      <c r="M57" s="100">
        <v>39.979999999999997</v>
      </c>
      <c r="N57" s="100">
        <v>344.4</v>
      </c>
      <c r="O57" s="100">
        <v>0</v>
      </c>
      <c r="P57" s="100">
        <v>0.56000000000000005</v>
      </c>
      <c r="Q57" s="100">
        <v>12.96</v>
      </c>
      <c r="R57" s="6"/>
      <c r="S57" s="6"/>
      <c r="T57" s="156"/>
      <c r="U57" s="6"/>
    </row>
    <row r="58" spans="1:21" customFormat="1">
      <c r="A58" s="163" t="s">
        <v>864</v>
      </c>
      <c r="B58" s="100">
        <v>5.46</v>
      </c>
      <c r="C58" s="100">
        <v>26.5</v>
      </c>
      <c r="D58" s="100">
        <v>19.57</v>
      </c>
      <c r="E58" s="100">
        <v>9.3699999999999992</v>
      </c>
      <c r="F58" s="152" t="s">
        <v>15</v>
      </c>
      <c r="G58" s="100">
        <v>68.02</v>
      </c>
      <c r="H58" s="100">
        <v>25.37</v>
      </c>
      <c r="I58" s="100">
        <v>8.31</v>
      </c>
      <c r="J58" s="100">
        <v>1.19</v>
      </c>
      <c r="K58" s="100">
        <v>27.03</v>
      </c>
      <c r="L58" s="100">
        <v>28.77</v>
      </c>
      <c r="M58" s="100">
        <v>40.409999999999997</v>
      </c>
      <c r="N58" s="100">
        <v>348.2</v>
      </c>
      <c r="O58" s="100">
        <v>0</v>
      </c>
      <c r="P58" s="100">
        <v>0.56000000000000005</v>
      </c>
      <c r="Q58" s="100">
        <v>12.95</v>
      </c>
      <c r="R58" s="6"/>
      <c r="S58" s="6"/>
      <c r="T58" s="156"/>
      <c r="U58" s="6"/>
    </row>
    <row r="59" spans="1:21" customFormat="1">
      <c r="A59" s="163" t="s">
        <v>865</v>
      </c>
      <c r="B59" s="100">
        <v>5.01</v>
      </c>
      <c r="C59" s="100">
        <v>26.23</v>
      </c>
      <c r="D59" s="100">
        <v>19.07</v>
      </c>
      <c r="E59" s="100">
        <v>9.09</v>
      </c>
      <c r="F59" s="152" t="s">
        <v>15</v>
      </c>
      <c r="G59" s="100">
        <v>68.3</v>
      </c>
      <c r="H59" s="100">
        <v>25.56</v>
      </c>
      <c r="I59" s="100">
        <v>8.2799999999999994</v>
      </c>
      <c r="J59" s="100">
        <v>0.92</v>
      </c>
      <c r="K59" s="100">
        <v>11.36</v>
      </c>
      <c r="L59" s="100">
        <v>29.02</v>
      </c>
      <c r="M59" s="100">
        <v>39.85</v>
      </c>
      <c r="N59" s="100">
        <v>343.4</v>
      </c>
      <c r="O59" s="100">
        <v>0</v>
      </c>
      <c r="P59" s="100">
        <v>0.56000000000000005</v>
      </c>
      <c r="Q59" s="100">
        <v>12.95</v>
      </c>
      <c r="R59" s="6"/>
      <c r="S59" s="6"/>
      <c r="T59" s="156"/>
      <c r="U59" s="6"/>
    </row>
    <row r="60" spans="1:21" customFormat="1">
      <c r="A60" s="163" t="s">
        <v>866</v>
      </c>
      <c r="B60" s="100">
        <v>4.71</v>
      </c>
      <c r="C60" s="100">
        <v>26</v>
      </c>
      <c r="D60" s="100">
        <v>18.72</v>
      </c>
      <c r="E60" s="100">
        <v>9.82</v>
      </c>
      <c r="F60" s="152" t="s">
        <v>15</v>
      </c>
      <c r="G60" s="100">
        <v>74.45</v>
      </c>
      <c r="H60" s="100">
        <v>31.82</v>
      </c>
      <c r="I60" s="100">
        <v>8.2100000000000009</v>
      </c>
      <c r="J60" s="100">
        <v>1.1200000000000001</v>
      </c>
      <c r="K60" s="100">
        <v>32.89</v>
      </c>
      <c r="L60" s="100">
        <v>29.33</v>
      </c>
      <c r="M60" s="100">
        <v>38.76</v>
      </c>
      <c r="N60" s="100">
        <v>344.3</v>
      </c>
      <c r="O60" s="100">
        <v>0</v>
      </c>
      <c r="P60" s="100">
        <v>0.56000000000000005</v>
      </c>
      <c r="Q60" s="100">
        <v>12.95</v>
      </c>
      <c r="R60" s="6"/>
      <c r="S60" s="6"/>
      <c r="T60" s="156"/>
      <c r="U60" s="6"/>
    </row>
    <row r="61" spans="1:21" customFormat="1">
      <c r="A61" s="163" t="s">
        <v>867</v>
      </c>
      <c r="B61" s="100">
        <v>4.6100000000000003</v>
      </c>
      <c r="C61" s="100">
        <v>25.79</v>
      </c>
      <c r="D61" s="100">
        <v>18.52</v>
      </c>
      <c r="E61" s="100">
        <v>10</v>
      </c>
      <c r="F61" s="152" t="s">
        <v>15</v>
      </c>
      <c r="G61" s="100">
        <v>74.45</v>
      </c>
      <c r="H61" s="100">
        <v>31.82</v>
      </c>
      <c r="I61" s="100">
        <v>8.16</v>
      </c>
      <c r="J61" s="100">
        <v>0.83</v>
      </c>
      <c r="K61" s="100">
        <v>10.16</v>
      </c>
      <c r="L61" s="100">
        <v>29.4</v>
      </c>
      <c r="M61" s="100">
        <v>38.33</v>
      </c>
      <c r="N61" s="100">
        <v>331.6</v>
      </c>
      <c r="O61" s="100">
        <v>0</v>
      </c>
      <c r="P61" s="100">
        <v>0.55000000000000004</v>
      </c>
      <c r="Q61" s="100">
        <v>12.96</v>
      </c>
      <c r="R61" s="6"/>
      <c r="S61" s="6"/>
      <c r="T61" s="156"/>
      <c r="U61" s="6"/>
    </row>
    <row r="62" spans="1:21" customFormat="1">
      <c r="A62" s="163" t="s">
        <v>868</v>
      </c>
      <c r="B62" s="100">
        <v>4.5</v>
      </c>
      <c r="C62" s="100">
        <v>25.56</v>
      </c>
      <c r="D62" s="100">
        <v>18.32</v>
      </c>
      <c r="E62" s="100">
        <v>9.59</v>
      </c>
      <c r="F62" s="152" t="s">
        <v>15</v>
      </c>
      <c r="G62" s="100">
        <v>74.45</v>
      </c>
      <c r="H62" s="100">
        <v>31.82</v>
      </c>
      <c r="I62" s="100">
        <v>8.08</v>
      </c>
      <c r="J62" s="100">
        <v>0.8</v>
      </c>
      <c r="K62" s="100">
        <v>18.46</v>
      </c>
      <c r="L62" s="100">
        <v>29.3</v>
      </c>
      <c r="M62" s="100">
        <v>37.840000000000003</v>
      </c>
      <c r="N62" s="100">
        <v>314</v>
      </c>
      <c r="O62" s="100">
        <v>0</v>
      </c>
      <c r="P62" s="100">
        <v>0.55000000000000004</v>
      </c>
      <c r="Q62" s="100">
        <v>12.95</v>
      </c>
      <c r="R62" s="6"/>
      <c r="S62" s="6"/>
      <c r="T62" s="156"/>
      <c r="U62" s="6"/>
    </row>
    <row r="63" spans="1:21" customFormat="1">
      <c r="A63" s="163" t="s">
        <v>869</v>
      </c>
      <c r="B63" s="100">
        <v>4.3899999999999997</v>
      </c>
      <c r="C63" s="100">
        <v>25.22</v>
      </c>
      <c r="D63" s="100">
        <v>18.05</v>
      </c>
      <c r="E63" s="100">
        <v>9.35</v>
      </c>
      <c r="F63" s="152" t="s">
        <v>15</v>
      </c>
      <c r="G63" s="100">
        <v>74.14</v>
      </c>
      <c r="H63" s="100">
        <v>31.8</v>
      </c>
      <c r="I63" s="100">
        <v>8.02</v>
      </c>
      <c r="J63" s="100">
        <v>0.81</v>
      </c>
      <c r="K63" s="100">
        <v>15.07</v>
      </c>
      <c r="L63" s="100">
        <v>29.66</v>
      </c>
      <c r="M63" s="100">
        <v>36.630000000000003</v>
      </c>
      <c r="N63" s="100">
        <v>321</v>
      </c>
      <c r="O63" s="100">
        <v>0</v>
      </c>
      <c r="P63" s="100">
        <v>0.55000000000000004</v>
      </c>
      <c r="Q63" s="100">
        <v>12.95</v>
      </c>
      <c r="R63" s="6"/>
      <c r="S63" s="6"/>
      <c r="T63" s="156"/>
      <c r="U63" s="6"/>
    </row>
    <row r="64" spans="1:21" customFormat="1">
      <c r="A64" s="163" t="s">
        <v>870</v>
      </c>
      <c r="B64" s="100">
        <v>4.29</v>
      </c>
      <c r="C64" s="100">
        <v>24.78</v>
      </c>
      <c r="D64" s="100">
        <v>17.739999999999998</v>
      </c>
      <c r="E64" s="100">
        <v>9.76</v>
      </c>
      <c r="F64" s="152" t="s">
        <v>15</v>
      </c>
      <c r="G64" s="100">
        <v>67.510000000000005</v>
      </c>
      <c r="H64" s="100">
        <v>31.09</v>
      </c>
      <c r="I64" s="100">
        <v>8</v>
      </c>
      <c r="J64" s="100">
        <v>0.9</v>
      </c>
      <c r="K64" s="100">
        <v>15.54</v>
      </c>
      <c r="L64" s="100">
        <v>29.75</v>
      </c>
      <c r="M64" s="100">
        <v>36.24</v>
      </c>
      <c r="N64" s="100">
        <v>317.2</v>
      </c>
      <c r="O64" s="100">
        <v>0</v>
      </c>
      <c r="P64" s="100">
        <v>0.55000000000000004</v>
      </c>
      <c r="Q64" s="100">
        <v>12.94</v>
      </c>
      <c r="R64" s="6"/>
      <c r="S64" s="6"/>
      <c r="T64" s="156"/>
      <c r="U64" s="6"/>
    </row>
    <row r="65" spans="1:21" customFormat="1">
      <c r="A65" s="163" t="s">
        <v>871</v>
      </c>
      <c r="B65" s="100">
        <v>4.1399999999999997</v>
      </c>
      <c r="C65" s="100">
        <v>24.43</v>
      </c>
      <c r="D65" s="100">
        <v>17.440000000000001</v>
      </c>
      <c r="E65" s="100">
        <v>9.35</v>
      </c>
      <c r="F65" s="152" t="s">
        <v>15</v>
      </c>
      <c r="G65" s="100">
        <v>67.510000000000005</v>
      </c>
      <c r="H65" s="100">
        <v>31.09</v>
      </c>
      <c r="I65" s="100">
        <v>7.86</v>
      </c>
      <c r="J65" s="100">
        <v>0.7</v>
      </c>
      <c r="K65" s="100">
        <v>26.29</v>
      </c>
      <c r="L65" s="100">
        <v>29.91</v>
      </c>
      <c r="M65" s="100">
        <v>35.67</v>
      </c>
      <c r="N65" s="100">
        <v>308.89999999999998</v>
      </c>
      <c r="O65" s="100">
        <v>0</v>
      </c>
      <c r="P65" s="100">
        <v>0.6</v>
      </c>
      <c r="Q65" s="100">
        <v>12.94</v>
      </c>
      <c r="R65" s="6"/>
      <c r="S65" s="6"/>
      <c r="T65" s="156"/>
      <c r="U65" s="6"/>
    </row>
    <row r="66" spans="1:21" customFormat="1">
      <c r="A66" s="163" t="s">
        <v>872</v>
      </c>
      <c r="B66" s="100">
        <v>4.05</v>
      </c>
      <c r="C66" s="100">
        <v>24.28</v>
      </c>
      <c r="D66" s="100">
        <v>17.28</v>
      </c>
      <c r="E66" s="100">
        <v>9.42</v>
      </c>
      <c r="F66" s="152" t="s">
        <v>15</v>
      </c>
      <c r="G66" s="100">
        <v>67.510000000000005</v>
      </c>
      <c r="H66" s="100">
        <v>31.09</v>
      </c>
      <c r="I66" s="100">
        <v>7.82</v>
      </c>
      <c r="J66" s="100">
        <v>0.51</v>
      </c>
      <c r="K66" s="100">
        <v>67.59</v>
      </c>
      <c r="L66" s="100">
        <v>30.25</v>
      </c>
      <c r="M66" s="100">
        <v>35.15</v>
      </c>
      <c r="N66" s="100">
        <v>262.60000000000002</v>
      </c>
      <c r="O66" s="100">
        <v>0</v>
      </c>
      <c r="P66" s="100">
        <v>0.61</v>
      </c>
      <c r="Q66" s="100">
        <v>12.94</v>
      </c>
      <c r="R66" s="6"/>
      <c r="S66" s="6"/>
      <c r="T66" s="156"/>
      <c r="U66" s="6"/>
    </row>
    <row r="67" spans="1:21" customFormat="1">
      <c r="A67" s="163" t="s">
        <v>873</v>
      </c>
      <c r="B67" s="100">
        <v>3.95</v>
      </c>
      <c r="C67" s="100">
        <v>23.83</v>
      </c>
      <c r="D67" s="100">
        <v>16.97</v>
      </c>
      <c r="E67" s="100">
        <v>9.82</v>
      </c>
      <c r="F67" s="152" t="s">
        <v>15</v>
      </c>
      <c r="G67" s="100">
        <v>67.38</v>
      </c>
      <c r="H67" s="100">
        <v>31.06</v>
      </c>
      <c r="I67" s="100">
        <v>7.78</v>
      </c>
      <c r="J67" s="100">
        <v>1</v>
      </c>
      <c r="K67" s="100">
        <v>40.49</v>
      </c>
      <c r="L67" s="100">
        <v>30.15</v>
      </c>
      <c r="M67" s="100">
        <v>34.979999999999997</v>
      </c>
      <c r="N67" s="100">
        <v>124.2</v>
      </c>
      <c r="O67" s="100">
        <v>0</v>
      </c>
      <c r="P67" s="100">
        <v>0.61</v>
      </c>
      <c r="Q67" s="100">
        <v>12.93</v>
      </c>
      <c r="R67" s="6"/>
      <c r="S67" s="6"/>
      <c r="T67" s="156"/>
      <c r="U67" s="6"/>
    </row>
    <row r="68" spans="1:21" customFormat="1">
      <c r="A68" s="163" t="s">
        <v>874</v>
      </c>
      <c r="B68" s="100">
        <v>3.94</v>
      </c>
      <c r="C68" s="100">
        <v>23.54</v>
      </c>
      <c r="D68" s="100">
        <v>16.809999999999999</v>
      </c>
      <c r="E68" s="100">
        <v>9.84</v>
      </c>
      <c r="F68" s="152" t="s">
        <v>15</v>
      </c>
      <c r="G68" s="100">
        <v>63.54</v>
      </c>
      <c r="H68" s="100">
        <v>30.13</v>
      </c>
      <c r="I68" s="100">
        <v>7.68</v>
      </c>
      <c r="J68" s="100">
        <v>0.98</v>
      </c>
      <c r="K68" s="100">
        <v>33.24</v>
      </c>
      <c r="L68" s="100">
        <v>29.6</v>
      </c>
      <c r="M68" s="100">
        <v>36.090000000000003</v>
      </c>
      <c r="N68" s="100">
        <v>79.400000000000006</v>
      </c>
      <c r="O68" s="100">
        <v>0</v>
      </c>
      <c r="P68" s="100">
        <v>0.6</v>
      </c>
      <c r="Q68" s="100">
        <v>12.94</v>
      </c>
      <c r="R68" s="6"/>
      <c r="S68" s="6"/>
      <c r="T68" s="156"/>
      <c r="U68" s="6"/>
    </row>
    <row r="69" spans="1:21" customFormat="1">
      <c r="A69" s="163" t="s">
        <v>875</v>
      </c>
      <c r="B69" s="100">
        <v>3.96</v>
      </c>
      <c r="C69" s="100">
        <v>23.47</v>
      </c>
      <c r="D69" s="100">
        <v>16.79</v>
      </c>
      <c r="E69" s="100">
        <v>9.8000000000000007</v>
      </c>
      <c r="F69" s="152" t="s">
        <v>15</v>
      </c>
      <c r="G69" s="100">
        <v>63.54</v>
      </c>
      <c r="H69" s="100">
        <v>30.13</v>
      </c>
      <c r="I69" s="100">
        <v>7.55</v>
      </c>
      <c r="J69" s="100">
        <v>0.59</v>
      </c>
      <c r="K69" s="100">
        <v>10.69</v>
      </c>
      <c r="L69" s="100">
        <v>29.61</v>
      </c>
      <c r="M69" s="100">
        <v>36.26</v>
      </c>
      <c r="N69" s="100">
        <v>70.3</v>
      </c>
      <c r="O69" s="100">
        <v>0</v>
      </c>
      <c r="P69" s="100">
        <v>0.6</v>
      </c>
      <c r="Q69" s="100">
        <v>12.93</v>
      </c>
      <c r="R69" s="6"/>
      <c r="S69" s="6"/>
      <c r="T69" s="156"/>
      <c r="U69" s="6"/>
    </row>
    <row r="70" spans="1:21" customFormat="1">
      <c r="A70" s="163" t="s">
        <v>876</v>
      </c>
      <c r="B70" s="100">
        <v>4</v>
      </c>
      <c r="C70" s="100">
        <v>23.52</v>
      </c>
      <c r="D70" s="100">
        <v>16.850000000000001</v>
      </c>
      <c r="E70" s="100">
        <v>9.93</v>
      </c>
      <c r="F70" s="152" t="s">
        <v>15</v>
      </c>
      <c r="G70" s="100">
        <v>63.54</v>
      </c>
      <c r="H70" s="100">
        <v>30.13</v>
      </c>
      <c r="I70" s="100">
        <v>7.46</v>
      </c>
      <c r="J70" s="100">
        <v>0.74</v>
      </c>
      <c r="K70" s="100">
        <v>5.95</v>
      </c>
      <c r="L70" s="100">
        <v>29.49</v>
      </c>
      <c r="M70" s="100">
        <v>36.39</v>
      </c>
      <c r="N70" s="100">
        <v>67.400000000000006</v>
      </c>
      <c r="O70" s="100">
        <v>0</v>
      </c>
      <c r="P70" s="100">
        <v>0.59</v>
      </c>
      <c r="Q70" s="100">
        <v>12.95</v>
      </c>
      <c r="R70" s="6"/>
      <c r="S70" s="6"/>
      <c r="T70" s="156"/>
      <c r="U70" s="6"/>
    </row>
    <row r="71" spans="1:21" customFormat="1">
      <c r="A71" s="163" t="s">
        <v>877</v>
      </c>
      <c r="B71" s="100">
        <v>4.04</v>
      </c>
      <c r="C71" s="100">
        <v>23.59</v>
      </c>
      <c r="D71" s="100">
        <v>16.920000000000002</v>
      </c>
      <c r="E71" s="100">
        <v>9.65</v>
      </c>
      <c r="F71" s="152" t="s">
        <v>15</v>
      </c>
      <c r="G71" s="100">
        <v>63.64</v>
      </c>
      <c r="H71" s="100">
        <v>30.1</v>
      </c>
      <c r="I71" s="100">
        <v>7.39</v>
      </c>
      <c r="J71" s="100">
        <v>0.89</v>
      </c>
      <c r="K71" s="100">
        <v>36.619999999999997</v>
      </c>
      <c r="L71" s="100">
        <v>29.44</v>
      </c>
      <c r="M71" s="100">
        <v>36.799999999999997</v>
      </c>
      <c r="N71" s="100">
        <v>67.099999999999994</v>
      </c>
      <c r="O71" s="100">
        <v>0</v>
      </c>
      <c r="P71" s="100">
        <v>0.6</v>
      </c>
      <c r="Q71" s="100">
        <v>12.94</v>
      </c>
      <c r="R71" s="6"/>
      <c r="S71" s="6"/>
      <c r="T71" s="156"/>
      <c r="U71" s="6"/>
    </row>
    <row r="72" spans="1:21" customFormat="1">
      <c r="A72" s="163" t="s">
        <v>878</v>
      </c>
      <c r="B72" s="100">
        <v>4.09</v>
      </c>
      <c r="C72" s="100">
        <v>23.79</v>
      </c>
      <c r="D72" s="100">
        <v>17.059999999999999</v>
      </c>
      <c r="E72" s="100">
        <v>10.39</v>
      </c>
      <c r="F72" s="152" t="s">
        <v>15</v>
      </c>
      <c r="G72" s="100">
        <v>65.81</v>
      </c>
      <c r="H72" s="100">
        <v>29.25</v>
      </c>
      <c r="I72" s="100">
        <v>7.24</v>
      </c>
      <c r="J72" s="100">
        <v>1</v>
      </c>
      <c r="K72" s="100">
        <v>24.22</v>
      </c>
      <c r="L72" s="100">
        <v>29.35</v>
      </c>
      <c r="M72" s="100">
        <v>37.74</v>
      </c>
      <c r="N72" s="100">
        <v>52.4</v>
      </c>
      <c r="O72" s="100">
        <v>0</v>
      </c>
      <c r="P72" s="100">
        <v>0.6</v>
      </c>
      <c r="Q72" s="100">
        <v>12.93</v>
      </c>
      <c r="R72" s="6"/>
      <c r="S72" s="6"/>
      <c r="T72" s="156"/>
      <c r="U72" s="6"/>
    </row>
    <row r="73" spans="1:21" customFormat="1">
      <c r="A73" s="163" t="s">
        <v>879</v>
      </c>
      <c r="B73" s="100">
        <v>4.1399999999999997</v>
      </c>
      <c r="C73" s="100">
        <v>24.04</v>
      </c>
      <c r="D73" s="100">
        <v>17.239999999999998</v>
      </c>
      <c r="E73" s="100">
        <v>10.27</v>
      </c>
      <c r="F73" s="152" t="s">
        <v>15</v>
      </c>
      <c r="G73" s="100">
        <v>65.81</v>
      </c>
      <c r="H73" s="100">
        <v>29.25</v>
      </c>
      <c r="I73" s="100">
        <v>7.19</v>
      </c>
      <c r="J73" s="100">
        <v>1.0900000000000001</v>
      </c>
      <c r="K73" s="100">
        <v>29.97</v>
      </c>
      <c r="L73" s="100">
        <v>28.98</v>
      </c>
      <c r="M73" s="100">
        <v>38.229999999999997</v>
      </c>
      <c r="N73" s="100">
        <v>48.1</v>
      </c>
      <c r="O73" s="100">
        <v>0</v>
      </c>
      <c r="P73" s="100">
        <v>0.61</v>
      </c>
      <c r="Q73" s="100">
        <v>12.93</v>
      </c>
      <c r="R73" s="6"/>
      <c r="S73" s="6"/>
      <c r="T73" s="156"/>
      <c r="U73" s="6"/>
    </row>
    <row r="74" spans="1:21" customFormat="1">
      <c r="A74" s="163" t="s">
        <v>880</v>
      </c>
      <c r="B74" s="100">
        <v>4.24</v>
      </c>
      <c r="C74" s="100">
        <v>24.14</v>
      </c>
      <c r="D74" s="100">
        <v>17.36</v>
      </c>
      <c r="E74" s="100">
        <v>10.9</v>
      </c>
      <c r="F74" s="152" t="s">
        <v>15</v>
      </c>
      <c r="G74" s="100">
        <v>65.81</v>
      </c>
      <c r="H74" s="100">
        <v>29.25</v>
      </c>
      <c r="I74" s="100">
        <v>7.18</v>
      </c>
      <c r="J74" s="100">
        <v>0.83</v>
      </c>
      <c r="K74" s="100">
        <v>35.19</v>
      </c>
      <c r="L74" s="100">
        <v>28.82</v>
      </c>
      <c r="M74" s="100">
        <v>38.770000000000003</v>
      </c>
      <c r="N74" s="100">
        <v>40</v>
      </c>
      <c r="O74" s="100">
        <v>0</v>
      </c>
      <c r="P74" s="100">
        <v>0.66</v>
      </c>
      <c r="Q74" s="100">
        <v>12.93</v>
      </c>
      <c r="R74" s="6"/>
      <c r="S74" s="6"/>
      <c r="T74" s="156"/>
      <c r="U74" s="6"/>
    </row>
    <row r="75" spans="1:21" customFormat="1">
      <c r="A75" s="163" t="s">
        <v>881</v>
      </c>
      <c r="B75" s="100">
        <v>4.4400000000000004</v>
      </c>
      <c r="C75" s="100">
        <v>23.94</v>
      </c>
      <c r="D75" s="100">
        <v>17.420000000000002</v>
      </c>
      <c r="E75" s="100">
        <v>11.93</v>
      </c>
      <c r="F75" s="152" t="s">
        <v>15</v>
      </c>
      <c r="G75" s="100">
        <v>65.75</v>
      </c>
      <c r="H75" s="100">
        <v>29.31</v>
      </c>
      <c r="I75" s="100">
        <v>7.15</v>
      </c>
      <c r="J75" s="100">
        <v>0.91</v>
      </c>
      <c r="K75" s="100">
        <v>18.5</v>
      </c>
      <c r="L75" s="100">
        <v>28.58</v>
      </c>
      <c r="M75" s="100">
        <v>39.28</v>
      </c>
      <c r="N75" s="100">
        <v>37.5</v>
      </c>
      <c r="O75" s="100">
        <v>0</v>
      </c>
      <c r="P75" s="100">
        <v>0.69</v>
      </c>
      <c r="Q75" s="100">
        <v>12.93</v>
      </c>
      <c r="R75" s="6"/>
      <c r="S75" s="6"/>
      <c r="T75" s="156"/>
      <c r="U75" s="6"/>
    </row>
    <row r="76" spans="1:21" customFormat="1">
      <c r="A76" s="163" t="s">
        <v>882</v>
      </c>
      <c r="B76" s="100">
        <v>4.76</v>
      </c>
      <c r="C76" s="100">
        <v>23.46</v>
      </c>
      <c r="D76" s="100">
        <v>17.420000000000002</v>
      </c>
      <c r="E76" s="100">
        <v>11.3</v>
      </c>
      <c r="F76" s="152" t="s">
        <v>15</v>
      </c>
      <c r="G76" s="100">
        <v>64.59</v>
      </c>
      <c r="H76" s="100">
        <v>31.3</v>
      </c>
      <c r="I76" s="100">
        <v>7.13</v>
      </c>
      <c r="J76" s="100">
        <v>1.06</v>
      </c>
      <c r="K76" s="100">
        <v>29.72</v>
      </c>
      <c r="L76" s="100">
        <v>28.23</v>
      </c>
      <c r="M76" s="100">
        <v>39.74</v>
      </c>
      <c r="N76" s="100">
        <v>26.9</v>
      </c>
      <c r="O76" s="100">
        <v>0</v>
      </c>
      <c r="P76" s="100">
        <v>0.69</v>
      </c>
      <c r="Q76" s="100">
        <v>12.93</v>
      </c>
      <c r="R76" s="6"/>
      <c r="S76" s="6"/>
      <c r="T76" s="156"/>
      <c r="U76" s="6"/>
    </row>
    <row r="77" spans="1:21" customFormat="1">
      <c r="A77" s="163" t="s">
        <v>883</v>
      </c>
      <c r="B77" s="100">
        <v>4.92</v>
      </c>
      <c r="C77" s="100">
        <v>23.39</v>
      </c>
      <c r="D77" s="100">
        <v>17.52</v>
      </c>
      <c r="E77" s="100">
        <v>13.2</v>
      </c>
      <c r="F77" s="152" t="s">
        <v>15</v>
      </c>
      <c r="G77" s="100">
        <v>64.59</v>
      </c>
      <c r="H77" s="100">
        <v>31.3</v>
      </c>
      <c r="I77" s="100">
        <v>7.1</v>
      </c>
      <c r="J77" s="100">
        <v>0.93</v>
      </c>
      <c r="K77" s="100">
        <v>29.32</v>
      </c>
      <c r="L77" s="100">
        <v>27.88</v>
      </c>
      <c r="M77" s="100">
        <v>40.369999999999997</v>
      </c>
      <c r="N77" s="100">
        <v>19.5</v>
      </c>
      <c r="O77" s="100">
        <v>0</v>
      </c>
      <c r="P77" s="100">
        <v>0.7</v>
      </c>
      <c r="Q77" s="100">
        <v>12.92</v>
      </c>
      <c r="R77" s="6"/>
      <c r="S77" s="6"/>
      <c r="T77" s="156"/>
      <c r="U77" s="6"/>
    </row>
    <row r="78" spans="1:21" customFormat="1">
      <c r="A78" s="163" t="s">
        <v>884</v>
      </c>
      <c r="B78" s="100">
        <v>5.03</v>
      </c>
      <c r="C78" s="100">
        <v>23.49</v>
      </c>
      <c r="D78" s="100">
        <v>17.649999999999999</v>
      </c>
      <c r="E78" s="100">
        <v>12.11</v>
      </c>
      <c r="F78" s="152" t="s">
        <v>15</v>
      </c>
      <c r="G78" s="100">
        <v>64.59</v>
      </c>
      <c r="H78" s="100">
        <v>31.3</v>
      </c>
      <c r="I78" s="100">
        <v>7.16</v>
      </c>
      <c r="J78" s="100">
        <v>0.82</v>
      </c>
      <c r="K78" s="100">
        <v>41.78</v>
      </c>
      <c r="L78" s="100">
        <v>27.57</v>
      </c>
      <c r="M78" s="100">
        <v>40.74</v>
      </c>
      <c r="N78" s="100">
        <v>12.1</v>
      </c>
      <c r="O78" s="100">
        <v>0</v>
      </c>
      <c r="P78" s="100">
        <v>0.7</v>
      </c>
      <c r="Q78" s="100">
        <v>12.92</v>
      </c>
      <c r="R78" s="6"/>
      <c r="S78" s="6"/>
      <c r="T78" s="156"/>
      <c r="U78" s="6"/>
    </row>
    <row r="79" spans="1:21" customFormat="1">
      <c r="A79" s="163" t="s">
        <v>885</v>
      </c>
      <c r="B79" s="100">
        <v>5.19</v>
      </c>
      <c r="C79" s="100">
        <v>23.65</v>
      </c>
      <c r="D79" s="100">
        <v>17.87</v>
      </c>
      <c r="E79" s="100">
        <v>12.14</v>
      </c>
      <c r="F79" s="152" t="s">
        <v>15</v>
      </c>
      <c r="G79" s="100">
        <v>64.86</v>
      </c>
      <c r="H79" s="100">
        <v>31.31</v>
      </c>
      <c r="I79" s="100">
        <v>7.22</v>
      </c>
      <c r="J79" s="100">
        <v>0.61</v>
      </c>
      <c r="K79" s="100">
        <v>36.69</v>
      </c>
      <c r="L79" s="100">
        <v>27.29</v>
      </c>
      <c r="M79" s="100">
        <v>41.4</v>
      </c>
      <c r="N79" s="100">
        <v>6.2</v>
      </c>
      <c r="O79" s="100">
        <v>0</v>
      </c>
      <c r="P79" s="100">
        <v>0.72</v>
      </c>
      <c r="Q79" s="100">
        <v>12.94</v>
      </c>
      <c r="R79" s="6"/>
      <c r="S79" s="6"/>
      <c r="T79" s="156"/>
      <c r="U79" s="6"/>
    </row>
    <row r="80" spans="1:21" customFormat="1">
      <c r="A80" s="163" t="s">
        <v>886</v>
      </c>
      <c r="B80" s="100">
        <v>5.51</v>
      </c>
      <c r="C80" s="100">
        <v>23.81</v>
      </c>
      <c r="D80" s="100">
        <v>18.21</v>
      </c>
      <c r="E80" s="100">
        <v>12.24</v>
      </c>
      <c r="F80" s="152" t="s">
        <v>15</v>
      </c>
      <c r="G80" s="100">
        <v>70.77</v>
      </c>
      <c r="H80" s="100">
        <v>31.42</v>
      </c>
      <c r="I80" s="100">
        <v>7.24</v>
      </c>
      <c r="J80" s="100">
        <v>0.62</v>
      </c>
      <c r="K80" s="100">
        <v>56.27</v>
      </c>
      <c r="L80" s="100">
        <v>27.04</v>
      </c>
      <c r="M80" s="100">
        <v>41.74</v>
      </c>
      <c r="N80" s="100">
        <v>2.6</v>
      </c>
      <c r="O80" s="100">
        <v>0</v>
      </c>
      <c r="P80" s="100">
        <v>0.75</v>
      </c>
      <c r="Q80" s="100">
        <v>12.94</v>
      </c>
      <c r="R80" s="6"/>
      <c r="S80" s="6"/>
      <c r="T80" s="156"/>
      <c r="U80" s="6"/>
    </row>
    <row r="81" spans="1:21" customFormat="1">
      <c r="A81" s="163" t="s">
        <v>887</v>
      </c>
      <c r="B81" s="100">
        <v>6.15</v>
      </c>
      <c r="C81" s="100">
        <v>24.18</v>
      </c>
      <c r="D81" s="100">
        <v>18.920000000000002</v>
      </c>
      <c r="E81" s="100">
        <v>10.06</v>
      </c>
      <c r="F81" s="152" t="s">
        <v>15</v>
      </c>
      <c r="G81" s="100">
        <v>70.77</v>
      </c>
      <c r="H81" s="100">
        <v>31.42</v>
      </c>
      <c r="I81" s="100">
        <v>7.3</v>
      </c>
      <c r="J81" s="100">
        <v>0.64</v>
      </c>
      <c r="K81" s="100">
        <v>49.27</v>
      </c>
      <c r="L81" s="100">
        <v>26.72</v>
      </c>
      <c r="M81" s="100">
        <v>42.39</v>
      </c>
      <c r="N81" s="100">
        <v>1.7</v>
      </c>
      <c r="O81" s="100">
        <v>0</v>
      </c>
      <c r="P81" s="100">
        <v>0.74</v>
      </c>
      <c r="Q81" s="100">
        <v>12.94</v>
      </c>
      <c r="R81" s="6"/>
      <c r="S81" s="6"/>
      <c r="T81" s="156"/>
      <c r="U81" s="6"/>
    </row>
    <row r="82" spans="1:21" customFormat="1">
      <c r="A82" s="163" t="s">
        <v>888</v>
      </c>
      <c r="B82" s="100">
        <v>6.75</v>
      </c>
      <c r="C82" s="100">
        <v>24.33</v>
      </c>
      <c r="D82" s="100">
        <v>19.48</v>
      </c>
      <c r="E82" s="100">
        <v>11.45</v>
      </c>
      <c r="F82" s="152" t="s">
        <v>15</v>
      </c>
      <c r="G82" s="100">
        <v>70.77</v>
      </c>
      <c r="H82" s="100">
        <v>31.42</v>
      </c>
      <c r="I82" s="100">
        <v>7.44</v>
      </c>
      <c r="J82" s="100">
        <v>0.62</v>
      </c>
      <c r="K82" s="100">
        <v>41.21</v>
      </c>
      <c r="L82" s="100">
        <v>26.28</v>
      </c>
      <c r="M82" s="100">
        <v>44</v>
      </c>
      <c r="N82" s="100">
        <v>1.6</v>
      </c>
      <c r="O82" s="100">
        <v>0</v>
      </c>
      <c r="P82" s="100">
        <v>0.75</v>
      </c>
      <c r="Q82" s="100">
        <v>12.93</v>
      </c>
      <c r="R82" s="6"/>
      <c r="S82" s="6"/>
      <c r="T82" s="156"/>
      <c r="U82" s="6"/>
    </row>
    <row r="83" spans="1:21" customFormat="1">
      <c r="A83" s="163" t="s">
        <v>889</v>
      </c>
      <c r="B83" s="100">
        <v>7.14</v>
      </c>
      <c r="C83" s="100">
        <v>24.23</v>
      </c>
      <c r="D83" s="100">
        <v>19.73</v>
      </c>
      <c r="E83" s="100">
        <v>11.01</v>
      </c>
      <c r="F83" s="152" t="s">
        <v>15</v>
      </c>
      <c r="G83" s="100">
        <v>71.05</v>
      </c>
      <c r="H83" s="100">
        <v>31.36</v>
      </c>
      <c r="I83" s="100">
        <v>7.5</v>
      </c>
      <c r="J83" s="100">
        <v>0.65</v>
      </c>
      <c r="K83" s="100">
        <v>42.97</v>
      </c>
      <c r="L83" s="100">
        <v>26.04</v>
      </c>
      <c r="M83" s="100">
        <v>44.91</v>
      </c>
      <c r="N83" s="100">
        <v>1.4</v>
      </c>
      <c r="O83" s="100">
        <v>0</v>
      </c>
      <c r="P83" s="100">
        <v>0.76</v>
      </c>
      <c r="Q83" s="100">
        <v>12.92</v>
      </c>
      <c r="R83" s="6"/>
      <c r="S83" s="6"/>
      <c r="T83" s="156"/>
      <c r="U83" s="6"/>
    </row>
    <row r="84" spans="1:21" customFormat="1">
      <c r="A84" s="163" t="s">
        <v>890</v>
      </c>
      <c r="B84" s="100">
        <v>7.41</v>
      </c>
      <c r="C84" s="100">
        <v>24.27</v>
      </c>
      <c r="D84" s="100">
        <v>19.98</v>
      </c>
      <c r="E84" s="100">
        <v>10.83</v>
      </c>
      <c r="F84" s="152" t="s">
        <v>15</v>
      </c>
      <c r="G84" s="100">
        <v>77.069999999999993</v>
      </c>
      <c r="H84" s="100">
        <v>29.61</v>
      </c>
      <c r="I84" s="100">
        <v>7.61</v>
      </c>
      <c r="J84" s="100">
        <v>0.74</v>
      </c>
      <c r="K84" s="100">
        <v>50.94</v>
      </c>
      <c r="L84" s="100">
        <v>25.85</v>
      </c>
      <c r="M84" s="100">
        <v>46.17</v>
      </c>
      <c r="N84" s="100">
        <v>1.3</v>
      </c>
      <c r="O84" s="100">
        <v>0</v>
      </c>
      <c r="P84" s="100">
        <v>0.76</v>
      </c>
      <c r="Q84" s="100">
        <v>12.93</v>
      </c>
      <c r="R84" s="6"/>
      <c r="S84" s="6"/>
      <c r="T84" s="156"/>
      <c r="U84" s="6"/>
    </row>
    <row r="85" spans="1:21" customFormat="1">
      <c r="A85" s="163" t="s">
        <v>891</v>
      </c>
      <c r="B85" s="100">
        <v>7.81</v>
      </c>
      <c r="C85" s="100">
        <v>24.35</v>
      </c>
      <c r="D85" s="100">
        <v>20.329999999999998</v>
      </c>
      <c r="E85" s="100">
        <v>10.59</v>
      </c>
      <c r="F85" s="152" t="s">
        <v>15</v>
      </c>
      <c r="G85" s="100">
        <v>77.069999999999993</v>
      </c>
      <c r="H85" s="100">
        <v>29.61</v>
      </c>
      <c r="I85" s="100">
        <v>7.68</v>
      </c>
      <c r="J85" s="100">
        <v>0.82</v>
      </c>
      <c r="K85" s="100">
        <v>53.56</v>
      </c>
      <c r="L85" s="100">
        <v>25.62</v>
      </c>
      <c r="M85" s="100">
        <v>47.1</v>
      </c>
      <c r="N85" s="100">
        <v>1.4</v>
      </c>
      <c r="O85" s="100">
        <v>0</v>
      </c>
      <c r="P85" s="100">
        <v>0.78</v>
      </c>
      <c r="Q85" s="100">
        <v>12.95</v>
      </c>
      <c r="R85" s="6"/>
      <c r="S85" s="6"/>
      <c r="T85" s="156"/>
      <c r="U85" s="6"/>
    </row>
    <row r="86" spans="1:21" customFormat="1">
      <c r="A86" s="163" t="s">
        <v>892</v>
      </c>
      <c r="B86" s="100">
        <v>8.1300000000000008</v>
      </c>
      <c r="C86" s="100">
        <v>24.17</v>
      </c>
      <c r="D86" s="100">
        <v>20.5</v>
      </c>
      <c r="E86" s="100">
        <v>10.51</v>
      </c>
      <c r="F86" s="152" t="s">
        <v>15</v>
      </c>
      <c r="G86" s="100">
        <v>77.069999999999993</v>
      </c>
      <c r="H86" s="100">
        <v>29.61</v>
      </c>
      <c r="I86" s="100">
        <v>7.77</v>
      </c>
      <c r="J86" s="100">
        <v>0.65</v>
      </c>
      <c r="K86" s="100">
        <v>47.88</v>
      </c>
      <c r="L86" s="100">
        <v>25.37</v>
      </c>
      <c r="M86" s="100">
        <v>48.06</v>
      </c>
      <c r="N86" s="100">
        <v>1.4</v>
      </c>
      <c r="O86" s="100">
        <v>0</v>
      </c>
      <c r="P86" s="100">
        <v>0.8</v>
      </c>
      <c r="Q86" s="100">
        <v>12.95</v>
      </c>
      <c r="R86" s="6"/>
      <c r="S86" s="6"/>
      <c r="T86" s="156"/>
      <c r="U86" s="6"/>
    </row>
    <row r="87" spans="1:21" customFormat="1">
      <c r="A87" s="163" t="s">
        <v>893</v>
      </c>
      <c r="B87" s="100">
        <v>8.27</v>
      </c>
      <c r="C87" s="100">
        <v>24.05</v>
      </c>
      <c r="D87" s="100">
        <v>20.55</v>
      </c>
      <c r="E87" s="100">
        <v>10.79</v>
      </c>
      <c r="F87" s="152" t="s">
        <v>15</v>
      </c>
      <c r="G87" s="100">
        <v>77.22</v>
      </c>
      <c r="H87" s="100">
        <v>29.56</v>
      </c>
      <c r="I87" s="100">
        <v>7.87</v>
      </c>
      <c r="J87" s="100">
        <v>0.79</v>
      </c>
      <c r="K87" s="100">
        <v>48.7</v>
      </c>
      <c r="L87" s="100">
        <v>25.12</v>
      </c>
      <c r="M87" s="100">
        <v>48.75</v>
      </c>
      <c r="N87" s="100">
        <v>1.4</v>
      </c>
      <c r="O87" s="100">
        <v>0</v>
      </c>
      <c r="P87" s="100">
        <v>0.81</v>
      </c>
      <c r="Q87" s="100">
        <v>12.94</v>
      </c>
      <c r="R87" s="6"/>
      <c r="S87" s="6"/>
      <c r="T87" s="156"/>
      <c r="U87" s="6"/>
    </row>
    <row r="88" spans="1:21" customFormat="1">
      <c r="A88" s="163" t="s">
        <v>894</v>
      </c>
      <c r="B88" s="100">
        <v>8.42</v>
      </c>
      <c r="C88" s="100">
        <v>23.86</v>
      </c>
      <c r="D88" s="100">
        <v>20.57</v>
      </c>
      <c r="E88" s="100">
        <v>10.5</v>
      </c>
      <c r="F88" s="152" t="s">
        <v>15</v>
      </c>
      <c r="G88" s="100">
        <v>80.55</v>
      </c>
      <c r="H88" s="100">
        <v>28.02</v>
      </c>
      <c r="I88" s="100">
        <v>7.96</v>
      </c>
      <c r="J88" s="100">
        <v>0.7</v>
      </c>
      <c r="K88" s="100">
        <v>52.57</v>
      </c>
      <c r="L88" s="100">
        <v>24.94</v>
      </c>
      <c r="M88" s="100">
        <v>48.62</v>
      </c>
      <c r="N88" s="100">
        <v>1.4</v>
      </c>
      <c r="O88" s="100">
        <v>0</v>
      </c>
      <c r="P88" s="100">
        <v>0.8</v>
      </c>
      <c r="Q88" s="100">
        <v>12.94</v>
      </c>
      <c r="R88" s="6"/>
      <c r="S88" s="6"/>
      <c r="T88" s="156"/>
      <c r="U88" s="6"/>
    </row>
    <row r="89" spans="1:21" customFormat="1">
      <c r="A89" s="163" t="s">
        <v>895</v>
      </c>
      <c r="B89" s="100">
        <v>8.67</v>
      </c>
      <c r="C89" s="100">
        <v>23.75</v>
      </c>
      <c r="D89" s="100">
        <v>20.71</v>
      </c>
      <c r="E89" s="100">
        <v>10.73</v>
      </c>
      <c r="F89" s="152" t="s">
        <v>15</v>
      </c>
      <c r="G89" s="100">
        <v>80.55</v>
      </c>
      <c r="H89" s="100">
        <v>28.02</v>
      </c>
      <c r="I89" s="100">
        <v>8.0399999999999991</v>
      </c>
      <c r="J89" s="100">
        <v>0.74</v>
      </c>
      <c r="K89" s="100">
        <v>45.1</v>
      </c>
      <c r="L89" s="100">
        <v>24.75</v>
      </c>
      <c r="M89" s="100">
        <v>47.74</v>
      </c>
      <c r="N89" s="100">
        <v>1.3</v>
      </c>
      <c r="O89" s="100">
        <v>0</v>
      </c>
      <c r="P89" s="100">
        <v>0.82</v>
      </c>
      <c r="Q89" s="100">
        <v>12.95</v>
      </c>
      <c r="R89" s="6"/>
      <c r="S89" s="6"/>
      <c r="T89" s="156"/>
      <c r="U89" s="6"/>
    </row>
    <row r="90" spans="1:21" customFormat="1">
      <c r="A90" s="163" t="s">
        <v>896</v>
      </c>
      <c r="B90" s="100">
        <v>8.85</v>
      </c>
      <c r="C90" s="100">
        <v>23.82</v>
      </c>
      <c r="D90" s="100">
        <v>20.89</v>
      </c>
      <c r="E90" s="100">
        <v>10.84</v>
      </c>
      <c r="F90" s="152" t="s">
        <v>15</v>
      </c>
      <c r="G90" s="100">
        <v>80.55</v>
      </c>
      <c r="H90" s="100">
        <v>28.02</v>
      </c>
      <c r="I90" s="100">
        <v>8.1300000000000008</v>
      </c>
      <c r="J90" s="100">
        <v>0.82</v>
      </c>
      <c r="K90" s="100">
        <v>53.69</v>
      </c>
      <c r="L90" s="100">
        <v>24.61</v>
      </c>
      <c r="M90" s="100">
        <v>45.72</v>
      </c>
      <c r="N90" s="100">
        <v>1.2</v>
      </c>
      <c r="O90" s="100">
        <v>0</v>
      </c>
      <c r="P90" s="100">
        <v>0.82</v>
      </c>
      <c r="Q90" s="100">
        <v>12.93</v>
      </c>
      <c r="R90" s="6"/>
      <c r="S90" s="6"/>
      <c r="T90" s="156"/>
      <c r="U90" s="6"/>
    </row>
    <row r="91" spans="1:21" customFormat="1">
      <c r="A91" s="163" t="s">
        <v>897</v>
      </c>
      <c r="B91" s="100">
        <v>8.9700000000000006</v>
      </c>
      <c r="C91" s="100">
        <v>23.65</v>
      </c>
      <c r="D91" s="100">
        <v>20.9</v>
      </c>
      <c r="E91" s="100">
        <v>10.72</v>
      </c>
      <c r="F91" s="152" t="s">
        <v>15</v>
      </c>
      <c r="G91" s="100">
        <v>80.599999999999994</v>
      </c>
      <c r="H91" s="100">
        <v>27.99</v>
      </c>
      <c r="I91" s="100">
        <v>8.2100000000000009</v>
      </c>
      <c r="J91" s="100">
        <v>0.71</v>
      </c>
      <c r="K91" s="100">
        <v>54.4</v>
      </c>
      <c r="L91" s="100">
        <v>24.48</v>
      </c>
      <c r="M91" s="100">
        <v>43.77</v>
      </c>
      <c r="N91" s="100">
        <v>1.3</v>
      </c>
      <c r="O91" s="100">
        <v>0</v>
      </c>
      <c r="P91" s="100">
        <v>0.83</v>
      </c>
      <c r="Q91" s="100">
        <v>12.94</v>
      </c>
      <c r="R91" s="6"/>
      <c r="S91" s="6"/>
      <c r="T91" s="156"/>
      <c r="U91" s="6"/>
    </row>
    <row r="92" spans="1:21" customFormat="1">
      <c r="A92" s="163" t="s">
        <v>898</v>
      </c>
      <c r="B92" s="100">
        <v>9.1</v>
      </c>
      <c r="C92" s="100">
        <v>23.72</v>
      </c>
      <c r="D92" s="100">
        <v>21.04</v>
      </c>
      <c r="E92" s="100">
        <v>10.67</v>
      </c>
      <c r="F92" s="152" t="s">
        <v>15</v>
      </c>
      <c r="G92" s="100">
        <v>81.66</v>
      </c>
      <c r="H92" s="100">
        <v>27.02</v>
      </c>
      <c r="I92" s="100">
        <v>8.2899999999999991</v>
      </c>
      <c r="J92" s="100">
        <v>1.0900000000000001</v>
      </c>
      <c r="K92" s="100">
        <v>57.98</v>
      </c>
      <c r="L92" s="100">
        <v>24.37</v>
      </c>
      <c r="M92" s="100">
        <v>41.31</v>
      </c>
      <c r="N92" s="100">
        <v>1.2</v>
      </c>
      <c r="O92" s="100">
        <v>0</v>
      </c>
      <c r="P92" s="100">
        <v>0.83</v>
      </c>
      <c r="Q92" s="100">
        <v>12.95</v>
      </c>
      <c r="R92" s="6"/>
      <c r="S92" s="6"/>
      <c r="T92" s="156"/>
      <c r="U92" s="6"/>
    </row>
    <row r="93" spans="1:21" customFormat="1">
      <c r="A93" s="163" t="s">
        <v>899</v>
      </c>
      <c r="B93" s="100">
        <v>9.1300000000000008</v>
      </c>
      <c r="C93" s="100">
        <v>23.61</v>
      </c>
      <c r="D93" s="100">
        <v>21.01</v>
      </c>
      <c r="E93" s="100">
        <v>10.63</v>
      </c>
      <c r="F93" s="152" t="s">
        <v>15</v>
      </c>
      <c r="G93" s="100">
        <v>81.66</v>
      </c>
      <c r="H93" s="100">
        <v>27.02</v>
      </c>
      <c r="I93" s="100">
        <v>8.36</v>
      </c>
      <c r="J93" s="100">
        <v>0.92</v>
      </c>
      <c r="K93" s="100">
        <v>47.94</v>
      </c>
      <c r="L93" s="100">
        <v>24.18</v>
      </c>
      <c r="M93" s="100">
        <v>40.75</v>
      </c>
      <c r="N93" s="100">
        <v>1.3</v>
      </c>
      <c r="O93" s="100">
        <v>0</v>
      </c>
      <c r="P93" s="100">
        <v>0.77</v>
      </c>
      <c r="Q93" s="100">
        <v>12.95</v>
      </c>
      <c r="R93" s="6"/>
      <c r="S93" s="6"/>
      <c r="T93" s="156"/>
      <c r="U93" s="6"/>
    </row>
    <row r="94" spans="1:21" customFormat="1">
      <c r="A94" s="163" t="s">
        <v>900</v>
      </c>
      <c r="B94" s="100">
        <v>9.01</v>
      </c>
      <c r="C94" s="100">
        <v>24.1</v>
      </c>
      <c r="D94" s="100">
        <v>21.17</v>
      </c>
      <c r="E94" s="100">
        <v>10.67</v>
      </c>
      <c r="F94" s="152" t="s">
        <v>15</v>
      </c>
      <c r="G94" s="100">
        <v>81.66</v>
      </c>
      <c r="H94" s="100">
        <v>27.02</v>
      </c>
      <c r="I94" s="100">
        <v>8.3800000000000008</v>
      </c>
      <c r="J94" s="100">
        <v>0.86</v>
      </c>
      <c r="K94" s="100">
        <v>38.229999999999997</v>
      </c>
      <c r="L94" s="100">
        <v>23.84</v>
      </c>
      <c r="M94" s="100">
        <v>39.22</v>
      </c>
      <c r="N94" s="100">
        <v>1.5</v>
      </c>
      <c r="O94" s="100">
        <v>0</v>
      </c>
      <c r="P94" s="100">
        <v>0.74</v>
      </c>
      <c r="Q94" s="100">
        <v>12.95</v>
      </c>
      <c r="R94" s="6"/>
      <c r="S94" s="6"/>
      <c r="T94" s="156"/>
      <c r="U94" s="6"/>
    </row>
    <row r="95" spans="1:21" customFormat="1">
      <c r="A95" s="163" t="s">
        <v>901</v>
      </c>
      <c r="B95" s="100">
        <v>8.8000000000000007</v>
      </c>
      <c r="C95" s="100">
        <v>24.51</v>
      </c>
      <c r="D95" s="100">
        <v>21.22</v>
      </c>
      <c r="E95" s="100">
        <v>10.36</v>
      </c>
      <c r="F95" s="152" t="s">
        <v>15</v>
      </c>
      <c r="G95" s="100">
        <v>81.489999999999995</v>
      </c>
      <c r="H95" s="100">
        <v>27</v>
      </c>
      <c r="I95" s="100">
        <v>8.3800000000000008</v>
      </c>
      <c r="J95" s="100">
        <v>0.98</v>
      </c>
      <c r="K95" s="100">
        <v>38.28</v>
      </c>
      <c r="L95" s="100">
        <v>23.6</v>
      </c>
      <c r="M95" s="100">
        <v>35.53</v>
      </c>
      <c r="N95" s="100">
        <v>1.3</v>
      </c>
      <c r="O95" s="100">
        <v>0</v>
      </c>
      <c r="P95" s="100">
        <v>0.73</v>
      </c>
      <c r="Q95" s="100">
        <v>12.95</v>
      </c>
      <c r="R95" s="6"/>
      <c r="S95" s="6"/>
      <c r="T95" s="156"/>
      <c r="U95" s="6"/>
    </row>
    <row r="96" spans="1:21" customFormat="1">
      <c r="A96" s="163" t="s">
        <v>902</v>
      </c>
      <c r="B96" s="100">
        <v>8.5500000000000007</v>
      </c>
      <c r="C96" s="100">
        <v>24.85</v>
      </c>
      <c r="D96" s="100">
        <v>21.19</v>
      </c>
      <c r="E96" s="100">
        <v>10.6</v>
      </c>
      <c r="F96" s="152" t="s">
        <v>15</v>
      </c>
      <c r="G96" s="100">
        <v>78.010000000000005</v>
      </c>
      <c r="H96" s="100">
        <v>26.48</v>
      </c>
      <c r="I96" s="100">
        <v>8.3800000000000008</v>
      </c>
      <c r="J96" s="100">
        <v>0.9</v>
      </c>
      <c r="K96" s="100">
        <v>47.32</v>
      </c>
      <c r="L96" s="100">
        <v>23.43</v>
      </c>
      <c r="M96" s="100">
        <v>33.770000000000003</v>
      </c>
      <c r="N96" s="100">
        <v>1.4</v>
      </c>
      <c r="O96" s="100">
        <v>0</v>
      </c>
      <c r="P96" s="100">
        <v>0.72</v>
      </c>
      <c r="Q96" s="100">
        <v>12.95</v>
      </c>
      <c r="R96" s="6"/>
      <c r="S96" s="6"/>
      <c r="T96" s="156"/>
      <c r="U96" s="6"/>
    </row>
    <row r="97" spans="1:28" customFormat="1">
      <c r="A97" s="163" t="s">
        <v>903</v>
      </c>
      <c r="B97" s="100">
        <v>8.64</v>
      </c>
      <c r="C97" s="100">
        <v>25.33</v>
      </c>
      <c r="D97" s="100">
        <v>21.52</v>
      </c>
      <c r="E97" s="100">
        <v>10.47</v>
      </c>
      <c r="F97" s="152" t="s">
        <v>15</v>
      </c>
      <c r="G97" s="100">
        <v>78.010000000000005</v>
      </c>
      <c r="H97" s="100">
        <v>26.48</v>
      </c>
      <c r="I97" s="100">
        <v>8.32</v>
      </c>
      <c r="J97" s="100">
        <v>0.93</v>
      </c>
      <c r="K97" s="100">
        <v>57.55</v>
      </c>
      <c r="L97" s="100">
        <v>23.15</v>
      </c>
      <c r="M97" s="100">
        <v>32.94</v>
      </c>
      <c r="N97" s="100">
        <v>1.3</v>
      </c>
      <c r="O97" s="100">
        <v>0</v>
      </c>
      <c r="P97" s="100">
        <v>0.71</v>
      </c>
      <c r="Q97" s="100">
        <v>12.94</v>
      </c>
      <c r="R97" s="6"/>
      <c r="S97" s="6"/>
      <c r="T97" s="156"/>
      <c r="U97" s="6"/>
    </row>
    <row r="98" spans="1:28" customFormat="1">
      <c r="A98" s="163" t="s">
        <v>904</v>
      </c>
      <c r="B98" s="100">
        <v>8.77</v>
      </c>
      <c r="C98" s="100">
        <v>25.75</v>
      </c>
      <c r="D98" s="100">
        <v>21.84</v>
      </c>
      <c r="E98" s="100">
        <v>10.39</v>
      </c>
      <c r="F98" s="152" t="s">
        <v>15</v>
      </c>
      <c r="G98" s="100">
        <v>78.010000000000005</v>
      </c>
      <c r="H98" s="100">
        <v>26.48</v>
      </c>
      <c r="I98" s="100">
        <v>8.25</v>
      </c>
      <c r="J98" s="100">
        <v>0.93</v>
      </c>
      <c r="K98" s="100">
        <v>56.6</v>
      </c>
      <c r="L98" s="100">
        <v>22.92</v>
      </c>
      <c r="M98" s="100">
        <v>32.71</v>
      </c>
      <c r="N98" s="100">
        <v>1.4</v>
      </c>
      <c r="O98" s="100">
        <v>0</v>
      </c>
      <c r="P98" s="100">
        <v>0.7</v>
      </c>
      <c r="Q98" s="100">
        <v>12.94</v>
      </c>
      <c r="R98" s="6"/>
      <c r="S98" s="6"/>
      <c r="T98" s="156"/>
      <c r="U98" s="6"/>
    </row>
    <row r="99" spans="1:28" customFormat="1">
      <c r="A99" s="163" t="s">
        <v>905</v>
      </c>
      <c r="B99" s="100">
        <v>8.9</v>
      </c>
      <c r="C99" s="100">
        <v>26.07</v>
      </c>
      <c r="D99" s="100">
        <v>22.11</v>
      </c>
      <c r="E99" s="100">
        <v>10.41</v>
      </c>
      <c r="F99" s="152" t="s">
        <v>15</v>
      </c>
      <c r="G99" s="100">
        <v>77.459999999999994</v>
      </c>
      <c r="H99" s="100">
        <v>26.36</v>
      </c>
      <c r="I99" s="100">
        <v>8.25</v>
      </c>
      <c r="J99" s="100">
        <v>0.85</v>
      </c>
      <c r="K99" s="100">
        <v>58.49</v>
      </c>
      <c r="L99" s="100">
        <v>22.59</v>
      </c>
      <c r="M99" s="100">
        <v>34.04</v>
      </c>
      <c r="N99" s="100">
        <v>1.4</v>
      </c>
      <c r="O99" s="100">
        <v>0</v>
      </c>
      <c r="P99" s="100">
        <v>0.7</v>
      </c>
      <c r="Q99" s="100">
        <v>12.96</v>
      </c>
      <c r="R99" s="6"/>
      <c r="S99" s="6"/>
      <c r="T99" s="156"/>
      <c r="U99" s="6"/>
    </row>
    <row r="100" spans="1:28" customFormat="1">
      <c r="A100" s="163" t="s">
        <v>906</v>
      </c>
      <c r="B100" s="100">
        <v>8.94</v>
      </c>
      <c r="C100" s="100">
        <v>26.3</v>
      </c>
      <c r="D100" s="100">
        <v>22.26</v>
      </c>
      <c r="E100" s="100">
        <v>10.79</v>
      </c>
      <c r="F100" s="152" t="s">
        <v>15</v>
      </c>
      <c r="G100" s="100">
        <v>65.739999999999995</v>
      </c>
      <c r="H100" s="100">
        <v>22.64</v>
      </c>
      <c r="I100" s="100">
        <v>8.32</v>
      </c>
      <c r="J100" s="100">
        <v>0.78</v>
      </c>
      <c r="K100" s="100">
        <v>59.31</v>
      </c>
      <c r="L100" s="100">
        <v>22.32</v>
      </c>
      <c r="M100" s="100">
        <v>33.78</v>
      </c>
      <c r="N100" s="100">
        <v>1.4</v>
      </c>
      <c r="O100" s="100">
        <v>0</v>
      </c>
      <c r="P100" s="100">
        <v>0.69</v>
      </c>
      <c r="Q100" s="100">
        <v>12.95</v>
      </c>
      <c r="R100" s="6"/>
      <c r="S100" s="6"/>
      <c r="T100" s="156"/>
      <c r="U100" s="6"/>
      <c r="AB100" s="161"/>
    </row>
    <row r="101" spans="1:28" customFormat="1">
      <c r="A101" s="163" t="s">
        <v>907</v>
      </c>
      <c r="B101" s="100">
        <v>8.9</v>
      </c>
      <c r="C101" s="100">
        <v>26.27</v>
      </c>
      <c r="D101" s="100">
        <v>22.21</v>
      </c>
      <c r="E101" s="100">
        <v>10.61</v>
      </c>
      <c r="F101" s="152" t="s">
        <v>15</v>
      </c>
      <c r="G101" s="100">
        <v>65.739999999999995</v>
      </c>
      <c r="H101" s="100">
        <v>22.64</v>
      </c>
      <c r="I101" s="100">
        <v>8.34</v>
      </c>
      <c r="J101" s="100">
        <v>0.74</v>
      </c>
      <c r="K101" s="100">
        <v>55.16</v>
      </c>
      <c r="L101" s="100">
        <v>22.13</v>
      </c>
      <c r="M101" s="100">
        <v>33</v>
      </c>
      <c r="N101" s="100">
        <v>1.2</v>
      </c>
      <c r="O101" s="100">
        <v>0</v>
      </c>
      <c r="P101" s="100">
        <v>0.68</v>
      </c>
      <c r="Q101" s="100">
        <v>12.96</v>
      </c>
      <c r="R101" s="6"/>
      <c r="S101" s="6"/>
      <c r="T101" s="156"/>
      <c r="U101" s="6"/>
    </row>
    <row r="102" spans="1:28" customFormat="1">
      <c r="A102" s="163" t="s">
        <v>908</v>
      </c>
      <c r="B102" s="100">
        <v>9.02</v>
      </c>
      <c r="C102" s="100">
        <v>26.34</v>
      </c>
      <c r="D102" s="100">
        <v>22.35</v>
      </c>
      <c r="E102" s="100">
        <v>10.5</v>
      </c>
      <c r="F102" s="152" t="s">
        <v>15</v>
      </c>
      <c r="G102" s="100">
        <v>65.739999999999995</v>
      </c>
      <c r="H102" s="100">
        <v>22.64</v>
      </c>
      <c r="I102" s="100">
        <v>8.31</v>
      </c>
      <c r="J102" s="100">
        <v>0.79</v>
      </c>
      <c r="K102" s="100">
        <v>55.4</v>
      </c>
      <c r="L102" s="100">
        <v>21.91</v>
      </c>
      <c r="M102" s="100">
        <v>32.32</v>
      </c>
      <c r="N102" s="100">
        <v>1.3</v>
      </c>
      <c r="O102" s="100">
        <v>0</v>
      </c>
      <c r="P102" s="100">
        <v>0.68</v>
      </c>
      <c r="Q102" s="100">
        <v>12.96</v>
      </c>
      <c r="R102" s="6"/>
      <c r="S102" s="6"/>
      <c r="T102" s="156"/>
      <c r="U102" s="6"/>
    </row>
    <row r="103" spans="1:28" customFormat="1">
      <c r="A103" s="163" t="s">
        <v>909</v>
      </c>
      <c r="B103" s="100">
        <v>9.09</v>
      </c>
      <c r="C103" s="100">
        <v>26.23</v>
      </c>
      <c r="D103" s="100">
        <v>22.35</v>
      </c>
      <c r="E103" s="100">
        <v>9.41</v>
      </c>
      <c r="F103" s="152" t="s">
        <v>15</v>
      </c>
      <c r="G103" s="100">
        <v>65.72</v>
      </c>
      <c r="H103" s="100">
        <v>22.56</v>
      </c>
      <c r="I103" s="100">
        <v>8.2200000000000006</v>
      </c>
      <c r="J103" s="100">
        <v>0.93</v>
      </c>
      <c r="K103" s="100">
        <v>50.92</v>
      </c>
      <c r="L103" s="100">
        <v>21.69</v>
      </c>
      <c r="M103" s="100">
        <v>32.229999999999997</v>
      </c>
      <c r="N103" s="100">
        <v>1.3</v>
      </c>
      <c r="O103" s="100">
        <v>0</v>
      </c>
      <c r="P103" s="100">
        <v>0.67</v>
      </c>
      <c r="Q103" s="100">
        <v>12.96</v>
      </c>
      <c r="R103" s="6"/>
      <c r="S103" s="6"/>
      <c r="T103" s="156"/>
      <c r="U103" s="6"/>
    </row>
    <row r="104" spans="1:28" customFormat="1">
      <c r="A104" s="163" t="s">
        <v>910</v>
      </c>
      <c r="B104" s="100">
        <v>9.01</v>
      </c>
      <c r="C104" s="100">
        <v>26.03</v>
      </c>
      <c r="D104" s="100">
        <v>22.18</v>
      </c>
      <c r="E104" s="100">
        <v>9.99</v>
      </c>
      <c r="F104" s="152" t="s">
        <v>15</v>
      </c>
      <c r="G104" s="100">
        <v>65.290000000000006</v>
      </c>
      <c r="H104" s="100">
        <v>20.059999999999999</v>
      </c>
      <c r="I104" s="100">
        <v>8.17</v>
      </c>
      <c r="J104" s="100">
        <v>0.83</v>
      </c>
      <c r="K104" s="100">
        <v>51.53</v>
      </c>
      <c r="L104" s="100">
        <v>21.43</v>
      </c>
      <c r="M104" s="100">
        <v>32.83</v>
      </c>
      <c r="N104" s="100">
        <v>1.3</v>
      </c>
      <c r="O104" s="100">
        <v>0</v>
      </c>
      <c r="P104" s="100">
        <v>0.67</v>
      </c>
      <c r="Q104" s="100">
        <v>12.95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3.94</v>
      </c>
      <c r="C106" s="158">
        <f>MIN(C9:C104)</f>
        <v>22.49</v>
      </c>
      <c r="D106" s="158">
        <f t="shared" ref="D106:Q106" si="0">MIN(D9:D104)</f>
        <v>16.79</v>
      </c>
      <c r="E106" s="158">
        <f t="shared" si="0"/>
        <v>8.44</v>
      </c>
      <c r="F106" s="158">
        <f t="shared" si="0"/>
        <v>0</v>
      </c>
      <c r="G106" s="158">
        <f t="shared" si="0"/>
        <v>53.31</v>
      </c>
      <c r="H106" s="158">
        <f t="shared" si="0"/>
        <v>17.46</v>
      </c>
      <c r="I106" s="158">
        <f t="shared" si="0"/>
        <v>7.1</v>
      </c>
      <c r="J106" s="158">
        <f t="shared" si="0"/>
        <v>0.08</v>
      </c>
      <c r="K106" s="158">
        <f t="shared" si="0"/>
        <v>5.95</v>
      </c>
      <c r="L106" s="158">
        <f t="shared" si="0"/>
        <v>20.98</v>
      </c>
      <c r="M106" s="158">
        <f t="shared" si="0"/>
        <v>32.229999999999997</v>
      </c>
      <c r="N106" s="158">
        <f t="shared" si="0"/>
        <v>0.5</v>
      </c>
      <c r="O106" s="158">
        <f t="shared" si="0"/>
        <v>0</v>
      </c>
      <c r="P106" s="158">
        <f t="shared" si="0"/>
        <v>0.55000000000000004</v>
      </c>
      <c r="Q106" s="158">
        <f t="shared" si="0"/>
        <v>12.92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18.59</v>
      </c>
      <c r="C107" s="157">
        <f t="shared" ref="C107:Q107" si="1">MAX(C9:C104)</f>
        <v>26.72</v>
      </c>
      <c r="D107" s="157">
        <f t="shared" si="1"/>
        <v>28.34</v>
      </c>
      <c r="E107" s="157">
        <f t="shared" si="1"/>
        <v>13.2</v>
      </c>
      <c r="F107" s="157">
        <f t="shared" si="1"/>
        <v>0</v>
      </c>
      <c r="G107" s="157">
        <f t="shared" si="1"/>
        <v>82.82</v>
      </c>
      <c r="H107" s="157">
        <f t="shared" si="1"/>
        <v>31.82</v>
      </c>
      <c r="I107" s="157">
        <f t="shared" si="1"/>
        <v>11.62</v>
      </c>
      <c r="J107" s="157">
        <f t="shared" si="1"/>
        <v>1.77</v>
      </c>
      <c r="K107" s="157">
        <f t="shared" si="1"/>
        <v>328.48</v>
      </c>
      <c r="L107" s="157">
        <f t="shared" si="1"/>
        <v>30.25</v>
      </c>
      <c r="M107" s="157">
        <f t="shared" si="1"/>
        <v>67.66</v>
      </c>
      <c r="N107" s="157">
        <f t="shared" si="1"/>
        <v>348.2</v>
      </c>
      <c r="O107" s="157">
        <f t="shared" si="1"/>
        <v>0</v>
      </c>
      <c r="P107" s="157">
        <f t="shared" si="1"/>
        <v>0.85</v>
      </c>
      <c r="Q107" s="157">
        <f t="shared" si="1"/>
        <v>12.99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8.4493749999999981</v>
      </c>
      <c r="C108" s="158">
        <f t="shared" ref="C108:Q108" si="2">AVERAGE(C9:C104)</f>
        <v>24.45770833333334</v>
      </c>
      <c r="D108" s="158">
        <f t="shared" si="2"/>
        <v>20.905937499999997</v>
      </c>
      <c r="E108" s="158">
        <f t="shared" si="2"/>
        <v>10.112812499999999</v>
      </c>
      <c r="F108" s="158" t="e">
        <f t="shared" si="2"/>
        <v>#DIV/0!</v>
      </c>
      <c r="G108" s="158">
        <f t="shared" si="2"/>
        <v>67.101041666666674</v>
      </c>
      <c r="H108" s="158">
        <f t="shared" si="2"/>
        <v>24.013749999999991</v>
      </c>
      <c r="I108" s="158">
        <f t="shared" si="2"/>
        <v>8.7520833333333332</v>
      </c>
      <c r="J108" s="158">
        <f t="shared" si="2"/>
        <v>0.89791666666666681</v>
      </c>
      <c r="K108" s="158">
        <f t="shared" si="2"/>
        <v>47.620729166666671</v>
      </c>
      <c r="L108" s="158">
        <f t="shared" si="2"/>
        <v>24.87052083333333</v>
      </c>
      <c r="M108" s="158">
        <f t="shared" si="2"/>
        <v>49.494374999999998</v>
      </c>
      <c r="N108" s="158">
        <f t="shared" si="2"/>
        <v>81.671874999999972</v>
      </c>
      <c r="O108" s="158">
        <f t="shared" si="2"/>
        <v>0</v>
      </c>
      <c r="P108" s="158">
        <f t="shared" si="2"/>
        <v>0.68072916666666694</v>
      </c>
      <c r="Q108" s="158">
        <f t="shared" si="2"/>
        <v>12.951250000000014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3.7147823659422894</v>
      </c>
      <c r="C109" s="158">
        <f t="shared" ref="C109:Q109" si="3">STDEV(C9:C104)</f>
        <v>0.96407739279491744</v>
      </c>
      <c r="D109" s="158">
        <f t="shared" si="3"/>
        <v>2.9283947742658447</v>
      </c>
      <c r="E109" s="158">
        <f t="shared" si="3"/>
        <v>0.93850463714750421</v>
      </c>
      <c r="F109" s="158" t="e">
        <f t="shared" si="3"/>
        <v>#DIV/0!</v>
      </c>
      <c r="G109" s="158">
        <f t="shared" si="3"/>
        <v>8.8606693912707559</v>
      </c>
      <c r="H109" s="158">
        <f t="shared" si="3"/>
        <v>5.1486791867838786</v>
      </c>
      <c r="I109" s="158">
        <f t="shared" si="3"/>
        <v>1.2335169374952657</v>
      </c>
      <c r="J109" s="158">
        <f t="shared" si="3"/>
        <v>0.31620085777261958</v>
      </c>
      <c r="K109" s="158">
        <f t="shared" si="3"/>
        <v>34.031061206361777</v>
      </c>
      <c r="L109" s="158">
        <f t="shared" si="3"/>
        <v>2.9394397496236015</v>
      </c>
      <c r="M109" s="158">
        <f t="shared" si="3"/>
        <v>12.149742454493692</v>
      </c>
      <c r="N109" s="158">
        <f t="shared" si="3"/>
        <v>122.62549464732037</v>
      </c>
      <c r="O109" s="158">
        <f t="shared" si="3"/>
        <v>0</v>
      </c>
      <c r="P109" s="158">
        <f t="shared" si="3"/>
        <v>8.1191713236298965E-2</v>
      </c>
      <c r="Q109" s="158">
        <f t="shared" si="3"/>
        <v>1.6748919839484715E-2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911</v>
      </c>
      <c r="B9" s="100">
        <v>8.84</v>
      </c>
      <c r="C9" s="100">
        <v>26.29</v>
      </c>
      <c r="D9" s="100">
        <v>22.18</v>
      </c>
      <c r="E9" s="100">
        <v>9.93</v>
      </c>
      <c r="F9" s="152" t="s">
        <v>15</v>
      </c>
      <c r="G9" s="100">
        <v>65.290000000000006</v>
      </c>
      <c r="H9" s="100">
        <v>20.059999999999999</v>
      </c>
      <c r="I9" s="100">
        <v>7.89</v>
      </c>
      <c r="J9" s="100">
        <v>0.9</v>
      </c>
      <c r="K9" s="100">
        <v>49.91</v>
      </c>
      <c r="L9" s="100">
        <v>21.25</v>
      </c>
      <c r="M9" s="100">
        <v>32.909999999999997</v>
      </c>
      <c r="N9" s="100">
        <v>1.3</v>
      </c>
      <c r="O9" s="100">
        <v>0</v>
      </c>
      <c r="P9" s="100">
        <v>0.66</v>
      </c>
      <c r="Q9" s="100">
        <v>12.95</v>
      </c>
      <c r="R9" s="6"/>
      <c r="S9" s="6"/>
      <c r="T9" s="156"/>
      <c r="U9" s="6"/>
    </row>
    <row r="10" spans="1:21" customFormat="1">
      <c r="A10" s="163" t="s">
        <v>912</v>
      </c>
      <c r="B10" s="100">
        <v>9.0500000000000007</v>
      </c>
      <c r="C10" s="100">
        <v>26.05</v>
      </c>
      <c r="D10" s="100">
        <v>22.22</v>
      </c>
      <c r="E10" s="100">
        <v>9.52</v>
      </c>
      <c r="F10" s="152" t="s">
        <v>15</v>
      </c>
      <c r="G10" s="100">
        <v>65.290000000000006</v>
      </c>
      <c r="H10" s="100">
        <v>20.059999999999999</v>
      </c>
      <c r="I10" s="100">
        <v>7.75</v>
      </c>
      <c r="J10" s="100">
        <v>0.71</v>
      </c>
      <c r="K10" s="100">
        <v>58.86</v>
      </c>
      <c r="L10" s="100">
        <v>21.06</v>
      </c>
      <c r="M10" s="100">
        <v>33.26</v>
      </c>
      <c r="N10" s="100">
        <v>1.3</v>
      </c>
      <c r="O10" s="100">
        <v>0</v>
      </c>
      <c r="P10" s="100">
        <v>0.65</v>
      </c>
      <c r="Q10" s="100">
        <v>12.97</v>
      </c>
      <c r="R10" s="6"/>
      <c r="S10" s="6"/>
      <c r="T10" s="156"/>
      <c r="U10" s="6"/>
    </row>
    <row r="11" spans="1:21" customFormat="1">
      <c r="A11" s="163" t="s">
        <v>913</v>
      </c>
      <c r="B11" s="100">
        <v>9.08</v>
      </c>
      <c r="C11" s="100">
        <v>25.77</v>
      </c>
      <c r="D11" s="100">
        <v>22.09</v>
      </c>
      <c r="E11" s="100">
        <v>9.94</v>
      </c>
      <c r="F11" s="152" t="s">
        <v>15</v>
      </c>
      <c r="G11" s="100">
        <v>65.239999999999995</v>
      </c>
      <c r="H11" s="100">
        <v>20.079999999999998</v>
      </c>
      <c r="I11" s="100">
        <v>7.67</v>
      </c>
      <c r="J11" s="100">
        <v>0.61</v>
      </c>
      <c r="K11" s="100">
        <v>56.74</v>
      </c>
      <c r="L11" s="100">
        <v>20.87</v>
      </c>
      <c r="M11" s="100">
        <v>33.93</v>
      </c>
      <c r="N11" s="100">
        <v>1.2</v>
      </c>
      <c r="O11" s="100">
        <v>0</v>
      </c>
      <c r="P11" s="100">
        <v>0.64</v>
      </c>
      <c r="Q11" s="100">
        <v>12.96</v>
      </c>
      <c r="R11" s="6"/>
      <c r="S11" s="6"/>
      <c r="T11" s="156"/>
      <c r="U11" s="6"/>
    </row>
    <row r="12" spans="1:21" customFormat="1">
      <c r="A12" s="163" t="s">
        <v>914</v>
      </c>
      <c r="B12" s="100">
        <v>9.66</v>
      </c>
      <c r="C12" s="100">
        <v>25.72</v>
      </c>
      <c r="D12" s="100">
        <v>22.54</v>
      </c>
      <c r="E12" s="100">
        <v>9.7100000000000009</v>
      </c>
      <c r="F12" s="152" t="s">
        <v>15</v>
      </c>
      <c r="G12" s="100">
        <v>64.08</v>
      </c>
      <c r="H12" s="100">
        <v>20.74</v>
      </c>
      <c r="I12" s="100">
        <v>7.6</v>
      </c>
      <c r="J12" s="100">
        <v>0.6</v>
      </c>
      <c r="K12" s="100">
        <v>53.91</v>
      </c>
      <c r="L12" s="100">
        <v>20.71</v>
      </c>
      <c r="M12" s="100">
        <v>34.39</v>
      </c>
      <c r="N12" s="100">
        <v>1.3</v>
      </c>
      <c r="O12" s="100">
        <v>0</v>
      </c>
      <c r="P12" s="100">
        <v>0.64</v>
      </c>
      <c r="Q12" s="100">
        <v>12.95</v>
      </c>
      <c r="R12" s="6"/>
      <c r="S12" s="6"/>
      <c r="T12" s="156"/>
      <c r="U12" s="6"/>
    </row>
    <row r="13" spans="1:21" customFormat="1">
      <c r="A13" s="163" t="s">
        <v>915</v>
      </c>
      <c r="B13" s="100">
        <v>10.39</v>
      </c>
      <c r="C13" s="100">
        <v>25.78</v>
      </c>
      <c r="D13" s="100">
        <v>23.15</v>
      </c>
      <c r="E13" s="100">
        <v>9.5</v>
      </c>
      <c r="F13" s="152" t="s">
        <v>15</v>
      </c>
      <c r="G13" s="100">
        <v>64.08</v>
      </c>
      <c r="H13" s="100">
        <v>20.74</v>
      </c>
      <c r="I13" s="100">
        <v>7.5</v>
      </c>
      <c r="J13" s="100">
        <v>0.3</v>
      </c>
      <c r="K13" s="100">
        <v>50.5</v>
      </c>
      <c r="L13" s="100">
        <v>20.55</v>
      </c>
      <c r="M13" s="100">
        <v>35.36</v>
      </c>
      <c r="N13" s="100">
        <v>1.1000000000000001</v>
      </c>
      <c r="O13" s="100">
        <v>0</v>
      </c>
      <c r="P13" s="100">
        <v>0.63</v>
      </c>
      <c r="Q13" s="100">
        <v>12.96</v>
      </c>
      <c r="R13" s="6"/>
      <c r="S13" s="6"/>
      <c r="T13" s="156"/>
      <c r="U13" s="6"/>
    </row>
    <row r="14" spans="1:21" customFormat="1">
      <c r="A14" s="163" t="s">
        <v>916</v>
      </c>
      <c r="B14" s="100">
        <v>11.36</v>
      </c>
      <c r="C14" s="100">
        <v>25.93</v>
      </c>
      <c r="D14" s="100">
        <v>24.01</v>
      </c>
      <c r="E14" s="100">
        <v>9.33</v>
      </c>
      <c r="F14" s="152" t="s">
        <v>15</v>
      </c>
      <c r="G14" s="100">
        <v>64.08</v>
      </c>
      <c r="H14" s="100">
        <v>20.74</v>
      </c>
      <c r="I14" s="100">
        <v>7.47</v>
      </c>
      <c r="J14" s="100">
        <v>0.42</v>
      </c>
      <c r="K14" s="100">
        <v>62.85</v>
      </c>
      <c r="L14" s="100">
        <v>20.46</v>
      </c>
      <c r="M14" s="100">
        <v>34.5</v>
      </c>
      <c r="N14" s="100">
        <v>1</v>
      </c>
      <c r="O14" s="100">
        <v>0</v>
      </c>
      <c r="P14" s="100">
        <v>0.62</v>
      </c>
      <c r="Q14" s="100">
        <v>12.98</v>
      </c>
      <c r="R14" s="6"/>
      <c r="S14" s="6"/>
      <c r="T14" s="156"/>
      <c r="U14" s="6"/>
    </row>
    <row r="15" spans="1:21" customFormat="1">
      <c r="A15" s="163" t="s">
        <v>917</v>
      </c>
      <c r="B15" s="100">
        <v>11.79</v>
      </c>
      <c r="C15" s="100">
        <v>25.81</v>
      </c>
      <c r="D15" s="100">
        <v>24.29</v>
      </c>
      <c r="E15" s="100">
        <v>9.2200000000000006</v>
      </c>
      <c r="F15" s="152" t="s">
        <v>15</v>
      </c>
      <c r="G15" s="100">
        <v>63.95</v>
      </c>
      <c r="H15" s="100">
        <v>20.73</v>
      </c>
      <c r="I15" s="100">
        <v>7.42</v>
      </c>
      <c r="J15" s="100">
        <v>0.48</v>
      </c>
      <c r="K15" s="100">
        <v>58.81</v>
      </c>
      <c r="L15" s="100">
        <v>20.329999999999998</v>
      </c>
      <c r="M15" s="100">
        <v>34.29</v>
      </c>
      <c r="N15" s="100">
        <v>1.1000000000000001</v>
      </c>
      <c r="O15" s="100">
        <v>0</v>
      </c>
      <c r="P15" s="100">
        <v>0.61</v>
      </c>
      <c r="Q15" s="100">
        <v>12.98</v>
      </c>
      <c r="R15" s="6"/>
      <c r="S15" s="6"/>
      <c r="T15" s="156"/>
      <c r="U15" s="6"/>
    </row>
    <row r="16" spans="1:21" customFormat="1">
      <c r="A16" s="163" t="s">
        <v>918</v>
      </c>
      <c r="B16" s="100">
        <v>11.92</v>
      </c>
      <c r="C16" s="100">
        <v>25.69</v>
      </c>
      <c r="D16" s="100">
        <v>24.34</v>
      </c>
      <c r="E16" s="100">
        <v>8.7799999999999994</v>
      </c>
      <c r="F16" s="152" t="s">
        <v>15</v>
      </c>
      <c r="G16" s="100">
        <v>60.23</v>
      </c>
      <c r="H16" s="100">
        <v>20.47</v>
      </c>
      <c r="I16" s="100">
        <v>7.36</v>
      </c>
      <c r="J16" s="100">
        <v>0.46</v>
      </c>
      <c r="K16" s="100">
        <v>44.12</v>
      </c>
      <c r="L16" s="100">
        <v>20.22</v>
      </c>
      <c r="M16" s="100">
        <v>34.15</v>
      </c>
      <c r="N16" s="100">
        <v>1</v>
      </c>
      <c r="O16" s="100">
        <v>0</v>
      </c>
      <c r="P16" s="100">
        <v>0.61</v>
      </c>
      <c r="Q16" s="100">
        <v>12.98</v>
      </c>
      <c r="R16" s="6"/>
      <c r="S16" s="6"/>
      <c r="T16" s="156"/>
      <c r="U16" s="6"/>
    </row>
    <row r="17" spans="1:21" customFormat="1">
      <c r="A17" s="163" t="s">
        <v>919</v>
      </c>
      <c r="B17" s="100">
        <v>12</v>
      </c>
      <c r="C17" s="100">
        <v>25.75</v>
      </c>
      <c r="D17" s="100">
        <v>24.43</v>
      </c>
      <c r="E17" s="100">
        <v>7.82</v>
      </c>
      <c r="F17" s="152" t="s">
        <v>15</v>
      </c>
      <c r="G17" s="100">
        <v>60.23</v>
      </c>
      <c r="H17" s="100">
        <v>20.47</v>
      </c>
      <c r="I17" s="100">
        <v>7.3</v>
      </c>
      <c r="J17" s="100">
        <v>0.56000000000000005</v>
      </c>
      <c r="K17" s="100">
        <v>49.37</v>
      </c>
      <c r="L17" s="100">
        <v>20.18</v>
      </c>
      <c r="M17" s="100">
        <v>33.450000000000003</v>
      </c>
      <c r="N17" s="100">
        <v>1.1000000000000001</v>
      </c>
      <c r="O17" s="100">
        <v>0</v>
      </c>
      <c r="P17" s="100">
        <v>0.62</v>
      </c>
      <c r="Q17" s="100">
        <v>12.97</v>
      </c>
      <c r="R17" s="6"/>
      <c r="S17" s="6"/>
      <c r="T17" s="156"/>
      <c r="U17" s="6"/>
    </row>
    <row r="18" spans="1:21" customFormat="1">
      <c r="A18" s="163" t="s">
        <v>920</v>
      </c>
      <c r="B18" s="100">
        <v>11.99</v>
      </c>
      <c r="C18" s="100">
        <v>25.63</v>
      </c>
      <c r="D18" s="100">
        <v>24.36</v>
      </c>
      <c r="E18" s="100">
        <v>9.64</v>
      </c>
      <c r="F18" s="152" t="s">
        <v>15</v>
      </c>
      <c r="G18" s="100">
        <v>60.23</v>
      </c>
      <c r="H18" s="100">
        <v>20.47</v>
      </c>
      <c r="I18" s="100">
        <v>7.36</v>
      </c>
      <c r="J18" s="100">
        <v>0.25</v>
      </c>
      <c r="K18" s="100">
        <v>73.27</v>
      </c>
      <c r="L18" s="100">
        <v>20.010000000000002</v>
      </c>
      <c r="M18" s="100">
        <v>35</v>
      </c>
      <c r="N18" s="100">
        <v>1.3</v>
      </c>
      <c r="O18" s="100">
        <v>0</v>
      </c>
      <c r="P18" s="100">
        <v>0.66</v>
      </c>
      <c r="Q18" s="100">
        <v>12.97</v>
      </c>
      <c r="R18" s="6"/>
      <c r="S18" s="6"/>
      <c r="T18" s="156"/>
      <c r="U18" s="6"/>
    </row>
    <row r="19" spans="1:21" customFormat="1">
      <c r="A19" s="163" t="s">
        <v>921</v>
      </c>
      <c r="B19" s="100">
        <v>11.88</v>
      </c>
      <c r="C19" s="100">
        <v>25.25</v>
      </c>
      <c r="D19" s="100">
        <v>24.07</v>
      </c>
      <c r="E19" s="100">
        <v>9.3000000000000007</v>
      </c>
      <c r="F19" s="152" t="s">
        <v>15</v>
      </c>
      <c r="G19" s="100">
        <v>60.24</v>
      </c>
      <c r="H19" s="100">
        <v>20.5</v>
      </c>
      <c r="I19" s="100">
        <v>7.39</v>
      </c>
      <c r="J19" s="100">
        <v>0.19</v>
      </c>
      <c r="K19" s="100">
        <v>162</v>
      </c>
      <c r="L19" s="100">
        <v>19.27</v>
      </c>
      <c r="M19" s="100">
        <v>46.22</v>
      </c>
      <c r="N19" s="100">
        <v>1.8</v>
      </c>
      <c r="O19" s="100">
        <v>0</v>
      </c>
      <c r="P19" s="100">
        <v>0.67</v>
      </c>
      <c r="Q19" s="100">
        <v>12.96</v>
      </c>
      <c r="R19" s="6"/>
      <c r="S19" s="6"/>
      <c r="T19" s="156"/>
      <c r="U19" s="6"/>
    </row>
    <row r="20" spans="1:21" customFormat="1">
      <c r="A20" s="163" t="s">
        <v>922</v>
      </c>
      <c r="B20" s="100">
        <v>11.7</v>
      </c>
      <c r="C20" s="100">
        <v>24.59</v>
      </c>
      <c r="D20" s="100">
        <v>23.58</v>
      </c>
      <c r="E20" s="100">
        <v>8.9499999999999993</v>
      </c>
      <c r="F20" s="152" t="s">
        <v>15</v>
      </c>
      <c r="G20" s="100">
        <v>60.38</v>
      </c>
      <c r="H20" s="100">
        <v>21.48</v>
      </c>
      <c r="I20" s="100">
        <v>7.35</v>
      </c>
      <c r="J20" s="100">
        <v>0.17</v>
      </c>
      <c r="K20" s="100">
        <v>167.6</v>
      </c>
      <c r="L20" s="100">
        <v>18.68</v>
      </c>
      <c r="M20" s="100">
        <v>48.38</v>
      </c>
      <c r="N20" s="100">
        <v>1.4</v>
      </c>
      <c r="O20" s="100">
        <v>0</v>
      </c>
      <c r="P20" s="100">
        <v>0.67</v>
      </c>
      <c r="Q20" s="100">
        <v>12.95</v>
      </c>
      <c r="R20" s="6"/>
      <c r="S20" s="6"/>
      <c r="T20" s="156"/>
      <c r="U20" s="6"/>
    </row>
    <row r="21" spans="1:21" customFormat="1">
      <c r="A21" s="163" t="s">
        <v>923</v>
      </c>
      <c r="B21" s="100">
        <v>11.46</v>
      </c>
      <c r="C21" s="100">
        <v>24.06</v>
      </c>
      <c r="D21" s="100">
        <v>23.11</v>
      </c>
      <c r="E21" s="100">
        <v>8.6199999999999992</v>
      </c>
      <c r="F21" s="152" t="s">
        <v>15</v>
      </c>
      <c r="G21" s="100">
        <v>60.38</v>
      </c>
      <c r="H21" s="100">
        <v>21.48</v>
      </c>
      <c r="I21" s="100">
        <v>7.28</v>
      </c>
      <c r="J21" s="100">
        <v>0.16</v>
      </c>
      <c r="K21" s="100">
        <v>167.12</v>
      </c>
      <c r="L21" s="100">
        <v>18.36</v>
      </c>
      <c r="M21" s="100">
        <v>52.22</v>
      </c>
      <c r="N21" s="100">
        <v>1.3</v>
      </c>
      <c r="O21" s="100">
        <v>0</v>
      </c>
      <c r="P21" s="100">
        <v>0.66</v>
      </c>
      <c r="Q21" s="100">
        <v>12.97</v>
      </c>
      <c r="R21" s="6"/>
      <c r="S21" s="6"/>
      <c r="T21" s="156"/>
      <c r="U21" s="6"/>
    </row>
    <row r="22" spans="1:21" customFormat="1">
      <c r="A22" s="163" t="s">
        <v>924</v>
      </c>
      <c r="B22" s="100">
        <v>11.26</v>
      </c>
      <c r="C22" s="100">
        <v>23.55</v>
      </c>
      <c r="D22" s="100">
        <v>22.68</v>
      </c>
      <c r="E22" s="100">
        <v>9.1199999999999992</v>
      </c>
      <c r="F22" s="152" t="s">
        <v>15</v>
      </c>
      <c r="G22" s="100">
        <v>60.38</v>
      </c>
      <c r="H22" s="100">
        <v>21.48</v>
      </c>
      <c r="I22" s="100">
        <v>7.22</v>
      </c>
      <c r="J22" s="100">
        <v>0.16</v>
      </c>
      <c r="K22" s="100">
        <v>193.44</v>
      </c>
      <c r="L22" s="100">
        <v>18.09</v>
      </c>
      <c r="M22" s="100">
        <v>52.6</v>
      </c>
      <c r="N22" s="100">
        <v>1.3</v>
      </c>
      <c r="O22" s="100">
        <v>0</v>
      </c>
      <c r="P22" s="100">
        <v>0.66</v>
      </c>
      <c r="Q22" s="100">
        <v>12.96</v>
      </c>
      <c r="R22" s="6"/>
      <c r="S22" s="6"/>
      <c r="T22" s="156"/>
      <c r="U22" s="6"/>
    </row>
    <row r="23" spans="1:21" customFormat="1">
      <c r="A23" s="163" t="s">
        <v>925</v>
      </c>
      <c r="B23" s="100">
        <v>11.03</v>
      </c>
      <c r="C23" s="100">
        <v>23.23</v>
      </c>
      <c r="D23" s="100">
        <v>22.34</v>
      </c>
      <c r="E23" s="100">
        <v>8.8800000000000008</v>
      </c>
      <c r="F23" s="152" t="s">
        <v>15</v>
      </c>
      <c r="G23" s="100">
        <v>60.2</v>
      </c>
      <c r="H23" s="100">
        <v>21.39</v>
      </c>
      <c r="I23" s="100">
        <v>7.16</v>
      </c>
      <c r="J23" s="100">
        <v>0.17</v>
      </c>
      <c r="K23" s="100">
        <v>157.38</v>
      </c>
      <c r="L23" s="100">
        <v>17.96</v>
      </c>
      <c r="M23" s="100">
        <v>53.67</v>
      </c>
      <c r="N23" s="100">
        <v>1.2</v>
      </c>
      <c r="O23" s="100">
        <v>0</v>
      </c>
      <c r="P23" s="100">
        <v>0.65</v>
      </c>
      <c r="Q23" s="100">
        <v>12.96</v>
      </c>
      <c r="R23" s="6"/>
      <c r="S23" s="6"/>
      <c r="T23" s="156"/>
      <c r="U23" s="6"/>
    </row>
    <row r="24" spans="1:21" customFormat="1">
      <c r="A24" s="163" t="s">
        <v>926</v>
      </c>
      <c r="B24" s="100">
        <v>10.9</v>
      </c>
      <c r="C24" s="100">
        <v>22.92</v>
      </c>
      <c r="D24" s="100">
        <v>22.07</v>
      </c>
      <c r="E24" s="100">
        <v>8.6300000000000008</v>
      </c>
      <c r="F24" s="152" t="s">
        <v>15</v>
      </c>
      <c r="G24" s="100">
        <v>55.07</v>
      </c>
      <c r="H24" s="100">
        <v>18.48</v>
      </c>
      <c r="I24" s="100">
        <v>7.08</v>
      </c>
      <c r="J24" s="100">
        <v>0.17</v>
      </c>
      <c r="K24" s="100">
        <v>174.3</v>
      </c>
      <c r="L24" s="100">
        <v>17.850000000000001</v>
      </c>
      <c r="M24" s="100">
        <v>52.38</v>
      </c>
      <c r="N24" s="100">
        <v>1.1000000000000001</v>
      </c>
      <c r="O24" s="100">
        <v>0</v>
      </c>
      <c r="P24" s="100">
        <v>0.64</v>
      </c>
      <c r="Q24" s="100">
        <v>12.95</v>
      </c>
      <c r="R24" s="6"/>
      <c r="S24" s="6"/>
      <c r="T24" s="156"/>
      <c r="U24" s="6"/>
    </row>
    <row r="25" spans="1:21" customFormat="1">
      <c r="A25" s="163" t="s">
        <v>927</v>
      </c>
      <c r="B25" s="100">
        <v>10.79</v>
      </c>
      <c r="C25" s="100">
        <v>22.77</v>
      </c>
      <c r="D25" s="100">
        <v>21.9</v>
      </c>
      <c r="E25" s="100">
        <v>8.27</v>
      </c>
      <c r="F25" s="152" t="s">
        <v>15</v>
      </c>
      <c r="G25" s="100">
        <v>55.07</v>
      </c>
      <c r="H25" s="100">
        <v>18.48</v>
      </c>
      <c r="I25" s="100">
        <v>6.98</v>
      </c>
      <c r="J25" s="100">
        <v>0.14000000000000001</v>
      </c>
      <c r="K25" s="100">
        <v>175.57</v>
      </c>
      <c r="L25" s="100">
        <v>17.600000000000001</v>
      </c>
      <c r="M25" s="100">
        <v>55.21</v>
      </c>
      <c r="N25" s="100">
        <v>1.3</v>
      </c>
      <c r="O25" s="100">
        <v>0</v>
      </c>
      <c r="P25" s="100">
        <v>0.64</v>
      </c>
      <c r="Q25" s="100">
        <v>12.95</v>
      </c>
      <c r="R25" s="6"/>
      <c r="S25" s="6"/>
      <c r="T25" s="156"/>
      <c r="U25" s="6"/>
    </row>
    <row r="26" spans="1:21" customFormat="1">
      <c r="A26" s="163" t="s">
        <v>928</v>
      </c>
      <c r="B26" s="100">
        <v>10.76</v>
      </c>
      <c r="C26" s="100">
        <v>22.62</v>
      </c>
      <c r="D26" s="100">
        <v>21.8</v>
      </c>
      <c r="E26" s="100">
        <v>8.56</v>
      </c>
      <c r="F26" s="152" t="s">
        <v>15</v>
      </c>
      <c r="G26" s="100">
        <v>55.07</v>
      </c>
      <c r="H26" s="100">
        <v>18.48</v>
      </c>
      <c r="I26" s="100">
        <v>6.9</v>
      </c>
      <c r="J26" s="100">
        <v>0.12</v>
      </c>
      <c r="K26" s="100">
        <v>98.2</v>
      </c>
      <c r="L26" s="100">
        <v>17.78</v>
      </c>
      <c r="M26" s="100">
        <v>48.28</v>
      </c>
      <c r="N26" s="100">
        <v>0.8</v>
      </c>
      <c r="O26" s="100">
        <v>0</v>
      </c>
      <c r="P26" s="100">
        <v>0.64</v>
      </c>
      <c r="Q26" s="100">
        <v>12.95</v>
      </c>
      <c r="R26" s="6"/>
      <c r="S26" s="6"/>
      <c r="T26" s="156"/>
      <c r="U26" s="6"/>
    </row>
    <row r="27" spans="1:21" customFormat="1">
      <c r="A27" s="163" t="s">
        <v>929</v>
      </c>
      <c r="B27" s="100">
        <v>10.76</v>
      </c>
      <c r="C27" s="100">
        <v>22.6</v>
      </c>
      <c r="D27" s="100">
        <v>21.79</v>
      </c>
      <c r="E27" s="100">
        <v>8.4600000000000009</v>
      </c>
      <c r="F27" s="152" t="s">
        <v>15</v>
      </c>
      <c r="G27" s="100">
        <v>54.87</v>
      </c>
      <c r="H27" s="100">
        <v>18.37</v>
      </c>
      <c r="I27" s="100">
        <v>6.84</v>
      </c>
      <c r="J27" s="100">
        <v>0.14000000000000001</v>
      </c>
      <c r="K27" s="100">
        <v>178.52</v>
      </c>
      <c r="L27" s="100">
        <v>17.82</v>
      </c>
      <c r="M27" s="100">
        <v>46.42</v>
      </c>
      <c r="N27" s="100">
        <v>1.1000000000000001</v>
      </c>
      <c r="O27" s="100">
        <v>0</v>
      </c>
      <c r="P27" s="100">
        <v>0.63</v>
      </c>
      <c r="Q27" s="100">
        <v>12.95</v>
      </c>
      <c r="R27" s="6"/>
      <c r="S27" s="6"/>
      <c r="T27" s="156"/>
      <c r="U27" s="6"/>
    </row>
    <row r="28" spans="1:21" customFormat="1">
      <c r="A28" s="163" t="s">
        <v>930</v>
      </c>
      <c r="B28" s="100">
        <v>10.63</v>
      </c>
      <c r="C28" s="100">
        <v>22.6</v>
      </c>
      <c r="D28" s="100">
        <v>21.68</v>
      </c>
      <c r="E28" s="100">
        <v>8.16</v>
      </c>
      <c r="F28" s="152" t="s">
        <v>15</v>
      </c>
      <c r="G28" s="100">
        <v>48.96</v>
      </c>
      <c r="H28" s="100">
        <v>14.92</v>
      </c>
      <c r="I28" s="100">
        <v>6.79</v>
      </c>
      <c r="J28" s="100">
        <v>0.08</v>
      </c>
      <c r="K28" s="100">
        <v>131.18</v>
      </c>
      <c r="L28" s="100">
        <v>17.559999999999999</v>
      </c>
      <c r="M28" s="100">
        <v>48.42</v>
      </c>
      <c r="N28" s="100">
        <v>1.2</v>
      </c>
      <c r="O28" s="100">
        <v>0</v>
      </c>
      <c r="P28" s="100">
        <v>0.63</v>
      </c>
      <c r="Q28" s="100">
        <v>12.96</v>
      </c>
      <c r="R28" s="6"/>
      <c r="S28" s="6"/>
      <c r="T28" s="156"/>
      <c r="U28" s="6"/>
    </row>
    <row r="29" spans="1:21" customFormat="1">
      <c r="A29" s="163" t="s">
        <v>931</v>
      </c>
      <c r="B29" s="100">
        <v>10.69</v>
      </c>
      <c r="C29" s="100">
        <v>22.78</v>
      </c>
      <c r="D29" s="100">
        <v>21.83</v>
      </c>
      <c r="E29" s="100">
        <v>8.68</v>
      </c>
      <c r="F29" s="152" t="s">
        <v>15</v>
      </c>
      <c r="G29" s="100">
        <v>48.96</v>
      </c>
      <c r="H29" s="100">
        <v>14.92</v>
      </c>
      <c r="I29" s="100">
        <v>6.73</v>
      </c>
      <c r="J29" s="100">
        <v>7.0000000000000007E-2</v>
      </c>
      <c r="K29" s="100">
        <v>98.21</v>
      </c>
      <c r="L29" s="100">
        <v>17.850000000000001</v>
      </c>
      <c r="M29" s="100">
        <v>43.11</v>
      </c>
      <c r="N29" s="100">
        <v>0.9</v>
      </c>
      <c r="O29" s="100">
        <v>0</v>
      </c>
      <c r="P29" s="100">
        <v>0.62</v>
      </c>
      <c r="Q29" s="100">
        <v>12.95</v>
      </c>
      <c r="R29" s="6"/>
      <c r="S29" s="6"/>
      <c r="T29" s="156"/>
      <c r="U29" s="6"/>
    </row>
    <row r="30" spans="1:21" customFormat="1">
      <c r="A30" s="163" t="s">
        <v>932</v>
      </c>
      <c r="B30" s="100">
        <v>10.91</v>
      </c>
      <c r="C30" s="100">
        <v>22.99</v>
      </c>
      <c r="D30" s="100">
        <v>22.11</v>
      </c>
      <c r="E30" s="100">
        <v>8.2899999999999991</v>
      </c>
      <c r="F30" s="152" t="s">
        <v>15</v>
      </c>
      <c r="G30" s="100">
        <v>48.96</v>
      </c>
      <c r="H30" s="100">
        <v>14.92</v>
      </c>
      <c r="I30" s="100">
        <v>6.69</v>
      </c>
      <c r="J30" s="100">
        <v>0.17</v>
      </c>
      <c r="K30" s="100">
        <v>173.86</v>
      </c>
      <c r="L30" s="100">
        <v>17.38</v>
      </c>
      <c r="M30" s="100">
        <v>50.96</v>
      </c>
      <c r="N30" s="100">
        <v>1.4</v>
      </c>
      <c r="O30" s="100">
        <v>0</v>
      </c>
      <c r="P30" s="100">
        <v>0.62</v>
      </c>
      <c r="Q30" s="100">
        <v>12.94</v>
      </c>
      <c r="R30" s="6"/>
      <c r="S30" s="6"/>
      <c r="T30" s="156"/>
      <c r="U30" s="6"/>
    </row>
    <row r="31" spans="1:21" customFormat="1">
      <c r="A31" s="163" t="s">
        <v>933</v>
      </c>
      <c r="B31" s="100">
        <v>10.9</v>
      </c>
      <c r="C31" s="100">
        <v>23.08</v>
      </c>
      <c r="D31" s="100">
        <v>22.16</v>
      </c>
      <c r="E31" s="100">
        <v>8.5</v>
      </c>
      <c r="F31" s="152" t="s">
        <v>15</v>
      </c>
      <c r="G31" s="100">
        <v>49.07</v>
      </c>
      <c r="H31" s="100">
        <v>14.89</v>
      </c>
      <c r="I31" s="100">
        <v>6.63</v>
      </c>
      <c r="J31" s="100">
        <v>0.13</v>
      </c>
      <c r="K31" s="100">
        <v>199.07</v>
      </c>
      <c r="L31" s="100">
        <v>16.96</v>
      </c>
      <c r="M31" s="100">
        <v>54.38</v>
      </c>
      <c r="N31" s="100">
        <v>1.4</v>
      </c>
      <c r="O31" s="100">
        <v>0</v>
      </c>
      <c r="P31" s="100">
        <v>0.61</v>
      </c>
      <c r="Q31" s="100">
        <v>12.94</v>
      </c>
      <c r="R31" s="6"/>
      <c r="S31" s="6"/>
      <c r="T31" s="156"/>
      <c r="U31" s="6"/>
    </row>
    <row r="32" spans="1:21" customFormat="1">
      <c r="A32" s="163" t="s">
        <v>934</v>
      </c>
      <c r="B32" s="100">
        <v>10.91</v>
      </c>
      <c r="C32" s="100">
        <v>23.08</v>
      </c>
      <c r="D32" s="100">
        <v>22.16</v>
      </c>
      <c r="E32" s="100">
        <v>7.82</v>
      </c>
      <c r="F32" s="152" t="s">
        <v>15</v>
      </c>
      <c r="G32" s="100">
        <v>52.48</v>
      </c>
      <c r="H32" s="100">
        <v>14</v>
      </c>
      <c r="I32" s="100">
        <v>6.57</v>
      </c>
      <c r="J32" s="100">
        <v>0.05</v>
      </c>
      <c r="K32" s="100">
        <v>223.36</v>
      </c>
      <c r="L32" s="100">
        <v>16.760000000000002</v>
      </c>
      <c r="M32" s="100">
        <v>52.65</v>
      </c>
      <c r="N32" s="100">
        <v>1.2</v>
      </c>
      <c r="O32" s="100">
        <v>0</v>
      </c>
      <c r="P32" s="100">
        <v>0.6</v>
      </c>
      <c r="Q32" s="100">
        <v>12.95</v>
      </c>
      <c r="R32" s="6"/>
      <c r="S32" s="6"/>
      <c r="T32" s="156"/>
      <c r="U32" s="6"/>
    </row>
    <row r="33" spans="1:21" customFormat="1">
      <c r="A33" s="163" t="s">
        <v>935</v>
      </c>
      <c r="B33" s="100">
        <v>11.87</v>
      </c>
      <c r="C33" s="100">
        <v>23.48</v>
      </c>
      <c r="D33" s="100">
        <v>23.13</v>
      </c>
      <c r="E33" s="100">
        <v>8.07</v>
      </c>
      <c r="F33" s="152" t="s">
        <v>15</v>
      </c>
      <c r="G33" s="100">
        <v>52.48</v>
      </c>
      <c r="H33" s="100">
        <v>14</v>
      </c>
      <c r="I33" s="100">
        <v>6.51</v>
      </c>
      <c r="J33" s="100">
        <v>0.11</v>
      </c>
      <c r="K33" s="100">
        <v>175.6</v>
      </c>
      <c r="L33" s="100">
        <v>16.96</v>
      </c>
      <c r="M33" s="100">
        <v>50.56</v>
      </c>
      <c r="N33" s="100">
        <v>1</v>
      </c>
      <c r="O33" s="100">
        <v>0</v>
      </c>
      <c r="P33" s="100">
        <v>0.61</v>
      </c>
      <c r="Q33" s="100">
        <v>12.96</v>
      </c>
      <c r="R33" s="6"/>
      <c r="S33" s="6"/>
      <c r="T33" s="156"/>
      <c r="U33" s="6"/>
    </row>
    <row r="34" spans="1:21" customFormat="1">
      <c r="A34" s="163" t="s">
        <v>936</v>
      </c>
      <c r="B34" s="100">
        <v>13.92</v>
      </c>
      <c r="C34" s="100">
        <v>23.96</v>
      </c>
      <c r="D34" s="100">
        <v>25.03</v>
      </c>
      <c r="E34" s="100">
        <v>8.06</v>
      </c>
      <c r="F34" s="152" t="s">
        <v>15</v>
      </c>
      <c r="G34" s="100">
        <v>52.48</v>
      </c>
      <c r="H34" s="100">
        <v>14</v>
      </c>
      <c r="I34" s="100">
        <v>6.45</v>
      </c>
      <c r="J34" s="100">
        <v>0.19</v>
      </c>
      <c r="K34" s="100">
        <v>181.35</v>
      </c>
      <c r="L34" s="100">
        <v>16.71</v>
      </c>
      <c r="M34" s="100">
        <v>57.6</v>
      </c>
      <c r="N34" s="100">
        <v>1.6</v>
      </c>
      <c r="O34" s="100">
        <v>0</v>
      </c>
      <c r="P34" s="100">
        <v>0.61</v>
      </c>
      <c r="Q34" s="100">
        <v>12.97</v>
      </c>
      <c r="R34" s="6"/>
      <c r="S34" s="6"/>
      <c r="T34" s="156"/>
      <c r="U34" s="6"/>
    </row>
    <row r="35" spans="1:21" customFormat="1">
      <c r="A35" s="163" t="s">
        <v>937</v>
      </c>
      <c r="B35" s="100">
        <v>15.01</v>
      </c>
      <c r="C35" s="100">
        <v>24.34</v>
      </c>
      <c r="D35" s="100">
        <v>26.1</v>
      </c>
      <c r="E35" s="100">
        <v>7.68</v>
      </c>
      <c r="F35" s="152" t="s">
        <v>15</v>
      </c>
      <c r="G35" s="100">
        <v>52.59</v>
      </c>
      <c r="H35" s="100">
        <v>13.97</v>
      </c>
      <c r="I35" s="100">
        <v>6.47</v>
      </c>
      <c r="J35" s="100">
        <v>0.13</v>
      </c>
      <c r="K35" s="100">
        <v>188.75</v>
      </c>
      <c r="L35" s="100">
        <v>16.64</v>
      </c>
      <c r="M35" s="100">
        <v>56.06</v>
      </c>
      <c r="N35" s="100">
        <v>3.6</v>
      </c>
      <c r="O35" s="100">
        <v>0</v>
      </c>
      <c r="P35" s="100">
        <v>0.61</v>
      </c>
      <c r="Q35" s="100">
        <v>12.96</v>
      </c>
      <c r="R35" s="6"/>
      <c r="S35" s="6"/>
      <c r="T35" s="156"/>
      <c r="U35" s="6"/>
    </row>
    <row r="36" spans="1:21" customFormat="1">
      <c r="A36" s="163" t="s">
        <v>938</v>
      </c>
      <c r="B36" s="100">
        <v>15.5</v>
      </c>
      <c r="C36" s="100">
        <v>24.38</v>
      </c>
      <c r="D36" s="100">
        <v>26.52</v>
      </c>
      <c r="E36" s="100">
        <v>7.74</v>
      </c>
      <c r="F36" s="152" t="s">
        <v>15</v>
      </c>
      <c r="G36" s="100">
        <v>54.89</v>
      </c>
      <c r="H36" s="100">
        <v>13.08</v>
      </c>
      <c r="I36" s="100">
        <v>6.47</v>
      </c>
      <c r="J36" s="100">
        <v>0.35</v>
      </c>
      <c r="K36" s="100">
        <v>61.83</v>
      </c>
      <c r="L36" s="100">
        <v>17.12</v>
      </c>
      <c r="M36" s="100">
        <v>46.97</v>
      </c>
      <c r="N36" s="100">
        <v>8.5</v>
      </c>
      <c r="O36" s="100">
        <v>0</v>
      </c>
      <c r="P36" s="100">
        <v>0.59</v>
      </c>
      <c r="Q36" s="100">
        <v>12.97</v>
      </c>
      <c r="R36" s="6"/>
      <c r="S36" s="6"/>
      <c r="T36" s="156"/>
      <c r="U36" s="6"/>
    </row>
    <row r="37" spans="1:21" customFormat="1">
      <c r="A37" s="163" t="s">
        <v>939</v>
      </c>
      <c r="B37" s="100">
        <v>16.03</v>
      </c>
      <c r="C37" s="100">
        <v>24.53</v>
      </c>
      <c r="D37" s="100">
        <v>27.02</v>
      </c>
      <c r="E37" s="100">
        <v>7.58</v>
      </c>
      <c r="F37" s="152" t="s">
        <v>15</v>
      </c>
      <c r="G37" s="100">
        <v>54.89</v>
      </c>
      <c r="H37" s="100">
        <v>13.08</v>
      </c>
      <c r="I37" s="100">
        <v>6.52</v>
      </c>
      <c r="J37" s="100">
        <v>0.46</v>
      </c>
      <c r="K37" s="100">
        <v>60</v>
      </c>
      <c r="L37" s="100">
        <v>18.010000000000002</v>
      </c>
      <c r="M37" s="100">
        <v>39.79</v>
      </c>
      <c r="N37" s="100">
        <v>15.6</v>
      </c>
      <c r="O37" s="100">
        <v>0</v>
      </c>
      <c r="P37" s="100">
        <v>0.53</v>
      </c>
      <c r="Q37" s="100">
        <v>12.99</v>
      </c>
      <c r="R37" s="6"/>
      <c r="S37" s="6"/>
      <c r="T37" s="156"/>
      <c r="U37" s="6"/>
    </row>
    <row r="38" spans="1:21" customFormat="1">
      <c r="A38" s="163" t="s">
        <v>940</v>
      </c>
      <c r="B38" s="100">
        <v>16.32</v>
      </c>
      <c r="C38" s="100">
        <v>24.8</v>
      </c>
      <c r="D38" s="100">
        <v>27.4</v>
      </c>
      <c r="E38" s="100">
        <v>8.06</v>
      </c>
      <c r="F38" s="152" t="s">
        <v>15</v>
      </c>
      <c r="G38" s="100">
        <v>54.89</v>
      </c>
      <c r="H38" s="100">
        <v>13.08</v>
      </c>
      <c r="I38" s="100">
        <v>6.6</v>
      </c>
      <c r="J38" s="100">
        <v>0.57999999999999996</v>
      </c>
      <c r="K38" s="100">
        <v>53.64</v>
      </c>
      <c r="L38" s="100">
        <v>18.329999999999998</v>
      </c>
      <c r="M38" s="100">
        <v>39.270000000000003</v>
      </c>
      <c r="N38" s="100">
        <v>24.4</v>
      </c>
      <c r="O38" s="100">
        <v>0</v>
      </c>
      <c r="P38" s="100">
        <v>0.54</v>
      </c>
      <c r="Q38" s="100">
        <v>13</v>
      </c>
      <c r="R38" s="6"/>
      <c r="S38" s="6"/>
      <c r="T38" s="156"/>
      <c r="U38" s="6"/>
    </row>
    <row r="39" spans="1:21" customFormat="1">
      <c r="A39" s="163" t="s">
        <v>941</v>
      </c>
      <c r="B39" s="100">
        <v>16.5</v>
      </c>
      <c r="C39" s="100">
        <v>24.93</v>
      </c>
      <c r="D39" s="100">
        <v>27.61</v>
      </c>
      <c r="E39" s="100">
        <v>8.19</v>
      </c>
      <c r="F39" s="152" t="s">
        <v>15</v>
      </c>
      <c r="G39" s="100">
        <v>54.92</v>
      </c>
      <c r="H39" s="100">
        <v>13.13</v>
      </c>
      <c r="I39" s="100">
        <v>6.69</v>
      </c>
      <c r="J39" s="100">
        <v>0.44</v>
      </c>
      <c r="K39" s="100">
        <v>64.16</v>
      </c>
      <c r="L39" s="100">
        <v>18.739999999999998</v>
      </c>
      <c r="M39" s="100">
        <v>38.880000000000003</v>
      </c>
      <c r="N39" s="100">
        <v>33.5</v>
      </c>
      <c r="O39" s="100">
        <v>0</v>
      </c>
      <c r="P39" s="100">
        <v>0.55000000000000004</v>
      </c>
      <c r="Q39" s="100">
        <v>12.98</v>
      </c>
      <c r="R39" s="6"/>
      <c r="S39" s="6"/>
      <c r="T39" s="156"/>
      <c r="U39" s="6"/>
    </row>
    <row r="40" spans="1:21" customFormat="1">
      <c r="A40" s="163" t="s">
        <v>942</v>
      </c>
      <c r="B40" s="100">
        <v>16.37</v>
      </c>
      <c r="C40" s="100">
        <v>25.05</v>
      </c>
      <c r="D40" s="100">
        <v>27.56</v>
      </c>
      <c r="E40" s="100">
        <v>8.64</v>
      </c>
      <c r="F40" s="152" t="s">
        <v>15</v>
      </c>
      <c r="G40" s="100">
        <v>55.86</v>
      </c>
      <c r="H40" s="100">
        <v>14.56</v>
      </c>
      <c r="I40" s="100">
        <v>6.78</v>
      </c>
      <c r="J40" s="100">
        <v>0.56999999999999995</v>
      </c>
      <c r="K40" s="100">
        <v>59.66</v>
      </c>
      <c r="L40" s="100">
        <v>19.329999999999998</v>
      </c>
      <c r="M40" s="100">
        <v>37.340000000000003</v>
      </c>
      <c r="N40" s="100">
        <v>41.9</v>
      </c>
      <c r="O40" s="100">
        <v>0</v>
      </c>
      <c r="P40" s="100">
        <v>0.55000000000000004</v>
      </c>
      <c r="Q40" s="100">
        <v>13</v>
      </c>
      <c r="R40" s="6"/>
      <c r="S40" s="6"/>
      <c r="T40" s="156"/>
      <c r="U40" s="6"/>
    </row>
    <row r="41" spans="1:21" customFormat="1">
      <c r="A41" s="163" t="s">
        <v>943</v>
      </c>
      <c r="B41" s="100">
        <v>16.05</v>
      </c>
      <c r="C41" s="100">
        <v>25.31</v>
      </c>
      <c r="D41" s="100">
        <v>27.44</v>
      </c>
      <c r="E41" s="100">
        <v>8.3000000000000007</v>
      </c>
      <c r="F41" s="152" t="s">
        <v>15</v>
      </c>
      <c r="G41" s="100">
        <v>55.86</v>
      </c>
      <c r="H41" s="100">
        <v>14.56</v>
      </c>
      <c r="I41" s="100">
        <v>6.9</v>
      </c>
      <c r="J41" s="100">
        <v>0.72</v>
      </c>
      <c r="K41" s="100">
        <v>57.91</v>
      </c>
      <c r="L41" s="100">
        <v>19.78</v>
      </c>
      <c r="M41" s="100">
        <v>35.590000000000003</v>
      </c>
      <c r="N41" s="100">
        <v>88</v>
      </c>
      <c r="O41" s="100">
        <v>0</v>
      </c>
      <c r="P41" s="100">
        <v>0.55000000000000004</v>
      </c>
      <c r="Q41" s="100">
        <v>12.98</v>
      </c>
      <c r="R41" s="6"/>
      <c r="S41" s="6"/>
      <c r="T41" s="156"/>
      <c r="U41" s="6"/>
    </row>
    <row r="42" spans="1:21" customFormat="1">
      <c r="A42" s="163" t="s">
        <v>944</v>
      </c>
      <c r="B42" s="100">
        <v>15.54</v>
      </c>
      <c r="C42" s="100">
        <v>25.42</v>
      </c>
      <c r="D42" s="100">
        <v>27.09</v>
      </c>
      <c r="E42" s="100">
        <v>7.77</v>
      </c>
      <c r="F42" s="152" t="s">
        <v>15</v>
      </c>
      <c r="G42" s="100">
        <v>55.86</v>
      </c>
      <c r="H42" s="100">
        <v>14.56</v>
      </c>
      <c r="I42" s="100">
        <v>7.01</v>
      </c>
      <c r="J42" s="100">
        <v>0.67</v>
      </c>
      <c r="K42" s="100">
        <v>54.98</v>
      </c>
      <c r="L42" s="100">
        <v>20.49</v>
      </c>
      <c r="M42" s="100">
        <v>33.6</v>
      </c>
      <c r="N42" s="100">
        <v>154.69999999999999</v>
      </c>
      <c r="O42" s="100">
        <v>0</v>
      </c>
      <c r="P42" s="100">
        <v>0.56000000000000005</v>
      </c>
      <c r="Q42" s="100">
        <v>13</v>
      </c>
      <c r="R42" s="6"/>
      <c r="S42" s="6"/>
      <c r="T42" s="156"/>
      <c r="U42" s="6"/>
    </row>
    <row r="43" spans="1:21" customFormat="1">
      <c r="A43" s="163" t="s">
        <v>945</v>
      </c>
      <c r="B43" s="100">
        <v>14.75</v>
      </c>
      <c r="C43" s="100">
        <v>25.56</v>
      </c>
      <c r="D43" s="100">
        <v>26.54</v>
      </c>
      <c r="E43" s="100">
        <v>8.16</v>
      </c>
      <c r="F43" s="152" t="s">
        <v>15</v>
      </c>
      <c r="G43" s="100">
        <v>56.42</v>
      </c>
      <c r="H43" s="100">
        <v>14.63</v>
      </c>
      <c r="I43" s="100">
        <v>7.1</v>
      </c>
      <c r="J43" s="100">
        <v>0.34</v>
      </c>
      <c r="K43" s="100">
        <v>106.83</v>
      </c>
      <c r="L43" s="100">
        <v>21.83</v>
      </c>
      <c r="M43" s="100">
        <v>29.74</v>
      </c>
      <c r="N43" s="100">
        <v>184.1</v>
      </c>
      <c r="O43" s="100">
        <v>0</v>
      </c>
      <c r="P43" s="100">
        <v>0.56000000000000005</v>
      </c>
      <c r="Q43" s="100">
        <v>12.97</v>
      </c>
      <c r="R43" s="6"/>
      <c r="S43" s="6"/>
      <c r="T43" s="156"/>
      <c r="U43" s="6"/>
    </row>
    <row r="44" spans="1:21" customFormat="1">
      <c r="A44" s="163" t="s">
        <v>946</v>
      </c>
      <c r="B44" s="100">
        <v>13.65</v>
      </c>
      <c r="C44" s="100">
        <v>25.64</v>
      </c>
      <c r="D44" s="100">
        <v>25.69</v>
      </c>
      <c r="E44" s="100">
        <v>8.07</v>
      </c>
      <c r="F44" s="152" t="s">
        <v>15</v>
      </c>
      <c r="G44" s="100">
        <v>68.540000000000006</v>
      </c>
      <c r="H44" s="100">
        <v>16.63</v>
      </c>
      <c r="I44" s="100">
        <v>7.17</v>
      </c>
      <c r="J44" s="100">
        <v>0.49</v>
      </c>
      <c r="K44" s="100">
        <v>88.91</v>
      </c>
      <c r="L44" s="100">
        <v>22.71</v>
      </c>
      <c r="M44" s="100">
        <v>27.36</v>
      </c>
      <c r="N44" s="100">
        <v>193.9</v>
      </c>
      <c r="O44" s="100">
        <v>0</v>
      </c>
      <c r="P44" s="100">
        <v>0.56000000000000005</v>
      </c>
      <c r="Q44" s="100">
        <v>12.97</v>
      </c>
      <c r="R44" s="6"/>
      <c r="S44" s="6"/>
      <c r="T44" s="156"/>
      <c r="U44" s="6"/>
    </row>
    <row r="45" spans="1:21" customFormat="1">
      <c r="A45" s="163" t="s">
        <v>947</v>
      </c>
      <c r="B45" s="100">
        <v>12.83</v>
      </c>
      <c r="C45" s="100">
        <v>26.02</v>
      </c>
      <c r="D45" s="100">
        <v>25.24</v>
      </c>
      <c r="E45" s="100">
        <v>7.77</v>
      </c>
      <c r="F45" s="152" t="s">
        <v>15</v>
      </c>
      <c r="G45" s="100">
        <v>68.540000000000006</v>
      </c>
      <c r="H45" s="100">
        <v>16.63</v>
      </c>
      <c r="I45" s="100">
        <v>7.22</v>
      </c>
      <c r="J45" s="100">
        <v>0.74</v>
      </c>
      <c r="K45" s="100">
        <v>66.17</v>
      </c>
      <c r="L45" s="100">
        <v>23.28</v>
      </c>
      <c r="M45" s="100">
        <v>24.87</v>
      </c>
      <c r="N45" s="100">
        <v>194.8</v>
      </c>
      <c r="O45" s="100">
        <v>0</v>
      </c>
      <c r="P45" s="100">
        <v>0.55000000000000004</v>
      </c>
      <c r="Q45" s="100">
        <v>12.99</v>
      </c>
      <c r="R45" s="6"/>
      <c r="S45" s="6"/>
      <c r="T45" s="156"/>
      <c r="U45" s="6"/>
    </row>
    <row r="46" spans="1:21" customFormat="1">
      <c r="A46" s="163" t="s">
        <v>948</v>
      </c>
      <c r="B46" s="100">
        <v>12.19</v>
      </c>
      <c r="C46" s="100">
        <v>26.32</v>
      </c>
      <c r="D46" s="100">
        <v>24.88</v>
      </c>
      <c r="E46" s="100">
        <v>7.73</v>
      </c>
      <c r="F46" s="152" t="s">
        <v>15</v>
      </c>
      <c r="G46" s="100">
        <v>68.540000000000006</v>
      </c>
      <c r="H46" s="100">
        <v>16.63</v>
      </c>
      <c r="I46" s="100">
        <v>7.26</v>
      </c>
      <c r="J46" s="100">
        <v>1.1100000000000001</v>
      </c>
      <c r="K46" s="100">
        <v>55.55</v>
      </c>
      <c r="L46" s="100">
        <v>23.42</v>
      </c>
      <c r="M46" s="100">
        <v>24.09</v>
      </c>
      <c r="N46" s="100">
        <v>254</v>
      </c>
      <c r="O46" s="100">
        <v>0</v>
      </c>
      <c r="P46" s="100">
        <v>0.55000000000000004</v>
      </c>
      <c r="Q46" s="100">
        <v>12.98</v>
      </c>
      <c r="R46" s="6"/>
      <c r="S46" s="6"/>
      <c r="T46" s="156"/>
      <c r="U46" s="6"/>
    </row>
    <row r="47" spans="1:21" customFormat="1">
      <c r="A47" s="163" t="s">
        <v>949</v>
      </c>
      <c r="B47" s="100">
        <v>11.97</v>
      </c>
      <c r="C47" s="100">
        <v>26.76</v>
      </c>
      <c r="D47" s="100">
        <v>24.93</v>
      </c>
      <c r="E47" s="100">
        <v>7.84</v>
      </c>
      <c r="F47" s="152" t="s">
        <v>15</v>
      </c>
      <c r="G47" s="100">
        <v>68.290000000000006</v>
      </c>
      <c r="H47" s="100">
        <v>16.82</v>
      </c>
      <c r="I47" s="100">
        <v>7.26</v>
      </c>
      <c r="J47" s="100">
        <v>1.1599999999999999</v>
      </c>
      <c r="K47" s="100">
        <v>45.67</v>
      </c>
      <c r="L47" s="100">
        <v>23.89</v>
      </c>
      <c r="M47" s="100">
        <v>23.68</v>
      </c>
      <c r="N47" s="100">
        <v>266.89999999999998</v>
      </c>
      <c r="O47" s="100">
        <v>0</v>
      </c>
      <c r="P47" s="100">
        <v>0.55000000000000004</v>
      </c>
      <c r="Q47" s="100">
        <v>12.99</v>
      </c>
      <c r="R47" s="6"/>
      <c r="S47" s="6"/>
      <c r="T47" s="156"/>
      <c r="U47" s="6"/>
    </row>
    <row r="48" spans="1:21" customFormat="1">
      <c r="A48" s="163" t="s">
        <v>950</v>
      </c>
      <c r="B48" s="100">
        <v>12.12</v>
      </c>
      <c r="C48" s="100">
        <v>27.1</v>
      </c>
      <c r="D48" s="100">
        <v>25.24</v>
      </c>
      <c r="E48" s="100">
        <v>7.79</v>
      </c>
      <c r="F48" s="152" t="s">
        <v>15</v>
      </c>
      <c r="G48" s="100">
        <v>61.15</v>
      </c>
      <c r="H48" s="100">
        <v>23.02</v>
      </c>
      <c r="I48" s="100">
        <v>7.24</v>
      </c>
      <c r="J48" s="100">
        <v>0.96</v>
      </c>
      <c r="K48" s="100">
        <v>64.48</v>
      </c>
      <c r="L48" s="100">
        <v>24.16</v>
      </c>
      <c r="M48" s="100">
        <v>23.85</v>
      </c>
      <c r="N48" s="100">
        <v>281.8</v>
      </c>
      <c r="O48" s="100">
        <v>0</v>
      </c>
      <c r="P48" s="100">
        <v>0.56000000000000005</v>
      </c>
      <c r="Q48" s="100">
        <v>12.99</v>
      </c>
      <c r="R48" s="6"/>
      <c r="S48" s="6"/>
      <c r="T48" s="156"/>
      <c r="U48" s="6"/>
    </row>
    <row r="49" spans="1:21" customFormat="1">
      <c r="A49" s="163" t="s">
        <v>951</v>
      </c>
      <c r="B49" s="100">
        <v>11.96</v>
      </c>
      <c r="C49" s="100">
        <v>27.39</v>
      </c>
      <c r="D49" s="100">
        <v>25.25</v>
      </c>
      <c r="E49" s="100">
        <v>6.68</v>
      </c>
      <c r="F49" s="152" t="s">
        <v>15</v>
      </c>
      <c r="G49" s="100">
        <v>61.15</v>
      </c>
      <c r="H49" s="100">
        <v>23.02</v>
      </c>
      <c r="I49" s="100">
        <v>7.21</v>
      </c>
      <c r="J49" s="100">
        <v>0.67</v>
      </c>
      <c r="K49" s="100">
        <v>66.34</v>
      </c>
      <c r="L49" s="100">
        <v>24.93</v>
      </c>
      <c r="M49" s="100">
        <v>23.47</v>
      </c>
      <c r="N49" s="100">
        <v>225</v>
      </c>
      <c r="O49" s="100">
        <v>0</v>
      </c>
      <c r="P49" s="100">
        <v>0.55000000000000004</v>
      </c>
      <c r="Q49" s="100">
        <v>12.98</v>
      </c>
      <c r="R49" s="6"/>
      <c r="S49" s="6"/>
      <c r="T49" s="156"/>
      <c r="U49" s="6"/>
    </row>
    <row r="50" spans="1:21" customFormat="1">
      <c r="A50" s="163" t="s">
        <v>952</v>
      </c>
      <c r="B50" s="100">
        <v>11.64</v>
      </c>
      <c r="C50" s="100">
        <v>27.58</v>
      </c>
      <c r="D50" s="100">
        <v>25.1</v>
      </c>
      <c r="E50" s="100">
        <v>8.15</v>
      </c>
      <c r="F50" s="152" t="s">
        <v>15</v>
      </c>
      <c r="G50" s="100">
        <v>61.15</v>
      </c>
      <c r="H50" s="100">
        <v>23.02</v>
      </c>
      <c r="I50" s="100">
        <v>7.2</v>
      </c>
      <c r="J50" s="100">
        <v>0.8</v>
      </c>
      <c r="K50" s="100">
        <v>55.04</v>
      </c>
      <c r="L50" s="100">
        <v>25.06</v>
      </c>
      <c r="M50" s="100">
        <v>22.94</v>
      </c>
      <c r="N50" s="100">
        <v>303.3</v>
      </c>
      <c r="O50" s="100">
        <v>0</v>
      </c>
      <c r="P50" s="100">
        <v>0.55000000000000004</v>
      </c>
      <c r="Q50" s="100">
        <v>12.98</v>
      </c>
      <c r="R50" s="6"/>
      <c r="S50" s="6"/>
      <c r="T50" s="156"/>
      <c r="U50" s="6"/>
    </row>
    <row r="51" spans="1:21" customFormat="1">
      <c r="A51" s="163" t="s">
        <v>953</v>
      </c>
      <c r="B51" s="100">
        <v>11.45</v>
      </c>
      <c r="C51" s="100">
        <v>27.79</v>
      </c>
      <c r="D51" s="100">
        <v>25.05</v>
      </c>
      <c r="E51" s="100">
        <v>7.77</v>
      </c>
      <c r="F51" s="152" t="s">
        <v>15</v>
      </c>
      <c r="G51" s="100">
        <v>61.1</v>
      </c>
      <c r="H51" s="100">
        <v>23.05</v>
      </c>
      <c r="I51" s="100">
        <v>7.16</v>
      </c>
      <c r="J51" s="100">
        <v>0.9</v>
      </c>
      <c r="K51" s="100">
        <v>46.21</v>
      </c>
      <c r="L51" s="100">
        <v>25.63</v>
      </c>
      <c r="M51" s="100">
        <v>21.63</v>
      </c>
      <c r="N51" s="100">
        <v>319.7</v>
      </c>
      <c r="O51" s="100">
        <v>0</v>
      </c>
      <c r="P51" s="100">
        <v>0.55000000000000004</v>
      </c>
      <c r="Q51" s="100">
        <v>12.98</v>
      </c>
      <c r="R51" s="6"/>
      <c r="S51" s="6"/>
      <c r="T51" s="156"/>
      <c r="U51" s="6"/>
    </row>
    <row r="52" spans="1:21" customFormat="1">
      <c r="A52" s="163" t="s">
        <v>954</v>
      </c>
      <c r="B52" s="100">
        <v>11.71</v>
      </c>
      <c r="C52" s="100">
        <v>28.1</v>
      </c>
      <c r="D52" s="100">
        <v>25.42</v>
      </c>
      <c r="E52" s="100">
        <v>8.42</v>
      </c>
      <c r="F52" s="152" t="s">
        <v>15</v>
      </c>
      <c r="G52" s="100">
        <v>59.46</v>
      </c>
      <c r="H52" s="100">
        <v>24.02</v>
      </c>
      <c r="I52" s="100">
        <v>7.14</v>
      </c>
      <c r="J52" s="100">
        <v>1.08</v>
      </c>
      <c r="K52" s="100">
        <v>50.87</v>
      </c>
      <c r="L52" s="100">
        <v>26.16</v>
      </c>
      <c r="M52" s="100">
        <v>19.45</v>
      </c>
      <c r="N52" s="100">
        <v>330.1</v>
      </c>
      <c r="O52" s="100">
        <v>0</v>
      </c>
      <c r="P52" s="100">
        <v>0.53</v>
      </c>
      <c r="Q52" s="100">
        <v>12.98</v>
      </c>
      <c r="R52" s="6"/>
      <c r="S52" s="6"/>
      <c r="T52" s="156"/>
      <c r="U52" s="6"/>
    </row>
    <row r="53" spans="1:21" customFormat="1">
      <c r="A53" s="163" t="s">
        <v>955</v>
      </c>
      <c r="B53" s="100">
        <v>12.24</v>
      </c>
      <c r="C53" s="100">
        <v>28.46</v>
      </c>
      <c r="D53" s="100">
        <v>26.03</v>
      </c>
      <c r="E53" s="100">
        <v>8.49</v>
      </c>
      <c r="F53" s="152" t="s">
        <v>15</v>
      </c>
      <c r="G53" s="100">
        <v>59.46</v>
      </c>
      <c r="H53" s="100">
        <v>24.02</v>
      </c>
      <c r="I53" s="100">
        <v>7.12</v>
      </c>
      <c r="J53" s="100">
        <v>1.21</v>
      </c>
      <c r="K53" s="100">
        <v>53.34</v>
      </c>
      <c r="L53" s="100">
        <v>26.29</v>
      </c>
      <c r="M53" s="100">
        <v>17.440000000000001</v>
      </c>
      <c r="N53" s="100">
        <v>312.5</v>
      </c>
      <c r="O53" s="100">
        <v>0</v>
      </c>
      <c r="P53" s="100">
        <v>0.54</v>
      </c>
      <c r="Q53" s="100">
        <v>12.99</v>
      </c>
      <c r="R53" s="6"/>
      <c r="S53" s="6"/>
      <c r="T53" s="156"/>
      <c r="U53" s="6"/>
    </row>
    <row r="54" spans="1:21" customFormat="1">
      <c r="A54" s="163" t="s">
        <v>956</v>
      </c>
      <c r="B54" s="100">
        <v>12.44</v>
      </c>
      <c r="C54" s="100">
        <v>28.74</v>
      </c>
      <c r="D54" s="100">
        <v>26.34</v>
      </c>
      <c r="E54" s="100">
        <v>8.94</v>
      </c>
      <c r="F54" s="152" t="s">
        <v>15</v>
      </c>
      <c r="G54" s="100">
        <v>59.46</v>
      </c>
      <c r="H54" s="100">
        <v>24.02</v>
      </c>
      <c r="I54" s="100">
        <v>7.08</v>
      </c>
      <c r="J54" s="100">
        <v>0.62</v>
      </c>
      <c r="K54" s="100">
        <v>59.19</v>
      </c>
      <c r="L54" s="100">
        <v>26.98</v>
      </c>
      <c r="M54" s="100">
        <v>17.34</v>
      </c>
      <c r="N54" s="100">
        <v>317</v>
      </c>
      <c r="O54" s="100">
        <v>0</v>
      </c>
      <c r="P54" s="100">
        <v>0.53</v>
      </c>
      <c r="Q54" s="100">
        <v>12.98</v>
      </c>
      <c r="R54" s="6"/>
      <c r="S54" s="6"/>
      <c r="T54" s="156"/>
      <c r="U54" s="6"/>
    </row>
    <row r="55" spans="1:21" customFormat="1">
      <c r="A55" s="163" t="s">
        <v>957</v>
      </c>
      <c r="B55" s="100">
        <v>12.47</v>
      </c>
      <c r="C55" s="100">
        <v>28.79</v>
      </c>
      <c r="D55" s="100">
        <v>26.39</v>
      </c>
      <c r="E55" s="100">
        <v>8.1300000000000008</v>
      </c>
      <c r="F55" s="152" t="s">
        <v>15</v>
      </c>
      <c r="G55" s="100">
        <v>59.52</v>
      </c>
      <c r="H55" s="100">
        <v>24.09</v>
      </c>
      <c r="I55" s="100">
        <v>7.04</v>
      </c>
      <c r="J55" s="100">
        <v>0.91</v>
      </c>
      <c r="K55" s="100">
        <v>56.59</v>
      </c>
      <c r="L55" s="100">
        <v>27.69</v>
      </c>
      <c r="M55" s="100">
        <v>16.649999999999999</v>
      </c>
      <c r="N55" s="100">
        <v>343.9</v>
      </c>
      <c r="O55" s="100">
        <v>0</v>
      </c>
      <c r="P55" s="100">
        <v>0.53</v>
      </c>
      <c r="Q55" s="100">
        <v>12.99</v>
      </c>
      <c r="R55" s="6"/>
      <c r="S55" s="6"/>
      <c r="T55" s="156"/>
      <c r="U55" s="6"/>
    </row>
    <row r="56" spans="1:21" customFormat="1">
      <c r="A56" s="163" t="s">
        <v>958</v>
      </c>
      <c r="B56" s="100">
        <v>12.56</v>
      </c>
      <c r="C56" s="100">
        <v>28.87</v>
      </c>
      <c r="D56" s="100">
        <v>26.5</v>
      </c>
      <c r="E56" s="100">
        <v>7.98</v>
      </c>
      <c r="F56" s="152" t="s">
        <v>15</v>
      </c>
      <c r="G56" s="100">
        <v>61.27</v>
      </c>
      <c r="H56" s="100">
        <v>26.41</v>
      </c>
      <c r="I56" s="100">
        <v>6.93</v>
      </c>
      <c r="J56" s="100">
        <v>0.56999999999999995</v>
      </c>
      <c r="K56" s="100">
        <v>61.78</v>
      </c>
      <c r="L56" s="100">
        <v>28.1</v>
      </c>
      <c r="M56" s="100">
        <v>16.66</v>
      </c>
      <c r="N56" s="100">
        <v>338.5</v>
      </c>
      <c r="O56" s="100">
        <v>0</v>
      </c>
      <c r="P56" s="100">
        <v>0.53</v>
      </c>
      <c r="Q56" s="100">
        <v>13</v>
      </c>
      <c r="R56" s="6"/>
      <c r="S56" s="6"/>
      <c r="T56" s="156"/>
      <c r="U56" s="6"/>
    </row>
    <row r="57" spans="1:21" customFormat="1">
      <c r="A57" s="163" t="s">
        <v>959</v>
      </c>
      <c r="B57" s="100">
        <v>12.5</v>
      </c>
      <c r="C57" s="100">
        <v>28.52</v>
      </c>
      <c r="D57" s="100">
        <v>26.28</v>
      </c>
      <c r="E57" s="100">
        <v>8.02</v>
      </c>
      <c r="F57" s="152" t="s">
        <v>15</v>
      </c>
      <c r="G57" s="100">
        <v>61.27</v>
      </c>
      <c r="H57" s="100">
        <v>26.41</v>
      </c>
      <c r="I57" s="100">
        <v>6.79</v>
      </c>
      <c r="J57" s="100">
        <v>0.55000000000000004</v>
      </c>
      <c r="K57" s="100">
        <v>83.62</v>
      </c>
      <c r="L57" s="100">
        <v>28.64</v>
      </c>
      <c r="M57" s="100">
        <v>14.43</v>
      </c>
      <c r="N57" s="100">
        <v>361.8</v>
      </c>
      <c r="O57" s="100">
        <v>0</v>
      </c>
      <c r="P57" s="100">
        <v>0.57999999999999996</v>
      </c>
      <c r="Q57" s="100">
        <v>12.98</v>
      </c>
      <c r="R57" s="6"/>
      <c r="S57" s="6"/>
      <c r="T57" s="156"/>
      <c r="U57" s="6"/>
    </row>
    <row r="58" spans="1:21" customFormat="1">
      <c r="A58" s="163" t="s">
        <v>960</v>
      </c>
      <c r="B58" s="100">
        <v>11.97</v>
      </c>
      <c r="C58" s="100">
        <v>27.47</v>
      </c>
      <c r="D58" s="100">
        <v>25.3</v>
      </c>
      <c r="E58" s="100">
        <v>7.63</v>
      </c>
      <c r="F58" s="152" t="s">
        <v>15</v>
      </c>
      <c r="G58" s="100">
        <v>61.27</v>
      </c>
      <c r="H58" s="100">
        <v>26.41</v>
      </c>
      <c r="I58" s="100">
        <v>6.86</v>
      </c>
      <c r="J58" s="100">
        <v>0.72</v>
      </c>
      <c r="K58" s="100">
        <v>41.15</v>
      </c>
      <c r="L58" s="100">
        <v>28.5</v>
      </c>
      <c r="M58" s="100">
        <v>13.97</v>
      </c>
      <c r="N58" s="100">
        <v>365.9</v>
      </c>
      <c r="O58" s="100">
        <v>0</v>
      </c>
      <c r="P58" s="100">
        <v>0.59</v>
      </c>
      <c r="Q58" s="100">
        <v>12.97</v>
      </c>
      <c r="R58" s="6"/>
      <c r="S58" s="6"/>
      <c r="T58" s="156"/>
      <c r="U58" s="6"/>
    </row>
    <row r="59" spans="1:21" customFormat="1">
      <c r="A59" s="163" t="s">
        <v>961</v>
      </c>
      <c r="B59" s="100">
        <v>11.53</v>
      </c>
      <c r="C59" s="100">
        <v>26.55</v>
      </c>
      <c r="D59" s="100">
        <v>24.47</v>
      </c>
      <c r="E59" s="100">
        <v>7.2</v>
      </c>
      <c r="F59" s="152" t="s">
        <v>15</v>
      </c>
      <c r="G59" s="100">
        <v>61.16</v>
      </c>
      <c r="H59" s="100">
        <v>26.47</v>
      </c>
      <c r="I59" s="100">
        <v>6.71</v>
      </c>
      <c r="J59" s="100">
        <v>0.79</v>
      </c>
      <c r="K59" s="100">
        <v>62.82</v>
      </c>
      <c r="L59" s="100">
        <v>28.43</v>
      </c>
      <c r="M59" s="100">
        <v>14.15</v>
      </c>
      <c r="N59" s="100">
        <v>328.7</v>
      </c>
      <c r="O59" s="100">
        <v>0</v>
      </c>
      <c r="P59" s="100">
        <v>0.59</v>
      </c>
      <c r="Q59" s="100">
        <v>12.96</v>
      </c>
      <c r="R59" s="6"/>
      <c r="S59" s="6"/>
      <c r="T59" s="156"/>
      <c r="U59" s="6"/>
    </row>
    <row r="60" spans="1:21" customFormat="1">
      <c r="A60" s="163" t="s">
        <v>962</v>
      </c>
      <c r="B60" s="100">
        <v>11.08</v>
      </c>
      <c r="C60" s="100">
        <v>25.8</v>
      </c>
      <c r="D60" s="100">
        <v>23.72</v>
      </c>
      <c r="E60" s="100">
        <v>7.17</v>
      </c>
      <c r="F60" s="152" t="s">
        <v>15</v>
      </c>
      <c r="G60" s="100">
        <v>58.64</v>
      </c>
      <c r="H60" s="100">
        <v>28.35</v>
      </c>
      <c r="I60" s="100">
        <v>6.57</v>
      </c>
      <c r="J60" s="100">
        <v>0.71</v>
      </c>
      <c r="K60" s="100">
        <v>8.68</v>
      </c>
      <c r="L60" s="100">
        <v>28.87</v>
      </c>
      <c r="M60" s="100">
        <v>14.35</v>
      </c>
      <c r="N60" s="100">
        <v>360.3</v>
      </c>
      <c r="O60" s="100">
        <v>0</v>
      </c>
      <c r="P60" s="100">
        <v>0.57999999999999996</v>
      </c>
      <c r="Q60" s="100">
        <v>12.96</v>
      </c>
      <c r="R60" s="6"/>
      <c r="S60" s="6"/>
      <c r="T60" s="156"/>
      <c r="U60" s="6"/>
    </row>
    <row r="61" spans="1:21" customFormat="1">
      <c r="A61" s="163" t="s">
        <v>963</v>
      </c>
      <c r="B61" s="100">
        <v>10.79</v>
      </c>
      <c r="C61" s="100">
        <v>25.06</v>
      </c>
      <c r="D61" s="100">
        <v>23.09</v>
      </c>
      <c r="E61" s="100">
        <v>7.59</v>
      </c>
      <c r="F61" s="152" t="s">
        <v>15</v>
      </c>
      <c r="G61" s="100">
        <v>58.64</v>
      </c>
      <c r="H61" s="100">
        <v>28.35</v>
      </c>
      <c r="I61" s="100">
        <v>6.56</v>
      </c>
      <c r="J61" s="100">
        <v>0.49</v>
      </c>
      <c r="K61" s="100">
        <v>70.209999999999994</v>
      </c>
      <c r="L61" s="100">
        <v>29.31</v>
      </c>
      <c r="M61" s="100">
        <v>14.67</v>
      </c>
      <c r="N61" s="100">
        <v>342.9</v>
      </c>
      <c r="O61" s="100">
        <v>0</v>
      </c>
      <c r="P61" s="100">
        <v>0.56999999999999995</v>
      </c>
      <c r="Q61" s="100">
        <v>12.97</v>
      </c>
      <c r="R61" s="6"/>
      <c r="S61" s="6"/>
      <c r="T61" s="156"/>
      <c r="U61" s="6"/>
    </row>
    <row r="62" spans="1:21" customFormat="1">
      <c r="A62" s="163" t="s">
        <v>964</v>
      </c>
      <c r="B62" s="100">
        <v>10.41</v>
      </c>
      <c r="C62" s="100">
        <v>24.5</v>
      </c>
      <c r="D62" s="100">
        <v>22.5</v>
      </c>
      <c r="E62" s="100">
        <v>7.46</v>
      </c>
      <c r="F62" s="152" t="s">
        <v>15</v>
      </c>
      <c r="G62" s="100">
        <v>58.64</v>
      </c>
      <c r="H62" s="100">
        <v>28.35</v>
      </c>
      <c r="I62" s="100">
        <v>6.52</v>
      </c>
      <c r="J62" s="100">
        <v>0.56000000000000005</v>
      </c>
      <c r="K62" s="100">
        <v>68.760000000000005</v>
      </c>
      <c r="L62" s="100">
        <v>29.57</v>
      </c>
      <c r="M62" s="100">
        <v>14.93</v>
      </c>
      <c r="N62" s="100">
        <v>326.39999999999998</v>
      </c>
      <c r="O62" s="100">
        <v>0</v>
      </c>
      <c r="P62" s="100">
        <v>0.57999999999999996</v>
      </c>
      <c r="Q62" s="100">
        <v>12.95</v>
      </c>
      <c r="R62" s="6"/>
      <c r="S62" s="6"/>
      <c r="T62" s="156"/>
      <c r="U62" s="6"/>
    </row>
    <row r="63" spans="1:21" customFormat="1">
      <c r="A63" s="163" t="s">
        <v>965</v>
      </c>
      <c r="B63" s="100">
        <v>10.14</v>
      </c>
      <c r="C63" s="100">
        <v>24.2</v>
      </c>
      <c r="D63" s="100">
        <v>22.13</v>
      </c>
      <c r="E63" s="100">
        <v>8.0399999999999991</v>
      </c>
      <c r="F63" s="152" t="s">
        <v>15</v>
      </c>
      <c r="G63" s="100">
        <v>58.6</v>
      </c>
      <c r="H63" s="100">
        <v>28.34</v>
      </c>
      <c r="I63" s="100">
        <v>6.47</v>
      </c>
      <c r="J63" s="100">
        <v>1.1000000000000001</v>
      </c>
      <c r="K63" s="100">
        <v>51.83</v>
      </c>
      <c r="L63" s="100">
        <v>29.23</v>
      </c>
      <c r="M63" s="100">
        <v>16.11</v>
      </c>
      <c r="N63" s="100">
        <v>267.10000000000002</v>
      </c>
      <c r="O63" s="100">
        <v>0</v>
      </c>
      <c r="P63" s="100">
        <v>0.56999999999999995</v>
      </c>
      <c r="Q63" s="100">
        <v>12.97</v>
      </c>
      <c r="R63" s="6"/>
      <c r="S63" s="6"/>
      <c r="T63" s="156"/>
      <c r="U63" s="6"/>
    </row>
    <row r="64" spans="1:21" customFormat="1">
      <c r="A64" s="163" t="s">
        <v>966</v>
      </c>
      <c r="B64" s="100">
        <v>10.06</v>
      </c>
      <c r="C64" s="100">
        <v>24.04</v>
      </c>
      <c r="D64" s="100">
        <v>21.98</v>
      </c>
      <c r="E64" s="100">
        <v>7.84</v>
      </c>
      <c r="F64" s="152" t="s">
        <v>15</v>
      </c>
      <c r="G64" s="100">
        <v>57.78</v>
      </c>
      <c r="H64" s="100">
        <v>27.93</v>
      </c>
      <c r="I64" s="100">
        <v>6.45</v>
      </c>
      <c r="J64" s="100">
        <v>0.35</v>
      </c>
      <c r="K64" s="100">
        <v>16.86</v>
      </c>
      <c r="L64" s="100">
        <v>29.54</v>
      </c>
      <c r="M64" s="100">
        <v>16.489999999999998</v>
      </c>
      <c r="N64" s="100">
        <v>282.39999999999998</v>
      </c>
      <c r="O64" s="100">
        <v>0</v>
      </c>
      <c r="P64" s="100">
        <v>0.56999999999999995</v>
      </c>
      <c r="Q64" s="100">
        <v>12.96</v>
      </c>
      <c r="R64" s="6"/>
      <c r="S64" s="6"/>
      <c r="T64" s="156"/>
      <c r="U64" s="6"/>
    </row>
    <row r="65" spans="1:21" customFormat="1">
      <c r="A65" s="163" t="s">
        <v>967</v>
      </c>
      <c r="B65" s="100">
        <v>10.210000000000001</v>
      </c>
      <c r="C65" s="100">
        <v>24.02</v>
      </c>
      <c r="D65" s="100">
        <v>22.09</v>
      </c>
      <c r="E65" s="100">
        <v>8.5500000000000007</v>
      </c>
      <c r="F65" s="152" t="s">
        <v>15</v>
      </c>
      <c r="G65" s="100">
        <v>57.78</v>
      </c>
      <c r="H65" s="100">
        <v>27.93</v>
      </c>
      <c r="I65" s="100">
        <v>6.4</v>
      </c>
      <c r="J65" s="100">
        <v>0.77</v>
      </c>
      <c r="K65" s="100">
        <v>345.51</v>
      </c>
      <c r="L65" s="100">
        <v>29.13</v>
      </c>
      <c r="M65" s="100">
        <v>17.5</v>
      </c>
      <c r="N65" s="100">
        <v>184.4</v>
      </c>
      <c r="O65" s="100">
        <v>0</v>
      </c>
      <c r="P65" s="100">
        <v>0.45</v>
      </c>
      <c r="Q65" s="100">
        <v>12.95</v>
      </c>
      <c r="R65" s="6"/>
      <c r="S65" s="6"/>
      <c r="T65" s="156"/>
      <c r="U65" s="6"/>
    </row>
    <row r="66" spans="1:21" customFormat="1">
      <c r="A66" s="163" t="s">
        <v>968</v>
      </c>
      <c r="B66" s="100">
        <v>10.26</v>
      </c>
      <c r="C66" s="100">
        <v>24.13</v>
      </c>
      <c r="D66" s="100">
        <v>22.19</v>
      </c>
      <c r="E66" s="100">
        <v>9.5500000000000007</v>
      </c>
      <c r="F66" s="152" t="s">
        <v>15</v>
      </c>
      <c r="G66" s="100">
        <v>57.78</v>
      </c>
      <c r="H66" s="100">
        <v>27.93</v>
      </c>
      <c r="I66" s="100">
        <v>6.4</v>
      </c>
      <c r="J66" s="100">
        <v>0.64</v>
      </c>
      <c r="K66" s="100">
        <v>15.14</v>
      </c>
      <c r="L66" s="100">
        <v>29.11</v>
      </c>
      <c r="M66" s="100">
        <v>17.850000000000001</v>
      </c>
      <c r="N66" s="100">
        <v>188.9</v>
      </c>
      <c r="O66" s="100">
        <v>0</v>
      </c>
      <c r="P66" s="100">
        <v>0.46</v>
      </c>
      <c r="Q66" s="100">
        <v>12.96</v>
      </c>
      <c r="R66" s="6"/>
      <c r="S66" s="6"/>
      <c r="T66" s="156"/>
      <c r="U66" s="6"/>
    </row>
    <row r="67" spans="1:21" customFormat="1">
      <c r="A67" s="163" t="s">
        <v>969</v>
      </c>
      <c r="B67" s="100">
        <v>10.37</v>
      </c>
      <c r="C67" s="100">
        <v>23.99</v>
      </c>
      <c r="D67" s="100">
        <v>22.2</v>
      </c>
      <c r="E67" s="100">
        <v>9.6999999999999993</v>
      </c>
      <c r="F67" s="152" t="s">
        <v>15</v>
      </c>
      <c r="G67" s="100">
        <v>57.75</v>
      </c>
      <c r="H67" s="100">
        <v>27.97</v>
      </c>
      <c r="I67" s="100">
        <v>6.38</v>
      </c>
      <c r="J67" s="100">
        <v>0.55000000000000004</v>
      </c>
      <c r="K67" s="100">
        <v>57.82</v>
      </c>
      <c r="L67" s="100">
        <v>29.07</v>
      </c>
      <c r="M67" s="100">
        <v>17.78</v>
      </c>
      <c r="N67" s="100">
        <v>135.19999999999999</v>
      </c>
      <c r="O67" s="100">
        <v>0</v>
      </c>
      <c r="P67" s="100">
        <v>0.47</v>
      </c>
      <c r="Q67" s="100">
        <v>12.96</v>
      </c>
      <c r="R67" s="6"/>
      <c r="S67" s="6"/>
      <c r="T67" s="156"/>
      <c r="U67" s="6"/>
    </row>
    <row r="68" spans="1:21" customFormat="1">
      <c r="A68" s="163" t="s">
        <v>970</v>
      </c>
      <c r="B68" s="100">
        <v>10.51</v>
      </c>
      <c r="C68" s="100">
        <v>23.56</v>
      </c>
      <c r="D68" s="100">
        <v>22.09</v>
      </c>
      <c r="E68" s="100">
        <v>11.3</v>
      </c>
      <c r="F68" s="152" t="s">
        <v>15</v>
      </c>
      <c r="G68" s="100">
        <v>56.84</v>
      </c>
      <c r="H68" s="100">
        <v>29.44</v>
      </c>
      <c r="I68" s="100">
        <v>6.36</v>
      </c>
      <c r="J68" s="100">
        <v>0.91</v>
      </c>
      <c r="K68" s="100">
        <v>28.19</v>
      </c>
      <c r="L68" s="100">
        <v>29.02</v>
      </c>
      <c r="M68" s="100">
        <v>17.600000000000001</v>
      </c>
      <c r="N68" s="100">
        <v>111.1</v>
      </c>
      <c r="O68" s="100">
        <v>0</v>
      </c>
      <c r="P68" s="100">
        <v>0.47</v>
      </c>
      <c r="Q68" s="100">
        <v>12.96</v>
      </c>
      <c r="R68" s="6"/>
      <c r="S68" s="6"/>
      <c r="T68" s="156"/>
      <c r="U68" s="6"/>
    </row>
    <row r="69" spans="1:21" customFormat="1">
      <c r="A69" s="163" t="s">
        <v>971</v>
      </c>
      <c r="B69" s="100">
        <v>10.53</v>
      </c>
      <c r="C69" s="100">
        <v>23.98</v>
      </c>
      <c r="D69" s="100">
        <v>22.32</v>
      </c>
      <c r="E69" s="100">
        <v>23.17</v>
      </c>
      <c r="F69" s="152" t="s">
        <v>15</v>
      </c>
      <c r="G69" s="100">
        <v>56.84</v>
      </c>
      <c r="H69" s="100">
        <v>29.44</v>
      </c>
      <c r="I69" s="100">
        <v>6.34</v>
      </c>
      <c r="J69" s="100">
        <v>0.62</v>
      </c>
      <c r="K69" s="100">
        <v>49.51</v>
      </c>
      <c r="L69" s="100">
        <v>28.89</v>
      </c>
      <c r="M69" s="100">
        <v>16.850000000000001</v>
      </c>
      <c r="N69" s="100">
        <v>90.5</v>
      </c>
      <c r="O69" s="100">
        <v>0</v>
      </c>
      <c r="P69" s="100">
        <v>0.48</v>
      </c>
      <c r="Q69" s="100">
        <v>12.96</v>
      </c>
      <c r="R69" s="6"/>
      <c r="S69" s="6"/>
      <c r="T69" s="156"/>
      <c r="U69" s="6"/>
    </row>
    <row r="70" spans="1:21" customFormat="1">
      <c r="A70" s="163" t="s">
        <v>972</v>
      </c>
      <c r="B70" s="100">
        <v>10.84</v>
      </c>
      <c r="C70" s="100">
        <v>24.32</v>
      </c>
      <c r="D70" s="100">
        <v>22.75</v>
      </c>
      <c r="E70" s="100">
        <v>22.66</v>
      </c>
      <c r="F70" s="152" t="s">
        <v>15</v>
      </c>
      <c r="G70" s="100">
        <v>56.84</v>
      </c>
      <c r="H70" s="100">
        <v>29.44</v>
      </c>
      <c r="I70" s="100">
        <v>6.32</v>
      </c>
      <c r="J70" s="100">
        <v>0.61</v>
      </c>
      <c r="K70" s="100">
        <v>47</v>
      </c>
      <c r="L70" s="100">
        <v>28.96</v>
      </c>
      <c r="M70" s="100">
        <v>17.11</v>
      </c>
      <c r="N70" s="100">
        <v>79.2</v>
      </c>
      <c r="O70" s="100">
        <v>0</v>
      </c>
      <c r="P70" s="100">
        <v>0.48</v>
      </c>
      <c r="Q70" s="100">
        <v>12.95</v>
      </c>
      <c r="R70" s="6"/>
      <c r="S70" s="6"/>
      <c r="T70" s="156"/>
      <c r="U70" s="6"/>
    </row>
    <row r="71" spans="1:21" customFormat="1">
      <c r="A71" s="163" t="s">
        <v>973</v>
      </c>
      <c r="B71" s="100">
        <v>11.23</v>
      </c>
      <c r="C71" s="100">
        <v>24.51</v>
      </c>
      <c r="D71" s="100">
        <v>23.16</v>
      </c>
      <c r="E71" s="100">
        <v>37.35</v>
      </c>
      <c r="F71" s="152" t="s">
        <v>15</v>
      </c>
      <c r="G71" s="100">
        <v>56.91</v>
      </c>
      <c r="H71" s="100">
        <v>29.43</v>
      </c>
      <c r="I71" s="100">
        <v>6.35</v>
      </c>
      <c r="J71" s="100">
        <v>0.61</v>
      </c>
      <c r="K71" s="100">
        <v>17.690000000000001</v>
      </c>
      <c r="L71" s="100">
        <v>28.83</v>
      </c>
      <c r="M71" s="100">
        <v>18.39</v>
      </c>
      <c r="N71" s="100">
        <v>75.8</v>
      </c>
      <c r="O71" s="100">
        <v>0</v>
      </c>
      <c r="P71" s="100">
        <v>0.51</v>
      </c>
      <c r="Q71" s="100">
        <v>12.97</v>
      </c>
      <c r="R71" s="6"/>
      <c r="S71" s="6"/>
      <c r="T71" s="156"/>
      <c r="U71" s="6"/>
    </row>
    <row r="72" spans="1:21" customFormat="1">
      <c r="A72" s="163" t="s">
        <v>974</v>
      </c>
      <c r="B72" s="100">
        <v>11.53</v>
      </c>
      <c r="C72" s="100">
        <v>24.49</v>
      </c>
      <c r="D72" s="100">
        <v>23.39</v>
      </c>
      <c r="E72" s="100">
        <v>25.54</v>
      </c>
      <c r="F72" s="152" t="s">
        <v>15</v>
      </c>
      <c r="G72" s="100">
        <v>58.87</v>
      </c>
      <c r="H72" s="100">
        <v>28.95</v>
      </c>
      <c r="I72" s="100">
        <v>6.37</v>
      </c>
      <c r="J72" s="100">
        <v>0.69</v>
      </c>
      <c r="K72" s="100">
        <v>27.69</v>
      </c>
      <c r="L72" s="100">
        <v>28.91</v>
      </c>
      <c r="M72" s="100">
        <v>20.010000000000002</v>
      </c>
      <c r="N72" s="100">
        <v>67.599999999999994</v>
      </c>
      <c r="O72" s="100">
        <v>0</v>
      </c>
      <c r="P72" s="100">
        <v>0.5</v>
      </c>
      <c r="Q72" s="100">
        <v>12.98</v>
      </c>
      <c r="R72" s="6"/>
      <c r="S72" s="6"/>
      <c r="T72" s="156"/>
      <c r="U72" s="6"/>
    </row>
    <row r="73" spans="1:21" customFormat="1">
      <c r="A73" s="163" t="s">
        <v>975</v>
      </c>
      <c r="B73" s="100">
        <v>11.42</v>
      </c>
      <c r="C73" s="100">
        <v>24.47</v>
      </c>
      <c r="D73" s="100">
        <v>23.29</v>
      </c>
      <c r="E73" s="100">
        <v>16.850000000000001</v>
      </c>
      <c r="F73" s="152" t="s">
        <v>15</v>
      </c>
      <c r="G73" s="100">
        <v>58.87</v>
      </c>
      <c r="H73" s="100">
        <v>28.95</v>
      </c>
      <c r="I73" s="100">
        <v>6.29</v>
      </c>
      <c r="J73" s="100">
        <v>0.55000000000000004</v>
      </c>
      <c r="K73" s="100">
        <v>7.36</v>
      </c>
      <c r="L73" s="100">
        <v>28.35</v>
      </c>
      <c r="M73" s="100">
        <v>22.48</v>
      </c>
      <c r="N73" s="100">
        <v>50.2</v>
      </c>
      <c r="O73" s="100">
        <v>0</v>
      </c>
      <c r="P73" s="100">
        <v>0.52</v>
      </c>
      <c r="Q73" s="100">
        <v>12.97</v>
      </c>
      <c r="R73" s="6"/>
      <c r="S73" s="6"/>
      <c r="T73" s="156"/>
      <c r="U73" s="6"/>
    </row>
    <row r="74" spans="1:21" customFormat="1">
      <c r="A74" s="163" t="s">
        <v>976</v>
      </c>
      <c r="B74" s="100">
        <v>11.31</v>
      </c>
      <c r="C74" s="100">
        <v>24.77</v>
      </c>
      <c r="D74" s="100">
        <v>23.36</v>
      </c>
      <c r="E74" s="100">
        <v>25.97</v>
      </c>
      <c r="F74" s="152" t="s">
        <v>15</v>
      </c>
      <c r="G74" s="100">
        <v>58.87</v>
      </c>
      <c r="H74" s="100">
        <v>28.95</v>
      </c>
      <c r="I74" s="100">
        <v>6.35</v>
      </c>
      <c r="J74" s="100">
        <v>0.48</v>
      </c>
      <c r="K74" s="100">
        <v>7.58</v>
      </c>
      <c r="L74" s="100">
        <v>28.17</v>
      </c>
      <c r="M74" s="100">
        <v>22.89</v>
      </c>
      <c r="N74" s="100">
        <v>46.6</v>
      </c>
      <c r="O74" s="100">
        <v>0</v>
      </c>
      <c r="P74" s="100">
        <v>0.52</v>
      </c>
      <c r="Q74" s="100">
        <v>12.98</v>
      </c>
      <c r="R74" s="6"/>
      <c r="S74" s="6"/>
      <c r="T74" s="156"/>
      <c r="U74" s="6"/>
    </row>
    <row r="75" spans="1:21" customFormat="1">
      <c r="A75" s="163" t="s">
        <v>977</v>
      </c>
      <c r="B75" s="100">
        <v>11.12</v>
      </c>
      <c r="C75" s="100">
        <v>25.22</v>
      </c>
      <c r="D75" s="100">
        <v>23.44</v>
      </c>
      <c r="E75" s="100">
        <v>16.63</v>
      </c>
      <c r="F75" s="152" t="s">
        <v>15</v>
      </c>
      <c r="G75" s="100">
        <v>59.16</v>
      </c>
      <c r="H75" s="100">
        <v>28.9</v>
      </c>
      <c r="I75" s="100">
        <v>6.42</v>
      </c>
      <c r="J75" s="100">
        <v>0.52</v>
      </c>
      <c r="K75" s="100">
        <v>358.91</v>
      </c>
      <c r="L75" s="100">
        <v>28.02</v>
      </c>
      <c r="M75" s="100">
        <v>23.2</v>
      </c>
      <c r="N75" s="100">
        <v>39.1</v>
      </c>
      <c r="O75" s="100">
        <v>0</v>
      </c>
      <c r="P75" s="100">
        <v>0.52</v>
      </c>
      <c r="Q75" s="100">
        <v>12.97</v>
      </c>
      <c r="R75" s="6"/>
      <c r="S75" s="6"/>
      <c r="T75" s="156"/>
      <c r="U75" s="6"/>
    </row>
    <row r="76" spans="1:21" customFormat="1">
      <c r="A76" s="163" t="s">
        <v>978</v>
      </c>
      <c r="B76" s="100">
        <v>10.5</v>
      </c>
      <c r="C76" s="100">
        <v>25.68</v>
      </c>
      <c r="D76" s="100">
        <v>23.19</v>
      </c>
      <c r="E76" s="100">
        <v>12.44</v>
      </c>
      <c r="F76" s="152" t="s">
        <v>15</v>
      </c>
      <c r="G76" s="100">
        <v>65.45</v>
      </c>
      <c r="H76" s="100">
        <v>27.33</v>
      </c>
      <c r="I76" s="100">
        <v>6.46</v>
      </c>
      <c r="J76" s="100">
        <v>0.63</v>
      </c>
      <c r="K76" s="100">
        <v>30.9</v>
      </c>
      <c r="L76" s="100">
        <v>27.86</v>
      </c>
      <c r="M76" s="100">
        <v>23.39</v>
      </c>
      <c r="N76" s="100">
        <v>28.2</v>
      </c>
      <c r="O76" s="100">
        <v>0</v>
      </c>
      <c r="P76" s="100">
        <v>0.47</v>
      </c>
      <c r="Q76" s="100">
        <v>12.97</v>
      </c>
      <c r="R76" s="6"/>
      <c r="S76" s="6"/>
      <c r="T76" s="156"/>
      <c r="U76" s="6"/>
    </row>
    <row r="77" spans="1:21" customFormat="1">
      <c r="A77" s="163" t="s">
        <v>979</v>
      </c>
      <c r="B77" s="100">
        <v>9.82</v>
      </c>
      <c r="C77" s="100">
        <v>26.74</v>
      </c>
      <c r="D77" s="100">
        <v>23.19</v>
      </c>
      <c r="E77" s="100">
        <v>10.64</v>
      </c>
      <c r="F77" s="152" t="s">
        <v>15</v>
      </c>
      <c r="G77" s="100">
        <v>65.45</v>
      </c>
      <c r="H77" s="100">
        <v>27.33</v>
      </c>
      <c r="I77" s="100">
        <v>6.46</v>
      </c>
      <c r="J77" s="100">
        <v>0.57999999999999996</v>
      </c>
      <c r="K77" s="100">
        <v>48.56</v>
      </c>
      <c r="L77" s="100">
        <v>27.67</v>
      </c>
      <c r="M77" s="100">
        <v>24.08</v>
      </c>
      <c r="N77" s="100">
        <v>20.7</v>
      </c>
      <c r="O77" s="100">
        <v>0</v>
      </c>
      <c r="P77" s="100">
        <v>0.45</v>
      </c>
      <c r="Q77" s="100">
        <v>12.97</v>
      </c>
      <c r="R77" s="6"/>
      <c r="S77" s="6"/>
      <c r="T77" s="156"/>
      <c r="U77" s="6"/>
    </row>
    <row r="78" spans="1:21" customFormat="1">
      <c r="A78" s="163" t="s">
        <v>980</v>
      </c>
      <c r="B78" s="100">
        <v>9.39</v>
      </c>
      <c r="C78" s="100">
        <v>28.06</v>
      </c>
      <c r="D78" s="100">
        <v>23.54</v>
      </c>
      <c r="E78" s="100">
        <v>9.1999999999999993</v>
      </c>
      <c r="F78" s="152" t="s">
        <v>15</v>
      </c>
      <c r="G78" s="100">
        <v>65.45</v>
      </c>
      <c r="H78" s="100">
        <v>27.33</v>
      </c>
      <c r="I78" s="100">
        <v>6.5</v>
      </c>
      <c r="J78" s="100">
        <v>0.5</v>
      </c>
      <c r="K78" s="100">
        <v>54.94</v>
      </c>
      <c r="L78" s="100">
        <v>27.39</v>
      </c>
      <c r="M78" s="100">
        <v>24.9</v>
      </c>
      <c r="N78" s="100">
        <v>13</v>
      </c>
      <c r="O78" s="100">
        <v>0</v>
      </c>
      <c r="P78" s="100">
        <v>0.47</v>
      </c>
      <c r="Q78" s="100">
        <v>12.98</v>
      </c>
      <c r="R78" s="6"/>
      <c r="S78" s="6"/>
      <c r="T78" s="156"/>
      <c r="U78" s="6"/>
    </row>
    <row r="79" spans="1:21" customFormat="1">
      <c r="A79" s="163" t="s">
        <v>981</v>
      </c>
      <c r="B79" s="100">
        <v>9.1199999999999992</v>
      </c>
      <c r="C79" s="100">
        <v>29.18</v>
      </c>
      <c r="D79" s="100">
        <v>23.92</v>
      </c>
      <c r="E79" s="100">
        <v>8.36</v>
      </c>
      <c r="F79" s="152" t="s">
        <v>15</v>
      </c>
      <c r="G79" s="100">
        <v>65.62</v>
      </c>
      <c r="H79" s="100">
        <v>27.32</v>
      </c>
      <c r="I79" s="100">
        <v>6.59</v>
      </c>
      <c r="J79" s="100">
        <v>0.36</v>
      </c>
      <c r="K79" s="100">
        <v>31.71</v>
      </c>
      <c r="L79" s="100">
        <v>27</v>
      </c>
      <c r="M79" s="100">
        <v>26.39</v>
      </c>
      <c r="N79" s="100">
        <v>6.8</v>
      </c>
      <c r="O79" s="100">
        <v>0</v>
      </c>
      <c r="P79" s="100">
        <v>0.49</v>
      </c>
      <c r="Q79" s="100">
        <v>12.98</v>
      </c>
      <c r="R79" s="6"/>
      <c r="S79" s="6"/>
      <c r="T79" s="156"/>
      <c r="U79" s="6"/>
    </row>
    <row r="80" spans="1:21" customFormat="1">
      <c r="A80" s="163" t="s">
        <v>982</v>
      </c>
      <c r="B80" s="100">
        <v>8.83</v>
      </c>
      <c r="C80" s="100">
        <v>29.58</v>
      </c>
      <c r="D80" s="100">
        <v>23.88</v>
      </c>
      <c r="E80" s="100">
        <v>8.11</v>
      </c>
      <c r="F80" s="152" t="s">
        <v>15</v>
      </c>
      <c r="G80" s="100">
        <v>70.62</v>
      </c>
      <c r="H80" s="100">
        <v>26.92</v>
      </c>
      <c r="I80" s="100">
        <v>6.7</v>
      </c>
      <c r="J80" s="100">
        <v>0.17</v>
      </c>
      <c r="K80" s="100">
        <v>130.91999999999999</v>
      </c>
      <c r="L80" s="100">
        <v>26.14</v>
      </c>
      <c r="M80" s="100">
        <v>30.9</v>
      </c>
      <c r="N80" s="100">
        <v>3.3</v>
      </c>
      <c r="O80" s="100">
        <v>0</v>
      </c>
      <c r="P80" s="100">
        <v>0.5</v>
      </c>
      <c r="Q80" s="100">
        <v>12.98</v>
      </c>
      <c r="R80" s="6"/>
      <c r="S80" s="6"/>
      <c r="T80" s="156"/>
      <c r="U80" s="6"/>
    </row>
    <row r="81" spans="1:21" customFormat="1">
      <c r="A81" s="163" t="s">
        <v>983</v>
      </c>
      <c r="B81" s="100">
        <v>8.39</v>
      </c>
      <c r="C81" s="100">
        <v>29.54</v>
      </c>
      <c r="D81" s="100">
        <v>23.51</v>
      </c>
      <c r="E81" s="100">
        <v>8.25</v>
      </c>
      <c r="F81" s="152" t="s">
        <v>15</v>
      </c>
      <c r="G81" s="100">
        <v>70.62</v>
      </c>
      <c r="H81" s="100">
        <v>26.92</v>
      </c>
      <c r="I81" s="100">
        <v>6.83</v>
      </c>
      <c r="J81" s="100">
        <v>0.24</v>
      </c>
      <c r="K81" s="100">
        <v>181.89</v>
      </c>
      <c r="L81" s="100">
        <v>24.77</v>
      </c>
      <c r="M81" s="100">
        <v>42.98</v>
      </c>
      <c r="N81" s="100">
        <v>2.4</v>
      </c>
      <c r="O81" s="100">
        <v>0</v>
      </c>
      <c r="P81" s="100">
        <v>0.51</v>
      </c>
      <c r="Q81" s="100">
        <v>12.98</v>
      </c>
      <c r="R81" s="6"/>
      <c r="S81" s="6"/>
      <c r="T81" s="156"/>
      <c r="U81" s="6"/>
    </row>
    <row r="82" spans="1:21" customFormat="1">
      <c r="A82" s="163" t="s">
        <v>984</v>
      </c>
      <c r="B82" s="100">
        <v>7.88</v>
      </c>
      <c r="C82" s="100">
        <v>29.17</v>
      </c>
      <c r="D82" s="100">
        <v>22.91</v>
      </c>
      <c r="E82" s="100">
        <v>9.8699999999999992</v>
      </c>
      <c r="F82" s="152" t="s">
        <v>15</v>
      </c>
      <c r="G82" s="100">
        <v>70.62</v>
      </c>
      <c r="H82" s="100">
        <v>26.92</v>
      </c>
      <c r="I82" s="100">
        <v>6.96</v>
      </c>
      <c r="J82" s="100">
        <v>0.24</v>
      </c>
      <c r="K82" s="100">
        <v>163.94</v>
      </c>
      <c r="L82" s="100">
        <v>24.04</v>
      </c>
      <c r="M82" s="100">
        <v>41.34</v>
      </c>
      <c r="N82" s="100">
        <v>1.8</v>
      </c>
      <c r="O82" s="100">
        <v>0</v>
      </c>
      <c r="P82" s="100">
        <v>0.52</v>
      </c>
      <c r="Q82" s="100">
        <v>12.96</v>
      </c>
      <c r="R82" s="6"/>
      <c r="S82" s="6"/>
      <c r="T82" s="156"/>
      <c r="U82" s="6"/>
    </row>
    <row r="83" spans="1:21" customFormat="1">
      <c r="A83" s="163" t="s">
        <v>985</v>
      </c>
      <c r="B83" s="100">
        <v>7.48</v>
      </c>
      <c r="C83" s="100">
        <v>28.95</v>
      </c>
      <c r="D83" s="100">
        <v>22.48</v>
      </c>
      <c r="E83" s="100">
        <v>9.5500000000000007</v>
      </c>
      <c r="F83" s="152" t="s">
        <v>15</v>
      </c>
      <c r="G83" s="100">
        <v>75</v>
      </c>
      <c r="H83" s="100">
        <v>27.33</v>
      </c>
      <c r="I83" s="100">
        <v>7.52</v>
      </c>
      <c r="J83" s="100">
        <v>0.25</v>
      </c>
      <c r="K83" s="100">
        <v>162.55000000000001</v>
      </c>
      <c r="L83" s="100">
        <v>23.6</v>
      </c>
      <c r="M83" s="100">
        <v>45.94</v>
      </c>
      <c r="N83" s="100">
        <v>1.5</v>
      </c>
      <c r="O83" s="100">
        <v>0</v>
      </c>
      <c r="P83" s="100">
        <v>0.53</v>
      </c>
      <c r="Q83" s="100">
        <v>12.95</v>
      </c>
      <c r="R83" s="6"/>
      <c r="S83" s="6"/>
      <c r="T83" s="156"/>
      <c r="U83" s="6"/>
    </row>
    <row r="84" spans="1:21" customFormat="1">
      <c r="A84" s="163" t="s">
        <v>986</v>
      </c>
      <c r="B84" s="100">
        <v>7.84</v>
      </c>
      <c r="C84" s="100">
        <v>28.83</v>
      </c>
      <c r="D84" s="100">
        <v>22.7</v>
      </c>
      <c r="E84" s="100">
        <v>9.4700000000000006</v>
      </c>
      <c r="F84" s="152" t="s">
        <v>15</v>
      </c>
      <c r="G84" s="100">
        <v>169.27</v>
      </c>
      <c r="H84" s="100">
        <v>40.15</v>
      </c>
      <c r="I84" s="100">
        <v>8.25</v>
      </c>
      <c r="J84" s="100">
        <v>0.15</v>
      </c>
      <c r="K84" s="100">
        <v>168.39</v>
      </c>
      <c r="L84" s="100">
        <v>23.55</v>
      </c>
      <c r="M84" s="100">
        <v>42.21</v>
      </c>
      <c r="N84" s="100">
        <v>1</v>
      </c>
      <c r="O84" s="100">
        <v>0</v>
      </c>
      <c r="P84" s="100">
        <v>0.56999999999999995</v>
      </c>
      <c r="Q84" s="100">
        <v>12.96</v>
      </c>
      <c r="R84" s="6"/>
      <c r="S84" s="6"/>
      <c r="T84" s="156"/>
      <c r="U84" s="6"/>
    </row>
    <row r="85" spans="1:21" customFormat="1">
      <c r="A85" s="163" t="s">
        <v>987</v>
      </c>
      <c r="B85" s="100">
        <v>10.47</v>
      </c>
      <c r="C85" s="100">
        <v>29.61</v>
      </c>
      <c r="D85" s="100">
        <v>25.22</v>
      </c>
      <c r="E85" s="100">
        <v>9.44</v>
      </c>
      <c r="F85" s="152" t="s">
        <v>15</v>
      </c>
      <c r="G85" s="100">
        <v>169.27</v>
      </c>
      <c r="H85" s="100">
        <v>40.15</v>
      </c>
      <c r="I85" s="100">
        <v>9.1199999999999992</v>
      </c>
      <c r="J85" s="100">
        <v>0.23</v>
      </c>
      <c r="K85" s="100">
        <v>157.80000000000001</v>
      </c>
      <c r="L85" s="100">
        <v>23.55</v>
      </c>
      <c r="M85" s="100">
        <v>42.31</v>
      </c>
      <c r="N85" s="100">
        <v>1.1000000000000001</v>
      </c>
      <c r="O85" s="100">
        <v>0</v>
      </c>
      <c r="P85" s="100">
        <v>0.61</v>
      </c>
      <c r="Q85" s="100">
        <v>12.97</v>
      </c>
      <c r="R85" s="6"/>
      <c r="S85" s="6"/>
      <c r="T85" s="156"/>
      <c r="U85" s="6"/>
    </row>
    <row r="86" spans="1:21" customFormat="1">
      <c r="A86" s="163" t="s">
        <v>988</v>
      </c>
      <c r="B86" s="100">
        <v>13.18</v>
      </c>
      <c r="C86" s="100">
        <v>30.32</v>
      </c>
      <c r="D86" s="100">
        <v>27.76</v>
      </c>
      <c r="E86" s="100">
        <v>9.48</v>
      </c>
      <c r="F86" s="152" t="s">
        <v>15</v>
      </c>
      <c r="G86" s="100">
        <v>169.27</v>
      </c>
      <c r="H86" s="100">
        <v>40.15</v>
      </c>
      <c r="I86" s="100">
        <v>10.050000000000001</v>
      </c>
      <c r="J86" s="100">
        <v>0.22</v>
      </c>
      <c r="K86" s="100">
        <v>159.63</v>
      </c>
      <c r="L86" s="100">
        <v>23.34</v>
      </c>
      <c r="M86" s="100">
        <v>47.57</v>
      </c>
      <c r="N86" s="100">
        <v>1.2</v>
      </c>
      <c r="O86" s="100">
        <v>0</v>
      </c>
      <c r="P86" s="100">
        <v>0.66</v>
      </c>
      <c r="Q86" s="100">
        <v>12.99</v>
      </c>
      <c r="R86" s="6"/>
      <c r="S86" s="6"/>
      <c r="T86" s="156"/>
      <c r="U86" s="6"/>
    </row>
    <row r="87" spans="1:21" customFormat="1">
      <c r="A87" s="163" t="s">
        <v>989</v>
      </c>
      <c r="B87" s="100">
        <v>14.69</v>
      </c>
      <c r="C87" s="100">
        <v>30.57</v>
      </c>
      <c r="D87" s="100">
        <v>29.1</v>
      </c>
      <c r="E87" s="100">
        <v>9.43</v>
      </c>
      <c r="F87" s="152" t="s">
        <v>15</v>
      </c>
      <c r="G87" s="100">
        <v>168.37</v>
      </c>
      <c r="H87" s="100">
        <v>40.049999999999997</v>
      </c>
      <c r="I87" s="100">
        <v>11.3</v>
      </c>
      <c r="J87" s="100">
        <v>0.24</v>
      </c>
      <c r="K87" s="100">
        <v>171.67</v>
      </c>
      <c r="L87" s="100">
        <v>22.87</v>
      </c>
      <c r="M87" s="100">
        <v>49.97</v>
      </c>
      <c r="N87" s="100">
        <v>1.5</v>
      </c>
      <c r="O87" s="100">
        <v>0</v>
      </c>
      <c r="P87" s="100">
        <v>0.71</v>
      </c>
      <c r="Q87" s="100">
        <v>13.01</v>
      </c>
      <c r="R87" s="6"/>
      <c r="S87" s="6"/>
      <c r="T87" s="156"/>
      <c r="U87" s="6"/>
    </row>
    <row r="88" spans="1:21" customFormat="1">
      <c r="A88" s="163" t="s">
        <v>990</v>
      </c>
      <c r="B88" s="100">
        <v>15.47</v>
      </c>
      <c r="C88" s="100">
        <v>30.58</v>
      </c>
      <c r="D88" s="100">
        <v>29.73</v>
      </c>
      <c r="E88" s="100">
        <v>9.64</v>
      </c>
      <c r="F88" s="152" t="s">
        <v>15</v>
      </c>
      <c r="G88" s="100">
        <v>149.07</v>
      </c>
      <c r="H88" s="100">
        <v>36.96</v>
      </c>
      <c r="I88" s="100">
        <v>12.38</v>
      </c>
      <c r="J88" s="100">
        <v>0.26</v>
      </c>
      <c r="K88" s="100">
        <v>162.54</v>
      </c>
      <c r="L88" s="100">
        <v>22.46</v>
      </c>
      <c r="M88" s="100">
        <v>53.72</v>
      </c>
      <c r="N88" s="100">
        <v>1.4</v>
      </c>
      <c r="O88" s="100">
        <v>0</v>
      </c>
      <c r="P88" s="100">
        <v>0.74</v>
      </c>
      <c r="Q88" s="100">
        <v>12.99</v>
      </c>
      <c r="R88" s="6"/>
      <c r="S88" s="6"/>
      <c r="T88" s="156"/>
      <c r="U88" s="6"/>
    </row>
    <row r="89" spans="1:21" customFormat="1">
      <c r="A89" s="163" t="s">
        <v>991</v>
      </c>
      <c r="B89" s="100">
        <v>16.38</v>
      </c>
      <c r="C89" s="100">
        <v>30.76</v>
      </c>
      <c r="D89" s="100">
        <v>30.55</v>
      </c>
      <c r="E89" s="100">
        <v>9.7799999999999994</v>
      </c>
      <c r="F89" s="152" t="s">
        <v>15</v>
      </c>
      <c r="G89" s="100">
        <v>149.07</v>
      </c>
      <c r="H89" s="100">
        <v>36.96</v>
      </c>
      <c r="I89" s="100">
        <v>13.19</v>
      </c>
      <c r="J89" s="100">
        <v>0.27</v>
      </c>
      <c r="K89" s="100">
        <v>165.35</v>
      </c>
      <c r="L89" s="100">
        <v>22.2</v>
      </c>
      <c r="M89" s="100">
        <v>53.36</v>
      </c>
      <c r="N89" s="100">
        <v>1.5</v>
      </c>
      <c r="O89" s="100">
        <v>0</v>
      </c>
      <c r="P89" s="100">
        <v>0.79</v>
      </c>
      <c r="Q89" s="100">
        <v>13.02</v>
      </c>
      <c r="R89" s="6"/>
      <c r="S89" s="6"/>
      <c r="T89" s="156"/>
      <c r="U89" s="6"/>
    </row>
    <row r="90" spans="1:21" customFormat="1">
      <c r="A90" s="163" t="s">
        <v>992</v>
      </c>
      <c r="B90" s="100">
        <v>17.079999999999998</v>
      </c>
      <c r="C90" s="100">
        <v>30.79</v>
      </c>
      <c r="D90" s="100">
        <v>31.14</v>
      </c>
      <c r="E90" s="100">
        <v>9.9600000000000009</v>
      </c>
      <c r="F90" s="152" t="s">
        <v>15</v>
      </c>
      <c r="G90" s="100">
        <v>149.07</v>
      </c>
      <c r="H90" s="100">
        <v>36.96</v>
      </c>
      <c r="I90" s="100">
        <v>14.12</v>
      </c>
      <c r="J90" s="100">
        <v>0.2</v>
      </c>
      <c r="K90" s="100">
        <v>184.07</v>
      </c>
      <c r="L90" s="100">
        <v>21.63</v>
      </c>
      <c r="M90" s="100">
        <v>55.98</v>
      </c>
      <c r="N90" s="100">
        <v>1.5</v>
      </c>
      <c r="O90" s="100">
        <v>0</v>
      </c>
      <c r="P90" s="100">
        <v>0.82</v>
      </c>
      <c r="Q90" s="100">
        <v>13.02</v>
      </c>
      <c r="R90" s="6"/>
      <c r="S90" s="6"/>
      <c r="T90" s="156"/>
      <c r="U90" s="6"/>
    </row>
    <row r="91" spans="1:21" customFormat="1">
      <c r="A91" s="163" t="s">
        <v>993</v>
      </c>
      <c r="B91" s="100">
        <v>18.25</v>
      </c>
      <c r="C91" s="100">
        <v>30.96</v>
      </c>
      <c r="D91" s="100">
        <v>32.17</v>
      </c>
      <c r="E91" s="100">
        <v>9.85</v>
      </c>
      <c r="F91" s="152" t="s">
        <v>15</v>
      </c>
      <c r="G91" s="100">
        <v>147.94</v>
      </c>
      <c r="H91" s="100">
        <v>36.9</v>
      </c>
      <c r="I91" s="100">
        <v>15.45</v>
      </c>
      <c r="J91" s="100">
        <v>0.2</v>
      </c>
      <c r="K91" s="100">
        <v>190.02</v>
      </c>
      <c r="L91" s="100">
        <v>21.44</v>
      </c>
      <c r="M91" s="100">
        <v>53.25</v>
      </c>
      <c r="N91" s="100">
        <v>1.1000000000000001</v>
      </c>
      <c r="O91" s="100">
        <v>0</v>
      </c>
      <c r="P91" s="100">
        <v>0.85</v>
      </c>
      <c r="Q91" s="100">
        <v>13.03</v>
      </c>
      <c r="R91" s="6"/>
      <c r="S91" s="6"/>
      <c r="T91" s="156"/>
      <c r="U91" s="6"/>
    </row>
    <row r="92" spans="1:21" customFormat="1">
      <c r="A92" s="163" t="s">
        <v>994</v>
      </c>
      <c r="B92" s="100">
        <v>19.579999999999998</v>
      </c>
      <c r="C92" s="100">
        <v>31.13</v>
      </c>
      <c r="D92" s="100">
        <v>33.31</v>
      </c>
      <c r="E92" s="100">
        <v>10.220000000000001</v>
      </c>
      <c r="F92" s="152" t="s">
        <v>15</v>
      </c>
      <c r="G92" s="100">
        <v>123.52</v>
      </c>
      <c r="H92" s="100">
        <v>35.04</v>
      </c>
      <c r="I92" s="100">
        <v>16.93</v>
      </c>
      <c r="J92" s="100">
        <v>0.23</v>
      </c>
      <c r="K92" s="100">
        <v>164.84</v>
      </c>
      <c r="L92" s="100">
        <v>21.08</v>
      </c>
      <c r="M92" s="100">
        <v>58.76</v>
      </c>
      <c r="N92" s="100">
        <v>1.4</v>
      </c>
      <c r="O92" s="100">
        <v>0</v>
      </c>
      <c r="P92" s="100">
        <v>0.88</v>
      </c>
      <c r="Q92" s="100">
        <v>13.02</v>
      </c>
      <c r="R92" s="6"/>
      <c r="S92" s="6"/>
      <c r="T92" s="156"/>
      <c r="U92" s="6"/>
    </row>
    <row r="93" spans="1:21" customFormat="1">
      <c r="A93" s="163" t="s">
        <v>995</v>
      </c>
      <c r="B93" s="100">
        <v>20.399999999999999</v>
      </c>
      <c r="C93" s="100">
        <v>30.93</v>
      </c>
      <c r="D93" s="100">
        <v>33.869999999999997</v>
      </c>
      <c r="E93" s="100">
        <v>10.210000000000001</v>
      </c>
      <c r="F93" s="152" t="s">
        <v>15</v>
      </c>
      <c r="G93" s="100">
        <v>123.52</v>
      </c>
      <c r="H93" s="100">
        <v>35.04</v>
      </c>
      <c r="I93" s="100">
        <v>18.07</v>
      </c>
      <c r="J93" s="100">
        <v>0.25</v>
      </c>
      <c r="K93" s="100">
        <v>164.06</v>
      </c>
      <c r="L93" s="100">
        <v>20.99</v>
      </c>
      <c r="M93" s="100">
        <v>58.16</v>
      </c>
      <c r="N93" s="100">
        <v>1.3</v>
      </c>
      <c r="O93" s="100">
        <v>0</v>
      </c>
      <c r="P93" s="100">
        <v>0.9</v>
      </c>
      <c r="Q93" s="100">
        <v>13.02</v>
      </c>
      <c r="R93" s="6"/>
      <c r="S93" s="6"/>
      <c r="T93" s="156"/>
      <c r="U93" s="6"/>
    </row>
    <row r="94" spans="1:21" customFormat="1">
      <c r="A94" s="163" t="s">
        <v>996</v>
      </c>
      <c r="B94" s="100">
        <v>21.04</v>
      </c>
      <c r="C94" s="100">
        <v>30.89</v>
      </c>
      <c r="D94" s="100">
        <v>34.36</v>
      </c>
      <c r="E94" s="100">
        <v>10.02</v>
      </c>
      <c r="F94" s="152" t="s">
        <v>15</v>
      </c>
      <c r="G94" s="100">
        <v>123.52</v>
      </c>
      <c r="H94" s="100">
        <v>35.04</v>
      </c>
      <c r="I94" s="100">
        <v>18.73</v>
      </c>
      <c r="J94" s="100">
        <v>0.28000000000000003</v>
      </c>
      <c r="K94" s="100">
        <v>163.16999999999999</v>
      </c>
      <c r="L94" s="100">
        <v>20.75</v>
      </c>
      <c r="M94" s="100">
        <v>59.27</v>
      </c>
      <c r="N94" s="100">
        <v>1.2</v>
      </c>
      <c r="O94" s="100">
        <v>0</v>
      </c>
      <c r="P94" s="100">
        <v>0.92</v>
      </c>
      <c r="Q94" s="100">
        <v>13.04</v>
      </c>
      <c r="R94" s="6"/>
      <c r="S94" s="6"/>
      <c r="T94" s="156"/>
      <c r="U94" s="6"/>
    </row>
    <row r="95" spans="1:21" customFormat="1">
      <c r="A95" s="163" t="s">
        <v>997</v>
      </c>
      <c r="B95" s="100">
        <v>21.72</v>
      </c>
      <c r="C95" s="100">
        <v>30.76</v>
      </c>
      <c r="D95" s="100">
        <v>34.840000000000003</v>
      </c>
      <c r="E95" s="100">
        <v>9.7899999999999991</v>
      </c>
      <c r="F95" s="152" t="s">
        <v>15</v>
      </c>
      <c r="G95" s="100">
        <v>122.84</v>
      </c>
      <c r="H95" s="100">
        <v>35</v>
      </c>
      <c r="I95" s="100">
        <v>18.989999999999998</v>
      </c>
      <c r="J95" s="100">
        <v>0.24</v>
      </c>
      <c r="K95" s="100">
        <v>169.14</v>
      </c>
      <c r="L95" s="100">
        <v>20.69</v>
      </c>
      <c r="M95" s="100">
        <v>59.77</v>
      </c>
      <c r="N95" s="100">
        <v>1.1000000000000001</v>
      </c>
      <c r="O95" s="100">
        <v>0</v>
      </c>
      <c r="P95" s="100">
        <v>0.93</v>
      </c>
      <c r="Q95" s="100">
        <v>13.05</v>
      </c>
      <c r="R95" s="6"/>
      <c r="S95" s="6"/>
      <c r="T95" s="156"/>
      <c r="U95" s="6"/>
    </row>
    <row r="96" spans="1:21" customFormat="1">
      <c r="A96" s="163" t="s">
        <v>998</v>
      </c>
      <c r="B96" s="100">
        <v>22.73</v>
      </c>
      <c r="C96" s="100">
        <v>30.62</v>
      </c>
      <c r="D96" s="100">
        <v>35.57</v>
      </c>
      <c r="E96" s="100">
        <v>10.06</v>
      </c>
      <c r="F96" s="152" t="s">
        <v>15</v>
      </c>
      <c r="G96" s="100">
        <v>108.17</v>
      </c>
      <c r="H96" s="100">
        <v>33.590000000000003</v>
      </c>
      <c r="I96" s="100">
        <v>19.03</v>
      </c>
      <c r="J96" s="100">
        <v>0.21</v>
      </c>
      <c r="K96" s="100">
        <v>179.88</v>
      </c>
      <c r="L96" s="100">
        <v>20.27</v>
      </c>
      <c r="M96" s="100">
        <v>63.18</v>
      </c>
      <c r="N96" s="100">
        <v>1.4</v>
      </c>
      <c r="O96" s="100">
        <v>0</v>
      </c>
      <c r="P96" s="100">
        <v>0.98</v>
      </c>
      <c r="Q96" s="100">
        <v>13.04</v>
      </c>
      <c r="R96" s="6"/>
      <c r="S96" s="6"/>
      <c r="T96" s="156"/>
      <c r="U96" s="6"/>
    </row>
    <row r="97" spans="1:28" customFormat="1">
      <c r="A97" s="163" t="s">
        <v>999</v>
      </c>
      <c r="B97" s="100">
        <v>23.59</v>
      </c>
      <c r="C97" s="100">
        <v>30.29</v>
      </c>
      <c r="D97" s="100">
        <v>36.1</v>
      </c>
      <c r="E97" s="100">
        <v>9.94</v>
      </c>
      <c r="F97" s="152" t="s">
        <v>15</v>
      </c>
      <c r="G97" s="100">
        <v>108.17</v>
      </c>
      <c r="H97" s="100">
        <v>33.590000000000003</v>
      </c>
      <c r="I97" s="100">
        <v>19.02</v>
      </c>
      <c r="J97" s="100">
        <v>0.19</v>
      </c>
      <c r="K97" s="100">
        <v>187.42</v>
      </c>
      <c r="L97" s="100">
        <v>19.79</v>
      </c>
      <c r="M97" s="100">
        <v>64.680000000000007</v>
      </c>
      <c r="N97" s="100">
        <v>1.4</v>
      </c>
      <c r="O97" s="100">
        <v>0</v>
      </c>
      <c r="P97" s="100">
        <v>1.03</v>
      </c>
      <c r="Q97" s="100">
        <v>13.03</v>
      </c>
      <c r="R97" s="6"/>
      <c r="S97" s="6"/>
      <c r="T97" s="156"/>
      <c r="U97" s="6"/>
    </row>
    <row r="98" spans="1:28" customFormat="1">
      <c r="A98" s="163" t="s">
        <v>1000</v>
      </c>
      <c r="B98" s="100">
        <v>24.06</v>
      </c>
      <c r="C98" s="100">
        <v>29.77</v>
      </c>
      <c r="D98" s="100">
        <v>36.200000000000003</v>
      </c>
      <c r="E98" s="100">
        <v>9.9700000000000006</v>
      </c>
      <c r="F98" s="152" t="s">
        <v>15</v>
      </c>
      <c r="G98" s="100">
        <v>108.17</v>
      </c>
      <c r="H98" s="100">
        <v>33.590000000000003</v>
      </c>
      <c r="I98" s="100">
        <v>19.02</v>
      </c>
      <c r="J98" s="100">
        <v>0.28000000000000003</v>
      </c>
      <c r="K98" s="100">
        <v>159.56</v>
      </c>
      <c r="L98" s="100">
        <v>19.88</v>
      </c>
      <c r="M98" s="100">
        <v>62.79</v>
      </c>
      <c r="N98" s="100">
        <v>1</v>
      </c>
      <c r="O98" s="100">
        <v>0</v>
      </c>
      <c r="P98" s="100">
        <v>1.06</v>
      </c>
      <c r="Q98" s="100">
        <v>13.04</v>
      </c>
      <c r="R98" s="6"/>
      <c r="S98" s="6"/>
      <c r="T98" s="156"/>
      <c r="U98" s="6"/>
    </row>
    <row r="99" spans="1:28" customFormat="1">
      <c r="A99" s="163" t="s">
        <v>1001</v>
      </c>
      <c r="B99" s="100">
        <v>24.53</v>
      </c>
      <c r="C99" s="100">
        <v>29.44</v>
      </c>
      <c r="D99" s="100">
        <v>36.4</v>
      </c>
      <c r="E99" s="100">
        <v>9.73</v>
      </c>
      <c r="F99" s="152" t="s">
        <v>15</v>
      </c>
      <c r="G99" s="100">
        <v>108.4</v>
      </c>
      <c r="H99" s="100">
        <v>33.450000000000003</v>
      </c>
      <c r="I99" s="100">
        <v>18.920000000000002</v>
      </c>
      <c r="J99" s="100">
        <v>0.28999999999999998</v>
      </c>
      <c r="K99" s="100">
        <v>164.62</v>
      </c>
      <c r="L99" s="100">
        <v>19.989999999999998</v>
      </c>
      <c r="M99" s="100">
        <v>62.65</v>
      </c>
      <c r="N99" s="100">
        <v>1.1000000000000001</v>
      </c>
      <c r="O99" s="100">
        <v>0</v>
      </c>
      <c r="P99" s="100">
        <v>1.07</v>
      </c>
      <c r="Q99" s="100">
        <v>13.03</v>
      </c>
      <c r="R99" s="6"/>
      <c r="S99" s="6"/>
      <c r="T99" s="156"/>
      <c r="U99" s="6"/>
    </row>
    <row r="100" spans="1:28" customFormat="1">
      <c r="A100" s="163" t="s">
        <v>1002</v>
      </c>
      <c r="B100" s="100">
        <v>25.08</v>
      </c>
      <c r="C100" s="100">
        <v>28.91</v>
      </c>
      <c r="D100" s="100">
        <v>36.57</v>
      </c>
      <c r="E100" s="100">
        <v>9.67</v>
      </c>
      <c r="F100" s="152" t="s">
        <v>15</v>
      </c>
      <c r="G100" s="100">
        <v>113.32</v>
      </c>
      <c r="H100" s="100">
        <v>29</v>
      </c>
      <c r="I100" s="100">
        <v>18.7</v>
      </c>
      <c r="J100" s="100">
        <v>0.24</v>
      </c>
      <c r="K100" s="100">
        <v>163.78</v>
      </c>
      <c r="L100" s="100">
        <v>19.84</v>
      </c>
      <c r="M100" s="100">
        <v>64.41</v>
      </c>
      <c r="N100" s="100">
        <v>1.3</v>
      </c>
      <c r="O100" s="100">
        <v>0</v>
      </c>
      <c r="P100" s="100">
        <v>1.0900000000000001</v>
      </c>
      <c r="Q100" s="100">
        <v>13.03</v>
      </c>
      <c r="R100" s="6"/>
      <c r="S100" s="6"/>
      <c r="T100" s="156"/>
      <c r="U100" s="6"/>
      <c r="AB100" s="161"/>
    </row>
    <row r="101" spans="1:28" customFormat="1">
      <c r="A101" s="163" t="s">
        <v>1003</v>
      </c>
      <c r="B101" s="100">
        <v>25.82</v>
      </c>
      <c r="C101" s="100">
        <v>28.41</v>
      </c>
      <c r="D101" s="100">
        <v>36.9</v>
      </c>
      <c r="E101" s="100">
        <v>10.19</v>
      </c>
      <c r="F101" s="152" t="s">
        <v>15</v>
      </c>
      <c r="G101" s="100">
        <v>113.32</v>
      </c>
      <c r="H101" s="100">
        <v>29</v>
      </c>
      <c r="I101" s="100">
        <v>18.55</v>
      </c>
      <c r="J101" s="100">
        <v>0.15</v>
      </c>
      <c r="K101" s="100">
        <v>224.06</v>
      </c>
      <c r="L101" s="100">
        <v>19.75</v>
      </c>
      <c r="M101" s="100">
        <v>62.46</v>
      </c>
      <c r="N101" s="100">
        <v>1.2</v>
      </c>
      <c r="O101" s="100">
        <v>0</v>
      </c>
      <c r="P101" s="100">
        <v>1.1000000000000001</v>
      </c>
      <c r="Q101" s="100">
        <v>13.04</v>
      </c>
      <c r="R101" s="6"/>
      <c r="S101" s="6"/>
      <c r="T101" s="156"/>
      <c r="U101" s="6"/>
    </row>
    <row r="102" spans="1:28" customFormat="1">
      <c r="A102" s="163" t="s">
        <v>1004</v>
      </c>
      <c r="B102" s="100">
        <v>27.53</v>
      </c>
      <c r="C102" s="100">
        <v>28.26</v>
      </c>
      <c r="D102" s="100">
        <v>38.19</v>
      </c>
      <c r="E102" s="100">
        <v>9.83</v>
      </c>
      <c r="F102" s="152" t="s">
        <v>15</v>
      </c>
      <c r="G102" s="100">
        <v>113.32</v>
      </c>
      <c r="H102" s="100">
        <v>29</v>
      </c>
      <c r="I102" s="100">
        <v>18.399999999999999</v>
      </c>
      <c r="J102" s="100">
        <v>0.22</v>
      </c>
      <c r="K102" s="100">
        <v>165.53</v>
      </c>
      <c r="L102" s="100">
        <v>19.920000000000002</v>
      </c>
      <c r="M102" s="100">
        <v>57.55</v>
      </c>
      <c r="N102" s="100">
        <v>1.1000000000000001</v>
      </c>
      <c r="O102" s="100">
        <v>0</v>
      </c>
      <c r="P102" s="100">
        <v>1.1000000000000001</v>
      </c>
      <c r="Q102" s="100">
        <v>13.05</v>
      </c>
      <c r="R102" s="6"/>
      <c r="S102" s="6"/>
      <c r="T102" s="156"/>
      <c r="U102" s="6"/>
    </row>
    <row r="103" spans="1:28" customFormat="1">
      <c r="A103" s="163" t="s">
        <v>1005</v>
      </c>
      <c r="B103" s="100">
        <v>29.21</v>
      </c>
      <c r="C103" s="100">
        <v>28.24</v>
      </c>
      <c r="D103" s="100">
        <v>39.53</v>
      </c>
      <c r="E103" s="100">
        <v>10.46</v>
      </c>
      <c r="F103" s="152" t="s">
        <v>15</v>
      </c>
      <c r="G103" s="100">
        <v>113.27</v>
      </c>
      <c r="H103" s="100">
        <v>29.02</v>
      </c>
      <c r="I103" s="100">
        <v>18.27</v>
      </c>
      <c r="J103" s="100">
        <v>0.15</v>
      </c>
      <c r="K103" s="100">
        <v>186.3</v>
      </c>
      <c r="L103" s="100">
        <v>19.600000000000001</v>
      </c>
      <c r="M103" s="100">
        <v>62.13</v>
      </c>
      <c r="N103" s="100">
        <v>1.3</v>
      </c>
      <c r="O103" s="100">
        <v>0</v>
      </c>
      <c r="P103" s="100">
        <v>1.1100000000000001</v>
      </c>
      <c r="Q103" s="100">
        <v>13.06</v>
      </c>
      <c r="R103" s="6"/>
      <c r="S103" s="6"/>
      <c r="T103" s="156"/>
      <c r="U103" s="6"/>
    </row>
    <row r="104" spans="1:28" customFormat="1">
      <c r="A104" s="163" t="s">
        <v>1006</v>
      </c>
      <c r="B104" s="100">
        <v>30.41</v>
      </c>
      <c r="C104" s="100">
        <v>28.13</v>
      </c>
      <c r="D104" s="100">
        <v>40.44</v>
      </c>
      <c r="E104" s="100">
        <v>9.66</v>
      </c>
      <c r="F104" s="152" t="s">
        <v>15</v>
      </c>
      <c r="G104" s="100">
        <v>112.24</v>
      </c>
      <c r="H104" s="100">
        <v>29.57</v>
      </c>
      <c r="I104" s="100">
        <v>18.170000000000002</v>
      </c>
      <c r="J104" s="100">
        <v>0.11</v>
      </c>
      <c r="K104" s="100">
        <v>186.2</v>
      </c>
      <c r="L104" s="100">
        <v>19.55</v>
      </c>
      <c r="M104" s="100">
        <v>57.42</v>
      </c>
      <c r="N104" s="100">
        <v>1.2</v>
      </c>
      <c r="O104" s="100">
        <v>0</v>
      </c>
      <c r="P104" s="100">
        <v>1.1200000000000001</v>
      </c>
      <c r="Q104" s="100">
        <v>13.05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7.48</v>
      </c>
      <c r="C106" s="158">
        <f>MIN(C9:C104)</f>
        <v>22.6</v>
      </c>
      <c r="D106" s="158">
        <f t="shared" ref="D106:Q106" si="0">MIN(D9:D104)</f>
        <v>21.68</v>
      </c>
      <c r="E106" s="158">
        <f t="shared" si="0"/>
        <v>6.68</v>
      </c>
      <c r="F106" s="158">
        <f t="shared" si="0"/>
        <v>0</v>
      </c>
      <c r="G106" s="158">
        <f t="shared" si="0"/>
        <v>48.96</v>
      </c>
      <c r="H106" s="158">
        <f t="shared" si="0"/>
        <v>13.08</v>
      </c>
      <c r="I106" s="158">
        <f t="shared" si="0"/>
        <v>6.29</v>
      </c>
      <c r="J106" s="158">
        <f t="shared" si="0"/>
        <v>0.05</v>
      </c>
      <c r="K106" s="158">
        <f t="shared" si="0"/>
        <v>7.36</v>
      </c>
      <c r="L106" s="158">
        <f t="shared" si="0"/>
        <v>16.64</v>
      </c>
      <c r="M106" s="158">
        <f t="shared" si="0"/>
        <v>13.97</v>
      </c>
      <c r="N106" s="158">
        <f t="shared" si="0"/>
        <v>0.8</v>
      </c>
      <c r="O106" s="158">
        <f t="shared" si="0"/>
        <v>0</v>
      </c>
      <c r="P106" s="158">
        <f t="shared" si="0"/>
        <v>0.45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30.41</v>
      </c>
      <c r="C107" s="157">
        <f t="shared" ref="C107:Q107" si="1">MAX(C9:C104)</f>
        <v>31.13</v>
      </c>
      <c r="D107" s="157">
        <f t="shared" si="1"/>
        <v>40.44</v>
      </c>
      <c r="E107" s="157">
        <f t="shared" si="1"/>
        <v>37.35</v>
      </c>
      <c r="F107" s="157">
        <f t="shared" si="1"/>
        <v>0</v>
      </c>
      <c r="G107" s="157">
        <f t="shared" si="1"/>
        <v>169.27</v>
      </c>
      <c r="H107" s="157">
        <f t="shared" si="1"/>
        <v>40.15</v>
      </c>
      <c r="I107" s="157">
        <f t="shared" si="1"/>
        <v>19.03</v>
      </c>
      <c r="J107" s="157">
        <f t="shared" si="1"/>
        <v>1.21</v>
      </c>
      <c r="K107" s="157">
        <f t="shared" si="1"/>
        <v>358.91</v>
      </c>
      <c r="L107" s="157">
        <f t="shared" si="1"/>
        <v>29.57</v>
      </c>
      <c r="M107" s="157">
        <f t="shared" si="1"/>
        <v>64.680000000000007</v>
      </c>
      <c r="N107" s="157">
        <f t="shared" si="1"/>
        <v>365.9</v>
      </c>
      <c r="O107" s="157">
        <f t="shared" si="1"/>
        <v>0</v>
      </c>
      <c r="P107" s="157">
        <f t="shared" si="1"/>
        <v>1.1200000000000001</v>
      </c>
      <c r="Q107" s="157">
        <f t="shared" si="1"/>
        <v>13.06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13.5003125</v>
      </c>
      <c r="C108" s="158">
        <f t="shared" ref="C108:Q108" si="2">AVERAGE(C9:C104)</f>
        <v>26.484999999999996</v>
      </c>
      <c r="D108" s="158">
        <f t="shared" si="2"/>
        <v>26.014687500000012</v>
      </c>
      <c r="E108" s="158">
        <f t="shared" si="2"/>
        <v>9.9695833333333344</v>
      </c>
      <c r="F108" s="158" t="e">
        <f t="shared" si="2"/>
        <v>#DIV/0!</v>
      </c>
      <c r="G108" s="158">
        <f t="shared" si="2"/>
        <v>75.479270833333331</v>
      </c>
      <c r="H108" s="158">
        <f t="shared" si="2"/>
        <v>24.749270833333345</v>
      </c>
      <c r="I108" s="158">
        <f t="shared" si="2"/>
        <v>8.8651041666666632</v>
      </c>
      <c r="J108" s="158">
        <f t="shared" si="2"/>
        <v>0.44572916666666673</v>
      </c>
      <c r="K108" s="158">
        <f t="shared" si="2"/>
        <v>109.40385416666663</v>
      </c>
      <c r="L108" s="158">
        <f t="shared" si="2"/>
        <v>22.791250000000002</v>
      </c>
      <c r="M108" s="158">
        <f t="shared" si="2"/>
        <v>37.221354166666664</v>
      </c>
      <c r="N108" s="158">
        <f t="shared" si="2"/>
        <v>84.119791666666657</v>
      </c>
      <c r="O108" s="158">
        <f t="shared" si="2"/>
        <v>0</v>
      </c>
      <c r="P108" s="158">
        <f t="shared" si="2"/>
        <v>0.64177083333333351</v>
      </c>
      <c r="Q108" s="158">
        <f t="shared" si="2"/>
        <v>12.981041666666671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4.9268321098001548</v>
      </c>
      <c r="C109" s="158">
        <f t="shared" ref="C109:Q109" si="3">STDEV(C9:C104)</f>
        <v>2.5345785490003321</v>
      </c>
      <c r="D109" s="158">
        <f t="shared" si="3"/>
        <v>4.7003547353532005</v>
      </c>
      <c r="E109" s="158">
        <f t="shared" si="3"/>
        <v>4.4439553071480997</v>
      </c>
      <c r="F109" s="158" t="e">
        <f t="shared" si="3"/>
        <v>#DIV/0!</v>
      </c>
      <c r="G109" s="158">
        <f t="shared" si="3"/>
        <v>32.073981593375578</v>
      </c>
      <c r="H109" s="158">
        <f t="shared" si="3"/>
        <v>7.3737560584878796</v>
      </c>
      <c r="I109" s="158">
        <f t="shared" si="3"/>
        <v>4.1460725854442071</v>
      </c>
      <c r="J109" s="158">
        <f t="shared" si="3"/>
        <v>0.28637386234621276</v>
      </c>
      <c r="K109" s="158">
        <f t="shared" si="3"/>
        <v>71.708340810753327</v>
      </c>
      <c r="L109" s="158">
        <f t="shared" si="3"/>
        <v>4.1676797154443497</v>
      </c>
      <c r="M109" s="158">
        <f t="shared" si="3"/>
        <v>16.057423115005054</v>
      </c>
      <c r="N109" s="158">
        <f t="shared" si="3"/>
        <v>124.65727130166613</v>
      </c>
      <c r="O109" s="158">
        <f t="shared" si="3"/>
        <v>0</v>
      </c>
      <c r="P109" s="158">
        <f t="shared" si="3"/>
        <v>0.17089852200812367</v>
      </c>
      <c r="Q109" s="158">
        <f t="shared" si="3"/>
        <v>2.8744946161448195E-2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0" sqref="F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1007</v>
      </c>
      <c r="B9" s="100">
        <v>32.28</v>
      </c>
      <c r="C9" s="100">
        <v>28</v>
      </c>
      <c r="D9" s="100">
        <v>41.86</v>
      </c>
      <c r="E9" s="100">
        <v>10.01</v>
      </c>
      <c r="F9" s="152" t="s">
        <v>15</v>
      </c>
      <c r="G9" s="100">
        <v>112.24</v>
      </c>
      <c r="H9" s="100">
        <v>29.57</v>
      </c>
      <c r="I9" s="100">
        <v>17.989999999999998</v>
      </c>
      <c r="J9" s="100">
        <v>0.16</v>
      </c>
      <c r="K9" s="100">
        <v>169.44</v>
      </c>
      <c r="L9" s="100">
        <v>19.670000000000002</v>
      </c>
      <c r="M9" s="100">
        <v>56.17</v>
      </c>
      <c r="N9" s="100">
        <v>1.2</v>
      </c>
      <c r="O9" s="100">
        <v>0</v>
      </c>
      <c r="P9" s="100">
        <v>1.1200000000000001</v>
      </c>
      <c r="Q9" s="100">
        <v>13.05</v>
      </c>
      <c r="R9" s="6"/>
      <c r="S9" s="6"/>
      <c r="T9" s="156"/>
      <c r="U9" s="6"/>
    </row>
    <row r="10" spans="1:21" customFormat="1">
      <c r="A10" s="163" t="s">
        <v>1008</v>
      </c>
      <c r="B10" s="100">
        <v>32.630000000000003</v>
      </c>
      <c r="C10" s="100">
        <v>28.02</v>
      </c>
      <c r="D10" s="100">
        <v>42.16</v>
      </c>
      <c r="E10" s="100">
        <v>9.91</v>
      </c>
      <c r="F10" s="152" t="s">
        <v>15</v>
      </c>
      <c r="G10" s="100">
        <v>112.24</v>
      </c>
      <c r="H10" s="100">
        <v>29.57</v>
      </c>
      <c r="I10" s="100">
        <v>17.850000000000001</v>
      </c>
      <c r="J10" s="100">
        <v>0.25</v>
      </c>
      <c r="K10" s="100">
        <v>163.66</v>
      </c>
      <c r="L10" s="100">
        <v>19.37</v>
      </c>
      <c r="M10" s="100">
        <v>65.010000000000005</v>
      </c>
      <c r="N10" s="100">
        <v>1.3</v>
      </c>
      <c r="O10" s="100">
        <v>0</v>
      </c>
      <c r="P10" s="100">
        <v>1.1200000000000001</v>
      </c>
      <c r="Q10" s="100">
        <v>13.06</v>
      </c>
      <c r="R10" s="6"/>
      <c r="S10" s="6"/>
      <c r="T10" s="156"/>
      <c r="U10" s="6"/>
    </row>
    <row r="11" spans="1:21" customFormat="1">
      <c r="A11" s="163" t="s">
        <v>1009</v>
      </c>
      <c r="B11" s="100">
        <v>32.89</v>
      </c>
      <c r="C11" s="100">
        <v>27.74</v>
      </c>
      <c r="D11" s="100">
        <v>42.22</v>
      </c>
      <c r="E11" s="100">
        <v>10.029999999999999</v>
      </c>
      <c r="F11" s="152" t="s">
        <v>15</v>
      </c>
      <c r="G11" s="100">
        <v>111.55</v>
      </c>
      <c r="H11" s="100">
        <v>29.5</v>
      </c>
      <c r="I11" s="100">
        <v>17.63</v>
      </c>
      <c r="J11" s="100">
        <v>0.22</v>
      </c>
      <c r="K11" s="100">
        <v>181.46</v>
      </c>
      <c r="L11" s="100">
        <v>18.829999999999998</v>
      </c>
      <c r="M11" s="100">
        <v>67.84</v>
      </c>
      <c r="N11" s="100">
        <v>1.6</v>
      </c>
      <c r="O11" s="100">
        <v>0</v>
      </c>
      <c r="P11" s="100">
        <v>1.1200000000000001</v>
      </c>
      <c r="Q11" s="100">
        <v>13.05</v>
      </c>
      <c r="R11" s="6"/>
      <c r="S11" s="6"/>
      <c r="T11" s="156"/>
      <c r="U11" s="6"/>
    </row>
    <row r="12" spans="1:21" customFormat="1">
      <c r="A12" s="163" t="s">
        <v>1010</v>
      </c>
      <c r="B12" s="100">
        <v>32.909999999999997</v>
      </c>
      <c r="C12" s="100">
        <v>27.31</v>
      </c>
      <c r="D12" s="100">
        <v>42.01</v>
      </c>
      <c r="E12" s="100">
        <v>10.02</v>
      </c>
      <c r="F12" s="152" t="s">
        <v>15</v>
      </c>
      <c r="G12" s="100">
        <v>96.59</v>
      </c>
      <c r="H12" s="100">
        <v>27.39</v>
      </c>
      <c r="I12" s="100">
        <v>17.43</v>
      </c>
      <c r="J12" s="100">
        <v>0.17</v>
      </c>
      <c r="K12" s="100">
        <v>165.93</v>
      </c>
      <c r="L12" s="100">
        <v>18.71</v>
      </c>
      <c r="M12" s="100">
        <v>64.69</v>
      </c>
      <c r="N12" s="100">
        <v>1.3</v>
      </c>
      <c r="O12" s="100">
        <v>0</v>
      </c>
      <c r="P12" s="100">
        <v>1.1200000000000001</v>
      </c>
      <c r="Q12" s="100">
        <v>13.07</v>
      </c>
      <c r="R12" s="6"/>
      <c r="S12" s="6"/>
      <c r="T12" s="156"/>
      <c r="U12" s="6"/>
    </row>
    <row r="13" spans="1:21" customFormat="1">
      <c r="A13" s="163" t="s">
        <v>1011</v>
      </c>
      <c r="B13" s="100">
        <v>32.71</v>
      </c>
      <c r="C13" s="100">
        <v>27.21</v>
      </c>
      <c r="D13" s="100">
        <v>41.79</v>
      </c>
      <c r="E13" s="100">
        <v>9.76</v>
      </c>
      <c r="F13" s="152" t="s">
        <v>15</v>
      </c>
      <c r="G13" s="100">
        <v>96.59</v>
      </c>
      <c r="H13" s="100">
        <v>27.39</v>
      </c>
      <c r="I13" s="100">
        <v>17.25</v>
      </c>
      <c r="J13" s="100">
        <v>0.22</v>
      </c>
      <c r="K13" s="100">
        <v>176.24</v>
      </c>
      <c r="L13" s="100">
        <v>18.71</v>
      </c>
      <c r="M13" s="100">
        <v>67.22</v>
      </c>
      <c r="N13" s="100">
        <v>1.3</v>
      </c>
      <c r="O13" s="100">
        <v>0</v>
      </c>
      <c r="P13" s="100">
        <v>1.1100000000000001</v>
      </c>
      <c r="Q13" s="100">
        <v>13.06</v>
      </c>
      <c r="R13" s="6"/>
      <c r="S13" s="6"/>
      <c r="T13" s="156"/>
      <c r="U13" s="6"/>
    </row>
    <row r="14" spans="1:21" customFormat="1">
      <c r="A14" s="163" t="s">
        <v>1012</v>
      </c>
      <c r="B14" s="100">
        <v>32.49</v>
      </c>
      <c r="C14" s="100">
        <v>26.92</v>
      </c>
      <c r="D14" s="100">
        <v>41.47</v>
      </c>
      <c r="E14" s="100">
        <v>9.84</v>
      </c>
      <c r="F14" s="152" t="s">
        <v>15</v>
      </c>
      <c r="G14" s="100">
        <v>96.59</v>
      </c>
      <c r="H14" s="100">
        <v>27.39</v>
      </c>
      <c r="I14" s="100">
        <v>17.12</v>
      </c>
      <c r="J14" s="100">
        <v>0.2</v>
      </c>
      <c r="K14" s="100">
        <v>210.1</v>
      </c>
      <c r="L14" s="100">
        <v>18.21</v>
      </c>
      <c r="M14" s="100">
        <v>66.81</v>
      </c>
      <c r="N14" s="100">
        <v>1.5</v>
      </c>
      <c r="O14" s="100">
        <v>0</v>
      </c>
      <c r="P14" s="100">
        <v>1.1200000000000001</v>
      </c>
      <c r="Q14" s="100">
        <v>13.06</v>
      </c>
      <c r="R14" s="6"/>
      <c r="S14" s="6"/>
      <c r="T14" s="156"/>
      <c r="U14" s="6"/>
    </row>
    <row r="15" spans="1:21" customFormat="1">
      <c r="A15" s="163" t="s">
        <v>1013</v>
      </c>
      <c r="B15" s="100">
        <v>32.119999999999997</v>
      </c>
      <c r="C15" s="100">
        <v>26.63</v>
      </c>
      <c r="D15" s="100">
        <v>41.03</v>
      </c>
      <c r="E15" s="100">
        <v>9.92</v>
      </c>
      <c r="F15" s="152" t="s">
        <v>15</v>
      </c>
      <c r="G15" s="100">
        <v>96.49</v>
      </c>
      <c r="H15" s="100">
        <v>27.26</v>
      </c>
      <c r="I15" s="100">
        <v>16.940000000000001</v>
      </c>
      <c r="J15" s="100">
        <v>0.16</v>
      </c>
      <c r="K15" s="100">
        <v>172.6</v>
      </c>
      <c r="L15" s="100">
        <v>18.05</v>
      </c>
      <c r="M15" s="100">
        <v>70.819999999999993</v>
      </c>
      <c r="N15" s="100">
        <v>1.4</v>
      </c>
      <c r="O15" s="100">
        <v>0</v>
      </c>
      <c r="P15" s="100">
        <v>1.1200000000000001</v>
      </c>
      <c r="Q15" s="100">
        <v>13.06</v>
      </c>
      <c r="R15" s="6"/>
      <c r="S15" s="6"/>
      <c r="T15" s="156"/>
      <c r="U15" s="6"/>
    </row>
    <row r="16" spans="1:21" customFormat="1">
      <c r="A16" s="163" t="s">
        <v>1014</v>
      </c>
      <c r="B16" s="100">
        <v>31.7</v>
      </c>
      <c r="C16" s="100">
        <v>26.12</v>
      </c>
      <c r="D16" s="100">
        <v>40.42</v>
      </c>
      <c r="E16" s="100">
        <v>9.66</v>
      </c>
      <c r="F16" s="152" t="s">
        <v>15</v>
      </c>
      <c r="G16" s="100">
        <v>94.34</v>
      </c>
      <c r="H16" s="100">
        <v>23.12</v>
      </c>
      <c r="I16" s="100">
        <v>16.68</v>
      </c>
      <c r="J16" s="100">
        <v>0.18</v>
      </c>
      <c r="K16" s="100">
        <v>214.45</v>
      </c>
      <c r="L16" s="100">
        <v>17.71</v>
      </c>
      <c r="M16" s="100">
        <v>71.73</v>
      </c>
      <c r="N16" s="100">
        <v>1.4</v>
      </c>
      <c r="O16" s="100">
        <v>0</v>
      </c>
      <c r="P16" s="100">
        <v>1.1100000000000001</v>
      </c>
      <c r="Q16" s="100">
        <v>13.06</v>
      </c>
      <c r="R16" s="6"/>
      <c r="S16" s="6"/>
      <c r="T16" s="156"/>
      <c r="U16" s="6"/>
    </row>
    <row r="17" spans="1:21" customFormat="1">
      <c r="A17" s="163" t="s">
        <v>1015</v>
      </c>
      <c r="B17" s="100">
        <v>31.28</v>
      </c>
      <c r="C17" s="100">
        <v>25.86</v>
      </c>
      <c r="D17" s="100">
        <v>39.950000000000003</v>
      </c>
      <c r="E17" s="100">
        <v>8.15</v>
      </c>
      <c r="F17" s="152" t="s">
        <v>15</v>
      </c>
      <c r="G17" s="100">
        <v>94.34</v>
      </c>
      <c r="H17" s="100">
        <v>23.12</v>
      </c>
      <c r="I17" s="100">
        <v>16.510000000000002</v>
      </c>
      <c r="J17" s="100">
        <v>0.11</v>
      </c>
      <c r="K17" s="100">
        <v>194.98</v>
      </c>
      <c r="L17" s="100">
        <v>17.64</v>
      </c>
      <c r="M17" s="100">
        <v>71.67</v>
      </c>
      <c r="N17" s="100">
        <v>1.2</v>
      </c>
      <c r="O17" s="100">
        <v>0</v>
      </c>
      <c r="P17" s="100">
        <v>1.1100000000000001</v>
      </c>
      <c r="Q17" s="100">
        <v>13.05</v>
      </c>
      <c r="R17" s="6"/>
      <c r="S17" s="6"/>
      <c r="T17" s="156"/>
      <c r="U17" s="6"/>
    </row>
    <row r="18" spans="1:21" customFormat="1">
      <c r="A18" s="163" t="s">
        <v>1016</v>
      </c>
      <c r="B18" s="100">
        <v>30.81</v>
      </c>
      <c r="C18" s="100">
        <v>25.56</v>
      </c>
      <c r="D18" s="100">
        <v>39.409999999999997</v>
      </c>
      <c r="E18" s="100">
        <v>9.99</v>
      </c>
      <c r="F18" s="152" t="s">
        <v>15</v>
      </c>
      <c r="G18" s="100">
        <v>94.34</v>
      </c>
      <c r="H18" s="100">
        <v>23.12</v>
      </c>
      <c r="I18" s="100">
        <v>16.350000000000001</v>
      </c>
      <c r="J18" s="100">
        <v>0.14000000000000001</v>
      </c>
      <c r="K18" s="100">
        <v>217.53</v>
      </c>
      <c r="L18" s="100">
        <v>17.71</v>
      </c>
      <c r="M18" s="100">
        <v>69.790000000000006</v>
      </c>
      <c r="N18" s="100">
        <v>1.2</v>
      </c>
      <c r="O18" s="100">
        <v>0</v>
      </c>
      <c r="P18" s="100">
        <v>1.1000000000000001</v>
      </c>
      <c r="Q18" s="100">
        <v>13.04</v>
      </c>
      <c r="R18" s="6"/>
      <c r="S18" s="6"/>
      <c r="T18" s="156"/>
      <c r="U18" s="6"/>
    </row>
    <row r="19" spans="1:21" customFormat="1">
      <c r="A19" s="163" t="s">
        <v>1017</v>
      </c>
      <c r="B19" s="100">
        <v>30.03</v>
      </c>
      <c r="C19" s="100">
        <v>25.43</v>
      </c>
      <c r="D19" s="100">
        <v>38.72</v>
      </c>
      <c r="E19" s="100">
        <v>10</v>
      </c>
      <c r="F19" s="152" t="s">
        <v>15</v>
      </c>
      <c r="G19" s="100">
        <v>93.45</v>
      </c>
      <c r="H19" s="100">
        <v>23.11</v>
      </c>
      <c r="I19" s="100">
        <v>16.190000000000001</v>
      </c>
      <c r="J19" s="100">
        <v>0.11</v>
      </c>
      <c r="K19" s="100">
        <v>135.57</v>
      </c>
      <c r="L19" s="100">
        <v>17.82</v>
      </c>
      <c r="M19" s="100">
        <v>66.63</v>
      </c>
      <c r="N19" s="100">
        <v>1.1000000000000001</v>
      </c>
      <c r="O19" s="100">
        <v>0</v>
      </c>
      <c r="P19" s="100">
        <v>1.05</v>
      </c>
      <c r="Q19" s="100">
        <v>13.03</v>
      </c>
      <c r="R19" s="6"/>
      <c r="S19" s="6"/>
      <c r="T19" s="156"/>
      <c r="U19" s="6"/>
    </row>
    <row r="20" spans="1:21" customFormat="1">
      <c r="A20" s="163" t="s">
        <v>1018</v>
      </c>
      <c r="B20" s="100">
        <v>29.55</v>
      </c>
      <c r="C20" s="100">
        <v>25.22</v>
      </c>
      <c r="D20" s="100">
        <v>38.229999999999997</v>
      </c>
      <c r="E20" s="100">
        <v>9.9700000000000006</v>
      </c>
      <c r="F20" s="152" t="s">
        <v>15</v>
      </c>
      <c r="G20" s="100">
        <v>74.239999999999995</v>
      </c>
      <c r="H20" s="100">
        <v>22.84</v>
      </c>
      <c r="I20" s="100">
        <v>16.09</v>
      </c>
      <c r="J20" s="100">
        <v>0.36</v>
      </c>
      <c r="K20" s="100">
        <v>66.39</v>
      </c>
      <c r="L20" s="100">
        <v>18.27</v>
      </c>
      <c r="M20" s="100">
        <v>61.52</v>
      </c>
      <c r="N20" s="100">
        <v>0.7</v>
      </c>
      <c r="O20" s="100">
        <v>0</v>
      </c>
      <c r="P20" s="100">
        <v>0.98</v>
      </c>
      <c r="Q20" s="100">
        <v>13.04</v>
      </c>
      <c r="R20" s="6"/>
      <c r="S20" s="6"/>
      <c r="T20" s="156"/>
      <c r="U20" s="6"/>
    </row>
    <row r="21" spans="1:21" customFormat="1">
      <c r="A21" s="163" t="s">
        <v>1019</v>
      </c>
      <c r="B21" s="100">
        <v>30.19</v>
      </c>
      <c r="C21" s="100">
        <v>25.35</v>
      </c>
      <c r="D21" s="100">
        <v>38.81</v>
      </c>
      <c r="E21" s="100">
        <v>10.68</v>
      </c>
      <c r="F21" s="152" t="s">
        <v>15</v>
      </c>
      <c r="G21" s="100">
        <v>74.239999999999995</v>
      </c>
      <c r="H21" s="100">
        <v>22.84</v>
      </c>
      <c r="I21" s="100">
        <v>15.92</v>
      </c>
      <c r="J21" s="100">
        <v>0.66</v>
      </c>
      <c r="K21" s="100">
        <v>37.090000000000003</v>
      </c>
      <c r="L21" s="100">
        <v>19.059999999999999</v>
      </c>
      <c r="M21" s="100">
        <v>54.39</v>
      </c>
      <c r="N21" s="100">
        <v>0.1</v>
      </c>
      <c r="O21" s="100">
        <v>0</v>
      </c>
      <c r="P21" s="100">
        <v>0.97</v>
      </c>
      <c r="Q21" s="100">
        <v>13.06</v>
      </c>
      <c r="R21" s="6"/>
      <c r="S21" s="6"/>
      <c r="T21" s="156"/>
      <c r="U21" s="6"/>
    </row>
    <row r="22" spans="1:21" customFormat="1">
      <c r="A22" s="163" t="s">
        <v>1020</v>
      </c>
      <c r="B22" s="100">
        <v>29.93</v>
      </c>
      <c r="C22" s="100">
        <v>25.63</v>
      </c>
      <c r="D22" s="100">
        <v>38.75</v>
      </c>
      <c r="E22" s="100">
        <v>10.64</v>
      </c>
      <c r="F22" s="152" t="s">
        <v>15</v>
      </c>
      <c r="G22" s="100">
        <v>74.239999999999995</v>
      </c>
      <c r="H22" s="100">
        <v>22.84</v>
      </c>
      <c r="I22" s="100">
        <v>15.84</v>
      </c>
      <c r="J22" s="100">
        <v>0.4</v>
      </c>
      <c r="K22" s="100">
        <v>31.57</v>
      </c>
      <c r="L22" s="100">
        <v>19.28</v>
      </c>
      <c r="M22" s="100">
        <v>54.38</v>
      </c>
      <c r="N22" s="100">
        <v>0.9</v>
      </c>
      <c r="O22" s="100">
        <v>0</v>
      </c>
      <c r="P22" s="100">
        <v>0.95</v>
      </c>
      <c r="Q22" s="100">
        <v>13.06</v>
      </c>
      <c r="R22" s="6"/>
      <c r="S22" s="6"/>
      <c r="T22" s="156"/>
      <c r="U22" s="6"/>
    </row>
    <row r="23" spans="1:21" customFormat="1">
      <c r="A23" s="163" t="s">
        <v>1021</v>
      </c>
      <c r="B23" s="100">
        <v>29.36</v>
      </c>
      <c r="C23" s="100">
        <v>25.77</v>
      </c>
      <c r="D23" s="100">
        <v>38.36</v>
      </c>
      <c r="E23" s="100">
        <v>10.15</v>
      </c>
      <c r="F23" s="152" t="s">
        <v>15</v>
      </c>
      <c r="G23" s="100">
        <v>74.5</v>
      </c>
      <c r="H23" s="100">
        <v>22.82</v>
      </c>
      <c r="I23" s="100">
        <v>15.7</v>
      </c>
      <c r="J23" s="100">
        <v>0.44</v>
      </c>
      <c r="K23" s="100">
        <v>45.24</v>
      </c>
      <c r="L23" s="100">
        <v>19.21</v>
      </c>
      <c r="M23" s="100">
        <v>56.04</v>
      </c>
      <c r="N23" s="100">
        <v>1.1000000000000001</v>
      </c>
      <c r="O23" s="100">
        <v>0</v>
      </c>
      <c r="P23" s="100">
        <v>0.94</v>
      </c>
      <c r="Q23" s="100">
        <v>13.05</v>
      </c>
      <c r="R23" s="6"/>
      <c r="S23" s="6"/>
      <c r="T23" s="156"/>
      <c r="U23" s="6"/>
    </row>
    <row r="24" spans="1:21" customFormat="1">
      <c r="A24" s="163" t="s">
        <v>1022</v>
      </c>
      <c r="B24" s="100">
        <v>28.92</v>
      </c>
      <c r="C24" s="100">
        <v>25.79</v>
      </c>
      <c r="D24" s="100">
        <v>38.020000000000003</v>
      </c>
      <c r="E24" s="100">
        <v>10.47</v>
      </c>
      <c r="F24" s="152" t="s">
        <v>15</v>
      </c>
      <c r="G24" s="100">
        <v>81.95</v>
      </c>
      <c r="H24" s="100">
        <v>22.21</v>
      </c>
      <c r="I24" s="100">
        <v>15.51</v>
      </c>
      <c r="J24" s="100">
        <v>0.33</v>
      </c>
      <c r="K24" s="100">
        <v>50.89</v>
      </c>
      <c r="L24" s="100">
        <v>19.11</v>
      </c>
      <c r="M24" s="100">
        <v>57.54</v>
      </c>
      <c r="N24" s="100">
        <v>1.2</v>
      </c>
      <c r="O24" s="100">
        <v>0</v>
      </c>
      <c r="P24" s="100">
        <v>0.93</v>
      </c>
      <c r="Q24" s="100">
        <v>13.04</v>
      </c>
      <c r="R24" s="6"/>
      <c r="S24" s="6"/>
      <c r="T24" s="156"/>
      <c r="U24" s="6"/>
    </row>
    <row r="25" spans="1:21" customFormat="1">
      <c r="A25" s="163" t="s">
        <v>1023</v>
      </c>
      <c r="B25" s="100">
        <v>28.53</v>
      </c>
      <c r="C25" s="100">
        <v>25.7</v>
      </c>
      <c r="D25" s="100">
        <v>37.659999999999997</v>
      </c>
      <c r="E25" s="100">
        <v>10.34</v>
      </c>
      <c r="F25" s="152" t="s">
        <v>15</v>
      </c>
      <c r="G25" s="100">
        <v>81.95</v>
      </c>
      <c r="H25" s="100">
        <v>22.21</v>
      </c>
      <c r="I25" s="100">
        <v>15.29</v>
      </c>
      <c r="J25" s="100">
        <v>0.3</v>
      </c>
      <c r="K25" s="100">
        <v>45.33</v>
      </c>
      <c r="L25" s="100">
        <v>18.829999999999998</v>
      </c>
      <c r="M25" s="100">
        <v>59.54</v>
      </c>
      <c r="N25" s="100">
        <v>1.3</v>
      </c>
      <c r="O25" s="100">
        <v>0</v>
      </c>
      <c r="P25" s="100">
        <v>0.9</v>
      </c>
      <c r="Q25" s="100">
        <v>13.04</v>
      </c>
      <c r="R25" s="6"/>
      <c r="S25" s="6"/>
      <c r="T25" s="156"/>
      <c r="U25" s="6"/>
    </row>
    <row r="26" spans="1:21" customFormat="1">
      <c r="A26" s="163" t="s">
        <v>1024</v>
      </c>
      <c r="B26" s="100">
        <v>28.2</v>
      </c>
      <c r="C26" s="100">
        <v>25.55</v>
      </c>
      <c r="D26" s="100">
        <v>37.32</v>
      </c>
      <c r="E26" s="100">
        <v>10.1</v>
      </c>
      <c r="F26" s="152" t="s">
        <v>15</v>
      </c>
      <c r="G26" s="100">
        <v>81.95</v>
      </c>
      <c r="H26" s="100">
        <v>22.21</v>
      </c>
      <c r="I26" s="100">
        <v>15.03</v>
      </c>
      <c r="J26" s="100">
        <v>0.24</v>
      </c>
      <c r="K26" s="100">
        <v>62.74</v>
      </c>
      <c r="L26" s="100">
        <v>18.739999999999998</v>
      </c>
      <c r="M26" s="100">
        <v>59.72</v>
      </c>
      <c r="N26" s="100">
        <v>1.3</v>
      </c>
      <c r="O26" s="100">
        <v>0</v>
      </c>
      <c r="P26" s="100">
        <v>0.89</v>
      </c>
      <c r="Q26" s="100">
        <v>13.04</v>
      </c>
      <c r="R26" s="6"/>
      <c r="S26" s="6"/>
      <c r="T26" s="156"/>
      <c r="U26" s="6"/>
    </row>
    <row r="27" spans="1:21" customFormat="1">
      <c r="A27" s="163" t="s">
        <v>1025</v>
      </c>
      <c r="B27" s="100">
        <v>27.87</v>
      </c>
      <c r="C27" s="100">
        <v>25.53</v>
      </c>
      <c r="D27" s="100">
        <v>37.04</v>
      </c>
      <c r="E27" s="100">
        <v>10.16</v>
      </c>
      <c r="F27" s="152" t="s">
        <v>15</v>
      </c>
      <c r="G27" s="100">
        <v>81.3</v>
      </c>
      <c r="H27" s="100">
        <v>22.19</v>
      </c>
      <c r="I27" s="100">
        <v>14.82</v>
      </c>
      <c r="J27" s="100">
        <v>0.17</v>
      </c>
      <c r="K27" s="100">
        <v>69.849999999999994</v>
      </c>
      <c r="L27" s="100">
        <v>18.489999999999998</v>
      </c>
      <c r="M27" s="100">
        <v>60.87</v>
      </c>
      <c r="N27" s="100">
        <v>1.4</v>
      </c>
      <c r="O27" s="100">
        <v>0</v>
      </c>
      <c r="P27" s="100">
        <v>0.87</v>
      </c>
      <c r="Q27" s="100">
        <v>13.04</v>
      </c>
      <c r="R27" s="6"/>
      <c r="S27" s="6"/>
      <c r="T27" s="156"/>
      <c r="U27" s="6"/>
    </row>
    <row r="28" spans="1:21" customFormat="1">
      <c r="A28" s="163" t="s">
        <v>1026</v>
      </c>
      <c r="B28" s="100">
        <v>27.52</v>
      </c>
      <c r="C28" s="100">
        <v>25.56</v>
      </c>
      <c r="D28" s="100">
        <v>36.770000000000003</v>
      </c>
      <c r="E28" s="100">
        <v>10.19</v>
      </c>
      <c r="F28" s="152" t="s">
        <v>15</v>
      </c>
      <c r="G28" s="100">
        <v>62.29</v>
      </c>
      <c r="H28" s="100">
        <v>21.72</v>
      </c>
      <c r="I28" s="100">
        <v>14.58</v>
      </c>
      <c r="J28" s="100">
        <v>0.49</v>
      </c>
      <c r="K28" s="100">
        <v>52.07</v>
      </c>
      <c r="L28" s="100">
        <v>18.45</v>
      </c>
      <c r="M28" s="100">
        <v>56.96</v>
      </c>
      <c r="N28" s="100">
        <v>0.9</v>
      </c>
      <c r="O28" s="100">
        <v>0</v>
      </c>
      <c r="P28" s="100">
        <v>0.87</v>
      </c>
      <c r="Q28" s="100">
        <v>13.04</v>
      </c>
      <c r="R28" s="6"/>
      <c r="S28" s="6"/>
      <c r="T28" s="156"/>
      <c r="U28" s="6"/>
    </row>
    <row r="29" spans="1:21" customFormat="1">
      <c r="A29" s="163" t="s">
        <v>1027</v>
      </c>
      <c r="B29" s="100">
        <v>27.28</v>
      </c>
      <c r="C29" s="100">
        <v>25.51</v>
      </c>
      <c r="D29" s="100">
        <v>36.549999999999997</v>
      </c>
      <c r="E29" s="100">
        <v>10.02</v>
      </c>
      <c r="F29" s="152" t="s">
        <v>15</v>
      </c>
      <c r="G29" s="100">
        <v>62.29</v>
      </c>
      <c r="H29" s="100">
        <v>21.72</v>
      </c>
      <c r="I29" s="100">
        <v>14.38</v>
      </c>
      <c r="J29" s="100">
        <v>0.68</v>
      </c>
      <c r="K29" s="100">
        <v>44.94</v>
      </c>
      <c r="L29" s="100">
        <v>18.690000000000001</v>
      </c>
      <c r="M29" s="100">
        <v>53.24</v>
      </c>
      <c r="N29" s="100">
        <v>0.8</v>
      </c>
      <c r="O29" s="100">
        <v>0</v>
      </c>
      <c r="P29" s="100">
        <v>0.86</v>
      </c>
      <c r="Q29" s="100">
        <v>13.05</v>
      </c>
      <c r="R29" s="6"/>
      <c r="S29" s="6"/>
      <c r="T29" s="156"/>
      <c r="U29" s="6"/>
    </row>
    <row r="30" spans="1:21" customFormat="1">
      <c r="A30" s="163" t="s">
        <v>1028</v>
      </c>
      <c r="B30" s="100">
        <v>27.02</v>
      </c>
      <c r="C30" s="100">
        <v>25.87</v>
      </c>
      <c r="D30" s="100">
        <v>36.54</v>
      </c>
      <c r="E30" s="100">
        <v>10.199999999999999</v>
      </c>
      <c r="F30" s="152" t="s">
        <v>15</v>
      </c>
      <c r="G30" s="100">
        <v>62.29</v>
      </c>
      <c r="H30" s="100">
        <v>21.72</v>
      </c>
      <c r="I30" s="100">
        <v>14.18</v>
      </c>
      <c r="J30" s="100">
        <v>0.64</v>
      </c>
      <c r="K30" s="100">
        <v>45.3</v>
      </c>
      <c r="L30" s="100">
        <v>18.61</v>
      </c>
      <c r="M30" s="100">
        <v>51.37</v>
      </c>
      <c r="N30" s="100">
        <v>1.1000000000000001</v>
      </c>
      <c r="O30" s="100">
        <v>0</v>
      </c>
      <c r="P30" s="100">
        <v>0.85</v>
      </c>
      <c r="Q30" s="100">
        <v>13.03</v>
      </c>
      <c r="R30" s="6"/>
      <c r="S30" s="6"/>
      <c r="T30" s="156"/>
      <c r="U30" s="6"/>
    </row>
    <row r="31" spans="1:21" customFormat="1">
      <c r="A31" s="163" t="s">
        <v>1029</v>
      </c>
      <c r="B31" s="100">
        <v>26.44</v>
      </c>
      <c r="C31" s="100">
        <v>25.96</v>
      </c>
      <c r="D31" s="100">
        <v>36.119999999999997</v>
      </c>
      <c r="E31" s="100">
        <v>10.29</v>
      </c>
      <c r="F31" s="152" t="s">
        <v>15</v>
      </c>
      <c r="G31" s="100">
        <v>63.22</v>
      </c>
      <c r="H31" s="100">
        <v>21.66</v>
      </c>
      <c r="I31" s="100">
        <v>13.96</v>
      </c>
      <c r="J31" s="100">
        <v>0.35</v>
      </c>
      <c r="K31" s="100">
        <v>55.64</v>
      </c>
      <c r="L31" s="100">
        <v>18.559999999999999</v>
      </c>
      <c r="M31" s="100">
        <v>50.29</v>
      </c>
      <c r="N31" s="100">
        <v>1.3</v>
      </c>
      <c r="O31" s="100">
        <v>0</v>
      </c>
      <c r="P31" s="100">
        <v>0.83</v>
      </c>
      <c r="Q31" s="100">
        <v>13.01</v>
      </c>
      <c r="R31" s="6"/>
      <c r="S31" s="6"/>
      <c r="T31" s="156"/>
      <c r="U31" s="6"/>
    </row>
    <row r="32" spans="1:21" customFormat="1">
      <c r="A32" s="163" t="s">
        <v>1030</v>
      </c>
      <c r="B32" s="100">
        <v>26.15</v>
      </c>
      <c r="C32" s="100">
        <v>26.08</v>
      </c>
      <c r="D32" s="100">
        <v>35.950000000000003</v>
      </c>
      <c r="E32" s="100">
        <v>10.25</v>
      </c>
      <c r="F32" s="152" t="s">
        <v>15</v>
      </c>
      <c r="G32" s="100">
        <v>90.16</v>
      </c>
      <c r="H32" s="100">
        <v>19.809999999999999</v>
      </c>
      <c r="I32" s="100">
        <v>13.73</v>
      </c>
      <c r="J32" s="100">
        <v>0.17</v>
      </c>
      <c r="K32" s="100">
        <v>102.83</v>
      </c>
      <c r="L32" s="100">
        <v>18.260000000000002</v>
      </c>
      <c r="M32" s="100">
        <v>54.14</v>
      </c>
      <c r="N32" s="100">
        <v>1.5</v>
      </c>
      <c r="O32" s="100">
        <v>0</v>
      </c>
      <c r="P32" s="100">
        <v>0.83</v>
      </c>
      <c r="Q32" s="100">
        <v>13.03</v>
      </c>
      <c r="R32" s="6"/>
      <c r="S32" s="6"/>
      <c r="T32" s="156"/>
      <c r="U32" s="6"/>
    </row>
    <row r="33" spans="1:21" customFormat="1">
      <c r="A33" s="163" t="s">
        <v>1031</v>
      </c>
      <c r="B33" s="100">
        <v>25.75</v>
      </c>
      <c r="C33" s="100">
        <v>26.11</v>
      </c>
      <c r="D33" s="100">
        <v>35.64</v>
      </c>
      <c r="E33" s="100">
        <v>9.8000000000000007</v>
      </c>
      <c r="F33" s="152" t="s">
        <v>15</v>
      </c>
      <c r="G33" s="100">
        <v>90.16</v>
      </c>
      <c r="H33" s="100">
        <v>19.809999999999999</v>
      </c>
      <c r="I33" s="100">
        <v>13.71</v>
      </c>
      <c r="J33" s="100">
        <v>0.39</v>
      </c>
      <c r="K33" s="100">
        <v>56.74</v>
      </c>
      <c r="L33" s="100">
        <v>18.04</v>
      </c>
      <c r="M33" s="100">
        <v>51.57</v>
      </c>
      <c r="N33" s="100">
        <v>1.2</v>
      </c>
      <c r="O33" s="100">
        <v>0</v>
      </c>
      <c r="P33" s="100">
        <v>0.81</v>
      </c>
      <c r="Q33" s="100">
        <v>13.03</v>
      </c>
      <c r="R33" s="6"/>
      <c r="S33" s="6"/>
      <c r="T33" s="156"/>
      <c r="U33" s="6"/>
    </row>
    <row r="34" spans="1:21" customFormat="1">
      <c r="A34" s="163" t="s">
        <v>1032</v>
      </c>
      <c r="B34" s="100">
        <v>25.55</v>
      </c>
      <c r="C34" s="100">
        <v>25.9</v>
      </c>
      <c r="D34" s="100">
        <v>35.380000000000003</v>
      </c>
      <c r="E34" s="100">
        <v>10.119999999999999</v>
      </c>
      <c r="F34" s="152" t="s">
        <v>15</v>
      </c>
      <c r="G34" s="100">
        <v>90.16</v>
      </c>
      <c r="H34" s="100">
        <v>19.809999999999999</v>
      </c>
      <c r="I34" s="100">
        <v>13.81</v>
      </c>
      <c r="J34" s="100">
        <v>0.23</v>
      </c>
      <c r="K34" s="100">
        <v>77.959999999999994</v>
      </c>
      <c r="L34" s="100">
        <v>17.93</v>
      </c>
      <c r="M34" s="100">
        <v>52.58</v>
      </c>
      <c r="N34" s="100">
        <v>1.7</v>
      </c>
      <c r="O34" s="100">
        <v>0</v>
      </c>
      <c r="P34" s="100">
        <v>0.8</v>
      </c>
      <c r="Q34" s="100">
        <v>13.03</v>
      </c>
      <c r="R34" s="6"/>
      <c r="S34" s="6"/>
      <c r="T34" s="156"/>
      <c r="U34" s="6"/>
    </row>
    <row r="35" spans="1:21" customFormat="1">
      <c r="A35" s="163" t="s">
        <v>1033</v>
      </c>
      <c r="B35" s="100">
        <v>25.4</v>
      </c>
      <c r="C35" s="100">
        <v>25.98</v>
      </c>
      <c r="D35" s="100">
        <v>35.299999999999997</v>
      </c>
      <c r="E35" s="100">
        <v>10.220000000000001</v>
      </c>
      <c r="F35" s="152" t="s">
        <v>15</v>
      </c>
      <c r="G35" s="100">
        <v>90.04</v>
      </c>
      <c r="H35" s="100">
        <v>19.78</v>
      </c>
      <c r="I35" s="100">
        <v>13.97</v>
      </c>
      <c r="J35" s="100">
        <v>0.17</v>
      </c>
      <c r="K35" s="100">
        <v>170.74</v>
      </c>
      <c r="L35" s="100">
        <v>17.32</v>
      </c>
      <c r="M35" s="100">
        <v>62.73</v>
      </c>
      <c r="N35" s="100">
        <v>4</v>
      </c>
      <c r="O35" s="100">
        <v>0</v>
      </c>
      <c r="P35" s="100">
        <v>0.79</v>
      </c>
      <c r="Q35" s="100">
        <v>13.04</v>
      </c>
      <c r="R35" s="6"/>
      <c r="S35" s="6"/>
      <c r="T35" s="156"/>
      <c r="U35" s="6"/>
    </row>
    <row r="36" spans="1:21" customFormat="1">
      <c r="A36" s="163" t="s">
        <v>1034</v>
      </c>
      <c r="B36" s="100">
        <v>24.83</v>
      </c>
      <c r="C36" s="100">
        <v>25.93</v>
      </c>
      <c r="D36" s="100">
        <v>34.81</v>
      </c>
      <c r="E36" s="100">
        <v>9.98</v>
      </c>
      <c r="F36" s="152" t="s">
        <v>15</v>
      </c>
      <c r="G36" s="100">
        <v>87.5</v>
      </c>
      <c r="H36" s="100">
        <v>18.989999999999998</v>
      </c>
      <c r="I36" s="100">
        <v>14.13</v>
      </c>
      <c r="J36" s="100">
        <v>0.1</v>
      </c>
      <c r="K36" s="100">
        <v>170.73</v>
      </c>
      <c r="L36" s="100">
        <v>17</v>
      </c>
      <c r="M36" s="100">
        <v>60.54</v>
      </c>
      <c r="N36" s="100">
        <v>8.9</v>
      </c>
      <c r="O36" s="100">
        <v>0</v>
      </c>
      <c r="P36" s="100">
        <v>0.78</v>
      </c>
      <c r="Q36" s="100">
        <v>13.03</v>
      </c>
      <c r="R36" s="6"/>
      <c r="S36" s="6"/>
      <c r="T36" s="156"/>
      <c r="U36" s="6"/>
    </row>
    <row r="37" spans="1:21" customFormat="1">
      <c r="A37" s="163" t="s">
        <v>1035</v>
      </c>
      <c r="B37" s="100">
        <v>24.89</v>
      </c>
      <c r="C37" s="100">
        <v>26.06</v>
      </c>
      <c r="D37" s="100">
        <v>34.92</v>
      </c>
      <c r="E37" s="100">
        <v>9.99</v>
      </c>
      <c r="F37" s="152" t="s">
        <v>15</v>
      </c>
      <c r="G37" s="100">
        <v>87.5</v>
      </c>
      <c r="H37" s="100">
        <v>18.989999999999998</v>
      </c>
      <c r="I37" s="100">
        <v>14.2</v>
      </c>
      <c r="J37" s="100">
        <v>0.28999999999999998</v>
      </c>
      <c r="K37" s="100">
        <v>59.78</v>
      </c>
      <c r="L37" s="100">
        <v>17.440000000000001</v>
      </c>
      <c r="M37" s="100">
        <v>54.83</v>
      </c>
      <c r="N37" s="100">
        <v>15.4</v>
      </c>
      <c r="O37" s="100">
        <v>0</v>
      </c>
      <c r="P37" s="100">
        <v>0.78</v>
      </c>
      <c r="Q37" s="100">
        <v>13.01</v>
      </c>
      <c r="R37" s="6"/>
      <c r="S37" s="6"/>
      <c r="T37" s="156"/>
      <c r="U37" s="6"/>
    </row>
    <row r="38" spans="1:21" customFormat="1">
      <c r="A38" s="163" t="s">
        <v>1036</v>
      </c>
      <c r="B38" s="100">
        <v>25.1</v>
      </c>
      <c r="C38" s="100">
        <v>26.17</v>
      </c>
      <c r="D38" s="100">
        <v>35.15</v>
      </c>
      <c r="E38" s="100">
        <v>10.08</v>
      </c>
      <c r="F38" s="152" t="s">
        <v>15</v>
      </c>
      <c r="G38" s="100">
        <v>87.5</v>
      </c>
      <c r="H38" s="100">
        <v>18.989999999999998</v>
      </c>
      <c r="I38" s="100">
        <v>14.09</v>
      </c>
      <c r="J38" s="100">
        <v>0.56000000000000005</v>
      </c>
      <c r="K38" s="100">
        <v>61.74</v>
      </c>
      <c r="L38" s="100">
        <v>18.21</v>
      </c>
      <c r="M38" s="100">
        <v>48.98</v>
      </c>
      <c r="N38" s="100">
        <v>23.9</v>
      </c>
      <c r="O38" s="100">
        <v>0</v>
      </c>
      <c r="P38" s="100">
        <v>0.77</v>
      </c>
      <c r="Q38" s="100">
        <v>13.02</v>
      </c>
      <c r="R38" s="6"/>
      <c r="S38" s="6"/>
      <c r="T38" s="156"/>
      <c r="U38" s="6"/>
    </row>
    <row r="39" spans="1:21" customFormat="1">
      <c r="A39" s="163" t="s">
        <v>1037</v>
      </c>
      <c r="B39" s="100">
        <v>25.33</v>
      </c>
      <c r="C39" s="100">
        <v>26.23</v>
      </c>
      <c r="D39" s="100">
        <v>35.369999999999997</v>
      </c>
      <c r="E39" s="100">
        <v>9.89</v>
      </c>
      <c r="F39" s="152" t="s">
        <v>15</v>
      </c>
      <c r="G39" s="100">
        <v>87.65</v>
      </c>
      <c r="H39" s="100">
        <v>19.09</v>
      </c>
      <c r="I39" s="100">
        <v>13.91</v>
      </c>
      <c r="J39" s="100">
        <v>0.39</v>
      </c>
      <c r="K39" s="100">
        <v>75.45</v>
      </c>
      <c r="L39" s="100">
        <v>18.7</v>
      </c>
      <c r="M39" s="100">
        <v>48.09</v>
      </c>
      <c r="N39" s="100">
        <v>32.4</v>
      </c>
      <c r="O39" s="100">
        <v>0</v>
      </c>
      <c r="P39" s="100">
        <v>0.77</v>
      </c>
      <c r="Q39" s="100">
        <v>13.02</v>
      </c>
      <c r="R39" s="6"/>
      <c r="S39" s="6"/>
      <c r="T39" s="156"/>
      <c r="U39" s="6"/>
    </row>
    <row r="40" spans="1:21" customFormat="1">
      <c r="A40" s="163" t="s">
        <v>1038</v>
      </c>
      <c r="B40" s="100">
        <v>25.27</v>
      </c>
      <c r="C40" s="100">
        <v>26.74</v>
      </c>
      <c r="D40" s="100">
        <v>35.590000000000003</v>
      </c>
      <c r="E40" s="100">
        <v>10.33</v>
      </c>
      <c r="F40" s="152" t="s">
        <v>15</v>
      </c>
      <c r="G40" s="100">
        <v>90.79</v>
      </c>
      <c r="H40" s="100">
        <v>22.06</v>
      </c>
      <c r="I40" s="100">
        <v>13.81</v>
      </c>
      <c r="J40" s="100">
        <v>0.32</v>
      </c>
      <c r="K40" s="100">
        <v>83.18</v>
      </c>
      <c r="L40" s="100">
        <v>19.2</v>
      </c>
      <c r="M40" s="100">
        <v>44.91</v>
      </c>
      <c r="N40" s="100">
        <v>41.4</v>
      </c>
      <c r="O40" s="100">
        <v>0</v>
      </c>
      <c r="P40" s="100">
        <v>0.82</v>
      </c>
      <c r="Q40" s="100">
        <v>13.02</v>
      </c>
      <c r="R40" s="6"/>
      <c r="S40" s="6"/>
      <c r="T40" s="156"/>
      <c r="U40" s="6"/>
    </row>
    <row r="41" spans="1:21" customFormat="1">
      <c r="A41" s="163" t="s">
        <v>1039</v>
      </c>
      <c r="B41" s="100">
        <v>24.83</v>
      </c>
      <c r="C41" s="100">
        <v>27.2</v>
      </c>
      <c r="D41" s="100">
        <v>35.47</v>
      </c>
      <c r="E41" s="100">
        <v>10.14</v>
      </c>
      <c r="F41" s="152" t="s">
        <v>15</v>
      </c>
      <c r="G41" s="100">
        <v>90.79</v>
      </c>
      <c r="H41" s="100">
        <v>22.06</v>
      </c>
      <c r="I41" s="100">
        <v>13.72</v>
      </c>
      <c r="J41" s="100">
        <v>0.56000000000000005</v>
      </c>
      <c r="K41" s="100">
        <v>61.61</v>
      </c>
      <c r="L41" s="100">
        <v>19.78</v>
      </c>
      <c r="M41" s="100">
        <v>42.47</v>
      </c>
      <c r="N41" s="100">
        <v>90.6</v>
      </c>
      <c r="O41" s="100">
        <v>0</v>
      </c>
      <c r="P41" s="100">
        <v>0.85</v>
      </c>
      <c r="Q41" s="100">
        <v>13.02</v>
      </c>
      <c r="R41" s="6"/>
      <c r="S41" s="6"/>
      <c r="T41" s="156"/>
      <c r="U41" s="6"/>
    </row>
    <row r="42" spans="1:21" customFormat="1">
      <c r="A42" s="163" t="s">
        <v>1040</v>
      </c>
      <c r="B42" s="100">
        <v>24.19</v>
      </c>
      <c r="C42" s="100">
        <v>27.39</v>
      </c>
      <c r="D42" s="100">
        <v>35.06</v>
      </c>
      <c r="E42" s="100">
        <v>9.98</v>
      </c>
      <c r="F42" s="152" t="s">
        <v>15</v>
      </c>
      <c r="G42" s="100">
        <v>90.79</v>
      </c>
      <c r="H42" s="100">
        <v>22.06</v>
      </c>
      <c r="I42" s="100">
        <v>13.9</v>
      </c>
      <c r="J42" s="100">
        <v>0.68</v>
      </c>
      <c r="K42" s="100">
        <v>57.24</v>
      </c>
      <c r="L42" s="100">
        <v>20.45</v>
      </c>
      <c r="M42" s="100">
        <v>40.68</v>
      </c>
      <c r="N42" s="100">
        <v>156.9</v>
      </c>
      <c r="O42" s="100">
        <v>0</v>
      </c>
      <c r="P42" s="100">
        <v>0.85</v>
      </c>
      <c r="Q42" s="100">
        <v>13.04</v>
      </c>
      <c r="R42" s="6"/>
      <c r="S42" s="6"/>
      <c r="T42" s="156"/>
      <c r="U42" s="6"/>
    </row>
    <row r="43" spans="1:21" customFormat="1">
      <c r="A43" s="163" t="s">
        <v>1041</v>
      </c>
      <c r="B43" s="100">
        <v>23.57</v>
      </c>
      <c r="C43" s="100">
        <v>27.35</v>
      </c>
      <c r="D43" s="100">
        <v>34.54</v>
      </c>
      <c r="E43" s="100">
        <v>9.61</v>
      </c>
      <c r="F43" s="152" t="s">
        <v>15</v>
      </c>
      <c r="G43" s="100">
        <v>90.88</v>
      </c>
      <c r="H43" s="100">
        <v>22.15</v>
      </c>
      <c r="I43" s="100">
        <v>15.15</v>
      </c>
      <c r="J43" s="100">
        <v>0.74</v>
      </c>
      <c r="K43" s="100">
        <v>59.9</v>
      </c>
      <c r="L43" s="100">
        <v>21.28</v>
      </c>
      <c r="M43" s="100">
        <v>38.07</v>
      </c>
      <c r="N43" s="100">
        <v>190.3</v>
      </c>
      <c r="O43" s="100">
        <v>0</v>
      </c>
      <c r="P43" s="100">
        <v>0.84</v>
      </c>
      <c r="Q43" s="100">
        <v>13.01</v>
      </c>
      <c r="R43" s="6"/>
      <c r="S43" s="6"/>
      <c r="T43" s="156"/>
      <c r="U43" s="6"/>
    </row>
    <row r="44" spans="1:21" customFormat="1">
      <c r="A44" s="163" t="s">
        <v>1042</v>
      </c>
      <c r="B44" s="100">
        <v>22.81</v>
      </c>
      <c r="C44" s="100">
        <v>27.29</v>
      </c>
      <c r="D44" s="100">
        <v>33.909999999999997</v>
      </c>
      <c r="E44" s="100">
        <v>9.83</v>
      </c>
      <c r="F44" s="152" t="s">
        <v>15</v>
      </c>
      <c r="G44" s="100">
        <v>92.98</v>
      </c>
      <c r="H44" s="100">
        <v>25.04</v>
      </c>
      <c r="I44" s="100">
        <v>15.86</v>
      </c>
      <c r="J44" s="100">
        <v>0.66</v>
      </c>
      <c r="K44" s="100">
        <v>64.77</v>
      </c>
      <c r="L44" s="100">
        <v>22.41</v>
      </c>
      <c r="M44" s="100">
        <v>35.03</v>
      </c>
      <c r="N44" s="100">
        <v>202.7</v>
      </c>
      <c r="O44" s="100">
        <v>0</v>
      </c>
      <c r="P44" s="100">
        <v>0.85</v>
      </c>
      <c r="Q44" s="100">
        <v>13</v>
      </c>
      <c r="R44" s="6"/>
      <c r="S44" s="6"/>
      <c r="T44" s="156"/>
      <c r="U44" s="6"/>
    </row>
    <row r="45" spans="1:21" customFormat="1">
      <c r="A45" s="163" t="s">
        <v>1043</v>
      </c>
      <c r="B45" s="100">
        <v>21.92</v>
      </c>
      <c r="C45" s="100">
        <v>27.12</v>
      </c>
      <c r="D45" s="100">
        <v>33.090000000000003</v>
      </c>
      <c r="E45" s="100">
        <v>10.039999999999999</v>
      </c>
      <c r="F45" s="152" t="s">
        <v>15</v>
      </c>
      <c r="G45" s="100">
        <v>92.98</v>
      </c>
      <c r="H45" s="100">
        <v>25.04</v>
      </c>
      <c r="I45" s="100">
        <v>15.76</v>
      </c>
      <c r="J45" s="100">
        <v>0.66</v>
      </c>
      <c r="K45" s="100">
        <v>67.760000000000005</v>
      </c>
      <c r="L45" s="100">
        <v>23.24</v>
      </c>
      <c r="M45" s="100">
        <v>31.02</v>
      </c>
      <c r="N45" s="100">
        <v>202.1</v>
      </c>
      <c r="O45" s="100">
        <v>0</v>
      </c>
      <c r="P45" s="100">
        <v>0.83</v>
      </c>
      <c r="Q45" s="100">
        <v>13.01</v>
      </c>
      <c r="R45" s="6"/>
      <c r="S45" s="6"/>
      <c r="T45" s="156"/>
      <c r="U45" s="6"/>
    </row>
    <row r="46" spans="1:21" customFormat="1">
      <c r="A46" s="163" t="s">
        <v>1044</v>
      </c>
      <c r="B46" s="100">
        <v>21.27</v>
      </c>
      <c r="C46" s="100">
        <v>27.13</v>
      </c>
      <c r="D46" s="100">
        <v>32.58</v>
      </c>
      <c r="E46" s="100">
        <v>9.8000000000000007</v>
      </c>
      <c r="F46" s="152" t="s">
        <v>15</v>
      </c>
      <c r="G46" s="100">
        <v>92.98</v>
      </c>
      <c r="H46" s="100">
        <v>25.04</v>
      </c>
      <c r="I46" s="100">
        <v>15.48</v>
      </c>
      <c r="J46" s="100">
        <v>0.69</v>
      </c>
      <c r="K46" s="100">
        <v>65.89</v>
      </c>
      <c r="L46" s="100">
        <v>23.97</v>
      </c>
      <c r="M46" s="100">
        <v>28.66</v>
      </c>
      <c r="N46" s="100">
        <v>268.10000000000002</v>
      </c>
      <c r="O46" s="100">
        <v>0</v>
      </c>
      <c r="P46" s="100">
        <v>0.81</v>
      </c>
      <c r="Q46" s="100">
        <v>13</v>
      </c>
      <c r="R46" s="6"/>
      <c r="S46" s="6"/>
      <c r="T46" s="156"/>
      <c r="U46" s="6"/>
    </row>
    <row r="47" spans="1:21" customFormat="1">
      <c r="A47" s="163" t="s">
        <v>1045</v>
      </c>
      <c r="B47" s="100">
        <v>20.97</v>
      </c>
      <c r="C47" s="100">
        <v>27.06</v>
      </c>
      <c r="D47" s="100">
        <v>32.31</v>
      </c>
      <c r="E47" s="100">
        <v>9.82</v>
      </c>
      <c r="F47" s="152" t="s">
        <v>15</v>
      </c>
      <c r="G47" s="100">
        <v>91.73</v>
      </c>
      <c r="H47" s="100">
        <v>24.95</v>
      </c>
      <c r="I47" s="100">
        <v>15.15</v>
      </c>
      <c r="J47" s="100">
        <v>1.1299999999999999</v>
      </c>
      <c r="K47" s="100">
        <v>54.16</v>
      </c>
      <c r="L47" s="100">
        <v>24.32</v>
      </c>
      <c r="M47" s="100">
        <v>26.12</v>
      </c>
      <c r="N47" s="100">
        <v>282.89999999999998</v>
      </c>
      <c r="O47" s="100">
        <v>0</v>
      </c>
      <c r="P47" s="100">
        <v>0.81</v>
      </c>
      <c r="Q47" s="100">
        <v>13.03</v>
      </c>
      <c r="R47" s="6"/>
      <c r="S47" s="6"/>
      <c r="T47" s="156"/>
      <c r="U47" s="6"/>
    </row>
    <row r="48" spans="1:21" customFormat="1">
      <c r="A48" s="163" t="s">
        <v>1046</v>
      </c>
      <c r="B48" s="100">
        <v>21.23</v>
      </c>
      <c r="C48" s="100">
        <v>26.88</v>
      </c>
      <c r="D48" s="100">
        <v>32.42</v>
      </c>
      <c r="E48" s="100">
        <v>10.27</v>
      </c>
      <c r="F48" s="152" t="s">
        <v>15</v>
      </c>
      <c r="G48" s="100">
        <v>64.87</v>
      </c>
      <c r="H48" s="100">
        <v>22.08</v>
      </c>
      <c r="I48" s="100">
        <v>14.78</v>
      </c>
      <c r="J48" s="100">
        <v>0.95</v>
      </c>
      <c r="K48" s="100">
        <v>61.83</v>
      </c>
      <c r="L48" s="100">
        <v>24.86</v>
      </c>
      <c r="M48" s="100">
        <v>25.39</v>
      </c>
      <c r="N48" s="100">
        <v>290.5</v>
      </c>
      <c r="O48" s="100">
        <v>0</v>
      </c>
      <c r="P48" s="100">
        <v>0.8</v>
      </c>
      <c r="Q48" s="100">
        <v>13.02</v>
      </c>
      <c r="R48" s="6"/>
      <c r="S48" s="6"/>
      <c r="T48" s="156"/>
      <c r="U48" s="6"/>
    </row>
    <row r="49" spans="1:21" customFormat="1">
      <c r="A49" s="163" t="s">
        <v>1047</v>
      </c>
      <c r="B49" s="100">
        <v>21.49</v>
      </c>
      <c r="C49" s="100">
        <v>26.31</v>
      </c>
      <c r="D49" s="100">
        <v>32.33</v>
      </c>
      <c r="E49" s="100">
        <v>9.7799999999999994</v>
      </c>
      <c r="F49" s="152" t="s">
        <v>15</v>
      </c>
      <c r="G49" s="100">
        <v>64.87</v>
      </c>
      <c r="H49" s="100">
        <v>22.08</v>
      </c>
      <c r="I49" s="100">
        <v>14.49</v>
      </c>
      <c r="J49" s="100">
        <v>1.02</v>
      </c>
      <c r="K49" s="100">
        <v>48.71</v>
      </c>
      <c r="L49" s="100">
        <v>25.21</v>
      </c>
      <c r="M49" s="100">
        <v>25.52</v>
      </c>
      <c r="N49" s="100">
        <v>227.9</v>
      </c>
      <c r="O49" s="100">
        <v>0</v>
      </c>
      <c r="P49" s="100">
        <v>0.79</v>
      </c>
      <c r="Q49" s="100">
        <v>13.01</v>
      </c>
      <c r="R49" s="6"/>
      <c r="S49" s="6"/>
      <c r="T49" s="156"/>
      <c r="U49" s="6"/>
    </row>
    <row r="50" spans="1:21" customFormat="1">
      <c r="A50" s="163" t="s">
        <v>1048</v>
      </c>
      <c r="B50" s="100">
        <v>21.01</v>
      </c>
      <c r="C50" s="100">
        <v>26.34</v>
      </c>
      <c r="D50" s="100">
        <v>31.96</v>
      </c>
      <c r="E50" s="100">
        <v>12.04</v>
      </c>
      <c r="F50" s="152" t="s">
        <v>15</v>
      </c>
      <c r="G50" s="100">
        <v>64.87</v>
      </c>
      <c r="H50" s="100">
        <v>22.08</v>
      </c>
      <c r="I50" s="100">
        <v>14.26</v>
      </c>
      <c r="J50" s="100">
        <v>1.21</v>
      </c>
      <c r="K50" s="100">
        <v>33.299999999999997</v>
      </c>
      <c r="L50" s="100">
        <v>25.47</v>
      </c>
      <c r="M50" s="100">
        <v>24.13</v>
      </c>
      <c r="N50" s="100">
        <v>314.10000000000002</v>
      </c>
      <c r="O50" s="100">
        <v>0</v>
      </c>
      <c r="P50" s="100">
        <v>0.79</v>
      </c>
      <c r="Q50" s="100">
        <v>13</v>
      </c>
      <c r="R50" s="6"/>
      <c r="S50" s="6"/>
      <c r="T50" s="156"/>
      <c r="U50" s="6"/>
    </row>
    <row r="51" spans="1:21" customFormat="1">
      <c r="A51" s="163" t="s">
        <v>1049</v>
      </c>
      <c r="B51" s="100">
        <v>20.34</v>
      </c>
      <c r="C51" s="100">
        <v>26.64</v>
      </c>
      <c r="D51" s="100">
        <v>31.58</v>
      </c>
      <c r="E51" s="100">
        <v>11.5</v>
      </c>
      <c r="F51" s="152" t="s">
        <v>15</v>
      </c>
      <c r="G51" s="100">
        <v>65.12</v>
      </c>
      <c r="H51" s="100">
        <v>22.17</v>
      </c>
      <c r="I51" s="100">
        <v>13.97</v>
      </c>
      <c r="J51" s="100">
        <v>0.6</v>
      </c>
      <c r="K51" s="100">
        <v>58.57</v>
      </c>
      <c r="L51" s="100">
        <v>26.43</v>
      </c>
      <c r="M51" s="100">
        <v>22.9</v>
      </c>
      <c r="N51" s="100">
        <v>334.5</v>
      </c>
      <c r="O51" s="100">
        <v>0</v>
      </c>
      <c r="P51" s="100">
        <v>0.77</v>
      </c>
      <c r="Q51" s="100">
        <v>13.01</v>
      </c>
      <c r="R51" s="6"/>
      <c r="S51" s="6"/>
      <c r="T51" s="156"/>
      <c r="U51" s="6"/>
    </row>
    <row r="52" spans="1:21" customFormat="1">
      <c r="A52" s="163" t="s">
        <v>1050</v>
      </c>
      <c r="B52" s="100">
        <v>19.5</v>
      </c>
      <c r="C52" s="100">
        <v>26.34</v>
      </c>
      <c r="D52" s="100">
        <v>30.75</v>
      </c>
      <c r="E52" s="100">
        <v>11.57</v>
      </c>
      <c r="F52" s="152" t="s">
        <v>15</v>
      </c>
      <c r="G52" s="100">
        <v>72.48</v>
      </c>
      <c r="H52" s="100">
        <v>24.9</v>
      </c>
      <c r="I52" s="100">
        <v>13.64</v>
      </c>
      <c r="J52" s="100">
        <v>0.81</v>
      </c>
      <c r="K52" s="100">
        <v>41.04</v>
      </c>
      <c r="L52" s="100">
        <v>26.94</v>
      </c>
      <c r="M52" s="100">
        <v>21.7</v>
      </c>
      <c r="N52" s="100">
        <v>342.3</v>
      </c>
      <c r="O52" s="100">
        <v>0</v>
      </c>
      <c r="P52" s="100">
        <v>0.76</v>
      </c>
      <c r="Q52" s="100">
        <v>13</v>
      </c>
      <c r="R52" s="6"/>
      <c r="S52" s="6"/>
      <c r="T52" s="156"/>
      <c r="U52" s="6"/>
    </row>
    <row r="53" spans="1:21" customFormat="1">
      <c r="A53" s="163" t="s">
        <v>1051</v>
      </c>
      <c r="B53" s="100">
        <v>18.690000000000001</v>
      </c>
      <c r="C53" s="100">
        <v>26.09</v>
      </c>
      <c r="D53" s="100">
        <v>29.97</v>
      </c>
      <c r="E53" s="100">
        <v>11.39</v>
      </c>
      <c r="F53" s="152" t="s">
        <v>15</v>
      </c>
      <c r="G53" s="100">
        <v>72.48</v>
      </c>
      <c r="H53" s="100">
        <v>24.9</v>
      </c>
      <c r="I53" s="100">
        <v>13.38</v>
      </c>
      <c r="J53" s="100">
        <v>0.42</v>
      </c>
      <c r="K53" s="100">
        <v>36.33</v>
      </c>
      <c r="L53" s="100">
        <v>27.14</v>
      </c>
      <c r="M53" s="100">
        <v>22.05</v>
      </c>
      <c r="N53" s="100">
        <v>346.2</v>
      </c>
      <c r="O53" s="100">
        <v>0</v>
      </c>
      <c r="P53" s="100">
        <v>0.75</v>
      </c>
      <c r="Q53" s="100">
        <v>13.02</v>
      </c>
      <c r="R53" s="6"/>
      <c r="S53" s="6"/>
      <c r="T53" s="156"/>
      <c r="U53" s="6"/>
    </row>
    <row r="54" spans="1:21" customFormat="1">
      <c r="A54" s="163" t="s">
        <v>1052</v>
      </c>
      <c r="B54" s="100">
        <v>17.86</v>
      </c>
      <c r="C54" s="100">
        <v>25.84</v>
      </c>
      <c r="D54" s="100">
        <v>29.18</v>
      </c>
      <c r="E54" s="100">
        <v>11.77</v>
      </c>
      <c r="F54" s="152" t="s">
        <v>15</v>
      </c>
      <c r="G54" s="100">
        <v>72.48</v>
      </c>
      <c r="H54" s="100">
        <v>24.9</v>
      </c>
      <c r="I54" s="100">
        <v>13.21</v>
      </c>
      <c r="J54" s="100">
        <v>0.44</v>
      </c>
      <c r="K54" s="100">
        <v>341.83</v>
      </c>
      <c r="L54" s="100">
        <v>27.95</v>
      </c>
      <c r="M54" s="100">
        <v>21.28</v>
      </c>
      <c r="N54" s="100">
        <v>326.39999999999998</v>
      </c>
      <c r="O54" s="100">
        <v>0</v>
      </c>
      <c r="P54" s="100">
        <v>0.74</v>
      </c>
      <c r="Q54" s="100">
        <v>13.01</v>
      </c>
      <c r="R54" s="6"/>
      <c r="S54" s="6"/>
      <c r="T54" s="156"/>
      <c r="U54" s="6"/>
    </row>
    <row r="55" spans="1:21" customFormat="1">
      <c r="A55" s="163" t="s">
        <v>1053</v>
      </c>
      <c r="B55" s="100">
        <v>17.100000000000001</v>
      </c>
      <c r="C55" s="100">
        <v>25.79</v>
      </c>
      <c r="D55" s="100">
        <v>28.54</v>
      </c>
      <c r="E55" s="100">
        <v>11.7</v>
      </c>
      <c r="F55" s="152" t="s">
        <v>15</v>
      </c>
      <c r="G55" s="100">
        <v>72.64</v>
      </c>
      <c r="H55" s="100">
        <v>24.93</v>
      </c>
      <c r="I55" s="100">
        <v>13.04</v>
      </c>
      <c r="J55" s="100">
        <v>0.74</v>
      </c>
      <c r="K55" s="100">
        <v>34.01</v>
      </c>
      <c r="L55" s="100">
        <v>28.27</v>
      </c>
      <c r="M55" s="100">
        <v>19.600000000000001</v>
      </c>
      <c r="N55" s="100">
        <v>331</v>
      </c>
      <c r="O55" s="100">
        <v>0</v>
      </c>
      <c r="P55" s="100">
        <v>0.72</v>
      </c>
      <c r="Q55" s="100">
        <v>12.99</v>
      </c>
      <c r="R55" s="6"/>
      <c r="S55" s="6"/>
      <c r="T55" s="156"/>
      <c r="U55" s="6"/>
    </row>
    <row r="56" spans="1:21" customFormat="1">
      <c r="A56" s="163" t="s">
        <v>1054</v>
      </c>
      <c r="B56" s="100">
        <v>16.41</v>
      </c>
      <c r="C56" s="100">
        <v>25.66</v>
      </c>
      <c r="D56" s="100">
        <v>27.92</v>
      </c>
      <c r="E56" s="100">
        <v>12.03</v>
      </c>
      <c r="F56" s="152" t="s">
        <v>15</v>
      </c>
      <c r="G56" s="100">
        <v>75.97</v>
      </c>
      <c r="H56" s="100">
        <v>26.14</v>
      </c>
      <c r="I56" s="100">
        <v>12.76</v>
      </c>
      <c r="J56" s="100">
        <v>0.81</v>
      </c>
      <c r="K56" s="100">
        <v>39.630000000000003</v>
      </c>
      <c r="L56" s="100">
        <v>28.69</v>
      </c>
      <c r="M56" s="100">
        <v>17.739999999999998</v>
      </c>
      <c r="N56" s="100">
        <v>353.8</v>
      </c>
      <c r="O56" s="100">
        <v>0</v>
      </c>
      <c r="P56" s="100">
        <v>0.71</v>
      </c>
      <c r="Q56" s="100">
        <v>13.01</v>
      </c>
      <c r="R56" s="6"/>
      <c r="S56" s="6"/>
      <c r="T56" s="156"/>
      <c r="U56" s="6"/>
    </row>
    <row r="57" spans="1:21" customFormat="1">
      <c r="A57" s="163" t="s">
        <v>1055</v>
      </c>
      <c r="B57" s="100">
        <v>15.8</v>
      </c>
      <c r="C57" s="100">
        <v>25.55</v>
      </c>
      <c r="D57" s="100">
        <v>27.37</v>
      </c>
      <c r="E57" s="100">
        <v>11.7</v>
      </c>
      <c r="F57" s="152" t="s">
        <v>15</v>
      </c>
      <c r="G57" s="100">
        <v>75.97</v>
      </c>
      <c r="H57" s="100">
        <v>26.14</v>
      </c>
      <c r="I57" s="100">
        <v>12.54</v>
      </c>
      <c r="J57" s="100">
        <v>0.75</v>
      </c>
      <c r="K57" s="100">
        <v>38.630000000000003</v>
      </c>
      <c r="L57" s="100">
        <v>28.89</v>
      </c>
      <c r="M57" s="100">
        <v>17.23</v>
      </c>
      <c r="N57" s="100">
        <v>381.1</v>
      </c>
      <c r="O57" s="100">
        <v>0</v>
      </c>
      <c r="P57" s="100">
        <v>0.7</v>
      </c>
      <c r="Q57" s="100">
        <v>13</v>
      </c>
      <c r="R57" s="6"/>
      <c r="S57" s="6"/>
      <c r="T57" s="156"/>
      <c r="U57" s="6"/>
    </row>
    <row r="58" spans="1:21" customFormat="1">
      <c r="A58" s="163" t="s">
        <v>1056</v>
      </c>
      <c r="B58" s="100">
        <v>14.92</v>
      </c>
      <c r="C58" s="100">
        <v>25.33</v>
      </c>
      <c r="D58" s="100">
        <v>26.54</v>
      </c>
      <c r="E58" s="100">
        <v>11.51</v>
      </c>
      <c r="F58" s="152" t="s">
        <v>15</v>
      </c>
      <c r="G58" s="100">
        <v>75.97</v>
      </c>
      <c r="H58" s="100">
        <v>26.14</v>
      </c>
      <c r="I58" s="100">
        <v>12.3</v>
      </c>
      <c r="J58" s="100">
        <v>0.45</v>
      </c>
      <c r="K58" s="100">
        <v>71.37</v>
      </c>
      <c r="L58" s="100">
        <v>29.57</v>
      </c>
      <c r="M58" s="100">
        <v>17.170000000000002</v>
      </c>
      <c r="N58" s="100">
        <v>379</v>
      </c>
      <c r="O58" s="100">
        <v>0</v>
      </c>
      <c r="P58" s="100">
        <v>0.68</v>
      </c>
      <c r="Q58" s="100">
        <v>12.98</v>
      </c>
      <c r="R58" s="6"/>
      <c r="S58" s="6"/>
      <c r="T58" s="156"/>
      <c r="U58" s="6"/>
    </row>
    <row r="59" spans="1:21" customFormat="1">
      <c r="A59" s="163" t="s">
        <v>1057</v>
      </c>
      <c r="B59" s="100">
        <v>13.43</v>
      </c>
      <c r="C59" s="100">
        <v>25.4</v>
      </c>
      <c r="D59" s="100">
        <v>25.39</v>
      </c>
      <c r="E59" s="100">
        <v>11.18</v>
      </c>
      <c r="F59" s="152" t="s">
        <v>15</v>
      </c>
      <c r="G59" s="100">
        <v>75.3</v>
      </c>
      <c r="H59" s="100">
        <v>26.09</v>
      </c>
      <c r="I59" s="100">
        <v>12.1</v>
      </c>
      <c r="J59" s="100">
        <v>0.48</v>
      </c>
      <c r="K59" s="100">
        <v>46.52</v>
      </c>
      <c r="L59" s="100">
        <v>29.96</v>
      </c>
      <c r="M59" s="100">
        <v>17.21</v>
      </c>
      <c r="N59" s="100">
        <v>380.4</v>
      </c>
      <c r="O59" s="100">
        <v>0</v>
      </c>
      <c r="P59" s="100">
        <v>0.61</v>
      </c>
      <c r="Q59" s="100">
        <v>12.98</v>
      </c>
      <c r="R59" s="6"/>
      <c r="S59" s="6"/>
      <c r="T59" s="156"/>
      <c r="U59" s="6"/>
    </row>
    <row r="60" spans="1:21" customFormat="1">
      <c r="A60" s="163" t="s">
        <v>1058</v>
      </c>
      <c r="B60" s="100">
        <v>11.82</v>
      </c>
      <c r="C60" s="100">
        <v>25.84</v>
      </c>
      <c r="D60" s="100">
        <v>24.33</v>
      </c>
      <c r="E60" s="100">
        <v>10.7</v>
      </c>
      <c r="F60" s="152" t="s">
        <v>15</v>
      </c>
      <c r="G60" s="100">
        <v>60.9</v>
      </c>
      <c r="H60" s="100">
        <v>24.46</v>
      </c>
      <c r="I60" s="100">
        <v>11.87</v>
      </c>
      <c r="J60" s="100">
        <v>0.49</v>
      </c>
      <c r="K60" s="100">
        <v>68.849999999999994</v>
      </c>
      <c r="L60" s="100">
        <v>30.29</v>
      </c>
      <c r="M60" s="100">
        <v>17.25</v>
      </c>
      <c r="N60" s="100">
        <v>378.3</v>
      </c>
      <c r="O60" s="100">
        <v>0</v>
      </c>
      <c r="P60" s="100">
        <v>0.57999999999999996</v>
      </c>
      <c r="Q60" s="100">
        <v>12.98</v>
      </c>
      <c r="R60" s="6"/>
      <c r="S60" s="6"/>
      <c r="T60" s="156"/>
      <c r="U60" s="6"/>
    </row>
    <row r="61" spans="1:21" customFormat="1">
      <c r="A61" s="163" t="s">
        <v>1059</v>
      </c>
      <c r="B61" s="100">
        <v>10.55</v>
      </c>
      <c r="C61" s="100">
        <v>26.32</v>
      </c>
      <c r="D61" s="100">
        <v>23.56</v>
      </c>
      <c r="E61" s="100">
        <v>11.19</v>
      </c>
      <c r="F61" s="152" t="s">
        <v>15</v>
      </c>
      <c r="G61" s="100">
        <v>60.9</v>
      </c>
      <c r="H61" s="100">
        <v>24.46</v>
      </c>
      <c r="I61" s="100">
        <v>11.53</v>
      </c>
      <c r="J61" s="100">
        <v>0.49</v>
      </c>
      <c r="K61" s="100">
        <v>338.54</v>
      </c>
      <c r="L61" s="100">
        <v>30.3</v>
      </c>
      <c r="M61" s="100">
        <v>18.260000000000002</v>
      </c>
      <c r="N61" s="100">
        <v>363.4</v>
      </c>
      <c r="O61" s="100">
        <v>0</v>
      </c>
      <c r="P61" s="100">
        <v>0.56000000000000005</v>
      </c>
      <c r="Q61" s="100">
        <v>12.98</v>
      </c>
      <c r="R61" s="6"/>
      <c r="S61" s="6"/>
      <c r="T61" s="156"/>
      <c r="U61" s="6"/>
    </row>
    <row r="62" spans="1:21" customFormat="1">
      <c r="A62" s="163" t="s">
        <v>1060</v>
      </c>
      <c r="B62" s="100">
        <v>9.42</v>
      </c>
      <c r="C62" s="100">
        <v>26.84</v>
      </c>
      <c r="D62" s="100">
        <v>22.93</v>
      </c>
      <c r="E62" s="100">
        <v>11.69</v>
      </c>
      <c r="F62" s="152" t="s">
        <v>15</v>
      </c>
      <c r="G62" s="100">
        <v>60.9</v>
      </c>
      <c r="H62" s="100">
        <v>24.46</v>
      </c>
      <c r="I62" s="100">
        <v>11.18</v>
      </c>
      <c r="J62" s="100">
        <v>0.73</v>
      </c>
      <c r="K62" s="100">
        <v>345.17</v>
      </c>
      <c r="L62" s="100">
        <v>30.2</v>
      </c>
      <c r="M62" s="100">
        <v>19.64</v>
      </c>
      <c r="N62" s="100">
        <v>340.1</v>
      </c>
      <c r="O62" s="100">
        <v>0</v>
      </c>
      <c r="P62" s="100">
        <v>0.55000000000000004</v>
      </c>
      <c r="Q62" s="100">
        <v>12.97</v>
      </c>
      <c r="R62" s="6"/>
      <c r="S62" s="6"/>
      <c r="T62" s="156"/>
      <c r="U62" s="6"/>
    </row>
    <row r="63" spans="1:21" customFormat="1">
      <c r="A63" s="163" t="s">
        <v>1061</v>
      </c>
      <c r="B63" s="100">
        <v>8.35</v>
      </c>
      <c r="C63" s="100">
        <v>27.4</v>
      </c>
      <c r="D63" s="100">
        <v>22.36</v>
      </c>
      <c r="E63" s="100">
        <v>12.72</v>
      </c>
      <c r="F63" s="152" t="s">
        <v>15</v>
      </c>
      <c r="G63" s="100">
        <v>60.76</v>
      </c>
      <c r="H63" s="100">
        <v>24.45</v>
      </c>
      <c r="I63" s="100">
        <v>10.84</v>
      </c>
      <c r="J63" s="100">
        <v>0.48</v>
      </c>
      <c r="K63" s="100">
        <v>4.17</v>
      </c>
      <c r="L63" s="100">
        <v>30.32</v>
      </c>
      <c r="M63" s="100">
        <v>18.95</v>
      </c>
      <c r="N63" s="100">
        <v>336.9</v>
      </c>
      <c r="O63" s="100">
        <v>0</v>
      </c>
      <c r="P63" s="100">
        <v>0.53</v>
      </c>
      <c r="Q63" s="100">
        <v>12.98</v>
      </c>
      <c r="R63" s="6"/>
      <c r="S63" s="6"/>
      <c r="T63" s="156"/>
      <c r="U63" s="6"/>
    </row>
    <row r="64" spans="1:21" customFormat="1">
      <c r="A64" s="163" t="s">
        <v>1062</v>
      </c>
      <c r="B64" s="100">
        <v>7.42</v>
      </c>
      <c r="C64" s="100">
        <v>27.64</v>
      </c>
      <c r="D64" s="100">
        <v>21.74</v>
      </c>
      <c r="E64" s="100">
        <v>14.07</v>
      </c>
      <c r="F64" s="152" t="s">
        <v>15</v>
      </c>
      <c r="G64" s="100">
        <v>56.68</v>
      </c>
      <c r="H64" s="100">
        <v>24.35</v>
      </c>
      <c r="I64" s="100">
        <v>10.54</v>
      </c>
      <c r="J64" s="100">
        <v>0.14000000000000001</v>
      </c>
      <c r="K64" s="100">
        <v>126.61</v>
      </c>
      <c r="L64" s="100">
        <v>31.24</v>
      </c>
      <c r="M64" s="100">
        <v>17.36</v>
      </c>
      <c r="N64" s="100">
        <v>328.4</v>
      </c>
      <c r="O64" s="100">
        <v>0</v>
      </c>
      <c r="P64" s="100">
        <v>0.53</v>
      </c>
      <c r="Q64" s="100">
        <v>12.99</v>
      </c>
      <c r="R64" s="6"/>
      <c r="S64" s="6"/>
      <c r="T64" s="156"/>
      <c r="U64" s="6"/>
    </row>
    <row r="65" spans="1:21" customFormat="1">
      <c r="A65" s="163" t="s">
        <v>1063</v>
      </c>
      <c r="B65" s="100">
        <v>6.47</v>
      </c>
      <c r="C65" s="100">
        <v>27.83</v>
      </c>
      <c r="D65" s="100">
        <v>21.08</v>
      </c>
      <c r="E65" s="100">
        <v>13.69</v>
      </c>
      <c r="F65" s="152" t="s">
        <v>15</v>
      </c>
      <c r="G65" s="100">
        <v>56.68</v>
      </c>
      <c r="H65" s="100">
        <v>24.35</v>
      </c>
      <c r="I65" s="100">
        <v>10.23</v>
      </c>
      <c r="J65" s="100">
        <v>1.03</v>
      </c>
      <c r="K65" s="100">
        <v>47.47</v>
      </c>
      <c r="L65" s="100">
        <v>30.88</v>
      </c>
      <c r="M65" s="100">
        <v>17.64</v>
      </c>
      <c r="N65" s="100">
        <v>320.10000000000002</v>
      </c>
      <c r="O65" s="100">
        <v>0</v>
      </c>
      <c r="P65" s="100">
        <v>0.59</v>
      </c>
      <c r="Q65" s="100">
        <v>12.97</v>
      </c>
      <c r="R65" s="6"/>
      <c r="S65" s="6"/>
      <c r="T65" s="156"/>
      <c r="U65" s="6"/>
    </row>
    <row r="66" spans="1:21" customFormat="1">
      <c r="A66" s="163" t="s">
        <v>1064</v>
      </c>
      <c r="B66" s="100">
        <v>5.66</v>
      </c>
      <c r="C66" s="100">
        <v>27.99</v>
      </c>
      <c r="D66" s="100">
        <v>20.51</v>
      </c>
      <c r="E66" s="100">
        <v>13.84</v>
      </c>
      <c r="F66" s="152" t="s">
        <v>15</v>
      </c>
      <c r="G66" s="100">
        <v>56.68</v>
      </c>
      <c r="H66" s="100">
        <v>24.35</v>
      </c>
      <c r="I66" s="100">
        <v>9.9600000000000009</v>
      </c>
      <c r="J66" s="100">
        <v>0.36</v>
      </c>
      <c r="K66" s="100">
        <v>46.94</v>
      </c>
      <c r="L66" s="100">
        <v>31.18</v>
      </c>
      <c r="M66" s="100">
        <v>17.420000000000002</v>
      </c>
      <c r="N66" s="100">
        <v>301.39999999999998</v>
      </c>
      <c r="O66" s="100">
        <v>0</v>
      </c>
      <c r="P66" s="100">
        <v>0.61</v>
      </c>
      <c r="Q66" s="100">
        <v>12.97</v>
      </c>
      <c r="R66" s="6"/>
      <c r="S66" s="6"/>
      <c r="T66" s="156"/>
      <c r="U66" s="6"/>
    </row>
    <row r="67" spans="1:21" customFormat="1">
      <c r="A67" s="163" t="s">
        <v>1065</v>
      </c>
      <c r="B67" s="100">
        <v>4.91</v>
      </c>
      <c r="C67" s="100">
        <v>28.19</v>
      </c>
      <c r="D67" s="100">
        <v>20.02</v>
      </c>
      <c r="E67" s="100">
        <v>14.37</v>
      </c>
      <c r="F67" s="152" t="s">
        <v>15</v>
      </c>
      <c r="G67" s="100">
        <v>56.98</v>
      </c>
      <c r="H67" s="100">
        <v>24.42</v>
      </c>
      <c r="I67" s="100">
        <v>9.84</v>
      </c>
      <c r="J67" s="100">
        <v>0.84</v>
      </c>
      <c r="K67" s="100">
        <v>49.75</v>
      </c>
      <c r="L67" s="100">
        <v>30.71</v>
      </c>
      <c r="M67" s="100">
        <v>18.22</v>
      </c>
      <c r="N67" s="100">
        <v>157.9</v>
      </c>
      <c r="O67" s="100">
        <v>0</v>
      </c>
      <c r="P67" s="100">
        <v>0.62</v>
      </c>
      <c r="Q67" s="100">
        <v>12.96</v>
      </c>
      <c r="R67" s="6"/>
      <c r="S67" s="6"/>
      <c r="T67" s="156"/>
      <c r="U67" s="6"/>
    </row>
    <row r="68" spans="1:21" customFormat="1">
      <c r="A68" s="163" t="s">
        <v>1066</v>
      </c>
      <c r="B68" s="100">
        <v>4.3600000000000003</v>
      </c>
      <c r="C68" s="100">
        <v>27.88</v>
      </c>
      <c r="D68" s="100">
        <v>19.41</v>
      </c>
      <c r="E68" s="100">
        <v>14.71</v>
      </c>
      <c r="F68" s="152" t="s">
        <v>15</v>
      </c>
      <c r="G68" s="100">
        <v>63.43</v>
      </c>
      <c r="H68" s="100">
        <v>26.66</v>
      </c>
      <c r="I68" s="100">
        <v>9.6999999999999993</v>
      </c>
      <c r="J68" s="100">
        <v>1.45</v>
      </c>
      <c r="K68" s="100">
        <v>47.83</v>
      </c>
      <c r="L68" s="100">
        <v>30.11</v>
      </c>
      <c r="M68" s="100">
        <v>20.3</v>
      </c>
      <c r="N68" s="100">
        <v>75.400000000000006</v>
      </c>
      <c r="O68" s="100">
        <v>0</v>
      </c>
      <c r="P68" s="100">
        <v>0.61</v>
      </c>
      <c r="Q68" s="100">
        <v>12.95</v>
      </c>
      <c r="R68" s="6"/>
      <c r="S68" s="6"/>
      <c r="T68" s="156"/>
      <c r="U68" s="6"/>
    </row>
    <row r="69" spans="1:21" customFormat="1">
      <c r="A69" s="163" t="s">
        <v>1067</v>
      </c>
      <c r="B69" s="100">
        <v>4.03</v>
      </c>
      <c r="C69" s="100">
        <v>27.46</v>
      </c>
      <c r="D69" s="100">
        <v>18.93</v>
      </c>
      <c r="E69" s="100">
        <v>15.57</v>
      </c>
      <c r="F69" s="152" t="s">
        <v>15</v>
      </c>
      <c r="G69" s="100">
        <v>63.43</v>
      </c>
      <c r="H69" s="100">
        <v>26.66</v>
      </c>
      <c r="I69" s="100">
        <v>9.58</v>
      </c>
      <c r="J69" s="100">
        <v>0.94</v>
      </c>
      <c r="K69" s="100">
        <v>42.34</v>
      </c>
      <c r="L69" s="100">
        <v>29.96</v>
      </c>
      <c r="M69" s="100">
        <v>21.25</v>
      </c>
      <c r="N69" s="100">
        <v>61.9</v>
      </c>
      <c r="O69" s="100">
        <v>0</v>
      </c>
      <c r="P69" s="100">
        <v>0.61</v>
      </c>
      <c r="Q69" s="100">
        <v>12.95</v>
      </c>
      <c r="R69" s="6"/>
      <c r="S69" s="6"/>
      <c r="T69" s="156"/>
      <c r="U69" s="6"/>
    </row>
    <row r="70" spans="1:21" customFormat="1">
      <c r="A70" s="163" t="s">
        <v>1068</v>
      </c>
      <c r="B70" s="100">
        <v>3.89</v>
      </c>
      <c r="C70" s="100">
        <v>26.98</v>
      </c>
      <c r="D70" s="100">
        <v>18.559999999999999</v>
      </c>
      <c r="E70" s="100">
        <v>15.4</v>
      </c>
      <c r="F70" s="152" t="s">
        <v>15</v>
      </c>
      <c r="G70" s="100">
        <v>63.43</v>
      </c>
      <c r="H70" s="100">
        <v>26.66</v>
      </c>
      <c r="I70" s="100">
        <v>9.4499999999999993</v>
      </c>
      <c r="J70" s="100">
        <v>0.8</v>
      </c>
      <c r="K70" s="100">
        <v>18.239999999999998</v>
      </c>
      <c r="L70" s="100">
        <v>30.01</v>
      </c>
      <c r="M70" s="100">
        <v>21.94</v>
      </c>
      <c r="N70" s="100">
        <v>67.099999999999994</v>
      </c>
      <c r="O70" s="100">
        <v>0</v>
      </c>
      <c r="P70" s="100">
        <v>0.62</v>
      </c>
      <c r="Q70" s="100">
        <v>12.96</v>
      </c>
      <c r="R70" s="6"/>
      <c r="S70" s="6"/>
      <c r="T70" s="156"/>
      <c r="U70" s="6"/>
    </row>
    <row r="71" spans="1:21" customFormat="1">
      <c r="A71" s="163" t="s">
        <v>1069</v>
      </c>
      <c r="B71" s="100">
        <v>3.86</v>
      </c>
      <c r="C71" s="100">
        <v>26.51</v>
      </c>
      <c r="D71" s="100">
        <v>18.3</v>
      </c>
      <c r="E71" s="100">
        <v>16.329999999999998</v>
      </c>
      <c r="F71" s="152" t="s">
        <v>15</v>
      </c>
      <c r="G71" s="100">
        <v>63.68</v>
      </c>
      <c r="H71" s="100">
        <v>26.77</v>
      </c>
      <c r="I71" s="100">
        <v>9.16</v>
      </c>
      <c r="J71" s="100">
        <v>0.75</v>
      </c>
      <c r="K71" s="100">
        <v>354.03</v>
      </c>
      <c r="L71" s="100">
        <v>29.94</v>
      </c>
      <c r="M71" s="100">
        <v>23.22</v>
      </c>
      <c r="N71" s="100">
        <v>59.6</v>
      </c>
      <c r="O71" s="100">
        <v>0</v>
      </c>
      <c r="P71" s="100">
        <v>0.62</v>
      </c>
      <c r="Q71" s="100">
        <v>12.95</v>
      </c>
      <c r="R71" s="6"/>
      <c r="S71" s="6"/>
      <c r="T71" s="156"/>
      <c r="U71" s="6"/>
    </row>
    <row r="72" spans="1:21" customFormat="1">
      <c r="A72" s="163" t="s">
        <v>1070</v>
      </c>
      <c r="B72" s="100">
        <v>3.93</v>
      </c>
      <c r="C72" s="100">
        <v>26.24</v>
      </c>
      <c r="D72" s="100">
        <v>18.21</v>
      </c>
      <c r="E72" s="100">
        <v>16.75</v>
      </c>
      <c r="F72" s="152" t="s">
        <v>15</v>
      </c>
      <c r="G72" s="100">
        <v>69.14</v>
      </c>
      <c r="H72" s="100">
        <v>30.23</v>
      </c>
      <c r="I72" s="100">
        <v>9.01</v>
      </c>
      <c r="J72" s="100">
        <v>0.77</v>
      </c>
      <c r="K72" s="100">
        <v>15.69</v>
      </c>
      <c r="L72" s="100">
        <v>30.01</v>
      </c>
      <c r="M72" s="100">
        <v>23.17</v>
      </c>
      <c r="N72" s="100">
        <v>49.9</v>
      </c>
      <c r="O72" s="100">
        <v>0</v>
      </c>
      <c r="P72" s="100">
        <v>0.63</v>
      </c>
      <c r="Q72" s="100">
        <v>12.94</v>
      </c>
      <c r="R72" s="6"/>
      <c r="S72" s="6"/>
      <c r="T72" s="156"/>
      <c r="U72" s="6"/>
    </row>
    <row r="73" spans="1:21" customFormat="1">
      <c r="A73" s="163" t="s">
        <v>1071</v>
      </c>
      <c r="B73" s="100">
        <v>4.07</v>
      </c>
      <c r="C73" s="100">
        <v>26.17</v>
      </c>
      <c r="D73" s="100">
        <v>18.28</v>
      </c>
      <c r="E73" s="100">
        <v>15.41</v>
      </c>
      <c r="F73" s="152" t="s">
        <v>15</v>
      </c>
      <c r="G73" s="100">
        <v>69.14</v>
      </c>
      <c r="H73" s="100">
        <v>30.23</v>
      </c>
      <c r="I73" s="100">
        <v>8.8800000000000008</v>
      </c>
      <c r="J73" s="100">
        <v>0.69</v>
      </c>
      <c r="K73" s="100">
        <v>359.34</v>
      </c>
      <c r="L73" s="100">
        <v>29.95</v>
      </c>
      <c r="M73" s="100">
        <v>22.8</v>
      </c>
      <c r="N73" s="100">
        <v>47</v>
      </c>
      <c r="O73" s="100">
        <v>0</v>
      </c>
      <c r="P73" s="100">
        <v>0.63</v>
      </c>
      <c r="Q73" s="100">
        <v>12.96</v>
      </c>
      <c r="R73" s="6"/>
      <c r="S73" s="6"/>
      <c r="T73" s="156"/>
      <c r="U73" s="6"/>
    </row>
    <row r="74" spans="1:21" customFormat="1">
      <c r="A74" s="163" t="s">
        <v>1072</v>
      </c>
      <c r="B74" s="100">
        <v>4.16</v>
      </c>
      <c r="C74" s="100">
        <v>26.17</v>
      </c>
      <c r="D74" s="100">
        <v>18.36</v>
      </c>
      <c r="E74" s="100">
        <v>14.73</v>
      </c>
      <c r="F74" s="152" t="s">
        <v>15</v>
      </c>
      <c r="G74" s="100">
        <v>69.14</v>
      </c>
      <c r="H74" s="100">
        <v>30.23</v>
      </c>
      <c r="I74" s="100">
        <v>8.85</v>
      </c>
      <c r="J74" s="100">
        <v>1.1599999999999999</v>
      </c>
      <c r="K74" s="100">
        <v>50.37</v>
      </c>
      <c r="L74" s="100">
        <v>29.8</v>
      </c>
      <c r="M74" s="100">
        <v>22.6</v>
      </c>
      <c r="N74" s="100">
        <v>36.5</v>
      </c>
      <c r="O74" s="100">
        <v>0</v>
      </c>
      <c r="P74" s="100">
        <v>0.63</v>
      </c>
      <c r="Q74" s="100">
        <v>12.96</v>
      </c>
      <c r="R74" s="6"/>
      <c r="S74" s="6"/>
      <c r="T74" s="156"/>
      <c r="U74" s="6"/>
    </row>
    <row r="75" spans="1:21" customFormat="1">
      <c r="A75" s="163" t="s">
        <v>1073</v>
      </c>
      <c r="B75" s="100">
        <v>4.3600000000000003</v>
      </c>
      <c r="C75" s="100">
        <v>26.49</v>
      </c>
      <c r="D75" s="100">
        <v>18.690000000000001</v>
      </c>
      <c r="E75" s="100">
        <v>17.989999999999998</v>
      </c>
      <c r="F75" s="152" t="s">
        <v>15</v>
      </c>
      <c r="G75" s="100">
        <v>69.260000000000005</v>
      </c>
      <c r="H75" s="100">
        <v>30.19</v>
      </c>
      <c r="I75" s="100">
        <v>8.7100000000000009</v>
      </c>
      <c r="J75" s="100">
        <v>1.08</v>
      </c>
      <c r="K75" s="100">
        <v>51.49</v>
      </c>
      <c r="L75" s="100">
        <v>29.58</v>
      </c>
      <c r="M75" s="100">
        <v>22.93</v>
      </c>
      <c r="N75" s="100">
        <v>42.1</v>
      </c>
      <c r="O75" s="100">
        <v>0</v>
      </c>
      <c r="P75" s="100">
        <v>0.63</v>
      </c>
      <c r="Q75" s="100">
        <v>12.96</v>
      </c>
      <c r="R75" s="6"/>
      <c r="S75" s="6"/>
      <c r="T75" s="156"/>
      <c r="U75" s="6"/>
    </row>
    <row r="76" spans="1:21" customFormat="1">
      <c r="A76" s="163" t="s">
        <v>1074</v>
      </c>
      <c r="B76" s="100">
        <v>4.5199999999999996</v>
      </c>
      <c r="C76" s="100">
        <v>26.91</v>
      </c>
      <c r="D76" s="100">
        <v>19.04</v>
      </c>
      <c r="E76" s="100">
        <v>15.88</v>
      </c>
      <c r="F76" s="152" t="s">
        <v>15</v>
      </c>
      <c r="G76" s="100">
        <v>71.7</v>
      </c>
      <c r="H76" s="100">
        <v>29</v>
      </c>
      <c r="I76" s="100">
        <v>8.58</v>
      </c>
      <c r="J76" s="100">
        <v>0.88</v>
      </c>
      <c r="K76" s="100">
        <v>32.71</v>
      </c>
      <c r="L76" s="100">
        <v>29.31</v>
      </c>
      <c r="M76" s="100">
        <v>23.53</v>
      </c>
      <c r="N76" s="100">
        <v>25.2</v>
      </c>
      <c r="O76" s="100">
        <v>0</v>
      </c>
      <c r="P76" s="100">
        <v>0.64</v>
      </c>
      <c r="Q76" s="100">
        <v>12.96</v>
      </c>
      <c r="R76" s="6"/>
      <c r="S76" s="6"/>
      <c r="T76" s="156"/>
      <c r="U76" s="6"/>
    </row>
    <row r="77" spans="1:21" customFormat="1">
      <c r="A77" s="163" t="s">
        <v>1075</v>
      </c>
      <c r="B77" s="100">
        <v>4.5999999999999996</v>
      </c>
      <c r="C77" s="100">
        <v>27.1</v>
      </c>
      <c r="D77" s="100">
        <v>19.2</v>
      </c>
      <c r="E77" s="100">
        <v>13.25</v>
      </c>
      <c r="F77" s="152" t="s">
        <v>15</v>
      </c>
      <c r="G77" s="100">
        <v>71.7</v>
      </c>
      <c r="H77" s="100">
        <v>29</v>
      </c>
      <c r="I77" s="100">
        <v>8.4499999999999993</v>
      </c>
      <c r="J77" s="100">
        <v>0.85</v>
      </c>
      <c r="K77" s="100">
        <v>41.9</v>
      </c>
      <c r="L77" s="100">
        <v>28.93</v>
      </c>
      <c r="M77" s="100">
        <v>23.64</v>
      </c>
      <c r="N77" s="100">
        <v>18.2</v>
      </c>
      <c r="O77" s="100">
        <v>0</v>
      </c>
      <c r="P77" s="100">
        <v>0.64</v>
      </c>
      <c r="Q77" s="100">
        <v>12.96</v>
      </c>
      <c r="R77" s="6"/>
      <c r="S77" s="6"/>
      <c r="T77" s="156"/>
      <c r="U77" s="6"/>
    </row>
    <row r="78" spans="1:21" customFormat="1">
      <c r="A78" s="163" t="s">
        <v>1076</v>
      </c>
      <c r="B78" s="100">
        <v>4.8099999999999996</v>
      </c>
      <c r="C78" s="100">
        <v>27.48</v>
      </c>
      <c r="D78" s="100">
        <v>19.559999999999999</v>
      </c>
      <c r="E78" s="100">
        <v>12.4</v>
      </c>
      <c r="F78" s="152" t="s">
        <v>15</v>
      </c>
      <c r="G78" s="100">
        <v>71.7</v>
      </c>
      <c r="H78" s="100">
        <v>29</v>
      </c>
      <c r="I78" s="100">
        <v>8.32</v>
      </c>
      <c r="J78" s="100">
        <v>0.63</v>
      </c>
      <c r="K78" s="100">
        <v>42.64</v>
      </c>
      <c r="L78" s="100">
        <v>28.48</v>
      </c>
      <c r="M78" s="100">
        <v>24.4</v>
      </c>
      <c r="N78" s="100">
        <v>12.5</v>
      </c>
      <c r="O78" s="100">
        <v>0</v>
      </c>
      <c r="P78" s="100">
        <v>0.65</v>
      </c>
      <c r="Q78" s="100">
        <v>12.97</v>
      </c>
      <c r="R78" s="6"/>
      <c r="S78" s="6"/>
      <c r="T78" s="156"/>
      <c r="U78" s="6"/>
    </row>
    <row r="79" spans="1:21" customFormat="1">
      <c r="A79" s="163" t="s">
        <v>1077</v>
      </c>
      <c r="B79" s="100">
        <v>5.15</v>
      </c>
      <c r="C79" s="100">
        <v>28.11</v>
      </c>
      <c r="D79" s="100">
        <v>20.16</v>
      </c>
      <c r="E79" s="100">
        <v>12.14</v>
      </c>
      <c r="F79" s="152" t="s">
        <v>15</v>
      </c>
      <c r="G79" s="100">
        <v>71.510000000000005</v>
      </c>
      <c r="H79" s="100">
        <v>29</v>
      </c>
      <c r="I79" s="100">
        <v>8.23</v>
      </c>
      <c r="J79" s="100">
        <v>0.6</v>
      </c>
      <c r="K79" s="100">
        <v>45.54</v>
      </c>
      <c r="L79" s="100">
        <v>27.92</v>
      </c>
      <c r="M79" s="100">
        <v>24.76</v>
      </c>
      <c r="N79" s="100">
        <v>6.9</v>
      </c>
      <c r="O79" s="100">
        <v>0</v>
      </c>
      <c r="P79" s="100">
        <v>0.7</v>
      </c>
      <c r="Q79" s="100">
        <v>12.96</v>
      </c>
      <c r="R79" s="6"/>
      <c r="S79" s="6"/>
      <c r="T79" s="156"/>
      <c r="U79" s="6"/>
    </row>
    <row r="80" spans="1:21" customFormat="1">
      <c r="A80" s="163" t="s">
        <v>1078</v>
      </c>
      <c r="B80" s="100">
        <v>5.87</v>
      </c>
      <c r="C80" s="100">
        <v>27.57</v>
      </c>
      <c r="D80" s="100">
        <v>20.46</v>
      </c>
      <c r="E80" s="100">
        <v>11.15</v>
      </c>
      <c r="F80" s="152" t="s">
        <v>15</v>
      </c>
      <c r="G80" s="100">
        <v>65.81</v>
      </c>
      <c r="H80" s="100">
        <v>28.9</v>
      </c>
      <c r="I80" s="100">
        <v>8.17</v>
      </c>
      <c r="J80" s="100">
        <v>0.66</v>
      </c>
      <c r="K80" s="100">
        <v>53.91</v>
      </c>
      <c r="L80" s="100">
        <v>27.29</v>
      </c>
      <c r="M80" s="100">
        <v>25.7</v>
      </c>
      <c r="N80" s="100">
        <v>3</v>
      </c>
      <c r="O80" s="100">
        <v>0</v>
      </c>
      <c r="P80" s="100">
        <v>0.73</v>
      </c>
      <c r="Q80" s="100">
        <v>12.95</v>
      </c>
      <c r="R80" s="6"/>
      <c r="S80" s="6"/>
      <c r="T80" s="156"/>
      <c r="U80" s="6"/>
    </row>
    <row r="81" spans="1:21" customFormat="1">
      <c r="A81" s="163" t="s">
        <v>1079</v>
      </c>
      <c r="B81" s="100">
        <v>6.46</v>
      </c>
      <c r="C81" s="100">
        <v>27.32</v>
      </c>
      <c r="D81" s="100">
        <v>20.8</v>
      </c>
      <c r="E81" s="100">
        <v>9.1300000000000008</v>
      </c>
      <c r="F81" s="152" t="s">
        <v>15</v>
      </c>
      <c r="G81" s="100">
        <v>65.81</v>
      </c>
      <c r="H81" s="100">
        <v>28.9</v>
      </c>
      <c r="I81" s="100">
        <v>8.1199999999999992</v>
      </c>
      <c r="J81" s="100">
        <v>0.59</v>
      </c>
      <c r="K81" s="100">
        <v>58.57</v>
      </c>
      <c r="L81" s="100">
        <v>26.78</v>
      </c>
      <c r="M81" s="100">
        <v>26.18</v>
      </c>
      <c r="N81" s="100">
        <v>1.5</v>
      </c>
      <c r="O81" s="100">
        <v>0</v>
      </c>
      <c r="P81" s="100">
        <v>0.75</v>
      </c>
      <c r="Q81" s="100">
        <v>12.94</v>
      </c>
      <c r="R81" s="6"/>
      <c r="S81" s="6"/>
      <c r="T81" s="156"/>
      <c r="U81" s="6"/>
    </row>
    <row r="82" spans="1:21" customFormat="1">
      <c r="A82" s="163" t="s">
        <v>1080</v>
      </c>
      <c r="B82" s="100">
        <v>7.02</v>
      </c>
      <c r="C82" s="100">
        <v>27.04</v>
      </c>
      <c r="D82" s="100">
        <v>21.1</v>
      </c>
      <c r="E82" s="100">
        <v>11.2</v>
      </c>
      <c r="F82" s="152" t="s">
        <v>15</v>
      </c>
      <c r="G82" s="100">
        <v>65.81</v>
      </c>
      <c r="H82" s="100">
        <v>28.9</v>
      </c>
      <c r="I82" s="100">
        <v>8.16</v>
      </c>
      <c r="J82" s="100">
        <v>0.38</v>
      </c>
      <c r="K82" s="100">
        <v>65.12</v>
      </c>
      <c r="L82" s="100">
        <v>26.28</v>
      </c>
      <c r="M82" s="100">
        <v>30.71</v>
      </c>
      <c r="N82" s="100">
        <v>1.6</v>
      </c>
      <c r="O82" s="100">
        <v>0</v>
      </c>
      <c r="P82" s="100">
        <v>0.76</v>
      </c>
      <c r="Q82" s="100">
        <v>12.95</v>
      </c>
      <c r="R82" s="6"/>
      <c r="S82" s="6"/>
      <c r="T82" s="156"/>
      <c r="U82" s="6"/>
    </row>
    <row r="83" spans="1:21" customFormat="1">
      <c r="A83" s="163" t="s">
        <v>1081</v>
      </c>
      <c r="B83" s="100">
        <v>7.72</v>
      </c>
      <c r="C83" s="100">
        <v>26.42</v>
      </c>
      <c r="D83" s="100">
        <v>21.35</v>
      </c>
      <c r="E83" s="100">
        <v>10.73</v>
      </c>
      <c r="F83" s="152" t="s">
        <v>15</v>
      </c>
      <c r="G83" s="100">
        <v>66.06</v>
      </c>
      <c r="H83" s="100">
        <v>28.91</v>
      </c>
      <c r="I83" s="100">
        <v>8.39</v>
      </c>
      <c r="J83" s="100">
        <v>0.46</v>
      </c>
      <c r="K83" s="100">
        <v>59.76</v>
      </c>
      <c r="L83" s="100">
        <v>25.58</v>
      </c>
      <c r="M83" s="100">
        <v>30.47</v>
      </c>
      <c r="N83" s="100">
        <v>1.2</v>
      </c>
      <c r="O83" s="100">
        <v>0</v>
      </c>
      <c r="P83" s="100">
        <v>0.78</v>
      </c>
      <c r="Q83" s="100">
        <v>12.95</v>
      </c>
      <c r="R83" s="6"/>
      <c r="S83" s="6"/>
      <c r="T83" s="156"/>
      <c r="U83" s="6"/>
    </row>
    <row r="84" spans="1:21" customFormat="1">
      <c r="A84" s="163" t="s">
        <v>1082</v>
      </c>
      <c r="B84" s="100">
        <v>8.35</v>
      </c>
      <c r="C84" s="100">
        <v>25.95</v>
      </c>
      <c r="D84" s="100">
        <v>21.61</v>
      </c>
      <c r="E84" s="100">
        <v>10.35</v>
      </c>
      <c r="F84" s="152" t="s">
        <v>15</v>
      </c>
      <c r="G84" s="100">
        <v>71.47</v>
      </c>
      <c r="H84" s="100">
        <v>29.27</v>
      </c>
      <c r="I84" s="100">
        <v>8.7899999999999991</v>
      </c>
      <c r="J84" s="100">
        <v>0.19</v>
      </c>
      <c r="K84" s="100">
        <v>105.17</v>
      </c>
      <c r="L84" s="100">
        <v>24.62</v>
      </c>
      <c r="M84" s="100">
        <v>39.369999999999997</v>
      </c>
      <c r="N84" s="100">
        <v>1.8</v>
      </c>
      <c r="O84" s="100">
        <v>0</v>
      </c>
      <c r="P84" s="100">
        <v>0.78</v>
      </c>
      <c r="Q84" s="100">
        <v>12.96</v>
      </c>
      <c r="R84" s="6"/>
      <c r="S84" s="6"/>
      <c r="T84" s="156"/>
      <c r="U84" s="6"/>
    </row>
    <row r="85" spans="1:21" customFormat="1">
      <c r="A85" s="163" t="s">
        <v>1083</v>
      </c>
      <c r="B85" s="100">
        <v>8.9600000000000009</v>
      </c>
      <c r="C85" s="100">
        <v>25.57</v>
      </c>
      <c r="D85" s="100">
        <v>21.9</v>
      </c>
      <c r="E85" s="100">
        <v>10.28</v>
      </c>
      <c r="F85" s="152" t="s">
        <v>15</v>
      </c>
      <c r="G85" s="100">
        <v>71.47</v>
      </c>
      <c r="H85" s="100">
        <v>29.27</v>
      </c>
      <c r="I85" s="100">
        <v>9.17</v>
      </c>
      <c r="J85" s="100">
        <v>0.23</v>
      </c>
      <c r="K85" s="100">
        <v>130.19999999999999</v>
      </c>
      <c r="L85" s="100">
        <v>23.52</v>
      </c>
      <c r="M85" s="100">
        <v>43.47</v>
      </c>
      <c r="N85" s="100">
        <v>1.6</v>
      </c>
      <c r="O85" s="100">
        <v>0</v>
      </c>
      <c r="P85" s="100">
        <v>0.79</v>
      </c>
      <c r="Q85" s="100">
        <v>12.97</v>
      </c>
      <c r="R85" s="6"/>
      <c r="S85" s="6"/>
      <c r="T85" s="156"/>
      <c r="U85" s="6"/>
    </row>
    <row r="86" spans="1:21" customFormat="1">
      <c r="A86" s="163" t="s">
        <v>1084</v>
      </c>
      <c r="B86" s="100">
        <v>9.5299999999999994</v>
      </c>
      <c r="C86" s="100">
        <v>25.21</v>
      </c>
      <c r="D86" s="100">
        <v>22.17</v>
      </c>
      <c r="E86" s="100">
        <v>10.57</v>
      </c>
      <c r="F86" s="152" t="s">
        <v>15</v>
      </c>
      <c r="G86" s="100">
        <v>71.47</v>
      </c>
      <c r="H86" s="100">
        <v>29.27</v>
      </c>
      <c r="I86" s="100">
        <v>9.5299999999999994</v>
      </c>
      <c r="J86" s="100">
        <v>0.33</v>
      </c>
      <c r="K86" s="100">
        <v>75.349999999999994</v>
      </c>
      <c r="L86" s="100">
        <v>23.48</v>
      </c>
      <c r="M86" s="100">
        <v>36.4</v>
      </c>
      <c r="N86" s="100">
        <v>0.8</v>
      </c>
      <c r="O86" s="100">
        <v>0</v>
      </c>
      <c r="P86" s="100">
        <v>0.81</v>
      </c>
      <c r="Q86" s="100">
        <v>12.96</v>
      </c>
      <c r="R86" s="6"/>
      <c r="S86" s="6"/>
      <c r="T86" s="156"/>
      <c r="U86" s="6"/>
    </row>
    <row r="87" spans="1:21" customFormat="1">
      <c r="A87" s="163" t="s">
        <v>1085</v>
      </c>
      <c r="B87" s="100">
        <v>10.210000000000001</v>
      </c>
      <c r="C87" s="100">
        <v>25.04</v>
      </c>
      <c r="D87" s="100">
        <v>22.62</v>
      </c>
      <c r="E87" s="100">
        <v>10.85</v>
      </c>
      <c r="F87" s="152" t="s">
        <v>15</v>
      </c>
      <c r="G87" s="100">
        <v>72.819999999999993</v>
      </c>
      <c r="H87" s="100">
        <v>29.27</v>
      </c>
      <c r="I87" s="100">
        <v>9.85</v>
      </c>
      <c r="J87" s="100">
        <v>0.47</v>
      </c>
      <c r="K87" s="100">
        <v>62.62</v>
      </c>
      <c r="L87" s="100">
        <v>23.85</v>
      </c>
      <c r="M87" s="100">
        <v>33.28</v>
      </c>
      <c r="N87" s="100">
        <v>0.5</v>
      </c>
      <c r="O87" s="100">
        <v>0</v>
      </c>
      <c r="P87" s="100">
        <v>0.85</v>
      </c>
      <c r="Q87" s="100">
        <v>12.96</v>
      </c>
      <c r="R87" s="6"/>
      <c r="S87" s="6"/>
      <c r="T87" s="156"/>
      <c r="U87" s="6"/>
    </row>
    <row r="88" spans="1:21" customFormat="1">
      <c r="A88" s="163" t="s">
        <v>1086</v>
      </c>
      <c r="B88" s="100">
        <v>11.1</v>
      </c>
      <c r="C88" s="100">
        <v>24.84</v>
      </c>
      <c r="D88" s="100">
        <v>23.23</v>
      </c>
      <c r="E88" s="100">
        <v>11.14</v>
      </c>
      <c r="F88" s="152" t="s">
        <v>15</v>
      </c>
      <c r="G88" s="100">
        <v>101.99</v>
      </c>
      <c r="H88" s="100">
        <v>29.22</v>
      </c>
      <c r="I88" s="100">
        <v>10.18</v>
      </c>
      <c r="J88" s="100">
        <v>0.42</v>
      </c>
      <c r="K88" s="100">
        <v>62.35</v>
      </c>
      <c r="L88" s="100">
        <v>24</v>
      </c>
      <c r="M88" s="100">
        <v>33.119999999999997</v>
      </c>
      <c r="N88" s="100">
        <v>0.6</v>
      </c>
      <c r="O88" s="100">
        <v>0</v>
      </c>
      <c r="P88" s="100">
        <v>0.86</v>
      </c>
      <c r="Q88" s="100">
        <v>12.94</v>
      </c>
      <c r="R88" s="6"/>
      <c r="S88" s="6"/>
      <c r="T88" s="156"/>
      <c r="U88" s="6"/>
    </row>
    <row r="89" spans="1:21" customFormat="1">
      <c r="A89" s="163" t="s">
        <v>1087</v>
      </c>
      <c r="B89" s="100">
        <v>11.94</v>
      </c>
      <c r="C89" s="100">
        <v>24.78</v>
      </c>
      <c r="D89" s="100">
        <v>23.88</v>
      </c>
      <c r="E89" s="100">
        <v>10.99</v>
      </c>
      <c r="F89" s="152" t="s">
        <v>15</v>
      </c>
      <c r="G89" s="100">
        <v>101.99</v>
      </c>
      <c r="H89" s="100">
        <v>29.22</v>
      </c>
      <c r="I89" s="100">
        <v>10.49</v>
      </c>
      <c r="J89" s="100">
        <v>0.21</v>
      </c>
      <c r="K89" s="100">
        <v>113.97</v>
      </c>
      <c r="L89" s="100">
        <v>22.87</v>
      </c>
      <c r="M89" s="100">
        <v>42.91</v>
      </c>
      <c r="N89" s="100">
        <v>1.6</v>
      </c>
      <c r="O89" s="100">
        <v>0</v>
      </c>
      <c r="P89" s="100">
        <v>0.87</v>
      </c>
      <c r="Q89" s="100">
        <v>12.96</v>
      </c>
      <c r="R89" s="6"/>
      <c r="S89" s="6"/>
      <c r="T89" s="156"/>
      <c r="U89" s="6"/>
    </row>
    <row r="90" spans="1:21" customFormat="1">
      <c r="A90" s="163" t="s">
        <v>1088</v>
      </c>
      <c r="B90" s="100">
        <v>12.54</v>
      </c>
      <c r="C90" s="100">
        <v>24.71</v>
      </c>
      <c r="D90" s="100">
        <v>24.32</v>
      </c>
      <c r="E90" s="100">
        <v>10.99</v>
      </c>
      <c r="F90" s="152" t="s">
        <v>15</v>
      </c>
      <c r="G90" s="100">
        <v>101.99</v>
      </c>
      <c r="H90" s="100">
        <v>29.22</v>
      </c>
      <c r="I90" s="100">
        <v>11.1</v>
      </c>
      <c r="J90" s="100">
        <v>0.2</v>
      </c>
      <c r="K90" s="100">
        <v>143.03</v>
      </c>
      <c r="L90" s="100">
        <v>22.07</v>
      </c>
      <c r="M90" s="100">
        <v>44.02</v>
      </c>
      <c r="N90" s="100">
        <v>1.4</v>
      </c>
      <c r="O90" s="100">
        <v>0</v>
      </c>
      <c r="P90" s="100">
        <v>0.9</v>
      </c>
      <c r="Q90" s="100">
        <v>12.98</v>
      </c>
      <c r="R90" s="6"/>
      <c r="S90" s="6"/>
      <c r="T90" s="156"/>
      <c r="U90" s="6"/>
    </row>
    <row r="91" spans="1:21" customFormat="1">
      <c r="A91" s="163" t="s">
        <v>1089</v>
      </c>
      <c r="B91" s="100">
        <v>12.99</v>
      </c>
      <c r="C91" s="100">
        <v>24.74</v>
      </c>
      <c r="D91" s="100">
        <v>24.69</v>
      </c>
      <c r="E91" s="100">
        <v>10.77</v>
      </c>
      <c r="F91" s="152" t="s">
        <v>15</v>
      </c>
      <c r="G91" s="100">
        <v>101.99</v>
      </c>
      <c r="H91" s="100">
        <v>29.21</v>
      </c>
      <c r="I91" s="100">
        <v>11.71</v>
      </c>
      <c r="J91" s="100">
        <v>0.17</v>
      </c>
      <c r="K91" s="100">
        <v>185.71</v>
      </c>
      <c r="L91" s="100">
        <v>21.37</v>
      </c>
      <c r="M91" s="100">
        <v>46.37</v>
      </c>
      <c r="N91" s="100">
        <v>1.4</v>
      </c>
      <c r="O91" s="100">
        <v>0</v>
      </c>
      <c r="P91" s="100">
        <v>0.9</v>
      </c>
      <c r="Q91" s="100">
        <v>12.97</v>
      </c>
      <c r="R91" s="6"/>
      <c r="S91" s="6"/>
      <c r="T91" s="156"/>
      <c r="U91" s="6"/>
    </row>
    <row r="92" spans="1:21" customFormat="1">
      <c r="A92" s="163" t="s">
        <v>1090</v>
      </c>
      <c r="B92" s="100">
        <v>13.4</v>
      </c>
      <c r="C92" s="100">
        <v>24.76</v>
      </c>
      <c r="D92" s="100">
        <v>25.03</v>
      </c>
      <c r="E92" s="100">
        <v>10.65</v>
      </c>
      <c r="F92" s="152" t="s">
        <v>15</v>
      </c>
      <c r="G92" s="100">
        <v>102.06</v>
      </c>
      <c r="H92" s="100">
        <v>28.89</v>
      </c>
      <c r="I92" s="100">
        <v>12.09</v>
      </c>
      <c r="J92" s="100">
        <v>0.23</v>
      </c>
      <c r="K92" s="100">
        <v>163.34</v>
      </c>
      <c r="L92" s="100">
        <v>20.79</v>
      </c>
      <c r="M92" s="100">
        <v>55.56</v>
      </c>
      <c r="N92" s="100">
        <v>1.2</v>
      </c>
      <c r="O92" s="100">
        <v>0</v>
      </c>
      <c r="P92" s="100">
        <v>0.92</v>
      </c>
      <c r="Q92" s="100">
        <v>12.97</v>
      </c>
      <c r="R92" s="6"/>
      <c r="S92" s="6"/>
      <c r="T92" s="156"/>
      <c r="U92" s="6"/>
    </row>
    <row r="93" spans="1:21" customFormat="1">
      <c r="A93" s="163" t="s">
        <v>1091</v>
      </c>
      <c r="B93" s="100">
        <v>13.86</v>
      </c>
      <c r="C93" s="100">
        <v>24.71</v>
      </c>
      <c r="D93" s="100">
        <v>25.38</v>
      </c>
      <c r="E93" s="100">
        <v>10.49</v>
      </c>
      <c r="F93" s="152" t="s">
        <v>15</v>
      </c>
      <c r="G93" s="100">
        <v>102.06</v>
      </c>
      <c r="H93" s="100">
        <v>28.89</v>
      </c>
      <c r="I93" s="100">
        <v>12.31</v>
      </c>
      <c r="J93" s="100">
        <v>0.26</v>
      </c>
      <c r="K93" s="100">
        <v>169.31</v>
      </c>
      <c r="L93" s="100">
        <v>20.190000000000001</v>
      </c>
      <c r="M93" s="100">
        <v>59</v>
      </c>
      <c r="N93" s="100">
        <v>1.2</v>
      </c>
      <c r="O93" s="100">
        <v>0</v>
      </c>
      <c r="P93" s="100">
        <v>0.94</v>
      </c>
      <c r="Q93" s="100">
        <v>12.97</v>
      </c>
      <c r="R93" s="6"/>
      <c r="S93" s="6"/>
      <c r="T93" s="156"/>
      <c r="U93" s="6"/>
    </row>
    <row r="94" spans="1:21" customFormat="1">
      <c r="A94" s="163" t="s">
        <v>1092</v>
      </c>
      <c r="B94" s="100">
        <v>14.53</v>
      </c>
      <c r="C94" s="100">
        <v>24.81</v>
      </c>
      <c r="D94" s="100">
        <v>25.96</v>
      </c>
      <c r="E94" s="100">
        <v>10.58</v>
      </c>
      <c r="F94" s="152" t="s">
        <v>15</v>
      </c>
      <c r="G94" s="100">
        <v>102.06</v>
      </c>
      <c r="H94" s="100">
        <v>28.89</v>
      </c>
      <c r="I94" s="100">
        <v>12.45</v>
      </c>
      <c r="J94" s="100">
        <v>0.27</v>
      </c>
      <c r="K94" s="100">
        <v>166.34</v>
      </c>
      <c r="L94" s="100">
        <v>19.809999999999999</v>
      </c>
      <c r="M94" s="100">
        <v>60.17</v>
      </c>
      <c r="N94" s="100">
        <v>1</v>
      </c>
      <c r="O94" s="100">
        <v>0</v>
      </c>
      <c r="P94" s="100">
        <v>0.96</v>
      </c>
      <c r="Q94" s="100">
        <v>12.96</v>
      </c>
      <c r="R94" s="6"/>
      <c r="S94" s="6"/>
      <c r="T94" s="156"/>
      <c r="U94" s="6"/>
    </row>
    <row r="95" spans="1:21" customFormat="1">
      <c r="A95" s="163" t="s">
        <v>1093</v>
      </c>
      <c r="B95" s="100">
        <v>15.29</v>
      </c>
      <c r="C95" s="100">
        <v>24.8</v>
      </c>
      <c r="D95" s="100">
        <v>26.57</v>
      </c>
      <c r="E95" s="100">
        <v>11.07</v>
      </c>
      <c r="F95" s="152" t="s">
        <v>15</v>
      </c>
      <c r="G95" s="100">
        <v>102.33</v>
      </c>
      <c r="H95" s="100">
        <v>28.86</v>
      </c>
      <c r="I95" s="100">
        <v>12.57</v>
      </c>
      <c r="J95" s="100">
        <v>0.18</v>
      </c>
      <c r="K95" s="100">
        <v>173.23</v>
      </c>
      <c r="L95" s="100">
        <v>19.29</v>
      </c>
      <c r="M95" s="100">
        <v>58.92</v>
      </c>
      <c r="N95" s="100">
        <v>1.1000000000000001</v>
      </c>
      <c r="O95" s="100">
        <v>0</v>
      </c>
      <c r="P95" s="100">
        <v>0.97</v>
      </c>
      <c r="Q95" s="100">
        <v>12.98</v>
      </c>
      <c r="R95" s="6"/>
      <c r="S95" s="6"/>
      <c r="T95" s="156"/>
      <c r="U95" s="6"/>
    </row>
    <row r="96" spans="1:21" customFormat="1">
      <c r="A96" s="163" t="s">
        <v>1094</v>
      </c>
      <c r="B96" s="100">
        <v>16.059999999999999</v>
      </c>
      <c r="C96" s="100">
        <v>24.82</v>
      </c>
      <c r="D96" s="100">
        <v>27.2</v>
      </c>
      <c r="E96" s="100">
        <v>10.43</v>
      </c>
      <c r="F96" s="152" t="s">
        <v>15</v>
      </c>
      <c r="G96" s="100">
        <v>108.29</v>
      </c>
      <c r="H96" s="100">
        <v>27.83</v>
      </c>
      <c r="I96" s="100">
        <v>12.69</v>
      </c>
      <c r="J96" s="100">
        <v>0.12</v>
      </c>
      <c r="K96" s="100">
        <v>167.17</v>
      </c>
      <c r="L96" s="100">
        <v>19.399999999999999</v>
      </c>
      <c r="M96" s="100">
        <v>55.99</v>
      </c>
      <c r="N96" s="100">
        <v>0.6</v>
      </c>
      <c r="O96" s="100">
        <v>0</v>
      </c>
      <c r="P96" s="100">
        <v>0.99</v>
      </c>
      <c r="Q96" s="100">
        <v>12.97</v>
      </c>
      <c r="R96" s="6"/>
      <c r="S96" s="6"/>
      <c r="T96" s="156"/>
      <c r="U96" s="6"/>
    </row>
    <row r="97" spans="1:28" customFormat="1">
      <c r="A97" s="163" t="s">
        <v>1095</v>
      </c>
      <c r="B97" s="100">
        <v>18.149999999999999</v>
      </c>
      <c r="C97" s="100">
        <v>25.09</v>
      </c>
      <c r="D97" s="100">
        <v>29.02</v>
      </c>
      <c r="E97" s="100">
        <v>11.01</v>
      </c>
      <c r="F97" s="152" t="s">
        <v>15</v>
      </c>
      <c r="G97" s="100">
        <v>108.29</v>
      </c>
      <c r="H97" s="100">
        <v>27.83</v>
      </c>
      <c r="I97" s="100">
        <v>12.74</v>
      </c>
      <c r="J97" s="100">
        <v>0.09</v>
      </c>
      <c r="K97" s="100">
        <v>113.27</v>
      </c>
      <c r="L97" s="100">
        <v>19.73</v>
      </c>
      <c r="M97" s="100">
        <v>50.44</v>
      </c>
      <c r="N97" s="100">
        <v>0.7</v>
      </c>
      <c r="O97" s="100">
        <v>0</v>
      </c>
      <c r="P97" s="100">
        <v>1.01</v>
      </c>
      <c r="Q97" s="100">
        <v>12.99</v>
      </c>
      <c r="R97" s="6"/>
      <c r="S97" s="6"/>
      <c r="T97" s="156"/>
      <c r="U97" s="6"/>
    </row>
    <row r="98" spans="1:28" customFormat="1">
      <c r="A98" s="163" t="s">
        <v>1096</v>
      </c>
      <c r="B98" s="100">
        <v>20.32</v>
      </c>
      <c r="C98" s="100">
        <v>25.45</v>
      </c>
      <c r="D98" s="100">
        <v>30.95</v>
      </c>
      <c r="E98" s="100">
        <v>10.84</v>
      </c>
      <c r="F98" s="152" t="s">
        <v>15</v>
      </c>
      <c r="G98" s="100">
        <v>108.29</v>
      </c>
      <c r="H98" s="100">
        <v>27.83</v>
      </c>
      <c r="I98" s="100">
        <v>12.79</v>
      </c>
      <c r="J98" s="100">
        <v>0.2</v>
      </c>
      <c r="K98" s="100">
        <v>98.75</v>
      </c>
      <c r="L98" s="100">
        <v>20.09</v>
      </c>
      <c r="M98" s="100">
        <v>47.42</v>
      </c>
      <c r="N98" s="100">
        <v>0.6</v>
      </c>
      <c r="O98" s="100">
        <v>0</v>
      </c>
      <c r="P98" s="100">
        <v>0.98</v>
      </c>
      <c r="Q98" s="100">
        <v>13.01</v>
      </c>
      <c r="R98" s="6"/>
      <c r="S98" s="6"/>
      <c r="T98" s="156"/>
      <c r="U98" s="6"/>
    </row>
    <row r="99" spans="1:28" customFormat="1">
      <c r="A99" s="163" t="s">
        <v>1097</v>
      </c>
      <c r="B99" s="100">
        <v>21.98</v>
      </c>
      <c r="C99" s="100">
        <v>25.6</v>
      </c>
      <c r="D99" s="100">
        <v>32.35</v>
      </c>
      <c r="E99" s="100">
        <v>11.28</v>
      </c>
      <c r="F99" s="152" t="s">
        <v>15</v>
      </c>
      <c r="G99" s="100">
        <v>108.69</v>
      </c>
      <c r="H99" s="100">
        <v>27.77</v>
      </c>
      <c r="I99" s="100">
        <v>12.84</v>
      </c>
      <c r="J99" s="100">
        <v>0.18</v>
      </c>
      <c r="K99" s="100">
        <v>67.48</v>
      </c>
      <c r="L99" s="100">
        <v>20.38</v>
      </c>
      <c r="M99" s="100">
        <v>45.4</v>
      </c>
      <c r="N99" s="100">
        <v>0.5</v>
      </c>
      <c r="O99" s="100">
        <v>0</v>
      </c>
      <c r="P99" s="100">
        <v>0.94</v>
      </c>
      <c r="Q99" s="100">
        <v>13.02</v>
      </c>
      <c r="R99" s="6"/>
      <c r="S99" s="6"/>
      <c r="T99" s="156"/>
      <c r="U99" s="6"/>
    </row>
    <row r="100" spans="1:28" customFormat="1">
      <c r="A100" s="163" t="s">
        <v>1098</v>
      </c>
      <c r="B100" s="100">
        <v>23.02</v>
      </c>
      <c r="C100" s="100">
        <v>25.89</v>
      </c>
      <c r="D100" s="100">
        <v>33.340000000000003</v>
      </c>
      <c r="E100" s="100">
        <v>11.32</v>
      </c>
      <c r="F100" s="152" t="s">
        <v>15</v>
      </c>
      <c r="G100" s="100">
        <v>117.26</v>
      </c>
      <c r="H100" s="100">
        <v>25.97</v>
      </c>
      <c r="I100" s="100">
        <v>12.9</v>
      </c>
      <c r="J100" s="100">
        <v>0.19</v>
      </c>
      <c r="K100" s="100">
        <v>122.14</v>
      </c>
      <c r="L100" s="100">
        <v>20.05</v>
      </c>
      <c r="M100" s="100">
        <v>46.87</v>
      </c>
      <c r="N100" s="100">
        <v>0.9</v>
      </c>
      <c r="O100" s="100">
        <v>0</v>
      </c>
      <c r="P100" s="100">
        <v>0.94</v>
      </c>
      <c r="Q100" s="100">
        <v>13.03</v>
      </c>
      <c r="R100" s="6"/>
      <c r="S100" s="6"/>
      <c r="T100" s="156"/>
      <c r="U100" s="6"/>
      <c r="AB100" s="161"/>
    </row>
    <row r="101" spans="1:28" customFormat="1">
      <c r="A101" s="163" t="s">
        <v>1099</v>
      </c>
      <c r="B101" s="100">
        <v>23.7</v>
      </c>
      <c r="C101" s="100">
        <v>26.32</v>
      </c>
      <c r="D101" s="100">
        <v>34.11</v>
      </c>
      <c r="E101" s="100">
        <v>11.34</v>
      </c>
      <c r="F101" s="152" t="s">
        <v>15</v>
      </c>
      <c r="G101" s="100">
        <v>117.26</v>
      </c>
      <c r="H101" s="100">
        <v>25.97</v>
      </c>
      <c r="I101" s="100">
        <v>12.91</v>
      </c>
      <c r="J101" s="100">
        <v>0.18</v>
      </c>
      <c r="K101" s="100">
        <v>104.42</v>
      </c>
      <c r="L101" s="100">
        <v>19.82</v>
      </c>
      <c r="M101" s="100">
        <v>47</v>
      </c>
      <c r="N101" s="100">
        <v>0.8</v>
      </c>
      <c r="O101" s="100">
        <v>0</v>
      </c>
      <c r="P101" s="100">
        <v>0.94</v>
      </c>
      <c r="Q101" s="100">
        <v>13.03</v>
      </c>
      <c r="R101" s="6"/>
      <c r="S101" s="6"/>
      <c r="T101" s="156"/>
      <c r="U101" s="6"/>
    </row>
    <row r="102" spans="1:28" customFormat="1">
      <c r="A102" s="163" t="s">
        <v>1100</v>
      </c>
      <c r="B102" s="100">
        <v>24.25</v>
      </c>
      <c r="C102" s="100">
        <v>26.72</v>
      </c>
      <c r="D102" s="100">
        <v>34.76</v>
      </c>
      <c r="E102" s="100">
        <v>11.29</v>
      </c>
      <c r="F102" s="152" t="s">
        <v>15</v>
      </c>
      <c r="G102" s="100">
        <v>117.26</v>
      </c>
      <c r="H102" s="100">
        <v>25.97</v>
      </c>
      <c r="I102" s="100">
        <v>12.85</v>
      </c>
      <c r="J102" s="100">
        <v>0.28999999999999998</v>
      </c>
      <c r="K102" s="100">
        <v>73.83</v>
      </c>
      <c r="L102" s="100">
        <v>20.13</v>
      </c>
      <c r="M102" s="100">
        <v>40.99</v>
      </c>
      <c r="N102" s="100">
        <v>0.5</v>
      </c>
      <c r="O102" s="100">
        <v>0</v>
      </c>
      <c r="P102" s="100">
        <v>0.94</v>
      </c>
      <c r="Q102" s="100">
        <v>13.04</v>
      </c>
      <c r="R102" s="6"/>
      <c r="S102" s="6"/>
      <c r="T102" s="156"/>
      <c r="U102" s="6"/>
    </row>
    <row r="103" spans="1:28" customFormat="1">
      <c r="A103" s="163" t="s">
        <v>1101</v>
      </c>
      <c r="B103" s="100">
        <v>24.71</v>
      </c>
      <c r="C103" s="100">
        <v>27.1</v>
      </c>
      <c r="D103" s="100">
        <v>35.32</v>
      </c>
      <c r="E103" s="100">
        <v>11.85</v>
      </c>
      <c r="F103" s="152" t="s">
        <v>15</v>
      </c>
      <c r="G103" s="100">
        <v>118.3</v>
      </c>
      <c r="H103" s="100">
        <v>26</v>
      </c>
      <c r="I103" s="100">
        <v>12.81</v>
      </c>
      <c r="J103" s="100">
        <v>0.14000000000000001</v>
      </c>
      <c r="K103" s="100">
        <v>105.51</v>
      </c>
      <c r="L103" s="100">
        <v>20.07</v>
      </c>
      <c r="M103" s="100">
        <v>40.479999999999997</v>
      </c>
      <c r="N103" s="100">
        <v>0.9</v>
      </c>
      <c r="O103" s="100">
        <v>0</v>
      </c>
      <c r="P103" s="100">
        <v>0.92</v>
      </c>
      <c r="Q103" s="100">
        <v>13.03</v>
      </c>
      <c r="R103" s="6"/>
      <c r="S103" s="6"/>
      <c r="T103" s="156"/>
      <c r="U103" s="6"/>
    </row>
    <row r="104" spans="1:28" customFormat="1">
      <c r="A104" s="163" t="s">
        <v>1102</v>
      </c>
      <c r="B104" s="100">
        <v>25</v>
      </c>
      <c r="C104" s="100">
        <v>27.45</v>
      </c>
      <c r="D104" s="100">
        <v>35.74</v>
      </c>
      <c r="E104" s="100">
        <v>11.48</v>
      </c>
      <c r="F104" s="152" t="s">
        <v>15</v>
      </c>
      <c r="G104" s="100">
        <v>140.65</v>
      </c>
      <c r="H104" s="100">
        <v>26.82</v>
      </c>
      <c r="I104" s="100">
        <v>12.66</v>
      </c>
      <c r="J104" s="100">
        <v>0.15</v>
      </c>
      <c r="K104" s="100">
        <v>117.12</v>
      </c>
      <c r="L104" s="100">
        <v>19.850000000000001</v>
      </c>
      <c r="M104" s="100">
        <v>41.47</v>
      </c>
      <c r="N104" s="100">
        <v>0.8</v>
      </c>
      <c r="O104" s="100">
        <v>0</v>
      </c>
      <c r="P104" s="100">
        <v>0.91</v>
      </c>
      <c r="Q104" s="100">
        <v>13.04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3.86</v>
      </c>
      <c r="C106" s="158">
        <f>MIN(C9:C104)</f>
        <v>24.71</v>
      </c>
      <c r="D106" s="158">
        <f t="shared" ref="D106:Q106" si="0">MIN(D9:D104)</f>
        <v>18.21</v>
      </c>
      <c r="E106" s="158">
        <f t="shared" si="0"/>
        <v>8.15</v>
      </c>
      <c r="F106" s="158">
        <f t="shared" si="0"/>
        <v>0</v>
      </c>
      <c r="G106" s="158">
        <f t="shared" si="0"/>
        <v>56.68</v>
      </c>
      <c r="H106" s="158">
        <f t="shared" si="0"/>
        <v>18.989999999999998</v>
      </c>
      <c r="I106" s="158">
        <f t="shared" si="0"/>
        <v>8.1199999999999992</v>
      </c>
      <c r="J106" s="158">
        <f t="shared" si="0"/>
        <v>0.09</v>
      </c>
      <c r="K106" s="158">
        <f t="shared" si="0"/>
        <v>4.17</v>
      </c>
      <c r="L106" s="158">
        <f t="shared" si="0"/>
        <v>17</v>
      </c>
      <c r="M106" s="158">
        <f t="shared" si="0"/>
        <v>17.170000000000002</v>
      </c>
      <c r="N106" s="158">
        <f t="shared" si="0"/>
        <v>0.1</v>
      </c>
      <c r="O106" s="158">
        <f t="shared" si="0"/>
        <v>0</v>
      </c>
      <c r="P106" s="158">
        <f t="shared" si="0"/>
        <v>0.53</v>
      </c>
      <c r="Q106" s="158">
        <f t="shared" si="0"/>
        <v>12.94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32.909999999999997</v>
      </c>
      <c r="C107" s="157">
        <f t="shared" ref="C107:Q107" si="1">MAX(C9:C104)</f>
        <v>28.19</v>
      </c>
      <c r="D107" s="157">
        <f t="shared" si="1"/>
        <v>42.22</v>
      </c>
      <c r="E107" s="157">
        <f t="shared" si="1"/>
        <v>17.989999999999998</v>
      </c>
      <c r="F107" s="157">
        <f t="shared" si="1"/>
        <v>0</v>
      </c>
      <c r="G107" s="157">
        <f t="shared" si="1"/>
        <v>140.65</v>
      </c>
      <c r="H107" s="157">
        <f t="shared" si="1"/>
        <v>30.23</v>
      </c>
      <c r="I107" s="157">
        <f t="shared" si="1"/>
        <v>17.989999999999998</v>
      </c>
      <c r="J107" s="157">
        <f t="shared" si="1"/>
        <v>1.45</v>
      </c>
      <c r="K107" s="157">
        <f t="shared" si="1"/>
        <v>359.34</v>
      </c>
      <c r="L107" s="157">
        <f t="shared" si="1"/>
        <v>31.24</v>
      </c>
      <c r="M107" s="157">
        <f t="shared" si="1"/>
        <v>71.73</v>
      </c>
      <c r="N107" s="157">
        <f t="shared" si="1"/>
        <v>381.1</v>
      </c>
      <c r="O107" s="157">
        <f t="shared" si="1"/>
        <v>0</v>
      </c>
      <c r="P107" s="157">
        <f t="shared" si="1"/>
        <v>1.1200000000000001</v>
      </c>
      <c r="Q107" s="157">
        <f t="shared" si="1"/>
        <v>13.07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18.558020833333334</v>
      </c>
      <c r="C108" s="158">
        <f t="shared" ref="C108:Q108" si="2">AVERAGE(C9:C104)</f>
        <v>26.295937499999997</v>
      </c>
      <c r="D108" s="158">
        <f t="shared" si="2"/>
        <v>29.972083333333341</v>
      </c>
      <c r="E108" s="158">
        <f t="shared" si="2"/>
        <v>11.264895833333334</v>
      </c>
      <c r="F108" s="158" t="e">
        <f t="shared" si="2"/>
        <v>#DIV/0!</v>
      </c>
      <c r="G108" s="158">
        <f t="shared" si="2"/>
        <v>83.021354166666711</v>
      </c>
      <c r="H108" s="158">
        <f t="shared" si="2"/>
        <v>25.414062499999996</v>
      </c>
      <c r="I108" s="158">
        <f t="shared" si="2"/>
        <v>12.825729166666667</v>
      </c>
      <c r="J108" s="158">
        <f t="shared" si="2"/>
        <v>0.47239583333333335</v>
      </c>
      <c r="K108" s="158">
        <f t="shared" si="2"/>
        <v>100.4015625</v>
      </c>
      <c r="L108" s="158">
        <f t="shared" si="2"/>
        <v>23.178020833333338</v>
      </c>
      <c r="M108" s="158">
        <f t="shared" si="2"/>
        <v>40.495520833333316</v>
      </c>
      <c r="N108" s="158">
        <f t="shared" si="2"/>
        <v>89.733333333333348</v>
      </c>
      <c r="O108" s="158">
        <f t="shared" si="2"/>
        <v>0</v>
      </c>
      <c r="P108" s="158">
        <f t="shared" si="2"/>
        <v>0.82468750000000013</v>
      </c>
      <c r="Q108" s="158">
        <f t="shared" si="2"/>
        <v>13.00281250000001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9.4548566879162852</v>
      </c>
      <c r="C109" s="158">
        <f t="shared" ref="C109:Q109" si="3">STDEV(C9:C104)</f>
        <v>0.93631143955529306</v>
      </c>
      <c r="D109" s="158">
        <f t="shared" si="3"/>
        <v>7.5398496308706209</v>
      </c>
      <c r="E109" s="158">
        <f t="shared" si="3"/>
        <v>1.8366926768066387</v>
      </c>
      <c r="F109" s="158" t="e">
        <f t="shared" si="3"/>
        <v>#DIV/0!</v>
      </c>
      <c r="G109" s="158">
        <f t="shared" si="3"/>
        <v>18.171469402670478</v>
      </c>
      <c r="H109" s="158">
        <f t="shared" si="3"/>
        <v>3.2295173431547126</v>
      </c>
      <c r="I109" s="158">
        <f t="shared" si="3"/>
        <v>2.7333833843566868</v>
      </c>
      <c r="J109" s="158">
        <f t="shared" si="3"/>
        <v>0.30404551179981915</v>
      </c>
      <c r="K109" s="158">
        <f t="shared" si="3"/>
        <v>78.294708503436951</v>
      </c>
      <c r="L109" s="158">
        <f t="shared" si="3"/>
        <v>4.7359682208641463</v>
      </c>
      <c r="M109" s="158">
        <f t="shared" si="3"/>
        <v>17.279538606766089</v>
      </c>
      <c r="N109" s="158">
        <f t="shared" si="3"/>
        <v>135.69915150544696</v>
      </c>
      <c r="O109" s="158">
        <f t="shared" si="3"/>
        <v>0</v>
      </c>
      <c r="P109" s="158">
        <f t="shared" si="3"/>
        <v>0.15762015049512412</v>
      </c>
      <c r="Q109" s="158">
        <f t="shared" si="3"/>
        <v>3.69837268623859E-2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96" sqref="I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4" t="s">
        <v>1103</v>
      </c>
      <c r="B9" s="165">
        <v>25.44</v>
      </c>
      <c r="C9" s="165">
        <v>27.84</v>
      </c>
      <c r="D9" s="165">
        <v>36.299999999999997</v>
      </c>
      <c r="E9" s="165">
        <v>11.54</v>
      </c>
      <c r="F9" s="152" t="s">
        <v>15</v>
      </c>
      <c r="G9" s="165">
        <v>140.65</v>
      </c>
      <c r="H9" s="165">
        <v>26.82</v>
      </c>
      <c r="I9" s="165">
        <v>12.44</v>
      </c>
      <c r="J9" s="165">
        <v>0.18</v>
      </c>
      <c r="K9" s="165">
        <v>103.06</v>
      </c>
      <c r="L9" s="165">
        <v>19.260000000000002</v>
      </c>
      <c r="M9" s="165">
        <v>44.58</v>
      </c>
      <c r="N9" s="165">
        <v>1</v>
      </c>
      <c r="O9" s="165">
        <v>0</v>
      </c>
      <c r="P9" s="165">
        <v>0.89</v>
      </c>
      <c r="Q9" s="165">
        <v>13.04</v>
      </c>
      <c r="R9" s="6"/>
      <c r="S9" s="6"/>
      <c r="T9" s="156"/>
      <c r="U9" s="6"/>
    </row>
    <row r="10" spans="1:21" customFormat="1">
      <c r="A10" s="164" t="s">
        <v>1104</v>
      </c>
      <c r="B10" s="165">
        <v>25.56</v>
      </c>
      <c r="C10" s="165">
        <v>28.29</v>
      </c>
      <c r="D10" s="165">
        <v>36.630000000000003</v>
      </c>
      <c r="E10" s="165">
        <v>11.51</v>
      </c>
      <c r="F10" s="152" t="s">
        <v>15</v>
      </c>
      <c r="G10" s="165">
        <v>140.65</v>
      </c>
      <c r="H10" s="165">
        <v>26.82</v>
      </c>
      <c r="I10" s="165">
        <v>12.24</v>
      </c>
      <c r="J10" s="165">
        <v>0.26</v>
      </c>
      <c r="K10" s="165">
        <v>71.53</v>
      </c>
      <c r="L10" s="165">
        <v>19.559999999999999</v>
      </c>
      <c r="M10" s="165">
        <v>40.57</v>
      </c>
      <c r="N10" s="165">
        <v>0.6</v>
      </c>
      <c r="O10" s="165">
        <v>0</v>
      </c>
      <c r="P10" s="165">
        <v>0.87</v>
      </c>
      <c r="Q10" s="165">
        <v>13.03</v>
      </c>
      <c r="R10" s="6"/>
      <c r="S10" s="6"/>
      <c r="T10" s="156"/>
      <c r="U10" s="6"/>
    </row>
    <row r="11" spans="1:21" customFormat="1">
      <c r="A11" s="164" t="s">
        <v>1105</v>
      </c>
      <c r="B11" s="165">
        <v>26.17</v>
      </c>
      <c r="C11" s="165">
        <v>28.33</v>
      </c>
      <c r="D11" s="165">
        <v>37.14</v>
      </c>
      <c r="E11" s="165">
        <v>11.5</v>
      </c>
      <c r="F11" s="152" t="s">
        <v>15</v>
      </c>
      <c r="G11" s="165">
        <v>140.72999999999999</v>
      </c>
      <c r="H11" s="165">
        <v>26.91</v>
      </c>
      <c r="I11" s="165">
        <v>12.06</v>
      </c>
      <c r="J11" s="165">
        <v>0.17</v>
      </c>
      <c r="K11" s="165">
        <v>105.17</v>
      </c>
      <c r="L11" s="165">
        <v>19.41</v>
      </c>
      <c r="M11" s="165">
        <v>41.94</v>
      </c>
      <c r="N11" s="165">
        <v>0.9</v>
      </c>
      <c r="O11" s="165">
        <v>0</v>
      </c>
      <c r="P11" s="165">
        <v>0.86</v>
      </c>
      <c r="Q11" s="165">
        <v>13.05</v>
      </c>
      <c r="R11" s="6"/>
      <c r="S11" s="6"/>
      <c r="T11" s="156"/>
      <c r="U11" s="6"/>
    </row>
    <row r="12" spans="1:21" customFormat="1">
      <c r="A12" s="164" t="s">
        <v>1106</v>
      </c>
      <c r="B12" s="165">
        <v>26.58</v>
      </c>
      <c r="C12" s="165">
        <v>28.42</v>
      </c>
      <c r="D12" s="165">
        <v>37.51</v>
      </c>
      <c r="E12" s="165">
        <v>11.31</v>
      </c>
      <c r="F12" s="152" t="s">
        <v>15</v>
      </c>
      <c r="G12" s="165">
        <v>142.41999999999999</v>
      </c>
      <c r="H12" s="165">
        <v>29.96</v>
      </c>
      <c r="I12" s="165">
        <v>11.84</v>
      </c>
      <c r="J12" s="165">
        <v>0.34</v>
      </c>
      <c r="K12" s="165">
        <v>74.94</v>
      </c>
      <c r="L12" s="165">
        <v>19.37</v>
      </c>
      <c r="M12" s="165">
        <v>40.04</v>
      </c>
      <c r="N12" s="165">
        <v>0.6</v>
      </c>
      <c r="O12" s="165">
        <v>0</v>
      </c>
      <c r="P12" s="165">
        <v>0.85</v>
      </c>
      <c r="Q12" s="165">
        <v>13.04</v>
      </c>
      <c r="R12" s="6"/>
      <c r="S12" s="6"/>
      <c r="T12" s="156"/>
      <c r="U12" s="6"/>
    </row>
    <row r="13" spans="1:21" customFormat="1">
      <c r="A13" s="164" t="s">
        <v>1107</v>
      </c>
      <c r="B13" s="165">
        <v>26.73</v>
      </c>
      <c r="C13" s="165">
        <v>28.48</v>
      </c>
      <c r="D13" s="165">
        <v>37.67</v>
      </c>
      <c r="E13" s="165">
        <v>11.59</v>
      </c>
      <c r="F13" s="152" t="s">
        <v>15</v>
      </c>
      <c r="G13" s="165">
        <v>142.41999999999999</v>
      </c>
      <c r="H13" s="165">
        <v>29.96</v>
      </c>
      <c r="I13" s="165">
        <v>11.63</v>
      </c>
      <c r="J13" s="165">
        <v>0.38</v>
      </c>
      <c r="K13" s="165">
        <v>76.5</v>
      </c>
      <c r="L13" s="165">
        <v>19.32</v>
      </c>
      <c r="M13" s="165">
        <v>40.5</v>
      </c>
      <c r="N13" s="165">
        <v>0.7</v>
      </c>
      <c r="O13" s="165">
        <v>0</v>
      </c>
      <c r="P13" s="165">
        <v>0.83</v>
      </c>
      <c r="Q13" s="165">
        <v>13.04</v>
      </c>
      <c r="R13" s="6"/>
      <c r="S13" s="6"/>
      <c r="T13" s="156"/>
      <c r="U13" s="6"/>
    </row>
    <row r="14" spans="1:21" customFormat="1">
      <c r="A14" s="164" t="s">
        <v>1108</v>
      </c>
      <c r="B14" s="165">
        <v>26.63</v>
      </c>
      <c r="C14" s="165">
        <v>28.58</v>
      </c>
      <c r="D14" s="165">
        <v>37.64</v>
      </c>
      <c r="E14" s="165">
        <v>11.8</v>
      </c>
      <c r="F14" s="152" t="s">
        <v>15</v>
      </c>
      <c r="G14" s="165">
        <v>142.41999999999999</v>
      </c>
      <c r="H14" s="165">
        <v>29.96</v>
      </c>
      <c r="I14" s="165">
        <v>11.45</v>
      </c>
      <c r="J14" s="165">
        <v>0.23</v>
      </c>
      <c r="K14" s="165">
        <v>80.209999999999994</v>
      </c>
      <c r="L14" s="165">
        <v>18.940000000000001</v>
      </c>
      <c r="M14" s="165">
        <v>42.25</v>
      </c>
      <c r="N14" s="165">
        <v>0.9</v>
      </c>
      <c r="O14" s="165">
        <v>0</v>
      </c>
      <c r="P14" s="165">
        <v>0.81</v>
      </c>
      <c r="Q14" s="165">
        <v>13.04</v>
      </c>
      <c r="R14" s="6"/>
      <c r="S14" s="6"/>
      <c r="T14" s="156"/>
      <c r="U14" s="6"/>
    </row>
    <row r="15" spans="1:21" customFormat="1">
      <c r="A15" s="164" t="s">
        <v>1109</v>
      </c>
      <c r="B15" s="165">
        <v>26.4</v>
      </c>
      <c r="C15" s="165">
        <v>28.59</v>
      </c>
      <c r="D15" s="165">
        <v>37.46</v>
      </c>
      <c r="E15" s="165">
        <v>11.71</v>
      </c>
      <c r="F15" s="152" t="s">
        <v>15</v>
      </c>
      <c r="G15" s="165">
        <v>142.80000000000001</v>
      </c>
      <c r="H15" s="165">
        <v>29.88</v>
      </c>
      <c r="I15" s="165">
        <v>11.24</v>
      </c>
      <c r="J15" s="165">
        <v>0.42</v>
      </c>
      <c r="K15" s="165">
        <v>59.71</v>
      </c>
      <c r="L15" s="165">
        <v>18.8</v>
      </c>
      <c r="M15" s="165">
        <v>41.5</v>
      </c>
      <c r="N15" s="165">
        <v>0.5</v>
      </c>
      <c r="O15" s="165">
        <v>0</v>
      </c>
      <c r="P15" s="165">
        <v>0.8</v>
      </c>
      <c r="Q15" s="165">
        <v>13.04</v>
      </c>
      <c r="R15" s="6"/>
      <c r="S15" s="6"/>
      <c r="T15" s="156"/>
      <c r="U15" s="6"/>
    </row>
    <row r="16" spans="1:21" customFormat="1">
      <c r="A16" s="164" t="s">
        <v>1110</v>
      </c>
      <c r="B16" s="165">
        <v>26.18</v>
      </c>
      <c r="C16" s="165">
        <v>28.44</v>
      </c>
      <c r="D16" s="165">
        <v>37.21</v>
      </c>
      <c r="E16" s="165">
        <v>11.19</v>
      </c>
      <c r="F16" s="152" t="s">
        <v>15</v>
      </c>
      <c r="G16" s="165">
        <v>151.03</v>
      </c>
      <c r="H16" s="165">
        <v>27.41</v>
      </c>
      <c r="I16" s="165">
        <v>11.02</v>
      </c>
      <c r="J16" s="165">
        <v>0.38</v>
      </c>
      <c r="K16" s="165">
        <v>58.75</v>
      </c>
      <c r="L16" s="165">
        <v>18.82</v>
      </c>
      <c r="M16" s="165">
        <v>40.03</v>
      </c>
      <c r="N16" s="165">
        <v>0.6</v>
      </c>
      <c r="O16" s="165">
        <v>0</v>
      </c>
      <c r="P16" s="165">
        <v>0.8</v>
      </c>
      <c r="Q16" s="165">
        <v>13.05</v>
      </c>
      <c r="R16" s="6"/>
      <c r="S16" s="6"/>
      <c r="T16" s="156"/>
      <c r="U16" s="6"/>
    </row>
    <row r="17" spans="1:21" customFormat="1">
      <c r="A17" s="164" t="s">
        <v>1111</v>
      </c>
      <c r="B17" s="165">
        <v>25.68</v>
      </c>
      <c r="C17" s="165">
        <v>28.44</v>
      </c>
      <c r="D17" s="165">
        <v>36.799999999999997</v>
      </c>
      <c r="E17" s="165">
        <v>9.5399999999999991</v>
      </c>
      <c r="F17" s="152" t="s">
        <v>15</v>
      </c>
      <c r="G17" s="165">
        <v>151.03</v>
      </c>
      <c r="H17" s="165">
        <v>27.41</v>
      </c>
      <c r="I17" s="165">
        <v>10.84</v>
      </c>
      <c r="J17" s="165">
        <v>0.13</v>
      </c>
      <c r="K17" s="165">
        <v>67.92</v>
      </c>
      <c r="L17" s="165">
        <v>18.59</v>
      </c>
      <c r="M17" s="165">
        <v>41.72</v>
      </c>
      <c r="N17" s="165">
        <v>0.9</v>
      </c>
      <c r="O17" s="165">
        <v>0</v>
      </c>
      <c r="P17" s="165">
        <v>0.77</v>
      </c>
      <c r="Q17" s="165">
        <v>13.03</v>
      </c>
      <c r="R17" s="6"/>
      <c r="S17" s="6"/>
      <c r="T17" s="156"/>
      <c r="U17" s="6"/>
    </row>
    <row r="18" spans="1:21" customFormat="1">
      <c r="A18" s="164" t="s">
        <v>1112</v>
      </c>
      <c r="B18" s="165">
        <v>25.22</v>
      </c>
      <c r="C18" s="165">
        <v>28.47</v>
      </c>
      <c r="D18" s="165">
        <v>36.450000000000003</v>
      </c>
      <c r="E18" s="165">
        <v>10.69</v>
      </c>
      <c r="F18" s="152" t="s">
        <v>15</v>
      </c>
      <c r="G18" s="165">
        <v>151.03</v>
      </c>
      <c r="H18" s="165">
        <v>27.41</v>
      </c>
      <c r="I18" s="165">
        <v>10.73</v>
      </c>
      <c r="J18" s="165">
        <v>0.19</v>
      </c>
      <c r="K18" s="165">
        <v>171.7</v>
      </c>
      <c r="L18" s="165">
        <v>17.48</v>
      </c>
      <c r="M18" s="165">
        <v>58.34</v>
      </c>
      <c r="N18" s="165">
        <v>1.6</v>
      </c>
      <c r="O18" s="165">
        <v>0</v>
      </c>
      <c r="P18" s="165">
        <v>0.76</v>
      </c>
      <c r="Q18" s="165">
        <v>13.03</v>
      </c>
      <c r="R18" s="6"/>
      <c r="S18" s="6"/>
      <c r="T18" s="156"/>
      <c r="U18" s="6"/>
    </row>
    <row r="19" spans="1:21" customFormat="1">
      <c r="A19" s="164" t="s">
        <v>1113</v>
      </c>
      <c r="B19" s="165">
        <v>24.74</v>
      </c>
      <c r="C19" s="165">
        <v>28.14</v>
      </c>
      <c r="D19" s="165">
        <v>35.89</v>
      </c>
      <c r="E19" s="165">
        <v>10.87</v>
      </c>
      <c r="F19" s="152" t="s">
        <v>15</v>
      </c>
      <c r="G19" s="165">
        <v>150.91</v>
      </c>
      <c r="H19" s="165">
        <v>27.39</v>
      </c>
      <c r="I19" s="165">
        <v>10.58</v>
      </c>
      <c r="J19" s="165">
        <v>0.15</v>
      </c>
      <c r="K19" s="165">
        <v>178.37</v>
      </c>
      <c r="L19" s="165">
        <v>16.829999999999998</v>
      </c>
      <c r="M19" s="165">
        <v>55.67</v>
      </c>
      <c r="N19" s="165">
        <v>1</v>
      </c>
      <c r="O19" s="165">
        <v>0</v>
      </c>
      <c r="P19" s="165">
        <v>0.74</v>
      </c>
      <c r="Q19" s="165">
        <v>13.04</v>
      </c>
      <c r="R19" s="6"/>
      <c r="S19" s="6"/>
      <c r="T19" s="156"/>
      <c r="U19" s="6"/>
    </row>
    <row r="20" spans="1:21" customFormat="1">
      <c r="A20" s="164" t="s">
        <v>1114</v>
      </c>
      <c r="B20" s="165">
        <v>24.63</v>
      </c>
      <c r="C20" s="165">
        <v>27.99</v>
      </c>
      <c r="D20" s="165">
        <v>35.72</v>
      </c>
      <c r="E20" s="165">
        <v>10.39</v>
      </c>
      <c r="F20" s="152" t="s">
        <v>15</v>
      </c>
      <c r="G20" s="165">
        <v>147.38999999999999</v>
      </c>
      <c r="H20" s="165">
        <v>26.51</v>
      </c>
      <c r="I20" s="165">
        <v>10.41</v>
      </c>
      <c r="J20" s="165">
        <v>0.12</v>
      </c>
      <c r="K20" s="165">
        <v>149.4</v>
      </c>
      <c r="L20" s="165">
        <v>16.600000000000001</v>
      </c>
      <c r="M20" s="165">
        <v>59.62</v>
      </c>
      <c r="N20" s="165">
        <v>1</v>
      </c>
      <c r="O20" s="165">
        <v>0</v>
      </c>
      <c r="P20" s="165">
        <v>0.74</v>
      </c>
      <c r="Q20" s="165">
        <v>13.02</v>
      </c>
      <c r="R20" s="6"/>
      <c r="S20" s="6"/>
      <c r="T20" s="156"/>
      <c r="U20" s="6"/>
    </row>
    <row r="21" spans="1:21" customFormat="1">
      <c r="A21" s="164" t="s">
        <v>1115</v>
      </c>
      <c r="B21" s="165">
        <v>25.17</v>
      </c>
      <c r="C21" s="165">
        <v>28.08</v>
      </c>
      <c r="D21" s="165">
        <v>36.21</v>
      </c>
      <c r="E21" s="165">
        <v>10.56</v>
      </c>
      <c r="F21" s="152" t="s">
        <v>15</v>
      </c>
      <c r="G21" s="165">
        <v>147.38999999999999</v>
      </c>
      <c r="H21" s="165">
        <v>26.51</v>
      </c>
      <c r="I21" s="165">
        <v>10.26</v>
      </c>
      <c r="J21" s="165">
        <v>0.14000000000000001</v>
      </c>
      <c r="K21" s="165">
        <v>151.91</v>
      </c>
      <c r="L21" s="165">
        <v>16.48</v>
      </c>
      <c r="M21" s="165">
        <v>56.32</v>
      </c>
      <c r="N21" s="165">
        <v>0.7</v>
      </c>
      <c r="O21" s="165">
        <v>0</v>
      </c>
      <c r="P21" s="165">
        <v>0.73</v>
      </c>
      <c r="Q21" s="165">
        <v>13.03</v>
      </c>
      <c r="R21" s="6"/>
      <c r="S21" s="6"/>
      <c r="T21" s="156"/>
      <c r="U21" s="6"/>
    </row>
    <row r="22" spans="1:21" customFormat="1">
      <c r="A22" s="164" t="s">
        <v>1116</v>
      </c>
      <c r="B22" s="165">
        <v>26.45</v>
      </c>
      <c r="C22" s="165">
        <v>28.12</v>
      </c>
      <c r="D22" s="165">
        <v>37.25</v>
      </c>
      <c r="E22" s="165">
        <v>10.86</v>
      </c>
      <c r="F22" s="152" t="s">
        <v>15</v>
      </c>
      <c r="G22" s="165">
        <v>147.38999999999999</v>
      </c>
      <c r="H22" s="165">
        <v>26.51</v>
      </c>
      <c r="I22" s="165">
        <v>10.15</v>
      </c>
      <c r="J22" s="165">
        <v>0.13</v>
      </c>
      <c r="K22" s="165">
        <v>92.78</v>
      </c>
      <c r="L22" s="165">
        <v>16.48</v>
      </c>
      <c r="M22" s="165">
        <v>51.3</v>
      </c>
      <c r="N22" s="165">
        <v>0.6</v>
      </c>
      <c r="O22" s="165">
        <v>0</v>
      </c>
      <c r="P22" s="165">
        <v>0.73</v>
      </c>
      <c r="Q22" s="165">
        <v>13.04</v>
      </c>
      <c r="R22" s="6"/>
      <c r="S22" s="6"/>
      <c r="T22" s="156"/>
      <c r="U22" s="6"/>
    </row>
    <row r="23" spans="1:21" customFormat="1">
      <c r="A23" s="164" t="s">
        <v>1117</v>
      </c>
      <c r="B23" s="165">
        <v>27.95</v>
      </c>
      <c r="C23" s="165">
        <v>28.54</v>
      </c>
      <c r="D23" s="165">
        <v>38.68</v>
      </c>
      <c r="E23" s="165">
        <v>11.06</v>
      </c>
      <c r="F23" s="152" t="s">
        <v>15</v>
      </c>
      <c r="G23" s="165">
        <v>147.03</v>
      </c>
      <c r="H23" s="165">
        <v>26.43</v>
      </c>
      <c r="I23" s="165">
        <v>10.050000000000001</v>
      </c>
      <c r="J23" s="165">
        <v>0.17</v>
      </c>
      <c r="K23" s="165">
        <v>79.17</v>
      </c>
      <c r="L23" s="165">
        <v>16.86</v>
      </c>
      <c r="M23" s="165">
        <v>47.02</v>
      </c>
      <c r="N23" s="165">
        <v>0.5</v>
      </c>
      <c r="O23" s="165">
        <v>0</v>
      </c>
      <c r="P23" s="165">
        <v>0.78</v>
      </c>
      <c r="Q23" s="165">
        <v>13.04</v>
      </c>
      <c r="R23" s="6"/>
      <c r="S23" s="6"/>
      <c r="T23" s="156"/>
      <c r="U23" s="6"/>
    </row>
    <row r="24" spans="1:21" customFormat="1">
      <c r="A24" s="164" t="s">
        <v>1118</v>
      </c>
      <c r="B24" s="165">
        <v>28.84</v>
      </c>
      <c r="C24" s="165">
        <v>28.79</v>
      </c>
      <c r="D24" s="165">
        <v>39.53</v>
      </c>
      <c r="E24" s="165">
        <v>11.04</v>
      </c>
      <c r="F24" s="152" t="s">
        <v>15</v>
      </c>
      <c r="G24" s="165">
        <v>136.66</v>
      </c>
      <c r="H24" s="165">
        <v>23.62</v>
      </c>
      <c r="I24" s="165">
        <v>9.98</v>
      </c>
      <c r="J24" s="165">
        <v>0.23</v>
      </c>
      <c r="K24" s="165">
        <v>165.41</v>
      </c>
      <c r="L24" s="165">
        <v>16.239999999999998</v>
      </c>
      <c r="M24" s="165">
        <v>59.88</v>
      </c>
      <c r="N24" s="165">
        <v>1.1000000000000001</v>
      </c>
      <c r="O24" s="165">
        <v>0</v>
      </c>
      <c r="P24" s="165">
        <v>0.79</v>
      </c>
      <c r="Q24" s="165">
        <v>13.04</v>
      </c>
      <c r="R24" s="6"/>
      <c r="S24" s="6"/>
      <c r="T24" s="156"/>
      <c r="U24" s="6"/>
    </row>
    <row r="25" spans="1:21" customFormat="1">
      <c r="A25" s="164" t="s">
        <v>1119</v>
      </c>
      <c r="B25" s="165">
        <v>29.01</v>
      </c>
      <c r="C25" s="165">
        <v>28.71</v>
      </c>
      <c r="D25" s="165">
        <v>39.619999999999997</v>
      </c>
      <c r="E25" s="165">
        <v>10.7</v>
      </c>
      <c r="F25" s="152" t="s">
        <v>15</v>
      </c>
      <c r="G25" s="165">
        <v>136.66</v>
      </c>
      <c r="H25" s="165">
        <v>23.62</v>
      </c>
      <c r="I25" s="165">
        <v>9.84</v>
      </c>
      <c r="J25" s="165">
        <v>0.18</v>
      </c>
      <c r="K25" s="165">
        <v>189.25</v>
      </c>
      <c r="L25" s="165">
        <v>15.31</v>
      </c>
      <c r="M25" s="165">
        <v>65.78</v>
      </c>
      <c r="N25" s="165">
        <v>1.3</v>
      </c>
      <c r="O25" s="165">
        <v>0</v>
      </c>
      <c r="P25" s="165">
        <v>0.78</v>
      </c>
      <c r="Q25" s="165">
        <v>13.04</v>
      </c>
      <c r="R25" s="6"/>
      <c r="S25" s="6"/>
      <c r="T25" s="156"/>
      <c r="U25" s="6"/>
    </row>
    <row r="26" spans="1:21" customFormat="1">
      <c r="A26" s="164" t="s">
        <v>1120</v>
      </c>
      <c r="B26" s="165">
        <v>28.47</v>
      </c>
      <c r="C26" s="165">
        <v>28.42</v>
      </c>
      <c r="D26" s="165">
        <v>39.03</v>
      </c>
      <c r="E26" s="165">
        <v>10.24</v>
      </c>
      <c r="F26" s="152" t="s">
        <v>15</v>
      </c>
      <c r="G26" s="165">
        <v>136.66</v>
      </c>
      <c r="H26" s="165">
        <v>23.62</v>
      </c>
      <c r="I26" s="165">
        <v>9.81</v>
      </c>
      <c r="J26" s="165">
        <v>0.17</v>
      </c>
      <c r="K26" s="165">
        <v>165.08</v>
      </c>
      <c r="L26" s="165">
        <v>14.72</v>
      </c>
      <c r="M26" s="165">
        <v>67.900000000000006</v>
      </c>
      <c r="N26" s="165">
        <v>1.1000000000000001</v>
      </c>
      <c r="O26" s="165">
        <v>0</v>
      </c>
      <c r="P26" s="165">
        <v>0.78</v>
      </c>
      <c r="Q26" s="165">
        <v>13.05</v>
      </c>
      <c r="R26" s="6"/>
      <c r="S26" s="6"/>
      <c r="T26" s="156"/>
      <c r="U26" s="6"/>
    </row>
    <row r="27" spans="1:21" customFormat="1">
      <c r="A27" s="164" t="s">
        <v>1121</v>
      </c>
      <c r="B27" s="165">
        <v>27.78</v>
      </c>
      <c r="C27" s="165">
        <v>27.76</v>
      </c>
      <c r="D27" s="165">
        <v>38.130000000000003</v>
      </c>
      <c r="E27" s="165">
        <v>9.65</v>
      </c>
      <c r="F27" s="152" t="s">
        <v>15</v>
      </c>
      <c r="G27" s="165">
        <v>135.88999999999999</v>
      </c>
      <c r="H27" s="165">
        <v>23.51</v>
      </c>
      <c r="I27" s="165">
        <v>9.7200000000000006</v>
      </c>
      <c r="J27" s="165">
        <v>0.17</v>
      </c>
      <c r="K27" s="165">
        <v>184.68</v>
      </c>
      <c r="L27" s="165">
        <v>14.49</v>
      </c>
      <c r="M27" s="165">
        <v>72.319999999999993</v>
      </c>
      <c r="N27" s="165">
        <v>0.9</v>
      </c>
      <c r="O27" s="165">
        <v>0</v>
      </c>
      <c r="P27" s="165">
        <v>0.76</v>
      </c>
      <c r="Q27" s="165">
        <v>13.04</v>
      </c>
      <c r="R27" s="6"/>
      <c r="S27" s="6"/>
      <c r="T27" s="156"/>
      <c r="U27" s="6"/>
    </row>
    <row r="28" spans="1:21" customFormat="1">
      <c r="A28" s="164" t="s">
        <v>1122</v>
      </c>
      <c r="B28" s="165">
        <v>26.8</v>
      </c>
      <c r="C28" s="165">
        <v>26.92</v>
      </c>
      <c r="D28" s="165">
        <v>36.909999999999997</v>
      </c>
      <c r="E28" s="165">
        <v>9.6300000000000008</v>
      </c>
      <c r="F28" s="152" t="s">
        <v>15</v>
      </c>
      <c r="G28" s="165">
        <v>113.75</v>
      </c>
      <c r="H28" s="165">
        <v>20.09</v>
      </c>
      <c r="I28" s="165">
        <v>9.59</v>
      </c>
      <c r="J28" s="165">
        <v>0.2</v>
      </c>
      <c r="K28" s="165">
        <v>207.78</v>
      </c>
      <c r="L28" s="165">
        <v>14.09</v>
      </c>
      <c r="M28" s="165">
        <v>73.69</v>
      </c>
      <c r="N28" s="165">
        <v>1</v>
      </c>
      <c r="O28" s="165">
        <v>0</v>
      </c>
      <c r="P28" s="165">
        <v>0.76</v>
      </c>
      <c r="Q28" s="165">
        <v>13.04</v>
      </c>
      <c r="R28" s="6"/>
      <c r="S28" s="6"/>
      <c r="T28" s="156"/>
      <c r="U28" s="6"/>
    </row>
    <row r="29" spans="1:21" customFormat="1">
      <c r="A29" s="164" t="s">
        <v>1123</v>
      </c>
      <c r="B29" s="165">
        <v>25.81</v>
      </c>
      <c r="C29" s="165">
        <v>26.27</v>
      </c>
      <c r="D29" s="165">
        <v>35.770000000000003</v>
      </c>
      <c r="E29" s="165">
        <v>9.61</v>
      </c>
      <c r="F29" s="152" t="s">
        <v>15</v>
      </c>
      <c r="G29" s="165">
        <v>113.75</v>
      </c>
      <c r="H29" s="165">
        <v>20.09</v>
      </c>
      <c r="I29" s="165">
        <v>9.3800000000000008</v>
      </c>
      <c r="J29" s="165">
        <v>0.14000000000000001</v>
      </c>
      <c r="K29" s="165">
        <v>177.27</v>
      </c>
      <c r="L29" s="165">
        <v>13.87</v>
      </c>
      <c r="M29" s="165">
        <v>73.36</v>
      </c>
      <c r="N29" s="165">
        <v>0.9</v>
      </c>
      <c r="O29" s="165">
        <v>0</v>
      </c>
      <c r="P29" s="165">
        <v>0.75</v>
      </c>
      <c r="Q29" s="165">
        <v>13.03</v>
      </c>
      <c r="R29" s="6"/>
      <c r="S29" s="6"/>
      <c r="T29" s="156"/>
      <c r="U29" s="6"/>
    </row>
    <row r="30" spans="1:21" customFormat="1">
      <c r="A30" s="164" t="s">
        <v>1124</v>
      </c>
      <c r="B30" s="165">
        <v>24.72</v>
      </c>
      <c r="C30" s="165">
        <v>25.75</v>
      </c>
      <c r="D30" s="165">
        <v>34.619999999999997</v>
      </c>
      <c r="E30" s="165">
        <v>9.85</v>
      </c>
      <c r="F30" s="152" t="s">
        <v>15</v>
      </c>
      <c r="G30" s="165">
        <v>113.75</v>
      </c>
      <c r="H30" s="165">
        <v>20.09</v>
      </c>
      <c r="I30" s="165">
        <v>9.2899999999999991</v>
      </c>
      <c r="J30" s="165">
        <v>0.12</v>
      </c>
      <c r="K30" s="165">
        <v>216.06</v>
      </c>
      <c r="L30" s="165">
        <v>13.76</v>
      </c>
      <c r="M30" s="165">
        <v>69.81</v>
      </c>
      <c r="N30" s="165">
        <v>0.6</v>
      </c>
      <c r="O30" s="165">
        <v>0</v>
      </c>
      <c r="P30" s="165">
        <v>0.74</v>
      </c>
      <c r="Q30" s="165">
        <v>13.02</v>
      </c>
      <c r="R30" s="6"/>
      <c r="S30" s="6"/>
      <c r="T30" s="156"/>
      <c r="U30" s="6"/>
    </row>
    <row r="31" spans="1:21" customFormat="1">
      <c r="A31" s="164" t="s">
        <v>1125</v>
      </c>
      <c r="B31" s="165">
        <v>23.78</v>
      </c>
      <c r="C31" s="165">
        <v>25.5</v>
      </c>
      <c r="D31" s="165">
        <v>33.74</v>
      </c>
      <c r="E31" s="165">
        <v>9.67</v>
      </c>
      <c r="F31" s="152" t="s">
        <v>15</v>
      </c>
      <c r="G31" s="165">
        <v>113.2</v>
      </c>
      <c r="H31" s="165">
        <v>20.02</v>
      </c>
      <c r="I31" s="165">
        <v>9.25</v>
      </c>
      <c r="J31" s="165">
        <v>0.18</v>
      </c>
      <c r="K31" s="165">
        <v>185.55</v>
      </c>
      <c r="L31" s="165">
        <v>13.59</v>
      </c>
      <c r="M31" s="165">
        <v>72.94</v>
      </c>
      <c r="N31" s="165">
        <v>0.9</v>
      </c>
      <c r="O31" s="165">
        <v>0</v>
      </c>
      <c r="P31" s="165">
        <v>0.74</v>
      </c>
      <c r="Q31" s="165">
        <v>13.01</v>
      </c>
      <c r="R31" s="6"/>
      <c r="S31" s="6"/>
      <c r="T31" s="156"/>
      <c r="U31" s="6"/>
    </row>
    <row r="32" spans="1:21" customFormat="1">
      <c r="A32" s="164" t="s">
        <v>1126</v>
      </c>
      <c r="B32" s="165">
        <v>22.84</v>
      </c>
      <c r="C32" s="165">
        <v>25.09</v>
      </c>
      <c r="D32" s="165">
        <v>32.770000000000003</v>
      </c>
      <c r="E32" s="165">
        <v>9.7200000000000006</v>
      </c>
      <c r="F32" s="152" t="s">
        <v>15</v>
      </c>
      <c r="G32" s="165">
        <v>101.29</v>
      </c>
      <c r="H32" s="165">
        <v>17.760000000000002</v>
      </c>
      <c r="I32" s="165">
        <v>9.15</v>
      </c>
      <c r="J32" s="165">
        <v>0.17</v>
      </c>
      <c r="K32" s="165">
        <v>159.38</v>
      </c>
      <c r="L32" s="165">
        <v>13.29</v>
      </c>
      <c r="M32" s="165">
        <v>77.17</v>
      </c>
      <c r="N32" s="165">
        <v>1</v>
      </c>
      <c r="O32" s="165">
        <v>0</v>
      </c>
      <c r="P32" s="165">
        <v>0.73</v>
      </c>
      <c r="Q32" s="165">
        <v>13.02</v>
      </c>
      <c r="R32" s="6"/>
      <c r="S32" s="6"/>
      <c r="T32" s="156"/>
      <c r="U32" s="6"/>
    </row>
    <row r="33" spans="1:21" customFormat="1">
      <c r="A33" s="164" t="s">
        <v>1127</v>
      </c>
      <c r="B33" s="165">
        <v>21.99</v>
      </c>
      <c r="C33" s="165">
        <v>24.59</v>
      </c>
      <c r="D33" s="165">
        <v>31.83</v>
      </c>
      <c r="E33" s="165">
        <v>9.11</v>
      </c>
      <c r="F33" s="152" t="s">
        <v>15</v>
      </c>
      <c r="G33" s="165">
        <v>101.29</v>
      </c>
      <c r="H33" s="165">
        <v>17.760000000000002</v>
      </c>
      <c r="I33" s="165">
        <v>9.0399999999999991</v>
      </c>
      <c r="J33" s="165">
        <v>0.18</v>
      </c>
      <c r="K33" s="165">
        <v>146.5</v>
      </c>
      <c r="L33" s="165">
        <v>13.34</v>
      </c>
      <c r="M33" s="165">
        <v>76.540000000000006</v>
      </c>
      <c r="N33" s="165">
        <v>0.7</v>
      </c>
      <c r="O33" s="165">
        <v>0</v>
      </c>
      <c r="P33" s="165">
        <v>0.73</v>
      </c>
      <c r="Q33" s="165">
        <v>13.02</v>
      </c>
      <c r="R33" s="6"/>
      <c r="S33" s="6"/>
      <c r="T33" s="156"/>
      <c r="U33" s="6"/>
    </row>
    <row r="34" spans="1:21" customFormat="1">
      <c r="A34" s="164" t="s">
        <v>1128</v>
      </c>
      <c r="B34" s="165">
        <v>21.19</v>
      </c>
      <c r="C34" s="165">
        <v>24.08</v>
      </c>
      <c r="D34" s="165">
        <v>30.92</v>
      </c>
      <c r="E34" s="165">
        <v>9.31</v>
      </c>
      <c r="F34" s="152" t="s">
        <v>15</v>
      </c>
      <c r="G34" s="165">
        <v>101.29</v>
      </c>
      <c r="H34" s="165">
        <v>17.760000000000002</v>
      </c>
      <c r="I34" s="165">
        <v>8.9499999999999993</v>
      </c>
      <c r="J34" s="165">
        <v>0.19</v>
      </c>
      <c r="K34" s="165">
        <v>180.47</v>
      </c>
      <c r="L34" s="165">
        <v>13.38</v>
      </c>
      <c r="M34" s="165">
        <v>74.7</v>
      </c>
      <c r="N34" s="165">
        <v>1.2</v>
      </c>
      <c r="O34" s="165">
        <v>0</v>
      </c>
      <c r="P34" s="165">
        <v>0.72</v>
      </c>
      <c r="Q34" s="165">
        <v>13.03</v>
      </c>
      <c r="R34" s="6"/>
      <c r="S34" s="6"/>
      <c r="T34" s="156"/>
      <c r="U34" s="6"/>
    </row>
    <row r="35" spans="1:21" customFormat="1">
      <c r="A35" s="164" t="s">
        <v>1129</v>
      </c>
      <c r="B35" s="165">
        <v>20.47</v>
      </c>
      <c r="C35" s="165">
        <v>23.66</v>
      </c>
      <c r="D35" s="165">
        <v>30.13</v>
      </c>
      <c r="E35" s="165">
        <v>9.2100000000000009</v>
      </c>
      <c r="F35" s="152" t="s">
        <v>15</v>
      </c>
      <c r="G35" s="165">
        <v>100.61</v>
      </c>
      <c r="H35" s="165">
        <v>17.739999999999998</v>
      </c>
      <c r="I35" s="165">
        <v>8.86</v>
      </c>
      <c r="J35" s="165">
        <v>0.13</v>
      </c>
      <c r="K35" s="165">
        <v>178.26</v>
      </c>
      <c r="L35" s="165">
        <v>13.09</v>
      </c>
      <c r="M35" s="165">
        <v>76.44</v>
      </c>
      <c r="N35" s="165">
        <v>3.7</v>
      </c>
      <c r="O35" s="165">
        <v>0</v>
      </c>
      <c r="P35" s="165">
        <v>0.72</v>
      </c>
      <c r="Q35" s="165">
        <v>13.01</v>
      </c>
      <c r="R35" s="6"/>
      <c r="S35" s="6"/>
      <c r="T35" s="156"/>
      <c r="U35" s="6"/>
    </row>
    <row r="36" spans="1:21" customFormat="1">
      <c r="A36" s="164" t="s">
        <v>1130</v>
      </c>
      <c r="B36" s="165">
        <v>19.850000000000001</v>
      </c>
      <c r="C36" s="165">
        <v>23.34</v>
      </c>
      <c r="D36" s="165">
        <v>29.47</v>
      </c>
      <c r="E36" s="165">
        <v>8.98</v>
      </c>
      <c r="F36" s="152" t="s">
        <v>15</v>
      </c>
      <c r="G36" s="165">
        <v>81.010000000000005</v>
      </c>
      <c r="H36" s="165">
        <v>17.170000000000002</v>
      </c>
      <c r="I36" s="165">
        <v>8.82</v>
      </c>
      <c r="J36" s="165">
        <v>0.16</v>
      </c>
      <c r="K36" s="165">
        <v>170.97</v>
      </c>
      <c r="L36" s="165">
        <v>13.3</v>
      </c>
      <c r="M36" s="165">
        <v>77.650000000000006</v>
      </c>
      <c r="N36" s="165">
        <v>7.4</v>
      </c>
      <c r="O36" s="165">
        <v>0</v>
      </c>
      <c r="P36" s="165">
        <v>0.73</v>
      </c>
      <c r="Q36" s="165">
        <v>13</v>
      </c>
      <c r="R36" s="6"/>
      <c r="S36" s="6"/>
      <c r="T36" s="156"/>
      <c r="U36" s="6"/>
    </row>
    <row r="37" spans="1:21" customFormat="1">
      <c r="A37" s="164" t="s">
        <v>1131</v>
      </c>
      <c r="B37" s="165">
        <v>19.23</v>
      </c>
      <c r="C37" s="165">
        <v>23.1</v>
      </c>
      <c r="D37" s="165">
        <v>28.84</v>
      </c>
      <c r="E37" s="165">
        <v>9.1199999999999992</v>
      </c>
      <c r="F37" s="152" t="s">
        <v>15</v>
      </c>
      <c r="G37" s="165">
        <v>81.010000000000005</v>
      </c>
      <c r="H37" s="165">
        <v>17.170000000000002</v>
      </c>
      <c r="I37" s="165">
        <v>8.74</v>
      </c>
      <c r="J37" s="165">
        <v>0.11</v>
      </c>
      <c r="K37" s="165">
        <v>158.31</v>
      </c>
      <c r="L37" s="165">
        <v>13.46</v>
      </c>
      <c r="M37" s="165">
        <v>78.38</v>
      </c>
      <c r="N37" s="165">
        <v>12.5</v>
      </c>
      <c r="O37" s="165">
        <v>0</v>
      </c>
      <c r="P37" s="165">
        <v>0.74</v>
      </c>
      <c r="Q37" s="165">
        <v>12.99</v>
      </c>
      <c r="R37" s="6"/>
      <c r="S37" s="6"/>
      <c r="T37" s="156"/>
      <c r="U37" s="6"/>
    </row>
    <row r="38" spans="1:21" customFormat="1">
      <c r="A38" s="164" t="s">
        <v>1132</v>
      </c>
      <c r="B38" s="165">
        <v>18.739999999999998</v>
      </c>
      <c r="C38" s="165">
        <v>22.74</v>
      </c>
      <c r="D38" s="165">
        <v>28.26</v>
      </c>
      <c r="E38" s="165">
        <v>9.0399999999999991</v>
      </c>
      <c r="F38" s="152" t="s">
        <v>15</v>
      </c>
      <c r="G38" s="165">
        <v>81.010000000000005</v>
      </c>
      <c r="H38" s="165">
        <v>17.170000000000002</v>
      </c>
      <c r="I38" s="165">
        <v>8.76</v>
      </c>
      <c r="J38" s="165">
        <v>0.1</v>
      </c>
      <c r="K38" s="165">
        <v>160.38999999999999</v>
      </c>
      <c r="L38" s="165">
        <v>14.04</v>
      </c>
      <c r="M38" s="165">
        <v>76.06</v>
      </c>
      <c r="N38" s="165">
        <v>22.7</v>
      </c>
      <c r="O38" s="165">
        <v>0</v>
      </c>
      <c r="P38" s="165">
        <v>0.75</v>
      </c>
      <c r="Q38" s="165">
        <v>12.99</v>
      </c>
      <c r="R38" s="6"/>
      <c r="S38" s="6"/>
      <c r="T38" s="156"/>
      <c r="U38" s="6"/>
    </row>
    <row r="39" spans="1:21" customFormat="1">
      <c r="A39" s="164" t="s">
        <v>1133</v>
      </c>
      <c r="B39" s="165">
        <v>18.41</v>
      </c>
      <c r="C39" s="165">
        <v>22.65</v>
      </c>
      <c r="D39" s="165">
        <v>27.95</v>
      </c>
      <c r="E39" s="165">
        <v>9.09</v>
      </c>
      <c r="F39" s="152" t="s">
        <v>15</v>
      </c>
      <c r="G39" s="165">
        <v>80.94</v>
      </c>
      <c r="H39" s="165">
        <v>17.170000000000002</v>
      </c>
      <c r="I39" s="165">
        <v>8.7899999999999991</v>
      </c>
      <c r="J39" s="165">
        <v>0.09</v>
      </c>
      <c r="K39" s="165">
        <v>167.35</v>
      </c>
      <c r="L39" s="165">
        <v>15.06</v>
      </c>
      <c r="M39" s="165">
        <v>68.02</v>
      </c>
      <c r="N39" s="165">
        <v>26.9</v>
      </c>
      <c r="O39" s="165">
        <v>0</v>
      </c>
      <c r="P39" s="165">
        <v>0.77</v>
      </c>
      <c r="Q39" s="165">
        <v>12.98</v>
      </c>
      <c r="R39" s="6"/>
      <c r="S39" s="6"/>
      <c r="T39" s="156"/>
      <c r="U39" s="6"/>
    </row>
    <row r="40" spans="1:21" customFormat="1">
      <c r="A40" s="164" t="s">
        <v>1134</v>
      </c>
      <c r="B40" s="165">
        <v>18.14</v>
      </c>
      <c r="C40" s="165">
        <v>23.1</v>
      </c>
      <c r="D40" s="165">
        <v>27.97</v>
      </c>
      <c r="E40" s="165">
        <v>9.5</v>
      </c>
      <c r="F40" s="152" t="s">
        <v>15</v>
      </c>
      <c r="G40" s="165">
        <v>78.91</v>
      </c>
      <c r="H40" s="165">
        <v>17.16</v>
      </c>
      <c r="I40" s="165">
        <v>8.85</v>
      </c>
      <c r="J40" s="165">
        <v>7.0000000000000007E-2</v>
      </c>
      <c r="K40" s="165">
        <v>172.93</v>
      </c>
      <c r="L40" s="165">
        <v>16.34</v>
      </c>
      <c r="M40" s="165">
        <v>63.4</v>
      </c>
      <c r="N40" s="165">
        <v>31</v>
      </c>
      <c r="O40" s="165">
        <v>0</v>
      </c>
      <c r="P40" s="165">
        <v>0.78</v>
      </c>
      <c r="Q40" s="165">
        <v>13</v>
      </c>
      <c r="R40" s="6"/>
      <c r="S40" s="6"/>
      <c r="T40" s="156"/>
      <c r="U40" s="6"/>
    </row>
    <row r="41" spans="1:21" customFormat="1">
      <c r="A41" s="164" t="s">
        <v>1135</v>
      </c>
      <c r="B41" s="165">
        <v>17.71</v>
      </c>
      <c r="C41" s="165">
        <v>23.83</v>
      </c>
      <c r="D41" s="165">
        <v>28</v>
      </c>
      <c r="E41" s="165">
        <v>9.2899999999999991</v>
      </c>
      <c r="F41" s="152" t="s">
        <v>15</v>
      </c>
      <c r="G41" s="165">
        <v>78.91</v>
      </c>
      <c r="H41" s="165">
        <v>17.16</v>
      </c>
      <c r="I41" s="165">
        <v>8.99</v>
      </c>
      <c r="J41" s="165">
        <v>0.1</v>
      </c>
      <c r="K41" s="165">
        <v>143.74</v>
      </c>
      <c r="L41" s="165">
        <v>17.760000000000002</v>
      </c>
      <c r="M41" s="165">
        <v>50.72</v>
      </c>
      <c r="N41" s="165">
        <v>115.2</v>
      </c>
      <c r="O41" s="165">
        <v>0</v>
      </c>
      <c r="P41" s="165">
        <v>0.76</v>
      </c>
      <c r="Q41" s="165">
        <v>12.99</v>
      </c>
      <c r="R41" s="6"/>
      <c r="S41" s="6"/>
      <c r="T41" s="156"/>
      <c r="U41" s="6"/>
    </row>
    <row r="42" spans="1:21" customFormat="1">
      <c r="A42" s="164" t="s">
        <v>1136</v>
      </c>
      <c r="B42" s="165">
        <v>16.89</v>
      </c>
      <c r="C42" s="165">
        <v>24.44</v>
      </c>
      <c r="D42" s="165">
        <v>27.66</v>
      </c>
      <c r="E42" s="165">
        <v>9.7100000000000009</v>
      </c>
      <c r="F42" s="152" t="s">
        <v>15</v>
      </c>
      <c r="G42" s="165">
        <v>78.91</v>
      </c>
      <c r="H42" s="165">
        <v>17.16</v>
      </c>
      <c r="I42" s="165">
        <v>9.16</v>
      </c>
      <c r="J42" s="165">
        <v>0.3</v>
      </c>
      <c r="K42" s="165">
        <v>64.52</v>
      </c>
      <c r="L42" s="165">
        <v>19.72</v>
      </c>
      <c r="M42" s="165">
        <v>38.39</v>
      </c>
      <c r="N42" s="165">
        <v>222.4</v>
      </c>
      <c r="O42" s="165">
        <v>0</v>
      </c>
      <c r="P42" s="165">
        <v>0.71</v>
      </c>
      <c r="Q42" s="165">
        <v>13</v>
      </c>
      <c r="R42" s="6"/>
      <c r="S42" s="6"/>
      <c r="T42" s="156"/>
      <c r="U42" s="6"/>
    </row>
    <row r="43" spans="1:21" customFormat="1">
      <c r="A43" s="164" t="s">
        <v>1137</v>
      </c>
      <c r="B43" s="165">
        <v>16.11</v>
      </c>
      <c r="C43" s="165">
        <v>25.04</v>
      </c>
      <c r="D43" s="165">
        <v>27.35</v>
      </c>
      <c r="E43" s="165">
        <v>9.5</v>
      </c>
      <c r="F43" s="152" t="s">
        <v>15</v>
      </c>
      <c r="G43" s="165">
        <v>78.849999999999994</v>
      </c>
      <c r="H43" s="165">
        <v>17.239999999999998</v>
      </c>
      <c r="I43" s="165">
        <v>9.2899999999999991</v>
      </c>
      <c r="J43" s="165">
        <v>0.85</v>
      </c>
      <c r="K43" s="165">
        <v>53.32</v>
      </c>
      <c r="L43" s="165">
        <v>20.91</v>
      </c>
      <c r="M43" s="165">
        <v>33.15</v>
      </c>
      <c r="N43" s="165">
        <v>259.2</v>
      </c>
      <c r="O43" s="165">
        <v>0</v>
      </c>
      <c r="P43" s="165">
        <v>0.7</v>
      </c>
      <c r="Q43" s="165">
        <v>13.01</v>
      </c>
      <c r="R43" s="6"/>
      <c r="S43" s="6"/>
      <c r="T43" s="156"/>
      <c r="U43" s="6"/>
    </row>
    <row r="44" spans="1:21" customFormat="1">
      <c r="A44" s="164" t="s">
        <v>1138</v>
      </c>
      <c r="B44" s="165">
        <v>15.31</v>
      </c>
      <c r="C44" s="165">
        <v>25.69</v>
      </c>
      <c r="D44" s="165">
        <v>27.05</v>
      </c>
      <c r="E44" s="165">
        <v>9.36</v>
      </c>
      <c r="F44" s="152" t="s">
        <v>15</v>
      </c>
      <c r="G44" s="165">
        <v>77.040000000000006</v>
      </c>
      <c r="H44" s="165">
        <v>20.02</v>
      </c>
      <c r="I44" s="165">
        <v>9.41</v>
      </c>
      <c r="J44" s="165">
        <v>0.56000000000000005</v>
      </c>
      <c r="K44" s="165">
        <v>63.27</v>
      </c>
      <c r="L44" s="165">
        <v>22.22</v>
      </c>
      <c r="M44" s="165">
        <v>31.63</v>
      </c>
      <c r="N44" s="165">
        <v>264.10000000000002</v>
      </c>
      <c r="O44" s="165">
        <v>0</v>
      </c>
      <c r="P44" s="165">
        <v>0.72</v>
      </c>
      <c r="Q44" s="165">
        <v>13.02</v>
      </c>
      <c r="R44" s="6"/>
      <c r="S44" s="6"/>
      <c r="T44" s="156"/>
      <c r="U44" s="6"/>
    </row>
    <row r="45" spans="1:21" customFormat="1">
      <c r="A45" s="164" t="s">
        <v>1139</v>
      </c>
      <c r="B45" s="165">
        <v>14.26</v>
      </c>
      <c r="C45" s="165">
        <v>26.34</v>
      </c>
      <c r="D45" s="165">
        <v>26.54</v>
      </c>
      <c r="E45" s="165">
        <v>10.15</v>
      </c>
      <c r="F45" s="152" t="s">
        <v>15</v>
      </c>
      <c r="G45" s="165">
        <v>77.040000000000006</v>
      </c>
      <c r="H45" s="165">
        <v>20.02</v>
      </c>
      <c r="I45" s="165">
        <v>9.65</v>
      </c>
      <c r="J45" s="165">
        <v>0.44</v>
      </c>
      <c r="K45" s="165">
        <v>97.96</v>
      </c>
      <c r="L45" s="165">
        <v>23.84</v>
      </c>
      <c r="M45" s="165">
        <v>27.53</v>
      </c>
      <c r="N45" s="165">
        <v>246.6</v>
      </c>
      <c r="O45" s="165">
        <v>0</v>
      </c>
      <c r="P45" s="165">
        <v>0.73</v>
      </c>
      <c r="Q45" s="165">
        <v>13</v>
      </c>
      <c r="R45" s="6"/>
      <c r="S45" s="6"/>
      <c r="T45" s="156"/>
      <c r="U45" s="6"/>
    </row>
    <row r="46" spans="1:21" customFormat="1">
      <c r="A46" s="164" t="s">
        <v>1140</v>
      </c>
      <c r="B46" s="165">
        <v>12.79</v>
      </c>
      <c r="C46" s="165">
        <v>26.64</v>
      </c>
      <c r="D46" s="165">
        <v>25.53</v>
      </c>
      <c r="E46" s="165">
        <v>10.26</v>
      </c>
      <c r="F46" s="152" t="s">
        <v>15</v>
      </c>
      <c r="G46" s="165">
        <v>77.040000000000006</v>
      </c>
      <c r="H46" s="165">
        <v>20.02</v>
      </c>
      <c r="I46" s="165">
        <v>9.9</v>
      </c>
      <c r="J46" s="165">
        <v>0.44</v>
      </c>
      <c r="K46" s="165">
        <v>89.16</v>
      </c>
      <c r="L46" s="165">
        <v>24.92</v>
      </c>
      <c r="M46" s="165">
        <v>24.11</v>
      </c>
      <c r="N46" s="165">
        <v>342.8</v>
      </c>
      <c r="O46" s="165">
        <v>0</v>
      </c>
      <c r="P46" s="165">
        <v>0.72</v>
      </c>
      <c r="Q46" s="165">
        <v>12.99</v>
      </c>
      <c r="R46" s="6"/>
      <c r="S46" s="6"/>
      <c r="T46" s="156"/>
      <c r="U46" s="6"/>
    </row>
    <row r="47" spans="1:21" customFormat="1">
      <c r="A47" s="164" t="s">
        <v>1141</v>
      </c>
      <c r="B47" s="165">
        <v>11.17</v>
      </c>
      <c r="C47" s="165">
        <v>26.88</v>
      </c>
      <c r="D47" s="165">
        <v>24.35</v>
      </c>
      <c r="E47" s="165">
        <v>10.44</v>
      </c>
      <c r="F47" s="152" t="s">
        <v>15</v>
      </c>
      <c r="G47" s="165">
        <v>76.92</v>
      </c>
      <c r="H47" s="165">
        <v>20.23</v>
      </c>
      <c r="I47" s="165">
        <v>10.029999999999999</v>
      </c>
      <c r="J47" s="165">
        <v>0.53</v>
      </c>
      <c r="K47" s="165">
        <v>60.36</v>
      </c>
      <c r="L47" s="165">
        <v>25.4</v>
      </c>
      <c r="M47" s="165">
        <v>23.84</v>
      </c>
      <c r="N47" s="165">
        <v>355.2</v>
      </c>
      <c r="O47" s="165">
        <v>0</v>
      </c>
      <c r="P47" s="165">
        <v>0.71</v>
      </c>
      <c r="Q47" s="165">
        <v>13</v>
      </c>
      <c r="R47" s="6"/>
      <c r="S47" s="6"/>
      <c r="T47" s="156"/>
      <c r="U47" s="6"/>
    </row>
    <row r="48" spans="1:21" customFormat="1">
      <c r="A48" s="164" t="s">
        <v>1142</v>
      </c>
      <c r="B48" s="165">
        <v>9.75</v>
      </c>
      <c r="C48" s="165">
        <v>27.02</v>
      </c>
      <c r="D48" s="165">
        <v>23.29</v>
      </c>
      <c r="E48" s="165">
        <v>10.15</v>
      </c>
      <c r="F48" s="152" t="s">
        <v>15</v>
      </c>
      <c r="G48" s="165">
        <v>73.48</v>
      </c>
      <c r="H48" s="165">
        <v>26.97</v>
      </c>
      <c r="I48" s="165">
        <v>10.16</v>
      </c>
      <c r="J48" s="165">
        <v>0.56999999999999995</v>
      </c>
      <c r="K48" s="165">
        <v>76.349999999999994</v>
      </c>
      <c r="L48" s="165">
        <v>26.06</v>
      </c>
      <c r="M48" s="165">
        <v>22.81</v>
      </c>
      <c r="N48" s="165">
        <v>363.6</v>
      </c>
      <c r="O48" s="165">
        <v>0</v>
      </c>
      <c r="P48" s="165">
        <v>0.7</v>
      </c>
      <c r="Q48" s="165">
        <v>12.99</v>
      </c>
      <c r="R48" s="6"/>
      <c r="S48" s="6"/>
      <c r="T48" s="156"/>
      <c r="U48" s="6"/>
    </row>
    <row r="49" spans="1:21" customFormat="1">
      <c r="A49" s="164" t="s">
        <v>1143</v>
      </c>
      <c r="B49" s="165">
        <v>8.42</v>
      </c>
      <c r="C49" s="165">
        <v>26.99</v>
      </c>
      <c r="D49" s="165">
        <v>22.21</v>
      </c>
      <c r="E49" s="165">
        <v>7.41</v>
      </c>
      <c r="F49" s="152" t="s">
        <v>15</v>
      </c>
      <c r="G49" s="165">
        <v>73.48</v>
      </c>
      <c r="H49" s="165">
        <v>26.97</v>
      </c>
      <c r="I49" s="165">
        <v>10.199999999999999</v>
      </c>
      <c r="J49" s="165">
        <v>0.44</v>
      </c>
      <c r="K49" s="165">
        <v>66.73</v>
      </c>
      <c r="L49" s="165">
        <v>26.85</v>
      </c>
      <c r="M49" s="165">
        <v>21.98</v>
      </c>
      <c r="N49" s="165">
        <v>253.1</v>
      </c>
      <c r="O49" s="165">
        <v>0</v>
      </c>
      <c r="P49" s="165">
        <v>0.69</v>
      </c>
      <c r="Q49" s="165">
        <v>12.98</v>
      </c>
      <c r="R49" s="6"/>
      <c r="S49" s="6"/>
      <c r="T49" s="156"/>
      <c r="U49" s="6"/>
    </row>
    <row r="50" spans="1:21" customFormat="1">
      <c r="A50" s="164" t="s">
        <v>1144</v>
      </c>
      <c r="B50" s="165">
        <v>7.1</v>
      </c>
      <c r="C50" s="165">
        <v>26.93</v>
      </c>
      <c r="D50" s="165">
        <v>21.11</v>
      </c>
      <c r="E50" s="165">
        <v>9.8699999999999992</v>
      </c>
      <c r="F50" s="152" t="s">
        <v>15</v>
      </c>
      <c r="G50" s="165">
        <v>73.48</v>
      </c>
      <c r="H50" s="165">
        <v>26.97</v>
      </c>
      <c r="I50" s="165">
        <v>10.199999999999999</v>
      </c>
      <c r="J50" s="165">
        <v>0.49</v>
      </c>
      <c r="K50" s="165">
        <v>74.98</v>
      </c>
      <c r="L50" s="165">
        <v>27.66</v>
      </c>
      <c r="M50" s="165">
        <v>21.11</v>
      </c>
      <c r="N50" s="165">
        <v>370.2</v>
      </c>
      <c r="O50" s="165">
        <v>0</v>
      </c>
      <c r="P50" s="165">
        <v>0.69</v>
      </c>
      <c r="Q50" s="165">
        <v>12.97</v>
      </c>
      <c r="R50" s="6"/>
      <c r="S50" s="6"/>
      <c r="T50" s="156"/>
      <c r="U50" s="6"/>
    </row>
    <row r="51" spans="1:21" customFormat="1">
      <c r="A51" s="164" t="s">
        <v>1145</v>
      </c>
      <c r="B51" s="165">
        <v>5.99</v>
      </c>
      <c r="C51" s="165">
        <v>26.88</v>
      </c>
      <c r="D51" s="165">
        <v>20.2</v>
      </c>
      <c r="E51" s="165">
        <v>10.4</v>
      </c>
      <c r="F51" s="152" t="s">
        <v>15</v>
      </c>
      <c r="G51" s="165">
        <v>72.97</v>
      </c>
      <c r="H51" s="165">
        <v>27.16</v>
      </c>
      <c r="I51" s="165">
        <v>10.14</v>
      </c>
      <c r="J51" s="165">
        <v>0.69</v>
      </c>
      <c r="K51" s="165">
        <v>62.17</v>
      </c>
      <c r="L51" s="165">
        <v>28.22</v>
      </c>
      <c r="M51" s="165">
        <v>20.21</v>
      </c>
      <c r="N51" s="165">
        <v>390.5</v>
      </c>
      <c r="O51" s="165">
        <v>0</v>
      </c>
      <c r="P51" s="165">
        <v>0.67</v>
      </c>
      <c r="Q51" s="165">
        <v>12.97</v>
      </c>
      <c r="R51" s="6"/>
      <c r="S51" s="6"/>
      <c r="T51" s="156"/>
      <c r="U51" s="6"/>
    </row>
    <row r="52" spans="1:21" customFormat="1">
      <c r="A52" s="164" t="s">
        <v>1146</v>
      </c>
      <c r="B52" s="165">
        <v>5.17</v>
      </c>
      <c r="C52" s="165">
        <v>26.73</v>
      </c>
      <c r="D52" s="165">
        <v>19.46</v>
      </c>
      <c r="E52" s="165">
        <v>10.43</v>
      </c>
      <c r="F52" s="152" t="s">
        <v>15</v>
      </c>
      <c r="G52" s="165">
        <v>62.17</v>
      </c>
      <c r="H52" s="165">
        <v>33.18</v>
      </c>
      <c r="I52" s="165">
        <v>10.07</v>
      </c>
      <c r="J52" s="165">
        <v>0.75</v>
      </c>
      <c r="K52" s="165">
        <v>54.82</v>
      </c>
      <c r="L52" s="165">
        <v>28.26</v>
      </c>
      <c r="M52" s="165">
        <v>19.64</v>
      </c>
      <c r="N52" s="165">
        <v>397.5</v>
      </c>
      <c r="O52" s="165">
        <v>0</v>
      </c>
      <c r="P52" s="165">
        <v>0.68</v>
      </c>
      <c r="Q52" s="165">
        <v>12.97</v>
      </c>
      <c r="R52" s="6"/>
      <c r="S52" s="6"/>
      <c r="T52" s="156"/>
      <c r="U52" s="6"/>
    </row>
    <row r="53" spans="1:21" customFormat="1">
      <c r="A53" s="164" t="s">
        <v>1147</v>
      </c>
      <c r="B53" s="165">
        <v>4.67</v>
      </c>
      <c r="C53" s="165">
        <v>26.53</v>
      </c>
      <c r="D53" s="165">
        <v>18.95</v>
      </c>
      <c r="E53" s="165">
        <v>10.09</v>
      </c>
      <c r="F53" s="152" t="s">
        <v>15</v>
      </c>
      <c r="G53" s="165">
        <v>62.17</v>
      </c>
      <c r="H53" s="165">
        <v>33.18</v>
      </c>
      <c r="I53" s="165">
        <v>9.93</v>
      </c>
      <c r="J53" s="165">
        <v>0.39</v>
      </c>
      <c r="K53" s="165">
        <v>81.39</v>
      </c>
      <c r="L53" s="165">
        <v>29.39</v>
      </c>
      <c r="M53" s="165">
        <v>17.82</v>
      </c>
      <c r="N53" s="165">
        <v>401.1</v>
      </c>
      <c r="O53" s="165">
        <v>0</v>
      </c>
      <c r="P53" s="165">
        <v>0.68</v>
      </c>
      <c r="Q53" s="165">
        <v>12.98</v>
      </c>
      <c r="R53" s="6"/>
      <c r="S53" s="6"/>
      <c r="T53" s="156"/>
      <c r="U53" s="6"/>
    </row>
    <row r="54" spans="1:21" customFormat="1">
      <c r="A54" s="164" t="s">
        <v>1148</v>
      </c>
      <c r="B54" s="165">
        <v>4.28</v>
      </c>
      <c r="C54" s="165">
        <v>25.9</v>
      </c>
      <c r="D54" s="165">
        <v>18.309999999999999</v>
      </c>
      <c r="E54" s="165">
        <v>9.9499999999999993</v>
      </c>
      <c r="F54" s="152" t="s">
        <v>15</v>
      </c>
      <c r="G54" s="165">
        <v>62.17</v>
      </c>
      <c r="H54" s="165">
        <v>33.18</v>
      </c>
      <c r="I54" s="165">
        <v>9.84</v>
      </c>
      <c r="J54" s="165">
        <v>0.21</v>
      </c>
      <c r="K54" s="165">
        <v>21.6</v>
      </c>
      <c r="L54" s="165">
        <v>29.77</v>
      </c>
      <c r="M54" s="165">
        <v>16.95</v>
      </c>
      <c r="N54" s="165">
        <v>367.7</v>
      </c>
      <c r="O54" s="165">
        <v>0</v>
      </c>
      <c r="P54" s="165">
        <v>0.67</v>
      </c>
      <c r="Q54" s="165">
        <v>12.97</v>
      </c>
      <c r="R54" s="6"/>
      <c r="S54" s="6"/>
      <c r="T54" s="156"/>
      <c r="U54" s="6"/>
    </row>
    <row r="55" spans="1:21" customFormat="1">
      <c r="A55" s="164" t="s">
        <v>1149</v>
      </c>
      <c r="B55" s="165">
        <v>4.04</v>
      </c>
      <c r="C55" s="165">
        <v>25.37</v>
      </c>
      <c r="D55" s="165">
        <v>17.84</v>
      </c>
      <c r="E55" s="165">
        <v>10.54</v>
      </c>
      <c r="F55" s="152" t="s">
        <v>15</v>
      </c>
      <c r="G55" s="165">
        <v>62.24</v>
      </c>
      <c r="H55" s="165">
        <v>33.14</v>
      </c>
      <c r="I55" s="165">
        <v>9.75</v>
      </c>
      <c r="J55" s="165">
        <v>1.01</v>
      </c>
      <c r="K55" s="165">
        <v>46.67</v>
      </c>
      <c r="L55" s="165">
        <v>29.53</v>
      </c>
      <c r="M55" s="165">
        <v>15.52</v>
      </c>
      <c r="N55" s="165">
        <v>378.1</v>
      </c>
      <c r="O55" s="165">
        <v>0</v>
      </c>
      <c r="P55" s="165">
        <v>0.66</v>
      </c>
      <c r="Q55" s="165">
        <v>12.96</v>
      </c>
      <c r="R55" s="6"/>
      <c r="S55" s="6"/>
      <c r="T55" s="156"/>
      <c r="U55" s="6"/>
    </row>
    <row r="56" spans="1:21" customFormat="1">
      <c r="A56" s="164" t="s">
        <v>1150</v>
      </c>
      <c r="B56" s="165">
        <v>3.97</v>
      </c>
      <c r="C56" s="165">
        <v>24.92</v>
      </c>
      <c r="D56" s="165">
        <v>17.559999999999999</v>
      </c>
      <c r="E56" s="165">
        <v>10.51</v>
      </c>
      <c r="F56" s="152" t="s">
        <v>15</v>
      </c>
      <c r="G56" s="165">
        <v>63.76</v>
      </c>
      <c r="H56" s="165">
        <v>31.64</v>
      </c>
      <c r="I56" s="165">
        <v>9.67</v>
      </c>
      <c r="J56" s="165">
        <v>0.49</v>
      </c>
      <c r="K56" s="165">
        <v>12.08</v>
      </c>
      <c r="L56" s="165">
        <v>29.77</v>
      </c>
      <c r="M56" s="165">
        <v>14.4</v>
      </c>
      <c r="N56" s="165">
        <v>395.1</v>
      </c>
      <c r="O56" s="165">
        <v>0</v>
      </c>
      <c r="P56" s="165">
        <v>0.66</v>
      </c>
      <c r="Q56" s="165">
        <v>12.96</v>
      </c>
      <c r="R56" s="6"/>
      <c r="S56" s="6"/>
      <c r="T56" s="156"/>
      <c r="U56" s="6"/>
    </row>
    <row r="57" spans="1:21" customFormat="1">
      <c r="A57" s="164" t="s">
        <v>1151</v>
      </c>
      <c r="B57" s="165">
        <v>3.89</v>
      </c>
      <c r="C57" s="165">
        <v>24.4</v>
      </c>
      <c r="D57" s="165">
        <v>17.22</v>
      </c>
      <c r="E57" s="165">
        <v>10.6</v>
      </c>
      <c r="F57" s="152" t="s">
        <v>15</v>
      </c>
      <c r="G57" s="165">
        <v>63.76</v>
      </c>
      <c r="H57" s="165">
        <v>31.64</v>
      </c>
      <c r="I57" s="165">
        <v>9.4700000000000006</v>
      </c>
      <c r="J57" s="165">
        <v>0.17</v>
      </c>
      <c r="K57" s="165">
        <v>5.77</v>
      </c>
      <c r="L57" s="165">
        <v>31.09</v>
      </c>
      <c r="M57" s="165">
        <v>13.1</v>
      </c>
      <c r="N57" s="165">
        <v>409.2</v>
      </c>
      <c r="O57" s="165">
        <v>0</v>
      </c>
      <c r="P57" s="165">
        <v>0.63</v>
      </c>
      <c r="Q57" s="165">
        <v>12.97</v>
      </c>
      <c r="R57" s="6"/>
      <c r="S57" s="6"/>
      <c r="T57" s="156"/>
      <c r="U57" s="6"/>
    </row>
    <row r="58" spans="1:21" customFormat="1">
      <c r="A58" s="164" t="s">
        <v>1152</v>
      </c>
      <c r="B58" s="165">
        <v>3.85</v>
      </c>
      <c r="C58" s="165">
        <v>23.77</v>
      </c>
      <c r="D58" s="165">
        <v>16.86</v>
      </c>
      <c r="E58" s="165">
        <v>10.199999999999999</v>
      </c>
      <c r="F58" s="152" t="s">
        <v>15</v>
      </c>
      <c r="G58" s="165">
        <v>63.76</v>
      </c>
      <c r="H58" s="165">
        <v>31.64</v>
      </c>
      <c r="I58" s="165">
        <v>9.36</v>
      </c>
      <c r="J58" s="165">
        <v>1.1299999999999999</v>
      </c>
      <c r="K58" s="165">
        <v>44.04</v>
      </c>
      <c r="L58" s="165">
        <v>30.56</v>
      </c>
      <c r="M58" s="165">
        <v>12.05</v>
      </c>
      <c r="N58" s="165">
        <v>411</v>
      </c>
      <c r="O58" s="165">
        <v>0</v>
      </c>
      <c r="P58" s="165">
        <v>0.64</v>
      </c>
      <c r="Q58" s="165">
        <v>12.96</v>
      </c>
      <c r="R58" s="6"/>
      <c r="S58" s="6"/>
      <c r="T58" s="156"/>
      <c r="U58" s="6"/>
    </row>
    <row r="59" spans="1:21" customFormat="1">
      <c r="A59" s="164" t="s">
        <v>1153</v>
      </c>
      <c r="B59" s="165">
        <v>3.94</v>
      </c>
      <c r="C59" s="165">
        <v>23.46</v>
      </c>
      <c r="D59" s="165">
        <v>16.760000000000002</v>
      </c>
      <c r="E59" s="165">
        <v>10.07</v>
      </c>
      <c r="F59" s="152" t="s">
        <v>15</v>
      </c>
      <c r="G59" s="165">
        <v>63.69</v>
      </c>
      <c r="H59" s="165">
        <v>31.6</v>
      </c>
      <c r="I59" s="165">
        <v>9.1</v>
      </c>
      <c r="J59" s="165">
        <v>0.63</v>
      </c>
      <c r="K59" s="165">
        <v>55.34</v>
      </c>
      <c r="L59" s="165">
        <v>30.93</v>
      </c>
      <c r="M59" s="165">
        <v>10.68</v>
      </c>
      <c r="N59" s="165">
        <v>412.3</v>
      </c>
      <c r="O59" s="165">
        <v>0</v>
      </c>
      <c r="P59" s="165">
        <v>0.62</v>
      </c>
      <c r="Q59" s="165">
        <v>12.96</v>
      </c>
      <c r="R59" s="6"/>
      <c r="S59" s="6"/>
      <c r="T59" s="156"/>
      <c r="U59" s="6"/>
    </row>
    <row r="60" spans="1:21" customFormat="1">
      <c r="A60" s="164" t="s">
        <v>1154</v>
      </c>
      <c r="B60" s="165">
        <v>3.92</v>
      </c>
      <c r="C60" s="165">
        <v>23.02</v>
      </c>
      <c r="D60" s="165">
        <v>16.53</v>
      </c>
      <c r="E60" s="165">
        <v>10.15</v>
      </c>
      <c r="F60" s="152" t="s">
        <v>15</v>
      </c>
      <c r="G60" s="165">
        <v>61.53</v>
      </c>
      <c r="H60" s="165">
        <v>30.27</v>
      </c>
      <c r="I60" s="165">
        <v>8.9499999999999993</v>
      </c>
      <c r="J60" s="165">
        <v>0.8</v>
      </c>
      <c r="K60" s="165">
        <v>21.5</v>
      </c>
      <c r="L60" s="165">
        <v>30.77</v>
      </c>
      <c r="M60" s="165">
        <v>9.42</v>
      </c>
      <c r="N60" s="165">
        <v>418.1</v>
      </c>
      <c r="O60" s="165">
        <v>0</v>
      </c>
      <c r="P60" s="165">
        <v>0.61</v>
      </c>
      <c r="Q60" s="165">
        <v>12.95</v>
      </c>
      <c r="R60" s="6"/>
      <c r="S60" s="6"/>
      <c r="T60" s="156"/>
      <c r="U60" s="6"/>
    </row>
    <row r="61" spans="1:21" customFormat="1">
      <c r="A61" s="164" t="s">
        <v>1155</v>
      </c>
      <c r="B61" s="165">
        <v>3.88</v>
      </c>
      <c r="C61" s="165">
        <v>22.61</v>
      </c>
      <c r="D61" s="165">
        <v>16.28</v>
      </c>
      <c r="E61" s="165">
        <v>9.74</v>
      </c>
      <c r="F61" s="152" t="s">
        <v>15</v>
      </c>
      <c r="G61" s="165">
        <v>61.53</v>
      </c>
      <c r="H61" s="165">
        <v>30.27</v>
      </c>
      <c r="I61" s="165">
        <v>8.8800000000000008</v>
      </c>
      <c r="J61" s="165">
        <v>0.51</v>
      </c>
      <c r="K61" s="165">
        <v>330.98</v>
      </c>
      <c r="L61" s="165">
        <v>31.25</v>
      </c>
      <c r="M61" s="165">
        <v>9</v>
      </c>
      <c r="N61" s="165">
        <v>402.8</v>
      </c>
      <c r="O61" s="165">
        <v>0</v>
      </c>
      <c r="P61" s="165">
        <v>0.59</v>
      </c>
      <c r="Q61" s="165">
        <v>12.96</v>
      </c>
      <c r="R61" s="6"/>
      <c r="S61" s="6"/>
      <c r="T61" s="156"/>
      <c r="U61" s="6"/>
    </row>
    <row r="62" spans="1:21" customFormat="1">
      <c r="A62" s="164" t="s">
        <v>1156</v>
      </c>
      <c r="B62" s="165">
        <v>3.99</v>
      </c>
      <c r="C62" s="165">
        <v>22.21</v>
      </c>
      <c r="D62" s="165">
        <v>16.149999999999999</v>
      </c>
      <c r="E62" s="165">
        <v>10.029999999999999</v>
      </c>
      <c r="F62" s="152" t="s">
        <v>15</v>
      </c>
      <c r="G62" s="165">
        <v>61.53</v>
      </c>
      <c r="H62" s="165">
        <v>30.27</v>
      </c>
      <c r="I62" s="165">
        <v>8.67</v>
      </c>
      <c r="J62" s="165">
        <v>0.89</v>
      </c>
      <c r="K62" s="165">
        <v>46.36</v>
      </c>
      <c r="L62" s="165">
        <v>31.37</v>
      </c>
      <c r="M62" s="165">
        <v>9.68</v>
      </c>
      <c r="N62" s="165">
        <v>395.1</v>
      </c>
      <c r="O62" s="165">
        <v>0</v>
      </c>
      <c r="P62" s="165">
        <v>0.62</v>
      </c>
      <c r="Q62" s="165">
        <v>12.92</v>
      </c>
      <c r="R62" s="6"/>
      <c r="S62" s="6"/>
      <c r="T62" s="156"/>
      <c r="U62" s="6"/>
    </row>
    <row r="63" spans="1:21" customFormat="1">
      <c r="A63" s="164" t="s">
        <v>1157</v>
      </c>
      <c r="B63" s="165">
        <v>4.1100000000000003</v>
      </c>
      <c r="C63" s="165">
        <v>21.79</v>
      </c>
      <c r="D63" s="165">
        <v>16.04</v>
      </c>
      <c r="E63" s="165">
        <v>10.27</v>
      </c>
      <c r="F63" s="152" t="s">
        <v>15</v>
      </c>
      <c r="G63" s="165">
        <v>61.14</v>
      </c>
      <c r="H63" s="165">
        <v>30.25</v>
      </c>
      <c r="I63" s="165">
        <v>8.41</v>
      </c>
      <c r="J63" s="165">
        <v>0.68</v>
      </c>
      <c r="K63" s="165">
        <v>41.53</v>
      </c>
      <c r="L63" s="165">
        <v>31.77</v>
      </c>
      <c r="M63" s="165">
        <v>9.11</v>
      </c>
      <c r="N63" s="165">
        <v>393.8</v>
      </c>
      <c r="O63" s="165">
        <v>0</v>
      </c>
      <c r="P63" s="165">
        <v>0.65</v>
      </c>
      <c r="Q63" s="165">
        <v>12.95</v>
      </c>
      <c r="R63" s="6"/>
      <c r="S63" s="6"/>
      <c r="T63" s="156"/>
      <c r="U63" s="6"/>
    </row>
    <row r="64" spans="1:21" customFormat="1">
      <c r="A64" s="164" t="s">
        <v>1158</v>
      </c>
      <c r="B64" s="165">
        <v>4.1900000000000004</v>
      </c>
      <c r="C64" s="165">
        <v>21.08</v>
      </c>
      <c r="D64" s="165">
        <v>15.72</v>
      </c>
      <c r="E64" s="165">
        <v>9.69</v>
      </c>
      <c r="F64" s="152" t="s">
        <v>15</v>
      </c>
      <c r="G64" s="165">
        <v>52.91</v>
      </c>
      <c r="H64" s="165">
        <v>29.48</v>
      </c>
      <c r="I64" s="165">
        <v>8.23</v>
      </c>
      <c r="J64" s="165">
        <v>0.49</v>
      </c>
      <c r="K64" s="165">
        <v>309.77999999999997</v>
      </c>
      <c r="L64" s="165">
        <v>32.22</v>
      </c>
      <c r="M64" s="165">
        <v>9.42</v>
      </c>
      <c r="N64" s="165">
        <v>402</v>
      </c>
      <c r="O64" s="165">
        <v>0</v>
      </c>
      <c r="P64" s="165">
        <v>0.65</v>
      </c>
      <c r="Q64" s="165">
        <v>12.95</v>
      </c>
      <c r="R64" s="6"/>
      <c r="S64" s="6"/>
      <c r="T64" s="156"/>
      <c r="U64" s="6"/>
    </row>
    <row r="65" spans="1:21" customFormat="1">
      <c r="A65" s="164" t="s">
        <v>1159</v>
      </c>
      <c r="B65" s="165">
        <v>4.2300000000000004</v>
      </c>
      <c r="C65" s="165">
        <v>20.41</v>
      </c>
      <c r="D65" s="165">
        <v>15.41</v>
      </c>
      <c r="E65" s="165">
        <v>9.41</v>
      </c>
      <c r="F65" s="152" t="s">
        <v>15</v>
      </c>
      <c r="G65" s="165">
        <v>52.91</v>
      </c>
      <c r="H65" s="165">
        <v>29.48</v>
      </c>
      <c r="I65" s="165">
        <v>8</v>
      </c>
      <c r="J65" s="165">
        <v>0.32</v>
      </c>
      <c r="K65" s="165">
        <v>1.77</v>
      </c>
      <c r="L65" s="165">
        <v>32.44</v>
      </c>
      <c r="M65" s="165">
        <v>8.75</v>
      </c>
      <c r="N65" s="165">
        <v>398.4</v>
      </c>
      <c r="O65" s="165">
        <v>0</v>
      </c>
      <c r="P65" s="165">
        <v>0.49</v>
      </c>
      <c r="Q65" s="165">
        <v>12.94</v>
      </c>
      <c r="R65" s="6"/>
      <c r="S65" s="6"/>
      <c r="T65" s="156"/>
      <c r="U65" s="6"/>
    </row>
    <row r="66" spans="1:21" customFormat="1">
      <c r="A66" s="164" t="s">
        <v>1160</v>
      </c>
      <c r="B66" s="165">
        <v>4.22</v>
      </c>
      <c r="C66" s="165">
        <v>19.87</v>
      </c>
      <c r="D66" s="165">
        <v>15.12</v>
      </c>
      <c r="E66" s="165">
        <v>10.41</v>
      </c>
      <c r="F66" s="152" t="s">
        <v>15</v>
      </c>
      <c r="G66" s="165">
        <v>52.91</v>
      </c>
      <c r="H66" s="165">
        <v>29.48</v>
      </c>
      <c r="I66" s="165">
        <v>7.81</v>
      </c>
      <c r="J66" s="165">
        <v>0.39</v>
      </c>
      <c r="K66" s="165">
        <v>264.75</v>
      </c>
      <c r="L66" s="165">
        <v>32.47</v>
      </c>
      <c r="M66" s="165">
        <v>9.86</v>
      </c>
      <c r="N66" s="165">
        <v>381.2</v>
      </c>
      <c r="O66" s="165">
        <v>0</v>
      </c>
      <c r="P66" s="165">
        <v>0.5</v>
      </c>
      <c r="Q66" s="165">
        <v>12.94</v>
      </c>
      <c r="R66" s="6"/>
      <c r="S66" s="6"/>
      <c r="T66" s="156"/>
      <c r="U66" s="6"/>
    </row>
    <row r="67" spans="1:21" customFormat="1">
      <c r="A67" s="164" t="s">
        <v>1161</v>
      </c>
      <c r="B67" s="165">
        <v>4.16</v>
      </c>
      <c r="C67" s="165">
        <v>19.25</v>
      </c>
      <c r="D67" s="165">
        <v>14.74</v>
      </c>
      <c r="E67" s="165">
        <v>11.24</v>
      </c>
      <c r="F67" s="152" t="s">
        <v>15</v>
      </c>
      <c r="G67" s="165">
        <v>52.87</v>
      </c>
      <c r="H67" s="165">
        <v>29.41</v>
      </c>
      <c r="I67" s="165">
        <v>7.84</v>
      </c>
      <c r="J67" s="165">
        <v>0.42</v>
      </c>
      <c r="K67" s="165">
        <v>302.92</v>
      </c>
      <c r="L67" s="165">
        <v>31.99</v>
      </c>
      <c r="M67" s="165">
        <v>9.59</v>
      </c>
      <c r="N67" s="165">
        <v>180.5</v>
      </c>
      <c r="O67" s="165">
        <v>0</v>
      </c>
      <c r="P67" s="165">
        <v>0.48</v>
      </c>
      <c r="Q67" s="165">
        <v>12.93</v>
      </c>
      <c r="R67" s="6"/>
      <c r="S67" s="6"/>
      <c r="T67" s="156"/>
      <c r="U67" s="6"/>
    </row>
    <row r="68" spans="1:21" customFormat="1">
      <c r="A68" s="164" t="s">
        <v>1162</v>
      </c>
      <c r="B68" s="165">
        <v>4.16</v>
      </c>
      <c r="C68" s="165">
        <v>18.77</v>
      </c>
      <c r="D68" s="165">
        <v>14.5</v>
      </c>
      <c r="E68" s="165">
        <v>11.23</v>
      </c>
      <c r="F68" s="152" t="s">
        <v>15</v>
      </c>
      <c r="G68" s="165">
        <v>51.84</v>
      </c>
      <c r="H68" s="165">
        <v>27.24</v>
      </c>
      <c r="I68" s="165">
        <v>7.39</v>
      </c>
      <c r="J68" s="165">
        <v>0.12</v>
      </c>
      <c r="K68" s="165">
        <v>152.44999999999999</v>
      </c>
      <c r="L68" s="165">
        <v>31.32</v>
      </c>
      <c r="M68" s="165">
        <v>9.7100000000000009</v>
      </c>
      <c r="N68" s="165">
        <v>56.2</v>
      </c>
      <c r="O68" s="165">
        <v>0</v>
      </c>
      <c r="P68" s="165">
        <v>0.49</v>
      </c>
      <c r="Q68" s="165">
        <v>12.92</v>
      </c>
      <c r="R68" s="6"/>
      <c r="S68" s="6"/>
      <c r="T68" s="156"/>
      <c r="U68" s="6"/>
    </row>
    <row r="69" spans="1:21" customFormat="1">
      <c r="A69" s="164" t="s">
        <v>1163</v>
      </c>
      <c r="B69" s="165">
        <v>4.13</v>
      </c>
      <c r="C69" s="165">
        <v>18.27</v>
      </c>
      <c r="D69" s="165">
        <v>14.21</v>
      </c>
      <c r="E69" s="165">
        <v>14.09</v>
      </c>
      <c r="F69" s="152" t="s">
        <v>15</v>
      </c>
      <c r="G69" s="165">
        <v>51.84</v>
      </c>
      <c r="H69" s="165">
        <v>27.24</v>
      </c>
      <c r="I69" s="165">
        <v>7.26</v>
      </c>
      <c r="J69" s="165">
        <v>0.41</v>
      </c>
      <c r="K69" s="165">
        <v>264.77</v>
      </c>
      <c r="L69" s="165">
        <v>31.17</v>
      </c>
      <c r="M69" s="165">
        <v>10.44</v>
      </c>
      <c r="N69" s="165">
        <v>47.1</v>
      </c>
      <c r="O69" s="165">
        <v>0</v>
      </c>
      <c r="P69" s="165">
        <v>0.45</v>
      </c>
      <c r="Q69" s="165">
        <v>12.92</v>
      </c>
      <c r="R69" s="6"/>
      <c r="S69" s="6"/>
      <c r="T69" s="156"/>
      <c r="U69" s="6"/>
    </row>
    <row r="70" spans="1:21" customFormat="1">
      <c r="A70" s="164" t="s">
        <v>1164</v>
      </c>
      <c r="B70" s="165">
        <v>4.09</v>
      </c>
      <c r="C70" s="165">
        <v>17.84</v>
      </c>
      <c r="D70" s="165">
        <v>13.95</v>
      </c>
      <c r="E70" s="165">
        <v>17.16</v>
      </c>
      <c r="F70" s="152" t="s">
        <v>15</v>
      </c>
      <c r="G70" s="165">
        <v>51.84</v>
      </c>
      <c r="H70" s="165">
        <v>27.24</v>
      </c>
      <c r="I70" s="165">
        <v>7.18</v>
      </c>
      <c r="J70" s="165">
        <v>0.18</v>
      </c>
      <c r="K70" s="165">
        <v>259.08</v>
      </c>
      <c r="L70" s="165">
        <v>31.17</v>
      </c>
      <c r="M70" s="165">
        <v>10.72</v>
      </c>
      <c r="N70" s="165">
        <v>58.3</v>
      </c>
      <c r="O70" s="165">
        <v>0</v>
      </c>
      <c r="P70" s="165">
        <v>0.44</v>
      </c>
      <c r="Q70" s="165">
        <v>12.91</v>
      </c>
      <c r="R70" s="6"/>
      <c r="S70" s="6"/>
      <c r="T70" s="156"/>
      <c r="U70" s="6"/>
    </row>
    <row r="71" spans="1:21" customFormat="1">
      <c r="A71" s="164" t="s">
        <v>1165</v>
      </c>
      <c r="B71" s="165">
        <v>4.0599999999999996</v>
      </c>
      <c r="C71" s="165">
        <v>17.5</v>
      </c>
      <c r="D71" s="165">
        <v>13.76</v>
      </c>
      <c r="E71" s="165">
        <v>20.98</v>
      </c>
      <c r="F71" s="152" t="s">
        <v>15</v>
      </c>
      <c r="G71" s="165">
        <v>51.36</v>
      </c>
      <c r="H71" s="165">
        <v>27.12</v>
      </c>
      <c r="I71" s="165">
        <v>6.86</v>
      </c>
      <c r="J71" s="165">
        <v>0.49</v>
      </c>
      <c r="K71" s="165">
        <v>317.45999999999998</v>
      </c>
      <c r="L71" s="165">
        <v>31.11</v>
      </c>
      <c r="M71" s="165">
        <v>10.65</v>
      </c>
      <c r="N71" s="165">
        <v>51.1</v>
      </c>
      <c r="O71" s="165">
        <v>0</v>
      </c>
      <c r="P71" s="165">
        <v>0.46</v>
      </c>
      <c r="Q71" s="165">
        <v>12.92</v>
      </c>
      <c r="R71" s="6"/>
      <c r="S71" s="6"/>
      <c r="T71" s="156"/>
      <c r="U71" s="6"/>
    </row>
    <row r="72" spans="1:21" customFormat="1">
      <c r="A72" s="164" t="s">
        <v>1166</v>
      </c>
      <c r="B72" s="165">
        <v>4.0999999999999996</v>
      </c>
      <c r="C72" s="165">
        <v>17.399999999999999</v>
      </c>
      <c r="D72" s="165">
        <v>13.73</v>
      </c>
      <c r="E72" s="165">
        <v>28.88</v>
      </c>
      <c r="F72" s="152" t="s">
        <v>15</v>
      </c>
      <c r="G72" s="165">
        <v>40.86</v>
      </c>
      <c r="H72" s="165">
        <v>23.43</v>
      </c>
      <c r="I72" s="165">
        <v>6.64</v>
      </c>
      <c r="J72" s="165">
        <v>0.38</v>
      </c>
      <c r="K72" s="165">
        <v>297.11</v>
      </c>
      <c r="L72" s="165">
        <v>30.83</v>
      </c>
      <c r="M72" s="165">
        <v>10.55</v>
      </c>
      <c r="N72" s="165">
        <v>40.9</v>
      </c>
      <c r="O72" s="165">
        <v>0</v>
      </c>
      <c r="P72" s="165">
        <v>0.44</v>
      </c>
      <c r="Q72" s="165">
        <v>12.91</v>
      </c>
      <c r="R72" s="6"/>
      <c r="S72" s="6"/>
      <c r="T72" s="156"/>
      <c r="U72" s="6"/>
    </row>
    <row r="73" spans="1:21" customFormat="1">
      <c r="A73" s="164" t="s">
        <v>1167</v>
      </c>
      <c r="B73" s="165">
        <v>4.22</v>
      </c>
      <c r="C73" s="165">
        <v>17.57</v>
      </c>
      <c r="D73" s="165">
        <v>13.91</v>
      </c>
      <c r="E73" s="165">
        <v>22.3</v>
      </c>
      <c r="F73" s="152" t="s">
        <v>15</v>
      </c>
      <c r="G73" s="165">
        <v>40.86</v>
      </c>
      <c r="H73" s="165">
        <v>23.43</v>
      </c>
      <c r="I73" s="165">
        <v>6.65</v>
      </c>
      <c r="J73" s="165">
        <v>0.49</v>
      </c>
      <c r="K73" s="165">
        <v>8.5399999999999991</v>
      </c>
      <c r="L73" s="165">
        <v>30.77</v>
      </c>
      <c r="M73" s="165">
        <v>10.3</v>
      </c>
      <c r="N73" s="165">
        <v>43.6</v>
      </c>
      <c r="O73" s="165">
        <v>0</v>
      </c>
      <c r="P73" s="165">
        <v>0.46</v>
      </c>
      <c r="Q73" s="165">
        <v>12.91</v>
      </c>
      <c r="R73" s="6"/>
      <c r="S73" s="6"/>
      <c r="T73" s="156"/>
      <c r="U73" s="6"/>
    </row>
    <row r="74" spans="1:21" customFormat="1">
      <c r="A74" s="164" t="s">
        <v>1168</v>
      </c>
      <c r="B74" s="165">
        <v>4.34</v>
      </c>
      <c r="C74" s="165">
        <v>17.850000000000001</v>
      </c>
      <c r="D74" s="165">
        <v>14.16</v>
      </c>
      <c r="E74" s="165">
        <v>25.18</v>
      </c>
      <c r="F74" s="152" t="s">
        <v>15</v>
      </c>
      <c r="G74" s="165">
        <v>40.86</v>
      </c>
      <c r="H74" s="165">
        <v>23.43</v>
      </c>
      <c r="I74" s="165">
        <v>6.59</v>
      </c>
      <c r="J74" s="165">
        <v>0.39</v>
      </c>
      <c r="K74" s="165">
        <v>51.01</v>
      </c>
      <c r="L74" s="165">
        <v>30.72</v>
      </c>
      <c r="M74" s="165">
        <v>10.18</v>
      </c>
      <c r="N74" s="165">
        <v>32.5</v>
      </c>
      <c r="O74" s="165">
        <v>0</v>
      </c>
      <c r="P74" s="165">
        <v>0.45</v>
      </c>
      <c r="Q74" s="165">
        <v>12.92</v>
      </c>
      <c r="R74" s="6"/>
      <c r="S74" s="6"/>
      <c r="T74" s="156"/>
      <c r="U74" s="6"/>
    </row>
    <row r="75" spans="1:21" customFormat="1">
      <c r="A75" s="164" t="s">
        <v>1169</v>
      </c>
      <c r="B75" s="165">
        <v>4.43</v>
      </c>
      <c r="C75" s="165">
        <v>18</v>
      </c>
      <c r="D75" s="165">
        <v>14.3</v>
      </c>
      <c r="E75" s="165">
        <v>23.11</v>
      </c>
      <c r="F75" s="152" t="s">
        <v>15</v>
      </c>
      <c r="G75" s="165">
        <v>40.799999999999997</v>
      </c>
      <c r="H75" s="165">
        <v>23.37</v>
      </c>
      <c r="I75" s="165">
        <v>6.6</v>
      </c>
      <c r="J75" s="165">
        <v>0.27</v>
      </c>
      <c r="K75" s="165">
        <v>69.040000000000006</v>
      </c>
      <c r="L75" s="165">
        <v>30.52</v>
      </c>
      <c r="M75" s="165">
        <v>12.21</v>
      </c>
      <c r="N75" s="165">
        <v>34.700000000000003</v>
      </c>
      <c r="O75" s="165">
        <v>0</v>
      </c>
      <c r="P75" s="165">
        <v>0.47</v>
      </c>
      <c r="Q75" s="165">
        <v>12.93</v>
      </c>
      <c r="R75" s="6"/>
      <c r="S75" s="6"/>
      <c r="T75" s="156"/>
      <c r="U75" s="6"/>
    </row>
    <row r="76" spans="1:21" customFormat="1">
      <c r="A76" s="164" t="s">
        <v>1170</v>
      </c>
      <c r="B76" s="165">
        <v>4.4800000000000004</v>
      </c>
      <c r="C76" s="165">
        <v>18.100000000000001</v>
      </c>
      <c r="D76" s="165">
        <v>14.4</v>
      </c>
      <c r="E76" s="165">
        <v>26.82</v>
      </c>
      <c r="F76" s="152" t="s">
        <v>15</v>
      </c>
      <c r="G76" s="165">
        <v>39.47</v>
      </c>
      <c r="H76" s="165">
        <v>21.69</v>
      </c>
      <c r="I76" s="165">
        <v>6.49</v>
      </c>
      <c r="J76" s="165">
        <v>0.15</v>
      </c>
      <c r="K76" s="165">
        <v>134.33000000000001</v>
      </c>
      <c r="L76" s="165">
        <v>29.82</v>
      </c>
      <c r="M76" s="165">
        <v>14.34</v>
      </c>
      <c r="N76" s="165">
        <v>25.9</v>
      </c>
      <c r="O76" s="165">
        <v>0</v>
      </c>
      <c r="P76" s="165">
        <v>0.46</v>
      </c>
      <c r="Q76" s="165">
        <v>12.94</v>
      </c>
      <c r="R76" s="6"/>
      <c r="S76" s="6"/>
      <c r="T76" s="156"/>
      <c r="U76" s="6"/>
    </row>
    <row r="77" spans="1:21" customFormat="1">
      <c r="A77" s="164" t="s">
        <v>1171</v>
      </c>
      <c r="B77" s="165">
        <v>4.55</v>
      </c>
      <c r="C77" s="165">
        <v>17.98</v>
      </c>
      <c r="D77" s="165">
        <v>14.39</v>
      </c>
      <c r="E77" s="165">
        <v>17.350000000000001</v>
      </c>
      <c r="F77" s="152" t="s">
        <v>15</v>
      </c>
      <c r="G77" s="165">
        <v>39.47</v>
      </c>
      <c r="H77" s="165">
        <v>21.69</v>
      </c>
      <c r="I77" s="165">
        <v>6.67</v>
      </c>
      <c r="J77" s="165">
        <v>0.16</v>
      </c>
      <c r="K77" s="165">
        <v>167.15</v>
      </c>
      <c r="L77" s="165">
        <v>28.75</v>
      </c>
      <c r="M77" s="165">
        <v>18.71</v>
      </c>
      <c r="N77" s="165">
        <v>17</v>
      </c>
      <c r="O77" s="165">
        <v>0</v>
      </c>
      <c r="P77" s="165">
        <v>0.46</v>
      </c>
      <c r="Q77" s="165">
        <v>12.93</v>
      </c>
      <c r="R77" s="6"/>
      <c r="S77" s="6"/>
      <c r="T77" s="156"/>
      <c r="U77" s="6"/>
    </row>
    <row r="78" spans="1:21" customFormat="1">
      <c r="A78" s="164" t="s">
        <v>1172</v>
      </c>
      <c r="B78" s="165">
        <v>4.5599999999999996</v>
      </c>
      <c r="C78" s="165">
        <v>17.78</v>
      </c>
      <c r="D78" s="165">
        <v>14.3</v>
      </c>
      <c r="E78" s="165">
        <v>13.46</v>
      </c>
      <c r="F78" s="152" t="s">
        <v>15</v>
      </c>
      <c r="G78" s="165">
        <v>39.47</v>
      </c>
      <c r="H78" s="165">
        <v>21.69</v>
      </c>
      <c r="I78" s="165">
        <v>6.56</v>
      </c>
      <c r="J78" s="165">
        <v>0.23</v>
      </c>
      <c r="K78" s="165">
        <v>165.71</v>
      </c>
      <c r="L78" s="165">
        <v>27.71</v>
      </c>
      <c r="M78" s="165">
        <v>21.56</v>
      </c>
      <c r="N78" s="165">
        <v>11.7</v>
      </c>
      <c r="O78" s="165">
        <v>0</v>
      </c>
      <c r="P78" s="165">
        <v>0.48</v>
      </c>
      <c r="Q78" s="165">
        <v>12.93</v>
      </c>
      <c r="R78" s="6"/>
      <c r="S78" s="6"/>
      <c r="T78" s="156"/>
      <c r="U78" s="6"/>
    </row>
    <row r="79" spans="1:21" customFormat="1">
      <c r="A79" s="164" t="s">
        <v>1173</v>
      </c>
      <c r="B79" s="165">
        <v>4.62</v>
      </c>
      <c r="C79" s="165">
        <v>17.489999999999998</v>
      </c>
      <c r="D79" s="165">
        <v>14.2</v>
      </c>
      <c r="E79" s="165">
        <v>11.11</v>
      </c>
      <c r="F79" s="152" t="s">
        <v>15</v>
      </c>
      <c r="G79" s="165">
        <v>39.36</v>
      </c>
      <c r="H79" s="165">
        <v>21.67</v>
      </c>
      <c r="I79" s="165">
        <v>6.46</v>
      </c>
      <c r="J79" s="165">
        <v>0.26</v>
      </c>
      <c r="K79" s="165">
        <v>160.77000000000001</v>
      </c>
      <c r="L79" s="165">
        <v>26.64</v>
      </c>
      <c r="M79" s="165">
        <v>24.93</v>
      </c>
      <c r="N79" s="165">
        <v>6.9</v>
      </c>
      <c r="O79" s="165">
        <v>0</v>
      </c>
      <c r="P79" s="165">
        <v>0.47</v>
      </c>
      <c r="Q79" s="165">
        <v>12.92</v>
      </c>
      <c r="R79" s="6"/>
      <c r="S79" s="6"/>
      <c r="T79" s="156"/>
      <c r="U79" s="6"/>
    </row>
    <row r="80" spans="1:21" customFormat="1">
      <c r="A80" s="164" t="s">
        <v>1174</v>
      </c>
      <c r="B80" s="165">
        <v>4.68</v>
      </c>
      <c r="C80" s="165">
        <v>17.32</v>
      </c>
      <c r="D80" s="165">
        <v>14.15</v>
      </c>
      <c r="E80" s="165">
        <v>10.38</v>
      </c>
      <c r="F80" s="152" t="s">
        <v>15</v>
      </c>
      <c r="G80" s="165">
        <v>36.92</v>
      </c>
      <c r="H80" s="165">
        <v>20.83</v>
      </c>
      <c r="I80" s="165">
        <v>6.62</v>
      </c>
      <c r="J80" s="165">
        <v>0.24</v>
      </c>
      <c r="K80" s="165">
        <v>171.69</v>
      </c>
      <c r="L80" s="165">
        <v>25.73</v>
      </c>
      <c r="M80" s="165">
        <v>27.81</v>
      </c>
      <c r="N80" s="165">
        <v>3.2</v>
      </c>
      <c r="O80" s="165">
        <v>0</v>
      </c>
      <c r="P80" s="165">
        <v>0.48</v>
      </c>
      <c r="Q80" s="165">
        <v>12.93</v>
      </c>
      <c r="R80" s="6"/>
      <c r="S80" s="6"/>
      <c r="T80" s="156"/>
      <c r="U80" s="6"/>
    </row>
    <row r="81" spans="1:21" customFormat="1">
      <c r="A81" s="164" t="s">
        <v>1175</v>
      </c>
      <c r="B81" s="165">
        <v>4.7300000000000004</v>
      </c>
      <c r="C81" s="165">
        <v>17.57</v>
      </c>
      <c r="D81" s="165">
        <v>14.32</v>
      </c>
      <c r="E81" s="165">
        <v>10.01</v>
      </c>
      <c r="F81" s="152" t="s">
        <v>15</v>
      </c>
      <c r="G81" s="165">
        <v>36.92</v>
      </c>
      <c r="H81" s="165">
        <v>20.83</v>
      </c>
      <c r="I81" s="165">
        <v>6.59</v>
      </c>
      <c r="J81" s="165">
        <v>0.26</v>
      </c>
      <c r="K81" s="165">
        <v>183</v>
      </c>
      <c r="L81" s="165">
        <v>25.01</v>
      </c>
      <c r="M81" s="165">
        <v>33.630000000000003</v>
      </c>
      <c r="N81" s="165">
        <v>1.7</v>
      </c>
      <c r="O81" s="165">
        <v>0</v>
      </c>
      <c r="P81" s="165">
        <v>0.42</v>
      </c>
      <c r="Q81" s="165">
        <v>12.93</v>
      </c>
      <c r="R81" s="6"/>
      <c r="S81" s="6"/>
      <c r="T81" s="156"/>
      <c r="U81" s="6"/>
    </row>
    <row r="82" spans="1:21" customFormat="1">
      <c r="A82" s="164" t="s">
        <v>1176</v>
      </c>
      <c r="B82" s="165">
        <v>4.7</v>
      </c>
      <c r="C82" s="165">
        <v>18.2</v>
      </c>
      <c r="D82" s="165">
        <v>14.63</v>
      </c>
      <c r="E82" s="165">
        <v>11.1</v>
      </c>
      <c r="F82" s="152" t="s">
        <v>15</v>
      </c>
      <c r="G82" s="165">
        <v>36.92</v>
      </c>
      <c r="H82" s="165">
        <v>20.83</v>
      </c>
      <c r="I82" s="165">
        <v>6.56</v>
      </c>
      <c r="J82" s="165">
        <v>0.19</v>
      </c>
      <c r="K82" s="165">
        <v>186.67</v>
      </c>
      <c r="L82" s="165">
        <v>24.12</v>
      </c>
      <c r="M82" s="165">
        <v>33.61</v>
      </c>
      <c r="N82" s="165">
        <v>1.5</v>
      </c>
      <c r="O82" s="165">
        <v>0</v>
      </c>
      <c r="P82" s="165">
        <v>0.4</v>
      </c>
      <c r="Q82" s="165">
        <v>12.93</v>
      </c>
      <c r="R82" s="6"/>
      <c r="S82" s="6"/>
      <c r="T82" s="156"/>
      <c r="U82" s="6"/>
    </row>
    <row r="83" spans="1:21" customFormat="1">
      <c r="A83" s="164" t="s">
        <v>1177</v>
      </c>
      <c r="B83" s="165">
        <v>4.7</v>
      </c>
      <c r="C83" s="165">
        <v>18.57</v>
      </c>
      <c r="D83" s="165">
        <v>14.82</v>
      </c>
      <c r="E83" s="165">
        <v>11.22</v>
      </c>
      <c r="F83" s="152" t="s">
        <v>15</v>
      </c>
      <c r="G83" s="165">
        <v>37.57</v>
      </c>
      <c r="H83" s="165">
        <v>20.9</v>
      </c>
      <c r="I83" s="165">
        <v>6.54</v>
      </c>
      <c r="J83" s="165">
        <v>0.27</v>
      </c>
      <c r="K83" s="165">
        <v>170.17</v>
      </c>
      <c r="L83" s="165">
        <v>23.42</v>
      </c>
      <c r="M83" s="165">
        <v>40.770000000000003</v>
      </c>
      <c r="N83" s="165">
        <v>1.4</v>
      </c>
      <c r="O83" s="165">
        <v>0</v>
      </c>
      <c r="P83" s="165">
        <v>0.4</v>
      </c>
      <c r="Q83" s="165">
        <v>12.93</v>
      </c>
      <c r="R83" s="6"/>
      <c r="S83" s="6"/>
      <c r="T83" s="156"/>
      <c r="U83" s="6"/>
    </row>
    <row r="84" spans="1:21" customFormat="1">
      <c r="A84" s="164" t="s">
        <v>1178</v>
      </c>
      <c r="B84" s="165">
        <v>4.71</v>
      </c>
      <c r="C84" s="165">
        <v>18.75</v>
      </c>
      <c r="D84" s="165">
        <v>14.93</v>
      </c>
      <c r="E84" s="165">
        <v>11.09</v>
      </c>
      <c r="F84" s="152" t="s">
        <v>15</v>
      </c>
      <c r="G84" s="165">
        <v>51.35</v>
      </c>
      <c r="H84" s="165">
        <v>23.35</v>
      </c>
      <c r="I84" s="165">
        <v>6.53</v>
      </c>
      <c r="J84" s="165">
        <v>0.23</v>
      </c>
      <c r="K84" s="165">
        <v>180.55</v>
      </c>
      <c r="L84" s="165">
        <v>22.93</v>
      </c>
      <c r="M84" s="165">
        <v>40.31</v>
      </c>
      <c r="N84" s="165">
        <v>1.1000000000000001</v>
      </c>
      <c r="O84" s="165">
        <v>0</v>
      </c>
      <c r="P84" s="165">
        <v>0.4</v>
      </c>
      <c r="Q84" s="165">
        <v>12.93</v>
      </c>
      <c r="R84" s="6"/>
      <c r="S84" s="6"/>
      <c r="T84" s="156"/>
      <c r="U84" s="6"/>
    </row>
    <row r="85" spans="1:21" customFormat="1">
      <c r="A85" s="164" t="s">
        <v>1179</v>
      </c>
      <c r="B85" s="165">
        <v>4.6900000000000004</v>
      </c>
      <c r="C85" s="165">
        <v>18.97</v>
      </c>
      <c r="D85" s="165">
        <v>15.02</v>
      </c>
      <c r="E85" s="165">
        <v>11.41</v>
      </c>
      <c r="F85" s="152" t="s">
        <v>15</v>
      </c>
      <c r="G85" s="165">
        <v>51.35</v>
      </c>
      <c r="H85" s="165">
        <v>23.35</v>
      </c>
      <c r="I85" s="165">
        <v>6.51</v>
      </c>
      <c r="J85" s="165">
        <v>0.18</v>
      </c>
      <c r="K85" s="165">
        <v>188.91</v>
      </c>
      <c r="L85" s="165">
        <v>22.35</v>
      </c>
      <c r="M85" s="165">
        <v>38.409999999999997</v>
      </c>
      <c r="N85" s="165">
        <v>1.1000000000000001</v>
      </c>
      <c r="O85" s="165">
        <v>0</v>
      </c>
      <c r="P85" s="165">
        <v>0.4</v>
      </c>
      <c r="Q85" s="165">
        <v>12.95</v>
      </c>
      <c r="R85" s="6"/>
      <c r="S85" s="6"/>
      <c r="T85" s="156"/>
      <c r="U85" s="6"/>
    </row>
    <row r="86" spans="1:21" customFormat="1">
      <c r="A86" s="164" t="s">
        <v>1180</v>
      </c>
      <c r="B86" s="165">
        <v>4.7300000000000004</v>
      </c>
      <c r="C86" s="165">
        <v>19.09</v>
      </c>
      <c r="D86" s="165">
        <v>15.11</v>
      </c>
      <c r="E86" s="165">
        <v>10.86</v>
      </c>
      <c r="F86" s="152" t="s">
        <v>15</v>
      </c>
      <c r="G86" s="165">
        <v>51.35</v>
      </c>
      <c r="H86" s="165">
        <v>23.35</v>
      </c>
      <c r="I86" s="165">
        <v>6.7</v>
      </c>
      <c r="J86" s="165">
        <v>0.25</v>
      </c>
      <c r="K86" s="165">
        <v>172.78</v>
      </c>
      <c r="L86" s="165">
        <v>21.94</v>
      </c>
      <c r="M86" s="165">
        <v>46.75</v>
      </c>
      <c r="N86" s="165">
        <v>1</v>
      </c>
      <c r="O86" s="165">
        <v>0</v>
      </c>
      <c r="P86" s="165">
        <v>0.41</v>
      </c>
      <c r="Q86" s="165">
        <v>12.94</v>
      </c>
      <c r="R86" s="6"/>
      <c r="S86" s="6"/>
      <c r="T86" s="156"/>
      <c r="U86" s="6"/>
    </row>
    <row r="87" spans="1:21" customFormat="1">
      <c r="A87" s="164" t="s">
        <v>1181</v>
      </c>
      <c r="B87" s="165">
        <v>4.79</v>
      </c>
      <c r="C87" s="165">
        <v>19.03</v>
      </c>
      <c r="D87" s="165">
        <v>15.14</v>
      </c>
      <c r="E87" s="165">
        <v>10.89</v>
      </c>
      <c r="F87" s="152" t="s">
        <v>15</v>
      </c>
      <c r="G87" s="165">
        <v>51.5</v>
      </c>
      <c r="H87" s="165">
        <v>23.34</v>
      </c>
      <c r="I87" s="165">
        <v>6.63</v>
      </c>
      <c r="J87" s="165">
        <v>0.25</v>
      </c>
      <c r="K87" s="165">
        <v>165.85</v>
      </c>
      <c r="L87" s="165">
        <v>21.61</v>
      </c>
      <c r="M87" s="165">
        <v>45.16</v>
      </c>
      <c r="N87" s="165">
        <v>0.9</v>
      </c>
      <c r="O87" s="165">
        <v>0</v>
      </c>
      <c r="P87" s="165">
        <v>0.42</v>
      </c>
      <c r="Q87" s="165">
        <v>12.94</v>
      </c>
      <c r="R87" s="6"/>
      <c r="S87" s="6"/>
      <c r="T87" s="156"/>
      <c r="U87" s="6"/>
    </row>
    <row r="88" spans="1:21" customFormat="1">
      <c r="A88" s="164" t="s">
        <v>1182</v>
      </c>
      <c r="B88" s="165">
        <v>4.8499999999999996</v>
      </c>
      <c r="C88" s="165">
        <v>18.97</v>
      </c>
      <c r="D88" s="165">
        <v>15.15</v>
      </c>
      <c r="E88" s="165">
        <v>11.51</v>
      </c>
      <c r="F88" s="152" t="s">
        <v>15</v>
      </c>
      <c r="G88" s="165">
        <v>54.71</v>
      </c>
      <c r="H88" s="165">
        <v>23.03</v>
      </c>
      <c r="I88" s="165">
        <v>6.82</v>
      </c>
      <c r="J88" s="165">
        <v>0.26</v>
      </c>
      <c r="K88" s="165">
        <v>162.77000000000001</v>
      </c>
      <c r="L88" s="165">
        <v>21.27</v>
      </c>
      <c r="M88" s="165">
        <v>47.48</v>
      </c>
      <c r="N88" s="165">
        <v>1</v>
      </c>
      <c r="O88" s="165">
        <v>0</v>
      </c>
      <c r="P88" s="165">
        <v>0.43</v>
      </c>
      <c r="Q88" s="165">
        <v>12.92</v>
      </c>
      <c r="R88" s="6"/>
      <c r="S88" s="6"/>
      <c r="T88" s="156"/>
      <c r="U88" s="6"/>
    </row>
    <row r="89" spans="1:21" customFormat="1">
      <c r="A89" s="164" t="s">
        <v>1183</v>
      </c>
      <c r="B89" s="165">
        <v>4.9400000000000004</v>
      </c>
      <c r="C89" s="165">
        <v>19.02</v>
      </c>
      <c r="D89" s="165">
        <v>15.24</v>
      </c>
      <c r="E89" s="165">
        <v>10.79</v>
      </c>
      <c r="F89" s="152" t="s">
        <v>15</v>
      </c>
      <c r="G89" s="165">
        <v>54.71</v>
      </c>
      <c r="H89" s="165">
        <v>23.03</v>
      </c>
      <c r="I89" s="165">
        <v>6.95</v>
      </c>
      <c r="J89" s="165">
        <v>0.22</v>
      </c>
      <c r="K89" s="165">
        <v>168.03</v>
      </c>
      <c r="L89" s="165">
        <v>21.1</v>
      </c>
      <c r="M89" s="165">
        <v>43.11</v>
      </c>
      <c r="N89" s="165">
        <v>0.7</v>
      </c>
      <c r="O89" s="165">
        <v>0</v>
      </c>
      <c r="P89" s="165">
        <v>0.43</v>
      </c>
      <c r="Q89" s="165">
        <v>12.92</v>
      </c>
      <c r="R89" s="6"/>
      <c r="S89" s="6"/>
      <c r="T89" s="156"/>
      <c r="U89" s="6"/>
    </row>
    <row r="90" spans="1:21" customFormat="1">
      <c r="A90" s="164" t="s">
        <v>1184</v>
      </c>
      <c r="B90" s="165">
        <v>5.01</v>
      </c>
      <c r="C90" s="165">
        <v>19.04</v>
      </c>
      <c r="D90" s="165">
        <v>15.32</v>
      </c>
      <c r="E90" s="165">
        <v>10.84</v>
      </c>
      <c r="F90" s="152" t="s">
        <v>15</v>
      </c>
      <c r="G90" s="165">
        <v>54.71</v>
      </c>
      <c r="H90" s="165">
        <v>23.03</v>
      </c>
      <c r="I90" s="165">
        <v>7</v>
      </c>
      <c r="J90" s="165">
        <v>0.16</v>
      </c>
      <c r="K90" s="165">
        <v>184.57</v>
      </c>
      <c r="L90" s="165">
        <v>20.82</v>
      </c>
      <c r="M90" s="165">
        <v>42.44</v>
      </c>
      <c r="N90" s="165">
        <v>0.8</v>
      </c>
      <c r="O90" s="165">
        <v>0</v>
      </c>
      <c r="P90" s="165">
        <v>0.44</v>
      </c>
      <c r="Q90" s="165">
        <v>12.92</v>
      </c>
      <c r="R90" s="6"/>
      <c r="S90" s="6"/>
      <c r="T90" s="156"/>
      <c r="U90" s="6"/>
    </row>
    <row r="91" spans="1:21" customFormat="1">
      <c r="A91" s="164" t="s">
        <v>1185</v>
      </c>
      <c r="B91" s="165">
        <v>5.09</v>
      </c>
      <c r="C91" s="165">
        <v>19.05</v>
      </c>
      <c r="D91" s="165">
        <v>15.38</v>
      </c>
      <c r="E91" s="165">
        <v>11.08</v>
      </c>
      <c r="F91" s="152" t="s">
        <v>15</v>
      </c>
      <c r="G91" s="165">
        <v>54.84</v>
      </c>
      <c r="H91" s="165">
        <v>22.94</v>
      </c>
      <c r="I91" s="165">
        <v>7.01</v>
      </c>
      <c r="J91" s="165">
        <v>0.25</v>
      </c>
      <c r="K91" s="165">
        <v>166.65</v>
      </c>
      <c r="L91" s="165">
        <v>20.76</v>
      </c>
      <c r="M91" s="165">
        <v>43.75</v>
      </c>
      <c r="N91" s="165">
        <v>0.8</v>
      </c>
      <c r="O91" s="165">
        <v>0</v>
      </c>
      <c r="P91" s="165">
        <v>0.46</v>
      </c>
      <c r="Q91" s="165">
        <v>12.93</v>
      </c>
      <c r="R91" s="6"/>
      <c r="S91" s="6"/>
      <c r="T91" s="156"/>
      <c r="U91" s="6"/>
    </row>
    <row r="92" spans="1:21" customFormat="1">
      <c r="A92" s="164" t="s">
        <v>1186</v>
      </c>
      <c r="B92" s="165">
        <v>5.14</v>
      </c>
      <c r="C92" s="165">
        <v>19.09</v>
      </c>
      <c r="D92" s="165">
        <v>15.45</v>
      </c>
      <c r="E92" s="165">
        <v>10.4</v>
      </c>
      <c r="F92" s="152" t="s">
        <v>15</v>
      </c>
      <c r="G92" s="165">
        <v>57.59</v>
      </c>
      <c r="H92" s="165">
        <v>20.22</v>
      </c>
      <c r="I92" s="165">
        <v>7.19</v>
      </c>
      <c r="J92" s="165">
        <v>0.19</v>
      </c>
      <c r="K92" s="165">
        <v>174.77</v>
      </c>
      <c r="L92" s="165">
        <v>20.29</v>
      </c>
      <c r="M92" s="165">
        <v>49.64</v>
      </c>
      <c r="N92" s="165">
        <v>1</v>
      </c>
      <c r="O92" s="165">
        <v>0</v>
      </c>
      <c r="P92" s="165">
        <v>0.47</v>
      </c>
      <c r="Q92" s="165">
        <v>12.94</v>
      </c>
      <c r="R92" s="6"/>
      <c r="S92" s="6"/>
      <c r="T92" s="156"/>
      <c r="U92" s="6"/>
    </row>
    <row r="93" spans="1:21" customFormat="1">
      <c r="A93" s="164" t="s">
        <v>1187</v>
      </c>
      <c r="B93" s="165">
        <v>5.23</v>
      </c>
      <c r="C93" s="165">
        <v>19.18</v>
      </c>
      <c r="D93" s="165">
        <v>15.56</v>
      </c>
      <c r="E93" s="165">
        <v>11.18</v>
      </c>
      <c r="F93" s="152" t="s">
        <v>15</v>
      </c>
      <c r="G93" s="165">
        <v>57.59</v>
      </c>
      <c r="H93" s="165">
        <v>20.22</v>
      </c>
      <c r="I93" s="165">
        <v>7.26</v>
      </c>
      <c r="J93" s="165">
        <v>0.21</v>
      </c>
      <c r="K93" s="165">
        <v>163.55000000000001</v>
      </c>
      <c r="L93" s="165">
        <v>19.93</v>
      </c>
      <c r="M93" s="165">
        <v>53.98</v>
      </c>
      <c r="N93" s="165">
        <v>1</v>
      </c>
      <c r="O93" s="165">
        <v>0</v>
      </c>
      <c r="P93" s="165">
        <v>0.47</v>
      </c>
      <c r="Q93" s="165">
        <v>12.93</v>
      </c>
      <c r="R93" s="6"/>
      <c r="S93" s="6"/>
      <c r="T93" s="156"/>
      <c r="U93" s="6"/>
    </row>
    <row r="94" spans="1:21" customFormat="1">
      <c r="A94" s="164" t="s">
        <v>1188</v>
      </c>
      <c r="B94" s="165">
        <v>5.78</v>
      </c>
      <c r="C94" s="165">
        <v>19.48</v>
      </c>
      <c r="D94" s="165">
        <v>16.170000000000002</v>
      </c>
      <c r="E94" s="165">
        <v>10.97</v>
      </c>
      <c r="F94" s="152" t="s">
        <v>15</v>
      </c>
      <c r="G94" s="165">
        <v>57.59</v>
      </c>
      <c r="H94" s="165">
        <v>20.22</v>
      </c>
      <c r="I94" s="165">
        <v>7.42</v>
      </c>
      <c r="J94" s="165">
        <v>0.23</v>
      </c>
      <c r="K94" s="165">
        <v>167.63</v>
      </c>
      <c r="L94" s="165">
        <v>19.899999999999999</v>
      </c>
      <c r="M94" s="165">
        <v>48.16</v>
      </c>
      <c r="N94" s="165">
        <v>0.7</v>
      </c>
      <c r="O94" s="165">
        <v>0</v>
      </c>
      <c r="P94" s="165">
        <v>0.49</v>
      </c>
      <c r="Q94" s="165">
        <v>12.95</v>
      </c>
      <c r="R94" s="6"/>
      <c r="S94" s="6"/>
      <c r="T94" s="156"/>
      <c r="U94" s="6"/>
    </row>
    <row r="95" spans="1:21" customFormat="1">
      <c r="A95" s="164" t="s">
        <v>1189</v>
      </c>
      <c r="B95" s="165">
        <v>7.09</v>
      </c>
      <c r="C95" s="165">
        <v>20.100000000000001</v>
      </c>
      <c r="D95" s="165">
        <v>17.54</v>
      </c>
      <c r="E95" s="165">
        <v>11.43</v>
      </c>
      <c r="F95" s="152" t="s">
        <v>15</v>
      </c>
      <c r="G95" s="165">
        <v>57.66</v>
      </c>
      <c r="H95" s="165">
        <v>20.25</v>
      </c>
      <c r="I95" s="165">
        <v>7.69</v>
      </c>
      <c r="J95" s="165">
        <v>0.23</v>
      </c>
      <c r="K95" s="165">
        <v>156.16999999999999</v>
      </c>
      <c r="L95" s="165">
        <v>19.93</v>
      </c>
      <c r="M95" s="165">
        <v>53.36</v>
      </c>
      <c r="N95" s="165">
        <v>0.8</v>
      </c>
      <c r="O95" s="165">
        <v>0</v>
      </c>
      <c r="P95" s="165">
        <v>0.51</v>
      </c>
      <c r="Q95" s="165">
        <v>12.95</v>
      </c>
      <c r="R95" s="6"/>
      <c r="S95" s="6"/>
      <c r="T95" s="156"/>
      <c r="U95" s="6"/>
    </row>
    <row r="96" spans="1:21" customFormat="1">
      <c r="A96" s="164" t="s">
        <v>1190</v>
      </c>
      <c r="B96" s="165">
        <v>8.43</v>
      </c>
      <c r="C96" s="165">
        <v>20.62</v>
      </c>
      <c r="D96" s="165">
        <v>18.89</v>
      </c>
      <c r="E96" s="165">
        <v>11.38</v>
      </c>
      <c r="F96" s="152" t="s">
        <v>15</v>
      </c>
      <c r="G96" s="165">
        <v>59.25</v>
      </c>
      <c r="H96" s="165">
        <v>21.16</v>
      </c>
      <c r="I96" s="165">
        <v>7.88</v>
      </c>
      <c r="J96" s="165">
        <v>0.23</v>
      </c>
      <c r="K96" s="165">
        <v>170.49</v>
      </c>
      <c r="L96" s="165">
        <v>19.77</v>
      </c>
      <c r="M96" s="165">
        <v>50.55</v>
      </c>
      <c r="N96" s="165">
        <v>0.8</v>
      </c>
      <c r="O96" s="165">
        <v>0</v>
      </c>
      <c r="P96" s="165">
        <v>0.54</v>
      </c>
      <c r="Q96" s="165">
        <v>12.94</v>
      </c>
      <c r="R96" s="6"/>
      <c r="S96" s="6"/>
      <c r="T96" s="156"/>
      <c r="U96" s="6"/>
    </row>
    <row r="97" spans="1:28" customFormat="1">
      <c r="A97" s="164" t="s">
        <v>1191</v>
      </c>
      <c r="B97" s="165">
        <v>11.02</v>
      </c>
      <c r="C97" s="165">
        <v>21.54</v>
      </c>
      <c r="D97" s="165">
        <v>21.45</v>
      </c>
      <c r="E97" s="165">
        <v>10.95</v>
      </c>
      <c r="F97" s="152" t="s">
        <v>15</v>
      </c>
      <c r="G97" s="165">
        <v>59.25</v>
      </c>
      <c r="H97" s="165">
        <v>21.16</v>
      </c>
      <c r="I97" s="165">
        <v>7.97</v>
      </c>
      <c r="J97" s="165">
        <v>0.17</v>
      </c>
      <c r="K97" s="165">
        <v>206.08</v>
      </c>
      <c r="L97" s="165">
        <v>19.54</v>
      </c>
      <c r="M97" s="165">
        <v>51.56</v>
      </c>
      <c r="N97" s="165">
        <v>0.8</v>
      </c>
      <c r="O97" s="165">
        <v>0</v>
      </c>
      <c r="P97" s="165">
        <v>0.56000000000000005</v>
      </c>
      <c r="Q97" s="165">
        <v>12.96</v>
      </c>
      <c r="R97" s="6"/>
      <c r="S97" s="6"/>
      <c r="T97" s="156"/>
      <c r="U97" s="6"/>
    </row>
    <row r="98" spans="1:28" customFormat="1">
      <c r="A98" s="164" t="s">
        <v>1192</v>
      </c>
      <c r="B98" s="165">
        <v>14.45</v>
      </c>
      <c r="C98" s="165">
        <v>22.49</v>
      </c>
      <c r="D98" s="165">
        <v>24.69</v>
      </c>
      <c r="E98" s="165">
        <v>11.12</v>
      </c>
      <c r="F98" s="152" t="s">
        <v>15</v>
      </c>
      <c r="G98" s="165">
        <v>59.25</v>
      </c>
      <c r="H98" s="165">
        <v>21.16</v>
      </c>
      <c r="I98" s="165">
        <v>8.15</v>
      </c>
      <c r="J98" s="165">
        <v>0.24</v>
      </c>
      <c r="K98" s="165">
        <v>188.39</v>
      </c>
      <c r="L98" s="165">
        <v>19.04</v>
      </c>
      <c r="M98" s="165">
        <v>57.22</v>
      </c>
      <c r="N98" s="165">
        <v>1.4</v>
      </c>
      <c r="O98" s="165">
        <v>0</v>
      </c>
      <c r="P98" s="165">
        <v>0.61</v>
      </c>
      <c r="Q98" s="165">
        <v>12.98</v>
      </c>
      <c r="R98" s="6"/>
      <c r="S98" s="6"/>
      <c r="T98" s="156"/>
      <c r="U98" s="6"/>
    </row>
    <row r="99" spans="1:28" customFormat="1">
      <c r="A99" s="164" t="s">
        <v>1193</v>
      </c>
      <c r="B99" s="165">
        <v>16.11</v>
      </c>
      <c r="C99" s="165">
        <v>22.93</v>
      </c>
      <c r="D99" s="165">
        <v>26.25</v>
      </c>
      <c r="E99" s="165">
        <v>11.14</v>
      </c>
      <c r="F99" s="152" t="s">
        <v>15</v>
      </c>
      <c r="G99" s="165">
        <v>59.41</v>
      </c>
      <c r="H99" s="165">
        <v>21.18</v>
      </c>
      <c r="I99" s="165">
        <v>8.44</v>
      </c>
      <c r="J99" s="165">
        <v>0.2</v>
      </c>
      <c r="K99" s="165">
        <v>187.89</v>
      </c>
      <c r="L99" s="165">
        <v>18.190000000000001</v>
      </c>
      <c r="M99" s="165">
        <v>58.12</v>
      </c>
      <c r="N99" s="165">
        <v>1.3</v>
      </c>
      <c r="O99" s="165">
        <v>0</v>
      </c>
      <c r="P99" s="165">
        <v>0.62</v>
      </c>
      <c r="Q99" s="165">
        <v>13</v>
      </c>
      <c r="R99" s="6"/>
      <c r="S99" s="6"/>
      <c r="T99" s="156"/>
      <c r="U99" s="6"/>
    </row>
    <row r="100" spans="1:28" customFormat="1">
      <c r="A100" s="164" t="s">
        <v>1194</v>
      </c>
      <c r="B100" s="165">
        <v>17.05</v>
      </c>
      <c r="C100" s="165">
        <v>22.76</v>
      </c>
      <c r="D100" s="165">
        <v>26.91</v>
      </c>
      <c r="E100" s="165">
        <v>11.83</v>
      </c>
      <c r="F100" s="152" t="s">
        <v>15</v>
      </c>
      <c r="G100" s="165">
        <v>62.7</v>
      </c>
      <c r="H100" s="165">
        <v>21.89</v>
      </c>
      <c r="I100" s="165">
        <v>8.7100000000000009</v>
      </c>
      <c r="J100" s="165">
        <v>0.27</v>
      </c>
      <c r="K100" s="165">
        <v>171.64</v>
      </c>
      <c r="L100" s="165">
        <v>18.07</v>
      </c>
      <c r="M100" s="165">
        <v>56.15</v>
      </c>
      <c r="N100" s="165">
        <v>1</v>
      </c>
      <c r="O100" s="165">
        <v>0</v>
      </c>
      <c r="P100" s="165">
        <v>0.63</v>
      </c>
      <c r="Q100" s="165">
        <v>13</v>
      </c>
      <c r="R100" s="6"/>
      <c r="S100" s="6"/>
      <c r="T100" s="156"/>
      <c r="U100" s="6"/>
      <c r="AB100" s="161"/>
    </row>
    <row r="101" spans="1:28" customFormat="1">
      <c r="A101" s="164" t="s">
        <v>1195</v>
      </c>
      <c r="B101" s="165">
        <v>17.440000000000001</v>
      </c>
      <c r="C101" s="165">
        <v>22.96</v>
      </c>
      <c r="D101" s="165">
        <v>27.33</v>
      </c>
      <c r="E101" s="165">
        <v>11.88</v>
      </c>
      <c r="F101" s="152" t="s">
        <v>15</v>
      </c>
      <c r="G101" s="165">
        <v>62.7</v>
      </c>
      <c r="H101" s="165">
        <v>21.89</v>
      </c>
      <c r="I101" s="165">
        <v>8.76</v>
      </c>
      <c r="J101" s="165">
        <v>0.15</v>
      </c>
      <c r="K101" s="165">
        <v>148.5</v>
      </c>
      <c r="L101" s="165">
        <v>17.96</v>
      </c>
      <c r="M101" s="165">
        <v>56.05</v>
      </c>
      <c r="N101" s="165">
        <v>0.8</v>
      </c>
      <c r="O101" s="165">
        <v>0</v>
      </c>
      <c r="P101" s="165">
        <v>0.67</v>
      </c>
      <c r="Q101" s="165">
        <v>12.98</v>
      </c>
      <c r="R101" s="6"/>
      <c r="S101" s="6"/>
      <c r="T101" s="156"/>
      <c r="U101" s="6"/>
    </row>
    <row r="102" spans="1:28" customFormat="1">
      <c r="A102" s="164" t="s">
        <v>1196</v>
      </c>
      <c r="B102" s="165">
        <v>18.52</v>
      </c>
      <c r="C102" s="165">
        <v>24.02</v>
      </c>
      <c r="D102" s="165">
        <v>28.75</v>
      </c>
      <c r="E102" s="165">
        <v>11.66</v>
      </c>
      <c r="F102" s="152" t="s">
        <v>15</v>
      </c>
      <c r="G102" s="165">
        <v>62.7</v>
      </c>
      <c r="H102" s="165">
        <v>21.89</v>
      </c>
      <c r="I102" s="165">
        <v>8.84</v>
      </c>
      <c r="J102" s="165">
        <v>0.24</v>
      </c>
      <c r="K102" s="165">
        <v>181.18</v>
      </c>
      <c r="L102" s="165">
        <v>18.07</v>
      </c>
      <c r="M102" s="165">
        <v>59.13</v>
      </c>
      <c r="N102" s="165">
        <v>0.8</v>
      </c>
      <c r="O102" s="165">
        <v>0</v>
      </c>
      <c r="P102" s="165">
        <v>0.74</v>
      </c>
      <c r="Q102" s="165">
        <v>12.97</v>
      </c>
      <c r="R102" s="6"/>
      <c r="S102" s="6"/>
      <c r="T102" s="156"/>
      <c r="U102" s="6"/>
    </row>
    <row r="103" spans="1:28" customFormat="1">
      <c r="A103" s="164" t="s">
        <v>1197</v>
      </c>
      <c r="B103" s="165">
        <v>19.84</v>
      </c>
      <c r="C103" s="165">
        <v>24.43</v>
      </c>
      <c r="D103" s="165">
        <v>30.03</v>
      </c>
      <c r="E103" s="165">
        <v>11.41</v>
      </c>
      <c r="F103" s="152" t="s">
        <v>15</v>
      </c>
      <c r="G103" s="165">
        <v>62.92</v>
      </c>
      <c r="H103" s="165">
        <v>21.86</v>
      </c>
      <c r="I103" s="165">
        <v>8.9700000000000006</v>
      </c>
      <c r="J103" s="165">
        <v>0.17</v>
      </c>
      <c r="K103" s="165">
        <v>195.2</v>
      </c>
      <c r="L103" s="165">
        <v>17.34</v>
      </c>
      <c r="M103" s="165">
        <v>64.19</v>
      </c>
      <c r="N103" s="165">
        <v>1.3</v>
      </c>
      <c r="O103" s="165">
        <v>0</v>
      </c>
      <c r="P103" s="165">
        <v>0.76</v>
      </c>
      <c r="Q103" s="165">
        <v>13</v>
      </c>
      <c r="R103" s="6"/>
      <c r="S103" s="6"/>
      <c r="T103" s="156"/>
      <c r="U103" s="6"/>
    </row>
    <row r="104" spans="1:28" customFormat="1">
      <c r="A104" s="164" t="s">
        <v>1198</v>
      </c>
      <c r="B104" s="165">
        <v>20.43</v>
      </c>
      <c r="C104" s="165">
        <v>24.19</v>
      </c>
      <c r="D104" s="165">
        <v>30.37</v>
      </c>
      <c r="E104" s="165">
        <v>11.4</v>
      </c>
      <c r="F104" s="152" t="s">
        <v>15</v>
      </c>
      <c r="G104" s="165">
        <v>67.56</v>
      </c>
      <c r="H104" s="165">
        <v>20.76</v>
      </c>
      <c r="I104" s="165">
        <v>9.18</v>
      </c>
      <c r="J104" s="165">
        <v>0.11</v>
      </c>
      <c r="K104" s="165">
        <v>189.33</v>
      </c>
      <c r="L104" s="165">
        <v>17.16</v>
      </c>
      <c r="M104" s="165">
        <v>65.41</v>
      </c>
      <c r="N104" s="165">
        <v>0.9</v>
      </c>
      <c r="O104" s="165">
        <v>0</v>
      </c>
      <c r="P104" s="165">
        <v>0.78</v>
      </c>
      <c r="Q104" s="165">
        <v>13.01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3.85</v>
      </c>
      <c r="C106" s="158">
        <f>MIN(C9:C104)</f>
        <v>17.32</v>
      </c>
      <c r="D106" s="158">
        <f t="shared" ref="D106:Q106" si="0">MIN(D9:D104)</f>
        <v>13.73</v>
      </c>
      <c r="E106" s="158">
        <f t="shared" si="0"/>
        <v>7.41</v>
      </c>
      <c r="F106" s="158">
        <f t="shared" si="0"/>
        <v>0</v>
      </c>
      <c r="G106" s="158">
        <f t="shared" si="0"/>
        <v>36.92</v>
      </c>
      <c r="H106" s="158">
        <f t="shared" si="0"/>
        <v>17.16</v>
      </c>
      <c r="I106" s="158">
        <f t="shared" si="0"/>
        <v>6.46</v>
      </c>
      <c r="J106" s="158">
        <f t="shared" si="0"/>
        <v>7.0000000000000007E-2</v>
      </c>
      <c r="K106" s="158">
        <f t="shared" si="0"/>
        <v>1.77</v>
      </c>
      <c r="L106" s="158">
        <f t="shared" si="0"/>
        <v>13.09</v>
      </c>
      <c r="M106" s="158">
        <f t="shared" si="0"/>
        <v>8.75</v>
      </c>
      <c r="N106" s="158">
        <f t="shared" si="0"/>
        <v>0.5</v>
      </c>
      <c r="O106" s="158">
        <f t="shared" si="0"/>
        <v>0</v>
      </c>
      <c r="P106" s="158">
        <f t="shared" si="0"/>
        <v>0.4</v>
      </c>
      <c r="Q106" s="158">
        <f t="shared" si="0"/>
        <v>12.91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29.01</v>
      </c>
      <c r="C107" s="157">
        <f t="shared" ref="C107:Q107" si="1">MAX(C9:C104)</f>
        <v>28.79</v>
      </c>
      <c r="D107" s="157">
        <f t="shared" si="1"/>
        <v>39.619999999999997</v>
      </c>
      <c r="E107" s="157">
        <f t="shared" si="1"/>
        <v>28.88</v>
      </c>
      <c r="F107" s="157">
        <f t="shared" si="1"/>
        <v>0</v>
      </c>
      <c r="G107" s="157">
        <f t="shared" si="1"/>
        <v>151.03</v>
      </c>
      <c r="H107" s="157">
        <f t="shared" si="1"/>
        <v>33.18</v>
      </c>
      <c r="I107" s="157">
        <f t="shared" si="1"/>
        <v>12.44</v>
      </c>
      <c r="J107" s="157">
        <f t="shared" si="1"/>
        <v>1.1299999999999999</v>
      </c>
      <c r="K107" s="157">
        <f t="shared" si="1"/>
        <v>330.98</v>
      </c>
      <c r="L107" s="157">
        <f t="shared" si="1"/>
        <v>32.47</v>
      </c>
      <c r="M107" s="157">
        <f t="shared" si="1"/>
        <v>78.38</v>
      </c>
      <c r="N107" s="157">
        <f t="shared" si="1"/>
        <v>418.1</v>
      </c>
      <c r="O107" s="157">
        <f t="shared" si="1"/>
        <v>0</v>
      </c>
      <c r="P107" s="157">
        <f t="shared" si="1"/>
        <v>0.89</v>
      </c>
      <c r="Q107" s="157">
        <f t="shared" si="1"/>
        <v>13.05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13.16145833333333</v>
      </c>
      <c r="C108" s="158">
        <f t="shared" ref="C108:Q108" si="2">AVERAGE(C9:C104)</f>
        <v>23.282708333333328</v>
      </c>
      <c r="D108" s="158">
        <f t="shared" si="2"/>
        <v>24.06979166666666</v>
      </c>
      <c r="E108" s="158">
        <f t="shared" si="2"/>
        <v>11.552708333333335</v>
      </c>
      <c r="F108" s="158" t="e">
        <f t="shared" si="2"/>
        <v>#DIV/0!</v>
      </c>
      <c r="G108" s="158">
        <f t="shared" si="2"/>
        <v>79.991562500000001</v>
      </c>
      <c r="H108" s="158">
        <f t="shared" si="2"/>
        <v>24.139062499999991</v>
      </c>
      <c r="I108" s="158">
        <f t="shared" si="2"/>
        <v>8.7827083333333338</v>
      </c>
      <c r="J108" s="158">
        <f t="shared" si="2"/>
        <v>0.30833333333333335</v>
      </c>
      <c r="K108" s="158">
        <f t="shared" si="2"/>
        <v>140.10937500000003</v>
      </c>
      <c r="L108" s="158">
        <f t="shared" si="2"/>
        <v>22.375937499999996</v>
      </c>
      <c r="M108" s="158">
        <f t="shared" si="2"/>
        <v>39.655833333333348</v>
      </c>
      <c r="N108" s="158">
        <f t="shared" si="2"/>
        <v>103.20312499999999</v>
      </c>
      <c r="O108" s="158">
        <f t="shared" si="2"/>
        <v>0</v>
      </c>
      <c r="P108" s="158">
        <f t="shared" si="2"/>
        <v>0.63364583333333313</v>
      </c>
      <c r="Q108" s="158">
        <f t="shared" si="2"/>
        <v>12.978125000000006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9.2522180531756213</v>
      </c>
      <c r="C109" s="158">
        <f t="shared" ref="C109:Q109" si="3">STDEV(C9:C104)</f>
        <v>3.8337027529850953</v>
      </c>
      <c r="D109" s="158">
        <f t="shared" si="3"/>
        <v>9.0491144061221718</v>
      </c>
      <c r="E109" s="158">
        <f t="shared" si="3"/>
        <v>3.6949221141756721</v>
      </c>
      <c r="F109" s="158" t="e">
        <f t="shared" si="3"/>
        <v>#DIV/0!</v>
      </c>
      <c r="G109" s="158">
        <f t="shared" si="3"/>
        <v>36.281610865651736</v>
      </c>
      <c r="H109" s="158">
        <f t="shared" si="3"/>
        <v>4.5843975849729706</v>
      </c>
      <c r="I109" s="158">
        <f t="shared" si="3"/>
        <v>1.5588723854232207</v>
      </c>
      <c r="J109" s="158">
        <f t="shared" si="3"/>
        <v>0.2113349382860083</v>
      </c>
      <c r="K109" s="158">
        <f t="shared" si="3"/>
        <v>73.995828229669343</v>
      </c>
      <c r="L109" s="158">
        <f t="shared" si="3"/>
        <v>6.2332116547486693</v>
      </c>
      <c r="M109" s="158">
        <f t="shared" si="3"/>
        <v>22.163048368454529</v>
      </c>
      <c r="N109" s="158">
        <f t="shared" si="3"/>
        <v>158.75479036493925</v>
      </c>
      <c r="O109" s="158">
        <f t="shared" si="3"/>
        <v>0</v>
      </c>
      <c r="P109" s="158">
        <f t="shared" si="3"/>
        <v>0.14048127645735536</v>
      </c>
      <c r="Q109" s="158">
        <f t="shared" si="3"/>
        <v>4.3777247154441361E-2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H101" sqref="H10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1199</v>
      </c>
      <c r="B9" s="100">
        <v>20.56</v>
      </c>
      <c r="C9" s="100">
        <v>24.36</v>
      </c>
      <c r="D9" s="100">
        <v>30.56</v>
      </c>
      <c r="E9" s="100">
        <v>11.43</v>
      </c>
      <c r="F9" s="152" t="s">
        <v>15</v>
      </c>
      <c r="G9" s="100">
        <v>67.56</v>
      </c>
      <c r="H9" s="100">
        <v>20.76</v>
      </c>
      <c r="I9" s="100">
        <v>9.32</v>
      </c>
      <c r="J9" s="100">
        <v>0.27</v>
      </c>
      <c r="K9" s="100">
        <v>165.18</v>
      </c>
      <c r="L9" s="100">
        <v>17.16</v>
      </c>
      <c r="M9" s="100">
        <v>63.8</v>
      </c>
      <c r="N9" s="100">
        <v>0.9</v>
      </c>
      <c r="O9" s="100">
        <v>0</v>
      </c>
      <c r="P9" s="100">
        <v>0.77</v>
      </c>
      <c r="Q9" s="100">
        <v>13</v>
      </c>
      <c r="R9" s="6"/>
      <c r="S9" s="6"/>
      <c r="T9" s="156"/>
      <c r="U9" s="6"/>
    </row>
    <row r="10" spans="1:21" customFormat="1">
      <c r="A10" s="163" t="s">
        <v>1200</v>
      </c>
      <c r="B10" s="100">
        <v>20.96</v>
      </c>
      <c r="C10" s="100">
        <v>24.25</v>
      </c>
      <c r="D10" s="100">
        <v>30.83</v>
      </c>
      <c r="E10" s="100">
        <v>11.39</v>
      </c>
      <c r="F10" s="152" t="s">
        <v>15</v>
      </c>
      <c r="G10" s="100">
        <v>67.56</v>
      </c>
      <c r="H10" s="100">
        <v>20.76</v>
      </c>
      <c r="I10" s="100">
        <v>9.4</v>
      </c>
      <c r="J10" s="100">
        <v>0.23</v>
      </c>
      <c r="K10" s="100">
        <v>184.46</v>
      </c>
      <c r="L10" s="100">
        <v>17.03</v>
      </c>
      <c r="M10" s="100">
        <v>65.599999999999994</v>
      </c>
      <c r="N10" s="100">
        <v>0.9</v>
      </c>
      <c r="O10" s="100">
        <v>0</v>
      </c>
      <c r="P10" s="100">
        <v>0.79</v>
      </c>
      <c r="Q10" s="100">
        <v>13.01</v>
      </c>
      <c r="R10" s="6"/>
      <c r="S10" s="6"/>
      <c r="T10" s="156"/>
      <c r="U10" s="6"/>
    </row>
    <row r="11" spans="1:21" customFormat="1">
      <c r="A11" s="163" t="s">
        <v>1201</v>
      </c>
      <c r="B11" s="100">
        <v>21.28</v>
      </c>
      <c r="C11" s="100">
        <v>24.26</v>
      </c>
      <c r="D11" s="100">
        <v>31.09</v>
      </c>
      <c r="E11" s="100">
        <v>11.26</v>
      </c>
      <c r="F11" s="152" t="s">
        <v>15</v>
      </c>
      <c r="G11" s="100">
        <v>67.7</v>
      </c>
      <c r="H11" s="100">
        <v>20.71</v>
      </c>
      <c r="I11" s="100">
        <v>9.4</v>
      </c>
      <c r="J11" s="100">
        <v>0.12</v>
      </c>
      <c r="K11" s="100">
        <v>208.31</v>
      </c>
      <c r="L11" s="100">
        <v>16.82</v>
      </c>
      <c r="M11" s="100">
        <v>62.55</v>
      </c>
      <c r="N11" s="100">
        <v>1</v>
      </c>
      <c r="O11" s="100">
        <v>0</v>
      </c>
      <c r="P11" s="100">
        <v>0.79</v>
      </c>
      <c r="Q11" s="100">
        <v>13</v>
      </c>
      <c r="R11" s="6"/>
      <c r="S11" s="6"/>
      <c r="T11" s="156"/>
      <c r="U11" s="6"/>
    </row>
    <row r="12" spans="1:21" customFormat="1">
      <c r="A12" s="163" t="s">
        <v>1202</v>
      </c>
      <c r="B12" s="100">
        <v>21.4</v>
      </c>
      <c r="C12" s="100">
        <v>24.14</v>
      </c>
      <c r="D12" s="100">
        <v>31.13</v>
      </c>
      <c r="E12" s="100">
        <v>11.02</v>
      </c>
      <c r="F12" s="152" t="s">
        <v>15</v>
      </c>
      <c r="G12" s="100">
        <v>70.709999999999994</v>
      </c>
      <c r="H12" s="100">
        <v>19.059999999999999</v>
      </c>
      <c r="I12" s="100">
        <v>9.5</v>
      </c>
      <c r="J12" s="100">
        <v>0.12</v>
      </c>
      <c r="K12" s="100">
        <v>190.48</v>
      </c>
      <c r="L12" s="100">
        <v>16.93</v>
      </c>
      <c r="M12" s="100">
        <v>60.17</v>
      </c>
      <c r="N12" s="100">
        <v>0.7</v>
      </c>
      <c r="O12" s="100">
        <v>0</v>
      </c>
      <c r="P12" s="100">
        <v>0.79</v>
      </c>
      <c r="Q12" s="100">
        <v>13.02</v>
      </c>
      <c r="R12" s="6"/>
      <c r="S12" s="6"/>
      <c r="T12" s="156"/>
      <c r="U12" s="6"/>
    </row>
    <row r="13" spans="1:21" customFormat="1">
      <c r="A13" s="163" t="s">
        <v>1203</v>
      </c>
      <c r="B13" s="100">
        <v>21.32</v>
      </c>
      <c r="C13" s="100">
        <v>24.21</v>
      </c>
      <c r="D13" s="100">
        <v>31.1</v>
      </c>
      <c r="E13" s="100">
        <v>11.44</v>
      </c>
      <c r="F13" s="152" t="s">
        <v>15</v>
      </c>
      <c r="G13" s="100">
        <v>70.709999999999994</v>
      </c>
      <c r="H13" s="100">
        <v>19.059999999999999</v>
      </c>
      <c r="I13" s="100">
        <v>9.56</v>
      </c>
      <c r="J13" s="100">
        <v>0.24</v>
      </c>
      <c r="K13" s="100">
        <v>194.21</v>
      </c>
      <c r="L13" s="100">
        <v>16.59</v>
      </c>
      <c r="M13" s="100">
        <v>64.31</v>
      </c>
      <c r="N13" s="100">
        <v>1.1000000000000001</v>
      </c>
      <c r="O13" s="100">
        <v>0</v>
      </c>
      <c r="P13" s="100">
        <v>0.79</v>
      </c>
      <c r="Q13" s="100">
        <v>13.01</v>
      </c>
      <c r="R13" s="6"/>
      <c r="S13" s="6"/>
      <c r="T13" s="156"/>
      <c r="U13" s="6"/>
    </row>
    <row r="14" spans="1:21" customFormat="1">
      <c r="A14" s="163" t="s">
        <v>1204</v>
      </c>
      <c r="B14" s="100">
        <v>21.23</v>
      </c>
      <c r="C14" s="100">
        <v>24.19</v>
      </c>
      <c r="D14" s="100">
        <v>31.01</v>
      </c>
      <c r="E14" s="100">
        <v>11.1</v>
      </c>
      <c r="F14" s="152" t="s">
        <v>15</v>
      </c>
      <c r="G14" s="100">
        <v>70.709999999999994</v>
      </c>
      <c r="H14" s="100">
        <v>19.059999999999999</v>
      </c>
      <c r="I14" s="100">
        <v>9.58</v>
      </c>
      <c r="J14" s="100">
        <v>0.19</v>
      </c>
      <c r="K14" s="100">
        <v>197.96</v>
      </c>
      <c r="L14" s="100">
        <v>16.09</v>
      </c>
      <c r="M14" s="100">
        <v>65.73</v>
      </c>
      <c r="N14" s="100">
        <v>1.2</v>
      </c>
      <c r="O14" s="100">
        <v>0</v>
      </c>
      <c r="P14" s="100">
        <v>0.79</v>
      </c>
      <c r="Q14" s="100">
        <v>13.01</v>
      </c>
      <c r="R14" s="6"/>
      <c r="S14" s="6"/>
      <c r="T14" s="156"/>
      <c r="U14" s="6"/>
    </row>
    <row r="15" spans="1:21" customFormat="1">
      <c r="A15" s="163" t="s">
        <v>1205</v>
      </c>
      <c r="B15" s="100">
        <v>21.09</v>
      </c>
      <c r="C15" s="100">
        <v>23.9</v>
      </c>
      <c r="D15" s="100">
        <v>30.75</v>
      </c>
      <c r="E15" s="100">
        <v>10.94</v>
      </c>
      <c r="F15" s="152" t="s">
        <v>15</v>
      </c>
      <c r="G15" s="100">
        <v>70.87</v>
      </c>
      <c r="H15" s="100">
        <v>19.010000000000002</v>
      </c>
      <c r="I15" s="100">
        <v>9.56</v>
      </c>
      <c r="J15" s="100">
        <v>0.18</v>
      </c>
      <c r="K15" s="100">
        <v>224.94</v>
      </c>
      <c r="L15" s="100">
        <v>16.2</v>
      </c>
      <c r="M15" s="100">
        <v>65.040000000000006</v>
      </c>
      <c r="N15" s="100">
        <v>0.9</v>
      </c>
      <c r="O15" s="100">
        <v>0</v>
      </c>
      <c r="P15" s="100">
        <v>0.8</v>
      </c>
      <c r="Q15" s="100">
        <v>13.02</v>
      </c>
      <c r="R15" s="6"/>
      <c r="S15" s="6"/>
      <c r="T15" s="156"/>
      <c r="U15" s="6"/>
    </row>
    <row r="16" spans="1:21" customFormat="1">
      <c r="A16" s="163" t="s">
        <v>1206</v>
      </c>
      <c r="B16" s="100">
        <v>20.92</v>
      </c>
      <c r="C16" s="100">
        <v>23.66</v>
      </c>
      <c r="D16" s="100">
        <v>30.49</v>
      </c>
      <c r="E16" s="100">
        <v>10.76</v>
      </c>
      <c r="F16" s="152" t="s">
        <v>15</v>
      </c>
      <c r="G16" s="100">
        <v>75.430000000000007</v>
      </c>
      <c r="H16" s="100">
        <v>17.34</v>
      </c>
      <c r="I16" s="100">
        <v>9.58</v>
      </c>
      <c r="J16" s="100">
        <v>0.14000000000000001</v>
      </c>
      <c r="K16" s="100">
        <v>185.95</v>
      </c>
      <c r="L16" s="100">
        <v>15.91</v>
      </c>
      <c r="M16" s="100">
        <v>68.739999999999995</v>
      </c>
      <c r="N16" s="100">
        <v>1.2</v>
      </c>
      <c r="O16" s="100">
        <v>0</v>
      </c>
      <c r="P16" s="100">
        <v>0.8</v>
      </c>
      <c r="Q16" s="100">
        <v>13.02</v>
      </c>
      <c r="R16" s="6"/>
      <c r="S16" s="6"/>
      <c r="T16" s="156"/>
      <c r="U16" s="6"/>
    </row>
    <row r="17" spans="1:21" customFormat="1">
      <c r="A17" s="163" t="s">
        <v>1207</v>
      </c>
      <c r="B17" s="100">
        <v>20.79</v>
      </c>
      <c r="C17" s="100">
        <v>23.37</v>
      </c>
      <c r="D17" s="100">
        <v>30.24</v>
      </c>
      <c r="E17" s="100">
        <v>8.9700000000000006</v>
      </c>
      <c r="F17" s="152" t="s">
        <v>15</v>
      </c>
      <c r="G17" s="100">
        <v>75.430000000000007</v>
      </c>
      <c r="H17" s="100">
        <v>17.34</v>
      </c>
      <c r="I17" s="100">
        <v>9.59</v>
      </c>
      <c r="J17" s="100">
        <v>0.2</v>
      </c>
      <c r="K17" s="100">
        <v>156.83000000000001</v>
      </c>
      <c r="L17" s="100">
        <v>16.12</v>
      </c>
      <c r="M17" s="100">
        <v>62.46</v>
      </c>
      <c r="N17" s="100">
        <v>0.8</v>
      </c>
      <c r="O17" s="100">
        <v>0</v>
      </c>
      <c r="P17" s="100">
        <v>0.8</v>
      </c>
      <c r="Q17" s="100">
        <v>13.01</v>
      </c>
      <c r="R17" s="6"/>
      <c r="S17" s="6"/>
      <c r="T17" s="156"/>
      <c r="U17" s="6"/>
    </row>
    <row r="18" spans="1:21" customFormat="1">
      <c r="A18" s="163" t="s">
        <v>1208</v>
      </c>
      <c r="B18" s="100">
        <v>20.37</v>
      </c>
      <c r="C18" s="100">
        <v>23.17</v>
      </c>
      <c r="D18" s="100">
        <v>29.79</v>
      </c>
      <c r="E18" s="100">
        <v>10.47</v>
      </c>
      <c r="F18" s="152" t="s">
        <v>15</v>
      </c>
      <c r="G18" s="100">
        <v>75.430000000000007</v>
      </c>
      <c r="H18" s="100">
        <v>17.34</v>
      </c>
      <c r="I18" s="100">
        <v>9.6300000000000008</v>
      </c>
      <c r="J18" s="100">
        <v>7.0000000000000007E-2</v>
      </c>
      <c r="K18" s="100">
        <v>158.58000000000001</v>
      </c>
      <c r="L18" s="100">
        <v>16.309999999999999</v>
      </c>
      <c r="M18" s="100">
        <v>58.62</v>
      </c>
      <c r="N18" s="100">
        <v>0.7</v>
      </c>
      <c r="O18" s="100">
        <v>0</v>
      </c>
      <c r="P18" s="100">
        <v>0.81</v>
      </c>
      <c r="Q18" s="100">
        <v>13</v>
      </c>
      <c r="R18" s="6"/>
      <c r="S18" s="6"/>
      <c r="T18" s="156"/>
      <c r="U18" s="6"/>
    </row>
    <row r="19" spans="1:21" customFormat="1">
      <c r="A19" s="163" t="s">
        <v>1209</v>
      </c>
      <c r="B19" s="100">
        <v>20.46</v>
      </c>
      <c r="C19" s="100">
        <v>23.31</v>
      </c>
      <c r="D19" s="100">
        <v>29.94</v>
      </c>
      <c r="E19" s="100">
        <v>9.93</v>
      </c>
      <c r="F19" s="152" t="s">
        <v>15</v>
      </c>
      <c r="G19" s="100">
        <v>75.069999999999993</v>
      </c>
      <c r="H19" s="100">
        <v>17.27</v>
      </c>
      <c r="I19" s="100">
        <v>9.69</v>
      </c>
      <c r="J19" s="100">
        <v>0.14000000000000001</v>
      </c>
      <c r="K19" s="100">
        <v>230.97</v>
      </c>
      <c r="L19" s="100">
        <v>16.440000000000001</v>
      </c>
      <c r="M19" s="100">
        <v>58.36</v>
      </c>
      <c r="N19" s="100">
        <v>0.8</v>
      </c>
      <c r="O19" s="100">
        <v>0</v>
      </c>
      <c r="P19" s="100">
        <v>0.82</v>
      </c>
      <c r="Q19" s="100">
        <v>13</v>
      </c>
      <c r="R19" s="6"/>
      <c r="S19" s="6"/>
      <c r="T19" s="156"/>
      <c r="U19" s="6"/>
    </row>
    <row r="20" spans="1:21" customFormat="1">
      <c r="A20" s="163" t="s">
        <v>1210</v>
      </c>
      <c r="B20" s="100">
        <v>21.93</v>
      </c>
      <c r="C20" s="100">
        <v>23.66</v>
      </c>
      <c r="D20" s="100">
        <v>31.29</v>
      </c>
      <c r="E20" s="100">
        <v>10.47</v>
      </c>
      <c r="F20" s="152" t="s">
        <v>15</v>
      </c>
      <c r="G20" s="100">
        <v>67.36</v>
      </c>
      <c r="H20" s="100">
        <v>14.95</v>
      </c>
      <c r="I20" s="100">
        <v>9.7799999999999994</v>
      </c>
      <c r="J20" s="100">
        <v>0.09</v>
      </c>
      <c r="K20" s="100">
        <v>152.34</v>
      </c>
      <c r="L20" s="100">
        <v>16.559999999999999</v>
      </c>
      <c r="M20" s="100">
        <v>55.88</v>
      </c>
      <c r="N20" s="100">
        <v>0.8</v>
      </c>
      <c r="O20" s="100">
        <v>0</v>
      </c>
      <c r="P20" s="100">
        <v>0.83</v>
      </c>
      <c r="Q20" s="100">
        <v>13</v>
      </c>
      <c r="R20" s="6"/>
      <c r="S20" s="6"/>
      <c r="T20" s="156"/>
      <c r="U20" s="6"/>
    </row>
    <row r="21" spans="1:21" customFormat="1">
      <c r="A21" s="163" t="s">
        <v>1211</v>
      </c>
      <c r="B21" s="100">
        <v>23.99</v>
      </c>
      <c r="C21" s="100">
        <v>24.32</v>
      </c>
      <c r="D21" s="100">
        <v>33.299999999999997</v>
      </c>
      <c r="E21" s="100">
        <v>10.44</v>
      </c>
      <c r="F21" s="152" t="s">
        <v>15</v>
      </c>
      <c r="G21" s="100">
        <v>67.36</v>
      </c>
      <c r="H21" s="100">
        <v>14.95</v>
      </c>
      <c r="I21" s="100">
        <v>9.83</v>
      </c>
      <c r="J21" s="100">
        <v>0.2</v>
      </c>
      <c r="K21" s="100">
        <v>157.25</v>
      </c>
      <c r="L21" s="100">
        <v>16.55</v>
      </c>
      <c r="M21" s="100">
        <v>63.39</v>
      </c>
      <c r="N21" s="100">
        <v>1</v>
      </c>
      <c r="O21" s="100">
        <v>0</v>
      </c>
      <c r="P21" s="100">
        <v>0.83</v>
      </c>
      <c r="Q21" s="100">
        <v>13.02</v>
      </c>
      <c r="R21" s="6"/>
      <c r="S21" s="6"/>
      <c r="T21" s="156"/>
      <c r="U21" s="6"/>
    </row>
    <row r="22" spans="1:21" customFormat="1">
      <c r="A22" s="163" t="s">
        <v>1212</v>
      </c>
      <c r="B22" s="100">
        <v>24.94</v>
      </c>
      <c r="C22" s="100">
        <v>24.42</v>
      </c>
      <c r="D22" s="100">
        <v>34.11</v>
      </c>
      <c r="E22" s="100">
        <v>10.26</v>
      </c>
      <c r="F22" s="152" t="s">
        <v>15</v>
      </c>
      <c r="G22" s="100">
        <v>67.36</v>
      </c>
      <c r="H22" s="100">
        <v>14.95</v>
      </c>
      <c r="I22" s="100">
        <v>9.9</v>
      </c>
      <c r="J22" s="100">
        <v>0.16</v>
      </c>
      <c r="K22" s="100">
        <v>164.05</v>
      </c>
      <c r="L22" s="100">
        <v>16.170000000000002</v>
      </c>
      <c r="M22" s="100">
        <v>67.64</v>
      </c>
      <c r="N22" s="100">
        <v>1.1000000000000001</v>
      </c>
      <c r="O22" s="100">
        <v>0</v>
      </c>
      <c r="P22" s="100">
        <v>0.84</v>
      </c>
      <c r="Q22" s="100">
        <v>13.03</v>
      </c>
      <c r="R22" s="6"/>
      <c r="S22" s="6"/>
      <c r="T22" s="156"/>
      <c r="U22" s="6"/>
    </row>
    <row r="23" spans="1:21" customFormat="1">
      <c r="A23" s="163" t="s">
        <v>1213</v>
      </c>
      <c r="B23" s="100">
        <v>25.82</v>
      </c>
      <c r="C23" s="100">
        <v>24.49</v>
      </c>
      <c r="D23" s="100">
        <v>34.85</v>
      </c>
      <c r="E23" s="100">
        <v>10.57</v>
      </c>
      <c r="F23" s="152" t="s">
        <v>15</v>
      </c>
      <c r="G23" s="100">
        <v>67.16</v>
      </c>
      <c r="H23" s="100">
        <v>15.02</v>
      </c>
      <c r="I23" s="100">
        <v>9.98</v>
      </c>
      <c r="J23" s="100">
        <v>0.21</v>
      </c>
      <c r="K23" s="100">
        <v>171.4</v>
      </c>
      <c r="L23" s="100">
        <v>16.170000000000002</v>
      </c>
      <c r="M23" s="100">
        <v>67.099999999999994</v>
      </c>
      <c r="N23" s="100">
        <v>1</v>
      </c>
      <c r="O23" s="100">
        <v>0</v>
      </c>
      <c r="P23" s="100">
        <v>0.85</v>
      </c>
      <c r="Q23" s="100">
        <v>13.02</v>
      </c>
      <c r="R23" s="6"/>
      <c r="S23" s="6"/>
      <c r="T23" s="156"/>
      <c r="U23" s="6"/>
    </row>
    <row r="24" spans="1:21" customFormat="1">
      <c r="A24" s="163" t="s">
        <v>1214</v>
      </c>
      <c r="B24" s="100">
        <v>26.34</v>
      </c>
      <c r="C24" s="100">
        <v>24.26</v>
      </c>
      <c r="D24" s="100">
        <v>35.15</v>
      </c>
      <c r="E24" s="100">
        <v>10.77</v>
      </c>
      <c r="F24" s="152" t="s">
        <v>15</v>
      </c>
      <c r="G24" s="100">
        <v>61.43</v>
      </c>
      <c r="H24" s="100">
        <v>17.170000000000002</v>
      </c>
      <c r="I24" s="100">
        <v>10.029999999999999</v>
      </c>
      <c r="J24" s="100">
        <v>0.2</v>
      </c>
      <c r="K24" s="100">
        <v>177.15</v>
      </c>
      <c r="L24" s="100">
        <v>15.72</v>
      </c>
      <c r="M24" s="100">
        <v>70.31</v>
      </c>
      <c r="N24" s="100">
        <v>1.2</v>
      </c>
      <c r="O24" s="100">
        <v>0</v>
      </c>
      <c r="P24" s="100">
        <v>0.83</v>
      </c>
      <c r="Q24" s="100">
        <v>13.02</v>
      </c>
      <c r="R24" s="6"/>
      <c r="S24" s="6"/>
      <c r="T24" s="156"/>
      <c r="U24" s="6"/>
    </row>
    <row r="25" spans="1:21" customFormat="1">
      <c r="A25" s="163" t="s">
        <v>1215</v>
      </c>
      <c r="B25" s="100">
        <v>26.04</v>
      </c>
      <c r="C25" s="100">
        <v>23.91</v>
      </c>
      <c r="D25" s="100">
        <v>34.729999999999997</v>
      </c>
      <c r="E25" s="100">
        <v>10.29</v>
      </c>
      <c r="F25" s="152" t="s">
        <v>15</v>
      </c>
      <c r="G25" s="100">
        <v>61.43</v>
      </c>
      <c r="H25" s="100">
        <v>17.170000000000002</v>
      </c>
      <c r="I25" s="100">
        <v>10.029999999999999</v>
      </c>
      <c r="J25" s="100">
        <v>0.19</v>
      </c>
      <c r="K25" s="100">
        <v>173.64</v>
      </c>
      <c r="L25" s="100">
        <v>15.9</v>
      </c>
      <c r="M25" s="100">
        <v>68.75</v>
      </c>
      <c r="N25" s="100">
        <v>1</v>
      </c>
      <c r="O25" s="100">
        <v>0</v>
      </c>
      <c r="P25" s="100">
        <v>0.76</v>
      </c>
      <c r="Q25" s="100">
        <v>13.02</v>
      </c>
      <c r="R25" s="6"/>
      <c r="S25" s="6"/>
      <c r="T25" s="156"/>
      <c r="U25" s="6"/>
    </row>
    <row r="26" spans="1:21" customFormat="1">
      <c r="A26" s="163" t="s">
        <v>1216</v>
      </c>
      <c r="B26" s="100">
        <v>26.16</v>
      </c>
      <c r="C26" s="100">
        <v>23.77</v>
      </c>
      <c r="D26" s="100">
        <v>34.75</v>
      </c>
      <c r="E26" s="100">
        <v>10.27</v>
      </c>
      <c r="F26" s="152" t="s">
        <v>15</v>
      </c>
      <c r="G26" s="100">
        <v>61.43</v>
      </c>
      <c r="H26" s="100">
        <v>17.170000000000002</v>
      </c>
      <c r="I26" s="100">
        <v>10.09</v>
      </c>
      <c r="J26" s="100">
        <v>0.16</v>
      </c>
      <c r="K26" s="100">
        <v>183.04</v>
      </c>
      <c r="L26" s="100">
        <v>15.71</v>
      </c>
      <c r="M26" s="100">
        <v>71.03</v>
      </c>
      <c r="N26" s="100">
        <v>1.2</v>
      </c>
      <c r="O26" s="100">
        <v>0</v>
      </c>
      <c r="P26" s="100">
        <v>0.78</v>
      </c>
      <c r="Q26" s="100">
        <v>13.04</v>
      </c>
      <c r="R26" s="6"/>
      <c r="S26" s="6"/>
      <c r="T26" s="156"/>
      <c r="U26" s="6"/>
    </row>
    <row r="27" spans="1:21" customFormat="1">
      <c r="A27" s="163" t="s">
        <v>1217</v>
      </c>
      <c r="B27" s="100">
        <v>26.15</v>
      </c>
      <c r="C27" s="100">
        <v>23.66</v>
      </c>
      <c r="D27" s="100">
        <v>34.68</v>
      </c>
      <c r="E27" s="100">
        <v>11.08</v>
      </c>
      <c r="F27" s="152" t="s">
        <v>15</v>
      </c>
      <c r="G27" s="100">
        <v>61.17</v>
      </c>
      <c r="H27" s="100">
        <v>17.13</v>
      </c>
      <c r="I27" s="100">
        <v>10.18</v>
      </c>
      <c r="J27" s="100">
        <v>0.17</v>
      </c>
      <c r="K27" s="100">
        <v>189.83</v>
      </c>
      <c r="L27" s="100">
        <v>15.44</v>
      </c>
      <c r="M27" s="100">
        <v>69.58</v>
      </c>
      <c r="N27" s="100">
        <v>1.1000000000000001</v>
      </c>
      <c r="O27" s="100">
        <v>0</v>
      </c>
      <c r="P27" s="100">
        <v>0.78</v>
      </c>
      <c r="Q27" s="100">
        <v>13.05</v>
      </c>
      <c r="R27" s="6"/>
      <c r="S27" s="6"/>
      <c r="T27" s="156"/>
      <c r="U27" s="6"/>
    </row>
    <row r="28" spans="1:21" customFormat="1">
      <c r="A28" s="163" t="s">
        <v>1218</v>
      </c>
      <c r="B28" s="100">
        <v>26.5</v>
      </c>
      <c r="C28" s="100">
        <v>23.71</v>
      </c>
      <c r="D28" s="100">
        <v>34.99</v>
      </c>
      <c r="E28" s="100">
        <v>10.58</v>
      </c>
      <c r="F28" s="152" t="s">
        <v>15</v>
      </c>
      <c r="G28" s="100">
        <v>53.4</v>
      </c>
      <c r="H28" s="100">
        <v>15.85</v>
      </c>
      <c r="I28" s="100">
        <v>10.3</v>
      </c>
      <c r="J28" s="100">
        <v>0.17</v>
      </c>
      <c r="K28" s="100">
        <v>191.38</v>
      </c>
      <c r="L28" s="100">
        <v>15.53</v>
      </c>
      <c r="M28" s="100">
        <v>70.55</v>
      </c>
      <c r="N28" s="100">
        <v>0.9</v>
      </c>
      <c r="O28" s="100">
        <v>0</v>
      </c>
      <c r="P28" s="100">
        <v>0.8</v>
      </c>
      <c r="Q28" s="100">
        <v>13.03</v>
      </c>
      <c r="R28" s="6"/>
      <c r="S28" s="6"/>
      <c r="T28" s="156"/>
      <c r="U28" s="6"/>
    </row>
    <row r="29" spans="1:21" customFormat="1">
      <c r="A29" s="163" t="s">
        <v>1219</v>
      </c>
      <c r="B29" s="100">
        <v>27.37</v>
      </c>
      <c r="C29" s="100">
        <v>23.66</v>
      </c>
      <c r="D29" s="100">
        <v>35.659999999999997</v>
      </c>
      <c r="E29" s="100">
        <v>10.97</v>
      </c>
      <c r="F29" s="152" t="s">
        <v>15</v>
      </c>
      <c r="G29" s="100">
        <v>53.4</v>
      </c>
      <c r="H29" s="100">
        <v>15.85</v>
      </c>
      <c r="I29" s="100">
        <v>10.45</v>
      </c>
      <c r="J29" s="100">
        <v>0.19</v>
      </c>
      <c r="K29" s="100">
        <v>181.89</v>
      </c>
      <c r="L29" s="100">
        <v>15.1</v>
      </c>
      <c r="M29" s="100">
        <v>72.88</v>
      </c>
      <c r="N29" s="100">
        <v>1.4</v>
      </c>
      <c r="O29" s="100">
        <v>0</v>
      </c>
      <c r="P29" s="100">
        <v>0.81</v>
      </c>
      <c r="Q29" s="100">
        <v>13.02</v>
      </c>
      <c r="R29" s="6"/>
      <c r="S29" s="6"/>
      <c r="T29" s="156"/>
      <c r="U29" s="6"/>
    </row>
    <row r="30" spans="1:21" customFormat="1">
      <c r="A30" s="163" t="s">
        <v>1220</v>
      </c>
      <c r="B30" s="100">
        <v>27.33</v>
      </c>
      <c r="C30" s="100">
        <v>23.53</v>
      </c>
      <c r="D30" s="100">
        <v>35.56</v>
      </c>
      <c r="E30" s="100">
        <v>10.99</v>
      </c>
      <c r="F30" s="152" t="s">
        <v>15</v>
      </c>
      <c r="G30" s="100">
        <v>53.4</v>
      </c>
      <c r="H30" s="100">
        <v>15.85</v>
      </c>
      <c r="I30" s="100">
        <v>10.68</v>
      </c>
      <c r="J30" s="100">
        <v>0.2</v>
      </c>
      <c r="K30" s="100">
        <v>201.1</v>
      </c>
      <c r="L30" s="100">
        <v>14.98</v>
      </c>
      <c r="M30" s="100">
        <v>73.63</v>
      </c>
      <c r="N30" s="100">
        <v>1</v>
      </c>
      <c r="O30" s="100">
        <v>0</v>
      </c>
      <c r="P30" s="100">
        <v>0.82</v>
      </c>
      <c r="Q30" s="100">
        <v>13.02</v>
      </c>
      <c r="R30" s="6"/>
      <c r="S30" s="6"/>
      <c r="T30" s="156"/>
      <c r="U30" s="6"/>
    </row>
    <row r="31" spans="1:21" customFormat="1">
      <c r="A31" s="163" t="s">
        <v>1221</v>
      </c>
      <c r="B31" s="100">
        <v>26.79</v>
      </c>
      <c r="C31" s="100">
        <v>23.28</v>
      </c>
      <c r="D31" s="100">
        <v>35</v>
      </c>
      <c r="E31" s="100">
        <v>10.73</v>
      </c>
      <c r="F31" s="152" t="s">
        <v>15</v>
      </c>
      <c r="G31" s="100">
        <v>53.76</v>
      </c>
      <c r="H31" s="100">
        <v>15.78</v>
      </c>
      <c r="I31" s="100">
        <v>10.85</v>
      </c>
      <c r="J31" s="100">
        <v>0.2</v>
      </c>
      <c r="K31" s="100">
        <v>212.58</v>
      </c>
      <c r="L31" s="100">
        <v>14.84</v>
      </c>
      <c r="M31" s="100">
        <v>74.5</v>
      </c>
      <c r="N31" s="100">
        <v>1.2</v>
      </c>
      <c r="O31" s="100">
        <v>0</v>
      </c>
      <c r="P31" s="100">
        <v>0.8</v>
      </c>
      <c r="Q31" s="100">
        <v>13.01</v>
      </c>
      <c r="R31" s="6"/>
      <c r="S31" s="6"/>
      <c r="T31" s="156"/>
      <c r="U31" s="6"/>
    </row>
    <row r="32" spans="1:21" customFormat="1">
      <c r="A32" s="163" t="s">
        <v>1222</v>
      </c>
      <c r="B32" s="100">
        <v>26.18</v>
      </c>
      <c r="C32" s="100">
        <v>22.87</v>
      </c>
      <c r="D32" s="100">
        <v>34.29</v>
      </c>
      <c r="E32" s="100">
        <v>10.88</v>
      </c>
      <c r="F32" s="152" t="s">
        <v>15</v>
      </c>
      <c r="G32" s="100">
        <v>64.09</v>
      </c>
      <c r="H32" s="100">
        <v>13.56</v>
      </c>
      <c r="I32" s="100">
        <v>10.91</v>
      </c>
      <c r="J32" s="100">
        <v>0.17</v>
      </c>
      <c r="K32" s="100">
        <v>204.9</v>
      </c>
      <c r="L32" s="100">
        <v>14.8</v>
      </c>
      <c r="M32" s="100">
        <v>75.209999999999994</v>
      </c>
      <c r="N32" s="100">
        <v>1</v>
      </c>
      <c r="O32" s="100">
        <v>0</v>
      </c>
      <c r="P32" s="100">
        <v>0.8</v>
      </c>
      <c r="Q32" s="100">
        <v>13</v>
      </c>
      <c r="R32" s="6"/>
      <c r="S32" s="6"/>
      <c r="T32" s="156"/>
      <c r="U32" s="6"/>
    </row>
    <row r="33" spans="1:21" customFormat="1">
      <c r="A33" s="163" t="s">
        <v>1223</v>
      </c>
      <c r="B33" s="100">
        <v>25.44</v>
      </c>
      <c r="C33" s="100">
        <v>22.51</v>
      </c>
      <c r="D33" s="100">
        <v>33.51</v>
      </c>
      <c r="E33" s="100">
        <v>10.63</v>
      </c>
      <c r="F33" s="152" t="s">
        <v>15</v>
      </c>
      <c r="G33" s="100">
        <v>64.09</v>
      </c>
      <c r="H33" s="100">
        <v>13.56</v>
      </c>
      <c r="I33" s="100">
        <v>10.86</v>
      </c>
      <c r="J33" s="100">
        <v>0.2</v>
      </c>
      <c r="K33" s="100">
        <v>178.77</v>
      </c>
      <c r="L33" s="100">
        <v>14.74</v>
      </c>
      <c r="M33" s="100">
        <v>74.849999999999994</v>
      </c>
      <c r="N33" s="100">
        <v>1.2</v>
      </c>
      <c r="O33" s="100">
        <v>0</v>
      </c>
      <c r="P33" s="100">
        <v>0.79</v>
      </c>
      <c r="Q33" s="100">
        <v>13.02</v>
      </c>
      <c r="R33" s="6"/>
      <c r="S33" s="6"/>
      <c r="T33" s="156"/>
      <c r="U33" s="6"/>
    </row>
    <row r="34" spans="1:21" customFormat="1">
      <c r="A34" s="163" t="s">
        <v>1224</v>
      </c>
      <c r="B34" s="100">
        <v>24.71</v>
      </c>
      <c r="C34" s="100">
        <v>22.35</v>
      </c>
      <c r="D34" s="100">
        <v>32.840000000000003</v>
      </c>
      <c r="E34" s="100">
        <v>10.62</v>
      </c>
      <c r="F34" s="152" t="s">
        <v>15</v>
      </c>
      <c r="G34" s="100">
        <v>64.09</v>
      </c>
      <c r="H34" s="100">
        <v>13.56</v>
      </c>
      <c r="I34" s="100">
        <v>10.84</v>
      </c>
      <c r="J34" s="100">
        <v>0.15</v>
      </c>
      <c r="K34" s="100">
        <v>168.81</v>
      </c>
      <c r="L34" s="100">
        <v>14.65</v>
      </c>
      <c r="M34" s="100">
        <v>73.02</v>
      </c>
      <c r="N34" s="100">
        <v>1.6</v>
      </c>
      <c r="O34" s="100">
        <v>0</v>
      </c>
      <c r="P34" s="100">
        <v>0.79</v>
      </c>
      <c r="Q34" s="100">
        <v>13.04</v>
      </c>
      <c r="R34" s="6"/>
      <c r="S34" s="6"/>
      <c r="T34" s="156"/>
      <c r="U34" s="6"/>
    </row>
    <row r="35" spans="1:21" customFormat="1">
      <c r="A35" s="163" t="s">
        <v>1225</v>
      </c>
      <c r="B35" s="100">
        <v>24.1</v>
      </c>
      <c r="C35" s="100">
        <v>22.13</v>
      </c>
      <c r="D35" s="100">
        <v>32.24</v>
      </c>
      <c r="E35" s="100">
        <v>10.48</v>
      </c>
      <c r="F35" s="152" t="s">
        <v>15</v>
      </c>
      <c r="G35" s="100">
        <v>64.17</v>
      </c>
      <c r="H35" s="100">
        <v>13.55</v>
      </c>
      <c r="I35" s="100">
        <v>10.86</v>
      </c>
      <c r="J35" s="100">
        <v>0.15</v>
      </c>
      <c r="K35" s="100">
        <v>169.49</v>
      </c>
      <c r="L35" s="100">
        <v>14.87</v>
      </c>
      <c r="M35" s="100">
        <v>74.599999999999994</v>
      </c>
      <c r="N35" s="100">
        <v>3.7</v>
      </c>
      <c r="O35" s="100">
        <v>0</v>
      </c>
      <c r="P35" s="100">
        <v>0.79</v>
      </c>
      <c r="Q35" s="100">
        <v>13.03</v>
      </c>
      <c r="R35" s="6"/>
      <c r="S35" s="6"/>
      <c r="T35" s="156"/>
      <c r="U35" s="6"/>
    </row>
    <row r="36" spans="1:21" customFormat="1">
      <c r="A36" s="163" t="s">
        <v>1226</v>
      </c>
      <c r="B36" s="100">
        <v>23.68</v>
      </c>
      <c r="C36" s="100">
        <v>21.93</v>
      </c>
      <c r="D36" s="100">
        <v>31.8</v>
      </c>
      <c r="E36" s="100">
        <v>10.7</v>
      </c>
      <c r="F36" s="152" t="s">
        <v>15</v>
      </c>
      <c r="G36" s="100">
        <v>66.45</v>
      </c>
      <c r="H36" s="100">
        <v>13.16</v>
      </c>
      <c r="I36" s="100">
        <v>10.83</v>
      </c>
      <c r="J36" s="100">
        <v>0.12</v>
      </c>
      <c r="K36" s="100">
        <v>185.18</v>
      </c>
      <c r="L36" s="100">
        <v>15.01</v>
      </c>
      <c r="M36" s="100">
        <v>73.97</v>
      </c>
      <c r="N36" s="100">
        <v>8.6999999999999993</v>
      </c>
      <c r="O36" s="100">
        <v>0</v>
      </c>
      <c r="P36" s="100">
        <v>0.8</v>
      </c>
      <c r="Q36" s="100">
        <v>13</v>
      </c>
      <c r="R36" s="6"/>
      <c r="S36" s="6"/>
      <c r="T36" s="156"/>
      <c r="U36" s="6"/>
    </row>
    <row r="37" spans="1:21" customFormat="1">
      <c r="A37" s="163" t="s">
        <v>1227</v>
      </c>
      <c r="B37" s="100">
        <v>23.47</v>
      </c>
      <c r="C37" s="100">
        <v>21.87</v>
      </c>
      <c r="D37" s="100">
        <v>31.6</v>
      </c>
      <c r="E37" s="100">
        <v>10.59</v>
      </c>
      <c r="F37" s="152" t="s">
        <v>15</v>
      </c>
      <c r="G37" s="100">
        <v>66.45</v>
      </c>
      <c r="H37" s="100">
        <v>13.16</v>
      </c>
      <c r="I37" s="100">
        <v>10.96</v>
      </c>
      <c r="J37" s="100">
        <v>0.15</v>
      </c>
      <c r="K37" s="100">
        <v>220.03</v>
      </c>
      <c r="L37" s="100">
        <v>15.45</v>
      </c>
      <c r="M37" s="100">
        <v>70.77</v>
      </c>
      <c r="N37" s="100">
        <v>15.2</v>
      </c>
      <c r="O37" s="100">
        <v>0</v>
      </c>
      <c r="P37" s="100">
        <v>0.82</v>
      </c>
      <c r="Q37" s="100">
        <v>13.02</v>
      </c>
      <c r="R37" s="6"/>
      <c r="S37" s="6"/>
      <c r="T37" s="156"/>
      <c r="U37" s="6"/>
    </row>
    <row r="38" spans="1:21" customFormat="1">
      <c r="A38" s="163" t="s">
        <v>1228</v>
      </c>
      <c r="B38" s="100">
        <v>23.4</v>
      </c>
      <c r="C38" s="100">
        <v>21.96</v>
      </c>
      <c r="D38" s="100">
        <v>31.59</v>
      </c>
      <c r="E38" s="100">
        <v>10.71</v>
      </c>
      <c r="F38" s="152" t="s">
        <v>15</v>
      </c>
      <c r="G38" s="100">
        <v>66.45</v>
      </c>
      <c r="H38" s="100">
        <v>13.16</v>
      </c>
      <c r="I38" s="100">
        <v>11.21</v>
      </c>
      <c r="J38" s="100">
        <v>0.2</v>
      </c>
      <c r="K38" s="100">
        <v>181.53</v>
      </c>
      <c r="L38" s="100">
        <v>16.05</v>
      </c>
      <c r="M38" s="100">
        <v>72.27</v>
      </c>
      <c r="N38" s="100">
        <v>22.8</v>
      </c>
      <c r="O38" s="100">
        <v>0</v>
      </c>
      <c r="P38" s="100">
        <v>0.85</v>
      </c>
      <c r="Q38" s="100">
        <v>13.01</v>
      </c>
      <c r="R38" s="6"/>
      <c r="S38" s="6"/>
      <c r="T38" s="156"/>
      <c r="U38" s="6"/>
    </row>
    <row r="39" spans="1:21" customFormat="1">
      <c r="A39" s="163" t="s">
        <v>1229</v>
      </c>
      <c r="B39" s="100">
        <v>23.18</v>
      </c>
      <c r="C39" s="100">
        <v>21.93</v>
      </c>
      <c r="D39" s="100">
        <v>31.4</v>
      </c>
      <c r="E39" s="100">
        <v>10.44</v>
      </c>
      <c r="F39" s="152" t="s">
        <v>15</v>
      </c>
      <c r="G39" s="100">
        <v>66.98</v>
      </c>
      <c r="H39" s="100">
        <v>13.41</v>
      </c>
      <c r="I39" s="100">
        <v>11.61</v>
      </c>
      <c r="J39" s="100">
        <v>0.22</v>
      </c>
      <c r="K39" s="100">
        <v>162.36000000000001</v>
      </c>
      <c r="L39" s="100">
        <v>16.829999999999998</v>
      </c>
      <c r="M39" s="100">
        <v>68.19</v>
      </c>
      <c r="N39" s="100">
        <v>30</v>
      </c>
      <c r="O39" s="100">
        <v>0</v>
      </c>
      <c r="P39" s="100">
        <v>0.87</v>
      </c>
      <c r="Q39" s="100">
        <v>13.01</v>
      </c>
      <c r="R39" s="6"/>
      <c r="S39" s="6"/>
      <c r="T39" s="156"/>
      <c r="U39" s="6"/>
    </row>
    <row r="40" spans="1:21" customFormat="1">
      <c r="A40" s="163" t="s">
        <v>1230</v>
      </c>
      <c r="B40" s="100">
        <v>22.83</v>
      </c>
      <c r="C40" s="100">
        <v>22.05</v>
      </c>
      <c r="D40" s="100">
        <v>31.18</v>
      </c>
      <c r="E40" s="100">
        <v>11.13</v>
      </c>
      <c r="F40" s="152" t="s">
        <v>15</v>
      </c>
      <c r="G40" s="100">
        <v>82.32</v>
      </c>
      <c r="H40" s="100">
        <v>21.18</v>
      </c>
      <c r="I40" s="100">
        <v>11.94</v>
      </c>
      <c r="J40" s="100">
        <v>0.18</v>
      </c>
      <c r="K40" s="100">
        <v>153.85</v>
      </c>
      <c r="L40" s="100">
        <v>17.829999999999998</v>
      </c>
      <c r="M40" s="100">
        <v>63.19</v>
      </c>
      <c r="N40" s="100">
        <v>36.9</v>
      </c>
      <c r="O40" s="100">
        <v>0</v>
      </c>
      <c r="P40" s="100">
        <v>0.89</v>
      </c>
      <c r="Q40" s="100">
        <v>13</v>
      </c>
      <c r="R40" s="6"/>
      <c r="S40" s="6"/>
      <c r="T40" s="156"/>
      <c r="U40" s="6"/>
    </row>
    <row r="41" spans="1:21" customFormat="1">
      <c r="A41" s="163" t="s">
        <v>1231</v>
      </c>
      <c r="B41" s="100">
        <v>22.19</v>
      </c>
      <c r="C41" s="100">
        <v>22.4</v>
      </c>
      <c r="D41" s="100">
        <v>30.85</v>
      </c>
      <c r="E41" s="100">
        <v>11.05</v>
      </c>
      <c r="F41" s="152" t="s">
        <v>15</v>
      </c>
      <c r="G41" s="100">
        <v>82.32</v>
      </c>
      <c r="H41" s="100">
        <v>21.18</v>
      </c>
      <c r="I41" s="100">
        <v>12.26</v>
      </c>
      <c r="J41" s="100">
        <v>0.14000000000000001</v>
      </c>
      <c r="K41" s="100">
        <v>163</v>
      </c>
      <c r="L41" s="100">
        <v>19.43</v>
      </c>
      <c r="M41" s="100">
        <v>53.55</v>
      </c>
      <c r="N41" s="100">
        <v>104.5</v>
      </c>
      <c r="O41" s="100">
        <v>0</v>
      </c>
      <c r="P41" s="100">
        <v>0.9</v>
      </c>
      <c r="Q41" s="100">
        <v>13</v>
      </c>
      <c r="R41" s="6"/>
      <c r="S41" s="6"/>
      <c r="T41" s="156"/>
      <c r="U41" s="6"/>
    </row>
    <row r="42" spans="1:21" customFormat="1">
      <c r="A42" s="163" t="s">
        <v>1232</v>
      </c>
      <c r="B42" s="100">
        <v>21.12</v>
      </c>
      <c r="C42" s="100">
        <v>22.66</v>
      </c>
      <c r="D42" s="100">
        <v>30.12</v>
      </c>
      <c r="E42" s="100">
        <v>11.22</v>
      </c>
      <c r="F42" s="152" t="s">
        <v>15</v>
      </c>
      <c r="G42" s="100">
        <v>82.32</v>
      </c>
      <c r="H42" s="100">
        <v>21.18</v>
      </c>
      <c r="I42" s="100">
        <v>12.49</v>
      </c>
      <c r="J42" s="100">
        <v>0.18</v>
      </c>
      <c r="K42" s="100">
        <v>307.13</v>
      </c>
      <c r="L42" s="100">
        <v>20.76</v>
      </c>
      <c r="M42" s="100">
        <v>46.87</v>
      </c>
      <c r="N42" s="100">
        <v>181</v>
      </c>
      <c r="O42" s="100">
        <v>0</v>
      </c>
      <c r="P42" s="100">
        <v>0.9</v>
      </c>
      <c r="Q42" s="100">
        <v>13.02</v>
      </c>
      <c r="R42" s="6"/>
      <c r="S42" s="6"/>
      <c r="T42" s="156"/>
      <c r="U42" s="6"/>
    </row>
    <row r="43" spans="1:21" customFormat="1">
      <c r="A43" s="163" t="s">
        <v>1233</v>
      </c>
      <c r="B43" s="100">
        <v>19.63</v>
      </c>
      <c r="C43" s="100">
        <v>23.09</v>
      </c>
      <c r="D43" s="100">
        <v>29.15</v>
      </c>
      <c r="E43" s="100">
        <v>10.99</v>
      </c>
      <c r="F43" s="152" t="s">
        <v>15</v>
      </c>
      <c r="G43" s="100">
        <v>82.48</v>
      </c>
      <c r="H43" s="100">
        <v>21.31</v>
      </c>
      <c r="I43" s="100">
        <v>12.67</v>
      </c>
      <c r="J43" s="100">
        <v>0.22</v>
      </c>
      <c r="K43" s="100">
        <v>279.77</v>
      </c>
      <c r="L43" s="100">
        <v>21.96</v>
      </c>
      <c r="M43" s="100">
        <v>44.7</v>
      </c>
      <c r="N43" s="100">
        <v>209</v>
      </c>
      <c r="O43" s="100">
        <v>0</v>
      </c>
      <c r="P43" s="100">
        <v>0.91</v>
      </c>
      <c r="Q43" s="100">
        <v>13.02</v>
      </c>
      <c r="R43" s="6"/>
      <c r="S43" s="6"/>
      <c r="T43" s="156"/>
      <c r="U43" s="6"/>
    </row>
    <row r="44" spans="1:21" customFormat="1">
      <c r="A44" s="163" t="s">
        <v>1234</v>
      </c>
      <c r="B44" s="100">
        <v>17.809999999999999</v>
      </c>
      <c r="C44" s="100">
        <v>23.83</v>
      </c>
      <c r="D44" s="100">
        <v>28.09</v>
      </c>
      <c r="E44" s="100">
        <v>10.99</v>
      </c>
      <c r="F44" s="152" t="s">
        <v>15</v>
      </c>
      <c r="G44" s="100">
        <v>85.87</v>
      </c>
      <c r="H44" s="100">
        <v>25.41</v>
      </c>
      <c r="I44" s="100">
        <v>12.9</v>
      </c>
      <c r="J44" s="100">
        <v>0.39</v>
      </c>
      <c r="K44" s="100">
        <v>272.74</v>
      </c>
      <c r="L44" s="100">
        <v>22.78</v>
      </c>
      <c r="M44" s="100">
        <v>42.29</v>
      </c>
      <c r="N44" s="100">
        <v>217.8</v>
      </c>
      <c r="O44" s="100">
        <v>0</v>
      </c>
      <c r="P44" s="100">
        <v>0.93</v>
      </c>
      <c r="Q44" s="100">
        <v>13.01</v>
      </c>
      <c r="R44" s="6"/>
      <c r="S44" s="6"/>
      <c r="T44" s="156"/>
      <c r="U44" s="6"/>
    </row>
    <row r="45" spans="1:21" customFormat="1">
      <c r="A45" s="163" t="s">
        <v>1235</v>
      </c>
      <c r="B45" s="100">
        <v>16.350000000000001</v>
      </c>
      <c r="C45" s="100">
        <v>24.91</v>
      </c>
      <c r="D45" s="100">
        <v>27.48</v>
      </c>
      <c r="E45" s="100">
        <v>10.83</v>
      </c>
      <c r="F45" s="152" t="s">
        <v>15</v>
      </c>
      <c r="G45" s="100">
        <v>85.87</v>
      </c>
      <c r="H45" s="100">
        <v>25.41</v>
      </c>
      <c r="I45" s="100">
        <v>13.05</v>
      </c>
      <c r="J45" s="100">
        <v>0.33</v>
      </c>
      <c r="K45" s="100">
        <v>272.94</v>
      </c>
      <c r="L45" s="100">
        <v>24.1</v>
      </c>
      <c r="M45" s="100">
        <v>38.14</v>
      </c>
      <c r="N45" s="100">
        <v>205.3</v>
      </c>
      <c r="O45" s="100">
        <v>0</v>
      </c>
      <c r="P45" s="100">
        <v>0.98</v>
      </c>
      <c r="Q45" s="100">
        <v>12.99</v>
      </c>
      <c r="R45" s="6"/>
      <c r="S45" s="6"/>
      <c r="T45" s="156"/>
      <c r="U45" s="6"/>
    </row>
    <row r="46" spans="1:21" customFormat="1">
      <c r="A46" s="163" t="s">
        <v>1236</v>
      </c>
      <c r="B46" s="100">
        <v>15.04</v>
      </c>
      <c r="C46" s="100">
        <v>25.28</v>
      </c>
      <c r="D46" s="100">
        <v>26.62</v>
      </c>
      <c r="E46" s="100">
        <v>10.66</v>
      </c>
      <c r="F46" s="152" t="s">
        <v>15</v>
      </c>
      <c r="G46" s="100">
        <v>85.87</v>
      </c>
      <c r="H46" s="100">
        <v>25.41</v>
      </c>
      <c r="I46" s="100">
        <v>13.17</v>
      </c>
      <c r="J46" s="100">
        <v>0.48</v>
      </c>
      <c r="K46" s="100">
        <v>266.26</v>
      </c>
      <c r="L46" s="100">
        <v>25.05</v>
      </c>
      <c r="M46" s="100">
        <v>32.18</v>
      </c>
      <c r="N46" s="100">
        <v>280</v>
      </c>
      <c r="O46" s="100">
        <v>0</v>
      </c>
      <c r="P46" s="100">
        <v>0.99</v>
      </c>
      <c r="Q46" s="100">
        <v>12.99</v>
      </c>
      <c r="R46" s="6"/>
      <c r="S46" s="6"/>
      <c r="T46" s="156"/>
      <c r="U46" s="6"/>
    </row>
    <row r="47" spans="1:21" customFormat="1">
      <c r="A47" s="163" t="s">
        <v>1237</v>
      </c>
      <c r="B47" s="100">
        <v>13.65</v>
      </c>
      <c r="C47" s="100">
        <v>25.24</v>
      </c>
      <c r="D47" s="100">
        <v>25.48</v>
      </c>
      <c r="E47" s="100">
        <v>10.68</v>
      </c>
      <c r="F47" s="152" t="s">
        <v>15</v>
      </c>
      <c r="G47" s="100">
        <v>85.63</v>
      </c>
      <c r="H47" s="100">
        <v>25.48</v>
      </c>
      <c r="I47" s="100">
        <v>13.2</v>
      </c>
      <c r="J47" s="100">
        <v>0.41</v>
      </c>
      <c r="K47" s="100">
        <v>265.54000000000002</v>
      </c>
      <c r="L47" s="100">
        <v>26.01</v>
      </c>
      <c r="M47" s="100">
        <v>29.67</v>
      </c>
      <c r="N47" s="100">
        <v>296.2</v>
      </c>
      <c r="O47" s="100">
        <v>0</v>
      </c>
      <c r="P47" s="100">
        <v>0.98</v>
      </c>
      <c r="Q47" s="100">
        <v>12.99</v>
      </c>
      <c r="R47" s="6"/>
      <c r="S47" s="6"/>
      <c r="T47" s="156"/>
      <c r="U47" s="6"/>
    </row>
    <row r="48" spans="1:21" customFormat="1">
      <c r="A48" s="163" t="s">
        <v>1238</v>
      </c>
      <c r="B48" s="100">
        <v>12.31</v>
      </c>
      <c r="C48" s="100">
        <v>25.12</v>
      </c>
      <c r="D48" s="100">
        <v>24.35</v>
      </c>
      <c r="E48" s="100">
        <v>10.57</v>
      </c>
      <c r="F48" s="152" t="s">
        <v>15</v>
      </c>
      <c r="G48" s="100">
        <v>78.61</v>
      </c>
      <c r="H48" s="100">
        <v>27.59</v>
      </c>
      <c r="I48" s="100">
        <v>13.18</v>
      </c>
      <c r="J48" s="100">
        <v>0.23</v>
      </c>
      <c r="K48" s="100">
        <v>251.39</v>
      </c>
      <c r="L48" s="100">
        <v>27.17</v>
      </c>
      <c r="M48" s="100">
        <v>27.4</v>
      </c>
      <c r="N48" s="100">
        <v>308.5</v>
      </c>
      <c r="O48" s="100">
        <v>0</v>
      </c>
      <c r="P48" s="100">
        <v>0.97</v>
      </c>
      <c r="Q48" s="100">
        <v>12.97</v>
      </c>
      <c r="R48" s="6"/>
      <c r="S48" s="6"/>
      <c r="T48" s="156"/>
      <c r="U48" s="6"/>
    </row>
    <row r="49" spans="1:21" customFormat="1">
      <c r="A49" s="163" t="s">
        <v>1239</v>
      </c>
      <c r="B49" s="100">
        <v>11.09</v>
      </c>
      <c r="C49" s="100">
        <v>25.1</v>
      </c>
      <c r="D49" s="100">
        <v>23.36</v>
      </c>
      <c r="E49" s="100">
        <v>8.3800000000000008</v>
      </c>
      <c r="F49" s="152" t="s">
        <v>15</v>
      </c>
      <c r="G49" s="100">
        <v>78.61</v>
      </c>
      <c r="H49" s="100">
        <v>27.59</v>
      </c>
      <c r="I49" s="100">
        <v>13</v>
      </c>
      <c r="J49" s="100">
        <v>0.23</v>
      </c>
      <c r="K49" s="100">
        <v>278.93</v>
      </c>
      <c r="L49" s="100">
        <v>28.37</v>
      </c>
      <c r="M49" s="100">
        <v>23.45</v>
      </c>
      <c r="N49" s="100">
        <v>230.7</v>
      </c>
      <c r="O49" s="100">
        <v>0</v>
      </c>
      <c r="P49" s="100">
        <v>0.95</v>
      </c>
      <c r="Q49" s="100">
        <v>12.97</v>
      </c>
      <c r="R49" s="6"/>
      <c r="S49" s="6"/>
      <c r="T49" s="156"/>
      <c r="U49" s="6"/>
    </row>
    <row r="50" spans="1:21" customFormat="1">
      <c r="A50" s="163" t="s">
        <v>1240</v>
      </c>
      <c r="B50" s="100">
        <v>9.8699999999999992</v>
      </c>
      <c r="C50" s="100">
        <v>24.8</v>
      </c>
      <c r="D50" s="100">
        <v>22.22</v>
      </c>
      <c r="E50" s="100">
        <v>9.61</v>
      </c>
      <c r="F50" s="152" t="s">
        <v>15</v>
      </c>
      <c r="G50" s="100">
        <v>78.61</v>
      </c>
      <c r="H50" s="100">
        <v>27.59</v>
      </c>
      <c r="I50" s="100">
        <v>12.89</v>
      </c>
      <c r="J50" s="100">
        <v>0.53</v>
      </c>
      <c r="K50" s="100">
        <v>263.24</v>
      </c>
      <c r="L50" s="100">
        <v>28.73</v>
      </c>
      <c r="M50" s="100">
        <v>22.71</v>
      </c>
      <c r="N50" s="100">
        <v>317.5</v>
      </c>
      <c r="O50" s="100">
        <v>0</v>
      </c>
      <c r="P50" s="100">
        <v>0.93</v>
      </c>
      <c r="Q50" s="100">
        <v>12.98</v>
      </c>
      <c r="R50" s="6"/>
      <c r="S50" s="6"/>
      <c r="T50" s="156"/>
      <c r="U50" s="6"/>
    </row>
    <row r="51" spans="1:21" customFormat="1">
      <c r="A51" s="163" t="s">
        <v>1241</v>
      </c>
      <c r="B51" s="100">
        <v>8.6300000000000008</v>
      </c>
      <c r="C51" s="100">
        <v>24.45</v>
      </c>
      <c r="D51" s="100">
        <v>21.04</v>
      </c>
      <c r="E51" s="100">
        <v>9.65</v>
      </c>
      <c r="F51" s="152" t="s">
        <v>15</v>
      </c>
      <c r="G51" s="100">
        <v>77.959999999999994</v>
      </c>
      <c r="H51" s="100">
        <v>27.55</v>
      </c>
      <c r="I51" s="100">
        <v>12.57</v>
      </c>
      <c r="J51" s="100">
        <v>0.63</v>
      </c>
      <c r="K51" s="100">
        <v>268.89</v>
      </c>
      <c r="L51" s="100">
        <v>29.56</v>
      </c>
      <c r="M51" s="100">
        <v>20.78</v>
      </c>
      <c r="N51" s="100">
        <v>338.8</v>
      </c>
      <c r="O51" s="100">
        <v>0</v>
      </c>
      <c r="P51" s="100">
        <v>0.88</v>
      </c>
      <c r="Q51" s="100">
        <v>12.96</v>
      </c>
      <c r="R51" s="6"/>
      <c r="S51" s="6"/>
      <c r="T51" s="156"/>
      <c r="U51" s="6"/>
    </row>
    <row r="52" spans="1:21" customFormat="1">
      <c r="A52" s="163" t="s">
        <v>1242</v>
      </c>
      <c r="B52" s="100">
        <v>7.55</v>
      </c>
      <c r="C52" s="100">
        <v>24.11</v>
      </c>
      <c r="D52" s="100">
        <v>20</v>
      </c>
      <c r="E52" s="100">
        <v>10.039999999999999</v>
      </c>
      <c r="F52" s="152" t="s">
        <v>15</v>
      </c>
      <c r="G52" s="100">
        <v>59.14</v>
      </c>
      <c r="H52" s="100">
        <v>26.45</v>
      </c>
      <c r="I52" s="100">
        <v>12.3</v>
      </c>
      <c r="J52" s="100">
        <v>0.63</v>
      </c>
      <c r="K52" s="100">
        <v>280.76</v>
      </c>
      <c r="L52" s="100">
        <v>30.03</v>
      </c>
      <c r="M52" s="100">
        <v>20.22</v>
      </c>
      <c r="N52" s="100">
        <v>347.8</v>
      </c>
      <c r="O52" s="100">
        <v>0</v>
      </c>
      <c r="P52" s="100">
        <v>0.88</v>
      </c>
      <c r="Q52" s="100">
        <v>12.96</v>
      </c>
      <c r="R52" s="6"/>
      <c r="S52" s="6"/>
      <c r="T52" s="156"/>
      <c r="U52" s="6"/>
    </row>
    <row r="53" spans="1:21" customFormat="1">
      <c r="A53" s="163" t="s">
        <v>1243</v>
      </c>
      <c r="B53" s="100">
        <v>6.62</v>
      </c>
      <c r="C53" s="100">
        <v>23.82</v>
      </c>
      <c r="D53" s="100">
        <v>19.11</v>
      </c>
      <c r="E53" s="100">
        <v>9.89</v>
      </c>
      <c r="F53" s="152" t="s">
        <v>15</v>
      </c>
      <c r="G53" s="100">
        <v>59.14</v>
      </c>
      <c r="H53" s="100">
        <v>26.45</v>
      </c>
      <c r="I53" s="100">
        <v>11.97</v>
      </c>
      <c r="J53" s="100">
        <v>0.67</v>
      </c>
      <c r="K53" s="100">
        <v>268.04000000000002</v>
      </c>
      <c r="L53" s="100">
        <v>30.55</v>
      </c>
      <c r="M53" s="100">
        <v>19.97</v>
      </c>
      <c r="N53" s="100">
        <v>354.6</v>
      </c>
      <c r="O53" s="100">
        <v>0</v>
      </c>
      <c r="P53" s="100">
        <v>0.84</v>
      </c>
      <c r="Q53" s="100">
        <v>12.94</v>
      </c>
      <c r="R53" s="6"/>
      <c r="S53" s="6"/>
      <c r="T53" s="156"/>
      <c r="U53" s="6"/>
    </row>
    <row r="54" spans="1:21" customFormat="1">
      <c r="A54" s="163" t="s">
        <v>1244</v>
      </c>
      <c r="B54" s="100">
        <v>5.8</v>
      </c>
      <c r="C54" s="100">
        <v>23.41</v>
      </c>
      <c r="D54" s="100">
        <v>18.239999999999998</v>
      </c>
      <c r="E54" s="100">
        <v>10.26</v>
      </c>
      <c r="F54" s="152" t="s">
        <v>15</v>
      </c>
      <c r="G54" s="100">
        <v>59.14</v>
      </c>
      <c r="H54" s="100">
        <v>26.45</v>
      </c>
      <c r="I54" s="100">
        <v>11.77</v>
      </c>
      <c r="J54" s="100">
        <v>0.81</v>
      </c>
      <c r="K54" s="100">
        <v>281.64999999999998</v>
      </c>
      <c r="L54" s="100">
        <v>30.93</v>
      </c>
      <c r="M54" s="100">
        <v>19.72</v>
      </c>
      <c r="N54" s="100">
        <v>334.4</v>
      </c>
      <c r="O54" s="100">
        <v>0</v>
      </c>
      <c r="P54" s="100">
        <v>0.83</v>
      </c>
      <c r="Q54" s="100">
        <v>12.95</v>
      </c>
      <c r="R54" s="6"/>
      <c r="S54" s="6"/>
      <c r="T54" s="156"/>
      <c r="U54" s="6"/>
    </row>
    <row r="55" spans="1:21" customFormat="1">
      <c r="A55" s="163" t="s">
        <v>1245</v>
      </c>
      <c r="B55" s="100">
        <v>5.16</v>
      </c>
      <c r="C55" s="100">
        <v>22.91</v>
      </c>
      <c r="D55" s="100">
        <v>17.46</v>
      </c>
      <c r="E55" s="100">
        <v>9.99</v>
      </c>
      <c r="F55" s="152" t="s">
        <v>15</v>
      </c>
      <c r="G55" s="100">
        <v>58.95</v>
      </c>
      <c r="H55" s="100">
        <v>26.35</v>
      </c>
      <c r="I55" s="100">
        <v>11.38</v>
      </c>
      <c r="J55" s="100">
        <v>0.76</v>
      </c>
      <c r="K55" s="100">
        <v>270.92</v>
      </c>
      <c r="L55" s="100">
        <v>31.36</v>
      </c>
      <c r="M55" s="100">
        <v>18.78</v>
      </c>
      <c r="N55" s="100">
        <v>332.6</v>
      </c>
      <c r="O55" s="100">
        <v>0</v>
      </c>
      <c r="P55" s="100">
        <v>0.81</v>
      </c>
      <c r="Q55" s="100">
        <v>12.94</v>
      </c>
      <c r="R55" s="6"/>
      <c r="S55" s="6"/>
      <c r="T55" s="156"/>
      <c r="U55" s="6"/>
    </row>
    <row r="56" spans="1:21" customFormat="1">
      <c r="A56" s="163" t="s">
        <v>1246</v>
      </c>
      <c r="B56" s="100">
        <v>4.68</v>
      </c>
      <c r="C56" s="100">
        <v>22.12</v>
      </c>
      <c r="D56" s="100">
        <v>16.66</v>
      </c>
      <c r="E56" s="100">
        <v>10.42</v>
      </c>
      <c r="F56" s="152" t="s">
        <v>15</v>
      </c>
      <c r="G56" s="100">
        <v>54.99</v>
      </c>
      <c r="H56" s="100">
        <v>23.14</v>
      </c>
      <c r="I56" s="100">
        <v>11.26</v>
      </c>
      <c r="J56" s="100">
        <v>0.74</v>
      </c>
      <c r="K56" s="100">
        <v>277.47000000000003</v>
      </c>
      <c r="L56" s="100">
        <v>31.64</v>
      </c>
      <c r="M56" s="100">
        <v>17.46</v>
      </c>
      <c r="N56" s="100">
        <v>363.3</v>
      </c>
      <c r="O56" s="100">
        <v>0</v>
      </c>
      <c r="P56" s="100">
        <v>0.78</v>
      </c>
      <c r="Q56" s="100">
        <v>12.94</v>
      </c>
      <c r="R56" s="6"/>
      <c r="S56" s="6"/>
      <c r="T56" s="156"/>
      <c r="U56" s="6"/>
    </row>
    <row r="57" spans="1:21" customFormat="1">
      <c r="A57" s="163" t="s">
        <v>1247</v>
      </c>
      <c r="B57" s="100">
        <v>4.33</v>
      </c>
      <c r="C57" s="100">
        <v>21.56</v>
      </c>
      <c r="D57" s="100">
        <v>16.09</v>
      </c>
      <c r="E57" s="100">
        <v>9.89</v>
      </c>
      <c r="F57" s="152" t="s">
        <v>15</v>
      </c>
      <c r="G57" s="100">
        <v>54.99</v>
      </c>
      <c r="H57" s="100">
        <v>23.14</v>
      </c>
      <c r="I57" s="100">
        <v>10.86</v>
      </c>
      <c r="J57" s="100">
        <v>0.45</v>
      </c>
      <c r="K57" s="100">
        <v>280.45999999999998</v>
      </c>
      <c r="L57" s="100">
        <v>32.29</v>
      </c>
      <c r="M57" s="100">
        <v>19.63</v>
      </c>
      <c r="N57" s="100">
        <v>368.6</v>
      </c>
      <c r="O57" s="100">
        <v>0</v>
      </c>
      <c r="P57" s="100">
        <v>0.76</v>
      </c>
      <c r="Q57" s="100">
        <v>12.94</v>
      </c>
      <c r="R57" s="6"/>
      <c r="S57" s="6"/>
      <c r="T57" s="156"/>
      <c r="U57" s="6"/>
    </row>
    <row r="58" spans="1:21" customFormat="1">
      <c r="A58" s="163" t="s">
        <v>1248</v>
      </c>
      <c r="B58" s="100">
        <v>4.1500000000000004</v>
      </c>
      <c r="C58" s="100">
        <v>20.9</v>
      </c>
      <c r="D58" s="100">
        <v>15.6</v>
      </c>
      <c r="E58" s="100">
        <v>9.83</v>
      </c>
      <c r="F58" s="152" t="s">
        <v>15</v>
      </c>
      <c r="G58" s="100">
        <v>54.99</v>
      </c>
      <c r="H58" s="100">
        <v>23.14</v>
      </c>
      <c r="I58" s="100">
        <v>10.57</v>
      </c>
      <c r="J58" s="100">
        <v>0.65</v>
      </c>
      <c r="K58" s="100">
        <v>253.31</v>
      </c>
      <c r="L58" s="100">
        <v>32.58</v>
      </c>
      <c r="M58" s="100">
        <v>20.91</v>
      </c>
      <c r="N58" s="100">
        <v>368.9</v>
      </c>
      <c r="O58" s="100">
        <v>0</v>
      </c>
      <c r="P58" s="100">
        <v>0.75</v>
      </c>
      <c r="Q58" s="100">
        <v>12.95</v>
      </c>
      <c r="R58" s="6"/>
      <c r="S58" s="6"/>
      <c r="T58" s="156"/>
      <c r="U58" s="6"/>
    </row>
    <row r="59" spans="1:21" customFormat="1">
      <c r="A59" s="163" t="s">
        <v>1249</v>
      </c>
      <c r="B59" s="100">
        <v>4.96</v>
      </c>
      <c r="C59" s="100">
        <v>19.63</v>
      </c>
      <c r="D59" s="100">
        <v>15.59</v>
      </c>
      <c r="E59" s="100">
        <v>10.07</v>
      </c>
      <c r="F59" s="152" t="s">
        <v>15</v>
      </c>
      <c r="G59" s="100">
        <v>54.93</v>
      </c>
      <c r="H59" s="100">
        <v>23.19</v>
      </c>
      <c r="I59" s="100">
        <v>10.42</v>
      </c>
      <c r="J59" s="100">
        <v>0.28000000000000003</v>
      </c>
      <c r="K59" s="100">
        <v>266.77</v>
      </c>
      <c r="L59" s="100">
        <v>32.880000000000003</v>
      </c>
      <c r="M59" s="100">
        <v>20.69</v>
      </c>
      <c r="N59" s="100">
        <v>366.9</v>
      </c>
      <c r="O59" s="100">
        <v>0</v>
      </c>
      <c r="P59" s="100">
        <v>0.74</v>
      </c>
      <c r="Q59" s="100">
        <v>12.94</v>
      </c>
      <c r="R59" s="6"/>
      <c r="S59" s="6"/>
      <c r="T59" s="156"/>
      <c r="U59" s="6"/>
    </row>
    <row r="60" spans="1:21" customFormat="1">
      <c r="A60" s="163" t="s">
        <v>1250</v>
      </c>
      <c r="B60" s="100">
        <v>4.6399999999999997</v>
      </c>
      <c r="C60" s="100">
        <v>19.23</v>
      </c>
      <c r="D60" s="100">
        <v>15.12</v>
      </c>
      <c r="E60" s="100">
        <v>10.51</v>
      </c>
      <c r="F60" s="152" t="s">
        <v>15</v>
      </c>
      <c r="G60" s="100">
        <v>53.56</v>
      </c>
      <c r="H60" s="100">
        <v>24.74</v>
      </c>
      <c r="I60" s="100">
        <v>10.050000000000001</v>
      </c>
      <c r="J60" s="100">
        <v>0.34</v>
      </c>
      <c r="K60" s="100">
        <v>241.04</v>
      </c>
      <c r="L60" s="100">
        <v>33.36</v>
      </c>
      <c r="M60" s="100">
        <v>20.32</v>
      </c>
      <c r="N60" s="100">
        <v>361.7</v>
      </c>
      <c r="O60" s="100">
        <v>0</v>
      </c>
      <c r="P60" s="100">
        <v>0.72</v>
      </c>
      <c r="Q60" s="100">
        <v>12.92</v>
      </c>
      <c r="R60" s="6"/>
      <c r="S60" s="6"/>
      <c r="T60" s="156"/>
      <c r="U60" s="6"/>
    </row>
    <row r="61" spans="1:21" customFormat="1">
      <c r="A61" s="163" t="s">
        <v>1251</v>
      </c>
      <c r="B61" s="100">
        <v>3.96</v>
      </c>
      <c r="C61" s="100">
        <v>19.510000000000002</v>
      </c>
      <c r="D61" s="100">
        <v>14.72</v>
      </c>
      <c r="E61" s="100">
        <v>11.18</v>
      </c>
      <c r="F61" s="152" t="s">
        <v>15</v>
      </c>
      <c r="G61" s="100">
        <v>53.56</v>
      </c>
      <c r="H61" s="100">
        <v>24.74</v>
      </c>
      <c r="I61" s="100">
        <v>9.84</v>
      </c>
      <c r="J61" s="100">
        <v>0.75</v>
      </c>
      <c r="K61" s="100">
        <v>323.05</v>
      </c>
      <c r="L61" s="100">
        <v>33.29</v>
      </c>
      <c r="M61" s="100">
        <v>19.52</v>
      </c>
      <c r="N61" s="100">
        <v>348.1</v>
      </c>
      <c r="O61" s="100">
        <v>0</v>
      </c>
      <c r="P61" s="100">
        <v>0.7</v>
      </c>
      <c r="Q61" s="100">
        <v>12.92</v>
      </c>
      <c r="R61" s="6"/>
      <c r="S61" s="6"/>
      <c r="T61" s="156"/>
      <c r="U61" s="6"/>
    </row>
    <row r="62" spans="1:21" customFormat="1">
      <c r="A62" s="163" t="s">
        <v>1252</v>
      </c>
      <c r="B62" s="100">
        <v>3.86</v>
      </c>
      <c r="C62" s="100">
        <v>19.29</v>
      </c>
      <c r="D62" s="100">
        <v>14.53</v>
      </c>
      <c r="E62" s="100">
        <v>11.61</v>
      </c>
      <c r="F62" s="152" t="s">
        <v>15</v>
      </c>
      <c r="G62" s="100">
        <v>53.56</v>
      </c>
      <c r="H62" s="100">
        <v>24.74</v>
      </c>
      <c r="I62" s="100">
        <v>9.58</v>
      </c>
      <c r="J62" s="100">
        <v>0.61</v>
      </c>
      <c r="K62" s="100">
        <v>283.47000000000003</v>
      </c>
      <c r="L62" s="100">
        <v>33.090000000000003</v>
      </c>
      <c r="M62" s="100">
        <v>19.66</v>
      </c>
      <c r="N62" s="100">
        <v>329.4</v>
      </c>
      <c r="O62" s="100">
        <v>0</v>
      </c>
      <c r="P62" s="100">
        <v>0.68</v>
      </c>
      <c r="Q62" s="100">
        <v>12.94</v>
      </c>
      <c r="R62" s="6"/>
      <c r="S62" s="6"/>
      <c r="T62" s="156"/>
      <c r="U62" s="6"/>
    </row>
    <row r="63" spans="1:21" customFormat="1">
      <c r="A63" s="163" t="s">
        <v>1253</v>
      </c>
      <c r="B63" s="100">
        <v>3.77</v>
      </c>
      <c r="C63" s="100">
        <v>19.13</v>
      </c>
      <c r="D63" s="100">
        <v>14.37</v>
      </c>
      <c r="E63" s="100">
        <v>11.09</v>
      </c>
      <c r="F63" s="152" t="s">
        <v>15</v>
      </c>
      <c r="G63" s="100">
        <v>53.4</v>
      </c>
      <c r="H63" s="100">
        <v>24.74</v>
      </c>
      <c r="I63" s="100">
        <v>9.3699999999999992</v>
      </c>
      <c r="J63" s="100">
        <v>0.36</v>
      </c>
      <c r="K63" s="100">
        <v>238.21</v>
      </c>
      <c r="L63" s="100">
        <v>33.520000000000003</v>
      </c>
      <c r="M63" s="100">
        <v>19.88</v>
      </c>
      <c r="N63" s="100">
        <v>315.3</v>
      </c>
      <c r="O63" s="100">
        <v>0</v>
      </c>
      <c r="P63" s="100">
        <v>0.66</v>
      </c>
      <c r="Q63" s="100">
        <v>12.91</v>
      </c>
      <c r="R63" s="6"/>
      <c r="S63" s="6"/>
      <c r="T63" s="156"/>
      <c r="U63" s="6"/>
    </row>
    <row r="64" spans="1:21" customFormat="1">
      <c r="A64" s="163" t="s">
        <v>1254</v>
      </c>
      <c r="B64" s="100">
        <v>3.66</v>
      </c>
      <c r="C64" s="100">
        <v>18.87</v>
      </c>
      <c r="D64" s="100">
        <v>14.14</v>
      </c>
      <c r="E64" s="100">
        <v>12.01</v>
      </c>
      <c r="F64" s="152" t="s">
        <v>15</v>
      </c>
      <c r="G64" s="100">
        <v>50.11</v>
      </c>
      <c r="H64" s="100">
        <v>24.57</v>
      </c>
      <c r="I64" s="100">
        <v>9.1199999999999992</v>
      </c>
      <c r="J64" s="100">
        <v>0.76</v>
      </c>
      <c r="K64" s="100">
        <v>265.85000000000002</v>
      </c>
      <c r="L64" s="100">
        <v>33.380000000000003</v>
      </c>
      <c r="M64" s="100">
        <v>20.239999999999998</v>
      </c>
      <c r="N64" s="100">
        <v>313.89999999999998</v>
      </c>
      <c r="O64" s="100">
        <v>0</v>
      </c>
      <c r="P64" s="100">
        <v>0.59</v>
      </c>
      <c r="Q64" s="100">
        <v>12.93</v>
      </c>
      <c r="R64" s="6"/>
      <c r="S64" s="6"/>
      <c r="T64" s="156"/>
      <c r="U64" s="6"/>
    </row>
    <row r="65" spans="1:21" customFormat="1">
      <c r="A65" s="163" t="s">
        <v>1255</v>
      </c>
      <c r="B65" s="100">
        <v>3.54</v>
      </c>
      <c r="C65" s="100">
        <v>18.670000000000002</v>
      </c>
      <c r="D65" s="100">
        <v>13.94</v>
      </c>
      <c r="E65" s="100">
        <v>12.4</v>
      </c>
      <c r="F65" s="152" t="s">
        <v>15</v>
      </c>
      <c r="G65" s="100">
        <v>50.11</v>
      </c>
      <c r="H65" s="100">
        <v>24.57</v>
      </c>
      <c r="I65" s="100">
        <v>9.1199999999999992</v>
      </c>
      <c r="J65" s="100">
        <v>0.46</v>
      </c>
      <c r="K65" s="100">
        <v>269.81</v>
      </c>
      <c r="L65" s="100">
        <v>33.42</v>
      </c>
      <c r="M65" s="100">
        <v>19.93</v>
      </c>
      <c r="N65" s="100">
        <v>301.89999999999998</v>
      </c>
      <c r="O65" s="100">
        <v>0</v>
      </c>
      <c r="P65" s="100">
        <v>0.65</v>
      </c>
      <c r="Q65" s="100">
        <v>12.94</v>
      </c>
      <c r="R65" s="6"/>
      <c r="S65" s="6"/>
      <c r="T65" s="156"/>
      <c r="U65" s="6"/>
    </row>
    <row r="66" spans="1:21" customFormat="1">
      <c r="A66" s="163" t="s">
        <v>1256</v>
      </c>
      <c r="B66" s="100">
        <v>3.47</v>
      </c>
      <c r="C66" s="100">
        <v>18.670000000000002</v>
      </c>
      <c r="D66" s="100">
        <v>13.89</v>
      </c>
      <c r="E66" s="100">
        <v>13.03</v>
      </c>
      <c r="F66" s="152" t="s">
        <v>15</v>
      </c>
      <c r="G66" s="100">
        <v>50.11</v>
      </c>
      <c r="H66" s="100">
        <v>24.57</v>
      </c>
      <c r="I66" s="100">
        <v>9.16</v>
      </c>
      <c r="J66" s="100">
        <v>0.76</v>
      </c>
      <c r="K66" s="100">
        <v>263.31</v>
      </c>
      <c r="L66" s="100">
        <v>33.380000000000003</v>
      </c>
      <c r="M66" s="100">
        <v>20.56</v>
      </c>
      <c r="N66" s="100">
        <v>291.10000000000002</v>
      </c>
      <c r="O66" s="100">
        <v>0</v>
      </c>
      <c r="P66" s="100">
        <v>0.68</v>
      </c>
      <c r="Q66" s="100">
        <v>12.94</v>
      </c>
      <c r="R66" s="6"/>
      <c r="S66" s="6"/>
      <c r="T66" s="156"/>
      <c r="U66" s="6"/>
    </row>
    <row r="67" spans="1:21" customFormat="1">
      <c r="A67" s="163" t="s">
        <v>1257</v>
      </c>
      <c r="B67" s="100">
        <v>3.46</v>
      </c>
      <c r="C67" s="100">
        <v>18.690000000000001</v>
      </c>
      <c r="D67" s="100">
        <v>13.89</v>
      </c>
      <c r="E67" s="100">
        <v>18.07</v>
      </c>
      <c r="F67" s="152" t="s">
        <v>15</v>
      </c>
      <c r="G67" s="100">
        <v>50.23</v>
      </c>
      <c r="H67" s="100">
        <v>24.88</v>
      </c>
      <c r="I67" s="100">
        <v>9.17</v>
      </c>
      <c r="J67" s="100">
        <v>0.68</v>
      </c>
      <c r="K67" s="100">
        <v>290.87</v>
      </c>
      <c r="L67" s="100">
        <v>33.119999999999997</v>
      </c>
      <c r="M67" s="100">
        <v>20.91</v>
      </c>
      <c r="N67" s="100">
        <v>192.7</v>
      </c>
      <c r="O67" s="100">
        <v>0</v>
      </c>
      <c r="P67" s="100">
        <v>0.68</v>
      </c>
      <c r="Q67" s="100">
        <v>12.91</v>
      </c>
      <c r="R67" s="6"/>
      <c r="S67" s="6"/>
      <c r="T67" s="156"/>
      <c r="U67" s="6"/>
    </row>
    <row r="68" spans="1:21" customFormat="1">
      <c r="A68" s="163" t="s">
        <v>1258</v>
      </c>
      <c r="B68" s="100">
        <v>3.48</v>
      </c>
      <c r="C68" s="100">
        <v>18.93</v>
      </c>
      <c r="D68" s="100">
        <v>14.03</v>
      </c>
      <c r="E68" s="100">
        <v>15.93</v>
      </c>
      <c r="F68" s="152" t="s">
        <v>15</v>
      </c>
      <c r="G68" s="100">
        <v>52.86</v>
      </c>
      <c r="H68" s="100">
        <v>34.840000000000003</v>
      </c>
      <c r="I68" s="100">
        <v>9.1999999999999993</v>
      </c>
      <c r="J68" s="100">
        <v>0.63</v>
      </c>
      <c r="K68" s="100">
        <v>308.45</v>
      </c>
      <c r="L68" s="100">
        <v>33.04</v>
      </c>
      <c r="M68" s="100">
        <v>21.72</v>
      </c>
      <c r="N68" s="100">
        <v>82.3</v>
      </c>
      <c r="O68" s="100">
        <v>0</v>
      </c>
      <c r="P68" s="100">
        <v>0.69</v>
      </c>
      <c r="Q68" s="100">
        <v>12.93</v>
      </c>
      <c r="R68" s="6"/>
      <c r="S68" s="6"/>
      <c r="T68" s="156"/>
      <c r="U68" s="6"/>
    </row>
    <row r="69" spans="1:21" customFormat="1">
      <c r="A69" s="163" t="s">
        <v>1259</v>
      </c>
      <c r="B69" s="100">
        <v>3.48</v>
      </c>
      <c r="C69" s="100">
        <v>19.12</v>
      </c>
      <c r="D69" s="100">
        <v>14.13</v>
      </c>
      <c r="E69" s="100">
        <v>14.01</v>
      </c>
      <c r="F69" s="152" t="s">
        <v>15</v>
      </c>
      <c r="G69" s="100">
        <v>52.86</v>
      </c>
      <c r="H69" s="100">
        <v>34.840000000000003</v>
      </c>
      <c r="I69" s="100">
        <v>9.27</v>
      </c>
      <c r="J69" s="100">
        <v>0.72</v>
      </c>
      <c r="K69" s="100">
        <v>302.97000000000003</v>
      </c>
      <c r="L69" s="100">
        <v>32.630000000000003</v>
      </c>
      <c r="M69" s="100">
        <v>22.83</v>
      </c>
      <c r="N69" s="100">
        <v>73.5</v>
      </c>
      <c r="O69" s="100">
        <v>0</v>
      </c>
      <c r="P69" s="100">
        <v>0.67</v>
      </c>
      <c r="Q69" s="100">
        <v>12.93</v>
      </c>
      <c r="R69" s="6"/>
      <c r="S69" s="6"/>
      <c r="T69" s="156"/>
      <c r="U69" s="6"/>
    </row>
    <row r="70" spans="1:21" customFormat="1">
      <c r="A70" s="163" t="s">
        <v>1260</v>
      </c>
      <c r="B70" s="100">
        <v>3.5</v>
      </c>
      <c r="C70" s="100">
        <v>19.239999999999998</v>
      </c>
      <c r="D70" s="100">
        <v>14.21</v>
      </c>
      <c r="E70" s="100">
        <v>16.37</v>
      </c>
      <c r="F70" s="152" t="s">
        <v>15</v>
      </c>
      <c r="G70" s="100">
        <v>52.86</v>
      </c>
      <c r="H70" s="100">
        <v>34.840000000000003</v>
      </c>
      <c r="I70" s="100">
        <v>9.0500000000000007</v>
      </c>
      <c r="J70" s="100">
        <v>0.24</v>
      </c>
      <c r="K70" s="100">
        <v>245.92</v>
      </c>
      <c r="L70" s="100">
        <v>32.630000000000003</v>
      </c>
      <c r="M70" s="100">
        <v>23.18</v>
      </c>
      <c r="N70" s="100">
        <v>69.099999999999994</v>
      </c>
      <c r="O70" s="100">
        <v>0</v>
      </c>
      <c r="P70" s="100">
        <v>0.65</v>
      </c>
      <c r="Q70" s="100">
        <v>12.92</v>
      </c>
      <c r="R70" s="6"/>
      <c r="S70" s="6"/>
      <c r="T70" s="156"/>
      <c r="U70" s="6"/>
    </row>
    <row r="71" spans="1:21" customFormat="1">
      <c r="A71" s="163" t="s">
        <v>1261</v>
      </c>
      <c r="B71" s="100">
        <v>3.48</v>
      </c>
      <c r="C71" s="100">
        <v>19.09</v>
      </c>
      <c r="D71" s="100">
        <v>14.12</v>
      </c>
      <c r="E71" s="100">
        <v>14.75</v>
      </c>
      <c r="F71" s="152" t="s">
        <v>15</v>
      </c>
      <c r="G71" s="100">
        <v>52.84</v>
      </c>
      <c r="H71" s="100">
        <v>34.78</v>
      </c>
      <c r="I71" s="100">
        <v>8.7799999999999994</v>
      </c>
      <c r="J71" s="100">
        <v>0.49</v>
      </c>
      <c r="K71" s="100">
        <v>265.47000000000003</v>
      </c>
      <c r="L71" s="100">
        <v>32.5</v>
      </c>
      <c r="M71" s="100">
        <v>24.1</v>
      </c>
      <c r="N71" s="100">
        <v>65.599999999999994</v>
      </c>
      <c r="O71" s="100">
        <v>0</v>
      </c>
      <c r="P71" s="100">
        <v>0.63</v>
      </c>
      <c r="Q71" s="100">
        <v>12.92</v>
      </c>
      <c r="R71" s="6"/>
      <c r="S71" s="6"/>
      <c r="T71" s="156"/>
      <c r="U71" s="6"/>
    </row>
    <row r="72" spans="1:21" customFormat="1">
      <c r="A72" s="163" t="s">
        <v>1262</v>
      </c>
      <c r="B72" s="100">
        <v>3.47</v>
      </c>
      <c r="C72" s="100">
        <v>18.87</v>
      </c>
      <c r="D72" s="100">
        <v>13.99</v>
      </c>
      <c r="E72" s="100">
        <v>19.11</v>
      </c>
      <c r="F72" s="152" t="s">
        <v>15</v>
      </c>
      <c r="G72" s="100">
        <v>52.42</v>
      </c>
      <c r="H72" s="100">
        <v>32.79</v>
      </c>
      <c r="I72" s="100">
        <v>8.5299999999999994</v>
      </c>
      <c r="J72" s="100">
        <v>0.42</v>
      </c>
      <c r="K72" s="100">
        <v>276.01</v>
      </c>
      <c r="L72" s="100">
        <v>32.35</v>
      </c>
      <c r="M72" s="100">
        <v>23.6</v>
      </c>
      <c r="N72" s="100">
        <v>55.7</v>
      </c>
      <c r="O72" s="100">
        <v>0</v>
      </c>
      <c r="P72" s="100">
        <v>0.63</v>
      </c>
      <c r="Q72" s="100">
        <v>12.94</v>
      </c>
      <c r="R72" s="6"/>
      <c r="S72" s="6"/>
      <c r="T72" s="156"/>
      <c r="U72" s="6"/>
    </row>
    <row r="73" spans="1:21" customFormat="1">
      <c r="A73" s="163" t="s">
        <v>1263</v>
      </c>
      <c r="B73" s="100">
        <v>3.45</v>
      </c>
      <c r="C73" s="100">
        <v>18.690000000000001</v>
      </c>
      <c r="D73" s="100">
        <v>13.88</v>
      </c>
      <c r="E73" s="100">
        <v>17.760000000000002</v>
      </c>
      <c r="F73" s="152" t="s">
        <v>15</v>
      </c>
      <c r="G73" s="100">
        <v>52.42</v>
      </c>
      <c r="H73" s="100">
        <v>32.79</v>
      </c>
      <c r="I73" s="100">
        <v>8.2200000000000006</v>
      </c>
      <c r="J73" s="100">
        <v>0.46</v>
      </c>
      <c r="K73" s="100">
        <v>275.44</v>
      </c>
      <c r="L73" s="100">
        <v>32.11</v>
      </c>
      <c r="M73" s="100">
        <v>24.03</v>
      </c>
      <c r="N73" s="100">
        <v>57.4</v>
      </c>
      <c r="O73" s="100">
        <v>0</v>
      </c>
      <c r="P73" s="100">
        <v>0.61</v>
      </c>
      <c r="Q73" s="100">
        <v>12.95</v>
      </c>
      <c r="R73" s="6"/>
      <c r="S73" s="6"/>
      <c r="T73" s="156"/>
      <c r="U73" s="6"/>
    </row>
    <row r="74" spans="1:21" customFormat="1">
      <c r="A74" s="163" t="s">
        <v>1264</v>
      </c>
      <c r="B74" s="100">
        <v>3.45</v>
      </c>
      <c r="C74" s="100">
        <v>18.59</v>
      </c>
      <c r="D74" s="100">
        <v>13.83</v>
      </c>
      <c r="E74" s="100">
        <v>16.510000000000002</v>
      </c>
      <c r="F74" s="152" t="s">
        <v>15</v>
      </c>
      <c r="G74" s="100">
        <v>52.42</v>
      </c>
      <c r="H74" s="100">
        <v>32.79</v>
      </c>
      <c r="I74" s="100">
        <v>8</v>
      </c>
      <c r="J74" s="100">
        <v>0.5</v>
      </c>
      <c r="K74" s="100">
        <v>286.10000000000002</v>
      </c>
      <c r="L74" s="100">
        <v>32</v>
      </c>
      <c r="M74" s="100">
        <v>24.2</v>
      </c>
      <c r="N74" s="100">
        <v>41.5</v>
      </c>
      <c r="O74" s="100">
        <v>0</v>
      </c>
      <c r="P74" s="100">
        <v>0.62</v>
      </c>
      <c r="Q74" s="100">
        <v>12.94</v>
      </c>
      <c r="R74" s="6"/>
      <c r="S74" s="6"/>
      <c r="T74" s="156"/>
      <c r="U74" s="6"/>
    </row>
    <row r="75" spans="1:21" customFormat="1">
      <c r="A75" s="163" t="s">
        <v>1265</v>
      </c>
      <c r="B75" s="100">
        <v>3.5</v>
      </c>
      <c r="C75" s="100">
        <v>19.100000000000001</v>
      </c>
      <c r="D75" s="100">
        <v>14.14</v>
      </c>
      <c r="E75" s="100">
        <v>16.09</v>
      </c>
      <c r="F75" s="152" t="s">
        <v>15</v>
      </c>
      <c r="G75" s="100">
        <v>52.43</v>
      </c>
      <c r="H75" s="100">
        <v>32.76</v>
      </c>
      <c r="I75" s="100">
        <v>7.89</v>
      </c>
      <c r="J75" s="100">
        <v>0.56999999999999995</v>
      </c>
      <c r="K75" s="100">
        <v>315.48</v>
      </c>
      <c r="L75" s="100">
        <v>31.96</v>
      </c>
      <c r="M75" s="100">
        <v>23.95</v>
      </c>
      <c r="N75" s="100">
        <v>37.9</v>
      </c>
      <c r="O75" s="100">
        <v>0</v>
      </c>
      <c r="P75" s="100">
        <v>0.63</v>
      </c>
      <c r="Q75" s="100">
        <v>12.93</v>
      </c>
      <c r="R75" s="6"/>
      <c r="S75" s="6"/>
      <c r="T75" s="156"/>
      <c r="U75" s="6"/>
    </row>
    <row r="76" spans="1:21" customFormat="1">
      <c r="A76" s="163" t="s">
        <v>1266</v>
      </c>
      <c r="B76" s="100">
        <v>3.56</v>
      </c>
      <c r="C76" s="100">
        <v>19.809999999999999</v>
      </c>
      <c r="D76" s="100">
        <v>14.55</v>
      </c>
      <c r="E76" s="100">
        <v>15.02</v>
      </c>
      <c r="F76" s="152" t="s">
        <v>15</v>
      </c>
      <c r="G76" s="100">
        <v>52.71</v>
      </c>
      <c r="H76" s="100">
        <v>31.77</v>
      </c>
      <c r="I76" s="100">
        <v>7.86</v>
      </c>
      <c r="J76" s="100">
        <v>0.17</v>
      </c>
      <c r="K76" s="100">
        <v>310.19</v>
      </c>
      <c r="L76" s="100">
        <v>31.64</v>
      </c>
      <c r="M76" s="100">
        <v>25.22</v>
      </c>
      <c r="N76" s="100">
        <v>28.7</v>
      </c>
      <c r="O76" s="100">
        <v>0</v>
      </c>
      <c r="P76" s="100">
        <v>0.62</v>
      </c>
      <c r="Q76" s="100">
        <v>12.94</v>
      </c>
      <c r="R76" s="6"/>
      <c r="S76" s="6"/>
      <c r="T76" s="156"/>
      <c r="U76" s="6"/>
    </row>
    <row r="77" spans="1:21" customFormat="1">
      <c r="A77" s="163" t="s">
        <v>1267</v>
      </c>
      <c r="B77" s="100">
        <v>3.58</v>
      </c>
      <c r="C77" s="100">
        <v>20.28</v>
      </c>
      <c r="D77" s="100">
        <v>14.82</v>
      </c>
      <c r="E77" s="100">
        <v>15.46</v>
      </c>
      <c r="F77" s="152" t="s">
        <v>15</v>
      </c>
      <c r="G77" s="100">
        <v>52.71</v>
      </c>
      <c r="H77" s="100">
        <v>31.77</v>
      </c>
      <c r="I77" s="100">
        <v>7.7</v>
      </c>
      <c r="J77" s="100">
        <v>0.23</v>
      </c>
      <c r="K77" s="100">
        <v>175.04</v>
      </c>
      <c r="L77" s="100">
        <v>30.91</v>
      </c>
      <c r="M77" s="100">
        <v>29.12</v>
      </c>
      <c r="N77" s="100">
        <v>20.9</v>
      </c>
      <c r="O77" s="100">
        <v>0</v>
      </c>
      <c r="P77" s="100">
        <v>0.62</v>
      </c>
      <c r="Q77" s="100">
        <v>12.94</v>
      </c>
      <c r="R77" s="6"/>
      <c r="S77" s="6"/>
      <c r="T77" s="156"/>
      <c r="U77" s="6"/>
    </row>
    <row r="78" spans="1:21" customFormat="1">
      <c r="A78" s="163" t="s">
        <v>1268</v>
      </c>
      <c r="B78" s="100">
        <v>3.63</v>
      </c>
      <c r="C78" s="100">
        <v>20.39</v>
      </c>
      <c r="D78" s="100">
        <v>14.91</v>
      </c>
      <c r="E78" s="100">
        <v>14.61</v>
      </c>
      <c r="F78" s="152" t="s">
        <v>15</v>
      </c>
      <c r="G78" s="100">
        <v>52.71</v>
      </c>
      <c r="H78" s="100">
        <v>31.77</v>
      </c>
      <c r="I78" s="100">
        <v>7.55</v>
      </c>
      <c r="J78" s="100">
        <v>0.24</v>
      </c>
      <c r="K78" s="100">
        <v>179.17</v>
      </c>
      <c r="L78" s="100">
        <v>30.01</v>
      </c>
      <c r="M78" s="100">
        <v>30.7</v>
      </c>
      <c r="N78" s="100">
        <v>13.8</v>
      </c>
      <c r="O78" s="100">
        <v>0</v>
      </c>
      <c r="P78" s="100">
        <v>0.62</v>
      </c>
      <c r="Q78" s="100">
        <v>12.94</v>
      </c>
      <c r="R78" s="6"/>
      <c r="S78" s="6"/>
      <c r="T78" s="156"/>
      <c r="U78" s="6"/>
    </row>
    <row r="79" spans="1:21" customFormat="1">
      <c r="A79" s="163" t="s">
        <v>1269</v>
      </c>
      <c r="B79" s="100">
        <v>3.63</v>
      </c>
      <c r="C79" s="100">
        <v>20.41</v>
      </c>
      <c r="D79" s="100">
        <v>14.93</v>
      </c>
      <c r="E79" s="100">
        <v>13.54</v>
      </c>
      <c r="F79" s="152" t="s">
        <v>15</v>
      </c>
      <c r="G79" s="100">
        <v>52.87</v>
      </c>
      <c r="H79" s="100">
        <v>31.76</v>
      </c>
      <c r="I79" s="100">
        <v>7.58</v>
      </c>
      <c r="J79" s="100">
        <v>0.25</v>
      </c>
      <c r="K79" s="100">
        <v>175.23</v>
      </c>
      <c r="L79" s="100">
        <v>29.2</v>
      </c>
      <c r="M79" s="100">
        <v>33.04</v>
      </c>
      <c r="N79" s="100">
        <v>7.9</v>
      </c>
      <c r="O79" s="100">
        <v>0</v>
      </c>
      <c r="P79" s="100">
        <v>0.63</v>
      </c>
      <c r="Q79" s="100">
        <v>12.94</v>
      </c>
      <c r="R79" s="6"/>
      <c r="S79" s="6"/>
      <c r="T79" s="156"/>
      <c r="U79" s="6"/>
    </row>
    <row r="80" spans="1:21" customFormat="1">
      <c r="A80" s="163" t="s">
        <v>1270</v>
      </c>
      <c r="B80" s="100">
        <v>3.7</v>
      </c>
      <c r="C80" s="100">
        <v>20.39</v>
      </c>
      <c r="D80" s="100">
        <v>14.97</v>
      </c>
      <c r="E80" s="100">
        <v>13.1</v>
      </c>
      <c r="F80" s="152" t="s">
        <v>15</v>
      </c>
      <c r="G80" s="100">
        <v>56.32</v>
      </c>
      <c r="H80" s="100">
        <v>31.58</v>
      </c>
      <c r="I80" s="100">
        <v>7.63</v>
      </c>
      <c r="J80" s="100">
        <v>0.22</v>
      </c>
      <c r="K80" s="100">
        <v>178.28</v>
      </c>
      <c r="L80" s="100">
        <v>27.87</v>
      </c>
      <c r="M80" s="100">
        <v>42.17</v>
      </c>
      <c r="N80" s="100">
        <v>3.8</v>
      </c>
      <c r="O80" s="100">
        <v>0</v>
      </c>
      <c r="P80" s="100">
        <v>0.64</v>
      </c>
      <c r="Q80" s="100">
        <v>12.94</v>
      </c>
      <c r="R80" s="6"/>
      <c r="S80" s="6"/>
      <c r="T80" s="156"/>
      <c r="U80" s="6"/>
    </row>
    <row r="81" spans="1:21" customFormat="1">
      <c r="A81" s="163" t="s">
        <v>1271</v>
      </c>
      <c r="B81" s="100">
        <v>3.75</v>
      </c>
      <c r="C81" s="100">
        <v>20.41</v>
      </c>
      <c r="D81" s="100">
        <v>15.02</v>
      </c>
      <c r="E81" s="100">
        <v>7.68</v>
      </c>
      <c r="F81" s="152" t="s">
        <v>15</v>
      </c>
      <c r="G81" s="100">
        <v>56.32</v>
      </c>
      <c r="H81" s="100">
        <v>31.58</v>
      </c>
      <c r="I81" s="100">
        <v>7.63</v>
      </c>
      <c r="J81" s="100">
        <v>0.22</v>
      </c>
      <c r="K81" s="100">
        <v>174.2</v>
      </c>
      <c r="L81" s="100">
        <v>26.91</v>
      </c>
      <c r="M81" s="100">
        <v>44.22</v>
      </c>
      <c r="N81" s="100">
        <v>2.1</v>
      </c>
      <c r="O81" s="100">
        <v>0</v>
      </c>
      <c r="P81" s="100">
        <v>0.64</v>
      </c>
      <c r="Q81" s="100">
        <v>12.95</v>
      </c>
      <c r="R81" s="6"/>
      <c r="S81" s="6"/>
      <c r="T81" s="156"/>
      <c r="U81" s="6"/>
    </row>
    <row r="82" spans="1:21" customFormat="1">
      <c r="A82" s="163" t="s">
        <v>1272</v>
      </c>
      <c r="B82" s="100">
        <v>3.83</v>
      </c>
      <c r="C82" s="100">
        <v>20.309999999999999</v>
      </c>
      <c r="D82" s="100">
        <v>15.04</v>
      </c>
      <c r="E82" s="100">
        <v>8.18</v>
      </c>
      <c r="F82" s="152" t="s">
        <v>15</v>
      </c>
      <c r="G82" s="100">
        <v>56.32</v>
      </c>
      <c r="H82" s="100">
        <v>31.58</v>
      </c>
      <c r="I82" s="100">
        <v>7.7</v>
      </c>
      <c r="J82" s="100">
        <v>0.27</v>
      </c>
      <c r="K82" s="100">
        <v>163.38</v>
      </c>
      <c r="L82" s="100">
        <v>26.36</v>
      </c>
      <c r="M82" s="100">
        <v>49.15</v>
      </c>
      <c r="N82" s="100">
        <v>1.6</v>
      </c>
      <c r="O82" s="100">
        <v>0</v>
      </c>
      <c r="P82" s="100">
        <v>0.65</v>
      </c>
      <c r="Q82" s="100">
        <v>12.94</v>
      </c>
      <c r="R82" s="6"/>
      <c r="S82" s="6"/>
      <c r="T82" s="156"/>
      <c r="U82" s="6"/>
    </row>
    <row r="83" spans="1:21" customFormat="1">
      <c r="A83" s="163" t="s">
        <v>1273</v>
      </c>
      <c r="B83" s="100">
        <v>3.87</v>
      </c>
      <c r="C83" s="100">
        <v>20.260000000000002</v>
      </c>
      <c r="D83" s="100">
        <v>15.04</v>
      </c>
      <c r="E83" s="100">
        <v>8.17</v>
      </c>
      <c r="F83" s="152" t="s">
        <v>15</v>
      </c>
      <c r="G83" s="100">
        <v>56.72</v>
      </c>
      <c r="H83" s="100">
        <v>31.61</v>
      </c>
      <c r="I83" s="100">
        <v>7.72</v>
      </c>
      <c r="J83" s="100">
        <v>0.18</v>
      </c>
      <c r="K83" s="100">
        <v>174.36</v>
      </c>
      <c r="L83" s="100">
        <v>25.68</v>
      </c>
      <c r="M83" s="100">
        <v>49.51</v>
      </c>
      <c r="N83" s="100">
        <v>1.6</v>
      </c>
      <c r="O83" s="100">
        <v>0</v>
      </c>
      <c r="P83" s="100">
        <v>0.65</v>
      </c>
      <c r="Q83" s="100">
        <v>12.93</v>
      </c>
      <c r="R83" s="6"/>
      <c r="S83" s="6"/>
      <c r="T83" s="156"/>
      <c r="U83" s="6"/>
    </row>
    <row r="84" spans="1:21" customFormat="1">
      <c r="A84" s="163" t="s">
        <v>1274</v>
      </c>
      <c r="B84" s="100">
        <v>4</v>
      </c>
      <c r="C84" s="100">
        <v>20.48</v>
      </c>
      <c r="D84" s="100">
        <v>15.26</v>
      </c>
      <c r="E84" s="100">
        <v>8.34</v>
      </c>
      <c r="F84" s="152" t="s">
        <v>15</v>
      </c>
      <c r="G84" s="100">
        <v>68.36</v>
      </c>
      <c r="H84" s="100">
        <v>32.82</v>
      </c>
      <c r="I84" s="100">
        <v>7.77</v>
      </c>
      <c r="J84" s="100">
        <v>0.26</v>
      </c>
      <c r="K84" s="100">
        <v>163.12</v>
      </c>
      <c r="L84" s="100">
        <v>25.31</v>
      </c>
      <c r="M84" s="100">
        <v>51.98</v>
      </c>
      <c r="N84" s="100">
        <v>1.5</v>
      </c>
      <c r="O84" s="100">
        <v>0</v>
      </c>
      <c r="P84" s="100">
        <v>0.7</v>
      </c>
      <c r="Q84" s="100">
        <v>12.94</v>
      </c>
      <c r="R84" s="6"/>
      <c r="S84" s="6"/>
      <c r="T84" s="156"/>
      <c r="U84" s="6"/>
    </row>
    <row r="85" spans="1:21" customFormat="1">
      <c r="A85" s="163" t="s">
        <v>1275</v>
      </c>
      <c r="B85" s="100">
        <v>4.28</v>
      </c>
      <c r="C85" s="100">
        <v>20.6</v>
      </c>
      <c r="D85" s="100">
        <v>15.54</v>
      </c>
      <c r="E85" s="100">
        <v>8.33</v>
      </c>
      <c r="F85" s="152" t="s">
        <v>15</v>
      </c>
      <c r="G85" s="100">
        <v>68.36</v>
      </c>
      <c r="H85" s="100">
        <v>32.82</v>
      </c>
      <c r="I85" s="100">
        <v>7.87</v>
      </c>
      <c r="J85" s="100">
        <v>0.23</v>
      </c>
      <c r="K85" s="100">
        <v>165.96</v>
      </c>
      <c r="L85" s="100">
        <v>24.92</v>
      </c>
      <c r="M85" s="100">
        <v>48.98</v>
      </c>
      <c r="N85" s="100">
        <v>1.2</v>
      </c>
      <c r="O85" s="100">
        <v>0</v>
      </c>
      <c r="P85" s="100">
        <v>0.73</v>
      </c>
      <c r="Q85" s="100">
        <v>12.94</v>
      </c>
      <c r="R85" s="6"/>
      <c r="S85" s="6"/>
      <c r="T85" s="156"/>
      <c r="U85" s="6"/>
    </row>
    <row r="86" spans="1:21" customFormat="1">
      <c r="A86" s="163" t="s">
        <v>1276</v>
      </c>
      <c r="B86" s="100">
        <v>4.5599999999999996</v>
      </c>
      <c r="C86" s="100">
        <v>20.46</v>
      </c>
      <c r="D86" s="100">
        <v>15.7</v>
      </c>
      <c r="E86" s="100">
        <v>8.9600000000000009</v>
      </c>
      <c r="F86" s="152" t="s">
        <v>15</v>
      </c>
      <c r="G86" s="100">
        <v>68.36</v>
      </c>
      <c r="H86" s="100">
        <v>32.82</v>
      </c>
      <c r="I86" s="100">
        <v>8.0299999999999994</v>
      </c>
      <c r="J86" s="100">
        <v>0.22</v>
      </c>
      <c r="K86" s="100">
        <v>169.14</v>
      </c>
      <c r="L86" s="100">
        <v>24.71</v>
      </c>
      <c r="M86" s="100">
        <v>53.15</v>
      </c>
      <c r="N86" s="100">
        <v>1.4</v>
      </c>
      <c r="O86" s="100">
        <v>0</v>
      </c>
      <c r="P86" s="100">
        <v>0.74</v>
      </c>
      <c r="Q86" s="100">
        <v>12.93</v>
      </c>
      <c r="R86" s="6"/>
      <c r="S86" s="6"/>
      <c r="T86" s="156"/>
      <c r="U86" s="6"/>
    </row>
    <row r="87" spans="1:21" customFormat="1">
      <c r="A87" s="163" t="s">
        <v>1277</v>
      </c>
      <c r="B87" s="100">
        <v>4.8499999999999996</v>
      </c>
      <c r="C87" s="100">
        <v>20.37</v>
      </c>
      <c r="D87" s="100">
        <v>15.88</v>
      </c>
      <c r="E87" s="100">
        <v>8.24</v>
      </c>
      <c r="F87" s="152" t="s">
        <v>15</v>
      </c>
      <c r="G87" s="100">
        <v>68.59</v>
      </c>
      <c r="H87" s="100">
        <v>32.72</v>
      </c>
      <c r="I87" s="100">
        <v>8.18</v>
      </c>
      <c r="J87" s="100">
        <v>0.12</v>
      </c>
      <c r="K87" s="100">
        <v>150.94999999999999</v>
      </c>
      <c r="L87" s="100">
        <v>24.48</v>
      </c>
      <c r="M87" s="100">
        <v>50.67</v>
      </c>
      <c r="N87" s="100">
        <v>1.2</v>
      </c>
      <c r="O87" s="100">
        <v>0</v>
      </c>
      <c r="P87" s="100">
        <v>0.8</v>
      </c>
      <c r="Q87" s="100">
        <v>12.93</v>
      </c>
      <c r="R87" s="6"/>
      <c r="S87" s="6"/>
      <c r="T87" s="156"/>
      <c r="U87" s="6"/>
    </row>
    <row r="88" spans="1:21" customFormat="1">
      <c r="A88" s="163" t="s">
        <v>1278</v>
      </c>
      <c r="B88" s="100">
        <v>5.96</v>
      </c>
      <c r="C88" s="100">
        <v>20.78</v>
      </c>
      <c r="D88" s="100">
        <v>16.989999999999998</v>
      </c>
      <c r="E88" s="100">
        <v>8.5299999999999994</v>
      </c>
      <c r="F88" s="152" t="s">
        <v>15</v>
      </c>
      <c r="G88" s="100">
        <v>73.489999999999995</v>
      </c>
      <c r="H88" s="100">
        <v>29.26</v>
      </c>
      <c r="I88" s="100">
        <v>8.2899999999999991</v>
      </c>
      <c r="J88" s="100">
        <v>0.16</v>
      </c>
      <c r="K88" s="100">
        <v>153.49</v>
      </c>
      <c r="L88" s="100">
        <v>24.51</v>
      </c>
      <c r="M88" s="100">
        <v>50.37</v>
      </c>
      <c r="N88" s="100">
        <v>1.1000000000000001</v>
      </c>
      <c r="O88" s="100">
        <v>0</v>
      </c>
      <c r="P88" s="100">
        <v>0.82</v>
      </c>
      <c r="Q88" s="100">
        <v>12.93</v>
      </c>
      <c r="R88" s="6"/>
      <c r="S88" s="6"/>
      <c r="T88" s="156"/>
      <c r="U88" s="6"/>
    </row>
    <row r="89" spans="1:21" customFormat="1">
      <c r="A89" s="163" t="s">
        <v>1279</v>
      </c>
      <c r="B89" s="100">
        <v>7.87</v>
      </c>
      <c r="C89" s="100">
        <v>21.7</v>
      </c>
      <c r="D89" s="100">
        <v>19</v>
      </c>
      <c r="E89" s="100">
        <v>8.3000000000000007</v>
      </c>
      <c r="F89" s="152" t="s">
        <v>15</v>
      </c>
      <c r="G89" s="100">
        <v>73.489999999999995</v>
      </c>
      <c r="H89" s="100">
        <v>29.26</v>
      </c>
      <c r="I89" s="100">
        <v>8.67</v>
      </c>
      <c r="J89" s="100">
        <v>0.24</v>
      </c>
      <c r="K89" s="100">
        <v>169.39</v>
      </c>
      <c r="L89" s="100">
        <v>24.19</v>
      </c>
      <c r="M89" s="100">
        <v>56.74</v>
      </c>
      <c r="N89" s="100">
        <v>1.4</v>
      </c>
      <c r="O89" s="100">
        <v>0</v>
      </c>
      <c r="P89" s="100">
        <v>0.83</v>
      </c>
      <c r="Q89" s="100">
        <v>12.94</v>
      </c>
      <c r="R89" s="6"/>
      <c r="S89" s="6"/>
      <c r="T89" s="156"/>
      <c r="U89" s="6"/>
    </row>
    <row r="90" spans="1:21" customFormat="1">
      <c r="A90" s="163" t="s">
        <v>1280</v>
      </c>
      <c r="B90" s="100">
        <v>9.3000000000000007</v>
      </c>
      <c r="C90" s="100">
        <v>22.28</v>
      </c>
      <c r="D90" s="100">
        <v>20.45</v>
      </c>
      <c r="E90" s="100">
        <v>8.19</v>
      </c>
      <c r="F90" s="152" t="s">
        <v>15</v>
      </c>
      <c r="G90" s="100">
        <v>73.489999999999995</v>
      </c>
      <c r="H90" s="100">
        <v>29.26</v>
      </c>
      <c r="I90" s="100">
        <v>9.14</v>
      </c>
      <c r="J90" s="100">
        <v>0.21</v>
      </c>
      <c r="K90" s="100">
        <v>175.29</v>
      </c>
      <c r="L90" s="100">
        <v>23.46</v>
      </c>
      <c r="M90" s="100">
        <v>60.53</v>
      </c>
      <c r="N90" s="100">
        <v>1.8</v>
      </c>
      <c r="O90" s="100">
        <v>0</v>
      </c>
      <c r="P90" s="100">
        <v>0.86</v>
      </c>
      <c r="Q90" s="100">
        <v>12.95</v>
      </c>
      <c r="R90" s="6"/>
      <c r="S90" s="6"/>
      <c r="T90" s="156"/>
      <c r="U90" s="6"/>
    </row>
    <row r="91" spans="1:21" customFormat="1">
      <c r="A91" s="163" t="s">
        <v>1281</v>
      </c>
      <c r="B91" s="100">
        <v>10.19</v>
      </c>
      <c r="C91" s="100">
        <v>22.66</v>
      </c>
      <c r="D91" s="100">
        <v>21.36</v>
      </c>
      <c r="E91" s="100">
        <v>8.75</v>
      </c>
      <c r="F91" s="152" t="s">
        <v>15</v>
      </c>
      <c r="G91" s="100">
        <v>74.41</v>
      </c>
      <c r="H91" s="100">
        <v>29.37</v>
      </c>
      <c r="I91" s="100">
        <v>9.26</v>
      </c>
      <c r="J91" s="100">
        <v>0.24</v>
      </c>
      <c r="K91" s="100">
        <v>168.74</v>
      </c>
      <c r="L91" s="100">
        <v>23.04</v>
      </c>
      <c r="M91" s="100">
        <v>61.97</v>
      </c>
      <c r="N91" s="100">
        <v>1.5</v>
      </c>
      <c r="O91" s="100">
        <v>0</v>
      </c>
      <c r="P91" s="100">
        <v>0.89</v>
      </c>
      <c r="Q91" s="100">
        <v>12.96</v>
      </c>
      <c r="R91" s="6"/>
      <c r="S91" s="6"/>
      <c r="T91" s="156"/>
      <c r="U91" s="6"/>
    </row>
    <row r="92" spans="1:21" customFormat="1">
      <c r="A92" s="163" t="s">
        <v>1282</v>
      </c>
      <c r="B92" s="100">
        <v>10.88</v>
      </c>
      <c r="C92" s="100">
        <v>22.93</v>
      </c>
      <c r="D92" s="100">
        <v>22.06</v>
      </c>
      <c r="E92" s="100">
        <v>8.31</v>
      </c>
      <c r="F92" s="152" t="s">
        <v>15</v>
      </c>
      <c r="G92" s="100">
        <v>94.24</v>
      </c>
      <c r="H92" s="100">
        <v>33</v>
      </c>
      <c r="I92" s="100">
        <v>9.49</v>
      </c>
      <c r="J92" s="100">
        <v>0.23</v>
      </c>
      <c r="K92" s="100">
        <v>160.21</v>
      </c>
      <c r="L92" s="100">
        <v>22.82</v>
      </c>
      <c r="M92" s="100">
        <v>61.93</v>
      </c>
      <c r="N92" s="100">
        <v>1.4</v>
      </c>
      <c r="O92" s="100">
        <v>0</v>
      </c>
      <c r="P92" s="100">
        <v>0.92</v>
      </c>
      <c r="Q92" s="100">
        <v>12.96</v>
      </c>
      <c r="R92" s="6"/>
      <c r="S92" s="6"/>
      <c r="T92" s="156"/>
      <c r="U92" s="6"/>
    </row>
    <row r="93" spans="1:21" customFormat="1">
      <c r="A93" s="163" t="s">
        <v>1283</v>
      </c>
      <c r="B93" s="100">
        <v>11.4</v>
      </c>
      <c r="C93" s="100">
        <v>23.19</v>
      </c>
      <c r="D93" s="100">
        <v>22.61</v>
      </c>
      <c r="E93" s="100">
        <v>8.1199999999999992</v>
      </c>
      <c r="F93" s="152" t="s">
        <v>15</v>
      </c>
      <c r="G93" s="100">
        <v>94.24</v>
      </c>
      <c r="H93" s="100">
        <v>33</v>
      </c>
      <c r="I93" s="100">
        <v>9.75</v>
      </c>
      <c r="J93" s="100">
        <v>0.19</v>
      </c>
      <c r="K93" s="100">
        <v>173.26</v>
      </c>
      <c r="L93" s="100">
        <v>22.53</v>
      </c>
      <c r="M93" s="100">
        <v>63.6</v>
      </c>
      <c r="N93" s="100">
        <v>1.4</v>
      </c>
      <c r="O93" s="100">
        <v>0</v>
      </c>
      <c r="P93" s="100">
        <v>0.94</v>
      </c>
      <c r="Q93" s="100">
        <v>12.98</v>
      </c>
      <c r="R93" s="6"/>
      <c r="S93" s="6"/>
      <c r="T93" s="156"/>
      <c r="U93" s="6"/>
    </row>
    <row r="94" spans="1:21" customFormat="1">
      <c r="A94" s="163" t="s">
        <v>1284</v>
      </c>
      <c r="B94" s="100">
        <v>11.76</v>
      </c>
      <c r="C94" s="100">
        <v>23.24</v>
      </c>
      <c r="D94" s="100">
        <v>22.93</v>
      </c>
      <c r="E94" s="100">
        <v>8.48</v>
      </c>
      <c r="F94" s="152" t="s">
        <v>15</v>
      </c>
      <c r="G94" s="100">
        <v>94.24</v>
      </c>
      <c r="H94" s="100">
        <v>33</v>
      </c>
      <c r="I94" s="100">
        <v>9.98</v>
      </c>
      <c r="J94" s="100">
        <v>0.2</v>
      </c>
      <c r="K94" s="100">
        <v>167.34</v>
      </c>
      <c r="L94" s="100">
        <v>22.4</v>
      </c>
      <c r="M94" s="100">
        <v>62.77</v>
      </c>
      <c r="N94" s="100">
        <v>1.3</v>
      </c>
      <c r="O94" s="100">
        <v>0</v>
      </c>
      <c r="P94" s="100">
        <v>0.95</v>
      </c>
      <c r="Q94" s="100">
        <v>12.98</v>
      </c>
      <c r="R94" s="6"/>
      <c r="S94" s="6"/>
      <c r="T94" s="156"/>
      <c r="U94" s="6"/>
    </row>
    <row r="95" spans="1:21" customFormat="1">
      <c r="A95" s="163" t="s">
        <v>1285</v>
      </c>
      <c r="B95" s="100">
        <v>12.03</v>
      </c>
      <c r="C95" s="100">
        <v>23.27</v>
      </c>
      <c r="D95" s="100">
        <v>23.16</v>
      </c>
      <c r="E95" s="100">
        <v>8.49</v>
      </c>
      <c r="F95" s="152" t="s">
        <v>15</v>
      </c>
      <c r="G95" s="100">
        <v>94.15</v>
      </c>
      <c r="H95" s="100">
        <v>32.94</v>
      </c>
      <c r="I95" s="100">
        <v>10.16</v>
      </c>
      <c r="J95" s="100">
        <v>0.13</v>
      </c>
      <c r="K95" s="100">
        <v>190.4</v>
      </c>
      <c r="L95" s="100">
        <v>22.15</v>
      </c>
      <c r="M95" s="100">
        <v>65.069999999999993</v>
      </c>
      <c r="N95" s="100">
        <v>1.4</v>
      </c>
      <c r="O95" s="100">
        <v>0</v>
      </c>
      <c r="P95" s="100">
        <v>0.97</v>
      </c>
      <c r="Q95" s="100">
        <v>12.96</v>
      </c>
      <c r="R95" s="6"/>
      <c r="S95" s="6"/>
      <c r="T95" s="156"/>
      <c r="U95" s="6"/>
    </row>
    <row r="96" spans="1:21" customFormat="1">
      <c r="A96" s="163" t="s">
        <v>1286</v>
      </c>
      <c r="B96" s="100">
        <v>12.31</v>
      </c>
      <c r="C96" s="100">
        <v>23.05</v>
      </c>
      <c r="D96" s="100">
        <v>23.27</v>
      </c>
      <c r="E96" s="100">
        <v>8.83</v>
      </c>
      <c r="F96" s="152" t="s">
        <v>15</v>
      </c>
      <c r="G96" s="100">
        <v>92.09</v>
      </c>
      <c r="H96" s="100">
        <v>31.13</v>
      </c>
      <c r="I96" s="100">
        <v>10.31</v>
      </c>
      <c r="J96" s="100">
        <v>0.16</v>
      </c>
      <c r="K96" s="100">
        <v>152.38999999999999</v>
      </c>
      <c r="L96" s="100">
        <v>22.06</v>
      </c>
      <c r="M96" s="100">
        <v>63.98</v>
      </c>
      <c r="N96" s="100">
        <v>1.2</v>
      </c>
      <c r="O96" s="100">
        <v>0</v>
      </c>
      <c r="P96" s="100">
        <v>0.98</v>
      </c>
      <c r="Q96" s="100">
        <v>12.97</v>
      </c>
      <c r="R96" s="6"/>
      <c r="S96" s="6"/>
      <c r="T96" s="156"/>
      <c r="U96" s="6"/>
    </row>
    <row r="97" spans="1:28" customFormat="1">
      <c r="A97" s="163" t="s">
        <v>1287</v>
      </c>
      <c r="B97" s="100">
        <v>12.54</v>
      </c>
      <c r="C97" s="100">
        <v>22.92</v>
      </c>
      <c r="D97" s="100">
        <v>23.39</v>
      </c>
      <c r="E97" s="100">
        <v>8.49</v>
      </c>
      <c r="F97" s="152" t="s">
        <v>15</v>
      </c>
      <c r="G97" s="100">
        <v>92.09</v>
      </c>
      <c r="H97" s="100">
        <v>31.13</v>
      </c>
      <c r="I97" s="100">
        <v>10.46</v>
      </c>
      <c r="J97" s="100">
        <v>0.2</v>
      </c>
      <c r="K97" s="100">
        <v>170.57</v>
      </c>
      <c r="L97" s="100">
        <v>22.07</v>
      </c>
      <c r="M97" s="100">
        <v>64.25</v>
      </c>
      <c r="N97" s="100">
        <v>1.1000000000000001</v>
      </c>
      <c r="O97" s="100">
        <v>0</v>
      </c>
      <c r="P97" s="100">
        <v>0.99</v>
      </c>
      <c r="Q97" s="100">
        <v>12.97</v>
      </c>
      <c r="R97" s="6"/>
      <c r="S97" s="6"/>
      <c r="T97" s="156"/>
      <c r="U97" s="6"/>
    </row>
    <row r="98" spans="1:28" customFormat="1">
      <c r="A98" s="163" t="s">
        <v>1288</v>
      </c>
      <c r="B98" s="100">
        <v>12.69</v>
      </c>
      <c r="C98" s="100">
        <v>22.74</v>
      </c>
      <c r="D98" s="100">
        <v>23.41</v>
      </c>
      <c r="E98" s="100">
        <v>8.66</v>
      </c>
      <c r="F98" s="152" t="s">
        <v>15</v>
      </c>
      <c r="G98" s="100">
        <v>92.09</v>
      </c>
      <c r="H98" s="100">
        <v>31.13</v>
      </c>
      <c r="I98" s="100">
        <v>10.62</v>
      </c>
      <c r="J98" s="100">
        <v>0.18</v>
      </c>
      <c r="K98" s="100">
        <v>187.31</v>
      </c>
      <c r="L98" s="100">
        <v>21.68</v>
      </c>
      <c r="M98" s="100">
        <v>65.150000000000006</v>
      </c>
      <c r="N98" s="100">
        <v>1.5</v>
      </c>
      <c r="O98" s="100">
        <v>0</v>
      </c>
      <c r="P98" s="100">
        <v>1.01</v>
      </c>
      <c r="Q98" s="100">
        <v>12.97</v>
      </c>
      <c r="R98" s="6"/>
      <c r="S98" s="6"/>
      <c r="T98" s="156"/>
      <c r="U98" s="6"/>
    </row>
    <row r="99" spans="1:28" customFormat="1">
      <c r="A99" s="163" t="s">
        <v>1289</v>
      </c>
      <c r="B99" s="100">
        <v>12.8</v>
      </c>
      <c r="C99" s="100">
        <v>22.61</v>
      </c>
      <c r="D99" s="100">
        <v>23.43</v>
      </c>
      <c r="E99" s="100">
        <v>8.58</v>
      </c>
      <c r="F99" s="152" t="s">
        <v>15</v>
      </c>
      <c r="G99" s="100">
        <v>92.06</v>
      </c>
      <c r="H99" s="100">
        <v>31.14</v>
      </c>
      <c r="I99" s="100">
        <v>10.8</v>
      </c>
      <c r="J99" s="100">
        <v>0.16</v>
      </c>
      <c r="K99" s="100">
        <v>209.28</v>
      </c>
      <c r="L99" s="100">
        <v>21.39</v>
      </c>
      <c r="M99" s="100">
        <v>65.260000000000005</v>
      </c>
      <c r="N99" s="100">
        <v>1.4</v>
      </c>
      <c r="O99" s="100">
        <v>0</v>
      </c>
      <c r="P99" s="100">
        <v>1.01</v>
      </c>
      <c r="Q99" s="100">
        <v>12.96</v>
      </c>
      <c r="R99" s="6"/>
      <c r="S99" s="6"/>
      <c r="T99" s="156"/>
      <c r="U99" s="6"/>
    </row>
    <row r="100" spans="1:28" customFormat="1">
      <c r="A100" s="163" t="s">
        <v>1290</v>
      </c>
      <c r="B100" s="100">
        <v>12.81</v>
      </c>
      <c r="C100" s="100">
        <v>22.58</v>
      </c>
      <c r="D100" s="100">
        <v>23.42</v>
      </c>
      <c r="E100" s="100">
        <v>8.48</v>
      </c>
      <c r="F100" s="152" t="s">
        <v>15</v>
      </c>
      <c r="G100" s="100">
        <v>91.3</v>
      </c>
      <c r="H100" s="100">
        <v>31.35</v>
      </c>
      <c r="I100" s="100">
        <v>10.95</v>
      </c>
      <c r="J100" s="100">
        <v>0.15</v>
      </c>
      <c r="K100" s="100">
        <v>212.99</v>
      </c>
      <c r="L100" s="100">
        <v>21.16</v>
      </c>
      <c r="M100" s="100">
        <v>67.900000000000006</v>
      </c>
      <c r="N100" s="100">
        <v>1.4</v>
      </c>
      <c r="O100" s="100">
        <v>0</v>
      </c>
      <c r="P100" s="100">
        <v>1.02</v>
      </c>
      <c r="Q100" s="100">
        <v>12.96</v>
      </c>
      <c r="R100" s="6"/>
      <c r="S100" s="6"/>
      <c r="T100" s="156"/>
      <c r="U100" s="6"/>
      <c r="AB100" s="161"/>
    </row>
    <row r="101" spans="1:28" customFormat="1">
      <c r="A101" s="163" t="s">
        <v>1291</v>
      </c>
      <c r="B101" s="100">
        <v>12.85</v>
      </c>
      <c r="C101" s="100">
        <v>22.51</v>
      </c>
      <c r="D101" s="100">
        <v>23.41</v>
      </c>
      <c r="E101" s="100">
        <v>8.44</v>
      </c>
      <c r="F101" s="152" t="s">
        <v>15</v>
      </c>
      <c r="G101" s="100">
        <v>91.3</v>
      </c>
      <c r="H101" s="100">
        <v>31.35</v>
      </c>
      <c r="I101" s="100">
        <v>11.15</v>
      </c>
      <c r="J101" s="100">
        <v>0.17</v>
      </c>
      <c r="K101" s="100">
        <v>157.02000000000001</v>
      </c>
      <c r="L101" s="100">
        <v>21.2</v>
      </c>
      <c r="M101" s="100">
        <v>69.39</v>
      </c>
      <c r="N101" s="100">
        <v>1.2</v>
      </c>
      <c r="O101" s="100">
        <v>0</v>
      </c>
      <c r="P101" s="100">
        <v>1.03</v>
      </c>
      <c r="Q101" s="100">
        <v>12.97</v>
      </c>
      <c r="R101" s="6"/>
      <c r="S101" s="6"/>
      <c r="T101" s="156"/>
      <c r="U101" s="6"/>
    </row>
    <row r="102" spans="1:28" customFormat="1">
      <c r="A102" s="163" t="s">
        <v>1292</v>
      </c>
      <c r="B102" s="100">
        <v>12.9</v>
      </c>
      <c r="C102" s="100">
        <v>22.41</v>
      </c>
      <c r="D102" s="100">
        <v>23.4</v>
      </c>
      <c r="E102" s="100">
        <v>8.56</v>
      </c>
      <c r="F102" s="152" t="s">
        <v>15</v>
      </c>
      <c r="G102" s="100">
        <v>91.3</v>
      </c>
      <c r="H102" s="100">
        <v>31.35</v>
      </c>
      <c r="I102" s="100">
        <v>11.28</v>
      </c>
      <c r="J102" s="100">
        <v>0.17</v>
      </c>
      <c r="K102" s="100">
        <v>184.26</v>
      </c>
      <c r="L102" s="100">
        <v>21.13</v>
      </c>
      <c r="M102" s="100">
        <v>69.819999999999993</v>
      </c>
      <c r="N102" s="100">
        <v>1.2</v>
      </c>
      <c r="O102" s="100">
        <v>0</v>
      </c>
      <c r="P102" s="100">
        <v>1.05</v>
      </c>
      <c r="Q102" s="100">
        <v>12.97</v>
      </c>
      <c r="R102" s="6"/>
      <c r="S102" s="6"/>
      <c r="T102" s="156"/>
      <c r="U102" s="6"/>
    </row>
    <row r="103" spans="1:28" customFormat="1">
      <c r="A103" s="163" t="s">
        <v>1293</v>
      </c>
      <c r="B103" s="100">
        <v>12.93</v>
      </c>
      <c r="C103" s="100">
        <v>22.34</v>
      </c>
      <c r="D103" s="100">
        <v>23.39</v>
      </c>
      <c r="E103" s="100">
        <v>8.41</v>
      </c>
      <c r="F103" s="152" t="s">
        <v>15</v>
      </c>
      <c r="G103" s="100">
        <v>91.57</v>
      </c>
      <c r="H103" s="100">
        <v>31.25</v>
      </c>
      <c r="I103" s="100">
        <v>11.36</v>
      </c>
      <c r="J103" s="100">
        <v>0.13</v>
      </c>
      <c r="K103" s="100">
        <v>175.56</v>
      </c>
      <c r="L103" s="100">
        <v>21.16</v>
      </c>
      <c r="M103" s="100">
        <v>67.2</v>
      </c>
      <c r="N103" s="100">
        <v>1.3</v>
      </c>
      <c r="O103" s="100">
        <v>0</v>
      </c>
      <c r="P103" s="100">
        <v>1.04</v>
      </c>
      <c r="Q103" s="100">
        <v>12.97</v>
      </c>
      <c r="R103" s="6"/>
      <c r="S103" s="6"/>
      <c r="T103" s="156"/>
      <c r="U103" s="6"/>
    </row>
    <row r="104" spans="1:28" customFormat="1">
      <c r="A104" s="163" t="s">
        <v>1294</v>
      </c>
      <c r="B104" s="100">
        <v>12.83</v>
      </c>
      <c r="C104" s="100">
        <v>22.24</v>
      </c>
      <c r="D104" s="100">
        <v>23.26</v>
      </c>
      <c r="E104" s="100">
        <v>8.44</v>
      </c>
      <c r="F104" s="152" t="s">
        <v>15</v>
      </c>
      <c r="G104" s="100">
        <v>97.22</v>
      </c>
      <c r="H104" s="100">
        <v>27.88</v>
      </c>
      <c r="I104" s="100">
        <v>11.61</v>
      </c>
      <c r="J104" s="100">
        <v>0.22</v>
      </c>
      <c r="K104" s="100">
        <v>179.97</v>
      </c>
      <c r="L104" s="100">
        <v>21.21</v>
      </c>
      <c r="M104" s="100">
        <v>68.06</v>
      </c>
      <c r="N104" s="100">
        <v>1.2</v>
      </c>
      <c r="O104" s="100">
        <v>0</v>
      </c>
      <c r="P104" s="100">
        <v>1.01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3.45</v>
      </c>
      <c r="C106" s="158">
        <f>MIN(C9:C104)</f>
        <v>18.59</v>
      </c>
      <c r="D106" s="158">
        <f t="shared" ref="D106:Q106" si="0">MIN(D9:D104)</f>
        <v>13.83</v>
      </c>
      <c r="E106" s="158">
        <f t="shared" si="0"/>
        <v>7.68</v>
      </c>
      <c r="F106" s="158">
        <f t="shared" si="0"/>
        <v>0</v>
      </c>
      <c r="G106" s="158">
        <f t="shared" si="0"/>
        <v>50.11</v>
      </c>
      <c r="H106" s="158">
        <f t="shared" si="0"/>
        <v>13.16</v>
      </c>
      <c r="I106" s="158">
        <f t="shared" si="0"/>
        <v>7.55</v>
      </c>
      <c r="J106" s="158">
        <f t="shared" si="0"/>
        <v>7.0000000000000007E-2</v>
      </c>
      <c r="K106" s="158">
        <f t="shared" si="0"/>
        <v>150.94999999999999</v>
      </c>
      <c r="L106" s="158">
        <f t="shared" si="0"/>
        <v>14.65</v>
      </c>
      <c r="M106" s="158">
        <f t="shared" si="0"/>
        <v>17.46</v>
      </c>
      <c r="N106" s="158">
        <f t="shared" si="0"/>
        <v>0.7</v>
      </c>
      <c r="O106" s="158">
        <f t="shared" si="0"/>
        <v>0</v>
      </c>
      <c r="P106" s="158">
        <f t="shared" si="0"/>
        <v>0.59</v>
      </c>
      <c r="Q106" s="158">
        <f t="shared" si="0"/>
        <v>12.91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27.37</v>
      </c>
      <c r="C107" s="157">
        <f t="shared" ref="C107:Q107" si="1">MAX(C9:C104)</f>
        <v>25.28</v>
      </c>
      <c r="D107" s="157">
        <f t="shared" si="1"/>
        <v>35.659999999999997</v>
      </c>
      <c r="E107" s="157">
        <f t="shared" si="1"/>
        <v>19.11</v>
      </c>
      <c r="F107" s="157">
        <f t="shared" si="1"/>
        <v>0</v>
      </c>
      <c r="G107" s="157">
        <f t="shared" si="1"/>
        <v>97.22</v>
      </c>
      <c r="H107" s="157">
        <f t="shared" si="1"/>
        <v>34.840000000000003</v>
      </c>
      <c r="I107" s="157">
        <f t="shared" si="1"/>
        <v>13.2</v>
      </c>
      <c r="J107" s="157">
        <f t="shared" si="1"/>
        <v>0.81</v>
      </c>
      <c r="K107" s="157">
        <f t="shared" si="1"/>
        <v>323.05</v>
      </c>
      <c r="L107" s="157">
        <f t="shared" si="1"/>
        <v>33.520000000000003</v>
      </c>
      <c r="M107" s="157">
        <f t="shared" si="1"/>
        <v>75.209999999999994</v>
      </c>
      <c r="N107" s="157">
        <f t="shared" si="1"/>
        <v>368.9</v>
      </c>
      <c r="O107" s="157">
        <f t="shared" si="1"/>
        <v>0</v>
      </c>
      <c r="P107" s="157">
        <f t="shared" si="1"/>
        <v>1.05</v>
      </c>
      <c r="Q107" s="157">
        <f t="shared" si="1"/>
        <v>13.05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13.199270833333332</v>
      </c>
      <c r="C108" s="158">
        <f t="shared" ref="C108:Q108" si="2">AVERAGE(C9:C104)</f>
        <v>22.143124999999998</v>
      </c>
      <c r="D108" s="158">
        <f t="shared" si="2"/>
        <v>23.505104166666658</v>
      </c>
      <c r="E108" s="158">
        <f t="shared" si="2"/>
        <v>10.848437500000003</v>
      </c>
      <c r="F108" s="158" t="e">
        <f t="shared" si="2"/>
        <v>#DIV/0!</v>
      </c>
      <c r="G108" s="158">
        <f t="shared" si="2"/>
        <v>68.023124999999993</v>
      </c>
      <c r="H108" s="158">
        <f t="shared" si="2"/>
        <v>24.804583333333326</v>
      </c>
      <c r="I108" s="158">
        <f t="shared" si="2"/>
        <v>10.100937499999999</v>
      </c>
      <c r="J108" s="158">
        <f t="shared" si="2"/>
        <v>0.30041666666666667</v>
      </c>
      <c r="K108" s="158">
        <f t="shared" si="2"/>
        <v>214.22489583333336</v>
      </c>
      <c r="L108" s="158">
        <f t="shared" si="2"/>
        <v>23.631458333333327</v>
      </c>
      <c r="M108" s="158">
        <f t="shared" si="2"/>
        <v>48.399374999999964</v>
      </c>
      <c r="N108" s="158">
        <f t="shared" si="2"/>
        <v>90.793750000000003</v>
      </c>
      <c r="O108" s="158">
        <f t="shared" si="2"/>
        <v>0</v>
      </c>
      <c r="P108" s="158">
        <f t="shared" si="2"/>
        <v>0.80666666666666675</v>
      </c>
      <c r="Q108" s="158">
        <f t="shared" si="2"/>
        <v>12.973645833333345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8.6058558086666501</v>
      </c>
      <c r="C109" s="158">
        <f t="shared" ref="C109:Q109" si="3">STDEV(C9:C104)</f>
        <v>1.9525779518100519</v>
      </c>
      <c r="D109" s="158">
        <f t="shared" si="3"/>
        <v>7.64652036375018</v>
      </c>
      <c r="E109" s="158">
        <f t="shared" si="3"/>
        <v>2.4065569763176375</v>
      </c>
      <c r="F109" s="158" t="e">
        <f t="shared" si="3"/>
        <v>#DIV/0!</v>
      </c>
      <c r="G109" s="158">
        <f t="shared" si="3"/>
        <v>13.981610502257604</v>
      </c>
      <c r="H109" s="158">
        <f t="shared" si="3"/>
        <v>6.8628711065093952</v>
      </c>
      <c r="I109" s="158">
        <f t="shared" si="3"/>
        <v>1.5224627404480686</v>
      </c>
      <c r="J109" s="158">
        <f t="shared" si="3"/>
        <v>0.19498942841339509</v>
      </c>
      <c r="K109" s="158">
        <f t="shared" si="3"/>
        <v>50.9812206703767</v>
      </c>
      <c r="L109" s="158">
        <f t="shared" si="3"/>
        <v>6.6500853938588156</v>
      </c>
      <c r="M109" s="158">
        <f t="shared" si="3"/>
        <v>20.530167728824996</v>
      </c>
      <c r="N109" s="158">
        <f t="shared" si="3"/>
        <v>134.96134012726517</v>
      </c>
      <c r="O109" s="158">
        <f t="shared" si="3"/>
        <v>0</v>
      </c>
      <c r="P109" s="158">
        <f t="shared" si="3"/>
        <v>0.12048731461218713</v>
      </c>
      <c r="Q109" s="158">
        <f t="shared" si="3"/>
        <v>3.7052446234085865E-2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73" activePane="bottomRight" state="frozen"/>
      <selection pane="topRight"/>
      <selection pane="bottomLeft"/>
      <selection pane="bottomRight" activeCell="I108" sqref="I10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1295</v>
      </c>
      <c r="B9" s="100">
        <v>12.57</v>
      </c>
      <c r="C9" s="100">
        <v>22.3</v>
      </c>
      <c r="D9" s="100">
        <v>23.09</v>
      </c>
      <c r="E9" s="100">
        <v>8.91</v>
      </c>
      <c r="F9" s="152" t="s">
        <v>15</v>
      </c>
      <c r="G9" s="100">
        <v>97.22</v>
      </c>
      <c r="H9" s="100">
        <v>27.88</v>
      </c>
      <c r="I9" s="100">
        <v>11.93</v>
      </c>
      <c r="J9" s="100">
        <v>0.16</v>
      </c>
      <c r="K9" s="100">
        <v>204.65</v>
      </c>
      <c r="L9" s="100">
        <v>20.86</v>
      </c>
      <c r="M9" s="100">
        <v>67.7</v>
      </c>
      <c r="N9" s="100">
        <v>1.4</v>
      </c>
      <c r="O9" s="100">
        <v>0</v>
      </c>
      <c r="P9" s="100">
        <v>1.03</v>
      </c>
      <c r="Q9" s="100">
        <v>12.98</v>
      </c>
      <c r="R9" s="6"/>
      <c r="S9" s="6"/>
      <c r="T9" s="156"/>
      <c r="U9" s="6"/>
    </row>
    <row r="10" spans="1:21" customFormat="1">
      <c r="A10" s="163" t="s">
        <v>1296</v>
      </c>
      <c r="B10" s="100">
        <v>12.39</v>
      </c>
      <c r="C10" s="100">
        <v>22.7</v>
      </c>
      <c r="D10" s="100">
        <v>23.15</v>
      </c>
      <c r="E10" s="100">
        <v>8.65</v>
      </c>
      <c r="F10" s="152" t="s">
        <v>15</v>
      </c>
      <c r="G10" s="100">
        <v>97.22</v>
      </c>
      <c r="H10" s="100">
        <v>27.88</v>
      </c>
      <c r="I10" s="100">
        <v>12.35</v>
      </c>
      <c r="J10" s="100">
        <v>0.12</v>
      </c>
      <c r="K10" s="100">
        <v>209.8</v>
      </c>
      <c r="L10" s="100">
        <v>20.57</v>
      </c>
      <c r="M10" s="100">
        <v>69.3</v>
      </c>
      <c r="N10" s="100">
        <v>1.3</v>
      </c>
      <c r="O10" s="100">
        <v>0</v>
      </c>
      <c r="P10" s="100">
        <v>1.07</v>
      </c>
      <c r="Q10" s="100">
        <v>12.99</v>
      </c>
      <c r="R10" s="6"/>
      <c r="S10" s="6"/>
      <c r="T10" s="156"/>
      <c r="U10" s="6"/>
    </row>
    <row r="11" spans="1:21" customFormat="1">
      <c r="A11" s="163" t="s">
        <v>1297</v>
      </c>
      <c r="B11" s="100">
        <v>12.21</v>
      </c>
      <c r="C11" s="100">
        <v>22.87</v>
      </c>
      <c r="D11" s="100">
        <v>23.09</v>
      </c>
      <c r="E11" s="100">
        <v>8.49</v>
      </c>
      <c r="F11" s="152" t="s">
        <v>15</v>
      </c>
      <c r="G11" s="100">
        <v>97.28</v>
      </c>
      <c r="H11" s="100">
        <v>28.02</v>
      </c>
      <c r="I11" s="100">
        <v>12.82</v>
      </c>
      <c r="J11" s="100">
        <v>0.22</v>
      </c>
      <c r="K11" s="100">
        <v>170.22</v>
      </c>
      <c r="L11" s="100">
        <v>20.74</v>
      </c>
      <c r="M11" s="100">
        <v>70.739999999999995</v>
      </c>
      <c r="N11" s="100">
        <v>1.2</v>
      </c>
      <c r="O11" s="100">
        <v>0</v>
      </c>
      <c r="P11" s="100">
        <v>1.1000000000000001</v>
      </c>
      <c r="Q11" s="100">
        <v>12.99</v>
      </c>
      <c r="R11" s="6"/>
      <c r="S11" s="6"/>
      <c r="T11" s="156"/>
      <c r="U11" s="6"/>
    </row>
    <row r="12" spans="1:21" customFormat="1">
      <c r="A12" s="163" t="s">
        <v>1298</v>
      </c>
      <c r="B12" s="100">
        <v>12.06</v>
      </c>
      <c r="C12" s="100">
        <v>22.89</v>
      </c>
      <c r="D12" s="100">
        <v>22.98</v>
      </c>
      <c r="E12" s="100">
        <v>8.85</v>
      </c>
      <c r="F12" s="152" t="s">
        <v>15</v>
      </c>
      <c r="G12" s="100">
        <v>98.73</v>
      </c>
      <c r="H12" s="100">
        <v>32.659999999999997</v>
      </c>
      <c r="I12" s="100">
        <v>13.27</v>
      </c>
      <c r="J12" s="100">
        <v>0.22</v>
      </c>
      <c r="K12" s="100">
        <v>203.16</v>
      </c>
      <c r="L12" s="100">
        <v>20.57</v>
      </c>
      <c r="M12" s="100">
        <v>72.91</v>
      </c>
      <c r="N12" s="100">
        <v>1.3</v>
      </c>
      <c r="O12" s="100">
        <v>0</v>
      </c>
      <c r="P12" s="100">
        <v>1.1100000000000001</v>
      </c>
      <c r="Q12" s="100">
        <v>12.98</v>
      </c>
      <c r="R12" s="6"/>
      <c r="S12" s="6"/>
      <c r="T12" s="156"/>
      <c r="U12" s="6"/>
    </row>
    <row r="13" spans="1:21" customFormat="1">
      <c r="A13" s="163" t="s">
        <v>1299</v>
      </c>
      <c r="B13" s="100">
        <v>11.95</v>
      </c>
      <c r="C13" s="100">
        <v>22.77</v>
      </c>
      <c r="D13" s="100">
        <v>22.83</v>
      </c>
      <c r="E13" s="100">
        <v>9.15</v>
      </c>
      <c r="F13" s="152" t="s">
        <v>15</v>
      </c>
      <c r="G13" s="100">
        <v>98.73</v>
      </c>
      <c r="H13" s="100">
        <v>32.659999999999997</v>
      </c>
      <c r="I13" s="100">
        <v>13.61</v>
      </c>
      <c r="J13" s="100">
        <v>0.19</v>
      </c>
      <c r="K13" s="100">
        <v>197.63</v>
      </c>
      <c r="L13" s="100">
        <v>20.29</v>
      </c>
      <c r="M13" s="100">
        <v>72.209999999999994</v>
      </c>
      <c r="N13" s="100">
        <v>1.4</v>
      </c>
      <c r="O13" s="100">
        <v>0</v>
      </c>
      <c r="P13" s="100">
        <v>1.1299999999999999</v>
      </c>
      <c r="Q13" s="100">
        <v>13</v>
      </c>
      <c r="R13" s="6"/>
      <c r="S13" s="6"/>
      <c r="T13" s="156"/>
      <c r="U13" s="6"/>
    </row>
    <row r="14" spans="1:21" customFormat="1">
      <c r="A14" s="163" t="s">
        <v>1300</v>
      </c>
      <c r="B14" s="100">
        <v>11.89</v>
      </c>
      <c r="C14" s="100">
        <v>22.81</v>
      </c>
      <c r="D14" s="100">
        <v>22.8</v>
      </c>
      <c r="E14" s="100">
        <v>8.75</v>
      </c>
      <c r="F14" s="152" t="s">
        <v>15</v>
      </c>
      <c r="G14" s="100">
        <v>98.73</v>
      </c>
      <c r="H14" s="100">
        <v>32.659999999999997</v>
      </c>
      <c r="I14" s="100">
        <v>13.97</v>
      </c>
      <c r="J14" s="100">
        <v>0.13</v>
      </c>
      <c r="K14" s="100">
        <v>171.77</v>
      </c>
      <c r="L14" s="100">
        <v>20.38</v>
      </c>
      <c r="M14" s="100">
        <v>69.099999999999994</v>
      </c>
      <c r="N14" s="100">
        <v>1.1000000000000001</v>
      </c>
      <c r="O14" s="100">
        <v>0</v>
      </c>
      <c r="P14" s="100">
        <v>1.1499999999999999</v>
      </c>
      <c r="Q14" s="100">
        <v>12.99</v>
      </c>
      <c r="R14" s="6"/>
      <c r="S14" s="6"/>
      <c r="T14" s="156"/>
      <c r="U14" s="6"/>
    </row>
    <row r="15" spans="1:21" customFormat="1">
      <c r="A15" s="163" t="s">
        <v>1301</v>
      </c>
      <c r="B15" s="100">
        <v>11.72</v>
      </c>
      <c r="C15" s="100">
        <v>22.84</v>
      </c>
      <c r="D15" s="100">
        <v>22.69</v>
      </c>
      <c r="E15" s="100">
        <v>8.81</v>
      </c>
      <c r="F15" s="152" t="s">
        <v>15</v>
      </c>
      <c r="G15" s="100">
        <v>98.62</v>
      </c>
      <c r="H15" s="100">
        <v>32.54</v>
      </c>
      <c r="I15" s="100">
        <v>14.24</v>
      </c>
      <c r="J15" s="100">
        <v>0.18</v>
      </c>
      <c r="K15" s="100">
        <v>221.51</v>
      </c>
      <c r="L15" s="100">
        <v>20.7</v>
      </c>
      <c r="M15" s="100">
        <v>65.290000000000006</v>
      </c>
      <c r="N15" s="100">
        <v>1</v>
      </c>
      <c r="O15" s="100">
        <v>0</v>
      </c>
      <c r="P15" s="100">
        <v>1.1599999999999999</v>
      </c>
      <c r="Q15" s="100">
        <v>12.98</v>
      </c>
      <c r="R15" s="6"/>
      <c r="S15" s="6"/>
      <c r="T15" s="156"/>
      <c r="U15" s="6"/>
    </row>
    <row r="16" spans="1:21" customFormat="1">
      <c r="A16" s="163" t="s">
        <v>1302</v>
      </c>
      <c r="B16" s="100">
        <v>11.43</v>
      </c>
      <c r="C16" s="100">
        <v>22.9</v>
      </c>
      <c r="D16" s="100">
        <v>22.48</v>
      </c>
      <c r="E16" s="100">
        <v>8.7100000000000009</v>
      </c>
      <c r="F16" s="152" t="s">
        <v>15</v>
      </c>
      <c r="G16" s="100">
        <v>96.35</v>
      </c>
      <c r="H16" s="100">
        <v>28.68</v>
      </c>
      <c r="I16" s="100">
        <v>14.47</v>
      </c>
      <c r="J16" s="100">
        <v>0.17</v>
      </c>
      <c r="K16" s="100">
        <v>194.84</v>
      </c>
      <c r="L16" s="100">
        <v>20.73</v>
      </c>
      <c r="M16" s="100">
        <v>65.680000000000007</v>
      </c>
      <c r="N16" s="100">
        <v>1.2</v>
      </c>
      <c r="O16" s="100">
        <v>0</v>
      </c>
      <c r="P16" s="100">
        <v>1.1599999999999999</v>
      </c>
      <c r="Q16" s="100">
        <v>12.98</v>
      </c>
      <c r="R16" s="6"/>
      <c r="S16" s="6"/>
      <c r="T16" s="156"/>
      <c r="U16" s="6"/>
    </row>
    <row r="17" spans="1:21" customFormat="1">
      <c r="A17" s="163" t="s">
        <v>1303</v>
      </c>
      <c r="B17" s="100">
        <v>11.07</v>
      </c>
      <c r="C17" s="100">
        <v>22.98</v>
      </c>
      <c r="D17" s="100">
        <v>22.24</v>
      </c>
      <c r="E17" s="100">
        <v>7.59</v>
      </c>
      <c r="F17" s="152" t="s">
        <v>15</v>
      </c>
      <c r="G17" s="100">
        <v>96.35</v>
      </c>
      <c r="H17" s="100">
        <v>28.68</v>
      </c>
      <c r="I17" s="100">
        <v>14.6</v>
      </c>
      <c r="J17" s="100">
        <v>0.16</v>
      </c>
      <c r="K17" s="100">
        <v>193.63</v>
      </c>
      <c r="L17" s="100">
        <v>20.71</v>
      </c>
      <c r="M17" s="100">
        <v>64.760000000000005</v>
      </c>
      <c r="N17" s="100">
        <v>1.3</v>
      </c>
      <c r="O17" s="100">
        <v>0</v>
      </c>
      <c r="P17" s="100">
        <v>1.1599999999999999</v>
      </c>
      <c r="Q17" s="100">
        <v>12.97</v>
      </c>
      <c r="R17" s="6"/>
      <c r="S17" s="6"/>
      <c r="T17" s="156"/>
      <c r="U17" s="6"/>
    </row>
    <row r="18" spans="1:21" customFormat="1">
      <c r="A18" s="163" t="s">
        <v>1304</v>
      </c>
      <c r="B18" s="100">
        <v>10.61</v>
      </c>
      <c r="C18" s="100">
        <v>22.99</v>
      </c>
      <c r="D18" s="100">
        <v>21.87</v>
      </c>
      <c r="E18" s="100">
        <v>8.6</v>
      </c>
      <c r="F18" s="152" t="s">
        <v>15</v>
      </c>
      <c r="G18" s="100">
        <v>96.35</v>
      </c>
      <c r="H18" s="100">
        <v>28.68</v>
      </c>
      <c r="I18" s="100">
        <v>14.66</v>
      </c>
      <c r="J18" s="100">
        <v>0.14000000000000001</v>
      </c>
      <c r="K18" s="100">
        <v>150.71</v>
      </c>
      <c r="L18" s="100">
        <v>20.67</v>
      </c>
      <c r="M18" s="100">
        <v>64.709999999999994</v>
      </c>
      <c r="N18" s="100">
        <v>1.3</v>
      </c>
      <c r="O18" s="100">
        <v>0</v>
      </c>
      <c r="P18" s="100">
        <v>1.1599999999999999</v>
      </c>
      <c r="Q18" s="100">
        <v>12.98</v>
      </c>
      <c r="R18" s="6"/>
      <c r="S18" s="6"/>
      <c r="T18" s="156"/>
      <c r="U18" s="6"/>
    </row>
    <row r="19" spans="1:21" customFormat="1">
      <c r="A19" s="163" t="s">
        <v>1305</v>
      </c>
      <c r="B19" s="100">
        <v>10.14</v>
      </c>
      <c r="C19" s="100">
        <v>22.98</v>
      </c>
      <c r="D19" s="100">
        <v>21.49</v>
      </c>
      <c r="E19" s="100">
        <v>8.6300000000000008</v>
      </c>
      <c r="F19" s="152" t="s">
        <v>15</v>
      </c>
      <c r="G19" s="100">
        <v>96.26</v>
      </c>
      <c r="H19" s="100">
        <v>28.77</v>
      </c>
      <c r="I19" s="100">
        <v>14.68</v>
      </c>
      <c r="J19" s="100">
        <v>0.21</v>
      </c>
      <c r="K19" s="100">
        <v>117.83</v>
      </c>
      <c r="L19" s="100">
        <v>20.92</v>
      </c>
      <c r="M19" s="100">
        <v>64.209999999999994</v>
      </c>
      <c r="N19" s="100">
        <v>1.2</v>
      </c>
      <c r="O19" s="100">
        <v>0</v>
      </c>
      <c r="P19" s="100">
        <v>1.1499999999999999</v>
      </c>
      <c r="Q19" s="100">
        <v>12.97</v>
      </c>
      <c r="R19" s="6"/>
      <c r="S19" s="6"/>
      <c r="T19" s="156"/>
      <c r="U19" s="6"/>
    </row>
    <row r="20" spans="1:21" customFormat="1">
      <c r="A20" s="163" t="s">
        <v>1306</v>
      </c>
      <c r="B20" s="100">
        <v>9.9499999999999993</v>
      </c>
      <c r="C20" s="100">
        <v>23.01</v>
      </c>
      <c r="D20" s="100">
        <v>21.35</v>
      </c>
      <c r="E20" s="100">
        <v>8.83</v>
      </c>
      <c r="F20" s="152" t="s">
        <v>15</v>
      </c>
      <c r="G20" s="100">
        <v>93.65</v>
      </c>
      <c r="H20" s="100">
        <v>31.84</v>
      </c>
      <c r="I20" s="100">
        <v>14.62</v>
      </c>
      <c r="J20" s="100">
        <v>0.19</v>
      </c>
      <c r="K20" s="100">
        <v>103.33</v>
      </c>
      <c r="L20" s="100">
        <v>21.05</v>
      </c>
      <c r="M20" s="100">
        <v>62.57</v>
      </c>
      <c r="N20" s="100">
        <v>1</v>
      </c>
      <c r="O20" s="100">
        <v>0</v>
      </c>
      <c r="P20" s="100">
        <v>1.1399999999999999</v>
      </c>
      <c r="Q20" s="100">
        <v>12.96</v>
      </c>
      <c r="R20" s="6"/>
      <c r="S20" s="6"/>
      <c r="T20" s="156"/>
      <c r="U20" s="6"/>
    </row>
    <row r="21" spans="1:21" customFormat="1">
      <c r="A21" s="163" t="s">
        <v>1307</v>
      </c>
      <c r="B21" s="100">
        <v>10.07</v>
      </c>
      <c r="C21" s="100">
        <v>23.29</v>
      </c>
      <c r="D21" s="100">
        <v>21.6</v>
      </c>
      <c r="E21" s="100">
        <v>8.86</v>
      </c>
      <c r="F21" s="152" t="s">
        <v>15</v>
      </c>
      <c r="G21" s="100">
        <v>93.65</v>
      </c>
      <c r="H21" s="100">
        <v>31.84</v>
      </c>
      <c r="I21" s="100">
        <v>14.57</v>
      </c>
      <c r="J21" s="100">
        <v>0.22</v>
      </c>
      <c r="K21" s="100">
        <v>155.16999999999999</v>
      </c>
      <c r="L21" s="100">
        <v>20.82</v>
      </c>
      <c r="M21" s="100">
        <v>65.400000000000006</v>
      </c>
      <c r="N21" s="100">
        <v>1.4</v>
      </c>
      <c r="O21" s="100">
        <v>0</v>
      </c>
      <c r="P21" s="100">
        <v>1.1399999999999999</v>
      </c>
      <c r="Q21" s="100">
        <v>12.97</v>
      </c>
      <c r="R21" s="6"/>
      <c r="S21" s="6"/>
      <c r="T21" s="156"/>
      <c r="U21" s="6"/>
    </row>
    <row r="22" spans="1:21" customFormat="1">
      <c r="A22" s="163" t="s">
        <v>1308</v>
      </c>
      <c r="B22" s="100">
        <v>10.09</v>
      </c>
      <c r="C22" s="100">
        <v>23.49</v>
      </c>
      <c r="D22" s="100">
        <v>21.72</v>
      </c>
      <c r="E22" s="100">
        <v>8.8699999999999992</v>
      </c>
      <c r="F22" s="152" t="s">
        <v>15</v>
      </c>
      <c r="G22" s="100">
        <v>93.65</v>
      </c>
      <c r="H22" s="100">
        <v>31.84</v>
      </c>
      <c r="I22" s="100">
        <v>14.47</v>
      </c>
      <c r="J22" s="100">
        <v>0.21</v>
      </c>
      <c r="K22" s="100">
        <v>181.84</v>
      </c>
      <c r="L22" s="100">
        <v>20.14</v>
      </c>
      <c r="M22" s="100">
        <v>71.38</v>
      </c>
      <c r="N22" s="100">
        <v>1.8</v>
      </c>
      <c r="O22" s="100">
        <v>0</v>
      </c>
      <c r="P22" s="100">
        <v>1.1299999999999999</v>
      </c>
      <c r="Q22" s="100">
        <v>12.98</v>
      </c>
      <c r="R22" s="6"/>
      <c r="S22" s="6"/>
      <c r="T22" s="156"/>
      <c r="U22" s="6"/>
    </row>
    <row r="23" spans="1:21" customFormat="1">
      <c r="A23" s="163" t="s">
        <v>1309</v>
      </c>
      <c r="B23" s="100">
        <v>10.039999999999999</v>
      </c>
      <c r="C23" s="100">
        <v>23.39</v>
      </c>
      <c r="D23" s="100">
        <v>21.62</v>
      </c>
      <c r="E23" s="100">
        <v>8.69</v>
      </c>
      <c r="F23" s="152" t="s">
        <v>15</v>
      </c>
      <c r="G23" s="100">
        <v>93.46</v>
      </c>
      <c r="H23" s="100">
        <v>31.76</v>
      </c>
      <c r="I23" s="100">
        <v>14.36</v>
      </c>
      <c r="J23" s="100">
        <v>0.15</v>
      </c>
      <c r="K23" s="100">
        <v>214.91</v>
      </c>
      <c r="L23" s="100">
        <v>19.670000000000002</v>
      </c>
      <c r="M23" s="100">
        <v>73.099999999999994</v>
      </c>
      <c r="N23" s="100">
        <v>1.6</v>
      </c>
      <c r="O23" s="100">
        <v>0</v>
      </c>
      <c r="P23" s="100">
        <v>1.1200000000000001</v>
      </c>
      <c r="Q23" s="100">
        <v>12.97</v>
      </c>
      <c r="R23" s="6"/>
      <c r="S23" s="6"/>
      <c r="T23" s="156"/>
      <c r="U23" s="6"/>
    </row>
    <row r="24" spans="1:21" customFormat="1">
      <c r="A24" s="163" t="s">
        <v>1310</v>
      </c>
      <c r="B24" s="100">
        <v>10.02</v>
      </c>
      <c r="C24" s="100">
        <v>23.28</v>
      </c>
      <c r="D24" s="100">
        <v>21.55</v>
      </c>
      <c r="E24" s="100">
        <v>8.98</v>
      </c>
      <c r="F24" s="152" t="s">
        <v>15</v>
      </c>
      <c r="G24" s="100">
        <v>88.02</v>
      </c>
      <c r="H24" s="100">
        <v>28.95</v>
      </c>
      <c r="I24" s="100">
        <v>14.24</v>
      </c>
      <c r="J24" s="100">
        <v>0.14000000000000001</v>
      </c>
      <c r="K24" s="100">
        <v>173.62</v>
      </c>
      <c r="L24" s="100">
        <v>19.7</v>
      </c>
      <c r="M24" s="100">
        <v>71.510000000000005</v>
      </c>
      <c r="N24" s="100">
        <v>1.3</v>
      </c>
      <c r="O24" s="100">
        <v>0</v>
      </c>
      <c r="P24" s="100">
        <v>1.1100000000000001</v>
      </c>
      <c r="Q24" s="100">
        <v>12.96</v>
      </c>
      <c r="R24" s="6"/>
      <c r="S24" s="6"/>
      <c r="T24" s="156"/>
      <c r="U24" s="6"/>
    </row>
    <row r="25" spans="1:21" customFormat="1">
      <c r="A25" s="163" t="s">
        <v>1311</v>
      </c>
      <c r="B25" s="100">
        <v>10.33</v>
      </c>
      <c r="C25" s="100">
        <v>23.19</v>
      </c>
      <c r="D25" s="100">
        <v>21.75</v>
      </c>
      <c r="E25" s="100">
        <v>8.67</v>
      </c>
      <c r="F25" s="152" t="s">
        <v>15</v>
      </c>
      <c r="G25" s="100">
        <v>88.02</v>
      </c>
      <c r="H25" s="100">
        <v>28.95</v>
      </c>
      <c r="I25" s="100">
        <v>14.1</v>
      </c>
      <c r="J25" s="100">
        <v>0.17</v>
      </c>
      <c r="K25" s="100">
        <v>170.09</v>
      </c>
      <c r="L25" s="100">
        <v>19.670000000000002</v>
      </c>
      <c r="M25" s="100">
        <v>71.56</v>
      </c>
      <c r="N25" s="100">
        <v>1.4</v>
      </c>
      <c r="O25" s="100">
        <v>0</v>
      </c>
      <c r="P25" s="100">
        <v>1.0900000000000001</v>
      </c>
      <c r="Q25" s="100">
        <v>12.96</v>
      </c>
      <c r="R25" s="6"/>
      <c r="S25" s="6"/>
      <c r="T25" s="156"/>
      <c r="U25" s="6"/>
    </row>
    <row r="26" spans="1:21" customFormat="1">
      <c r="A26" s="163" t="s">
        <v>1312</v>
      </c>
      <c r="B26" s="100">
        <v>11.01</v>
      </c>
      <c r="C26" s="100">
        <v>23.23</v>
      </c>
      <c r="D26" s="100">
        <v>22.32</v>
      </c>
      <c r="E26" s="100">
        <v>8.4</v>
      </c>
      <c r="F26" s="152" t="s">
        <v>15</v>
      </c>
      <c r="G26" s="100">
        <v>88.02</v>
      </c>
      <c r="H26" s="100">
        <v>28.95</v>
      </c>
      <c r="I26" s="100">
        <v>14.02</v>
      </c>
      <c r="J26" s="100">
        <v>0.27</v>
      </c>
      <c r="K26" s="100">
        <v>176.22</v>
      </c>
      <c r="L26" s="100">
        <v>19.489999999999998</v>
      </c>
      <c r="M26" s="100">
        <v>74.040000000000006</v>
      </c>
      <c r="N26" s="100">
        <v>1.5</v>
      </c>
      <c r="O26" s="100">
        <v>0</v>
      </c>
      <c r="P26" s="100">
        <v>1.1000000000000001</v>
      </c>
      <c r="Q26" s="100">
        <v>12.96</v>
      </c>
      <c r="R26" s="6"/>
      <c r="S26" s="6"/>
      <c r="T26" s="156"/>
      <c r="U26" s="6"/>
    </row>
    <row r="27" spans="1:21" customFormat="1">
      <c r="A27" s="163" t="s">
        <v>1313</v>
      </c>
      <c r="B27" s="100">
        <v>11.27</v>
      </c>
      <c r="C27" s="100">
        <v>23.46</v>
      </c>
      <c r="D27" s="100">
        <v>22.64</v>
      </c>
      <c r="E27" s="100">
        <v>8.68</v>
      </c>
      <c r="F27" s="152" t="s">
        <v>15</v>
      </c>
      <c r="G27" s="100">
        <v>87.7</v>
      </c>
      <c r="H27" s="100">
        <v>28.85</v>
      </c>
      <c r="I27" s="100">
        <v>14</v>
      </c>
      <c r="J27" s="100">
        <v>0.15</v>
      </c>
      <c r="K27" s="100">
        <v>171.47</v>
      </c>
      <c r="L27" s="100">
        <v>19.23</v>
      </c>
      <c r="M27" s="100">
        <v>74.849999999999994</v>
      </c>
      <c r="N27" s="100">
        <v>1.4</v>
      </c>
      <c r="O27" s="100">
        <v>0</v>
      </c>
      <c r="P27" s="100">
        <v>1.1000000000000001</v>
      </c>
      <c r="Q27" s="100">
        <v>12.96</v>
      </c>
      <c r="R27" s="6"/>
      <c r="S27" s="6"/>
      <c r="T27" s="156"/>
      <c r="U27" s="6"/>
    </row>
    <row r="28" spans="1:21" customFormat="1">
      <c r="A28" s="163" t="s">
        <v>1314</v>
      </c>
      <c r="B28" s="100">
        <v>11.38</v>
      </c>
      <c r="C28" s="100">
        <v>23.82</v>
      </c>
      <c r="D28" s="100">
        <v>22.92</v>
      </c>
      <c r="E28" s="100">
        <v>8.07</v>
      </c>
      <c r="F28" s="152" t="s">
        <v>15</v>
      </c>
      <c r="G28" s="100">
        <v>78.319999999999993</v>
      </c>
      <c r="H28" s="100">
        <v>25.67</v>
      </c>
      <c r="I28" s="100">
        <v>14</v>
      </c>
      <c r="J28" s="100">
        <v>0.27</v>
      </c>
      <c r="K28" s="100">
        <v>170.51</v>
      </c>
      <c r="L28" s="100">
        <v>19.23</v>
      </c>
      <c r="M28" s="100">
        <v>76.510000000000005</v>
      </c>
      <c r="N28" s="100">
        <v>1.4</v>
      </c>
      <c r="O28" s="100">
        <v>0</v>
      </c>
      <c r="P28" s="100">
        <v>1.1399999999999999</v>
      </c>
      <c r="Q28" s="100">
        <v>12.96</v>
      </c>
      <c r="R28" s="6"/>
      <c r="S28" s="6"/>
      <c r="T28" s="156"/>
      <c r="U28" s="6"/>
    </row>
    <row r="29" spans="1:21" customFormat="1">
      <c r="A29" s="163" t="s">
        <v>1315</v>
      </c>
      <c r="B29" s="100">
        <v>11.51</v>
      </c>
      <c r="C29" s="100">
        <v>23.8</v>
      </c>
      <c r="D29" s="100">
        <v>23.01</v>
      </c>
      <c r="E29" s="100">
        <v>8.26</v>
      </c>
      <c r="F29" s="152" t="s">
        <v>15</v>
      </c>
      <c r="G29" s="100">
        <v>78.319999999999993</v>
      </c>
      <c r="H29" s="100">
        <v>25.67</v>
      </c>
      <c r="I29" s="100">
        <v>14</v>
      </c>
      <c r="J29" s="100">
        <v>0.2</v>
      </c>
      <c r="K29" s="100">
        <v>166.17</v>
      </c>
      <c r="L29" s="100">
        <v>19.190000000000001</v>
      </c>
      <c r="M29" s="100">
        <v>76.53</v>
      </c>
      <c r="N29" s="100">
        <v>1.3</v>
      </c>
      <c r="O29" s="100">
        <v>0</v>
      </c>
      <c r="P29" s="100">
        <v>1.1499999999999999</v>
      </c>
      <c r="Q29" s="100">
        <v>12.96</v>
      </c>
      <c r="R29" s="6"/>
      <c r="S29" s="6"/>
      <c r="T29" s="156"/>
      <c r="U29" s="6"/>
    </row>
    <row r="30" spans="1:21" customFormat="1">
      <c r="A30" s="163" t="s">
        <v>1316</v>
      </c>
      <c r="B30" s="100">
        <v>11.81</v>
      </c>
      <c r="C30" s="100">
        <v>23.8</v>
      </c>
      <c r="D30" s="100">
        <v>23.26</v>
      </c>
      <c r="E30" s="100">
        <v>8.5</v>
      </c>
      <c r="F30" s="152" t="s">
        <v>15</v>
      </c>
      <c r="G30" s="100">
        <v>78.319999999999993</v>
      </c>
      <c r="H30" s="100">
        <v>25.67</v>
      </c>
      <c r="I30" s="100">
        <v>13.93</v>
      </c>
      <c r="J30" s="100">
        <v>0.14000000000000001</v>
      </c>
      <c r="K30" s="100">
        <v>184.46</v>
      </c>
      <c r="L30" s="100">
        <v>19.25</v>
      </c>
      <c r="M30" s="100">
        <v>75.22</v>
      </c>
      <c r="N30" s="100">
        <v>1.5</v>
      </c>
      <c r="O30" s="100">
        <v>0</v>
      </c>
      <c r="P30" s="100">
        <v>1.1499999999999999</v>
      </c>
      <c r="Q30" s="100">
        <v>12.96</v>
      </c>
      <c r="R30" s="6"/>
      <c r="S30" s="6"/>
      <c r="T30" s="156"/>
      <c r="U30" s="6"/>
    </row>
    <row r="31" spans="1:21" customFormat="1">
      <c r="A31" s="163" t="s">
        <v>1317</v>
      </c>
      <c r="B31" s="100">
        <v>12.17</v>
      </c>
      <c r="C31" s="100">
        <v>23.64</v>
      </c>
      <c r="D31" s="100">
        <v>23.47</v>
      </c>
      <c r="E31" s="100">
        <v>8.11</v>
      </c>
      <c r="F31" s="152" t="s">
        <v>15</v>
      </c>
      <c r="G31" s="100">
        <v>78.2</v>
      </c>
      <c r="H31" s="100">
        <v>25.61</v>
      </c>
      <c r="I31" s="100">
        <v>13.84</v>
      </c>
      <c r="J31" s="100">
        <v>0.31</v>
      </c>
      <c r="K31" s="100">
        <v>239.59</v>
      </c>
      <c r="L31" s="100">
        <v>18.95</v>
      </c>
      <c r="M31" s="100">
        <v>76.319999999999993</v>
      </c>
      <c r="N31" s="100">
        <v>1.6</v>
      </c>
      <c r="O31" s="100">
        <v>0</v>
      </c>
      <c r="P31" s="100">
        <v>1.1499999999999999</v>
      </c>
      <c r="Q31" s="100">
        <v>12.98</v>
      </c>
      <c r="R31" s="6"/>
      <c r="S31" s="6"/>
      <c r="T31" s="156"/>
      <c r="U31" s="6"/>
    </row>
    <row r="32" spans="1:21" customFormat="1">
      <c r="A32" s="163" t="s">
        <v>1318</v>
      </c>
      <c r="B32" s="100">
        <v>12.19</v>
      </c>
      <c r="C32" s="100">
        <v>23.33</v>
      </c>
      <c r="D32" s="100">
        <v>23.31</v>
      </c>
      <c r="E32" s="100">
        <v>8.01</v>
      </c>
      <c r="F32" s="152" t="s">
        <v>15</v>
      </c>
      <c r="G32" s="100">
        <v>75.459999999999994</v>
      </c>
      <c r="H32" s="100">
        <v>23.61</v>
      </c>
      <c r="I32" s="100">
        <v>13.75</v>
      </c>
      <c r="J32" s="100">
        <v>0.11</v>
      </c>
      <c r="K32" s="100">
        <v>203.23</v>
      </c>
      <c r="L32" s="100">
        <v>18.96</v>
      </c>
      <c r="M32" s="100">
        <v>74.33</v>
      </c>
      <c r="N32" s="100">
        <v>1.4</v>
      </c>
      <c r="O32" s="100">
        <v>0</v>
      </c>
      <c r="P32" s="100">
        <v>1.1399999999999999</v>
      </c>
      <c r="Q32" s="100">
        <v>12.98</v>
      </c>
      <c r="R32" s="6"/>
      <c r="S32" s="6"/>
      <c r="T32" s="156"/>
      <c r="U32" s="6"/>
    </row>
    <row r="33" spans="1:21" customFormat="1">
      <c r="A33" s="163" t="s">
        <v>1319</v>
      </c>
      <c r="B33" s="100">
        <v>12.08</v>
      </c>
      <c r="C33" s="100">
        <v>23.17</v>
      </c>
      <c r="D33" s="100">
        <v>23.15</v>
      </c>
      <c r="E33" s="100">
        <v>8.01</v>
      </c>
      <c r="F33" s="152" t="s">
        <v>15</v>
      </c>
      <c r="G33" s="100">
        <v>75.459999999999994</v>
      </c>
      <c r="H33" s="100">
        <v>23.61</v>
      </c>
      <c r="I33" s="100">
        <v>13.6</v>
      </c>
      <c r="J33" s="100">
        <v>0.26</v>
      </c>
      <c r="K33" s="100">
        <v>179.22</v>
      </c>
      <c r="L33" s="100">
        <v>18.8</v>
      </c>
      <c r="M33" s="100">
        <v>77.23</v>
      </c>
      <c r="N33" s="100">
        <v>1.6</v>
      </c>
      <c r="O33" s="100">
        <v>0</v>
      </c>
      <c r="P33" s="100">
        <v>1.1299999999999999</v>
      </c>
      <c r="Q33" s="100">
        <v>12.97</v>
      </c>
      <c r="R33" s="6"/>
      <c r="S33" s="6"/>
      <c r="T33" s="156"/>
      <c r="U33" s="6"/>
    </row>
    <row r="34" spans="1:21" customFormat="1">
      <c r="A34" s="163" t="s">
        <v>1320</v>
      </c>
      <c r="B34" s="100">
        <v>11.95</v>
      </c>
      <c r="C34" s="100">
        <v>22.82</v>
      </c>
      <c r="D34" s="100">
        <v>22.85</v>
      </c>
      <c r="E34" s="100">
        <v>8.01</v>
      </c>
      <c r="F34" s="152" t="s">
        <v>15</v>
      </c>
      <c r="G34" s="100">
        <v>75.459999999999994</v>
      </c>
      <c r="H34" s="100">
        <v>23.61</v>
      </c>
      <c r="I34" s="100">
        <v>13.54</v>
      </c>
      <c r="J34" s="100">
        <v>0.11</v>
      </c>
      <c r="K34" s="100">
        <v>161.30000000000001</v>
      </c>
      <c r="L34" s="100">
        <v>18.79</v>
      </c>
      <c r="M34" s="100">
        <v>77.930000000000007</v>
      </c>
      <c r="N34" s="100">
        <v>1.9</v>
      </c>
      <c r="O34" s="100">
        <v>0</v>
      </c>
      <c r="P34" s="100">
        <v>1.1399999999999999</v>
      </c>
      <c r="Q34" s="100">
        <v>12.98</v>
      </c>
      <c r="R34" s="6"/>
      <c r="S34" s="6"/>
      <c r="T34" s="156"/>
      <c r="U34" s="6"/>
    </row>
    <row r="35" spans="1:21" customFormat="1">
      <c r="A35" s="163" t="s">
        <v>1321</v>
      </c>
      <c r="B35" s="100">
        <v>11.81</v>
      </c>
      <c r="C35" s="100">
        <v>22.42</v>
      </c>
      <c r="D35" s="100">
        <v>22.53</v>
      </c>
      <c r="E35" s="100">
        <v>8.07</v>
      </c>
      <c r="F35" s="152" t="s">
        <v>15</v>
      </c>
      <c r="G35" s="100">
        <v>75.33</v>
      </c>
      <c r="H35" s="100">
        <v>23.6</v>
      </c>
      <c r="I35" s="100">
        <v>13.52</v>
      </c>
      <c r="J35" s="100">
        <v>0.13</v>
      </c>
      <c r="K35" s="100">
        <v>156.04</v>
      </c>
      <c r="L35" s="100">
        <v>18.989999999999998</v>
      </c>
      <c r="M35" s="100">
        <v>75.72</v>
      </c>
      <c r="N35" s="100">
        <v>3.6</v>
      </c>
      <c r="O35" s="100">
        <v>0</v>
      </c>
      <c r="P35" s="100">
        <v>1.1299999999999999</v>
      </c>
      <c r="Q35" s="100">
        <v>12.99</v>
      </c>
      <c r="R35" s="6"/>
      <c r="S35" s="6"/>
      <c r="T35" s="156"/>
      <c r="U35" s="6"/>
    </row>
    <row r="36" spans="1:21" customFormat="1">
      <c r="A36" s="163" t="s">
        <v>1322</v>
      </c>
      <c r="B36" s="100">
        <v>11.75</v>
      </c>
      <c r="C36" s="100">
        <v>22.28</v>
      </c>
      <c r="D36" s="100">
        <v>22.42</v>
      </c>
      <c r="E36" s="100">
        <v>8.08</v>
      </c>
      <c r="F36" s="152" t="s">
        <v>15</v>
      </c>
      <c r="G36" s="100">
        <v>71.5</v>
      </c>
      <c r="H36" s="100">
        <v>23.59</v>
      </c>
      <c r="I36" s="100">
        <v>13.45</v>
      </c>
      <c r="J36" s="100">
        <v>0.14000000000000001</v>
      </c>
      <c r="K36" s="100">
        <v>171.79</v>
      </c>
      <c r="L36" s="100">
        <v>19.190000000000001</v>
      </c>
      <c r="M36" s="100">
        <v>78.680000000000007</v>
      </c>
      <c r="N36" s="100">
        <v>8.8000000000000007</v>
      </c>
      <c r="O36" s="100">
        <v>0</v>
      </c>
      <c r="P36" s="100">
        <v>1.1299999999999999</v>
      </c>
      <c r="Q36" s="100">
        <v>12.98</v>
      </c>
      <c r="R36" s="6"/>
      <c r="S36" s="6"/>
      <c r="T36" s="156"/>
      <c r="U36" s="6"/>
    </row>
    <row r="37" spans="1:21" customFormat="1">
      <c r="A37" s="163" t="s">
        <v>1323</v>
      </c>
      <c r="B37" s="100">
        <v>11.77</v>
      </c>
      <c r="C37" s="100">
        <v>22.16</v>
      </c>
      <c r="D37" s="100">
        <v>22.37</v>
      </c>
      <c r="E37" s="100">
        <v>8.34</v>
      </c>
      <c r="F37" s="152" t="s">
        <v>15</v>
      </c>
      <c r="G37" s="100">
        <v>71.5</v>
      </c>
      <c r="H37" s="100">
        <v>23.59</v>
      </c>
      <c r="I37" s="100">
        <v>13.41</v>
      </c>
      <c r="J37" s="100">
        <v>0.19</v>
      </c>
      <c r="K37" s="100">
        <v>168.34</v>
      </c>
      <c r="L37" s="100">
        <v>19.37</v>
      </c>
      <c r="M37" s="100">
        <v>79.86</v>
      </c>
      <c r="N37" s="100">
        <v>15.9</v>
      </c>
      <c r="O37" s="100">
        <v>0</v>
      </c>
      <c r="P37" s="100">
        <v>1.1299999999999999</v>
      </c>
      <c r="Q37" s="100">
        <v>12.96</v>
      </c>
      <c r="R37" s="6"/>
      <c r="S37" s="6"/>
      <c r="T37" s="156"/>
      <c r="U37" s="6"/>
    </row>
    <row r="38" spans="1:21" customFormat="1">
      <c r="A38" s="163" t="s">
        <v>1324</v>
      </c>
      <c r="B38" s="100">
        <v>11.83</v>
      </c>
      <c r="C38" s="100">
        <v>22.01</v>
      </c>
      <c r="D38" s="100">
        <v>22.34</v>
      </c>
      <c r="E38" s="100">
        <v>8.2200000000000006</v>
      </c>
      <c r="F38" s="152" t="s">
        <v>15</v>
      </c>
      <c r="G38" s="100">
        <v>71.5</v>
      </c>
      <c r="H38" s="100">
        <v>23.59</v>
      </c>
      <c r="I38" s="100">
        <v>13.38</v>
      </c>
      <c r="J38" s="100">
        <v>0.22</v>
      </c>
      <c r="K38" s="100">
        <v>174.17</v>
      </c>
      <c r="L38" s="100">
        <v>19.7</v>
      </c>
      <c r="M38" s="100">
        <v>77.89</v>
      </c>
      <c r="N38" s="100">
        <v>24.4</v>
      </c>
      <c r="O38" s="100">
        <v>0</v>
      </c>
      <c r="P38" s="100">
        <v>1.1299999999999999</v>
      </c>
      <c r="Q38" s="100">
        <v>12.95</v>
      </c>
      <c r="R38" s="6"/>
      <c r="S38" s="6"/>
      <c r="T38" s="156"/>
      <c r="U38" s="6"/>
    </row>
    <row r="39" spans="1:21" customFormat="1">
      <c r="A39" s="163" t="s">
        <v>1325</v>
      </c>
      <c r="B39" s="100">
        <v>11.77</v>
      </c>
      <c r="C39" s="100">
        <v>21.94</v>
      </c>
      <c r="D39" s="100">
        <v>22.25</v>
      </c>
      <c r="E39" s="100">
        <v>8.2799999999999994</v>
      </c>
      <c r="F39" s="152" t="s">
        <v>15</v>
      </c>
      <c r="G39" s="100">
        <v>71.42</v>
      </c>
      <c r="H39" s="100">
        <v>23.58</v>
      </c>
      <c r="I39" s="100">
        <v>13.31</v>
      </c>
      <c r="J39" s="100">
        <v>0.33</v>
      </c>
      <c r="K39" s="100">
        <v>162.87</v>
      </c>
      <c r="L39" s="100">
        <v>20.36</v>
      </c>
      <c r="M39" s="100">
        <v>72.790000000000006</v>
      </c>
      <c r="N39" s="100">
        <v>33.700000000000003</v>
      </c>
      <c r="O39" s="100">
        <v>0</v>
      </c>
      <c r="P39" s="100">
        <v>1.1200000000000001</v>
      </c>
      <c r="Q39" s="100">
        <v>12.94</v>
      </c>
      <c r="R39" s="6"/>
      <c r="S39" s="6"/>
      <c r="T39" s="156"/>
      <c r="U39" s="6"/>
    </row>
    <row r="40" spans="1:21" customFormat="1">
      <c r="A40" s="163" t="s">
        <v>1326</v>
      </c>
      <c r="B40" s="100">
        <v>11.67</v>
      </c>
      <c r="C40" s="100">
        <v>21.88</v>
      </c>
      <c r="D40" s="100">
        <v>22.14</v>
      </c>
      <c r="E40" s="100">
        <v>8.7899999999999991</v>
      </c>
      <c r="F40" s="152" t="s">
        <v>15</v>
      </c>
      <c r="G40" s="100">
        <v>69.17</v>
      </c>
      <c r="H40" s="100">
        <v>23.21</v>
      </c>
      <c r="I40" s="100">
        <v>13.25</v>
      </c>
      <c r="J40" s="100">
        <v>0.21</v>
      </c>
      <c r="K40" s="100">
        <v>156.58000000000001</v>
      </c>
      <c r="L40" s="100">
        <v>21.2</v>
      </c>
      <c r="M40" s="100">
        <v>70.760000000000005</v>
      </c>
      <c r="N40" s="100">
        <v>43.8</v>
      </c>
      <c r="O40" s="100">
        <v>0</v>
      </c>
      <c r="P40" s="100">
        <v>1.1299999999999999</v>
      </c>
      <c r="Q40" s="100">
        <v>12.97</v>
      </c>
      <c r="R40" s="6"/>
      <c r="S40" s="6"/>
      <c r="T40" s="156"/>
      <c r="U40" s="6"/>
    </row>
    <row r="41" spans="1:21" customFormat="1">
      <c r="A41" s="163" t="s">
        <v>1327</v>
      </c>
      <c r="B41" s="100">
        <v>11.58</v>
      </c>
      <c r="C41" s="100">
        <v>21.9</v>
      </c>
      <c r="D41" s="100">
        <v>22.08</v>
      </c>
      <c r="E41" s="100">
        <v>8.27</v>
      </c>
      <c r="F41" s="152" t="s">
        <v>15</v>
      </c>
      <c r="G41" s="100">
        <v>69.17</v>
      </c>
      <c r="H41" s="100">
        <v>23.21</v>
      </c>
      <c r="I41" s="100">
        <v>13.17</v>
      </c>
      <c r="J41" s="100">
        <v>0.17</v>
      </c>
      <c r="K41" s="100">
        <v>177.35</v>
      </c>
      <c r="L41" s="100">
        <v>22.26</v>
      </c>
      <c r="M41" s="100">
        <v>67.709999999999994</v>
      </c>
      <c r="N41" s="100">
        <v>77.2</v>
      </c>
      <c r="O41" s="100">
        <v>0</v>
      </c>
      <c r="P41" s="100">
        <v>1.1200000000000001</v>
      </c>
      <c r="Q41" s="100">
        <v>12.95</v>
      </c>
      <c r="R41" s="6"/>
      <c r="S41" s="6"/>
      <c r="T41" s="156"/>
      <c r="U41" s="6"/>
    </row>
    <row r="42" spans="1:21" customFormat="1">
      <c r="A42" s="163" t="s">
        <v>1328</v>
      </c>
      <c r="B42" s="100">
        <v>11.39</v>
      </c>
      <c r="C42" s="100">
        <v>22.01</v>
      </c>
      <c r="D42" s="100">
        <v>21.99</v>
      </c>
      <c r="E42" s="100">
        <v>8.3000000000000007</v>
      </c>
      <c r="F42" s="152" t="s">
        <v>15</v>
      </c>
      <c r="G42" s="100">
        <v>69.17</v>
      </c>
      <c r="H42" s="100">
        <v>23.21</v>
      </c>
      <c r="I42" s="100">
        <v>13.14</v>
      </c>
      <c r="J42" s="100">
        <v>0.26</v>
      </c>
      <c r="K42" s="100">
        <v>258.43</v>
      </c>
      <c r="L42" s="100">
        <v>23.24</v>
      </c>
      <c r="M42" s="100">
        <v>63.3</v>
      </c>
      <c r="N42" s="100">
        <v>114.4</v>
      </c>
      <c r="O42" s="100">
        <v>0</v>
      </c>
      <c r="P42" s="100">
        <v>1.1299999999999999</v>
      </c>
      <c r="Q42" s="100">
        <v>12.96</v>
      </c>
      <c r="R42" s="6"/>
      <c r="S42" s="6"/>
      <c r="T42" s="156"/>
      <c r="U42" s="6"/>
    </row>
    <row r="43" spans="1:21" customFormat="1">
      <c r="A43" s="163" t="s">
        <v>1329</v>
      </c>
      <c r="B43" s="100">
        <v>11.22</v>
      </c>
      <c r="C43" s="100">
        <v>22.08</v>
      </c>
      <c r="D43" s="100">
        <v>21.88</v>
      </c>
      <c r="E43" s="100">
        <v>8.5</v>
      </c>
      <c r="F43" s="152" t="s">
        <v>15</v>
      </c>
      <c r="G43" s="100">
        <v>69.3</v>
      </c>
      <c r="H43" s="100">
        <v>23.34</v>
      </c>
      <c r="I43" s="100">
        <v>13.16</v>
      </c>
      <c r="J43" s="100">
        <v>0.27</v>
      </c>
      <c r="K43" s="100">
        <v>249.78</v>
      </c>
      <c r="L43" s="100">
        <v>24.32</v>
      </c>
      <c r="M43" s="100">
        <v>59.61</v>
      </c>
      <c r="N43" s="100">
        <v>139</v>
      </c>
      <c r="O43" s="100">
        <v>0</v>
      </c>
      <c r="P43" s="100">
        <v>1.1299999999999999</v>
      </c>
      <c r="Q43" s="100">
        <v>12.97</v>
      </c>
      <c r="R43" s="6"/>
      <c r="S43" s="6"/>
      <c r="T43" s="156"/>
      <c r="U43" s="6"/>
    </row>
    <row r="44" spans="1:21" customFormat="1">
      <c r="A44" s="163" t="s">
        <v>1330</v>
      </c>
      <c r="B44" s="100">
        <v>10.93</v>
      </c>
      <c r="C44" s="100">
        <v>22.27</v>
      </c>
      <c r="D44" s="100">
        <v>21.76</v>
      </c>
      <c r="E44" s="100">
        <v>8.35</v>
      </c>
      <c r="F44" s="152" t="s">
        <v>15</v>
      </c>
      <c r="G44" s="100">
        <v>72.95</v>
      </c>
      <c r="H44" s="100">
        <v>27.6</v>
      </c>
      <c r="I44" s="100">
        <v>13.25</v>
      </c>
      <c r="J44" s="100">
        <v>0.21</v>
      </c>
      <c r="K44" s="100">
        <v>256.08999999999997</v>
      </c>
      <c r="L44" s="100">
        <v>25.44</v>
      </c>
      <c r="M44" s="100">
        <v>55.46</v>
      </c>
      <c r="N44" s="100">
        <v>150.6</v>
      </c>
      <c r="O44" s="100">
        <v>0</v>
      </c>
      <c r="P44" s="100">
        <v>1.1299999999999999</v>
      </c>
      <c r="Q44" s="100">
        <v>12.96</v>
      </c>
      <c r="R44" s="6"/>
      <c r="S44" s="6"/>
      <c r="T44" s="156"/>
      <c r="U44" s="6"/>
    </row>
    <row r="45" spans="1:21" customFormat="1">
      <c r="A45" s="163" t="s">
        <v>1331</v>
      </c>
      <c r="B45" s="100">
        <v>10.49</v>
      </c>
      <c r="C45" s="100">
        <v>22.26</v>
      </c>
      <c r="D45" s="100">
        <v>21.4</v>
      </c>
      <c r="E45" s="100">
        <v>8.6999999999999993</v>
      </c>
      <c r="F45" s="152" t="s">
        <v>15</v>
      </c>
      <c r="G45" s="100">
        <v>72.95</v>
      </c>
      <c r="H45" s="100">
        <v>27.6</v>
      </c>
      <c r="I45" s="100">
        <v>13.33</v>
      </c>
      <c r="J45" s="100">
        <v>0.32</v>
      </c>
      <c r="K45" s="100">
        <v>257.95999999999998</v>
      </c>
      <c r="L45" s="100">
        <v>26.33</v>
      </c>
      <c r="M45" s="100">
        <v>52.79</v>
      </c>
      <c r="N45" s="100">
        <v>155.4</v>
      </c>
      <c r="O45" s="100">
        <v>0</v>
      </c>
      <c r="P45" s="100">
        <v>1.1299999999999999</v>
      </c>
      <c r="Q45" s="100">
        <v>12.96</v>
      </c>
      <c r="R45" s="6"/>
      <c r="S45" s="6"/>
      <c r="T45" s="156"/>
      <c r="U45" s="6"/>
    </row>
    <row r="46" spans="1:21" customFormat="1">
      <c r="A46" s="163" t="s">
        <v>1332</v>
      </c>
      <c r="B46" s="100">
        <v>9.82</v>
      </c>
      <c r="C46" s="100">
        <v>22.32</v>
      </c>
      <c r="D46" s="100">
        <v>20.89</v>
      </c>
      <c r="E46" s="100">
        <v>9.01</v>
      </c>
      <c r="F46" s="152" t="s">
        <v>15</v>
      </c>
      <c r="G46" s="100">
        <v>72.95</v>
      </c>
      <c r="H46" s="100">
        <v>27.6</v>
      </c>
      <c r="I46" s="100">
        <v>13.34</v>
      </c>
      <c r="J46" s="100">
        <v>0.62</v>
      </c>
      <c r="K46" s="100">
        <v>261.5</v>
      </c>
      <c r="L46" s="100">
        <v>26.89</v>
      </c>
      <c r="M46" s="100">
        <v>51.53</v>
      </c>
      <c r="N46" s="100">
        <v>199.1</v>
      </c>
      <c r="O46" s="100">
        <v>0</v>
      </c>
      <c r="P46" s="100">
        <v>1.1000000000000001</v>
      </c>
      <c r="Q46" s="100">
        <v>12.96</v>
      </c>
      <c r="R46" s="6"/>
      <c r="S46" s="6"/>
      <c r="T46" s="156"/>
      <c r="U46" s="6"/>
    </row>
    <row r="47" spans="1:21" customFormat="1">
      <c r="A47" s="163" t="s">
        <v>1333</v>
      </c>
      <c r="B47" s="100">
        <v>8.65</v>
      </c>
      <c r="C47" s="100">
        <v>22.42</v>
      </c>
      <c r="D47" s="100">
        <v>20</v>
      </c>
      <c r="E47" s="100">
        <v>8.67</v>
      </c>
      <c r="F47" s="152" t="s">
        <v>15</v>
      </c>
      <c r="G47" s="100">
        <v>72.930000000000007</v>
      </c>
      <c r="H47" s="100">
        <v>27.59</v>
      </c>
      <c r="I47" s="100">
        <v>13.44</v>
      </c>
      <c r="J47" s="100">
        <v>0.51</v>
      </c>
      <c r="K47" s="100">
        <v>262.08</v>
      </c>
      <c r="L47" s="100">
        <v>27.71</v>
      </c>
      <c r="M47" s="100">
        <v>49.97</v>
      </c>
      <c r="N47" s="100">
        <v>216.6</v>
      </c>
      <c r="O47" s="100">
        <v>0</v>
      </c>
      <c r="P47" s="100">
        <v>1.04</v>
      </c>
      <c r="Q47" s="100">
        <v>12.95</v>
      </c>
      <c r="R47" s="6"/>
      <c r="S47" s="6"/>
      <c r="T47" s="156"/>
      <c r="U47" s="6"/>
    </row>
    <row r="48" spans="1:21" customFormat="1">
      <c r="A48" s="163" t="s">
        <v>1334</v>
      </c>
      <c r="B48" s="100">
        <v>7.36</v>
      </c>
      <c r="C48" s="100">
        <v>23.06</v>
      </c>
      <c r="D48" s="100">
        <v>19.3</v>
      </c>
      <c r="E48" s="100">
        <v>9.16</v>
      </c>
      <c r="F48" s="152" t="s">
        <v>15</v>
      </c>
      <c r="G48" s="100">
        <v>72.430000000000007</v>
      </c>
      <c r="H48" s="100">
        <v>27.44</v>
      </c>
      <c r="I48" s="100">
        <v>13.58</v>
      </c>
      <c r="J48" s="100">
        <v>0.56000000000000005</v>
      </c>
      <c r="K48" s="100">
        <v>262.13</v>
      </c>
      <c r="L48" s="100">
        <v>28.4</v>
      </c>
      <c r="M48" s="100">
        <v>48.49</v>
      </c>
      <c r="N48" s="100">
        <v>235.8</v>
      </c>
      <c r="O48" s="100">
        <v>0</v>
      </c>
      <c r="P48" s="100">
        <v>1.06</v>
      </c>
      <c r="Q48" s="100">
        <v>12.96</v>
      </c>
      <c r="R48" s="6"/>
      <c r="S48" s="6"/>
      <c r="T48" s="156"/>
      <c r="U48" s="6"/>
    </row>
    <row r="49" spans="1:21" customFormat="1">
      <c r="A49" s="163" t="s">
        <v>1335</v>
      </c>
      <c r="B49" s="100">
        <v>6.21</v>
      </c>
      <c r="C49" s="100">
        <v>23.56</v>
      </c>
      <c r="D49" s="100">
        <v>18.64</v>
      </c>
      <c r="E49" s="100">
        <v>9.6300000000000008</v>
      </c>
      <c r="F49" s="152" t="s">
        <v>15</v>
      </c>
      <c r="G49" s="100">
        <v>72.430000000000007</v>
      </c>
      <c r="H49" s="100">
        <v>27.44</v>
      </c>
      <c r="I49" s="100">
        <v>14.17</v>
      </c>
      <c r="J49" s="100">
        <v>0.78</v>
      </c>
      <c r="K49" s="100">
        <v>272.55</v>
      </c>
      <c r="L49" s="100">
        <v>28.87</v>
      </c>
      <c r="M49" s="100">
        <v>47.65</v>
      </c>
      <c r="N49" s="100">
        <v>203.3</v>
      </c>
      <c r="O49" s="100">
        <v>0</v>
      </c>
      <c r="P49" s="100">
        <v>1.05</v>
      </c>
      <c r="Q49" s="100">
        <v>12.94</v>
      </c>
      <c r="R49" s="6"/>
      <c r="S49" s="6"/>
      <c r="T49" s="156"/>
      <c r="U49" s="6"/>
    </row>
    <row r="50" spans="1:21" customFormat="1">
      <c r="A50" s="163" t="s">
        <v>1336</v>
      </c>
      <c r="B50" s="100">
        <v>5.33</v>
      </c>
      <c r="C50" s="100">
        <v>23.88</v>
      </c>
      <c r="D50" s="100">
        <v>18.100000000000001</v>
      </c>
      <c r="E50" s="100">
        <v>11.07</v>
      </c>
      <c r="F50" s="152" t="s">
        <v>15</v>
      </c>
      <c r="G50" s="100">
        <v>72.430000000000007</v>
      </c>
      <c r="H50" s="100">
        <v>27.44</v>
      </c>
      <c r="I50" s="100">
        <v>14.68</v>
      </c>
      <c r="J50" s="100">
        <v>0.82</v>
      </c>
      <c r="K50" s="100">
        <v>289.82</v>
      </c>
      <c r="L50" s="100">
        <v>29.57</v>
      </c>
      <c r="M50" s="100">
        <v>45.13</v>
      </c>
      <c r="N50" s="100">
        <v>257.89999999999998</v>
      </c>
      <c r="O50" s="100">
        <v>0</v>
      </c>
      <c r="P50" s="100">
        <v>1.05</v>
      </c>
      <c r="Q50" s="100">
        <v>12.95</v>
      </c>
      <c r="R50" s="6"/>
      <c r="S50" s="6"/>
      <c r="T50" s="156"/>
      <c r="U50" s="6"/>
    </row>
    <row r="51" spans="1:21" customFormat="1">
      <c r="A51" s="163" t="s">
        <v>1337</v>
      </c>
      <c r="B51" s="100">
        <v>4.78</v>
      </c>
      <c r="C51" s="100">
        <v>24.32</v>
      </c>
      <c r="D51" s="100">
        <v>17.89</v>
      </c>
      <c r="E51" s="100">
        <v>11.49</v>
      </c>
      <c r="F51" s="152" t="s">
        <v>15</v>
      </c>
      <c r="G51" s="100">
        <v>72.33</v>
      </c>
      <c r="H51" s="100">
        <v>27.49</v>
      </c>
      <c r="I51" s="100">
        <v>14.75</v>
      </c>
      <c r="J51" s="100">
        <v>0.62</v>
      </c>
      <c r="K51" s="100">
        <v>270.66000000000003</v>
      </c>
      <c r="L51" s="100">
        <v>30.08</v>
      </c>
      <c r="M51" s="100">
        <v>44.41</v>
      </c>
      <c r="N51" s="100">
        <v>276.39999999999998</v>
      </c>
      <c r="O51" s="100">
        <v>0</v>
      </c>
      <c r="P51" s="100">
        <v>1.06</v>
      </c>
      <c r="Q51" s="100">
        <v>12.95</v>
      </c>
      <c r="R51" s="6"/>
      <c r="S51" s="6"/>
      <c r="T51" s="156"/>
      <c r="U51" s="6"/>
    </row>
    <row r="52" spans="1:21" customFormat="1">
      <c r="A52" s="163" t="s">
        <v>1338</v>
      </c>
      <c r="B52" s="100">
        <v>4.45</v>
      </c>
      <c r="C52" s="100">
        <v>24.5</v>
      </c>
      <c r="D52" s="100">
        <v>17.72</v>
      </c>
      <c r="E52" s="100">
        <v>12</v>
      </c>
      <c r="F52" s="152" t="s">
        <v>15</v>
      </c>
      <c r="G52" s="100">
        <v>69.430000000000007</v>
      </c>
      <c r="H52" s="100">
        <v>29.22</v>
      </c>
      <c r="I52" s="100">
        <v>14.75</v>
      </c>
      <c r="J52" s="100">
        <v>0.89</v>
      </c>
      <c r="K52" s="100">
        <v>292.63</v>
      </c>
      <c r="L52" s="100">
        <v>30.54</v>
      </c>
      <c r="M52" s="100">
        <v>43.32</v>
      </c>
      <c r="N52" s="100">
        <v>280.8</v>
      </c>
      <c r="O52" s="100">
        <v>0</v>
      </c>
      <c r="P52" s="100">
        <v>1.06</v>
      </c>
      <c r="Q52" s="100">
        <v>12.95</v>
      </c>
      <c r="R52" s="6"/>
      <c r="S52" s="6"/>
      <c r="T52" s="156"/>
      <c r="U52" s="6"/>
    </row>
    <row r="53" spans="1:21" customFormat="1">
      <c r="A53" s="163" t="s">
        <v>1339</v>
      </c>
      <c r="B53" s="100">
        <v>4.24</v>
      </c>
      <c r="C53" s="100">
        <v>24.68</v>
      </c>
      <c r="D53" s="100">
        <v>17.64</v>
      </c>
      <c r="E53" s="100">
        <v>11.5</v>
      </c>
      <c r="F53" s="152" t="s">
        <v>15</v>
      </c>
      <c r="G53" s="100">
        <v>69.430000000000007</v>
      </c>
      <c r="H53" s="100">
        <v>29.22</v>
      </c>
      <c r="I53" s="100">
        <v>14.86</v>
      </c>
      <c r="J53" s="100">
        <v>0.61</v>
      </c>
      <c r="K53" s="100">
        <v>275.24</v>
      </c>
      <c r="L53" s="100">
        <v>30.96</v>
      </c>
      <c r="M53" s="100">
        <v>43.17</v>
      </c>
      <c r="N53" s="100">
        <v>285.89999999999998</v>
      </c>
      <c r="O53" s="100">
        <v>0</v>
      </c>
      <c r="P53" s="100">
        <v>1.05</v>
      </c>
      <c r="Q53" s="100">
        <v>12.95</v>
      </c>
      <c r="R53" s="6"/>
      <c r="S53" s="6"/>
      <c r="T53" s="156"/>
      <c r="U53" s="6"/>
    </row>
    <row r="54" spans="1:21" customFormat="1">
      <c r="A54" s="163" t="s">
        <v>1340</v>
      </c>
      <c r="B54" s="100">
        <v>4</v>
      </c>
      <c r="C54" s="100">
        <v>24.57</v>
      </c>
      <c r="D54" s="100">
        <v>17.39</v>
      </c>
      <c r="E54" s="100">
        <v>11.29</v>
      </c>
      <c r="F54" s="152" t="s">
        <v>15</v>
      </c>
      <c r="G54" s="100">
        <v>69.430000000000007</v>
      </c>
      <c r="H54" s="100">
        <v>29.22</v>
      </c>
      <c r="I54" s="100">
        <v>14.79</v>
      </c>
      <c r="J54" s="100">
        <v>0.71</v>
      </c>
      <c r="K54" s="100">
        <v>270.14999999999998</v>
      </c>
      <c r="L54" s="100">
        <v>31.41</v>
      </c>
      <c r="M54" s="100">
        <v>41.39</v>
      </c>
      <c r="N54" s="100">
        <v>276.7</v>
      </c>
      <c r="O54" s="100">
        <v>0</v>
      </c>
      <c r="P54" s="100">
        <v>1.04</v>
      </c>
      <c r="Q54" s="100">
        <v>12.95</v>
      </c>
      <c r="R54" s="6"/>
      <c r="S54" s="6"/>
      <c r="T54" s="156"/>
      <c r="U54" s="6"/>
    </row>
    <row r="55" spans="1:21" customFormat="1">
      <c r="A55" s="163" t="s">
        <v>1341</v>
      </c>
      <c r="B55" s="100">
        <v>3.82</v>
      </c>
      <c r="C55" s="100">
        <v>24.18</v>
      </c>
      <c r="D55" s="100">
        <v>17.05</v>
      </c>
      <c r="E55" s="100">
        <v>12.1</v>
      </c>
      <c r="F55" s="152" t="s">
        <v>15</v>
      </c>
      <c r="G55" s="100">
        <v>69.569999999999993</v>
      </c>
      <c r="H55" s="100">
        <v>29.23</v>
      </c>
      <c r="I55" s="100">
        <v>14.6</v>
      </c>
      <c r="J55" s="100">
        <v>0.78</v>
      </c>
      <c r="K55" s="100">
        <v>254.62</v>
      </c>
      <c r="L55" s="100">
        <v>32.130000000000003</v>
      </c>
      <c r="M55" s="100">
        <v>39.31</v>
      </c>
      <c r="N55" s="100">
        <v>278.89999999999998</v>
      </c>
      <c r="O55" s="100">
        <v>0</v>
      </c>
      <c r="P55" s="100">
        <v>1</v>
      </c>
      <c r="Q55" s="100">
        <v>12.95</v>
      </c>
      <c r="R55" s="6"/>
      <c r="S55" s="6"/>
      <c r="T55" s="156"/>
      <c r="U55" s="6"/>
    </row>
    <row r="56" spans="1:21" customFormat="1">
      <c r="A56" s="163" t="s">
        <v>1342</v>
      </c>
      <c r="B56" s="100">
        <v>3.75</v>
      </c>
      <c r="C56" s="100">
        <v>23.74</v>
      </c>
      <c r="D56" s="100">
        <v>16.760000000000002</v>
      </c>
      <c r="E56" s="100">
        <v>12.44</v>
      </c>
      <c r="F56" s="152" t="s">
        <v>15</v>
      </c>
      <c r="G56" s="100">
        <v>72.540000000000006</v>
      </c>
      <c r="H56" s="100">
        <v>29.45</v>
      </c>
      <c r="I56" s="100">
        <v>14.34</v>
      </c>
      <c r="J56" s="100">
        <v>0.98</v>
      </c>
      <c r="K56" s="100">
        <v>285.68</v>
      </c>
      <c r="L56" s="100">
        <v>32.450000000000003</v>
      </c>
      <c r="M56" s="100">
        <v>37.74</v>
      </c>
      <c r="N56" s="100">
        <v>306</v>
      </c>
      <c r="O56" s="100">
        <v>0</v>
      </c>
      <c r="P56" s="100">
        <v>0.99</v>
      </c>
      <c r="Q56" s="100">
        <v>12.95</v>
      </c>
      <c r="R56" s="6"/>
      <c r="S56" s="6"/>
      <c r="T56" s="156"/>
      <c r="U56" s="6"/>
    </row>
    <row r="57" spans="1:21" customFormat="1">
      <c r="A57" s="163" t="s">
        <v>1343</v>
      </c>
      <c r="B57" s="100">
        <v>3.73</v>
      </c>
      <c r="C57" s="100">
        <v>23.54</v>
      </c>
      <c r="D57" s="100">
        <v>16.64</v>
      </c>
      <c r="E57" s="100">
        <v>12.14</v>
      </c>
      <c r="F57" s="152" t="s">
        <v>15</v>
      </c>
      <c r="G57" s="100">
        <v>72.540000000000006</v>
      </c>
      <c r="H57" s="100">
        <v>29.45</v>
      </c>
      <c r="I57" s="100">
        <v>13.95</v>
      </c>
      <c r="J57" s="100">
        <v>1.2</v>
      </c>
      <c r="K57" s="100">
        <v>297.58999999999997</v>
      </c>
      <c r="L57" s="100">
        <v>32.24</v>
      </c>
      <c r="M57" s="100">
        <v>37.03</v>
      </c>
      <c r="N57" s="100">
        <v>307.89999999999998</v>
      </c>
      <c r="O57" s="100">
        <v>0</v>
      </c>
      <c r="P57" s="100">
        <v>0.97</v>
      </c>
      <c r="Q57" s="100">
        <v>12.94</v>
      </c>
      <c r="R57" s="6"/>
      <c r="S57" s="6"/>
      <c r="T57" s="156"/>
      <c r="U57" s="6"/>
    </row>
    <row r="58" spans="1:21" customFormat="1">
      <c r="A58" s="163" t="s">
        <v>1344</v>
      </c>
      <c r="B58" s="100">
        <v>3.75</v>
      </c>
      <c r="C58" s="100">
        <v>23.44</v>
      </c>
      <c r="D58" s="100">
        <v>16.600000000000001</v>
      </c>
      <c r="E58" s="100">
        <v>12.94</v>
      </c>
      <c r="F58" s="152" t="s">
        <v>15</v>
      </c>
      <c r="G58" s="100">
        <v>72.540000000000006</v>
      </c>
      <c r="H58" s="100">
        <v>29.45</v>
      </c>
      <c r="I58" s="100">
        <v>13.65</v>
      </c>
      <c r="J58" s="100">
        <v>0.74</v>
      </c>
      <c r="K58" s="100">
        <v>308.29000000000002</v>
      </c>
      <c r="L58" s="100">
        <v>32.36</v>
      </c>
      <c r="M58" s="100">
        <v>37.46</v>
      </c>
      <c r="N58" s="100">
        <v>299.60000000000002</v>
      </c>
      <c r="O58" s="100">
        <v>0</v>
      </c>
      <c r="P58" s="100">
        <v>0.96</v>
      </c>
      <c r="Q58" s="100">
        <v>12.94</v>
      </c>
      <c r="R58" s="6"/>
      <c r="S58" s="6"/>
      <c r="T58" s="156"/>
      <c r="U58" s="6"/>
    </row>
    <row r="59" spans="1:21" customFormat="1">
      <c r="A59" s="163" t="s">
        <v>1345</v>
      </c>
      <c r="B59" s="100">
        <v>3.72</v>
      </c>
      <c r="C59" s="100">
        <v>23.43</v>
      </c>
      <c r="D59" s="100">
        <v>16.579999999999998</v>
      </c>
      <c r="E59" s="100">
        <v>13.65</v>
      </c>
      <c r="F59" s="152" t="s">
        <v>15</v>
      </c>
      <c r="G59" s="100">
        <v>72.510000000000005</v>
      </c>
      <c r="H59" s="100">
        <v>29.51</v>
      </c>
      <c r="I59" s="100">
        <v>13.31</v>
      </c>
      <c r="J59" s="100">
        <v>0.83</v>
      </c>
      <c r="K59" s="100">
        <v>290.33999999999997</v>
      </c>
      <c r="L59" s="100">
        <v>32.590000000000003</v>
      </c>
      <c r="M59" s="100">
        <v>37.520000000000003</v>
      </c>
      <c r="N59" s="100">
        <v>310</v>
      </c>
      <c r="O59" s="100">
        <v>0</v>
      </c>
      <c r="P59" s="100">
        <v>0.95</v>
      </c>
      <c r="Q59" s="100">
        <v>12.95</v>
      </c>
      <c r="R59" s="6"/>
      <c r="S59" s="6"/>
      <c r="T59" s="156"/>
      <c r="U59" s="6"/>
    </row>
    <row r="60" spans="1:21" customFormat="1">
      <c r="A60" s="163" t="s">
        <v>1346</v>
      </c>
      <c r="B60" s="100">
        <v>3.7</v>
      </c>
      <c r="C60" s="100">
        <v>23.29</v>
      </c>
      <c r="D60" s="100">
        <v>16.489999999999998</v>
      </c>
      <c r="E60" s="100">
        <v>13.64</v>
      </c>
      <c r="F60" s="152" t="s">
        <v>15</v>
      </c>
      <c r="G60" s="100">
        <v>71.900000000000006</v>
      </c>
      <c r="H60" s="100">
        <v>31.53</v>
      </c>
      <c r="I60" s="100">
        <v>13.25</v>
      </c>
      <c r="J60" s="100">
        <v>0.83</v>
      </c>
      <c r="K60" s="100">
        <v>279.52999999999997</v>
      </c>
      <c r="L60" s="100">
        <v>32.94</v>
      </c>
      <c r="M60" s="100">
        <v>36.07</v>
      </c>
      <c r="N60" s="100">
        <v>313.5</v>
      </c>
      <c r="O60" s="100">
        <v>0</v>
      </c>
      <c r="P60" s="100">
        <v>0.95</v>
      </c>
      <c r="Q60" s="100">
        <v>12.96</v>
      </c>
      <c r="R60" s="6"/>
      <c r="S60" s="6"/>
      <c r="T60" s="156"/>
      <c r="U60" s="6"/>
    </row>
    <row r="61" spans="1:21" customFormat="1">
      <c r="A61" s="163" t="s">
        <v>1347</v>
      </c>
      <c r="B61" s="100">
        <v>3.69</v>
      </c>
      <c r="C61" s="100">
        <v>23.13</v>
      </c>
      <c r="D61" s="100">
        <v>16.39</v>
      </c>
      <c r="E61" s="100">
        <v>12.68</v>
      </c>
      <c r="F61" s="152" t="s">
        <v>15</v>
      </c>
      <c r="G61" s="100">
        <v>71.900000000000006</v>
      </c>
      <c r="H61" s="100">
        <v>31.53</v>
      </c>
      <c r="I61" s="100">
        <v>13.2</v>
      </c>
      <c r="J61" s="100">
        <v>1.02</v>
      </c>
      <c r="K61" s="100">
        <v>287.97000000000003</v>
      </c>
      <c r="L61" s="100">
        <v>32.85</v>
      </c>
      <c r="M61" s="100">
        <v>35.549999999999997</v>
      </c>
      <c r="N61" s="100">
        <v>299.5</v>
      </c>
      <c r="O61" s="100">
        <v>0</v>
      </c>
      <c r="P61" s="100">
        <v>0.93</v>
      </c>
      <c r="Q61" s="100">
        <v>12.94</v>
      </c>
      <c r="R61" s="6"/>
      <c r="S61" s="6"/>
      <c r="T61" s="156"/>
      <c r="U61" s="6"/>
    </row>
    <row r="62" spans="1:21" customFormat="1">
      <c r="A62" s="163" t="s">
        <v>1348</v>
      </c>
      <c r="B62" s="100">
        <v>3.67</v>
      </c>
      <c r="C62" s="100">
        <v>22.89</v>
      </c>
      <c r="D62" s="100">
        <v>16.260000000000002</v>
      </c>
      <c r="E62" s="100">
        <v>14.06</v>
      </c>
      <c r="F62" s="152" t="s">
        <v>15</v>
      </c>
      <c r="G62" s="100">
        <v>71.900000000000006</v>
      </c>
      <c r="H62" s="100">
        <v>31.53</v>
      </c>
      <c r="I62" s="100">
        <v>13.03</v>
      </c>
      <c r="J62" s="100">
        <v>0.95</v>
      </c>
      <c r="K62" s="100">
        <v>269.19</v>
      </c>
      <c r="L62" s="100">
        <v>33.25</v>
      </c>
      <c r="M62" s="100">
        <v>35.68</v>
      </c>
      <c r="N62" s="100">
        <v>280.39999999999998</v>
      </c>
      <c r="O62" s="100">
        <v>0</v>
      </c>
      <c r="P62" s="100">
        <v>0.9</v>
      </c>
      <c r="Q62" s="100">
        <v>12.94</v>
      </c>
      <c r="R62" s="6"/>
      <c r="S62" s="6"/>
      <c r="T62" s="156"/>
      <c r="U62" s="6"/>
    </row>
    <row r="63" spans="1:21" customFormat="1">
      <c r="A63" s="163" t="s">
        <v>1349</v>
      </c>
      <c r="B63" s="100">
        <v>3.63</v>
      </c>
      <c r="C63" s="100">
        <v>22.54</v>
      </c>
      <c r="D63" s="100">
        <v>16.04</v>
      </c>
      <c r="E63" s="100">
        <v>13.89</v>
      </c>
      <c r="F63" s="152" t="s">
        <v>15</v>
      </c>
      <c r="G63" s="100">
        <v>72.010000000000005</v>
      </c>
      <c r="H63" s="100">
        <v>31.54</v>
      </c>
      <c r="I63" s="100">
        <v>12.79</v>
      </c>
      <c r="J63" s="100">
        <v>0.96</v>
      </c>
      <c r="K63" s="100">
        <v>272.29000000000002</v>
      </c>
      <c r="L63" s="100">
        <v>33.19</v>
      </c>
      <c r="M63" s="100">
        <v>34.93</v>
      </c>
      <c r="N63" s="100">
        <v>271</v>
      </c>
      <c r="O63" s="100">
        <v>0</v>
      </c>
      <c r="P63" s="100">
        <v>0.88</v>
      </c>
      <c r="Q63" s="100">
        <v>12.94</v>
      </c>
      <c r="R63" s="6"/>
      <c r="S63" s="6"/>
      <c r="T63" s="156"/>
      <c r="U63" s="6"/>
    </row>
    <row r="64" spans="1:21" customFormat="1">
      <c r="A64" s="163" t="s">
        <v>1350</v>
      </c>
      <c r="B64" s="100">
        <v>3.63</v>
      </c>
      <c r="C64" s="100">
        <v>22.14</v>
      </c>
      <c r="D64" s="100">
        <v>15.83</v>
      </c>
      <c r="E64" s="100">
        <v>14.17</v>
      </c>
      <c r="F64" s="152" t="s">
        <v>15</v>
      </c>
      <c r="G64" s="100">
        <v>74.41</v>
      </c>
      <c r="H64" s="100">
        <v>31.69</v>
      </c>
      <c r="I64" s="100">
        <v>12.55</v>
      </c>
      <c r="J64" s="100">
        <v>0.69</v>
      </c>
      <c r="K64" s="100">
        <v>254.44</v>
      </c>
      <c r="L64" s="100">
        <v>33.81</v>
      </c>
      <c r="M64" s="100">
        <v>34.33</v>
      </c>
      <c r="N64" s="100">
        <v>291.3</v>
      </c>
      <c r="O64" s="100">
        <v>0</v>
      </c>
      <c r="P64" s="100">
        <v>0.86</v>
      </c>
      <c r="Q64" s="100">
        <v>12.95</v>
      </c>
      <c r="R64" s="6"/>
      <c r="S64" s="6"/>
      <c r="T64" s="156"/>
      <c r="U64" s="6"/>
    </row>
    <row r="65" spans="1:21" customFormat="1">
      <c r="A65" s="163" t="s">
        <v>1351</v>
      </c>
      <c r="B65" s="100">
        <v>3.61</v>
      </c>
      <c r="C65" s="100">
        <v>21.71</v>
      </c>
      <c r="D65" s="100">
        <v>15.59</v>
      </c>
      <c r="E65" s="100">
        <v>14.02</v>
      </c>
      <c r="F65" s="152" t="s">
        <v>15</v>
      </c>
      <c r="G65" s="100">
        <v>74.41</v>
      </c>
      <c r="H65" s="100">
        <v>31.69</v>
      </c>
      <c r="I65" s="100">
        <v>12.24</v>
      </c>
      <c r="J65" s="100">
        <v>0.72</v>
      </c>
      <c r="K65" s="100">
        <v>255.33</v>
      </c>
      <c r="L65" s="100">
        <v>33.6</v>
      </c>
      <c r="M65" s="100">
        <v>34.5</v>
      </c>
      <c r="N65" s="100">
        <v>261.8</v>
      </c>
      <c r="O65" s="100">
        <v>0</v>
      </c>
      <c r="P65" s="100">
        <v>0.83</v>
      </c>
      <c r="Q65" s="100">
        <v>12.93</v>
      </c>
      <c r="R65" s="6"/>
      <c r="S65" s="6"/>
      <c r="T65" s="156"/>
      <c r="U65" s="6"/>
    </row>
    <row r="66" spans="1:21" customFormat="1">
      <c r="A66" s="163" t="s">
        <v>1352</v>
      </c>
      <c r="B66" s="100">
        <v>3.62</v>
      </c>
      <c r="C66" s="100">
        <v>21.42</v>
      </c>
      <c r="D66" s="100">
        <v>15.45</v>
      </c>
      <c r="E66" s="100">
        <v>15.17</v>
      </c>
      <c r="F66" s="152" t="s">
        <v>15</v>
      </c>
      <c r="G66" s="100">
        <v>74.41</v>
      </c>
      <c r="H66" s="100">
        <v>31.69</v>
      </c>
      <c r="I66" s="100">
        <v>11.97</v>
      </c>
      <c r="J66" s="100">
        <v>0.62</v>
      </c>
      <c r="K66" s="100">
        <v>263.52</v>
      </c>
      <c r="L66" s="100">
        <v>33.630000000000003</v>
      </c>
      <c r="M66" s="100">
        <v>34.29</v>
      </c>
      <c r="N66" s="100">
        <v>265.39999999999998</v>
      </c>
      <c r="O66" s="100">
        <v>0</v>
      </c>
      <c r="P66" s="100">
        <v>0.83</v>
      </c>
      <c r="Q66" s="100">
        <v>12.94</v>
      </c>
      <c r="R66" s="6"/>
      <c r="S66" s="6"/>
      <c r="T66" s="156"/>
      <c r="U66" s="6"/>
    </row>
    <row r="67" spans="1:21" customFormat="1">
      <c r="A67" s="163" t="s">
        <v>1353</v>
      </c>
      <c r="B67" s="100">
        <v>3.69</v>
      </c>
      <c r="C67" s="100">
        <v>21.7</v>
      </c>
      <c r="D67" s="100">
        <v>15.64</v>
      </c>
      <c r="E67" s="100">
        <v>18.5</v>
      </c>
      <c r="F67" s="152" t="s">
        <v>15</v>
      </c>
      <c r="G67" s="100">
        <v>74.25</v>
      </c>
      <c r="H67" s="100">
        <v>31.65</v>
      </c>
      <c r="I67" s="100">
        <v>11.82</v>
      </c>
      <c r="J67" s="100">
        <v>0.74</v>
      </c>
      <c r="K67" s="100">
        <v>277.99</v>
      </c>
      <c r="L67" s="100">
        <v>33.409999999999997</v>
      </c>
      <c r="M67" s="100">
        <v>34.06</v>
      </c>
      <c r="N67" s="100">
        <v>192.6</v>
      </c>
      <c r="O67" s="100">
        <v>0</v>
      </c>
      <c r="P67" s="100">
        <v>0.87</v>
      </c>
      <c r="Q67" s="100">
        <v>12.92</v>
      </c>
      <c r="R67" s="6"/>
      <c r="S67" s="6"/>
      <c r="T67" s="156"/>
      <c r="U67" s="6"/>
    </row>
    <row r="68" spans="1:21" customFormat="1">
      <c r="A68" s="163" t="s">
        <v>1354</v>
      </c>
      <c r="B68" s="100">
        <v>3.75</v>
      </c>
      <c r="C68" s="100">
        <v>21.85</v>
      </c>
      <c r="D68" s="100">
        <v>15.77</v>
      </c>
      <c r="E68" s="100">
        <v>19.399999999999999</v>
      </c>
      <c r="F68" s="152" t="s">
        <v>15</v>
      </c>
      <c r="G68" s="100">
        <v>69.599999999999994</v>
      </c>
      <c r="H68" s="100">
        <v>30.21</v>
      </c>
      <c r="I68" s="100">
        <v>11.6</v>
      </c>
      <c r="J68" s="100">
        <v>0.77</v>
      </c>
      <c r="K68" s="100">
        <v>260.60000000000002</v>
      </c>
      <c r="L68" s="100">
        <v>33.08</v>
      </c>
      <c r="M68" s="100">
        <v>35</v>
      </c>
      <c r="N68" s="100">
        <v>101.8</v>
      </c>
      <c r="O68" s="100">
        <v>0</v>
      </c>
      <c r="P68" s="100">
        <v>0.89</v>
      </c>
      <c r="Q68" s="100">
        <v>12.92</v>
      </c>
      <c r="R68" s="6"/>
      <c r="S68" s="6"/>
      <c r="T68" s="156"/>
      <c r="U68" s="6"/>
    </row>
    <row r="69" spans="1:21" customFormat="1">
      <c r="A69" s="163" t="s">
        <v>1355</v>
      </c>
      <c r="B69" s="100">
        <v>3.72</v>
      </c>
      <c r="C69" s="100">
        <v>21.51</v>
      </c>
      <c r="D69" s="100">
        <v>15.57</v>
      </c>
      <c r="E69" s="100">
        <v>17.66</v>
      </c>
      <c r="F69" s="152" t="s">
        <v>15</v>
      </c>
      <c r="G69" s="100">
        <v>69.599999999999994</v>
      </c>
      <c r="H69" s="100">
        <v>30.21</v>
      </c>
      <c r="I69" s="100">
        <v>11.16</v>
      </c>
      <c r="J69" s="100">
        <v>0.75</v>
      </c>
      <c r="K69" s="100">
        <v>274.95</v>
      </c>
      <c r="L69" s="100">
        <v>32.83</v>
      </c>
      <c r="M69" s="100">
        <v>33.590000000000003</v>
      </c>
      <c r="N69" s="100">
        <v>91.2</v>
      </c>
      <c r="O69" s="100">
        <v>0</v>
      </c>
      <c r="P69" s="100">
        <v>0.88</v>
      </c>
      <c r="Q69" s="100">
        <v>12.92</v>
      </c>
      <c r="R69" s="6"/>
      <c r="S69" s="6"/>
      <c r="T69" s="156"/>
      <c r="U69" s="6"/>
    </row>
    <row r="70" spans="1:21" customFormat="1">
      <c r="A70" s="163" t="s">
        <v>1356</v>
      </c>
      <c r="B70" s="100">
        <v>3.78</v>
      </c>
      <c r="C70" s="100">
        <v>21.33</v>
      </c>
      <c r="D70" s="100">
        <v>15.52</v>
      </c>
      <c r="E70" s="100">
        <v>16.57</v>
      </c>
      <c r="F70" s="152" t="s">
        <v>15</v>
      </c>
      <c r="G70" s="100">
        <v>69.599999999999994</v>
      </c>
      <c r="H70" s="100">
        <v>30.21</v>
      </c>
      <c r="I70" s="100">
        <v>10.93</v>
      </c>
      <c r="J70" s="100">
        <v>0.97</v>
      </c>
      <c r="K70" s="100">
        <v>289.5</v>
      </c>
      <c r="L70" s="100">
        <v>33.049999999999997</v>
      </c>
      <c r="M70" s="100">
        <v>31.93</v>
      </c>
      <c r="N70" s="100">
        <v>90.4</v>
      </c>
      <c r="O70" s="100">
        <v>0</v>
      </c>
      <c r="P70" s="100">
        <v>0.85</v>
      </c>
      <c r="Q70" s="100">
        <v>12.93</v>
      </c>
      <c r="R70" s="6"/>
      <c r="S70" s="6"/>
      <c r="T70" s="156"/>
      <c r="U70" s="6"/>
    </row>
    <row r="71" spans="1:21" customFormat="1">
      <c r="A71" s="163" t="s">
        <v>1357</v>
      </c>
      <c r="B71" s="100">
        <v>3.89</v>
      </c>
      <c r="C71" s="100">
        <v>21.01</v>
      </c>
      <c r="D71" s="100">
        <v>15.45</v>
      </c>
      <c r="E71" s="100">
        <v>15.07</v>
      </c>
      <c r="F71" s="152" t="s">
        <v>15</v>
      </c>
      <c r="G71" s="100">
        <v>69.52</v>
      </c>
      <c r="H71" s="100">
        <v>30.28</v>
      </c>
      <c r="I71" s="100">
        <v>10.61</v>
      </c>
      <c r="J71" s="100">
        <v>1.25</v>
      </c>
      <c r="K71" s="100">
        <v>295.02999999999997</v>
      </c>
      <c r="L71" s="100">
        <v>32.76</v>
      </c>
      <c r="M71" s="100">
        <v>29.9</v>
      </c>
      <c r="N71" s="100">
        <v>62.3</v>
      </c>
      <c r="O71" s="100">
        <v>0</v>
      </c>
      <c r="P71" s="100">
        <v>0.84</v>
      </c>
      <c r="Q71" s="100">
        <v>12.93</v>
      </c>
      <c r="R71" s="6"/>
      <c r="S71" s="6"/>
      <c r="T71" s="156"/>
      <c r="U71" s="6"/>
    </row>
    <row r="72" spans="1:21" customFormat="1">
      <c r="A72" s="163" t="s">
        <v>1358</v>
      </c>
      <c r="B72" s="100">
        <v>3.95</v>
      </c>
      <c r="C72" s="100">
        <v>21.15</v>
      </c>
      <c r="D72" s="100">
        <v>15.57</v>
      </c>
      <c r="E72" s="100">
        <v>16.16</v>
      </c>
      <c r="F72" s="152" t="s">
        <v>15</v>
      </c>
      <c r="G72" s="100">
        <v>67.86</v>
      </c>
      <c r="H72" s="100">
        <v>32.53</v>
      </c>
      <c r="I72" s="100">
        <v>10.27</v>
      </c>
      <c r="J72" s="100">
        <v>1.24</v>
      </c>
      <c r="K72" s="100">
        <v>301.24</v>
      </c>
      <c r="L72" s="100">
        <v>32.65</v>
      </c>
      <c r="M72" s="100">
        <v>31.05</v>
      </c>
      <c r="N72" s="100">
        <v>64</v>
      </c>
      <c r="O72" s="100">
        <v>0</v>
      </c>
      <c r="P72" s="100">
        <v>0.83</v>
      </c>
      <c r="Q72" s="100">
        <v>12.94</v>
      </c>
      <c r="R72" s="6"/>
      <c r="S72" s="6"/>
      <c r="T72" s="156"/>
      <c r="U72" s="6"/>
    </row>
    <row r="73" spans="1:21" customFormat="1">
      <c r="A73" s="163" t="s">
        <v>1359</v>
      </c>
      <c r="B73" s="100">
        <v>4.05</v>
      </c>
      <c r="C73" s="100">
        <v>21.24</v>
      </c>
      <c r="D73" s="100">
        <v>15.69</v>
      </c>
      <c r="E73" s="100">
        <v>14.49</v>
      </c>
      <c r="F73" s="152" t="s">
        <v>15</v>
      </c>
      <c r="G73" s="100">
        <v>67.86</v>
      </c>
      <c r="H73" s="100">
        <v>32.53</v>
      </c>
      <c r="I73" s="100">
        <v>10.039999999999999</v>
      </c>
      <c r="J73" s="100">
        <v>1.05</v>
      </c>
      <c r="K73" s="100">
        <v>287.43</v>
      </c>
      <c r="L73" s="100">
        <v>32.4</v>
      </c>
      <c r="M73" s="100">
        <v>28.24</v>
      </c>
      <c r="N73" s="100">
        <v>54</v>
      </c>
      <c r="O73" s="100">
        <v>0</v>
      </c>
      <c r="P73" s="100">
        <v>0.82</v>
      </c>
      <c r="Q73" s="100">
        <v>12.92</v>
      </c>
      <c r="R73" s="6"/>
      <c r="S73" s="6"/>
      <c r="T73" s="156"/>
      <c r="U73" s="6"/>
    </row>
    <row r="74" spans="1:21" customFormat="1">
      <c r="A74" s="163" t="s">
        <v>1360</v>
      </c>
      <c r="B74" s="100">
        <v>4.0599999999999996</v>
      </c>
      <c r="C74" s="100">
        <v>21</v>
      </c>
      <c r="D74" s="100">
        <v>15.58</v>
      </c>
      <c r="E74" s="100">
        <v>16.37</v>
      </c>
      <c r="F74" s="152" t="s">
        <v>15</v>
      </c>
      <c r="G74" s="100">
        <v>67.86</v>
      </c>
      <c r="H74" s="100">
        <v>32.53</v>
      </c>
      <c r="I74" s="100">
        <v>9.74</v>
      </c>
      <c r="J74" s="100">
        <v>1.1499999999999999</v>
      </c>
      <c r="K74" s="100">
        <v>305.14</v>
      </c>
      <c r="L74" s="100">
        <v>32.21</v>
      </c>
      <c r="M74" s="100">
        <v>32.1</v>
      </c>
      <c r="N74" s="100">
        <v>48.8</v>
      </c>
      <c r="O74" s="100">
        <v>0</v>
      </c>
      <c r="P74" s="100">
        <v>0.8</v>
      </c>
      <c r="Q74" s="100">
        <v>12.92</v>
      </c>
      <c r="R74" s="6"/>
      <c r="S74" s="6"/>
      <c r="T74" s="156"/>
      <c r="U74" s="6"/>
    </row>
    <row r="75" spans="1:21" customFormat="1">
      <c r="A75" s="163" t="s">
        <v>1361</v>
      </c>
      <c r="B75" s="100">
        <v>4.08</v>
      </c>
      <c r="C75" s="100">
        <v>20.99</v>
      </c>
      <c r="D75" s="100">
        <v>15.59</v>
      </c>
      <c r="E75" s="100">
        <v>17.079999999999998</v>
      </c>
      <c r="F75" s="152" t="s">
        <v>15</v>
      </c>
      <c r="G75" s="100">
        <v>67.41</v>
      </c>
      <c r="H75" s="100">
        <v>32.54</v>
      </c>
      <c r="I75" s="100">
        <v>9.48</v>
      </c>
      <c r="J75" s="100">
        <v>0.98</v>
      </c>
      <c r="K75" s="100">
        <v>303.14</v>
      </c>
      <c r="L75" s="100">
        <v>32.11</v>
      </c>
      <c r="M75" s="100">
        <v>32.340000000000003</v>
      </c>
      <c r="N75" s="100">
        <v>43.2</v>
      </c>
      <c r="O75" s="100">
        <v>0</v>
      </c>
      <c r="P75" s="100">
        <v>0.79</v>
      </c>
      <c r="Q75" s="100">
        <v>12.9</v>
      </c>
      <c r="R75" s="6"/>
      <c r="S75" s="6"/>
      <c r="T75" s="156"/>
      <c r="U75" s="6"/>
    </row>
    <row r="76" spans="1:21" customFormat="1">
      <c r="A76" s="163" t="s">
        <v>1362</v>
      </c>
      <c r="B76" s="100">
        <v>4.1100000000000003</v>
      </c>
      <c r="C76" s="100">
        <v>21.17</v>
      </c>
      <c r="D76" s="100">
        <v>15.71</v>
      </c>
      <c r="E76" s="100">
        <v>16.329999999999998</v>
      </c>
      <c r="F76" s="152" t="s">
        <v>15</v>
      </c>
      <c r="G76" s="100">
        <v>57.78</v>
      </c>
      <c r="H76" s="100">
        <v>33.07</v>
      </c>
      <c r="I76" s="100">
        <v>9.23</v>
      </c>
      <c r="J76" s="100">
        <v>1.2</v>
      </c>
      <c r="K76" s="100">
        <v>306.31</v>
      </c>
      <c r="L76" s="100">
        <v>31.9</v>
      </c>
      <c r="M76" s="100">
        <v>32.04</v>
      </c>
      <c r="N76" s="100">
        <v>29.9</v>
      </c>
      <c r="O76" s="100">
        <v>0</v>
      </c>
      <c r="P76" s="100">
        <v>0.8</v>
      </c>
      <c r="Q76" s="100">
        <v>12.92</v>
      </c>
      <c r="R76" s="6"/>
      <c r="S76" s="6"/>
      <c r="T76" s="156"/>
      <c r="U76" s="6"/>
    </row>
    <row r="77" spans="1:21" customFormat="1">
      <c r="A77" s="163" t="s">
        <v>1363</v>
      </c>
      <c r="B77" s="100">
        <v>4.17</v>
      </c>
      <c r="C77" s="100">
        <v>21.35</v>
      </c>
      <c r="D77" s="100">
        <v>15.85</v>
      </c>
      <c r="E77" s="100">
        <v>17.16</v>
      </c>
      <c r="F77" s="152" t="s">
        <v>15</v>
      </c>
      <c r="G77" s="100">
        <v>57.78</v>
      </c>
      <c r="H77" s="100">
        <v>33.07</v>
      </c>
      <c r="I77" s="100">
        <v>8.92</v>
      </c>
      <c r="J77" s="100">
        <v>0.87</v>
      </c>
      <c r="K77" s="100">
        <v>301.64</v>
      </c>
      <c r="L77" s="100">
        <v>31.51</v>
      </c>
      <c r="M77" s="100">
        <v>32.78</v>
      </c>
      <c r="N77" s="100">
        <v>19.3</v>
      </c>
      <c r="O77" s="100">
        <v>0</v>
      </c>
      <c r="P77" s="100">
        <v>0.79</v>
      </c>
      <c r="Q77" s="100">
        <v>12.93</v>
      </c>
      <c r="R77" s="6"/>
      <c r="S77" s="6"/>
      <c r="T77" s="156"/>
      <c r="U77" s="6"/>
    </row>
    <row r="78" spans="1:21" customFormat="1">
      <c r="A78" s="163" t="s">
        <v>1364</v>
      </c>
      <c r="B78" s="100">
        <v>4.25</v>
      </c>
      <c r="C78" s="100">
        <v>21.42</v>
      </c>
      <c r="D78" s="100">
        <v>15.95</v>
      </c>
      <c r="E78" s="100">
        <v>15.18</v>
      </c>
      <c r="F78" s="152" t="s">
        <v>15</v>
      </c>
      <c r="G78" s="100">
        <v>57.78</v>
      </c>
      <c r="H78" s="100">
        <v>33.07</v>
      </c>
      <c r="I78" s="100">
        <v>8.73</v>
      </c>
      <c r="J78" s="100">
        <v>1.1399999999999999</v>
      </c>
      <c r="K78" s="100">
        <v>307.79000000000002</v>
      </c>
      <c r="L78" s="100">
        <v>31.39</v>
      </c>
      <c r="M78" s="100">
        <v>30.28</v>
      </c>
      <c r="N78" s="100">
        <v>13.7</v>
      </c>
      <c r="O78" s="100">
        <v>0</v>
      </c>
      <c r="P78" s="100">
        <v>0.8</v>
      </c>
      <c r="Q78" s="100">
        <v>12.93</v>
      </c>
      <c r="R78" s="6"/>
      <c r="S78" s="6"/>
      <c r="T78" s="156"/>
      <c r="U78" s="6"/>
    </row>
    <row r="79" spans="1:21" customFormat="1">
      <c r="A79" s="163" t="s">
        <v>1365</v>
      </c>
      <c r="B79" s="100">
        <v>4.4400000000000004</v>
      </c>
      <c r="C79" s="100">
        <v>21.79</v>
      </c>
      <c r="D79" s="100">
        <v>16.3</v>
      </c>
      <c r="E79" s="100">
        <v>16.34</v>
      </c>
      <c r="F79" s="152" t="s">
        <v>15</v>
      </c>
      <c r="G79" s="100">
        <v>57.96</v>
      </c>
      <c r="H79" s="100">
        <v>32.869999999999997</v>
      </c>
      <c r="I79" s="100">
        <v>8.66</v>
      </c>
      <c r="J79" s="100">
        <v>0.76</v>
      </c>
      <c r="K79" s="100">
        <v>310.04000000000002</v>
      </c>
      <c r="L79" s="100">
        <v>30.99</v>
      </c>
      <c r="M79" s="100">
        <v>31.56</v>
      </c>
      <c r="N79" s="100">
        <v>7.8</v>
      </c>
      <c r="O79" s="100">
        <v>0</v>
      </c>
      <c r="P79" s="100">
        <v>0.82</v>
      </c>
      <c r="Q79" s="100">
        <v>12.93</v>
      </c>
      <c r="R79" s="6"/>
      <c r="S79" s="6"/>
      <c r="T79" s="156"/>
      <c r="U79" s="6"/>
    </row>
    <row r="80" spans="1:21" customFormat="1">
      <c r="A80" s="163" t="s">
        <v>1366</v>
      </c>
      <c r="B80" s="100">
        <v>4.6500000000000004</v>
      </c>
      <c r="C80" s="100">
        <v>22.12</v>
      </c>
      <c r="D80" s="100">
        <v>16.64</v>
      </c>
      <c r="E80" s="100">
        <v>16.329999999999998</v>
      </c>
      <c r="F80" s="152" t="s">
        <v>15</v>
      </c>
      <c r="G80" s="100">
        <v>61.82</v>
      </c>
      <c r="H80" s="100">
        <v>26.43</v>
      </c>
      <c r="I80" s="100">
        <v>8.67</v>
      </c>
      <c r="J80" s="100">
        <v>0.44</v>
      </c>
      <c r="K80" s="100">
        <v>299.3</v>
      </c>
      <c r="L80" s="100">
        <v>30.27</v>
      </c>
      <c r="M80" s="100">
        <v>34.130000000000003</v>
      </c>
      <c r="N80" s="100">
        <v>3.4</v>
      </c>
      <c r="O80" s="100">
        <v>0</v>
      </c>
      <c r="P80" s="100">
        <v>0.81</v>
      </c>
      <c r="Q80" s="100">
        <v>12.92</v>
      </c>
      <c r="R80" s="6"/>
      <c r="S80" s="6"/>
      <c r="T80" s="156"/>
      <c r="U80" s="6"/>
    </row>
    <row r="81" spans="1:21" customFormat="1">
      <c r="A81" s="163" t="s">
        <v>1367</v>
      </c>
      <c r="B81" s="100">
        <v>4.8099999999999996</v>
      </c>
      <c r="C81" s="100">
        <v>22.51</v>
      </c>
      <c r="D81" s="100">
        <v>16.97</v>
      </c>
      <c r="E81" s="100">
        <v>11.9</v>
      </c>
      <c r="F81" s="152" t="s">
        <v>15</v>
      </c>
      <c r="G81" s="100">
        <v>61.82</v>
      </c>
      <c r="H81" s="100">
        <v>26.43</v>
      </c>
      <c r="I81" s="100">
        <v>8.43</v>
      </c>
      <c r="J81" s="100">
        <v>0.17</v>
      </c>
      <c r="K81" s="100">
        <v>251.39</v>
      </c>
      <c r="L81" s="100">
        <v>29.66</v>
      </c>
      <c r="M81" s="100">
        <v>36.19</v>
      </c>
      <c r="N81" s="100">
        <v>2</v>
      </c>
      <c r="O81" s="100">
        <v>0</v>
      </c>
      <c r="P81" s="100">
        <v>0.82</v>
      </c>
      <c r="Q81" s="100">
        <v>12.93</v>
      </c>
      <c r="R81" s="6"/>
      <c r="S81" s="6"/>
      <c r="T81" s="156"/>
      <c r="U81" s="6"/>
    </row>
    <row r="82" spans="1:21" customFormat="1">
      <c r="A82" s="163" t="s">
        <v>1368</v>
      </c>
      <c r="B82" s="100">
        <v>4.9400000000000004</v>
      </c>
      <c r="C82" s="100">
        <v>22.57</v>
      </c>
      <c r="D82" s="100">
        <v>17.100000000000001</v>
      </c>
      <c r="E82" s="100">
        <v>13.65</v>
      </c>
      <c r="F82" s="152" t="s">
        <v>15</v>
      </c>
      <c r="G82" s="100">
        <v>61.82</v>
      </c>
      <c r="H82" s="100">
        <v>26.43</v>
      </c>
      <c r="I82" s="100">
        <v>8.61</v>
      </c>
      <c r="J82" s="100">
        <v>0.21</v>
      </c>
      <c r="K82" s="100">
        <v>176.81</v>
      </c>
      <c r="L82" s="100">
        <v>28.71</v>
      </c>
      <c r="M82" s="100">
        <v>39.270000000000003</v>
      </c>
      <c r="N82" s="100">
        <v>1.9</v>
      </c>
      <c r="O82" s="100">
        <v>0</v>
      </c>
      <c r="P82" s="100">
        <v>0.82</v>
      </c>
      <c r="Q82" s="100">
        <v>12.93</v>
      </c>
      <c r="R82" s="6"/>
      <c r="S82" s="6"/>
      <c r="T82" s="156"/>
      <c r="U82" s="6"/>
    </row>
    <row r="83" spans="1:21" customFormat="1">
      <c r="A83" s="163" t="s">
        <v>1369</v>
      </c>
      <c r="B83" s="100">
        <v>5.08</v>
      </c>
      <c r="C83" s="100">
        <v>22.65</v>
      </c>
      <c r="D83" s="100">
        <v>17.260000000000002</v>
      </c>
      <c r="E83" s="100">
        <v>12.29</v>
      </c>
      <c r="F83" s="152" t="s">
        <v>15</v>
      </c>
      <c r="G83" s="100">
        <v>61.9</v>
      </c>
      <c r="H83" s="100">
        <v>26.46</v>
      </c>
      <c r="I83" s="100">
        <v>8.74</v>
      </c>
      <c r="J83" s="100">
        <v>0.35</v>
      </c>
      <c r="K83" s="100">
        <v>171.66</v>
      </c>
      <c r="L83" s="100">
        <v>27.77</v>
      </c>
      <c r="M83" s="100">
        <v>45.46</v>
      </c>
      <c r="N83" s="100">
        <v>1.9</v>
      </c>
      <c r="O83" s="100">
        <v>0</v>
      </c>
      <c r="P83" s="100">
        <v>0.84</v>
      </c>
      <c r="Q83" s="100">
        <v>12.92</v>
      </c>
      <c r="R83" s="6"/>
      <c r="S83" s="6"/>
      <c r="T83" s="156"/>
      <c r="U83" s="6"/>
    </row>
    <row r="84" spans="1:21" customFormat="1">
      <c r="A84" s="163" t="s">
        <v>1370</v>
      </c>
      <c r="B84" s="100">
        <v>5.26</v>
      </c>
      <c r="C84" s="100">
        <v>22.52</v>
      </c>
      <c r="D84" s="100">
        <v>17.34</v>
      </c>
      <c r="E84" s="100">
        <v>11.36</v>
      </c>
      <c r="F84" s="152" t="s">
        <v>15</v>
      </c>
      <c r="G84" s="100">
        <v>63.74</v>
      </c>
      <c r="H84" s="100">
        <v>27.61</v>
      </c>
      <c r="I84" s="100">
        <v>8.75</v>
      </c>
      <c r="J84" s="100">
        <v>0.22</v>
      </c>
      <c r="K84" s="100">
        <v>174.17</v>
      </c>
      <c r="L84" s="100">
        <v>26.72</v>
      </c>
      <c r="M84" s="100">
        <v>51.44</v>
      </c>
      <c r="N84" s="100">
        <v>2</v>
      </c>
      <c r="O84" s="100">
        <v>0</v>
      </c>
      <c r="P84" s="100">
        <v>0.84</v>
      </c>
      <c r="Q84" s="100">
        <v>12.93</v>
      </c>
      <c r="R84" s="6"/>
      <c r="S84" s="6"/>
      <c r="T84" s="156"/>
      <c r="U84" s="6"/>
    </row>
    <row r="85" spans="1:21" customFormat="1">
      <c r="A85" s="163" t="s">
        <v>1371</v>
      </c>
      <c r="B85" s="100">
        <v>5.48</v>
      </c>
      <c r="C85" s="100">
        <v>22.37</v>
      </c>
      <c r="D85" s="100">
        <v>17.43</v>
      </c>
      <c r="E85" s="100">
        <v>11.4</v>
      </c>
      <c r="F85" s="152" t="s">
        <v>15</v>
      </c>
      <c r="G85" s="100">
        <v>63.74</v>
      </c>
      <c r="H85" s="100">
        <v>27.61</v>
      </c>
      <c r="I85" s="100">
        <v>8.8800000000000008</v>
      </c>
      <c r="J85" s="100">
        <v>0.25</v>
      </c>
      <c r="K85" s="100">
        <v>163.93</v>
      </c>
      <c r="L85" s="100">
        <v>26.08</v>
      </c>
      <c r="M85" s="100">
        <v>53.61</v>
      </c>
      <c r="N85" s="100">
        <v>1.6</v>
      </c>
      <c r="O85" s="100">
        <v>0</v>
      </c>
      <c r="P85" s="100">
        <v>0.86</v>
      </c>
      <c r="Q85" s="100">
        <v>12.93</v>
      </c>
      <c r="R85" s="6"/>
      <c r="S85" s="6"/>
      <c r="T85" s="156"/>
      <c r="U85" s="6"/>
    </row>
    <row r="86" spans="1:21" customFormat="1">
      <c r="A86" s="163" t="s">
        <v>1372</v>
      </c>
      <c r="B86" s="100">
        <v>5.72</v>
      </c>
      <c r="C86" s="100">
        <v>21.53</v>
      </c>
      <c r="D86" s="100">
        <v>17.190000000000001</v>
      </c>
      <c r="E86" s="100">
        <v>11.03</v>
      </c>
      <c r="F86" s="152" t="s">
        <v>15</v>
      </c>
      <c r="G86" s="100">
        <v>63.74</v>
      </c>
      <c r="H86" s="100">
        <v>27.61</v>
      </c>
      <c r="I86" s="100">
        <v>9.27</v>
      </c>
      <c r="J86" s="100">
        <v>0.24</v>
      </c>
      <c r="K86" s="100">
        <v>191.04</v>
      </c>
      <c r="L86" s="100">
        <v>25.67</v>
      </c>
      <c r="M86" s="100">
        <v>57.34</v>
      </c>
      <c r="N86" s="100">
        <v>1.6</v>
      </c>
      <c r="O86" s="100">
        <v>0</v>
      </c>
      <c r="P86" s="100">
        <v>0.81</v>
      </c>
      <c r="Q86" s="100">
        <v>12.93</v>
      </c>
      <c r="R86" s="6"/>
      <c r="S86" s="6"/>
      <c r="T86" s="156"/>
      <c r="U86" s="6"/>
    </row>
    <row r="87" spans="1:21" customFormat="1">
      <c r="A87" s="163" t="s">
        <v>1373</v>
      </c>
      <c r="B87" s="100">
        <v>5.67</v>
      </c>
      <c r="C87" s="100">
        <v>21.57</v>
      </c>
      <c r="D87" s="100">
        <v>17.170000000000002</v>
      </c>
      <c r="E87" s="100">
        <v>10.98</v>
      </c>
      <c r="F87" s="152" t="s">
        <v>15</v>
      </c>
      <c r="G87" s="100">
        <v>64.56</v>
      </c>
      <c r="H87" s="100">
        <v>28.08</v>
      </c>
      <c r="I87" s="100">
        <v>9.4</v>
      </c>
      <c r="J87" s="100">
        <v>0.2</v>
      </c>
      <c r="K87" s="100">
        <v>182.49</v>
      </c>
      <c r="L87" s="100">
        <v>25.35</v>
      </c>
      <c r="M87" s="100">
        <v>56.45</v>
      </c>
      <c r="N87" s="100">
        <v>1.4</v>
      </c>
      <c r="O87" s="100">
        <v>0</v>
      </c>
      <c r="P87" s="100">
        <v>0.8</v>
      </c>
      <c r="Q87" s="100">
        <v>12.94</v>
      </c>
      <c r="R87" s="6"/>
      <c r="S87" s="6"/>
      <c r="T87" s="156"/>
      <c r="U87" s="6"/>
    </row>
    <row r="88" spans="1:21" customFormat="1">
      <c r="A88" s="163" t="s">
        <v>1374</v>
      </c>
      <c r="B88" s="100">
        <v>5.62</v>
      </c>
      <c r="C88" s="100">
        <v>21.75</v>
      </c>
      <c r="D88" s="100">
        <v>17.22</v>
      </c>
      <c r="E88" s="100">
        <v>10.69</v>
      </c>
      <c r="F88" s="152" t="s">
        <v>15</v>
      </c>
      <c r="G88" s="100">
        <v>88.15</v>
      </c>
      <c r="H88" s="100">
        <v>42.93</v>
      </c>
      <c r="I88" s="100">
        <v>9.49</v>
      </c>
      <c r="J88" s="100">
        <v>0.23</v>
      </c>
      <c r="K88" s="100">
        <v>214.86</v>
      </c>
      <c r="L88" s="100">
        <v>24.84</v>
      </c>
      <c r="M88" s="100">
        <v>57.47</v>
      </c>
      <c r="N88" s="100">
        <v>1.6</v>
      </c>
      <c r="O88" s="100">
        <v>0</v>
      </c>
      <c r="P88" s="100">
        <v>0.82</v>
      </c>
      <c r="Q88" s="100">
        <v>12.93</v>
      </c>
      <c r="R88" s="6"/>
      <c r="S88" s="6"/>
      <c r="T88" s="156"/>
      <c r="U88" s="6"/>
    </row>
    <row r="89" spans="1:21" customFormat="1">
      <c r="A89" s="163" t="s">
        <v>1375</v>
      </c>
      <c r="B89" s="100">
        <v>5.64</v>
      </c>
      <c r="C89" s="100">
        <v>21.9</v>
      </c>
      <c r="D89" s="100">
        <v>17.32</v>
      </c>
      <c r="E89" s="100">
        <v>10.77</v>
      </c>
      <c r="F89" s="152" t="s">
        <v>15</v>
      </c>
      <c r="G89" s="100">
        <v>88.15</v>
      </c>
      <c r="H89" s="100">
        <v>42.93</v>
      </c>
      <c r="I89" s="100">
        <v>9.68</v>
      </c>
      <c r="J89" s="100">
        <v>0.17</v>
      </c>
      <c r="K89" s="100">
        <v>190</v>
      </c>
      <c r="L89" s="100">
        <v>24.59</v>
      </c>
      <c r="M89" s="100">
        <v>57.44</v>
      </c>
      <c r="N89" s="100">
        <v>1.2</v>
      </c>
      <c r="O89" s="100">
        <v>0</v>
      </c>
      <c r="P89" s="100">
        <v>0.84</v>
      </c>
      <c r="Q89" s="100">
        <v>12.94</v>
      </c>
      <c r="R89" s="6"/>
      <c r="S89" s="6"/>
      <c r="T89" s="156"/>
      <c r="U89" s="6"/>
    </row>
    <row r="90" spans="1:21" customFormat="1">
      <c r="A90" s="163" t="s">
        <v>1376</v>
      </c>
      <c r="B90" s="100">
        <v>5.61</v>
      </c>
      <c r="C90" s="100">
        <v>22</v>
      </c>
      <c r="D90" s="100">
        <v>17.34</v>
      </c>
      <c r="E90" s="100">
        <v>10.76</v>
      </c>
      <c r="F90" s="152" t="s">
        <v>15</v>
      </c>
      <c r="G90" s="100">
        <v>88.15</v>
      </c>
      <c r="H90" s="100">
        <v>42.93</v>
      </c>
      <c r="I90" s="100">
        <v>9.77</v>
      </c>
      <c r="J90" s="100">
        <v>0.16</v>
      </c>
      <c r="K90" s="100">
        <v>175.95</v>
      </c>
      <c r="L90" s="100">
        <v>24.58</v>
      </c>
      <c r="M90" s="100">
        <v>57.74</v>
      </c>
      <c r="N90" s="100">
        <v>1.1000000000000001</v>
      </c>
      <c r="O90" s="100">
        <v>0</v>
      </c>
      <c r="P90" s="100">
        <v>0.86</v>
      </c>
      <c r="Q90" s="100">
        <v>12.93</v>
      </c>
      <c r="R90" s="6"/>
      <c r="S90" s="6"/>
      <c r="T90" s="156"/>
      <c r="U90" s="6"/>
    </row>
    <row r="91" spans="1:21" customFormat="1">
      <c r="A91" s="163" t="s">
        <v>1377</v>
      </c>
      <c r="B91" s="100">
        <v>5.66</v>
      </c>
      <c r="C91" s="100">
        <v>22.09</v>
      </c>
      <c r="D91" s="100">
        <v>17.43</v>
      </c>
      <c r="E91" s="100">
        <v>10.85</v>
      </c>
      <c r="F91" s="152" t="s">
        <v>15</v>
      </c>
      <c r="G91" s="100">
        <v>88.47</v>
      </c>
      <c r="H91" s="100">
        <v>42.94</v>
      </c>
      <c r="I91" s="100">
        <v>10.02</v>
      </c>
      <c r="J91" s="100">
        <v>0.11</v>
      </c>
      <c r="K91" s="100">
        <v>179.52</v>
      </c>
      <c r="L91" s="100">
        <v>24.25</v>
      </c>
      <c r="M91" s="100">
        <v>60.48</v>
      </c>
      <c r="N91" s="100">
        <v>1.3</v>
      </c>
      <c r="O91" s="100">
        <v>0</v>
      </c>
      <c r="P91" s="100">
        <v>0.89</v>
      </c>
      <c r="Q91" s="100">
        <v>12.93</v>
      </c>
      <c r="R91" s="6"/>
      <c r="S91" s="6"/>
      <c r="T91" s="156"/>
      <c r="U91" s="6"/>
    </row>
    <row r="92" spans="1:21" customFormat="1">
      <c r="A92" s="163" t="s">
        <v>1378</v>
      </c>
      <c r="B92" s="100">
        <v>5.72</v>
      </c>
      <c r="C92" s="100">
        <v>22.17</v>
      </c>
      <c r="D92" s="100">
        <v>17.53</v>
      </c>
      <c r="E92" s="100">
        <v>10.99</v>
      </c>
      <c r="F92" s="152" t="s">
        <v>15</v>
      </c>
      <c r="G92" s="100">
        <v>95.28</v>
      </c>
      <c r="H92" s="100">
        <v>43.23</v>
      </c>
      <c r="I92" s="100">
        <v>10.49</v>
      </c>
      <c r="J92" s="100">
        <v>0.15</v>
      </c>
      <c r="K92" s="100">
        <v>164.28</v>
      </c>
      <c r="L92" s="100">
        <v>24.06</v>
      </c>
      <c r="M92" s="100">
        <v>61.83</v>
      </c>
      <c r="N92" s="100">
        <v>1.1000000000000001</v>
      </c>
      <c r="O92" s="100">
        <v>0</v>
      </c>
      <c r="P92" s="100">
        <v>0.92</v>
      </c>
      <c r="Q92" s="100">
        <v>12.94</v>
      </c>
      <c r="R92" s="6"/>
      <c r="S92" s="6"/>
      <c r="T92" s="156"/>
      <c r="U92" s="6"/>
    </row>
    <row r="93" spans="1:21" customFormat="1">
      <c r="A93" s="163" t="s">
        <v>1379</v>
      </c>
      <c r="B93" s="100">
        <v>5.75</v>
      </c>
      <c r="C93" s="100">
        <v>22.15</v>
      </c>
      <c r="D93" s="100">
        <v>17.54</v>
      </c>
      <c r="E93" s="100">
        <v>11.24</v>
      </c>
      <c r="F93" s="152" t="s">
        <v>15</v>
      </c>
      <c r="G93" s="100">
        <v>95.28</v>
      </c>
      <c r="H93" s="100">
        <v>43.23</v>
      </c>
      <c r="I93" s="100">
        <v>11.09</v>
      </c>
      <c r="J93" s="100">
        <v>0.17</v>
      </c>
      <c r="K93" s="100">
        <v>173.58</v>
      </c>
      <c r="L93" s="100">
        <v>23.97</v>
      </c>
      <c r="M93" s="100">
        <v>65.52</v>
      </c>
      <c r="N93" s="100">
        <v>1.2</v>
      </c>
      <c r="O93" s="100">
        <v>0</v>
      </c>
      <c r="P93" s="100">
        <v>0.93</v>
      </c>
      <c r="Q93" s="100">
        <v>12.94</v>
      </c>
      <c r="R93" s="6"/>
      <c r="S93" s="6"/>
      <c r="T93" s="156"/>
      <c r="U93" s="6"/>
    </row>
    <row r="94" spans="1:21" customFormat="1">
      <c r="A94" s="163" t="s">
        <v>1380</v>
      </c>
      <c r="B94" s="100">
        <v>5.84</v>
      </c>
      <c r="C94" s="100">
        <v>22</v>
      </c>
      <c r="D94" s="100">
        <v>17.53</v>
      </c>
      <c r="E94" s="100">
        <v>11.16</v>
      </c>
      <c r="F94" s="152" t="s">
        <v>15</v>
      </c>
      <c r="G94" s="100">
        <v>95.28</v>
      </c>
      <c r="H94" s="100">
        <v>43.23</v>
      </c>
      <c r="I94" s="100">
        <v>11.65</v>
      </c>
      <c r="J94" s="100">
        <v>0.14000000000000001</v>
      </c>
      <c r="K94" s="100">
        <v>168.6</v>
      </c>
      <c r="L94" s="100">
        <v>23.67</v>
      </c>
      <c r="M94" s="100">
        <v>65.42</v>
      </c>
      <c r="N94" s="100">
        <v>1.2</v>
      </c>
      <c r="O94" s="100">
        <v>0</v>
      </c>
      <c r="P94" s="100">
        <v>0.96</v>
      </c>
      <c r="Q94" s="100">
        <v>12.94</v>
      </c>
      <c r="R94" s="6"/>
      <c r="S94" s="6"/>
      <c r="T94" s="156"/>
      <c r="U94" s="6"/>
    </row>
    <row r="95" spans="1:21" customFormat="1">
      <c r="A95" s="163" t="s">
        <v>1381</v>
      </c>
      <c r="B95" s="100">
        <v>5.95</v>
      </c>
      <c r="C95" s="100">
        <v>21.84</v>
      </c>
      <c r="D95" s="100">
        <v>17.54</v>
      </c>
      <c r="E95" s="100">
        <v>10.89</v>
      </c>
      <c r="F95" s="152" t="s">
        <v>15</v>
      </c>
      <c r="G95" s="100">
        <v>99.29</v>
      </c>
      <c r="H95" s="100">
        <v>43.67</v>
      </c>
      <c r="I95" s="100">
        <v>12.16</v>
      </c>
      <c r="J95" s="100">
        <v>0.18</v>
      </c>
      <c r="K95" s="100">
        <v>192.87</v>
      </c>
      <c r="L95" s="100">
        <v>23.53</v>
      </c>
      <c r="M95" s="100">
        <v>66.45</v>
      </c>
      <c r="N95" s="100">
        <v>1.2</v>
      </c>
      <c r="O95" s="100">
        <v>0</v>
      </c>
      <c r="P95" s="100">
        <v>0.98</v>
      </c>
      <c r="Q95" s="100">
        <v>12.94</v>
      </c>
      <c r="R95" s="6"/>
      <c r="S95" s="6"/>
      <c r="T95" s="156"/>
      <c r="U95" s="6"/>
    </row>
    <row r="96" spans="1:21" customFormat="1">
      <c r="A96" s="163" t="s">
        <v>1382</v>
      </c>
      <c r="B96" s="100">
        <v>6.07</v>
      </c>
      <c r="C96" s="100">
        <v>21.84</v>
      </c>
      <c r="D96" s="100">
        <v>17.63</v>
      </c>
      <c r="E96" s="100">
        <v>11.07</v>
      </c>
      <c r="F96" s="152" t="s">
        <v>15</v>
      </c>
      <c r="G96" s="100">
        <v>185.6</v>
      </c>
      <c r="H96" s="100">
        <v>57.58</v>
      </c>
      <c r="I96" s="100">
        <v>12.78</v>
      </c>
      <c r="J96" s="100">
        <v>0.13</v>
      </c>
      <c r="K96" s="100">
        <v>168.26</v>
      </c>
      <c r="L96" s="100">
        <v>23.39</v>
      </c>
      <c r="M96" s="100">
        <v>63.06</v>
      </c>
      <c r="N96" s="100">
        <v>1.2</v>
      </c>
      <c r="O96" s="100">
        <v>0</v>
      </c>
      <c r="P96" s="100">
        <v>0.99</v>
      </c>
      <c r="Q96" s="100">
        <v>12.94</v>
      </c>
      <c r="R96" s="6"/>
      <c r="S96" s="6"/>
      <c r="T96" s="156"/>
      <c r="U96" s="6"/>
    </row>
    <row r="97" spans="1:28" customFormat="1">
      <c r="A97" s="163" t="s">
        <v>1383</v>
      </c>
      <c r="B97" s="100">
        <v>6.12</v>
      </c>
      <c r="C97" s="100">
        <v>21.84</v>
      </c>
      <c r="D97" s="100">
        <v>17.670000000000002</v>
      </c>
      <c r="E97" s="100">
        <v>10.99</v>
      </c>
      <c r="F97" s="152" t="s">
        <v>15</v>
      </c>
      <c r="G97" s="100">
        <v>185.6</v>
      </c>
      <c r="H97" s="100">
        <v>57.58</v>
      </c>
      <c r="I97" s="100">
        <v>13.15</v>
      </c>
      <c r="J97" s="100">
        <v>0.19</v>
      </c>
      <c r="K97" s="100">
        <v>150.31</v>
      </c>
      <c r="L97" s="100">
        <v>23.5</v>
      </c>
      <c r="M97" s="100">
        <v>64.209999999999994</v>
      </c>
      <c r="N97" s="100">
        <v>1.2</v>
      </c>
      <c r="O97" s="100">
        <v>0</v>
      </c>
      <c r="P97" s="100">
        <v>0.99</v>
      </c>
      <c r="Q97" s="100">
        <v>12.94</v>
      </c>
      <c r="R97" s="6"/>
      <c r="S97" s="6"/>
      <c r="T97" s="156"/>
      <c r="U97" s="6"/>
    </row>
    <row r="98" spans="1:28" customFormat="1">
      <c r="A98" s="163" t="s">
        <v>1384</v>
      </c>
      <c r="B98" s="100">
        <v>6.15</v>
      </c>
      <c r="C98" s="100">
        <v>21.8</v>
      </c>
      <c r="D98" s="100">
        <v>17.68</v>
      </c>
      <c r="E98" s="100">
        <v>10.74</v>
      </c>
      <c r="F98" s="152" t="s">
        <v>15</v>
      </c>
      <c r="G98" s="100">
        <v>185.6</v>
      </c>
      <c r="H98" s="100">
        <v>57.58</v>
      </c>
      <c r="I98" s="100">
        <v>13.28</v>
      </c>
      <c r="J98" s="100">
        <v>0.17</v>
      </c>
      <c r="K98" s="100">
        <v>169.36</v>
      </c>
      <c r="L98" s="100">
        <v>23.41</v>
      </c>
      <c r="M98" s="100">
        <v>64.61</v>
      </c>
      <c r="N98" s="100">
        <v>1.1000000000000001</v>
      </c>
      <c r="O98" s="100">
        <v>0</v>
      </c>
      <c r="P98" s="100">
        <v>1</v>
      </c>
      <c r="Q98" s="100">
        <v>12.92</v>
      </c>
      <c r="R98" s="6"/>
      <c r="S98" s="6"/>
      <c r="T98" s="156"/>
      <c r="U98" s="6"/>
    </row>
    <row r="99" spans="1:28" customFormat="1">
      <c r="A99" s="163" t="s">
        <v>1385</v>
      </c>
      <c r="B99" s="100">
        <v>6.16</v>
      </c>
      <c r="C99" s="100">
        <v>21.75</v>
      </c>
      <c r="D99" s="100">
        <v>17.66</v>
      </c>
      <c r="E99" s="100">
        <v>10.95</v>
      </c>
      <c r="F99" s="152" t="s">
        <v>15</v>
      </c>
      <c r="G99" s="100">
        <v>181.85</v>
      </c>
      <c r="H99" s="100">
        <v>57.19</v>
      </c>
      <c r="I99" s="100">
        <v>13.45</v>
      </c>
      <c r="J99" s="100">
        <v>0.13</v>
      </c>
      <c r="K99" s="100">
        <v>183.26</v>
      </c>
      <c r="L99" s="100">
        <v>23.27</v>
      </c>
      <c r="M99" s="100">
        <v>65.81</v>
      </c>
      <c r="N99" s="100">
        <v>1.3</v>
      </c>
      <c r="O99" s="100">
        <v>0</v>
      </c>
      <c r="P99" s="100">
        <v>1.01</v>
      </c>
      <c r="Q99" s="100">
        <v>12.93</v>
      </c>
      <c r="R99" s="6"/>
      <c r="S99" s="6"/>
      <c r="T99" s="156"/>
      <c r="U99" s="6"/>
    </row>
    <row r="100" spans="1:28" customFormat="1">
      <c r="A100" s="163" t="s">
        <v>1386</v>
      </c>
      <c r="B100" s="100">
        <v>6.15</v>
      </c>
      <c r="C100" s="100">
        <v>21.68</v>
      </c>
      <c r="D100" s="100">
        <v>17.61</v>
      </c>
      <c r="E100" s="100">
        <v>10.96</v>
      </c>
      <c r="F100" s="152" t="s">
        <v>15</v>
      </c>
      <c r="G100" s="100">
        <v>101.38</v>
      </c>
      <c r="H100" s="100">
        <v>45.08</v>
      </c>
      <c r="I100" s="100">
        <v>13.61</v>
      </c>
      <c r="J100" s="100">
        <v>0.14000000000000001</v>
      </c>
      <c r="K100" s="100">
        <v>174.44</v>
      </c>
      <c r="L100" s="100">
        <v>23.11</v>
      </c>
      <c r="M100" s="100">
        <v>67.97</v>
      </c>
      <c r="N100" s="100">
        <v>1.3</v>
      </c>
      <c r="O100" s="100">
        <v>0</v>
      </c>
      <c r="P100" s="100">
        <v>1</v>
      </c>
      <c r="Q100" s="100">
        <v>12.95</v>
      </c>
      <c r="R100" s="6"/>
      <c r="S100" s="6"/>
      <c r="T100" s="156"/>
      <c r="U100" s="6"/>
      <c r="AB100" s="161"/>
    </row>
    <row r="101" spans="1:28" customFormat="1">
      <c r="A101" s="163" t="s">
        <v>1387</v>
      </c>
      <c r="B101" s="100">
        <v>6.12</v>
      </c>
      <c r="C101" s="100">
        <v>21.55</v>
      </c>
      <c r="D101" s="100">
        <v>17.52</v>
      </c>
      <c r="E101" s="100">
        <v>10.66</v>
      </c>
      <c r="F101" s="152" t="s">
        <v>15</v>
      </c>
      <c r="G101" s="100">
        <v>101.38</v>
      </c>
      <c r="H101" s="100">
        <v>45.08</v>
      </c>
      <c r="I101" s="100">
        <v>13.73</v>
      </c>
      <c r="J101" s="100">
        <v>0.18</v>
      </c>
      <c r="K101" s="100">
        <v>171.22</v>
      </c>
      <c r="L101" s="100">
        <v>23.11</v>
      </c>
      <c r="M101" s="100">
        <v>68.260000000000005</v>
      </c>
      <c r="N101" s="100">
        <v>1.3</v>
      </c>
      <c r="O101" s="100">
        <v>0</v>
      </c>
      <c r="P101" s="100">
        <v>1</v>
      </c>
      <c r="Q101" s="100">
        <v>12.94</v>
      </c>
      <c r="R101" s="6"/>
      <c r="S101" s="6"/>
      <c r="T101" s="156"/>
      <c r="U101" s="6"/>
    </row>
    <row r="102" spans="1:28" customFormat="1">
      <c r="A102" s="163" t="s">
        <v>1388</v>
      </c>
      <c r="B102" s="100">
        <v>6.07</v>
      </c>
      <c r="C102" s="100">
        <v>21.48</v>
      </c>
      <c r="D102" s="100">
        <v>17.440000000000001</v>
      </c>
      <c r="E102" s="100">
        <v>10.94</v>
      </c>
      <c r="F102" s="152" t="s">
        <v>15</v>
      </c>
      <c r="G102" s="100">
        <v>101.38</v>
      </c>
      <c r="H102" s="100">
        <v>45.08</v>
      </c>
      <c r="I102" s="100">
        <v>13.78</v>
      </c>
      <c r="J102" s="100">
        <v>0.1</v>
      </c>
      <c r="K102" s="100">
        <v>211.59</v>
      </c>
      <c r="L102" s="100">
        <v>22.96</v>
      </c>
      <c r="M102" s="100">
        <v>66.760000000000005</v>
      </c>
      <c r="N102" s="100">
        <v>1.4</v>
      </c>
      <c r="O102" s="100">
        <v>0</v>
      </c>
      <c r="P102" s="100">
        <v>1</v>
      </c>
      <c r="Q102" s="100">
        <v>12.93</v>
      </c>
      <c r="R102" s="6"/>
      <c r="S102" s="6"/>
      <c r="T102" s="156"/>
      <c r="U102" s="6"/>
    </row>
    <row r="103" spans="1:28" customFormat="1">
      <c r="A103" s="163" t="s">
        <v>1389</v>
      </c>
      <c r="B103" s="100">
        <v>5.93</v>
      </c>
      <c r="C103" s="100">
        <v>21.46</v>
      </c>
      <c r="D103" s="100">
        <v>17.32</v>
      </c>
      <c r="E103" s="100">
        <v>10.87</v>
      </c>
      <c r="F103" s="152" t="s">
        <v>15</v>
      </c>
      <c r="G103" s="100">
        <v>100.19</v>
      </c>
      <c r="H103" s="100">
        <v>44.93</v>
      </c>
      <c r="I103" s="100">
        <v>13.81</v>
      </c>
      <c r="J103" s="100">
        <v>0.17</v>
      </c>
      <c r="K103" s="100">
        <v>155.81</v>
      </c>
      <c r="L103" s="100">
        <v>23.08</v>
      </c>
      <c r="M103" s="100">
        <v>65.989999999999995</v>
      </c>
      <c r="N103" s="100">
        <v>1.4</v>
      </c>
      <c r="O103" s="100">
        <v>0</v>
      </c>
      <c r="P103" s="100">
        <v>1</v>
      </c>
      <c r="Q103" s="100">
        <v>12.94</v>
      </c>
      <c r="R103" s="6"/>
      <c r="S103" s="6"/>
      <c r="T103" s="156"/>
      <c r="U103" s="6"/>
    </row>
    <row r="104" spans="1:28" customFormat="1">
      <c r="A104" s="163" t="s">
        <v>1390</v>
      </c>
      <c r="B104" s="100">
        <v>5.85</v>
      </c>
      <c r="C104" s="100">
        <v>21.36</v>
      </c>
      <c r="D104" s="100">
        <v>17.2</v>
      </c>
      <c r="E104" s="100">
        <v>11.02</v>
      </c>
      <c r="F104" s="152" t="s">
        <v>15</v>
      </c>
      <c r="G104" s="100">
        <v>74.73</v>
      </c>
      <c r="H104" s="100">
        <v>39.96</v>
      </c>
      <c r="I104" s="100">
        <v>13.8</v>
      </c>
      <c r="J104" s="100">
        <v>0.13</v>
      </c>
      <c r="K104" s="100">
        <v>162.77000000000001</v>
      </c>
      <c r="L104" s="100">
        <v>22.98</v>
      </c>
      <c r="M104" s="100">
        <v>66.66</v>
      </c>
      <c r="N104" s="100">
        <v>1.4</v>
      </c>
      <c r="O104" s="100">
        <v>0</v>
      </c>
      <c r="P104" s="100">
        <v>0.99</v>
      </c>
      <c r="Q104" s="100">
        <v>12.94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3.61</v>
      </c>
      <c r="C106" s="158">
        <f>MIN(C9:C104)</f>
        <v>20.99</v>
      </c>
      <c r="D106" s="158">
        <f t="shared" ref="D106:Q106" si="0">MIN(D9:D104)</f>
        <v>15.45</v>
      </c>
      <c r="E106" s="158">
        <f t="shared" si="0"/>
        <v>7.59</v>
      </c>
      <c r="F106" s="158">
        <f t="shared" si="0"/>
        <v>0</v>
      </c>
      <c r="G106" s="158">
        <f t="shared" si="0"/>
        <v>57.78</v>
      </c>
      <c r="H106" s="158">
        <f t="shared" si="0"/>
        <v>23.21</v>
      </c>
      <c r="I106" s="158">
        <f t="shared" si="0"/>
        <v>8.43</v>
      </c>
      <c r="J106" s="158">
        <f t="shared" si="0"/>
        <v>0.1</v>
      </c>
      <c r="K106" s="158">
        <f t="shared" si="0"/>
        <v>103.33</v>
      </c>
      <c r="L106" s="158">
        <f t="shared" si="0"/>
        <v>18.79</v>
      </c>
      <c r="M106" s="158">
        <f t="shared" si="0"/>
        <v>28.24</v>
      </c>
      <c r="N106" s="158">
        <f t="shared" si="0"/>
        <v>1</v>
      </c>
      <c r="O106" s="158">
        <f t="shared" si="0"/>
        <v>0</v>
      </c>
      <c r="P106" s="158">
        <f t="shared" si="0"/>
        <v>0.79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12.57</v>
      </c>
      <c r="C107" s="157">
        <f t="shared" ref="C107:Q107" si="1">MAX(C9:C104)</f>
        <v>24.68</v>
      </c>
      <c r="D107" s="157">
        <f t="shared" si="1"/>
        <v>23.47</v>
      </c>
      <c r="E107" s="157">
        <f t="shared" si="1"/>
        <v>19.399999999999999</v>
      </c>
      <c r="F107" s="157">
        <f t="shared" si="1"/>
        <v>0</v>
      </c>
      <c r="G107" s="157">
        <f t="shared" si="1"/>
        <v>185.6</v>
      </c>
      <c r="H107" s="157">
        <f t="shared" si="1"/>
        <v>57.58</v>
      </c>
      <c r="I107" s="157">
        <f t="shared" si="1"/>
        <v>14.86</v>
      </c>
      <c r="J107" s="157">
        <f t="shared" si="1"/>
        <v>1.25</v>
      </c>
      <c r="K107" s="157">
        <f t="shared" si="1"/>
        <v>310.04000000000002</v>
      </c>
      <c r="L107" s="157">
        <f t="shared" si="1"/>
        <v>33.81</v>
      </c>
      <c r="M107" s="157">
        <f t="shared" si="1"/>
        <v>79.86</v>
      </c>
      <c r="N107" s="157">
        <f t="shared" si="1"/>
        <v>313.5</v>
      </c>
      <c r="O107" s="157">
        <f t="shared" si="1"/>
        <v>0</v>
      </c>
      <c r="P107" s="157">
        <f t="shared" si="1"/>
        <v>1.1599999999999999</v>
      </c>
      <c r="Q107" s="157">
        <f t="shared" si="1"/>
        <v>13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7.4295833333333343</v>
      </c>
      <c r="C108" s="158">
        <f t="shared" ref="C108:Q108" si="2">AVERAGE(C9:C104)</f>
        <v>22.497187499999999</v>
      </c>
      <c r="D108" s="158">
        <f t="shared" si="2"/>
        <v>19.063645833333329</v>
      </c>
      <c r="E108" s="158">
        <f t="shared" si="2"/>
        <v>11.140729166666667</v>
      </c>
      <c r="F108" s="158" t="e">
        <f t="shared" si="2"/>
        <v>#DIV/0!</v>
      </c>
      <c r="G108" s="158">
        <f t="shared" si="2"/>
        <v>82.809374999999946</v>
      </c>
      <c r="H108" s="158">
        <f t="shared" si="2"/>
        <v>31.866562499999997</v>
      </c>
      <c r="I108" s="158">
        <f t="shared" si="2"/>
        <v>12.530520833333332</v>
      </c>
      <c r="J108" s="158">
        <f t="shared" si="2"/>
        <v>0.43010416666666668</v>
      </c>
      <c r="K108" s="158">
        <f t="shared" si="2"/>
        <v>219.68854166666674</v>
      </c>
      <c r="L108" s="158">
        <f t="shared" si="2"/>
        <v>25.653854166666676</v>
      </c>
      <c r="M108" s="158">
        <f t="shared" si="2"/>
        <v>55.453854166666673</v>
      </c>
      <c r="N108" s="158">
        <f t="shared" si="2"/>
        <v>76.840624999999989</v>
      </c>
      <c r="O108" s="158">
        <f t="shared" si="2"/>
        <v>0</v>
      </c>
      <c r="P108" s="158">
        <f t="shared" si="2"/>
        <v>0.99833333333333307</v>
      </c>
      <c r="Q108" s="158">
        <f t="shared" si="2"/>
        <v>12.949583333333344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3.3158185197836629</v>
      </c>
      <c r="C109" s="158">
        <f t="shared" ref="C109:Q109" si="3">STDEV(C9:C104)</f>
        <v>0.89376990224436093</v>
      </c>
      <c r="D109" s="158">
        <f t="shared" si="3"/>
        <v>2.809957901835495</v>
      </c>
      <c r="E109" s="158">
        <f t="shared" si="3"/>
        <v>2.9134538175385263</v>
      </c>
      <c r="F109" s="158" t="e">
        <f t="shared" si="3"/>
        <v>#DIV/0!</v>
      </c>
      <c r="G109" s="158">
        <f t="shared" si="3"/>
        <v>24.763860927293294</v>
      </c>
      <c r="H109" s="158">
        <f t="shared" si="3"/>
        <v>7.9011583198953943</v>
      </c>
      <c r="I109" s="158">
        <f t="shared" si="3"/>
        <v>1.9468394737121006</v>
      </c>
      <c r="J109" s="158">
        <f t="shared" si="3"/>
        <v>0.34772189368930628</v>
      </c>
      <c r="K109" s="158">
        <f t="shared" si="3"/>
        <v>54.860502712341841</v>
      </c>
      <c r="L109" s="158">
        <f t="shared" si="3"/>
        <v>5.1973982093860585</v>
      </c>
      <c r="M109" s="158">
        <f t="shared" si="3"/>
        <v>16.170948764262487</v>
      </c>
      <c r="N109" s="158">
        <f t="shared" si="3"/>
        <v>111.57191080018868</v>
      </c>
      <c r="O109" s="158">
        <f t="shared" si="3"/>
        <v>0</v>
      </c>
      <c r="P109" s="158">
        <f t="shared" si="3"/>
        <v>0.12637177122048801</v>
      </c>
      <c r="Q109" s="158">
        <f t="shared" si="3"/>
        <v>2.0820873467024294E-2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98" sqref="I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1391</v>
      </c>
      <c r="B9" s="100">
        <v>5.93</v>
      </c>
      <c r="C9" s="100">
        <v>21.19</v>
      </c>
      <c r="D9" s="100">
        <v>17.18</v>
      </c>
      <c r="E9" s="100">
        <v>10.69</v>
      </c>
      <c r="F9" s="152" t="s">
        <v>15</v>
      </c>
      <c r="G9" s="100">
        <v>74.73</v>
      </c>
      <c r="H9" s="100">
        <v>39.96</v>
      </c>
      <c r="I9" s="100">
        <v>13.7</v>
      </c>
      <c r="J9" s="100">
        <v>0.21</v>
      </c>
      <c r="K9" s="100">
        <v>161.37</v>
      </c>
      <c r="L9" s="100">
        <v>23.01</v>
      </c>
      <c r="M9" s="100">
        <v>66.75</v>
      </c>
      <c r="N9" s="100">
        <v>1.3</v>
      </c>
      <c r="O9" s="100">
        <v>0</v>
      </c>
      <c r="P9" s="100">
        <v>0.98</v>
      </c>
      <c r="Q9" s="100">
        <v>12.92</v>
      </c>
      <c r="R9" s="6"/>
      <c r="S9" s="6"/>
      <c r="T9" s="156"/>
      <c r="U9" s="6"/>
    </row>
    <row r="10" spans="1:21" customFormat="1">
      <c r="A10" s="163" t="s">
        <v>1392</v>
      </c>
      <c r="B10" s="100">
        <v>5.96</v>
      </c>
      <c r="C10" s="100">
        <v>21.45</v>
      </c>
      <c r="D10" s="100">
        <v>17.329999999999998</v>
      </c>
      <c r="E10" s="100">
        <v>10.99</v>
      </c>
      <c r="F10" s="152" t="s">
        <v>15</v>
      </c>
      <c r="G10" s="100">
        <v>74.73</v>
      </c>
      <c r="H10" s="100">
        <v>39.96</v>
      </c>
      <c r="I10" s="100">
        <v>13.69</v>
      </c>
      <c r="J10" s="100">
        <v>0.18</v>
      </c>
      <c r="K10" s="100">
        <v>153.05000000000001</v>
      </c>
      <c r="L10" s="100">
        <v>22.9</v>
      </c>
      <c r="M10" s="100">
        <v>66.260000000000005</v>
      </c>
      <c r="N10" s="100">
        <v>1.4</v>
      </c>
      <c r="O10" s="100">
        <v>0</v>
      </c>
      <c r="P10" s="100">
        <v>1</v>
      </c>
      <c r="Q10" s="100">
        <v>12.93</v>
      </c>
      <c r="R10" s="6"/>
      <c r="S10" s="6"/>
      <c r="T10" s="156"/>
      <c r="U10" s="6"/>
    </row>
    <row r="11" spans="1:21" customFormat="1">
      <c r="A11" s="163" t="s">
        <v>1393</v>
      </c>
      <c r="B11" s="100">
        <v>6.26</v>
      </c>
      <c r="C11" s="100">
        <v>21.53</v>
      </c>
      <c r="D11" s="100">
        <v>17.62</v>
      </c>
      <c r="E11" s="100">
        <v>10.67</v>
      </c>
      <c r="F11" s="152" t="s">
        <v>15</v>
      </c>
      <c r="G11" s="100">
        <v>75.680000000000007</v>
      </c>
      <c r="H11" s="100">
        <v>39.92</v>
      </c>
      <c r="I11" s="100">
        <v>13.69</v>
      </c>
      <c r="J11" s="100">
        <v>0.15</v>
      </c>
      <c r="K11" s="100">
        <v>127.55</v>
      </c>
      <c r="L11" s="100">
        <v>22.91</v>
      </c>
      <c r="M11" s="100">
        <v>64.63</v>
      </c>
      <c r="N11" s="100">
        <v>1.3</v>
      </c>
      <c r="O11" s="100">
        <v>0</v>
      </c>
      <c r="P11" s="100">
        <v>1.05</v>
      </c>
      <c r="Q11" s="100">
        <v>12.94</v>
      </c>
      <c r="R11" s="6"/>
      <c r="S11" s="6"/>
      <c r="T11" s="156"/>
      <c r="U11" s="6"/>
    </row>
    <row r="12" spans="1:21" customFormat="1">
      <c r="A12" s="163" t="s">
        <v>1394</v>
      </c>
      <c r="B12" s="100">
        <v>7.02</v>
      </c>
      <c r="C12" s="100">
        <v>21.73</v>
      </c>
      <c r="D12" s="100">
        <v>18.329999999999998</v>
      </c>
      <c r="E12" s="100">
        <v>11.08</v>
      </c>
      <c r="F12" s="152" t="s">
        <v>15</v>
      </c>
      <c r="G12" s="100">
        <v>96.23</v>
      </c>
      <c r="H12" s="100">
        <v>38.68</v>
      </c>
      <c r="I12" s="100">
        <v>13.66</v>
      </c>
      <c r="J12" s="100">
        <v>0.12</v>
      </c>
      <c r="K12" s="100">
        <v>73.11</v>
      </c>
      <c r="L12" s="100">
        <v>23.24</v>
      </c>
      <c r="M12" s="100">
        <v>62.66</v>
      </c>
      <c r="N12" s="100">
        <v>1.1000000000000001</v>
      </c>
      <c r="O12" s="100">
        <v>0</v>
      </c>
      <c r="P12" s="100">
        <v>1.05</v>
      </c>
      <c r="Q12" s="100">
        <v>12.94</v>
      </c>
      <c r="R12" s="6"/>
      <c r="S12" s="6"/>
      <c r="T12" s="156"/>
      <c r="U12" s="6"/>
    </row>
    <row r="13" spans="1:21" customFormat="1">
      <c r="A13" s="163" t="s">
        <v>1395</v>
      </c>
      <c r="B13" s="100">
        <v>8.34</v>
      </c>
      <c r="C13" s="100">
        <v>22.14</v>
      </c>
      <c r="D13" s="100">
        <v>19.600000000000001</v>
      </c>
      <c r="E13" s="100">
        <v>10.79</v>
      </c>
      <c r="F13" s="152" t="s">
        <v>15</v>
      </c>
      <c r="G13" s="100">
        <v>96.23</v>
      </c>
      <c r="H13" s="100">
        <v>38.68</v>
      </c>
      <c r="I13" s="100">
        <v>13.65</v>
      </c>
      <c r="J13" s="100">
        <v>7.0000000000000007E-2</v>
      </c>
      <c r="K13" s="100">
        <v>87.31</v>
      </c>
      <c r="L13" s="100">
        <v>23.34</v>
      </c>
      <c r="M13" s="100">
        <v>62.26</v>
      </c>
      <c r="N13" s="100">
        <v>1.4</v>
      </c>
      <c r="O13" s="100">
        <v>0</v>
      </c>
      <c r="P13" s="100">
        <v>1.06</v>
      </c>
      <c r="Q13" s="100">
        <v>12.94</v>
      </c>
      <c r="R13" s="6"/>
      <c r="S13" s="6"/>
      <c r="T13" s="156"/>
      <c r="U13" s="6"/>
    </row>
    <row r="14" spans="1:21" customFormat="1">
      <c r="A14" s="163" t="s">
        <v>1396</v>
      </c>
      <c r="B14" s="100">
        <v>9.4700000000000006</v>
      </c>
      <c r="C14" s="100">
        <v>22.51</v>
      </c>
      <c r="D14" s="100">
        <v>20.7</v>
      </c>
      <c r="E14" s="100">
        <v>11.19</v>
      </c>
      <c r="F14" s="152" t="s">
        <v>15</v>
      </c>
      <c r="G14" s="100">
        <v>96.23</v>
      </c>
      <c r="H14" s="100">
        <v>38.68</v>
      </c>
      <c r="I14" s="100">
        <v>13.63</v>
      </c>
      <c r="J14" s="100">
        <v>0.16</v>
      </c>
      <c r="K14" s="100">
        <v>186.25</v>
      </c>
      <c r="L14" s="100">
        <v>23.09</v>
      </c>
      <c r="M14" s="100">
        <v>64.67</v>
      </c>
      <c r="N14" s="100">
        <v>1.7</v>
      </c>
      <c r="O14" s="100">
        <v>0</v>
      </c>
      <c r="P14" s="100">
        <v>1.06</v>
      </c>
      <c r="Q14" s="100">
        <v>12.94</v>
      </c>
      <c r="R14" s="6"/>
      <c r="S14" s="6"/>
      <c r="T14" s="156"/>
      <c r="U14" s="6"/>
    </row>
    <row r="15" spans="1:21" customFormat="1">
      <c r="A15" s="163" t="s">
        <v>1397</v>
      </c>
      <c r="B15" s="100">
        <v>10.23</v>
      </c>
      <c r="C15" s="100">
        <v>22.52</v>
      </c>
      <c r="D15" s="100">
        <v>21.32</v>
      </c>
      <c r="E15" s="100">
        <v>11.24</v>
      </c>
      <c r="F15" s="152" t="s">
        <v>15</v>
      </c>
      <c r="G15" s="100">
        <v>95.54</v>
      </c>
      <c r="H15" s="100">
        <v>38.630000000000003</v>
      </c>
      <c r="I15" s="100">
        <v>13.59</v>
      </c>
      <c r="J15" s="100">
        <v>0.18</v>
      </c>
      <c r="K15" s="100">
        <v>184.1</v>
      </c>
      <c r="L15" s="100">
        <v>22.54</v>
      </c>
      <c r="M15" s="100">
        <v>71.78</v>
      </c>
      <c r="N15" s="100">
        <v>2</v>
      </c>
      <c r="O15" s="100">
        <v>0</v>
      </c>
      <c r="P15" s="100">
        <v>1.05</v>
      </c>
      <c r="Q15" s="100">
        <v>12.95</v>
      </c>
      <c r="R15" s="6"/>
      <c r="S15" s="6"/>
      <c r="T15" s="156"/>
      <c r="U15" s="6"/>
    </row>
    <row r="16" spans="1:21" customFormat="1">
      <c r="A16" s="163" t="s">
        <v>1398</v>
      </c>
      <c r="B16" s="100">
        <v>10.95</v>
      </c>
      <c r="C16" s="100">
        <v>22.87</v>
      </c>
      <c r="D16" s="100">
        <v>22.08</v>
      </c>
      <c r="E16" s="100">
        <v>10.83</v>
      </c>
      <c r="F16" s="152" t="s">
        <v>15</v>
      </c>
      <c r="G16" s="100">
        <v>75.48</v>
      </c>
      <c r="H16" s="100">
        <v>37.11</v>
      </c>
      <c r="I16" s="100">
        <v>13.51</v>
      </c>
      <c r="J16" s="100">
        <v>0.12</v>
      </c>
      <c r="K16" s="100">
        <v>129.16</v>
      </c>
      <c r="L16" s="100">
        <v>22.39</v>
      </c>
      <c r="M16" s="100">
        <v>69.319999999999993</v>
      </c>
      <c r="N16" s="100">
        <v>1.5</v>
      </c>
      <c r="O16" s="100">
        <v>0</v>
      </c>
      <c r="P16" s="100">
        <v>1.05</v>
      </c>
      <c r="Q16" s="100">
        <v>12.97</v>
      </c>
      <c r="R16" s="6"/>
      <c r="S16" s="6"/>
      <c r="T16" s="156"/>
      <c r="U16" s="6"/>
    </row>
    <row r="17" spans="1:21" customFormat="1">
      <c r="A17" s="163" t="s">
        <v>1399</v>
      </c>
      <c r="B17" s="100">
        <v>11.91</v>
      </c>
      <c r="C17" s="100">
        <v>23.16</v>
      </c>
      <c r="D17" s="100">
        <v>23</v>
      </c>
      <c r="E17" s="100">
        <v>8.3800000000000008</v>
      </c>
      <c r="F17" s="152" t="s">
        <v>15</v>
      </c>
      <c r="G17" s="100">
        <v>75.48</v>
      </c>
      <c r="H17" s="100">
        <v>37.11</v>
      </c>
      <c r="I17" s="100">
        <v>13.45</v>
      </c>
      <c r="J17" s="100">
        <v>0.15</v>
      </c>
      <c r="K17" s="100">
        <v>153.87</v>
      </c>
      <c r="L17" s="100">
        <v>22.61</v>
      </c>
      <c r="M17" s="100">
        <v>69.38</v>
      </c>
      <c r="N17" s="100">
        <v>1.4</v>
      </c>
      <c r="O17" s="100">
        <v>0</v>
      </c>
      <c r="P17" s="100">
        <v>1.05</v>
      </c>
      <c r="Q17" s="100">
        <v>12.97</v>
      </c>
      <c r="R17" s="6"/>
      <c r="S17" s="6"/>
      <c r="T17" s="156"/>
      <c r="U17" s="6"/>
    </row>
    <row r="18" spans="1:21" customFormat="1">
      <c r="A18" s="163" t="s">
        <v>1400</v>
      </c>
      <c r="B18" s="100">
        <v>12.92</v>
      </c>
      <c r="C18" s="100">
        <v>23.17</v>
      </c>
      <c r="D18" s="100">
        <v>23.81</v>
      </c>
      <c r="E18" s="100">
        <v>10.07</v>
      </c>
      <c r="F18" s="152" t="s">
        <v>15</v>
      </c>
      <c r="G18" s="100">
        <v>75.48</v>
      </c>
      <c r="H18" s="100">
        <v>37.11</v>
      </c>
      <c r="I18" s="100">
        <v>13.38</v>
      </c>
      <c r="J18" s="100">
        <v>0.1</v>
      </c>
      <c r="K18" s="100">
        <v>150.21</v>
      </c>
      <c r="L18" s="100">
        <v>22.82</v>
      </c>
      <c r="M18" s="100">
        <v>66.8</v>
      </c>
      <c r="N18" s="100">
        <v>1.2</v>
      </c>
      <c r="O18" s="100">
        <v>0</v>
      </c>
      <c r="P18" s="100">
        <v>1.05</v>
      </c>
      <c r="Q18" s="100">
        <v>12.97</v>
      </c>
      <c r="R18" s="6"/>
      <c r="S18" s="6"/>
      <c r="T18" s="156"/>
      <c r="U18" s="6"/>
    </row>
    <row r="19" spans="1:21" customFormat="1">
      <c r="A19" s="163" t="s">
        <v>1401</v>
      </c>
      <c r="B19" s="100">
        <v>13.75</v>
      </c>
      <c r="C19" s="100">
        <v>23.17</v>
      </c>
      <c r="D19" s="100">
        <v>24.48</v>
      </c>
      <c r="E19" s="100">
        <v>10.33</v>
      </c>
      <c r="F19" s="152" t="s">
        <v>15</v>
      </c>
      <c r="G19" s="100">
        <v>75.680000000000007</v>
      </c>
      <c r="H19" s="100">
        <v>37.01</v>
      </c>
      <c r="I19" s="100">
        <v>13.33</v>
      </c>
      <c r="J19" s="100">
        <v>0.24</v>
      </c>
      <c r="K19" s="100">
        <v>144.38</v>
      </c>
      <c r="L19" s="100">
        <v>22.48</v>
      </c>
      <c r="M19" s="100">
        <v>71.09</v>
      </c>
      <c r="N19" s="100">
        <v>1.7</v>
      </c>
      <c r="O19" s="100">
        <v>0</v>
      </c>
      <c r="P19" s="100">
        <v>1.06</v>
      </c>
      <c r="Q19" s="100">
        <v>12.96</v>
      </c>
      <c r="R19" s="6"/>
      <c r="S19" s="6"/>
      <c r="T19" s="156"/>
      <c r="U19" s="6"/>
    </row>
    <row r="20" spans="1:21" customFormat="1">
      <c r="A20" s="163" t="s">
        <v>1402</v>
      </c>
      <c r="B20" s="100">
        <v>14.23</v>
      </c>
      <c r="C20" s="100">
        <v>23.22</v>
      </c>
      <c r="D20" s="100">
        <v>24.9</v>
      </c>
      <c r="E20" s="100">
        <v>10.06</v>
      </c>
      <c r="F20" s="152" t="s">
        <v>15</v>
      </c>
      <c r="G20" s="100">
        <v>81.63</v>
      </c>
      <c r="H20" s="100">
        <v>33.83</v>
      </c>
      <c r="I20" s="100">
        <v>13.33</v>
      </c>
      <c r="J20" s="100">
        <v>0.23</v>
      </c>
      <c r="K20" s="100">
        <v>170.62</v>
      </c>
      <c r="L20" s="100">
        <v>21.89</v>
      </c>
      <c r="M20" s="100">
        <v>73.06</v>
      </c>
      <c r="N20" s="100">
        <v>1.8</v>
      </c>
      <c r="O20" s="100">
        <v>0</v>
      </c>
      <c r="P20" s="100">
        <v>1.06</v>
      </c>
      <c r="Q20" s="100">
        <v>12.97</v>
      </c>
      <c r="R20" s="6"/>
      <c r="S20" s="6"/>
      <c r="T20" s="156"/>
      <c r="U20" s="6"/>
    </row>
    <row r="21" spans="1:21" customFormat="1">
      <c r="A21" s="163" t="s">
        <v>1403</v>
      </c>
      <c r="B21" s="100">
        <v>14.45</v>
      </c>
      <c r="C21" s="100">
        <v>23.24</v>
      </c>
      <c r="D21" s="100">
        <v>25.08</v>
      </c>
      <c r="E21" s="100">
        <v>10.3</v>
      </c>
      <c r="F21" s="152" t="s">
        <v>15</v>
      </c>
      <c r="G21" s="100">
        <v>81.63</v>
      </c>
      <c r="H21" s="100">
        <v>33.83</v>
      </c>
      <c r="I21" s="100">
        <v>13.35</v>
      </c>
      <c r="J21" s="100">
        <v>0.16</v>
      </c>
      <c r="K21" s="100">
        <v>180.7</v>
      </c>
      <c r="L21" s="100">
        <v>21.63</v>
      </c>
      <c r="M21" s="100">
        <v>75.650000000000006</v>
      </c>
      <c r="N21" s="100">
        <v>1.7</v>
      </c>
      <c r="O21" s="100">
        <v>0</v>
      </c>
      <c r="P21" s="100">
        <v>1.06</v>
      </c>
      <c r="Q21" s="100">
        <v>12.97</v>
      </c>
      <c r="R21" s="6"/>
      <c r="S21" s="6"/>
      <c r="T21" s="156"/>
      <c r="U21" s="6"/>
    </row>
    <row r="22" spans="1:21" customFormat="1">
      <c r="A22" s="163" t="s">
        <v>1404</v>
      </c>
      <c r="B22" s="100">
        <v>14.63</v>
      </c>
      <c r="C22" s="100">
        <v>22.93</v>
      </c>
      <c r="D22" s="100">
        <v>25.06</v>
      </c>
      <c r="E22" s="100">
        <v>9.52</v>
      </c>
      <c r="F22" s="152" t="s">
        <v>15</v>
      </c>
      <c r="G22" s="100">
        <v>81.63</v>
      </c>
      <c r="H22" s="100">
        <v>33.83</v>
      </c>
      <c r="I22" s="100">
        <v>13.35</v>
      </c>
      <c r="J22" s="100">
        <v>0.16</v>
      </c>
      <c r="K22" s="100">
        <v>151.9</v>
      </c>
      <c r="L22" s="100">
        <v>21.51</v>
      </c>
      <c r="M22" s="100">
        <v>76.17</v>
      </c>
      <c r="N22" s="100">
        <v>1.6</v>
      </c>
      <c r="O22" s="100">
        <v>0</v>
      </c>
      <c r="P22" s="100">
        <v>1.06</v>
      </c>
      <c r="Q22" s="100">
        <v>12.96</v>
      </c>
      <c r="R22" s="6"/>
      <c r="S22" s="6"/>
      <c r="T22" s="156"/>
      <c r="U22" s="6"/>
    </row>
    <row r="23" spans="1:21" customFormat="1">
      <c r="A23" s="163" t="s">
        <v>1405</v>
      </c>
      <c r="B23" s="100">
        <v>14.85</v>
      </c>
      <c r="C23" s="100">
        <v>22.87</v>
      </c>
      <c r="D23" s="100">
        <v>25.21</v>
      </c>
      <c r="E23" s="100">
        <v>9.86</v>
      </c>
      <c r="F23" s="152" t="s">
        <v>15</v>
      </c>
      <c r="G23" s="100">
        <v>81.760000000000005</v>
      </c>
      <c r="H23" s="100">
        <v>33.74</v>
      </c>
      <c r="I23" s="100">
        <v>13.33</v>
      </c>
      <c r="J23" s="100">
        <v>0.22</v>
      </c>
      <c r="K23" s="100">
        <v>172</v>
      </c>
      <c r="L23" s="100">
        <v>21.47</v>
      </c>
      <c r="M23" s="100">
        <v>76.75</v>
      </c>
      <c r="N23" s="100">
        <v>1.6</v>
      </c>
      <c r="O23" s="100">
        <v>0</v>
      </c>
      <c r="P23" s="100">
        <v>1.06</v>
      </c>
      <c r="Q23" s="100">
        <v>12.98</v>
      </c>
      <c r="R23" s="6"/>
      <c r="S23" s="6"/>
      <c r="T23" s="156"/>
      <c r="U23" s="6"/>
    </row>
    <row r="24" spans="1:21" customFormat="1">
      <c r="A24" s="163" t="s">
        <v>1406</v>
      </c>
      <c r="B24" s="100">
        <v>15.09</v>
      </c>
      <c r="C24" s="100">
        <v>22.82</v>
      </c>
      <c r="D24" s="100">
        <v>25.38</v>
      </c>
      <c r="E24" s="100">
        <v>9.73</v>
      </c>
      <c r="F24" s="152" t="s">
        <v>15</v>
      </c>
      <c r="G24" s="100">
        <v>85.74</v>
      </c>
      <c r="H24" s="100">
        <v>30.79</v>
      </c>
      <c r="I24" s="100">
        <v>13.29</v>
      </c>
      <c r="J24" s="100">
        <v>0.16</v>
      </c>
      <c r="K24" s="100">
        <v>161.80000000000001</v>
      </c>
      <c r="L24" s="100">
        <v>21.34</v>
      </c>
      <c r="M24" s="100">
        <v>77.05</v>
      </c>
      <c r="N24" s="100">
        <v>1.5</v>
      </c>
      <c r="O24" s="100">
        <v>0</v>
      </c>
      <c r="P24" s="100">
        <v>1.07</v>
      </c>
      <c r="Q24" s="100">
        <v>12.98</v>
      </c>
      <c r="R24" s="6"/>
      <c r="S24" s="6"/>
      <c r="T24" s="156"/>
      <c r="U24" s="6"/>
    </row>
    <row r="25" spans="1:21" customFormat="1">
      <c r="A25" s="163" t="s">
        <v>1407</v>
      </c>
      <c r="B25" s="100">
        <v>15.31</v>
      </c>
      <c r="C25" s="100">
        <v>22.8</v>
      </c>
      <c r="D25" s="100">
        <v>25.54</v>
      </c>
      <c r="E25" s="100">
        <v>10.06</v>
      </c>
      <c r="F25" s="152" t="s">
        <v>15</v>
      </c>
      <c r="G25" s="100">
        <v>85.74</v>
      </c>
      <c r="H25" s="100">
        <v>30.79</v>
      </c>
      <c r="I25" s="100">
        <v>13.28</v>
      </c>
      <c r="J25" s="100">
        <v>0.15</v>
      </c>
      <c r="K25" s="100">
        <v>165.04</v>
      </c>
      <c r="L25" s="100">
        <v>21.1</v>
      </c>
      <c r="M25" s="100">
        <v>77.38</v>
      </c>
      <c r="N25" s="100">
        <v>1.6</v>
      </c>
      <c r="O25" s="100">
        <v>0</v>
      </c>
      <c r="P25" s="100">
        <v>1.07</v>
      </c>
      <c r="Q25" s="100">
        <v>12.98</v>
      </c>
      <c r="R25" s="6"/>
      <c r="S25" s="6"/>
      <c r="T25" s="156"/>
      <c r="U25" s="6"/>
    </row>
    <row r="26" spans="1:21" customFormat="1">
      <c r="A26" s="163" t="s">
        <v>1408</v>
      </c>
      <c r="B26" s="100">
        <v>15.53</v>
      </c>
      <c r="C26" s="100">
        <v>22.68</v>
      </c>
      <c r="D26" s="100">
        <v>25.66</v>
      </c>
      <c r="E26" s="100">
        <v>10.01</v>
      </c>
      <c r="F26" s="152" t="s">
        <v>15</v>
      </c>
      <c r="G26" s="100">
        <v>85.74</v>
      </c>
      <c r="H26" s="100">
        <v>30.79</v>
      </c>
      <c r="I26" s="100">
        <v>13.24</v>
      </c>
      <c r="J26" s="100">
        <v>0.19</v>
      </c>
      <c r="K26" s="100">
        <v>162.38</v>
      </c>
      <c r="L26" s="100">
        <v>21.15</v>
      </c>
      <c r="M26" s="100">
        <v>77.95</v>
      </c>
      <c r="N26" s="100">
        <v>1.4</v>
      </c>
      <c r="O26" s="100">
        <v>0</v>
      </c>
      <c r="P26" s="100">
        <v>1.08</v>
      </c>
      <c r="Q26" s="100">
        <v>12.97</v>
      </c>
      <c r="R26" s="6"/>
      <c r="S26" s="6"/>
      <c r="T26" s="156"/>
      <c r="U26" s="6"/>
    </row>
    <row r="27" spans="1:21" customFormat="1">
      <c r="A27" s="163" t="s">
        <v>1409</v>
      </c>
      <c r="B27" s="100">
        <v>15.66</v>
      </c>
      <c r="C27" s="100">
        <v>22.53</v>
      </c>
      <c r="D27" s="100">
        <v>25.68</v>
      </c>
      <c r="E27" s="100">
        <v>9.77</v>
      </c>
      <c r="F27" s="152" t="s">
        <v>15</v>
      </c>
      <c r="G27" s="100">
        <v>85.72</v>
      </c>
      <c r="H27" s="100">
        <v>30.69</v>
      </c>
      <c r="I27" s="100">
        <v>13.28</v>
      </c>
      <c r="J27" s="100">
        <v>0.19</v>
      </c>
      <c r="K27" s="100">
        <v>193.49</v>
      </c>
      <c r="L27" s="100">
        <v>20.7</v>
      </c>
      <c r="M27" s="100">
        <v>80.94</v>
      </c>
      <c r="N27" s="100">
        <v>1.7</v>
      </c>
      <c r="O27" s="100">
        <v>0</v>
      </c>
      <c r="P27" s="100">
        <v>1.08</v>
      </c>
      <c r="Q27" s="100">
        <v>12.99</v>
      </c>
      <c r="R27" s="6"/>
      <c r="S27" s="6"/>
      <c r="T27" s="156"/>
      <c r="U27" s="6"/>
    </row>
    <row r="28" spans="1:21" customFormat="1">
      <c r="A28" s="163" t="s">
        <v>1410</v>
      </c>
      <c r="B28" s="100">
        <v>15.68</v>
      </c>
      <c r="C28" s="100">
        <v>22.35</v>
      </c>
      <c r="D28" s="100">
        <v>25.6</v>
      </c>
      <c r="E28" s="100">
        <v>9.8000000000000007</v>
      </c>
      <c r="F28" s="152" t="s">
        <v>15</v>
      </c>
      <c r="G28" s="100">
        <v>85.09</v>
      </c>
      <c r="H28" s="100">
        <v>27.72</v>
      </c>
      <c r="I28" s="100">
        <v>13.27</v>
      </c>
      <c r="J28" s="100">
        <v>0.14000000000000001</v>
      </c>
      <c r="K28" s="100">
        <v>185.98</v>
      </c>
      <c r="L28" s="100">
        <v>20.58</v>
      </c>
      <c r="M28" s="100">
        <v>81.03</v>
      </c>
      <c r="N28" s="100">
        <v>1.6</v>
      </c>
      <c r="O28" s="100">
        <v>0</v>
      </c>
      <c r="P28" s="100">
        <v>1.08</v>
      </c>
      <c r="Q28" s="100">
        <v>12.98</v>
      </c>
      <c r="R28" s="6"/>
      <c r="S28" s="6"/>
      <c r="T28" s="156"/>
      <c r="U28" s="6"/>
    </row>
    <row r="29" spans="1:21" customFormat="1">
      <c r="A29" s="163" t="s">
        <v>1411</v>
      </c>
      <c r="B29" s="100">
        <v>15.68</v>
      </c>
      <c r="C29" s="100">
        <v>21.98</v>
      </c>
      <c r="D29" s="100">
        <v>25.41</v>
      </c>
      <c r="E29" s="100">
        <v>10.09</v>
      </c>
      <c r="F29" s="152" t="s">
        <v>15</v>
      </c>
      <c r="G29" s="100">
        <v>85.09</v>
      </c>
      <c r="H29" s="100">
        <v>27.72</v>
      </c>
      <c r="I29" s="100">
        <v>13.28</v>
      </c>
      <c r="J29" s="100">
        <v>0.11</v>
      </c>
      <c r="K29" s="100">
        <v>205.67</v>
      </c>
      <c r="L29" s="100">
        <v>20.59</v>
      </c>
      <c r="M29" s="100">
        <v>80.5</v>
      </c>
      <c r="N29" s="100">
        <v>1.4</v>
      </c>
      <c r="O29" s="100">
        <v>0</v>
      </c>
      <c r="P29" s="100">
        <v>1.06</v>
      </c>
      <c r="Q29" s="100">
        <v>12.96</v>
      </c>
      <c r="R29" s="6"/>
      <c r="S29" s="6"/>
      <c r="T29" s="156"/>
      <c r="U29" s="6"/>
    </row>
    <row r="30" spans="1:21" customFormat="1">
      <c r="A30" s="163" t="s">
        <v>1412</v>
      </c>
      <c r="B30" s="100">
        <v>15.39</v>
      </c>
      <c r="C30" s="100">
        <v>21.03</v>
      </c>
      <c r="D30" s="100">
        <v>24.68</v>
      </c>
      <c r="E30" s="100">
        <v>9.48</v>
      </c>
      <c r="F30" s="152" t="s">
        <v>15</v>
      </c>
      <c r="G30" s="100">
        <v>85.09</v>
      </c>
      <c r="H30" s="100">
        <v>27.72</v>
      </c>
      <c r="I30" s="100">
        <v>13.24</v>
      </c>
      <c r="J30" s="100">
        <v>0.17</v>
      </c>
      <c r="K30" s="100">
        <v>173.8</v>
      </c>
      <c r="L30" s="100">
        <v>20.78</v>
      </c>
      <c r="M30" s="100">
        <v>80.11</v>
      </c>
      <c r="N30" s="100">
        <v>1.3</v>
      </c>
      <c r="O30" s="100">
        <v>0</v>
      </c>
      <c r="P30" s="100">
        <v>0.99</v>
      </c>
      <c r="Q30" s="100">
        <v>12.96</v>
      </c>
      <c r="R30" s="6"/>
      <c r="S30" s="6"/>
      <c r="T30" s="156"/>
      <c r="U30" s="6"/>
    </row>
    <row r="31" spans="1:21" customFormat="1">
      <c r="A31" s="163" t="s">
        <v>1413</v>
      </c>
      <c r="B31" s="100">
        <v>15.05</v>
      </c>
      <c r="C31" s="100">
        <v>21.03</v>
      </c>
      <c r="D31" s="100">
        <v>24.41</v>
      </c>
      <c r="E31" s="100">
        <v>9.76</v>
      </c>
      <c r="F31" s="152" t="s">
        <v>15</v>
      </c>
      <c r="G31" s="100">
        <v>84.7</v>
      </c>
      <c r="H31" s="100">
        <v>27.72</v>
      </c>
      <c r="I31" s="100">
        <v>13.13</v>
      </c>
      <c r="J31" s="100">
        <v>0.22</v>
      </c>
      <c r="K31" s="100">
        <v>191.28</v>
      </c>
      <c r="L31" s="100">
        <v>20.68</v>
      </c>
      <c r="M31" s="100">
        <v>81.36</v>
      </c>
      <c r="N31" s="100">
        <v>1.5</v>
      </c>
      <c r="O31" s="100">
        <v>0</v>
      </c>
      <c r="P31" s="100">
        <v>0.99</v>
      </c>
      <c r="Q31" s="100">
        <v>12.97</v>
      </c>
      <c r="R31" s="6"/>
      <c r="S31" s="6"/>
      <c r="T31" s="156"/>
      <c r="U31" s="6"/>
    </row>
    <row r="32" spans="1:21" customFormat="1">
      <c r="A32" s="163" t="s">
        <v>1414</v>
      </c>
      <c r="B32" s="100">
        <v>14.75</v>
      </c>
      <c r="C32" s="100">
        <v>21.06</v>
      </c>
      <c r="D32" s="100">
        <v>24.18</v>
      </c>
      <c r="E32" s="100">
        <v>10.029999999999999</v>
      </c>
      <c r="F32" s="152" t="s">
        <v>15</v>
      </c>
      <c r="G32" s="100">
        <v>73.63</v>
      </c>
      <c r="H32" s="100">
        <v>27.79</v>
      </c>
      <c r="I32" s="100">
        <v>13.05</v>
      </c>
      <c r="J32" s="100">
        <v>0.19</v>
      </c>
      <c r="K32" s="100">
        <v>169.14</v>
      </c>
      <c r="L32" s="100">
        <v>20.399999999999999</v>
      </c>
      <c r="M32" s="100">
        <v>81.760000000000005</v>
      </c>
      <c r="N32" s="100">
        <v>1.7</v>
      </c>
      <c r="O32" s="100">
        <v>0</v>
      </c>
      <c r="P32" s="100">
        <v>0.98</v>
      </c>
      <c r="Q32" s="100">
        <v>12.97</v>
      </c>
      <c r="R32" s="6"/>
      <c r="S32" s="6"/>
      <c r="T32" s="156"/>
      <c r="U32" s="6"/>
    </row>
    <row r="33" spans="1:21" customFormat="1">
      <c r="A33" s="163" t="s">
        <v>1415</v>
      </c>
      <c r="B33" s="100">
        <v>14.56</v>
      </c>
      <c r="C33" s="100">
        <v>20.94</v>
      </c>
      <c r="D33" s="100">
        <v>23.96</v>
      </c>
      <c r="E33" s="100">
        <v>9.94</v>
      </c>
      <c r="F33" s="152" t="s">
        <v>15</v>
      </c>
      <c r="G33" s="100">
        <v>73.63</v>
      </c>
      <c r="H33" s="100">
        <v>27.79</v>
      </c>
      <c r="I33" s="100">
        <v>12.96</v>
      </c>
      <c r="J33" s="100">
        <v>0.2</v>
      </c>
      <c r="K33" s="100">
        <v>190.98</v>
      </c>
      <c r="L33" s="100">
        <v>20.309999999999999</v>
      </c>
      <c r="M33" s="100">
        <v>81.97</v>
      </c>
      <c r="N33" s="100">
        <v>1.5</v>
      </c>
      <c r="O33" s="100">
        <v>0</v>
      </c>
      <c r="P33" s="100">
        <v>0.97</v>
      </c>
      <c r="Q33" s="100">
        <v>12.96</v>
      </c>
      <c r="R33" s="6"/>
      <c r="S33" s="6"/>
      <c r="T33" s="156"/>
      <c r="U33" s="6"/>
    </row>
    <row r="34" spans="1:21" customFormat="1">
      <c r="A34" s="163" t="s">
        <v>1416</v>
      </c>
      <c r="B34" s="100">
        <v>14.37</v>
      </c>
      <c r="C34" s="100">
        <v>20.85</v>
      </c>
      <c r="D34" s="100">
        <v>23.77</v>
      </c>
      <c r="E34" s="100">
        <v>9.39</v>
      </c>
      <c r="F34" s="152" t="s">
        <v>15</v>
      </c>
      <c r="G34" s="100">
        <v>73.63</v>
      </c>
      <c r="H34" s="100">
        <v>27.79</v>
      </c>
      <c r="I34" s="100">
        <v>12.9</v>
      </c>
      <c r="J34" s="100">
        <v>0.17</v>
      </c>
      <c r="K34" s="100">
        <v>167.59</v>
      </c>
      <c r="L34" s="100">
        <v>20.34</v>
      </c>
      <c r="M34" s="100">
        <v>82.07</v>
      </c>
      <c r="N34" s="100">
        <v>1.9</v>
      </c>
      <c r="O34" s="100">
        <v>0</v>
      </c>
      <c r="P34" s="100">
        <v>0.97</v>
      </c>
      <c r="Q34" s="100">
        <v>12.97</v>
      </c>
      <c r="R34" s="6"/>
      <c r="S34" s="6"/>
      <c r="T34" s="156"/>
      <c r="U34" s="6"/>
    </row>
    <row r="35" spans="1:21" customFormat="1">
      <c r="A35" s="163" t="s">
        <v>1417</v>
      </c>
      <c r="B35" s="100">
        <v>14.19</v>
      </c>
      <c r="C35" s="100">
        <v>20.81</v>
      </c>
      <c r="D35" s="100">
        <v>23.61</v>
      </c>
      <c r="E35" s="100">
        <v>9.6</v>
      </c>
      <c r="F35" s="152" t="s">
        <v>15</v>
      </c>
      <c r="G35" s="100">
        <v>73.739999999999995</v>
      </c>
      <c r="H35" s="100">
        <v>27.75</v>
      </c>
      <c r="I35" s="100">
        <v>12.82</v>
      </c>
      <c r="J35" s="100">
        <v>0.17</v>
      </c>
      <c r="K35" s="100">
        <v>171.98</v>
      </c>
      <c r="L35" s="100">
        <v>20.39</v>
      </c>
      <c r="M35" s="100">
        <v>82.26</v>
      </c>
      <c r="N35" s="100">
        <v>3.9</v>
      </c>
      <c r="O35" s="100">
        <v>0</v>
      </c>
      <c r="P35" s="100">
        <v>0.97</v>
      </c>
      <c r="Q35" s="100">
        <v>12.97</v>
      </c>
      <c r="R35" s="6"/>
      <c r="S35" s="6"/>
      <c r="T35" s="156"/>
      <c r="U35" s="6"/>
    </row>
    <row r="36" spans="1:21" customFormat="1">
      <c r="A36" s="163" t="s">
        <v>1418</v>
      </c>
      <c r="B36" s="100">
        <v>14.01</v>
      </c>
      <c r="C36" s="100">
        <v>20.92</v>
      </c>
      <c r="D36" s="100">
        <v>23.51</v>
      </c>
      <c r="E36" s="100">
        <v>9.81</v>
      </c>
      <c r="F36" s="152" t="s">
        <v>15</v>
      </c>
      <c r="G36" s="100">
        <v>76.02</v>
      </c>
      <c r="H36" s="100">
        <v>26.48</v>
      </c>
      <c r="I36" s="100">
        <v>12.79</v>
      </c>
      <c r="J36" s="100">
        <v>0.11</v>
      </c>
      <c r="K36" s="100">
        <v>171.39</v>
      </c>
      <c r="L36" s="100">
        <v>20.399999999999999</v>
      </c>
      <c r="M36" s="100">
        <v>81.97</v>
      </c>
      <c r="N36" s="100">
        <v>9.1</v>
      </c>
      <c r="O36" s="100">
        <v>0</v>
      </c>
      <c r="P36" s="100">
        <v>0.97</v>
      </c>
      <c r="Q36" s="100">
        <v>12.97</v>
      </c>
      <c r="R36" s="6"/>
      <c r="S36" s="6"/>
      <c r="T36" s="156"/>
      <c r="U36" s="6"/>
    </row>
    <row r="37" spans="1:21" customFormat="1">
      <c r="A37" s="163" t="s">
        <v>1419</v>
      </c>
      <c r="B37" s="100">
        <v>13.87</v>
      </c>
      <c r="C37" s="100">
        <v>20.91</v>
      </c>
      <c r="D37" s="100">
        <v>23.4</v>
      </c>
      <c r="E37" s="100">
        <v>10.1</v>
      </c>
      <c r="F37" s="152" t="s">
        <v>15</v>
      </c>
      <c r="G37" s="100">
        <v>76.02</v>
      </c>
      <c r="H37" s="100">
        <v>26.48</v>
      </c>
      <c r="I37" s="100">
        <v>12.77</v>
      </c>
      <c r="J37" s="100">
        <v>0.21</v>
      </c>
      <c r="K37" s="100">
        <v>161.72999999999999</v>
      </c>
      <c r="L37" s="100">
        <v>20.75</v>
      </c>
      <c r="M37" s="100">
        <v>81.34</v>
      </c>
      <c r="N37" s="100">
        <v>16.3</v>
      </c>
      <c r="O37" s="100">
        <v>0</v>
      </c>
      <c r="P37" s="100">
        <v>0.96</v>
      </c>
      <c r="Q37" s="100">
        <v>12.96</v>
      </c>
      <c r="R37" s="6"/>
      <c r="S37" s="6"/>
      <c r="T37" s="156"/>
      <c r="U37" s="6"/>
    </row>
    <row r="38" spans="1:21" customFormat="1">
      <c r="A38" s="163" t="s">
        <v>1420</v>
      </c>
      <c r="B38" s="100">
        <v>13.75</v>
      </c>
      <c r="C38" s="100">
        <v>21.01</v>
      </c>
      <c r="D38" s="100">
        <v>23.35</v>
      </c>
      <c r="E38" s="100">
        <v>9.6199999999999992</v>
      </c>
      <c r="F38" s="152" t="s">
        <v>15</v>
      </c>
      <c r="G38" s="100">
        <v>76.02</v>
      </c>
      <c r="H38" s="100">
        <v>26.48</v>
      </c>
      <c r="I38" s="100">
        <v>12.76</v>
      </c>
      <c r="J38" s="100">
        <v>0.22</v>
      </c>
      <c r="K38" s="100">
        <v>170.82</v>
      </c>
      <c r="L38" s="100">
        <v>21.2</v>
      </c>
      <c r="M38" s="100">
        <v>78.98</v>
      </c>
      <c r="N38" s="100">
        <v>24.7</v>
      </c>
      <c r="O38" s="100">
        <v>0</v>
      </c>
      <c r="P38" s="100">
        <v>0.96</v>
      </c>
      <c r="Q38" s="100">
        <v>12.96</v>
      </c>
      <c r="R38" s="6"/>
      <c r="S38" s="6"/>
      <c r="T38" s="156"/>
      <c r="U38" s="6"/>
    </row>
    <row r="39" spans="1:21" customFormat="1">
      <c r="A39" s="163" t="s">
        <v>1421</v>
      </c>
      <c r="B39" s="100">
        <v>13.47</v>
      </c>
      <c r="C39" s="100">
        <v>21.22</v>
      </c>
      <c r="D39" s="100">
        <v>23.24</v>
      </c>
      <c r="E39" s="100">
        <v>10.1</v>
      </c>
      <c r="F39" s="152" t="s">
        <v>15</v>
      </c>
      <c r="G39" s="100">
        <v>76.510000000000005</v>
      </c>
      <c r="H39" s="100">
        <v>26.54</v>
      </c>
      <c r="I39" s="100">
        <v>12.75</v>
      </c>
      <c r="J39" s="100">
        <v>0.28000000000000003</v>
      </c>
      <c r="K39" s="100">
        <v>159.68</v>
      </c>
      <c r="L39" s="100">
        <v>22.02</v>
      </c>
      <c r="M39" s="100">
        <v>74.02</v>
      </c>
      <c r="N39" s="100">
        <v>34.299999999999997</v>
      </c>
      <c r="O39" s="100">
        <v>0</v>
      </c>
      <c r="P39" s="100">
        <v>0.96</v>
      </c>
      <c r="Q39" s="100">
        <v>12.95</v>
      </c>
      <c r="R39" s="6"/>
      <c r="S39" s="6"/>
      <c r="T39" s="156"/>
      <c r="U39" s="6"/>
    </row>
    <row r="40" spans="1:21" customFormat="1">
      <c r="A40" s="163" t="s">
        <v>1422</v>
      </c>
      <c r="B40" s="100">
        <v>13.05</v>
      </c>
      <c r="C40" s="100">
        <v>21.52</v>
      </c>
      <c r="D40" s="100">
        <v>23.06</v>
      </c>
      <c r="E40" s="100">
        <v>9.66</v>
      </c>
      <c r="F40" s="152" t="s">
        <v>15</v>
      </c>
      <c r="G40" s="100">
        <v>87.11</v>
      </c>
      <c r="H40" s="100">
        <v>28.43</v>
      </c>
      <c r="I40" s="100">
        <v>12.75</v>
      </c>
      <c r="J40" s="100">
        <v>0.14000000000000001</v>
      </c>
      <c r="K40" s="100">
        <v>200.83</v>
      </c>
      <c r="L40" s="100">
        <v>22.62</v>
      </c>
      <c r="M40" s="100">
        <v>71.8</v>
      </c>
      <c r="N40" s="100">
        <v>43.8</v>
      </c>
      <c r="O40" s="100">
        <v>0</v>
      </c>
      <c r="P40" s="100">
        <v>0.96</v>
      </c>
      <c r="Q40" s="100">
        <v>12.96</v>
      </c>
      <c r="R40" s="6"/>
      <c r="S40" s="6"/>
      <c r="T40" s="156"/>
      <c r="U40" s="6"/>
    </row>
    <row r="41" spans="1:21" customFormat="1">
      <c r="A41" s="163" t="s">
        <v>1423</v>
      </c>
      <c r="B41" s="100">
        <v>12.52</v>
      </c>
      <c r="C41" s="100">
        <v>21.74</v>
      </c>
      <c r="D41" s="100">
        <v>22.75</v>
      </c>
      <c r="E41" s="100">
        <v>10.050000000000001</v>
      </c>
      <c r="F41" s="152" t="s">
        <v>15</v>
      </c>
      <c r="G41" s="100">
        <v>87.11</v>
      </c>
      <c r="H41" s="100">
        <v>28.43</v>
      </c>
      <c r="I41" s="100">
        <v>12.8</v>
      </c>
      <c r="J41" s="100">
        <v>0.18</v>
      </c>
      <c r="K41" s="100">
        <v>258.26</v>
      </c>
      <c r="L41" s="100">
        <v>23.23</v>
      </c>
      <c r="M41" s="100">
        <v>69.08</v>
      </c>
      <c r="N41" s="100">
        <v>73</v>
      </c>
      <c r="O41" s="100">
        <v>0</v>
      </c>
      <c r="P41" s="100">
        <v>0.97</v>
      </c>
      <c r="Q41" s="100">
        <v>12.97</v>
      </c>
      <c r="R41" s="6"/>
      <c r="S41" s="6"/>
      <c r="T41" s="156"/>
      <c r="U41" s="6"/>
    </row>
    <row r="42" spans="1:21" customFormat="1">
      <c r="A42" s="163" t="s">
        <v>1424</v>
      </c>
      <c r="B42" s="100">
        <v>11.85</v>
      </c>
      <c r="C42" s="100">
        <v>22.16</v>
      </c>
      <c r="D42" s="100">
        <v>22.43</v>
      </c>
      <c r="E42" s="100">
        <v>9.94</v>
      </c>
      <c r="F42" s="152" t="s">
        <v>15</v>
      </c>
      <c r="G42" s="100">
        <v>87.11</v>
      </c>
      <c r="H42" s="100">
        <v>28.43</v>
      </c>
      <c r="I42" s="100">
        <v>12.89</v>
      </c>
      <c r="J42" s="100">
        <v>0.21</v>
      </c>
      <c r="K42" s="100">
        <v>260.39999999999998</v>
      </c>
      <c r="L42" s="100">
        <v>23.86</v>
      </c>
      <c r="M42" s="100">
        <v>67.55</v>
      </c>
      <c r="N42" s="100">
        <v>103.8</v>
      </c>
      <c r="O42" s="100">
        <v>0</v>
      </c>
      <c r="P42" s="100">
        <v>0.98</v>
      </c>
      <c r="Q42" s="100">
        <v>12.98</v>
      </c>
      <c r="R42" s="6"/>
      <c r="S42" s="6"/>
      <c r="T42" s="156"/>
      <c r="U42" s="6"/>
    </row>
    <row r="43" spans="1:21" customFormat="1">
      <c r="A43" s="163" t="s">
        <v>1425</v>
      </c>
      <c r="B43" s="100">
        <v>11.19</v>
      </c>
      <c r="C43" s="100">
        <v>22.67</v>
      </c>
      <c r="D43" s="100">
        <v>22.17</v>
      </c>
      <c r="E43" s="100">
        <v>9.92</v>
      </c>
      <c r="F43" s="152" t="s">
        <v>15</v>
      </c>
      <c r="G43" s="100">
        <v>87.48</v>
      </c>
      <c r="H43" s="100">
        <v>28.5</v>
      </c>
      <c r="I43" s="100">
        <v>13.12</v>
      </c>
      <c r="J43" s="100">
        <v>0.22</v>
      </c>
      <c r="K43" s="100">
        <v>233.68</v>
      </c>
      <c r="L43" s="100">
        <v>24.91</v>
      </c>
      <c r="M43" s="100">
        <v>64.239999999999995</v>
      </c>
      <c r="N43" s="100">
        <v>129.6</v>
      </c>
      <c r="O43" s="100">
        <v>0</v>
      </c>
      <c r="P43" s="100">
        <v>1</v>
      </c>
      <c r="Q43" s="100">
        <v>12.97</v>
      </c>
      <c r="R43" s="6"/>
      <c r="S43" s="6"/>
      <c r="T43" s="156"/>
      <c r="U43" s="6"/>
    </row>
    <row r="44" spans="1:21" customFormat="1">
      <c r="A44" s="163" t="s">
        <v>1426</v>
      </c>
      <c r="B44" s="100">
        <v>10.39</v>
      </c>
      <c r="C44" s="100">
        <v>23.05</v>
      </c>
      <c r="D44" s="100">
        <v>21.72</v>
      </c>
      <c r="E44" s="100">
        <v>9.83</v>
      </c>
      <c r="F44" s="152" t="s">
        <v>15</v>
      </c>
      <c r="G44" s="100">
        <v>98.41</v>
      </c>
      <c r="H44" s="100">
        <v>30.89</v>
      </c>
      <c r="I44" s="100">
        <v>13.52</v>
      </c>
      <c r="J44" s="100">
        <v>0.31</v>
      </c>
      <c r="K44" s="100">
        <v>269.51</v>
      </c>
      <c r="L44" s="100">
        <v>25.61</v>
      </c>
      <c r="M44" s="100">
        <v>61.43</v>
      </c>
      <c r="N44" s="100">
        <v>149.80000000000001</v>
      </c>
      <c r="O44" s="100">
        <v>0</v>
      </c>
      <c r="P44" s="100">
        <v>1.01</v>
      </c>
      <c r="Q44" s="100">
        <v>12.97</v>
      </c>
      <c r="R44" s="6"/>
      <c r="S44" s="6"/>
      <c r="T44" s="156"/>
      <c r="U44" s="6"/>
    </row>
    <row r="45" spans="1:21" customFormat="1">
      <c r="A45" s="163" t="s">
        <v>1427</v>
      </c>
      <c r="B45" s="100">
        <v>9.4</v>
      </c>
      <c r="C45" s="100">
        <v>23.35</v>
      </c>
      <c r="D45" s="100">
        <v>21.09</v>
      </c>
      <c r="E45" s="100">
        <v>9.64</v>
      </c>
      <c r="F45" s="152" t="s">
        <v>15</v>
      </c>
      <c r="G45" s="100">
        <v>98.41</v>
      </c>
      <c r="H45" s="100">
        <v>30.89</v>
      </c>
      <c r="I45" s="100">
        <v>13.93</v>
      </c>
      <c r="J45" s="100">
        <v>0.31</v>
      </c>
      <c r="K45" s="100">
        <v>262.04000000000002</v>
      </c>
      <c r="L45" s="100">
        <v>26.65</v>
      </c>
      <c r="M45" s="100">
        <v>59.48</v>
      </c>
      <c r="N45" s="100">
        <v>161.19999999999999</v>
      </c>
      <c r="O45" s="100">
        <v>0</v>
      </c>
      <c r="P45" s="100">
        <v>1.01</v>
      </c>
      <c r="Q45" s="100">
        <v>12.96</v>
      </c>
      <c r="R45" s="6"/>
      <c r="S45" s="6"/>
      <c r="T45" s="156"/>
      <c r="U45" s="6"/>
    </row>
    <row r="46" spans="1:21" customFormat="1">
      <c r="A46" s="163" t="s">
        <v>1428</v>
      </c>
      <c r="B46" s="100">
        <v>8.35</v>
      </c>
      <c r="C46" s="100">
        <v>23.63</v>
      </c>
      <c r="D46" s="100">
        <v>20.39</v>
      </c>
      <c r="E46" s="100">
        <v>9.83</v>
      </c>
      <c r="F46" s="152" t="s">
        <v>15</v>
      </c>
      <c r="G46" s="100">
        <v>98.41</v>
      </c>
      <c r="H46" s="100">
        <v>30.89</v>
      </c>
      <c r="I46" s="100">
        <v>14.25</v>
      </c>
      <c r="J46" s="100">
        <v>0.52</v>
      </c>
      <c r="K46" s="100">
        <v>261.77999999999997</v>
      </c>
      <c r="L46" s="100">
        <v>27.45</v>
      </c>
      <c r="M46" s="100">
        <v>57.2</v>
      </c>
      <c r="N46" s="100">
        <v>213.8</v>
      </c>
      <c r="O46" s="100">
        <v>0</v>
      </c>
      <c r="P46" s="100">
        <v>1</v>
      </c>
      <c r="Q46" s="100">
        <v>12.95</v>
      </c>
      <c r="R46" s="6"/>
      <c r="S46" s="6"/>
      <c r="T46" s="156"/>
      <c r="U46" s="6"/>
    </row>
    <row r="47" spans="1:21" customFormat="1">
      <c r="A47" s="163" t="s">
        <v>1429</v>
      </c>
      <c r="B47" s="100">
        <v>7.3</v>
      </c>
      <c r="C47" s="100">
        <v>23.93</v>
      </c>
      <c r="D47" s="100">
        <v>19.71</v>
      </c>
      <c r="E47" s="100">
        <v>9.9</v>
      </c>
      <c r="F47" s="152" t="s">
        <v>15</v>
      </c>
      <c r="G47" s="100">
        <v>98.08</v>
      </c>
      <c r="H47" s="100">
        <v>31.11</v>
      </c>
      <c r="I47" s="100">
        <v>14.43</v>
      </c>
      <c r="J47" s="100">
        <v>0.84</v>
      </c>
      <c r="K47" s="100">
        <v>280.44</v>
      </c>
      <c r="L47" s="100">
        <v>28.07</v>
      </c>
      <c r="M47" s="100">
        <v>55.01</v>
      </c>
      <c r="N47" s="100">
        <v>231.9</v>
      </c>
      <c r="O47" s="100">
        <v>0</v>
      </c>
      <c r="P47" s="100">
        <v>1</v>
      </c>
      <c r="Q47" s="100">
        <v>12.95</v>
      </c>
      <c r="R47" s="6"/>
      <c r="S47" s="6"/>
      <c r="T47" s="156"/>
      <c r="U47" s="6"/>
    </row>
    <row r="48" spans="1:21" customFormat="1">
      <c r="A48" s="163" t="s">
        <v>1430</v>
      </c>
      <c r="B48" s="100">
        <v>6.43</v>
      </c>
      <c r="C48" s="100">
        <v>24.29</v>
      </c>
      <c r="D48" s="100">
        <v>19.190000000000001</v>
      </c>
      <c r="E48" s="100">
        <v>10.050000000000001</v>
      </c>
      <c r="F48" s="152" t="s">
        <v>15</v>
      </c>
      <c r="G48" s="100">
        <v>91.06</v>
      </c>
      <c r="H48" s="100">
        <v>38.26</v>
      </c>
      <c r="I48" s="100">
        <v>14.44</v>
      </c>
      <c r="J48" s="100">
        <v>0.66</v>
      </c>
      <c r="K48" s="100">
        <v>270.31</v>
      </c>
      <c r="L48" s="100">
        <v>28.6</v>
      </c>
      <c r="M48" s="100">
        <v>53.65</v>
      </c>
      <c r="N48" s="100">
        <v>244.5</v>
      </c>
      <c r="O48" s="100">
        <v>0</v>
      </c>
      <c r="P48" s="100">
        <v>0.98</v>
      </c>
      <c r="Q48" s="100">
        <v>12.95</v>
      </c>
      <c r="R48" s="6"/>
      <c r="S48" s="6"/>
      <c r="T48" s="156"/>
      <c r="U48" s="6"/>
    </row>
    <row r="49" spans="1:21" customFormat="1">
      <c r="A49" s="163" t="s">
        <v>1431</v>
      </c>
      <c r="B49" s="100">
        <v>5.73</v>
      </c>
      <c r="C49" s="100">
        <v>24.48</v>
      </c>
      <c r="D49" s="100">
        <v>18.739999999999998</v>
      </c>
      <c r="E49" s="100">
        <v>9.7899999999999991</v>
      </c>
      <c r="F49" s="152" t="s">
        <v>15</v>
      </c>
      <c r="G49" s="100">
        <v>91.06</v>
      </c>
      <c r="H49" s="100">
        <v>38.26</v>
      </c>
      <c r="I49" s="100">
        <v>14.3</v>
      </c>
      <c r="J49" s="100">
        <v>0.73</v>
      </c>
      <c r="K49" s="100">
        <v>260.7</v>
      </c>
      <c r="L49" s="100">
        <v>29.25</v>
      </c>
      <c r="M49" s="100">
        <v>51.3</v>
      </c>
      <c r="N49" s="100">
        <v>206.3</v>
      </c>
      <c r="O49" s="100">
        <v>0</v>
      </c>
      <c r="P49" s="100">
        <v>0.99</v>
      </c>
      <c r="Q49" s="100">
        <v>12.96</v>
      </c>
      <c r="R49" s="6"/>
      <c r="S49" s="6"/>
      <c r="T49" s="156"/>
      <c r="U49" s="6"/>
    </row>
    <row r="50" spans="1:21" customFormat="1">
      <c r="A50" s="163" t="s">
        <v>1432</v>
      </c>
      <c r="B50" s="100">
        <v>5.56</v>
      </c>
      <c r="C50" s="100">
        <v>25.11</v>
      </c>
      <c r="D50" s="100">
        <v>18.920000000000002</v>
      </c>
      <c r="E50" s="100">
        <v>12.3</v>
      </c>
      <c r="F50" s="152" t="s">
        <v>15</v>
      </c>
      <c r="G50" s="100">
        <v>91.06</v>
      </c>
      <c r="H50" s="100">
        <v>38.26</v>
      </c>
      <c r="I50" s="100">
        <v>13.99</v>
      </c>
      <c r="J50" s="100">
        <v>0.97</v>
      </c>
      <c r="K50" s="100">
        <v>264.81</v>
      </c>
      <c r="L50" s="100">
        <v>29.7</v>
      </c>
      <c r="M50" s="100">
        <v>49.54</v>
      </c>
      <c r="N50" s="100">
        <v>273.8</v>
      </c>
      <c r="O50" s="100">
        <v>0</v>
      </c>
      <c r="P50" s="100">
        <v>1.04</v>
      </c>
      <c r="Q50" s="100">
        <v>12.95</v>
      </c>
      <c r="R50" s="6"/>
      <c r="S50" s="6"/>
      <c r="T50" s="156"/>
      <c r="U50" s="6"/>
    </row>
    <row r="51" spans="1:21" customFormat="1">
      <c r="A51" s="163" t="s">
        <v>1433</v>
      </c>
      <c r="B51" s="100">
        <v>5.4</v>
      </c>
      <c r="C51" s="100">
        <v>24.58</v>
      </c>
      <c r="D51" s="100">
        <v>18.52</v>
      </c>
      <c r="E51" s="100">
        <v>11.55</v>
      </c>
      <c r="F51" s="152" t="s">
        <v>15</v>
      </c>
      <c r="G51" s="100">
        <v>90.81</v>
      </c>
      <c r="H51" s="100">
        <v>38.35</v>
      </c>
      <c r="I51" s="100">
        <v>14.5</v>
      </c>
      <c r="J51" s="100">
        <v>0.98</v>
      </c>
      <c r="K51" s="100">
        <v>259.55</v>
      </c>
      <c r="L51" s="100">
        <v>30.05</v>
      </c>
      <c r="M51" s="100">
        <v>47.94</v>
      </c>
      <c r="N51" s="100">
        <v>300.60000000000002</v>
      </c>
      <c r="O51" s="100">
        <v>0</v>
      </c>
      <c r="P51" s="100">
        <v>1.03</v>
      </c>
      <c r="Q51" s="100">
        <v>12.96</v>
      </c>
      <c r="R51" s="6"/>
      <c r="S51" s="6"/>
      <c r="T51" s="156"/>
      <c r="U51" s="6"/>
    </row>
    <row r="52" spans="1:21" customFormat="1">
      <c r="A52" s="163" t="s">
        <v>1434</v>
      </c>
      <c r="B52" s="100">
        <v>5.14</v>
      </c>
      <c r="C52" s="100">
        <v>24.64</v>
      </c>
      <c r="D52" s="100">
        <v>18.34</v>
      </c>
      <c r="E52" s="100">
        <v>11.31</v>
      </c>
      <c r="F52" s="152" t="s">
        <v>15</v>
      </c>
      <c r="G52" s="100">
        <v>85.36</v>
      </c>
      <c r="H52" s="100">
        <v>41.35</v>
      </c>
      <c r="I52" s="100">
        <v>14.09</v>
      </c>
      <c r="J52" s="100">
        <v>1.1499999999999999</v>
      </c>
      <c r="K52" s="100">
        <v>261.60000000000002</v>
      </c>
      <c r="L52" s="100">
        <v>30.38</v>
      </c>
      <c r="M52" s="100">
        <v>46.42</v>
      </c>
      <c r="N52" s="100">
        <v>309.8</v>
      </c>
      <c r="O52" s="100">
        <v>0</v>
      </c>
      <c r="P52" s="100">
        <v>1.02</v>
      </c>
      <c r="Q52" s="100">
        <v>12.97</v>
      </c>
      <c r="R52" s="6"/>
      <c r="S52" s="6"/>
      <c r="T52" s="156"/>
      <c r="U52" s="6"/>
    </row>
    <row r="53" spans="1:21" customFormat="1">
      <c r="A53" s="163" t="s">
        <v>1435</v>
      </c>
      <c r="B53" s="100">
        <v>4.88</v>
      </c>
      <c r="C53" s="100">
        <v>24.37</v>
      </c>
      <c r="D53" s="100">
        <v>18</v>
      </c>
      <c r="E53" s="100">
        <v>10.59</v>
      </c>
      <c r="F53" s="152" t="s">
        <v>15</v>
      </c>
      <c r="G53" s="100">
        <v>85.36</v>
      </c>
      <c r="H53" s="100">
        <v>41.35</v>
      </c>
      <c r="I53" s="100">
        <v>13.5</v>
      </c>
      <c r="J53" s="100">
        <v>0.81</v>
      </c>
      <c r="K53" s="100">
        <v>274.8</v>
      </c>
      <c r="L53" s="100">
        <v>31.08</v>
      </c>
      <c r="M53" s="100">
        <v>44.63</v>
      </c>
      <c r="N53" s="100">
        <v>316</v>
      </c>
      <c r="O53" s="100">
        <v>0</v>
      </c>
      <c r="P53" s="100">
        <v>1</v>
      </c>
      <c r="Q53" s="100">
        <v>12.94</v>
      </c>
      <c r="R53" s="6"/>
      <c r="S53" s="6"/>
      <c r="T53" s="156"/>
      <c r="U53" s="6"/>
    </row>
    <row r="54" spans="1:21" customFormat="1">
      <c r="A54" s="163" t="s">
        <v>1436</v>
      </c>
      <c r="B54" s="100">
        <v>4.76</v>
      </c>
      <c r="C54" s="100">
        <v>23.61</v>
      </c>
      <c r="D54" s="100">
        <v>17.5</v>
      </c>
      <c r="E54" s="100">
        <v>12.07</v>
      </c>
      <c r="F54" s="152" t="s">
        <v>15</v>
      </c>
      <c r="G54" s="100">
        <v>85.36</v>
      </c>
      <c r="H54" s="100">
        <v>41.35</v>
      </c>
      <c r="I54" s="100">
        <v>13.19</v>
      </c>
      <c r="J54" s="100">
        <v>1.3</v>
      </c>
      <c r="K54" s="100">
        <v>292.54000000000002</v>
      </c>
      <c r="L54" s="100">
        <v>31.24</v>
      </c>
      <c r="M54" s="100">
        <v>42.71</v>
      </c>
      <c r="N54" s="100">
        <v>303.60000000000002</v>
      </c>
      <c r="O54" s="100">
        <v>0</v>
      </c>
      <c r="P54" s="100">
        <v>1</v>
      </c>
      <c r="Q54" s="100">
        <v>12.94</v>
      </c>
      <c r="R54" s="6"/>
      <c r="S54" s="6"/>
      <c r="T54" s="156"/>
      <c r="U54" s="6"/>
    </row>
    <row r="55" spans="1:21" customFormat="1">
      <c r="A55" s="163" t="s">
        <v>1437</v>
      </c>
      <c r="B55" s="100">
        <v>4.6900000000000004</v>
      </c>
      <c r="C55" s="100">
        <v>23.48</v>
      </c>
      <c r="D55" s="100">
        <v>17.38</v>
      </c>
      <c r="E55" s="100">
        <v>14.18</v>
      </c>
      <c r="F55" s="152" t="s">
        <v>15</v>
      </c>
      <c r="G55" s="100">
        <v>84.73</v>
      </c>
      <c r="H55" s="100">
        <v>41.35</v>
      </c>
      <c r="I55" s="100">
        <v>12.86</v>
      </c>
      <c r="J55" s="100">
        <v>0.66</v>
      </c>
      <c r="K55" s="100">
        <v>270.68</v>
      </c>
      <c r="L55" s="100">
        <v>31.56</v>
      </c>
      <c r="M55" s="100">
        <v>41.96</v>
      </c>
      <c r="N55" s="100">
        <v>290.5</v>
      </c>
      <c r="O55" s="100">
        <v>0</v>
      </c>
      <c r="P55" s="100">
        <v>1</v>
      </c>
      <c r="Q55" s="100">
        <v>12.93</v>
      </c>
      <c r="R55" s="6"/>
      <c r="S55" s="6"/>
      <c r="T55" s="156"/>
      <c r="U55" s="6"/>
    </row>
    <row r="56" spans="1:21" customFormat="1">
      <c r="A56" s="163" t="s">
        <v>1438</v>
      </c>
      <c r="B56" s="100">
        <v>4.59</v>
      </c>
      <c r="C56" s="100">
        <v>23.2</v>
      </c>
      <c r="D56" s="100">
        <v>17.16</v>
      </c>
      <c r="E56" s="100">
        <v>15.95</v>
      </c>
      <c r="F56" s="152" t="s">
        <v>15</v>
      </c>
      <c r="G56" s="100">
        <v>71.010000000000005</v>
      </c>
      <c r="H56" s="100">
        <v>41.16</v>
      </c>
      <c r="I56" s="100">
        <v>12.63</v>
      </c>
      <c r="J56" s="100">
        <v>0.94</v>
      </c>
      <c r="K56" s="100">
        <v>299.79000000000002</v>
      </c>
      <c r="L56" s="100">
        <v>31.87</v>
      </c>
      <c r="M56" s="100">
        <v>40.57</v>
      </c>
      <c r="N56" s="100">
        <v>323.39999999999998</v>
      </c>
      <c r="O56" s="100">
        <v>0</v>
      </c>
      <c r="P56" s="100">
        <v>1.01</v>
      </c>
      <c r="Q56" s="100">
        <v>12.94</v>
      </c>
      <c r="R56" s="6"/>
      <c r="S56" s="6"/>
      <c r="T56" s="156"/>
      <c r="U56" s="6"/>
    </row>
    <row r="57" spans="1:21" customFormat="1">
      <c r="A57" s="163" t="s">
        <v>1439</v>
      </c>
      <c r="B57" s="100">
        <v>4.53</v>
      </c>
      <c r="C57" s="100">
        <v>23.79</v>
      </c>
      <c r="D57" s="100">
        <v>17.420000000000002</v>
      </c>
      <c r="E57" s="100">
        <v>15.17</v>
      </c>
      <c r="F57" s="152" t="s">
        <v>15</v>
      </c>
      <c r="G57" s="100">
        <v>71.010000000000005</v>
      </c>
      <c r="H57" s="100">
        <v>41.16</v>
      </c>
      <c r="I57" s="100">
        <v>12.74</v>
      </c>
      <c r="J57" s="100">
        <v>1.23</v>
      </c>
      <c r="K57" s="100">
        <v>312.27</v>
      </c>
      <c r="L57" s="100">
        <v>31.87</v>
      </c>
      <c r="M57" s="100">
        <v>37.89</v>
      </c>
      <c r="N57" s="100">
        <v>341.4</v>
      </c>
      <c r="O57" s="100">
        <v>0</v>
      </c>
      <c r="P57" s="100">
        <v>0.98</v>
      </c>
      <c r="Q57" s="100">
        <v>12.95</v>
      </c>
      <c r="R57" s="6"/>
      <c r="S57" s="6"/>
      <c r="T57" s="156"/>
      <c r="U57" s="6"/>
    </row>
    <row r="58" spans="1:21" customFormat="1">
      <c r="A58" s="163" t="s">
        <v>1440</v>
      </c>
      <c r="B58" s="100">
        <v>4.53</v>
      </c>
      <c r="C58" s="100">
        <v>23.94</v>
      </c>
      <c r="D58" s="100">
        <v>17.489999999999998</v>
      </c>
      <c r="E58" s="100">
        <v>13.97</v>
      </c>
      <c r="F58" s="152" t="s">
        <v>15</v>
      </c>
      <c r="G58" s="100">
        <v>71.010000000000005</v>
      </c>
      <c r="H58" s="100">
        <v>41.16</v>
      </c>
      <c r="I58" s="100">
        <v>12.74</v>
      </c>
      <c r="J58" s="100">
        <v>1.27</v>
      </c>
      <c r="K58" s="100">
        <v>312.86</v>
      </c>
      <c r="L58" s="100">
        <v>32.200000000000003</v>
      </c>
      <c r="M58" s="100">
        <v>34.43</v>
      </c>
      <c r="N58" s="100">
        <v>323.10000000000002</v>
      </c>
      <c r="O58" s="100">
        <v>0</v>
      </c>
      <c r="P58" s="100">
        <v>0.97</v>
      </c>
      <c r="Q58" s="100">
        <v>12.93</v>
      </c>
      <c r="R58" s="6"/>
      <c r="S58" s="6"/>
      <c r="T58" s="156"/>
      <c r="U58" s="6"/>
    </row>
    <row r="59" spans="1:21" customFormat="1">
      <c r="A59" s="163" t="s">
        <v>1441</v>
      </c>
      <c r="B59" s="100">
        <v>4.49</v>
      </c>
      <c r="C59" s="100">
        <v>23.38</v>
      </c>
      <c r="D59" s="100">
        <v>17.16</v>
      </c>
      <c r="E59" s="100">
        <v>12.92</v>
      </c>
      <c r="F59" s="152" t="s">
        <v>15</v>
      </c>
      <c r="G59" s="100">
        <v>71.3</v>
      </c>
      <c r="H59" s="100">
        <v>41.17</v>
      </c>
      <c r="I59" s="100">
        <v>12.34</v>
      </c>
      <c r="J59" s="100">
        <v>0.97</v>
      </c>
      <c r="K59" s="100">
        <v>287.60000000000002</v>
      </c>
      <c r="L59" s="100">
        <v>32.76</v>
      </c>
      <c r="M59" s="100">
        <v>33.89</v>
      </c>
      <c r="N59" s="100">
        <v>336.8</v>
      </c>
      <c r="O59" s="100">
        <v>0</v>
      </c>
      <c r="P59" s="100">
        <v>0.95</v>
      </c>
      <c r="Q59" s="100">
        <v>12.94</v>
      </c>
      <c r="R59" s="6"/>
      <c r="S59" s="6"/>
      <c r="T59" s="156"/>
      <c r="U59" s="6"/>
    </row>
    <row r="60" spans="1:21" customFormat="1">
      <c r="A60" s="163" t="s">
        <v>1442</v>
      </c>
      <c r="B60" s="100">
        <v>4.45</v>
      </c>
      <c r="C60" s="100">
        <v>22.9</v>
      </c>
      <c r="D60" s="100">
        <v>16.88</v>
      </c>
      <c r="E60" s="100">
        <v>13.44</v>
      </c>
      <c r="F60" s="152" t="s">
        <v>15</v>
      </c>
      <c r="G60" s="100">
        <v>77.45</v>
      </c>
      <c r="H60" s="100">
        <v>41.52</v>
      </c>
      <c r="I60" s="100">
        <v>12.02</v>
      </c>
      <c r="J60" s="100">
        <v>1.07</v>
      </c>
      <c r="K60" s="100">
        <v>311.57</v>
      </c>
      <c r="L60" s="100">
        <v>32.94</v>
      </c>
      <c r="M60" s="100">
        <v>29.31</v>
      </c>
      <c r="N60" s="100">
        <v>348.7</v>
      </c>
      <c r="O60" s="100">
        <v>0</v>
      </c>
      <c r="P60" s="100">
        <v>0.92</v>
      </c>
      <c r="Q60" s="100">
        <v>12.93</v>
      </c>
      <c r="R60" s="6"/>
      <c r="S60" s="6"/>
      <c r="T60" s="156"/>
      <c r="U60" s="6"/>
    </row>
    <row r="61" spans="1:21" customFormat="1">
      <c r="A61" s="163" t="s">
        <v>1443</v>
      </c>
      <c r="B61" s="100">
        <v>4.43</v>
      </c>
      <c r="C61" s="100">
        <v>22.55</v>
      </c>
      <c r="D61" s="100">
        <v>16.68</v>
      </c>
      <c r="E61" s="100">
        <v>12.25</v>
      </c>
      <c r="F61" s="152" t="s">
        <v>15</v>
      </c>
      <c r="G61" s="100">
        <v>77.45</v>
      </c>
      <c r="H61" s="100">
        <v>41.52</v>
      </c>
      <c r="I61" s="100">
        <v>11.51</v>
      </c>
      <c r="J61" s="100">
        <v>1.0900000000000001</v>
      </c>
      <c r="K61" s="100">
        <v>289.73</v>
      </c>
      <c r="L61" s="100">
        <v>33.409999999999997</v>
      </c>
      <c r="M61" s="100">
        <v>27.12</v>
      </c>
      <c r="N61" s="100">
        <v>338.4</v>
      </c>
      <c r="O61" s="100">
        <v>0</v>
      </c>
      <c r="P61" s="100">
        <v>0.9</v>
      </c>
      <c r="Q61" s="100">
        <v>12.93</v>
      </c>
      <c r="R61" s="6"/>
      <c r="S61" s="6"/>
      <c r="T61" s="156"/>
      <c r="U61" s="6"/>
    </row>
    <row r="62" spans="1:21" customFormat="1">
      <c r="A62" s="163" t="s">
        <v>1444</v>
      </c>
      <c r="B62" s="100">
        <v>4.38</v>
      </c>
      <c r="C62" s="100">
        <v>22.46</v>
      </c>
      <c r="D62" s="100">
        <v>16.600000000000001</v>
      </c>
      <c r="E62" s="100">
        <v>11.51</v>
      </c>
      <c r="F62" s="152" t="s">
        <v>15</v>
      </c>
      <c r="G62" s="100">
        <v>77.45</v>
      </c>
      <c r="H62" s="100">
        <v>41.52</v>
      </c>
      <c r="I62" s="100">
        <v>11.09</v>
      </c>
      <c r="J62" s="100">
        <v>1.39</v>
      </c>
      <c r="K62" s="100">
        <v>299.04000000000002</v>
      </c>
      <c r="L62" s="100">
        <v>32.9</v>
      </c>
      <c r="M62" s="100">
        <v>25.58</v>
      </c>
      <c r="N62" s="100">
        <v>333.1</v>
      </c>
      <c r="O62" s="100">
        <v>0</v>
      </c>
      <c r="P62" s="100">
        <v>0.89</v>
      </c>
      <c r="Q62" s="100">
        <v>12.94</v>
      </c>
      <c r="R62" s="6"/>
      <c r="S62" s="6"/>
      <c r="T62" s="156"/>
      <c r="U62" s="6"/>
    </row>
    <row r="63" spans="1:21" customFormat="1">
      <c r="A63" s="163" t="s">
        <v>1445</v>
      </c>
      <c r="B63" s="100">
        <v>4.29</v>
      </c>
      <c r="C63" s="100">
        <v>22.96</v>
      </c>
      <c r="D63" s="100">
        <v>16.78</v>
      </c>
      <c r="E63" s="100">
        <v>14.95</v>
      </c>
      <c r="F63" s="152" t="s">
        <v>15</v>
      </c>
      <c r="G63" s="100">
        <v>76.180000000000007</v>
      </c>
      <c r="H63" s="100">
        <v>41.51</v>
      </c>
      <c r="I63" s="100">
        <v>10.93</v>
      </c>
      <c r="J63" s="100">
        <v>0.98</v>
      </c>
      <c r="K63" s="100">
        <v>323.66000000000003</v>
      </c>
      <c r="L63" s="100">
        <v>33.090000000000003</v>
      </c>
      <c r="M63" s="100">
        <v>24.87</v>
      </c>
      <c r="N63" s="100">
        <v>330.3</v>
      </c>
      <c r="O63" s="100">
        <v>0</v>
      </c>
      <c r="P63" s="100">
        <v>0.76</v>
      </c>
      <c r="Q63" s="100">
        <v>12.92</v>
      </c>
      <c r="R63" s="6"/>
      <c r="S63" s="6"/>
      <c r="T63" s="156"/>
      <c r="U63" s="6"/>
    </row>
    <row r="64" spans="1:21" customFormat="1">
      <c r="A64" s="163" t="s">
        <v>1446</v>
      </c>
      <c r="B64" s="100">
        <v>3.9</v>
      </c>
      <c r="C64" s="100">
        <v>22.83</v>
      </c>
      <c r="D64" s="100">
        <v>16.399999999999999</v>
      </c>
      <c r="E64" s="100">
        <v>14.86</v>
      </c>
      <c r="F64" s="152" t="s">
        <v>15</v>
      </c>
      <c r="G64" s="100">
        <v>39.340000000000003</v>
      </c>
      <c r="H64" s="100">
        <v>41.09</v>
      </c>
      <c r="I64" s="100">
        <v>10.27</v>
      </c>
      <c r="J64" s="100">
        <v>1.24</v>
      </c>
      <c r="K64" s="100">
        <v>301.45</v>
      </c>
      <c r="L64" s="100">
        <v>33.39</v>
      </c>
      <c r="M64" s="100">
        <v>24.33</v>
      </c>
      <c r="N64" s="100">
        <v>336.9</v>
      </c>
      <c r="O64" s="100">
        <v>0</v>
      </c>
      <c r="P64" s="100">
        <v>0.69</v>
      </c>
      <c r="Q64" s="100">
        <v>12.93</v>
      </c>
      <c r="R64" s="6"/>
      <c r="S64" s="6"/>
      <c r="T64" s="156"/>
      <c r="U64" s="6"/>
    </row>
    <row r="65" spans="1:21" customFormat="1">
      <c r="A65" s="163" t="s">
        <v>1447</v>
      </c>
      <c r="B65" s="100">
        <v>3.79</v>
      </c>
      <c r="C65" s="100">
        <v>21.69</v>
      </c>
      <c r="D65" s="100">
        <v>15.72</v>
      </c>
      <c r="E65" s="100">
        <v>13.12</v>
      </c>
      <c r="F65" s="152" t="s">
        <v>15</v>
      </c>
      <c r="G65" s="100">
        <v>39.340000000000003</v>
      </c>
      <c r="H65" s="100">
        <v>41.09</v>
      </c>
      <c r="I65" s="100">
        <v>8.24</v>
      </c>
      <c r="J65" s="100">
        <v>1.27</v>
      </c>
      <c r="K65" s="100">
        <v>290.64</v>
      </c>
      <c r="L65" s="100">
        <v>33.380000000000003</v>
      </c>
      <c r="M65" s="100">
        <v>22.76</v>
      </c>
      <c r="N65" s="100">
        <v>333</v>
      </c>
      <c r="O65" s="100">
        <v>0</v>
      </c>
      <c r="P65" s="100">
        <v>0.46</v>
      </c>
      <c r="Q65" s="100">
        <v>12.92</v>
      </c>
      <c r="R65" s="6"/>
      <c r="S65" s="6"/>
      <c r="T65" s="156"/>
      <c r="U65" s="6"/>
    </row>
    <row r="66" spans="1:21" customFormat="1">
      <c r="A66" s="163" t="s">
        <v>1448</v>
      </c>
      <c r="B66" s="100">
        <v>3.79</v>
      </c>
      <c r="C66" s="100">
        <v>21.03</v>
      </c>
      <c r="D66" s="100">
        <v>15.38</v>
      </c>
      <c r="E66" s="100">
        <v>12.4</v>
      </c>
      <c r="F66" s="152" t="s">
        <v>15</v>
      </c>
      <c r="G66" s="100">
        <v>39.340000000000003</v>
      </c>
      <c r="H66" s="100">
        <v>41.09</v>
      </c>
      <c r="I66" s="100">
        <v>6.87</v>
      </c>
      <c r="J66" s="100">
        <v>1</v>
      </c>
      <c r="K66" s="100">
        <v>289.63</v>
      </c>
      <c r="L66" s="100">
        <v>33.46</v>
      </c>
      <c r="M66" s="100">
        <v>23.75</v>
      </c>
      <c r="N66" s="100">
        <v>322</v>
      </c>
      <c r="O66" s="100">
        <v>0</v>
      </c>
      <c r="P66" s="100">
        <v>0.46</v>
      </c>
      <c r="Q66" s="100">
        <v>12.92</v>
      </c>
      <c r="R66" s="6"/>
      <c r="S66" s="6"/>
      <c r="T66" s="156"/>
      <c r="U66" s="6"/>
    </row>
    <row r="67" spans="1:21" customFormat="1">
      <c r="A67" s="163" t="s">
        <v>1449</v>
      </c>
      <c r="B67" s="100">
        <v>3.6</v>
      </c>
      <c r="C67" s="100">
        <v>20.55</v>
      </c>
      <c r="D67" s="100">
        <v>14.97</v>
      </c>
      <c r="E67" s="100">
        <v>13.3</v>
      </c>
      <c r="F67" s="152" t="s">
        <v>15</v>
      </c>
      <c r="G67" s="100">
        <v>39.340000000000003</v>
      </c>
      <c r="H67" s="100">
        <v>41.09</v>
      </c>
      <c r="I67" s="100">
        <v>5.99</v>
      </c>
      <c r="J67" s="100">
        <v>0.98</v>
      </c>
      <c r="K67" s="100">
        <v>287.33999999999997</v>
      </c>
      <c r="L67" s="100">
        <v>33.6</v>
      </c>
      <c r="M67" s="100">
        <v>23.65</v>
      </c>
      <c r="N67" s="100">
        <v>256.89999999999998</v>
      </c>
      <c r="O67" s="100">
        <v>0</v>
      </c>
      <c r="P67" s="100">
        <v>0.41</v>
      </c>
      <c r="Q67" s="100">
        <v>12.94</v>
      </c>
      <c r="R67" s="6"/>
      <c r="S67" s="6"/>
      <c r="T67" s="156"/>
      <c r="U67" s="6"/>
    </row>
    <row r="68" spans="1:21" customFormat="1">
      <c r="A68" s="163" t="s">
        <v>1450</v>
      </c>
      <c r="B68" s="100">
        <v>3.62</v>
      </c>
      <c r="C68" s="100">
        <v>20.34</v>
      </c>
      <c r="D68" s="100">
        <v>14.88</v>
      </c>
      <c r="E68" s="100">
        <v>11.9</v>
      </c>
      <c r="F68" s="152" t="s">
        <v>15</v>
      </c>
      <c r="G68" s="100">
        <v>39.340000000000003</v>
      </c>
      <c r="H68" s="100">
        <v>41.09</v>
      </c>
      <c r="I68" s="100">
        <v>5.36</v>
      </c>
      <c r="J68" s="100">
        <v>1.43</v>
      </c>
      <c r="K68" s="100">
        <v>308.68</v>
      </c>
      <c r="L68" s="100">
        <v>33.119999999999997</v>
      </c>
      <c r="M68" s="100">
        <v>23.76</v>
      </c>
      <c r="N68" s="100">
        <v>104</v>
      </c>
      <c r="O68" s="100">
        <v>0</v>
      </c>
      <c r="P68" s="100">
        <v>0.42</v>
      </c>
      <c r="Q68" s="100">
        <v>12.94</v>
      </c>
      <c r="R68" s="6"/>
      <c r="S68" s="6"/>
      <c r="T68" s="156"/>
      <c r="U68" s="6"/>
    </row>
    <row r="69" spans="1:21" customFormat="1">
      <c r="A69" s="163" t="s">
        <v>1451</v>
      </c>
      <c r="B69" s="100">
        <v>3.59</v>
      </c>
      <c r="C69" s="100">
        <v>20.02</v>
      </c>
      <c r="D69" s="100">
        <v>14.69</v>
      </c>
      <c r="E69" s="100">
        <v>12.15</v>
      </c>
      <c r="F69" s="152" t="s">
        <v>15</v>
      </c>
      <c r="G69" s="100">
        <v>39.340000000000003</v>
      </c>
      <c r="H69" s="100">
        <v>41.09</v>
      </c>
      <c r="I69" s="100">
        <v>4.9000000000000004</v>
      </c>
      <c r="J69" s="100">
        <v>-0.8</v>
      </c>
      <c r="K69" s="100">
        <v>274.92</v>
      </c>
      <c r="L69" s="100">
        <v>33.06</v>
      </c>
      <c r="M69" s="100">
        <v>24.64</v>
      </c>
      <c r="N69" s="100">
        <v>68.2</v>
      </c>
      <c r="O69" s="100">
        <v>0</v>
      </c>
      <c r="P69" s="100">
        <v>0.31</v>
      </c>
      <c r="Q69" s="100">
        <v>12.94</v>
      </c>
      <c r="R69" s="6"/>
      <c r="S69" s="6"/>
      <c r="T69" s="156"/>
      <c r="U69" s="6"/>
    </row>
    <row r="70" spans="1:21" customFormat="1">
      <c r="A70" s="163" t="s">
        <v>1452</v>
      </c>
      <c r="B70" s="100">
        <v>3.69</v>
      </c>
      <c r="C70" s="100">
        <v>19.399999999999999</v>
      </c>
      <c r="D70" s="100">
        <v>14.45</v>
      </c>
      <c r="E70" s="100">
        <v>12.26</v>
      </c>
      <c r="F70" s="152" t="s">
        <v>15</v>
      </c>
      <c r="G70" s="100">
        <v>0</v>
      </c>
      <c r="H70" s="100">
        <v>0</v>
      </c>
      <c r="I70" s="100">
        <v>4.6900000000000004</v>
      </c>
      <c r="J70" s="100">
        <v>1.01</v>
      </c>
      <c r="K70" s="100">
        <v>270.11</v>
      </c>
      <c r="L70" s="100">
        <v>33.03</v>
      </c>
      <c r="M70" s="100">
        <v>23.51</v>
      </c>
      <c r="N70" s="100">
        <v>69.2</v>
      </c>
      <c r="O70" s="100">
        <v>0</v>
      </c>
      <c r="P70" s="100">
        <v>0.27</v>
      </c>
      <c r="Q70" s="100">
        <v>12.94</v>
      </c>
      <c r="R70" s="6"/>
      <c r="S70" s="6"/>
      <c r="T70" s="156"/>
      <c r="U70" s="6"/>
    </row>
    <row r="71" spans="1:21" customFormat="1">
      <c r="A71" s="163" t="s">
        <v>1453</v>
      </c>
      <c r="B71" s="100">
        <v>3.83</v>
      </c>
      <c r="C71" s="100">
        <v>19.12</v>
      </c>
      <c r="D71" s="100">
        <v>14.41</v>
      </c>
      <c r="E71" s="100">
        <v>11.42</v>
      </c>
      <c r="F71" s="152" t="s">
        <v>15</v>
      </c>
      <c r="G71" s="100">
        <v>0</v>
      </c>
      <c r="H71" s="100">
        <v>0</v>
      </c>
      <c r="I71" s="100">
        <v>3.76</v>
      </c>
      <c r="J71" s="100">
        <v>1.49</v>
      </c>
      <c r="K71" s="100">
        <v>298.13</v>
      </c>
      <c r="L71" s="100">
        <v>32.869999999999997</v>
      </c>
      <c r="M71" s="100">
        <v>22.39</v>
      </c>
      <c r="N71" s="100">
        <v>63.9</v>
      </c>
      <c r="O71" s="100">
        <v>0</v>
      </c>
      <c r="P71" s="100">
        <v>0.26</v>
      </c>
      <c r="Q71" s="100">
        <v>12.95</v>
      </c>
      <c r="R71" s="6"/>
      <c r="S71" s="6"/>
      <c r="T71" s="156"/>
      <c r="U71" s="6"/>
    </row>
    <row r="72" spans="1:21" customFormat="1">
      <c r="A72" s="163" t="s">
        <v>1454</v>
      </c>
      <c r="B72" s="100">
        <v>3.85</v>
      </c>
      <c r="C72" s="100">
        <v>19.38</v>
      </c>
      <c r="D72" s="100">
        <v>14.57</v>
      </c>
      <c r="E72" s="100">
        <v>8.27</v>
      </c>
      <c r="F72" s="152" t="s">
        <v>15</v>
      </c>
      <c r="G72" s="100">
        <v>0</v>
      </c>
      <c r="H72" s="100">
        <v>0</v>
      </c>
      <c r="I72" s="100">
        <v>4.0599999999999996</v>
      </c>
      <c r="J72" s="100">
        <v>1.23</v>
      </c>
      <c r="K72" s="100">
        <v>294.62</v>
      </c>
      <c r="L72" s="100">
        <v>32.82</v>
      </c>
      <c r="M72" s="100">
        <v>21.74</v>
      </c>
      <c r="N72" s="100">
        <v>52.6</v>
      </c>
      <c r="O72" s="100">
        <v>0</v>
      </c>
      <c r="P72" s="100">
        <v>0.3</v>
      </c>
      <c r="Q72" s="100">
        <v>12.93</v>
      </c>
      <c r="R72" s="6"/>
      <c r="S72" s="6"/>
      <c r="T72" s="156"/>
      <c r="U72" s="6"/>
    </row>
    <row r="73" spans="1:21" customFormat="1">
      <c r="A73" s="163" t="s">
        <v>1455</v>
      </c>
      <c r="B73" s="100">
        <v>3.93</v>
      </c>
      <c r="C73" s="100">
        <v>19.79</v>
      </c>
      <c r="D73" s="100">
        <v>14.84</v>
      </c>
      <c r="E73" s="100">
        <v>8.0299999999999994</v>
      </c>
      <c r="F73" s="152" t="s">
        <v>15</v>
      </c>
      <c r="G73" s="100">
        <v>0</v>
      </c>
      <c r="H73" s="100">
        <v>0</v>
      </c>
      <c r="I73" s="100">
        <v>4.34</v>
      </c>
      <c r="J73" s="100">
        <v>1.55</v>
      </c>
      <c r="K73" s="100">
        <v>302.04000000000002</v>
      </c>
      <c r="L73" s="100">
        <v>32.659999999999997</v>
      </c>
      <c r="M73" s="100">
        <v>21.46</v>
      </c>
      <c r="N73" s="100">
        <v>55.5</v>
      </c>
      <c r="O73" s="100">
        <v>0</v>
      </c>
      <c r="P73" s="100">
        <v>0.31</v>
      </c>
      <c r="Q73" s="100">
        <v>12.94</v>
      </c>
      <c r="R73" s="6"/>
      <c r="S73" s="6"/>
      <c r="T73" s="156"/>
      <c r="U73" s="6"/>
    </row>
    <row r="74" spans="1:21" customFormat="1">
      <c r="A74" s="163" t="s">
        <v>1456</v>
      </c>
      <c r="B74" s="100">
        <v>4.03</v>
      </c>
      <c r="C74" s="100">
        <v>20</v>
      </c>
      <c r="D74" s="100">
        <v>15.04</v>
      </c>
      <c r="E74" s="100">
        <v>8.02</v>
      </c>
      <c r="F74" s="152" t="s">
        <v>15</v>
      </c>
      <c r="G74" s="100">
        <v>26.2</v>
      </c>
      <c r="H74" s="100">
        <v>21.25</v>
      </c>
      <c r="I74" s="100">
        <v>4.49</v>
      </c>
      <c r="J74" s="100">
        <v>1.62</v>
      </c>
      <c r="K74" s="100">
        <v>304.8</v>
      </c>
      <c r="L74" s="100">
        <v>32.369999999999997</v>
      </c>
      <c r="M74" s="100">
        <v>21.23</v>
      </c>
      <c r="N74" s="100">
        <v>42.7</v>
      </c>
      <c r="O74" s="100">
        <v>0</v>
      </c>
      <c r="P74" s="100">
        <v>0.32</v>
      </c>
      <c r="Q74" s="100">
        <v>12.93</v>
      </c>
      <c r="R74" s="6"/>
      <c r="S74" s="6"/>
      <c r="T74" s="156"/>
      <c r="U74" s="6"/>
    </row>
    <row r="75" spans="1:21" customFormat="1">
      <c r="A75" s="163" t="s">
        <v>1457</v>
      </c>
      <c r="B75" s="100">
        <v>4.1500000000000004</v>
      </c>
      <c r="C75" s="100">
        <v>20.12</v>
      </c>
      <c r="D75" s="100">
        <v>15.19</v>
      </c>
      <c r="E75" s="100">
        <v>7.8</v>
      </c>
      <c r="F75" s="152" t="s">
        <v>15</v>
      </c>
      <c r="G75" s="100">
        <v>35.72</v>
      </c>
      <c r="H75" s="100">
        <v>21.58</v>
      </c>
      <c r="I75" s="100">
        <v>4.59</v>
      </c>
      <c r="J75" s="100">
        <v>1.56</v>
      </c>
      <c r="K75" s="100">
        <v>309.86</v>
      </c>
      <c r="L75" s="100">
        <v>32.1</v>
      </c>
      <c r="M75" s="100">
        <v>21.41</v>
      </c>
      <c r="N75" s="100">
        <v>41.2</v>
      </c>
      <c r="O75" s="100">
        <v>0</v>
      </c>
      <c r="P75" s="100">
        <v>0.32</v>
      </c>
      <c r="Q75" s="100">
        <v>12.93</v>
      </c>
      <c r="R75" s="6"/>
      <c r="S75" s="6"/>
      <c r="T75" s="156"/>
      <c r="U75" s="6"/>
    </row>
    <row r="76" spans="1:21" customFormat="1">
      <c r="A76" s="163" t="s">
        <v>1458</v>
      </c>
      <c r="B76" s="100">
        <v>4.25</v>
      </c>
      <c r="C76" s="100">
        <v>20.46</v>
      </c>
      <c r="D76" s="100">
        <v>15.45</v>
      </c>
      <c r="E76" s="100">
        <v>7.67</v>
      </c>
      <c r="F76" s="152" t="s">
        <v>15</v>
      </c>
      <c r="G76" s="100">
        <v>35.72</v>
      </c>
      <c r="H76" s="100">
        <v>21.58</v>
      </c>
      <c r="I76" s="100">
        <v>4.63</v>
      </c>
      <c r="J76" s="100">
        <v>1.47</v>
      </c>
      <c r="K76" s="100">
        <v>302.33999999999997</v>
      </c>
      <c r="L76" s="100">
        <v>31.88</v>
      </c>
      <c r="M76" s="100">
        <v>21.71</v>
      </c>
      <c r="N76" s="100">
        <v>36.4</v>
      </c>
      <c r="O76" s="100">
        <v>0</v>
      </c>
      <c r="P76" s="100">
        <v>0.31</v>
      </c>
      <c r="Q76" s="100">
        <v>12.92</v>
      </c>
      <c r="R76" s="6"/>
      <c r="S76" s="6"/>
      <c r="T76" s="156"/>
      <c r="U76" s="6"/>
    </row>
    <row r="77" spans="1:21" customFormat="1">
      <c r="A77" s="163" t="s">
        <v>1459</v>
      </c>
      <c r="B77" s="100">
        <v>4.32</v>
      </c>
      <c r="C77" s="100">
        <v>20.81</v>
      </c>
      <c r="D77" s="100">
        <v>15.69</v>
      </c>
      <c r="E77" s="100">
        <v>8.0299999999999994</v>
      </c>
      <c r="F77" s="152" t="s">
        <v>15</v>
      </c>
      <c r="G77" s="100">
        <v>35.72</v>
      </c>
      <c r="H77" s="100">
        <v>21.58</v>
      </c>
      <c r="I77" s="100">
        <v>4.68</v>
      </c>
      <c r="J77" s="100">
        <v>1.39</v>
      </c>
      <c r="K77" s="100">
        <v>306.07</v>
      </c>
      <c r="L77" s="100">
        <v>31.58</v>
      </c>
      <c r="M77" s="100">
        <v>22</v>
      </c>
      <c r="N77" s="100">
        <v>21.8</v>
      </c>
      <c r="O77" s="100">
        <v>0</v>
      </c>
      <c r="P77" s="100">
        <v>0.33</v>
      </c>
      <c r="Q77" s="100">
        <v>12.93</v>
      </c>
      <c r="R77" s="6"/>
      <c r="S77" s="6"/>
      <c r="T77" s="156"/>
      <c r="U77" s="6"/>
    </row>
    <row r="78" spans="1:21" customFormat="1">
      <c r="A78" s="163" t="s">
        <v>1460</v>
      </c>
      <c r="B78" s="100">
        <v>4.3099999999999996</v>
      </c>
      <c r="C78" s="100">
        <v>21.11</v>
      </c>
      <c r="D78" s="100">
        <v>15.84</v>
      </c>
      <c r="E78" s="100">
        <v>8.19</v>
      </c>
      <c r="F78" s="152" t="s">
        <v>15</v>
      </c>
      <c r="G78" s="100">
        <v>36.1</v>
      </c>
      <c r="H78" s="100">
        <v>23.91</v>
      </c>
      <c r="I78" s="100">
        <v>4.76</v>
      </c>
      <c r="J78" s="100">
        <v>1.01</v>
      </c>
      <c r="K78" s="100">
        <v>297.23</v>
      </c>
      <c r="L78" s="100">
        <v>31.17</v>
      </c>
      <c r="M78" s="100">
        <v>23.17</v>
      </c>
      <c r="N78" s="100">
        <v>14.6</v>
      </c>
      <c r="O78" s="100">
        <v>0</v>
      </c>
      <c r="P78" s="100">
        <v>0.34</v>
      </c>
      <c r="Q78" s="100">
        <v>12.93</v>
      </c>
      <c r="R78" s="6"/>
      <c r="S78" s="6"/>
      <c r="T78" s="156"/>
      <c r="U78" s="6"/>
    </row>
    <row r="79" spans="1:21" customFormat="1">
      <c r="A79" s="163" t="s">
        <v>1461</v>
      </c>
      <c r="B79" s="100">
        <v>4.37</v>
      </c>
      <c r="C79" s="100">
        <v>21.47</v>
      </c>
      <c r="D79" s="100">
        <v>16.07</v>
      </c>
      <c r="E79" s="100">
        <v>8.51</v>
      </c>
      <c r="F79" s="152" t="s">
        <v>15</v>
      </c>
      <c r="G79" s="100">
        <v>36.24</v>
      </c>
      <c r="H79" s="100">
        <v>23.94</v>
      </c>
      <c r="I79" s="100">
        <v>4.8</v>
      </c>
      <c r="J79" s="100">
        <v>0.8</v>
      </c>
      <c r="K79" s="100">
        <v>298.33</v>
      </c>
      <c r="L79" s="100">
        <v>30.73</v>
      </c>
      <c r="M79" s="100">
        <v>24.21</v>
      </c>
      <c r="N79" s="100">
        <v>8.1999999999999993</v>
      </c>
      <c r="O79" s="100">
        <v>0</v>
      </c>
      <c r="P79" s="100">
        <v>0.34</v>
      </c>
      <c r="Q79" s="100">
        <v>12.93</v>
      </c>
      <c r="R79" s="6"/>
      <c r="S79" s="6"/>
      <c r="T79" s="156"/>
      <c r="U79" s="6"/>
    </row>
    <row r="80" spans="1:21" customFormat="1">
      <c r="A80" s="163" t="s">
        <v>1462</v>
      </c>
      <c r="B80" s="100">
        <v>4.47</v>
      </c>
      <c r="C80" s="100">
        <v>22.15</v>
      </c>
      <c r="D80" s="100">
        <v>16.510000000000002</v>
      </c>
      <c r="E80" s="100">
        <v>8.1999999999999993</v>
      </c>
      <c r="F80" s="152" t="s">
        <v>15</v>
      </c>
      <c r="G80" s="100">
        <v>36.24</v>
      </c>
      <c r="H80" s="100">
        <v>23.94</v>
      </c>
      <c r="I80" s="100">
        <v>4.9000000000000004</v>
      </c>
      <c r="J80" s="100">
        <v>0.74</v>
      </c>
      <c r="K80" s="100">
        <v>309.52</v>
      </c>
      <c r="L80" s="100">
        <v>30.24</v>
      </c>
      <c r="M80" s="100">
        <v>25.19</v>
      </c>
      <c r="N80" s="100">
        <v>3.3</v>
      </c>
      <c r="O80" s="100">
        <v>0</v>
      </c>
      <c r="P80" s="100">
        <v>0.37</v>
      </c>
      <c r="Q80" s="100">
        <v>12.92</v>
      </c>
      <c r="R80" s="6"/>
      <c r="S80" s="6"/>
      <c r="T80" s="156"/>
      <c r="U80" s="6"/>
    </row>
    <row r="81" spans="1:21" customFormat="1">
      <c r="A81" s="163" t="s">
        <v>1463</v>
      </c>
      <c r="B81" s="100">
        <v>4.8</v>
      </c>
      <c r="C81" s="100">
        <v>22.91</v>
      </c>
      <c r="D81" s="100">
        <v>17.170000000000002</v>
      </c>
      <c r="E81" s="100">
        <v>7.68</v>
      </c>
      <c r="F81" s="152" t="s">
        <v>15</v>
      </c>
      <c r="G81" s="100">
        <v>36.24</v>
      </c>
      <c r="H81" s="100">
        <v>23.94</v>
      </c>
      <c r="I81" s="100">
        <v>5</v>
      </c>
      <c r="J81" s="100">
        <v>1.0900000000000001</v>
      </c>
      <c r="K81" s="100">
        <v>307.3</v>
      </c>
      <c r="L81" s="100">
        <v>30.09</v>
      </c>
      <c r="M81" s="100">
        <v>24.86</v>
      </c>
      <c r="N81" s="100">
        <v>1.4</v>
      </c>
      <c r="O81" s="100">
        <v>0</v>
      </c>
      <c r="P81" s="100">
        <v>0.38</v>
      </c>
      <c r="Q81" s="100">
        <v>12.93</v>
      </c>
      <c r="R81" s="6"/>
      <c r="S81" s="6"/>
      <c r="T81" s="156"/>
      <c r="U81" s="6"/>
    </row>
    <row r="82" spans="1:21" customFormat="1">
      <c r="A82" s="163" t="s">
        <v>1464</v>
      </c>
      <c r="B82" s="100">
        <v>5.09</v>
      </c>
      <c r="C82" s="100">
        <v>23.55</v>
      </c>
      <c r="D82" s="100">
        <v>17.739999999999998</v>
      </c>
      <c r="E82" s="100">
        <v>9.0299999999999994</v>
      </c>
      <c r="F82" s="152" t="s">
        <v>15</v>
      </c>
      <c r="G82" s="100">
        <v>39.700000000000003</v>
      </c>
      <c r="H82" s="100">
        <v>25.74</v>
      </c>
      <c r="I82" s="100">
        <v>5.16</v>
      </c>
      <c r="J82" s="100">
        <v>0.96</v>
      </c>
      <c r="K82" s="100">
        <v>301.58999999999997</v>
      </c>
      <c r="L82" s="100">
        <v>29.78</v>
      </c>
      <c r="M82" s="100">
        <v>24.83</v>
      </c>
      <c r="N82" s="100">
        <v>1.1000000000000001</v>
      </c>
      <c r="O82" s="100">
        <v>0</v>
      </c>
      <c r="P82" s="100">
        <v>0.4</v>
      </c>
      <c r="Q82" s="100">
        <v>12.94</v>
      </c>
      <c r="R82" s="6"/>
      <c r="S82" s="6"/>
      <c r="T82" s="156"/>
      <c r="U82" s="6"/>
    </row>
    <row r="83" spans="1:21" customFormat="1">
      <c r="A83" s="163" t="s">
        <v>1465</v>
      </c>
      <c r="B83" s="100">
        <v>5.16</v>
      </c>
      <c r="C83" s="100">
        <v>23.93</v>
      </c>
      <c r="D83" s="100">
        <v>17.989999999999998</v>
      </c>
      <c r="E83" s="100">
        <v>9.36</v>
      </c>
      <c r="F83" s="152" t="s">
        <v>15</v>
      </c>
      <c r="G83" s="100">
        <v>40.96</v>
      </c>
      <c r="H83" s="100">
        <v>25.77</v>
      </c>
      <c r="I83" s="100">
        <v>5.35</v>
      </c>
      <c r="J83" s="100">
        <v>1.04</v>
      </c>
      <c r="K83" s="100">
        <v>296.8</v>
      </c>
      <c r="L83" s="100">
        <v>29.64</v>
      </c>
      <c r="M83" s="100">
        <v>23.88</v>
      </c>
      <c r="N83" s="100">
        <v>0.9</v>
      </c>
      <c r="O83" s="100">
        <v>0</v>
      </c>
      <c r="P83" s="100">
        <v>0.4</v>
      </c>
      <c r="Q83" s="100">
        <v>12.95</v>
      </c>
      <c r="R83" s="6"/>
      <c r="S83" s="6"/>
      <c r="T83" s="156"/>
      <c r="U83" s="6"/>
    </row>
    <row r="84" spans="1:21" customFormat="1">
      <c r="A84" s="163" t="s">
        <v>1466</v>
      </c>
      <c r="B84" s="100">
        <v>5.07</v>
      </c>
      <c r="C84" s="100">
        <v>24.13</v>
      </c>
      <c r="D84" s="100">
        <v>18.02</v>
      </c>
      <c r="E84" s="100">
        <v>8.92</v>
      </c>
      <c r="F84" s="152" t="s">
        <v>15</v>
      </c>
      <c r="G84" s="100">
        <v>40.96</v>
      </c>
      <c r="H84" s="100">
        <v>25.77</v>
      </c>
      <c r="I84" s="100">
        <v>5.45</v>
      </c>
      <c r="J84" s="100">
        <v>0.92</v>
      </c>
      <c r="K84" s="100">
        <v>286.69</v>
      </c>
      <c r="L84" s="100">
        <v>29.42</v>
      </c>
      <c r="M84" s="100">
        <v>23.78</v>
      </c>
      <c r="N84" s="100">
        <v>1</v>
      </c>
      <c r="O84" s="100">
        <v>0</v>
      </c>
      <c r="P84" s="100">
        <v>0.41</v>
      </c>
      <c r="Q84" s="100">
        <v>12.95</v>
      </c>
      <c r="R84" s="6"/>
      <c r="S84" s="6"/>
      <c r="T84" s="156"/>
      <c r="U84" s="6"/>
    </row>
    <row r="85" spans="1:21" customFormat="1">
      <c r="A85" s="163" t="s">
        <v>1467</v>
      </c>
      <c r="B85" s="100">
        <v>4.88</v>
      </c>
      <c r="C85" s="100">
        <v>24.05</v>
      </c>
      <c r="D85" s="100">
        <v>17.829999999999998</v>
      </c>
      <c r="E85" s="100">
        <v>9.07</v>
      </c>
      <c r="F85" s="152" t="s">
        <v>15</v>
      </c>
      <c r="G85" s="100">
        <v>40.96</v>
      </c>
      <c r="H85" s="100">
        <v>25.77</v>
      </c>
      <c r="I85" s="100">
        <v>5.53</v>
      </c>
      <c r="J85" s="100">
        <v>0.91</v>
      </c>
      <c r="K85" s="100">
        <v>285.51</v>
      </c>
      <c r="L85" s="100">
        <v>29.34</v>
      </c>
      <c r="M85" s="100">
        <v>22.8</v>
      </c>
      <c r="N85" s="100">
        <v>0.8</v>
      </c>
      <c r="O85" s="100">
        <v>0</v>
      </c>
      <c r="P85" s="100">
        <v>0.41</v>
      </c>
      <c r="Q85" s="100">
        <v>12.95</v>
      </c>
      <c r="R85" s="6"/>
      <c r="S85" s="6"/>
      <c r="T85" s="156"/>
      <c r="U85" s="6"/>
    </row>
    <row r="86" spans="1:21" customFormat="1">
      <c r="A86" s="163" t="s">
        <v>1468</v>
      </c>
      <c r="B86" s="100">
        <v>4.8499999999999996</v>
      </c>
      <c r="C86" s="100">
        <v>24.27</v>
      </c>
      <c r="D86" s="100">
        <v>17.920000000000002</v>
      </c>
      <c r="E86" s="100">
        <v>8.81</v>
      </c>
      <c r="F86" s="152" t="s">
        <v>15</v>
      </c>
      <c r="G86" s="100">
        <v>42.76</v>
      </c>
      <c r="H86" s="100">
        <v>26.42</v>
      </c>
      <c r="I86" s="100">
        <v>5.66</v>
      </c>
      <c r="J86" s="100">
        <v>0.86</v>
      </c>
      <c r="K86" s="100">
        <v>314.63</v>
      </c>
      <c r="L86" s="100">
        <v>29.08</v>
      </c>
      <c r="M86" s="100">
        <v>23.05</v>
      </c>
      <c r="N86" s="100">
        <v>1</v>
      </c>
      <c r="O86" s="100">
        <v>0</v>
      </c>
      <c r="P86" s="100">
        <v>0.42</v>
      </c>
      <c r="Q86" s="100">
        <v>12.94</v>
      </c>
      <c r="R86" s="6"/>
      <c r="S86" s="6"/>
      <c r="T86" s="156"/>
      <c r="U86" s="6"/>
    </row>
    <row r="87" spans="1:21" customFormat="1">
      <c r="A87" s="163" t="s">
        <v>1469</v>
      </c>
      <c r="B87" s="100">
        <v>5.01</v>
      </c>
      <c r="C87" s="100">
        <v>24.53</v>
      </c>
      <c r="D87" s="100">
        <v>18.190000000000001</v>
      </c>
      <c r="E87" s="100">
        <v>8.52</v>
      </c>
      <c r="F87" s="152" t="s">
        <v>15</v>
      </c>
      <c r="G87" s="100">
        <v>43.41</v>
      </c>
      <c r="H87" s="100">
        <v>26.43</v>
      </c>
      <c r="I87" s="100">
        <v>5.77</v>
      </c>
      <c r="J87" s="100">
        <v>0.75</v>
      </c>
      <c r="K87" s="100">
        <v>300.51</v>
      </c>
      <c r="L87" s="100">
        <v>28.55</v>
      </c>
      <c r="M87" s="100">
        <v>24.68</v>
      </c>
      <c r="N87" s="100">
        <v>1.1000000000000001</v>
      </c>
      <c r="O87" s="100">
        <v>0</v>
      </c>
      <c r="P87" s="100">
        <v>0.43</v>
      </c>
      <c r="Q87" s="100">
        <v>12.94</v>
      </c>
      <c r="R87" s="6"/>
      <c r="S87" s="6"/>
      <c r="T87" s="156"/>
      <c r="U87" s="6"/>
    </row>
    <row r="88" spans="1:21" customFormat="1">
      <c r="A88" s="163" t="s">
        <v>1470</v>
      </c>
      <c r="B88" s="100">
        <v>5.04</v>
      </c>
      <c r="C88" s="100">
        <v>24.73</v>
      </c>
      <c r="D88" s="100">
        <v>18.309999999999999</v>
      </c>
      <c r="E88" s="100">
        <v>8.3800000000000008</v>
      </c>
      <c r="F88" s="152" t="s">
        <v>15</v>
      </c>
      <c r="G88" s="100">
        <v>43.41</v>
      </c>
      <c r="H88" s="100">
        <v>26.43</v>
      </c>
      <c r="I88" s="100">
        <v>5.89</v>
      </c>
      <c r="J88" s="100">
        <v>0.66</v>
      </c>
      <c r="K88" s="100">
        <v>297.33</v>
      </c>
      <c r="L88" s="100">
        <v>28.1</v>
      </c>
      <c r="M88" s="100">
        <v>26.01</v>
      </c>
      <c r="N88" s="100">
        <v>1</v>
      </c>
      <c r="O88" s="100">
        <v>0</v>
      </c>
      <c r="P88" s="100">
        <v>0.44</v>
      </c>
      <c r="Q88" s="100">
        <v>12.94</v>
      </c>
      <c r="R88" s="6"/>
      <c r="S88" s="6"/>
      <c r="T88" s="156"/>
      <c r="U88" s="6"/>
    </row>
    <row r="89" spans="1:21" customFormat="1">
      <c r="A89" s="163" t="s">
        <v>1471</v>
      </c>
      <c r="B89" s="100">
        <v>5.17</v>
      </c>
      <c r="C89" s="100">
        <v>24.9</v>
      </c>
      <c r="D89" s="100">
        <v>18.5</v>
      </c>
      <c r="E89" s="100">
        <v>9.1</v>
      </c>
      <c r="F89" s="152" t="s">
        <v>15</v>
      </c>
      <c r="G89" s="100">
        <v>43.41</v>
      </c>
      <c r="H89" s="100">
        <v>26.43</v>
      </c>
      <c r="I89" s="100">
        <v>6</v>
      </c>
      <c r="J89" s="100">
        <v>0.92</v>
      </c>
      <c r="K89" s="100">
        <v>314.14999999999998</v>
      </c>
      <c r="L89" s="100">
        <v>27.99</v>
      </c>
      <c r="M89" s="100">
        <v>25.79</v>
      </c>
      <c r="N89" s="100">
        <v>0.7</v>
      </c>
      <c r="O89" s="100">
        <v>0</v>
      </c>
      <c r="P89" s="100">
        <v>0.49</v>
      </c>
      <c r="Q89" s="100">
        <v>12.95</v>
      </c>
      <c r="R89" s="6"/>
      <c r="S89" s="6"/>
      <c r="T89" s="156"/>
      <c r="U89" s="6"/>
    </row>
    <row r="90" spans="1:21" customFormat="1">
      <c r="A90" s="163" t="s">
        <v>1472</v>
      </c>
      <c r="B90" s="100">
        <v>5.47</v>
      </c>
      <c r="C90" s="100">
        <v>24.62</v>
      </c>
      <c r="D90" s="100">
        <v>18.600000000000001</v>
      </c>
      <c r="E90" s="100">
        <v>8.7200000000000006</v>
      </c>
      <c r="F90" s="152" t="s">
        <v>15</v>
      </c>
      <c r="G90" s="100">
        <v>44.43</v>
      </c>
      <c r="H90" s="100">
        <v>26.9</v>
      </c>
      <c r="I90" s="100">
        <v>6.06</v>
      </c>
      <c r="J90" s="100">
        <v>0.67</v>
      </c>
      <c r="K90" s="100">
        <v>309.18</v>
      </c>
      <c r="L90" s="100">
        <v>27.76</v>
      </c>
      <c r="M90" s="100">
        <v>26.54</v>
      </c>
      <c r="N90" s="100">
        <v>0.9</v>
      </c>
      <c r="O90" s="100">
        <v>0</v>
      </c>
      <c r="P90" s="100">
        <v>0.54</v>
      </c>
      <c r="Q90" s="100">
        <v>12.94</v>
      </c>
      <c r="R90" s="6"/>
      <c r="S90" s="6"/>
      <c r="T90" s="156"/>
      <c r="U90" s="6"/>
    </row>
    <row r="91" spans="1:21" customFormat="1">
      <c r="A91" s="163" t="s">
        <v>1473</v>
      </c>
      <c r="B91" s="100">
        <v>5.77</v>
      </c>
      <c r="C91" s="100">
        <v>24.18</v>
      </c>
      <c r="D91" s="100">
        <v>18.61</v>
      </c>
      <c r="E91" s="100">
        <v>8.91</v>
      </c>
      <c r="F91" s="152" t="s">
        <v>15</v>
      </c>
      <c r="G91" s="100">
        <v>44.79</v>
      </c>
      <c r="H91" s="100">
        <v>26.91</v>
      </c>
      <c r="I91" s="100">
        <v>6.22</v>
      </c>
      <c r="J91" s="100">
        <v>0.52</v>
      </c>
      <c r="K91" s="100">
        <v>300.74</v>
      </c>
      <c r="L91" s="100">
        <v>27.35</v>
      </c>
      <c r="M91" s="100">
        <v>27.64</v>
      </c>
      <c r="N91" s="100">
        <v>0.9</v>
      </c>
      <c r="O91" s="100">
        <v>0</v>
      </c>
      <c r="P91" s="100">
        <v>0.54</v>
      </c>
      <c r="Q91" s="100">
        <v>12.93</v>
      </c>
      <c r="R91" s="6"/>
      <c r="S91" s="6"/>
      <c r="T91" s="156"/>
      <c r="U91" s="6"/>
    </row>
    <row r="92" spans="1:21" customFormat="1">
      <c r="A92" s="163" t="s">
        <v>1474</v>
      </c>
      <c r="B92" s="100">
        <v>6.11</v>
      </c>
      <c r="C92" s="100">
        <v>23.87</v>
      </c>
      <c r="D92" s="100">
        <v>18.73</v>
      </c>
      <c r="E92" s="100">
        <v>8.93</v>
      </c>
      <c r="F92" s="152" t="s">
        <v>15</v>
      </c>
      <c r="G92" s="100">
        <v>44.79</v>
      </c>
      <c r="H92" s="100">
        <v>26.91</v>
      </c>
      <c r="I92" s="100">
        <v>6.34</v>
      </c>
      <c r="J92" s="100">
        <v>0.36</v>
      </c>
      <c r="K92" s="100">
        <v>301.48</v>
      </c>
      <c r="L92" s="100">
        <v>27.08</v>
      </c>
      <c r="M92" s="100">
        <v>28.51</v>
      </c>
      <c r="N92" s="100">
        <v>0.9</v>
      </c>
      <c r="O92" s="100">
        <v>0</v>
      </c>
      <c r="P92" s="100">
        <v>0.56999999999999995</v>
      </c>
      <c r="Q92" s="100">
        <v>12.93</v>
      </c>
      <c r="R92" s="6"/>
      <c r="S92" s="6"/>
      <c r="T92" s="156"/>
      <c r="U92" s="6"/>
    </row>
    <row r="93" spans="1:21" customFormat="1">
      <c r="A93" s="163" t="s">
        <v>1475</v>
      </c>
      <c r="B93" s="100">
        <v>6.42</v>
      </c>
      <c r="C93" s="100">
        <v>23.53</v>
      </c>
      <c r="D93" s="100">
        <v>18.79</v>
      </c>
      <c r="E93" s="100">
        <v>9.09</v>
      </c>
      <c r="F93" s="152" t="s">
        <v>15</v>
      </c>
      <c r="G93" s="100">
        <v>44.79</v>
      </c>
      <c r="H93" s="100">
        <v>26.91</v>
      </c>
      <c r="I93" s="100">
        <v>6.43</v>
      </c>
      <c r="J93" s="100">
        <v>0.28000000000000003</v>
      </c>
      <c r="K93" s="100">
        <v>346.54</v>
      </c>
      <c r="L93" s="100">
        <v>26.7</v>
      </c>
      <c r="M93" s="100">
        <v>29.64</v>
      </c>
      <c r="N93" s="100">
        <v>1</v>
      </c>
      <c r="O93" s="100">
        <v>0</v>
      </c>
      <c r="P93" s="100">
        <v>0.6</v>
      </c>
      <c r="Q93" s="100">
        <v>12.93</v>
      </c>
      <c r="R93" s="6"/>
      <c r="S93" s="6"/>
      <c r="T93" s="156"/>
      <c r="U93" s="6"/>
    </row>
    <row r="94" spans="1:21" customFormat="1">
      <c r="A94" s="163" t="s">
        <v>1476</v>
      </c>
      <c r="B94" s="100">
        <v>6.79</v>
      </c>
      <c r="C94" s="100">
        <v>23.21</v>
      </c>
      <c r="D94" s="100">
        <v>18.920000000000002</v>
      </c>
      <c r="E94" s="100">
        <v>9.15</v>
      </c>
      <c r="F94" s="152" t="s">
        <v>15</v>
      </c>
      <c r="G94" s="100">
        <v>48.18</v>
      </c>
      <c r="H94" s="100">
        <v>28.13</v>
      </c>
      <c r="I94" s="100">
        <v>6.6</v>
      </c>
      <c r="J94" s="100">
        <v>0.21</v>
      </c>
      <c r="K94" s="100">
        <v>300.67</v>
      </c>
      <c r="L94" s="100">
        <v>26.29</v>
      </c>
      <c r="M94" s="100">
        <v>31.18</v>
      </c>
      <c r="N94" s="100">
        <v>0.9</v>
      </c>
      <c r="O94" s="100">
        <v>0</v>
      </c>
      <c r="P94" s="100">
        <v>0.6</v>
      </c>
      <c r="Q94" s="100">
        <v>12.93</v>
      </c>
      <c r="R94" s="6"/>
      <c r="S94" s="6"/>
      <c r="T94" s="156"/>
      <c r="U94" s="6"/>
    </row>
    <row r="95" spans="1:21" customFormat="1">
      <c r="A95" s="163" t="s">
        <v>1477</v>
      </c>
      <c r="B95" s="100">
        <v>7.08</v>
      </c>
      <c r="C95" s="100">
        <v>22.95</v>
      </c>
      <c r="D95" s="100">
        <v>19.02</v>
      </c>
      <c r="E95" s="100">
        <v>8.42</v>
      </c>
      <c r="F95" s="152" t="s">
        <v>15</v>
      </c>
      <c r="G95" s="100">
        <v>49.41</v>
      </c>
      <c r="H95" s="100">
        <v>28.16</v>
      </c>
      <c r="I95" s="100">
        <v>6.75</v>
      </c>
      <c r="J95" s="100">
        <v>0.32</v>
      </c>
      <c r="K95" s="100">
        <v>163.30000000000001</v>
      </c>
      <c r="L95" s="100">
        <v>25.31</v>
      </c>
      <c r="M95" s="100">
        <v>39.24</v>
      </c>
      <c r="N95" s="100">
        <v>1.8</v>
      </c>
      <c r="O95" s="100">
        <v>0</v>
      </c>
      <c r="P95" s="100">
        <v>0.6</v>
      </c>
      <c r="Q95" s="100">
        <v>12.94</v>
      </c>
      <c r="R95" s="6"/>
      <c r="S95" s="6"/>
      <c r="T95" s="156"/>
      <c r="U95" s="6"/>
    </row>
    <row r="96" spans="1:21" customFormat="1">
      <c r="A96" s="163" t="s">
        <v>1478</v>
      </c>
      <c r="B96" s="100">
        <v>7.3</v>
      </c>
      <c r="C96" s="100">
        <v>22.64</v>
      </c>
      <c r="D96" s="100">
        <v>19.03</v>
      </c>
      <c r="E96" s="100">
        <v>8.42</v>
      </c>
      <c r="F96" s="152" t="s">
        <v>15</v>
      </c>
      <c r="G96" s="100">
        <v>49.41</v>
      </c>
      <c r="H96" s="100">
        <v>28.16</v>
      </c>
      <c r="I96" s="100">
        <v>6.82</v>
      </c>
      <c r="J96" s="100">
        <v>0.13</v>
      </c>
      <c r="K96" s="100">
        <v>147.85</v>
      </c>
      <c r="L96" s="100">
        <v>24.03</v>
      </c>
      <c r="M96" s="100">
        <v>42.24</v>
      </c>
      <c r="N96" s="100">
        <v>1.5</v>
      </c>
      <c r="O96" s="100">
        <v>0</v>
      </c>
      <c r="P96" s="100">
        <v>0.6</v>
      </c>
      <c r="Q96" s="100">
        <v>12.94</v>
      </c>
      <c r="R96" s="6"/>
      <c r="S96" s="6"/>
      <c r="T96" s="156"/>
      <c r="U96" s="6"/>
    </row>
    <row r="97" spans="1:28" customFormat="1">
      <c r="A97" s="163" t="s">
        <v>1479</v>
      </c>
      <c r="B97" s="100">
        <v>7.8</v>
      </c>
      <c r="C97" s="100">
        <v>22.51</v>
      </c>
      <c r="D97" s="100">
        <v>19.37</v>
      </c>
      <c r="E97" s="100">
        <v>8.8000000000000007</v>
      </c>
      <c r="F97" s="152" t="s">
        <v>15</v>
      </c>
      <c r="G97" s="100">
        <v>49.41</v>
      </c>
      <c r="H97" s="100">
        <v>28.16</v>
      </c>
      <c r="I97" s="100">
        <v>6.89</v>
      </c>
      <c r="J97" s="100">
        <v>0.21</v>
      </c>
      <c r="K97" s="100">
        <v>63.99</v>
      </c>
      <c r="L97" s="100">
        <v>24.52</v>
      </c>
      <c r="M97" s="100">
        <v>36.659999999999997</v>
      </c>
      <c r="N97" s="100">
        <v>0.5</v>
      </c>
      <c r="O97" s="100">
        <v>0</v>
      </c>
      <c r="P97" s="100">
        <v>0.63</v>
      </c>
      <c r="Q97" s="100">
        <v>12.94</v>
      </c>
      <c r="R97" s="6"/>
      <c r="S97" s="6"/>
      <c r="T97" s="156"/>
      <c r="U97" s="6"/>
    </row>
    <row r="98" spans="1:28" customFormat="1">
      <c r="A98" s="163" t="s">
        <v>1480</v>
      </c>
      <c r="B98" s="100">
        <v>8.5399999999999991</v>
      </c>
      <c r="C98" s="100">
        <v>22.57</v>
      </c>
      <c r="D98" s="100">
        <v>20</v>
      </c>
      <c r="E98" s="100">
        <v>9.06</v>
      </c>
      <c r="F98" s="152" t="s">
        <v>15</v>
      </c>
      <c r="G98" s="100">
        <v>52.04</v>
      </c>
      <c r="H98" s="100">
        <v>26.78</v>
      </c>
      <c r="I98" s="100">
        <v>7.13</v>
      </c>
      <c r="J98" s="100">
        <v>0.31</v>
      </c>
      <c r="K98" s="100">
        <v>62.49</v>
      </c>
      <c r="L98" s="100">
        <v>24.82</v>
      </c>
      <c r="M98" s="100">
        <v>35.58</v>
      </c>
      <c r="N98" s="100">
        <v>0.5</v>
      </c>
      <c r="O98" s="100">
        <v>0</v>
      </c>
      <c r="P98" s="100">
        <v>0.63</v>
      </c>
      <c r="Q98" s="100">
        <v>12.95</v>
      </c>
      <c r="R98" s="6"/>
      <c r="S98" s="6"/>
      <c r="T98" s="156"/>
      <c r="U98" s="6"/>
    </row>
    <row r="99" spans="1:28" customFormat="1">
      <c r="A99" s="163" t="s">
        <v>1481</v>
      </c>
      <c r="B99" s="100">
        <v>9.2200000000000006</v>
      </c>
      <c r="C99" s="100">
        <v>22.75</v>
      </c>
      <c r="D99" s="100">
        <v>20.63</v>
      </c>
      <c r="E99" s="100">
        <v>8.94</v>
      </c>
      <c r="F99" s="152" t="s">
        <v>15</v>
      </c>
      <c r="G99" s="100">
        <v>52.99</v>
      </c>
      <c r="H99" s="100">
        <v>26.76</v>
      </c>
      <c r="I99" s="100">
        <v>7.35</v>
      </c>
      <c r="J99" s="100">
        <v>0.28000000000000003</v>
      </c>
      <c r="K99" s="100">
        <v>71.25</v>
      </c>
      <c r="L99" s="100">
        <v>24.66</v>
      </c>
      <c r="M99" s="100">
        <v>37.020000000000003</v>
      </c>
      <c r="N99" s="100">
        <v>0.8</v>
      </c>
      <c r="O99" s="100">
        <v>0</v>
      </c>
      <c r="P99" s="100">
        <v>0.65</v>
      </c>
      <c r="Q99" s="100">
        <v>12.94</v>
      </c>
      <c r="R99" s="6"/>
      <c r="S99" s="6"/>
      <c r="T99" s="156"/>
      <c r="U99" s="6"/>
    </row>
    <row r="100" spans="1:28" customFormat="1">
      <c r="A100" s="163" t="s">
        <v>1482</v>
      </c>
      <c r="B100" s="100">
        <v>9.98</v>
      </c>
      <c r="C100" s="100">
        <v>22.84</v>
      </c>
      <c r="D100" s="100">
        <v>21.29</v>
      </c>
      <c r="E100" s="100">
        <v>9.2799999999999994</v>
      </c>
      <c r="F100" s="152" t="s">
        <v>15</v>
      </c>
      <c r="G100" s="100">
        <v>52.99</v>
      </c>
      <c r="H100" s="100">
        <v>26.76</v>
      </c>
      <c r="I100" s="100">
        <v>7.52</v>
      </c>
      <c r="J100" s="100">
        <v>0.3</v>
      </c>
      <c r="K100" s="100">
        <v>65.08</v>
      </c>
      <c r="L100" s="100">
        <v>24.15</v>
      </c>
      <c r="M100" s="100">
        <v>38.93</v>
      </c>
      <c r="N100" s="100">
        <v>1</v>
      </c>
      <c r="O100" s="100">
        <v>0</v>
      </c>
      <c r="P100" s="100">
        <v>0.67</v>
      </c>
      <c r="Q100" s="100">
        <v>12.95</v>
      </c>
      <c r="R100" s="6"/>
      <c r="S100" s="6"/>
      <c r="T100" s="156"/>
      <c r="U100" s="6"/>
      <c r="AB100" s="161"/>
    </row>
    <row r="101" spans="1:28" customFormat="1">
      <c r="A101" s="163" t="s">
        <v>1483</v>
      </c>
      <c r="B101" s="100">
        <v>10.92</v>
      </c>
      <c r="C101" s="100">
        <v>22.94</v>
      </c>
      <c r="D101" s="100">
        <v>22.09</v>
      </c>
      <c r="E101" s="100">
        <v>9.2200000000000006</v>
      </c>
      <c r="F101" s="152" t="s">
        <v>15</v>
      </c>
      <c r="G101" s="100">
        <v>52.99</v>
      </c>
      <c r="H101" s="100">
        <v>26.76</v>
      </c>
      <c r="I101" s="100">
        <v>7.7</v>
      </c>
      <c r="J101" s="100">
        <v>0.12</v>
      </c>
      <c r="K101" s="100">
        <v>142.85</v>
      </c>
      <c r="L101" s="100">
        <v>23.68</v>
      </c>
      <c r="M101" s="100">
        <v>41.95</v>
      </c>
      <c r="N101" s="100">
        <v>1.1000000000000001</v>
      </c>
      <c r="O101" s="100">
        <v>0</v>
      </c>
      <c r="P101" s="100">
        <v>0.7</v>
      </c>
      <c r="Q101" s="100">
        <v>12.96</v>
      </c>
      <c r="R101" s="6"/>
      <c r="S101" s="6"/>
      <c r="T101" s="156"/>
      <c r="U101" s="6"/>
    </row>
    <row r="102" spans="1:28" customFormat="1">
      <c r="A102" s="163" t="s">
        <v>1484</v>
      </c>
      <c r="B102" s="100">
        <v>12.28</v>
      </c>
      <c r="C102" s="100">
        <v>22.84</v>
      </c>
      <c r="D102" s="100">
        <v>23.13</v>
      </c>
      <c r="E102" s="100">
        <v>9.2200000000000006</v>
      </c>
      <c r="F102" s="152" t="s">
        <v>15</v>
      </c>
      <c r="G102" s="100">
        <v>73.39</v>
      </c>
      <c r="H102" s="100">
        <v>31.59</v>
      </c>
      <c r="I102" s="100">
        <v>7.88</v>
      </c>
      <c r="J102" s="100">
        <v>0.19</v>
      </c>
      <c r="K102" s="100">
        <v>69.02</v>
      </c>
      <c r="L102" s="100">
        <v>23.17</v>
      </c>
      <c r="M102" s="100">
        <v>44.07</v>
      </c>
      <c r="N102" s="100">
        <v>1</v>
      </c>
      <c r="O102" s="100">
        <v>0</v>
      </c>
      <c r="P102" s="100">
        <v>0.71</v>
      </c>
      <c r="Q102" s="100">
        <v>12.96</v>
      </c>
      <c r="R102" s="6"/>
      <c r="S102" s="6"/>
      <c r="T102" s="156"/>
      <c r="U102" s="6"/>
    </row>
    <row r="103" spans="1:28" customFormat="1">
      <c r="A103" s="163" t="s">
        <v>1485</v>
      </c>
      <c r="B103" s="100">
        <v>13.21</v>
      </c>
      <c r="C103" s="100">
        <v>22.95</v>
      </c>
      <c r="D103" s="100">
        <v>23.93</v>
      </c>
      <c r="E103" s="100">
        <v>8.57</v>
      </c>
      <c r="F103" s="152" t="s">
        <v>15</v>
      </c>
      <c r="G103" s="100">
        <v>80.8</v>
      </c>
      <c r="H103" s="100">
        <v>31.67</v>
      </c>
      <c r="I103" s="100">
        <v>8.2100000000000009</v>
      </c>
      <c r="J103" s="100">
        <v>0.45</v>
      </c>
      <c r="K103" s="100">
        <v>50.4</v>
      </c>
      <c r="L103" s="100">
        <v>23.57</v>
      </c>
      <c r="M103" s="100">
        <v>40.08</v>
      </c>
      <c r="N103" s="100">
        <v>0.3</v>
      </c>
      <c r="O103" s="100">
        <v>0</v>
      </c>
      <c r="P103" s="100">
        <v>0.72</v>
      </c>
      <c r="Q103" s="100">
        <v>12.95</v>
      </c>
      <c r="R103" s="6"/>
      <c r="S103" s="6"/>
      <c r="T103" s="156"/>
      <c r="U103" s="6"/>
    </row>
    <row r="104" spans="1:28" customFormat="1">
      <c r="A104" s="163" t="s">
        <v>1486</v>
      </c>
      <c r="B104" s="100">
        <v>13.39</v>
      </c>
      <c r="C104" s="100">
        <v>22.96</v>
      </c>
      <c r="D104" s="100">
        <v>24.08</v>
      </c>
      <c r="E104" s="100">
        <v>8.68</v>
      </c>
      <c r="F104" s="152" t="s">
        <v>15</v>
      </c>
      <c r="G104" s="100">
        <v>80.8</v>
      </c>
      <c r="H104" s="100">
        <v>31.67</v>
      </c>
      <c r="I104" s="100">
        <v>8.34</v>
      </c>
      <c r="J104" s="100">
        <v>0.47</v>
      </c>
      <c r="K104" s="100">
        <v>50.52</v>
      </c>
      <c r="L104" s="100">
        <v>23.68</v>
      </c>
      <c r="M104" s="100">
        <v>38.32</v>
      </c>
      <c r="N104" s="100">
        <v>0.5</v>
      </c>
      <c r="O104" s="100">
        <v>0</v>
      </c>
      <c r="P104" s="100">
        <v>0.72</v>
      </c>
      <c r="Q104" s="100">
        <v>12.96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3.59</v>
      </c>
      <c r="C106" s="158">
        <f>MIN(C9:C104)</f>
        <v>19.12</v>
      </c>
      <c r="D106" s="158">
        <f t="shared" ref="D106:Q106" si="0">MIN(D9:D104)</f>
        <v>14.41</v>
      </c>
      <c r="E106" s="158">
        <f t="shared" si="0"/>
        <v>7.67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3.76</v>
      </c>
      <c r="J106" s="158">
        <f t="shared" si="0"/>
        <v>-0.8</v>
      </c>
      <c r="K106" s="158">
        <f t="shared" si="0"/>
        <v>50.4</v>
      </c>
      <c r="L106" s="158">
        <f t="shared" si="0"/>
        <v>20.309999999999999</v>
      </c>
      <c r="M106" s="158">
        <f t="shared" si="0"/>
        <v>21.23</v>
      </c>
      <c r="N106" s="158">
        <f t="shared" si="0"/>
        <v>0.3</v>
      </c>
      <c r="O106" s="158">
        <f t="shared" si="0"/>
        <v>0</v>
      </c>
      <c r="P106" s="158">
        <f t="shared" si="0"/>
        <v>0.26</v>
      </c>
      <c r="Q106" s="158">
        <f t="shared" si="0"/>
        <v>12.92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15.68</v>
      </c>
      <c r="C107" s="157">
        <f t="shared" ref="C107:Q107" si="1">MAX(C9:C104)</f>
        <v>25.11</v>
      </c>
      <c r="D107" s="157">
        <f t="shared" si="1"/>
        <v>25.68</v>
      </c>
      <c r="E107" s="157">
        <f t="shared" si="1"/>
        <v>15.95</v>
      </c>
      <c r="F107" s="157">
        <f t="shared" si="1"/>
        <v>0</v>
      </c>
      <c r="G107" s="157">
        <f t="shared" si="1"/>
        <v>98.41</v>
      </c>
      <c r="H107" s="157">
        <f t="shared" si="1"/>
        <v>41.52</v>
      </c>
      <c r="I107" s="157">
        <f t="shared" si="1"/>
        <v>14.5</v>
      </c>
      <c r="J107" s="157">
        <f t="shared" si="1"/>
        <v>1.62</v>
      </c>
      <c r="K107" s="157">
        <f t="shared" si="1"/>
        <v>346.54</v>
      </c>
      <c r="L107" s="157">
        <f t="shared" si="1"/>
        <v>33.6</v>
      </c>
      <c r="M107" s="157">
        <f t="shared" si="1"/>
        <v>82.26</v>
      </c>
      <c r="N107" s="157">
        <f t="shared" si="1"/>
        <v>348.7</v>
      </c>
      <c r="O107" s="157">
        <f t="shared" si="1"/>
        <v>0</v>
      </c>
      <c r="P107" s="157">
        <f t="shared" si="1"/>
        <v>1.08</v>
      </c>
      <c r="Q107" s="157">
        <f t="shared" si="1"/>
        <v>12.99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8.3586458333333322</v>
      </c>
      <c r="C108" s="158">
        <f t="shared" ref="C108:Q108" si="2">AVERAGE(C9:C104)</f>
        <v>22.490208333333332</v>
      </c>
      <c r="D108" s="158">
        <f t="shared" si="2"/>
        <v>19.803645833333338</v>
      </c>
      <c r="E108" s="158">
        <f t="shared" si="2"/>
        <v>10.213229166666663</v>
      </c>
      <c r="F108" s="158" t="e">
        <f t="shared" si="2"/>
        <v>#DIV/0!</v>
      </c>
      <c r="G108" s="158">
        <f t="shared" si="2"/>
        <v>64.906562500000021</v>
      </c>
      <c r="H108" s="158">
        <f t="shared" si="2"/>
        <v>30.783229166666661</v>
      </c>
      <c r="I108" s="158">
        <f t="shared" si="2"/>
        <v>10.139479166666668</v>
      </c>
      <c r="J108" s="158">
        <f t="shared" si="2"/>
        <v>0.58520833333333333</v>
      </c>
      <c r="K108" s="158">
        <f t="shared" si="2"/>
        <v>227.52458333333337</v>
      </c>
      <c r="L108" s="158">
        <f t="shared" si="2"/>
        <v>26.729999999999993</v>
      </c>
      <c r="M108" s="158">
        <f t="shared" si="2"/>
        <v>47.955312500000012</v>
      </c>
      <c r="N108" s="158">
        <f t="shared" si="2"/>
        <v>83.419791666666654</v>
      </c>
      <c r="O108" s="158">
        <f t="shared" si="2"/>
        <v>0</v>
      </c>
      <c r="P108" s="158">
        <f t="shared" si="2"/>
        <v>0.77822916666666619</v>
      </c>
      <c r="Q108" s="158">
        <f t="shared" si="2"/>
        <v>12.948750000000011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4.2409734780668789</v>
      </c>
      <c r="C109" s="158">
        <f t="shared" ref="C109:Q109" si="3">STDEV(C9:C104)</f>
        <v>1.4031295691130228</v>
      </c>
      <c r="D109" s="158">
        <f t="shared" si="3"/>
        <v>3.4235534385970161</v>
      </c>
      <c r="E109" s="158">
        <f t="shared" si="3"/>
        <v>1.7877115596801609</v>
      </c>
      <c r="F109" s="158" t="e">
        <f t="shared" si="3"/>
        <v>#DIV/0!</v>
      </c>
      <c r="G109" s="158">
        <f t="shared" si="3"/>
        <v>24.636791008918006</v>
      </c>
      <c r="H109" s="158">
        <f t="shared" si="3"/>
        <v>9.0148241066171604</v>
      </c>
      <c r="I109" s="158">
        <f t="shared" si="3"/>
        <v>3.7177600414600738</v>
      </c>
      <c r="J109" s="158">
        <f t="shared" si="3"/>
        <v>0.483389304079275</v>
      </c>
      <c r="K109" s="158">
        <f t="shared" si="3"/>
        <v>80.056732790488439</v>
      </c>
      <c r="L109" s="158">
        <f t="shared" si="3"/>
        <v>4.5491678822673549</v>
      </c>
      <c r="M109" s="158">
        <f t="shared" si="3"/>
        <v>22.12099864278164</v>
      </c>
      <c r="N109" s="158">
        <f t="shared" si="3"/>
        <v>124.89906629779674</v>
      </c>
      <c r="O109" s="158">
        <f t="shared" si="3"/>
        <v>0</v>
      </c>
      <c r="P109" s="158">
        <f t="shared" si="3"/>
        <v>0.28249637088182933</v>
      </c>
      <c r="Q109" s="158">
        <f t="shared" si="3"/>
        <v>1.7121854301939819E-2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J95" sqref="J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1487</v>
      </c>
      <c r="B9" s="100">
        <v>12.16</v>
      </c>
      <c r="C9" s="100">
        <v>22.89</v>
      </c>
      <c r="D9" s="100">
        <v>23.06</v>
      </c>
      <c r="E9" s="100">
        <v>9.01</v>
      </c>
      <c r="F9" s="152" t="s">
        <v>15</v>
      </c>
      <c r="G9" s="100">
        <v>80.8</v>
      </c>
      <c r="H9" s="100">
        <v>31.67</v>
      </c>
      <c r="I9" s="100">
        <v>8.4600000000000009</v>
      </c>
      <c r="J9" s="100">
        <v>0.14000000000000001</v>
      </c>
      <c r="K9" s="100">
        <v>84.47</v>
      </c>
      <c r="L9" s="100">
        <v>23.31</v>
      </c>
      <c r="M9" s="100">
        <v>40.17</v>
      </c>
      <c r="N9" s="100">
        <v>1.2</v>
      </c>
      <c r="O9" s="100">
        <v>0</v>
      </c>
      <c r="P9" s="100">
        <v>0.72</v>
      </c>
      <c r="Q9" s="100">
        <v>12.96</v>
      </c>
      <c r="R9" s="6"/>
      <c r="S9" s="6"/>
      <c r="T9" s="156"/>
      <c r="U9" s="6"/>
    </row>
    <row r="10" spans="1:21" customFormat="1">
      <c r="A10" s="163" t="s">
        <v>1488</v>
      </c>
      <c r="B10" s="100">
        <v>12.34</v>
      </c>
      <c r="C10" s="100">
        <v>23.24</v>
      </c>
      <c r="D10" s="100">
        <v>23.39</v>
      </c>
      <c r="E10" s="100">
        <v>9.32</v>
      </c>
      <c r="F10" s="152" t="s">
        <v>15</v>
      </c>
      <c r="G10" s="100">
        <v>76.849999999999994</v>
      </c>
      <c r="H10" s="100">
        <v>30</v>
      </c>
      <c r="I10" s="100">
        <v>8.51</v>
      </c>
      <c r="J10" s="100">
        <v>0.14000000000000001</v>
      </c>
      <c r="K10" s="100">
        <v>64.930000000000007</v>
      </c>
      <c r="L10" s="100">
        <v>22.8</v>
      </c>
      <c r="M10" s="100">
        <v>41.89</v>
      </c>
      <c r="N10" s="100">
        <v>1.1000000000000001</v>
      </c>
      <c r="O10" s="100">
        <v>0</v>
      </c>
      <c r="P10" s="100">
        <v>0.73</v>
      </c>
      <c r="Q10" s="100">
        <v>12.97</v>
      </c>
      <c r="R10" s="6"/>
      <c r="S10" s="6"/>
      <c r="T10" s="156"/>
      <c r="U10" s="6"/>
    </row>
    <row r="11" spans="1:21" customFormat="1">
      <c r="A11" s="163" t="s">
        <v>1489</v>
      </c>
      <c r="B11" s="100">
        <v>12.9</v>
      </c>
      <c r="C11" s="100">
        <v>23.19</v>
      </c>
      <c r="D11" s="100">
        <v>23.81</v>
      </c>
      <c r="E11" s="100">
        <v>9.43</v>
      </c>
      <c r="F11" s="152" t="s">
        <v>15</v>
      </c>
      <c r="G11" s="100">
        <v>75.42</v>
      </c>
      <c r="H11" s="100">
        <v>29.98</v>
      </c>
      <c r="I11" s="100">
        <v>8.5399999999999991</v>
      </c>
      <c r="J11" s="100">
        <v>0.1</v>
      </c>
      <c r="K11" s="100">
        <v>95.85</v>
      </c>
      <c r="L11" s="100">
        <v>22.53</v>
      </c>
      <c r="M11" s="100">
        <v>43.99</v>
      </c>
      <c r="N11" s="100">
        <v>1</v>
      </c>
      <c r="O11" s="100">
        <v>0</v>
      </c>
      <c r="P11" s="100">
        <v>0.74</v>
      </c>
      <c r="Q11" s="100">
        <v>12.96</v>
      </c>
      <c r="R11" s="6"/>
      <c r="S11" s="6"/>
      <c r="T11" s="156"/>
      <c r="U11" s="6"/>
    </row>
    <row r="12" spans="1:21" customFormat="1">
      <c r="A12" s="163" t="s">
        <v>1490</v>
      </c>
      <c r="B12" s="100">
        <v>13.22</v>
      </c>
      <c r="C12" s="100">
        <v>23.32</v>
      </c>
      <c r="D12" s="100">
        <v>24.13</v>
      </c>
      <c r="E12" s="100">
        <v>8.92</v>
      </c>
      <c r="F12" s="152" t="s">
        <v>15</v>
      </c>
      <c r="G12" s="100">
        <v>75.42</v>
      </c>
      <c r="H12" s="100">
        <v>29.98</v>
      </c>
      <c r="I12" s="100">
        <v>8.5500000000000007</v>
      </c>
      <c r="J12" s="100">
        <v>0.13</v>
      </c>
      <c r="K12" s="100">
        <v>106.43</v>
      </c>
      <c r="L12" s="100">
        <v>21.86</v>
      </c>
      <c r="M12" s="100">
        <v>49.03</v>
      </c>
      <c r="N12" s="100">
        <v>1.1000000000000001</v>
      </c>
      <c r="O12" s="100">
        <v>0</v>
      </c>
      <c r="P12" s="100">
        <v>0.72</v>
      </c>
      <c r="Q12" s="100">
        <v>12.96</v>
      </c>
      <c r="R12" s="6"/>
      <c r="S12" s="6"/>
      <c r="T12" s="156"/>
      <c r="U12" s="6"/>
    </row>
    <row r="13" spans="1:21" customFormat="1">
      <c r="A13" s="163" t="s">
        <v>1491</v>
      </c>
      <c r="B13" s="100">
        <v>13.16</v>
      </c>
      <c r="C13" s="100">
        <v>23.32</v>
      </c>
      <c r="D13" s="100">
        <v>24.09</v>
      </c>
      <c r="E13" s="100">
        <v>8.8000000000000007</v>
      </c>
      <c r="F13" s="152" t="s">
        <v>15</v>
      </c>
      <c r="G13" s="100">
        <v>75.42</v>
      </c>
      <c r="H13" s="100">
        <v>29.98</v>
      </c>
      <c r="I13" s="100">
        <v>8.59</v>
      </c>
      <c r="J13" s="100">
        <v>0.15</v>
      </c>
      <c r="K13" s="100">
        <v>81.260000000000005</v>
      </c>
      <c r="L13" s="100">
        <v>21.85</v>
      </c>
      <c r="M13" s="100">
        <v>47.69</v>
      </c>
      <c r="N13" s="100">
        <v>0.9</v>
      </c>
      <c r="O13" s="100">
        <v>0</v>
      </c>
      <c r="P13" s="100">
        <v>0.66</v>
      </c>
      <c r="Q13" s="100">
        <v>12.97</v>
      </c>
      <c r="R13" s="6"/>
      <c r="S13" s="6"/>
      <c r="T13" s="156"/>
      <c r="U13" s="6"/>
    </row>
    <row r="14" spans="1:21" customFormat="1">
      <c r="A14" s="163" t="s">
        <v>1492</v>
      </c>
      <c r="B14" s="100">
        <v>13.33</v>
      </c>
      <c r="C14" s="100">
        <v>23.45</v>
      </c>
      <c r="D14" s="100">
        <v>24.29</v>
      </c>
      <c r="E14" s="100">
        <v>8.9600000000000009</v>
      </c>
      <c r="F14" s="152" t="s">
        <v>15</v>
      </c>
      <c r="G14" s="100">
        <v>82.13</v>
      </c>
      <c r="H14" s="100">
        <v>31.31</v>
      </c>
      <c r="I14" s="100">
        <v>8.67</v>
      </c>
      <c r="J14" s="100">
        <v>0.17</v>
      </c>
      <c r="K14" s="100">
        <v>90.16</v>
      </c>
      <c r="L14" s="100">
        <v>21.69</v>
      </c>
      <c r="M14" s="100">
        <v>49.24</v>
      </c>
      <c r="N14" s="100">
        <v>0.9</v>
      </c>
      <c r="O14" s="100">
        <v>0</v>
      </c>
      <c r="P14" s="100">
        <v>0.68</v>
      </c>
      <c r="Q14" s="100">
        <v>13</v>
      </c>
      <c r="R14" s="6"/>
      <c r="S14" s="6"/>
      <c r="T14" s="156"/>
      <c r="U14" s="6"/>
    </row>
    <row r="15" spans="1:21" customFormat="1">
      <c r="A15" s="163" t="s">
        <v>1493</v>
      </c>
      <c r="B15" s="100">
        <v>13.45</v>
      </c>
      <c r="C15" s="100">
        <v>23.51</v>
      </c>
      <c r="D15" s="100">
        <v>24.42</v>
      </c>
      <c r="E15" s="100">
        <v>8.82</v>
      </c>
      <c r="F15" s="152" t="s">
        <v>15</v>
      </c>
      <c r="G15" s="100">
        <v>84.57</v>
      </c>
      <c r="H15" s="100">
        <v>31.34</v>
      </c>
      <c r="I15" s="100">
        <v>8.77</v>
      </c>
      <c r="J15" s="100">
        <v>0.22</v>
      </c>
      <c r="K15" s="100">
        <v>153.35</v>
      </c>
      <c r="L15" s="100">
        <v>21.05</v>
      </c>
      <c r="M15" s="100">
        <v>57.35</v>
      </c>
      <c r="N15" s="100">
        <v>1.3</v>
      </c>
      <c r="O15" s="100">
        <v>0</v>
      </c>
      <c r="P15" s="100">
        <v>0.68</v>
      </c>
      <c r="Q15" s="100">
        <v>12.99</v>
      </c>
      <c r="R15" s="6"/>
      <c r="S15" s="6"/>
      <c r="T15" s="156"/>
      <c r="U15" s="6"/>
    </row>
    <row r="16" spans="1:21" customFormat="1">
      <c r="A16" s="163" t="s">
        <v>1494</v>
      </c>
      <c r="B16" s="100">
        <v>13.39</v>
      </c>
      <c r="C16" s="100">
        <v>23.33</v>
      </c>
      <c r="D16" s="100">
        <v>24.28</v>
      </c>
      <c r="E16" s="100">
        <v>9</v>
      </c>
      <c r="F16" s="152" t="s">
        <v>15</v>
      </c>
      <c r="G16" s="100">
        <v>84.57</v>
      </c>
      <c r="H16" s="100">
        <v>31.34</v>
      </c>
      <c r="I16" s="100">
        <v>8.84</v>
      </c>
      <c r="J16" s="100">
        <v>0.18</v>
      </c>
      <c r="K16" s="100">
        <v>159.79</v>
      </c>
      <c r="L16" s="100">
        <v>20.66</v>
      </c>
      <c r="M16" s="100">
        <v>52.38</v>
      </c>
      <c r="N16" s="100">
        <v>1</v>
      </c>
      <c r="O16" s="100">
        <v>0</v>
      </c>
      <c r="P16" s="100">
        <v>0.69</v>
      </c>
      <c r="Q16" s="100">
        <v>12.98</v>
      </c>
      <c r="R16" s="6"/>
      <c r="S16" s="6"/>
      <c r="T16" s="156"/>
      <c r="U16" s="6"/>
    </row>
    <row r="17" spans="1:21" customFormat="1">
      <c r="A17" s="163" t="s">
        <v>1495</v>
      </c>
      <c r="B17" s="100">
        <v>13.44</v>
      </c>
      <c r="C17" s="100">
        <v>23.54</v>
      </c>
      <c r="D17" s="100">
        <v>24.42</v>
      </c>
      <c r="E17" s="100">
        <v>9.65</v>
      </c>
      <c r="F17" s="152" t="s">
        <v>15</v>
      </c>
      <c r="G17" s="100">
        <v>84.57</v>
      </c>
      <c r="H17" s="100">
        <v>31.34</v>
      </c>
      <c r="I17" s="100">
        <v>8.9499999999999993</v>
      </c>
      <c r="J17" s="100">
        <v>0.18</v>
      </c>
      <c r="K17" s="100">
        <v>165.07</v>
      </c>
      <c r="L17" s="100">
        <v>20.46</v>
      </c>
      <c r="M17" s="100">
        <v>52.92</v>
      </c>
      <c r="N17" s="100">
        <v>1</v>
      </c>
      <c r="O17" s="100">
        <v>0</v>
      </c>
      <c r="P17" s="100">
        <v>0.69</v>
      </c>
      <c r="Q17" s="100">
        <v>12.98</v>
      </c>
      <c r="R17" s="6"/>
      <c r="S17" s="6"/>
      <c r="T17" s="156"/>
      <c r="U17" s="6"/>
    </row>
    <row r="18" spans="1:21" customFormat="1">
      <c r="A18" s="163" t="s">
        <v>1496</v>
      </c>
      <c r="B18" s="100">
        <v>13.74</v>
      </c>
      <c r="C18" s="100">
        <v>23.7</v>
      </c>
      <c r="D18" s="100">
        <v>24.75</v>
      </c>
      <c r="E18" s="100">
        <v>11.32</v>
      </c>
      <c r="F18" s="152" t="s">
        <v>15</v>
      </c>
      <c r="G18" s="100">
        <v>84.88</v>
      </c>
      <c r="H18" s="100">
        <v>27.09</v>
      </c>
      <c r="I18" s="100">
        <v>9.0399999999999991</v>
      </c>
      <c r="J18" s="100">
        <v>0.16</v>
      </c>
      <c r="K18" s="100">
        <v>154.56</v>
      </c>
      <c r="L18" s="100">
        <v>20.399999999999999</v>
      </c>
      <c r="M18" s="100">
        <v>52.28</v>
      </c>
      <c r="N18" s="100">
        <v>0.9</v>
      </c>
      <c r="O18" s="100">
        <v>0</v>
      </c>
      <c r="P18" s="100">
        <v>0.71</v>
      </c>
      <c r="Q18" s="100">
        <v>12.99</v>
      </c>
      <c r="R18" s="6"/>
      <c r="S18" s="6"/>
      <c r="T18" s="156"/>
      <c r="U18" s="6"/>
    </row>
    <row r="19" spans="1:21" customFormat="1">
      <c r="A19" s="163" t="s">
        <v>1497</v>
      </c>
      <c r="B19" s="100">
        <v>14.39</v>
      </c>
      <c r="C19" s="100">
        <v>23.88</v>
      </c>
      <c r="D19" s="100">
        <v>25.37</v>
      </c>
      <c r="E19" s="100">
        <v>11.42</v>
      </c>
      <c r="F19" s="152" t="s">
        <v>15</v>
      </c>
      <c r="G19" s="100">
        <v>84.99</v>
      </c>
      <c r="H19" s="100">
        <v>27.03</v>
      </c>
      <c r="I19" s="100">
        <v>9.1</v>
      </c>
      <c r="J19" s="100">
        <v>0.18</v>
      </c>
      <c r="K19" s="100">
        <v>154.83000000000001</v>
      </c>
      <c r="L19" s="100">
        <v>20.260000000000002</v>
      </c>
      <c r="M19" s="100">
        <v>52.8</v>
      </c>
      <c r="N19" s="100">
        <v>0.8</v>
      </c>
      <c r="O19" s="100">
        <v>0</v>
      </c>
      <c r="P19" s="100">
        <v>0.72</v>
      </c>
      <c r="Q19" s="100">
        <v>13</v>
      </c>
      <c r="R19" s="6"/>
      <c r="S19" s="6"/>
      <c r="T19" s="156"/>
      <c r="U19" s="6"/>
    </row>
    <row r="20" spans="1:21" customFormat="1">
      <c r="A20" s="163" t="s">
        <v>1498</v>
      </c>
      <c r="B20" s="100">
        <v>14.96</v>
      </c>
      <c r="C20" s="100">
        <v>23.89</v>
      </c>
      <c r="D20" s="100">
        <v>25.83</v>
      </c>
      <c r="E20" s="100">
        <v>11.67</v>
      </c>
      <c r="F20" s="152" t="s">
        <v>15</v>
      </c>
      <c r="G20" s="100">
        <v>84.99</v>
      </c>
      <c r="H20" s="100">
        <v>27.03</v>
      </c>
      <c r="I20" s="100">
        <v>9.19</v>
      </c>
      <c r="J20" s="100">
        <v>0.26</v>
      </c>
      <c r="K20" s="100">
        <v>168.66</v>
      </c>
      <c r="L20" s="100">
        <v>19.940000000000001</v>
      </c>
      <c r="M20" s="100">
        <v>59.85</v>
      </c>
      <c r="N20" s="100">
        <v>1</v>
      </c>
      <c r="O20" s="100">
        <v>0</v>
      </c>
      <c r="P20" s="100">
        <v>0.74</v>
      </c>
      <c r="Q20" s="100">
        <v>12.99</v>
      </c>
      <c r="R20" s="6"/>
      <c r="S20" s="6"/>
      <c r="T20" s="156"/>
      <c r="U20" s="6"/>
    </row>
    <row r="21" spans="1:21" customFormat="1">
      <c r="A21" s="163" t="s">
        <v>1499</v>
      </c>
      <c r="B21" s="100">
        <v>15.21</v>
      </c>
      <c r="C21" s="100">
        <v>23.71</v>
      </c>
      <c r="D21" s="100">
        <v>25.93</v>
      </c>
      <c r="E21" s="100">
        <v>11.58</v>
      </c>
      <c r="F21" s="152" t="s">
        <v>15</v>
      </c>
      <c r="G21" s="100">
        <v>84.99</v>
      </c>
      <c r="H21" s="100">
        <v>27.03</v>
      </c>
      <c r="I21" s="100">
        <v>9.2899999999999991</v>
      </c>
      <c r="J21" s="100">
        <v>0.21</v>
      </c>
      <c r="K21" s="100">
        <v>177.12</v>
      </c>
      <c r="L21" s="100">
        <v>19.29</v>
      </c>
      <c r="M21" s="100">
        <v>63.77</v>
      </c>
      <c r="N21" s="100">
        <v>1.3</v>
      </c>
      <c r="O21" s="100">
        <v>0</v>
      </c>
      <c r="P21" s="100">
        <v>0.74</v>
      </c>
      <c r="Q21" s="100">
        <v>12.99</v>
      </c>
      <c r="R21" s="6"/>
      <c r="S21" s="6"/>
      <c r="T21" s="156"/>
      <c r="U21" s="6"/>
    </row>
    <row r="22" spans="1:21" customFormat="1">
      <c r="A22" s="163" t="s">
        <v>1500</v>
      </c>
      <c r="B22" s="100">
        <v>15.2</v>
      </c>
      <c r="C22" s="100">
        <v>23.45</v>
      </c>
      <c r="D22" s="100">
        <v>25.79</v>
      </c>
      <c r="E22" s="100">
        <v>10.93</v>
      </c>
      <c r="F22" s="152" t="s">
        <v>15</v>
      </c>
      <c r="G22" s="100">
        <v>92.38</v>
      </c>
      <c r="H22" s="100">
        <v>26.01</v>
      </c>
      <c r="I22" s="100">
        <v>9.43</v>
      </c>
      <c r="J22" s="100">
        <v>0.18</v>
      </c>
      <c r="K22" s="100">
        <v>190.07</v>
      </c>
      <c r="L22" s="100">
        <v>18.78</v>
      </c>
      <c r="M22" s="100">
        <v>65.27</v>
      </c>
      <c r="N22" s="100">
        <v>1.3</v>
      </c>
      <c r="O22" s="100">
        <v>0</v>
      </c>
      <c r="P22" s="100">
        <v>0.76</v>
      </c>
      <c r="Q22" s="100">
        <v>12.99</v>
      </c>
      <c r="R22" s="6"/>
      <c r="S22" s="6"/>
      <c r="T22" s="156"/>
      <c r="U22" s="6"/>
    </row>
    <row r="23" spans="1:21" customFormat="1">
      <c r="A23" s="163" t="s">
        <v>1501</v>
      </c>
      <c r="B23" s="100">
        <v>15.07</v>
      </c>
      <c r="C23" s="100">
        <v>23.21</v>
      </c>
      <c r="D23" s="100">
        <v>25.56</v>
      </c>
      <c r="E23" s="100">
        <v>11.24</v>
      </c>
      <c r="F23" s="152" t="s">
        <v>15</v>
      </c>
      <c r="G23" s="100">
        <v>95.06</v>
      </c>
      <c r="H23" s="100">
        <v>25.99</v>
      </c>
      <c r="I23" s="100">
        <v>9.51</v>
      </c>
      <c r="J23" s="100">
        <v>0.21</v>
      </c>
      <c r="K23" s="100">
        <v>161.96</v>
      </c>
      <c r="L23" s="100">
        <v>18.600000000000001</v>
      </c>
      <c r="M23" s="100">
        <v>65.739999999999995</v>
      </c>
      <c r="N23" s="100">
        <v>1</v>
      </c>
      <c r="O23" s="100">
        <v>0</v>
      </c>
      <c r="P23" s="100">
        <v>0.75</v>
      </c>
      <c r="Q23" s="100">
        <v>12.98</v>
      </c>
      <c r="R23" s="6"/>
      <c r="S23" s="6"/>
      <c r="T23" s="156"/>
      <c r="U23" s="6"/>
    </row>
    <row r="24" spans="1:21" customFormat="1">
      <c r="A24" s="163" t="s">
        <v>1502</v>
      </c>
      <c r="B24" s="100">
        <v>15.04</v>
      </c>
      <c r="C24" s="100">
        <v>23.07</v>
      </c>
      <c r="D24" s="100">
        <v>25.47</v>
      </c>
      <c r="E24" s="100">
        <v>11.32</v>
      </c>
      <c r="F24" s="152" t="s">
        <v>15</v>
      </c>
      <c r="G24" s="100">
        <v>95.06</v>
      </c>
      <c r="H24" s="100">
        <v>25.99</v>
      </c>
      <c r="I24" s="100">
        <v>9.57</v>
      </c>
      <c r="J24" s="100">
        <v>0.22</v>
      </c>
      <c r="K24" s="100">
        <v>165.74</v>
      </c>
      <c r="L24" s="100">
        <v>18.649999999999999</v>
      </c>
      <c r="M24" s="100">
        <v>65.67</v>
      </c>
      <c r="N24" s="100">
        <v>0.8</v>
      </c>
      <c r="O24" s="100">
        <v>0</v>
      </c>
      <c r="P24" s="100">
        <v>0.75</v>
      </c>
      <c r="Q24" s="100">
        <v>12.96</v>
      </c>
      <c r="R24" s="6"/>
      <c r="S24" s="6"/>
      <c r="T24" s="156"/>
      <c r="U24" s="6"/>
    </row>
    <row r="25" spans="1:21" customFormat="1">
      <c r="A25" s="163" t="s">
        <v>1503</v>
      </c>
      <c r="B25" s="100">
        <v>15</v>
      </c>
      <c r="C25" s="100">
        <v>22.78</v>
      </c>
      <c r="D25" s="100">
        <v>25.28</v>
      </c>
      <c r="E25" s="100">
        <v>11.19</v>
      </c>
      <c r="F25" s="152" t="s">
        <v>15</v>
      </c>
      <c r="G25" s="100">
        <v>95.06</v>
      </c>
      <c r="H25" s="100">
        <v>25.99</v>
      </c>
      <c r="I25" s="100">
        <v>9.64</v>
      </c>
      <c r="J25" s="100">
        <v>0.27</v>
      </c>
      <c r="K25" s="100">
        <v>175.77</v>
      </c>
      <c r="L25" s="100">
        <v>18.440000000000001</v>
      </c>
      <c r="M25" s="100">
        <v>67.56</v>
      </c>
      <c r="N25" s="100">
        <v>1.1000000000000001</v>
      </c>
      <c r="O25" s="100">
        <v>0</v>
      </c>
      <c r="P25" s="100">
        <v>0.75</v>
      </c>
      <c r="Q25" s="100">
        <v>12.97</v>
      </c>
      <c r="R25" s="6"/>
      <c r="S25" s="6"/>
      <c r="T25" s="156"/>
      <c r="U25" s="6"/>
    </row>
    <row r="26" spans="1:21" customFormat="1">
      <c r="A26" s="163" t="s">
        <v>1504</v>
      </c>
      <c r="B26" s="100">
        <v>14.85</v>
      </c>
      <c r="C26" s="100">
        <v>22.49</v>
      </c>
      <c r="D26" s="100">
        <v>25.01</v>
      </c>
      <c r="E26" s="100">
        <v>11.06</v>
      </c>
      <c r="F26" s="152" t="s">
        <v>15</v>
      </c>
      <c r="G26" s="100">
        <v>85.36</v>
      </c>
      <c r="H26" s="100">
        <v>22.24</v>
      </c>
      <c r="I26" s="100">
        <v>9.66</v>
      </c>
      <c r="J26" s="100">
        <v>0.25</v>
      </c>
      <c r="K26" s="100">
        <v>172.37</v>
      </c>
      <c r="L26" s="100">
        <v>17.89</v>
      </c>
      <c r="M26" s="100">
        <v>68.150000000000006</v>
      </c>
      <c r="N26" s="100">
        <v>1.2</v>
      </c>
      <c r="O26" s="100">
        <v>0</v>
      </c>
      <c r="P26" s="100">
        <v>0.75</v>
      </c>
      <c r="Q26" s="100">
        <v>12.98</v>
      </c>
      <c r="R26" s="6"/>
      <c r="S26" s="6"/>
      <c r="T26" s="156"/>
      <c r="U26" s="6"/>
    </row>
    <row r="27" spans="1:21" customFormat="1">
      <c r="A27" s="163" t="s">
        <v>1505</v>
      </c>
      <c r="B27" s="100">
        <v>14.63</v>
      </c>
      <c r="C27" s="100">
        <v>22.1</v>
      </c>
      <c r="D27" s="100">
        <v>24.63</v>
      </c>
      <c r="E27" s="100">
        <v>11.08</v>
      </c>
      <c r="F27" s="152" t="s">
        <v>15</v>
      </c>
      <c r="G27" s="100">
        <v>81.83</v>
      </c>
      <c r="H27" s="100">
        <v>22.18</v>
      </c>
      <c r="I27" s="100">
        <v>9.65</v>
      </c>
      <c r="J27" s="100">
        <v>0.28000000000000003</v>
      </c>
      <c r="K27" s="100">
        <v>189.01</v>
      </c>
      <c r="L27" s="100">
        <v>17.670000000000002</v>
      </c>
      <c r="M27" s="100">
        <v>70.98</v>
      </c>
      <c r="N27" s="100">
        <v>1.1000000000000001</v>
      </c>
      <c r="O27" s="100">
        <v>0</v>
      </c>
      <c r="P27" s="100">
        <v>0.75</v>
      </c>
      <c r="Q27" s="100">
        <v>12.98</v>
      </c>
      <c r="R27" s="6"/>
      <c r="S27" s="6"/>
      <c r="T27" s="156"/>
      <c r="U27" s="6"/>
    </row>
    <row r="28" spans="1:21" customFormat="1">
      <c r="A28" s="163" t="s">
        <v>1506</v>
      </c>
      <c r="B28" s="100">
        <v>14.38</v>
      </c>
      <c r="C28" s="100">
        <v>21.85</v>
      </c>
      <c r="D28" s="100">
        <v>24.3</v>
      </c>
      <c r="E28" s="100">
        <v>10.67</v>
      </c>
      <c r="F28" s="152" t="s">
        <v>15</v>
      </c>
      <c r="G28" s="100">
        <v>81.83</v>
      </c>
      <c r="H28" s="100">
        <v>22.18</v>
      </c>
      <c r="I28" s="100">
        <v>9.69</v>
      </c>
      <c r="J28" s="100">
        <v>0.25</v>
      </c>
      <c r="K28" s="100">
        <v>180.98</v>
      </c>
      <c r="L28" s="100">
        <v>17.420000000000002</v>
      </c>
      <c r="M28" s="100">
        <v>69.650000000000006</v>
      </c>
      <c r="N28" s="100">
        <v>1.1000000000000001</v>
      </c>
      <c r="O28" s="100">
        <v>0</v>
      </c>
      <c r="P28" s="100">
        <v>0.73</v>
      </c>
      <c r="Q28" s="100">
        <v>12.98</v>
      </c>
      <c r="R28" s="6"/>
      <c r="S28" s="6"/>
      <c r="T28" s="156"/>
      <c r="U28" s="6"/>
    </row>
    <row r="29" spans="1:21" customFormat="1">
      <c r="A29" s="163" t="s">
        <v>1507</v>
      </c>
      <c r="B29" s="100">
        <v>14.12</v>
      </c>
      <c r="C29" s="100">
        <v>21.61</v>
      </c>
      <c r="D29" s="100">
        <v>23.96</v>
      </c>
      <c r="E29" s="100">
        <v>10.88</v>
      </c>
      <c r="F29" s="152" t="s">
        <v>15</v>
      </c>
      <c r="G29" s="100">
        <v>81.83</v>
      </c>
      <c r="H29" s="100">
        <v>22.18</v>
      </c>
      <c r="I29" s="100">
        <v>9.69</v>
      </c>
      <c r="J29" s="100">
        <v>0.15</v>
      </c>
      <c r="K29" s="100">
        <v>152.29</v>
      </c>
      <c r="L29" s="100">
        <v>17.3</v>
      </c>
      <c r="M29" s="100">
        <v>68.27</v>
      </c>
      <c r="N29" s="100">
        <v>1</v>
      </c>
      <c r="O29" s="100">
        <v>0</v>
      </c>
      <c r="P29" s="100">
        <v>0.73</v>
      </c>
      <c r="Q29" s="100">
        <v>12.98</v>
      </c>
      <c r="R29" s="6"/>
      <c r="S29" s="6"/>
      <c r="T29" s="156"/>
      <c r="U29" s="6"/>
    </row>
    <row r="30" spans="1:21" customFormat="1">
      <c r="A30" s="163" t="s">
        <v>1508</v>
      </c>
      <c r="B30" s="100">
        <v>13.82</v>
      </c>
      <c r="C30" s="100">
        <v>21.4</v>
      </c>
      <c r="D30" s="100">
        <v>23.62</v>
      </c>
      <c r="E30" s="100">
        <v>10.79</v>
      </c>
      <c r="F30" s="152" t="s">
        <v>15</v>
      </c>
      <c r="G30" s="100">
        <v>72.61</v>
      </c>
      <c r="H30" s="100">
        <v>20.37</v>
      </c>
      <c r="I30" s="100">
        <v>9.66</v>
      </c>
      <c r="J30" s="100">
        <v>0.15</v>
      </c>
      <c r="K30" s="100">
        <v>145.21</v>
      </c>
      <c r="L30" s="100">
        <v>17.440000000000001</v>
      </c>
      <c r="M30" s="100">
        <v>65.66</v>
      </c>
      <c r="N30" s="100">
        <v>0.7</v>
      </c>
      <c r="O30" s="100">
        <v>0</v>
      </c>
      <c r="P30" s="100">
        <v>0.72</v>
      </c>
      <c r="Q30" s="100">
        <v>12.98</v>
      </c>
      <c r="R30" s="6"/>
      <c r="S30" s="6"/>
      <c r="T30" s="156"/>
      <c r="U30" s="6"/>
    </row>
    <row r="31" spans="1:21" customFormat="1">
      <c r="A31" s="163" t="s">
        <v>1509</v>
      </c>
      <c r="B31" s="100">
        <v>13.54</v>
      </c>
      <c r="C31" s="100">
        <v>21.24</v>
      </c>
      <c r="D31" s="100">
        <v>23.31</v>
      </c>
      <c r="E31" s="100">
        <v>10.81</v>
      </c>
      <c r="F31" s="152" t="s">
        <v>15</v>
      </c>
      <c r="G31" s="100">
        <v>69.260000000000005</v>
      </c>
      <c r="H31" s="100">
        <v>20.34</v>
      </c>
      <c r="I31" s="100">
        <v>9.59</v>
      </c>
      <c r="J31" s="100">
        <v>0.18</v>
      </c>
      <c r="K31" s="100">
        <v>161.21</v>
      </c>
      <c r="L31" s="100">
        <v>17.38</v>
      </c>
      <c r="M31" s="100">
        <v>64.91</v>
      </c>
      <c r="N31" s="100">
        <v>0.8</v>
      </c>
      <c r="O31" s="100">
        <v>0</v>
      </c>
      <c r="P31" s="100">
        <v>0.73</v>
      </c>
      <c r="Q31" s="100">
        <v>12.99</v>
      </c>
      <c r="R31" s="6"/>
      <c r="S31" s="6"/>
      <c r="T31" s="156"/>
      <c r="U31" s="6"/>
    </row>
    <row r="32" spans="1:21" customFormat="1">
      <c r="A32" s="163" t="s">
        <v>1510</v>
      </c>
      <c r="B32" s="100">
        <v>13.37</v>
      </c>
      <c r="C32" s="100">
        <v>21.23</v>
      </c>
      <c r="D32" s="100">
        <v>23.16</v>
      </c>
      <c r="E32" s="100">
        <v>10.72</v>
      </c>
      <c r="F32" s="152" t="s">
        <v>15</v>
      </c>
      <c r="G32" s="100">
        <v>69.260000000000005</v>
      </c>
      <c r="H32" s="100">
        <v>20.34</v>
      </c>
      <c r="I32" s="100">
        <v>9.51</v>
      </c>
      <c r="J32" s="100">
        <v>0.17</v>
      </c>
      <c r="K32" s="100">
        <v>167.64</v>
      </c>
      <c r="L32" s="100">
        <v>17.29</v>
      </c>
      <c r="M32" s="100">
        <v>67.67</v>
      </c>
      <c r="N32" s="100">
        <v>0.8</v>
      </c>
      <c r="O32" s="100">
        <v>0</v>
      </c>
      <c r="P32" s="100">
        <v>0.74</v>
      </c>
      <c r="Q32" s="100">
        <v>12.97</v>
      </c>
      <c r="R32" s="6"/>
      <c r="S32" s="6"/>
      <c r="T32" s="156"/>
      <c r="U32" s="6"/>
    </row>
    <row r="33" spans="1:21" customFormat="1">
      <c r="A33" s="163" t="s">
        <v>1511</v>
      </c>
      <c r="B33" s="100">
        <v>14.22</v>
      </c>
      <c r="C33" s="100">
        <v>21.75</v>
      </c>
      <c r="D33" s="100">
        <v>24.12</v>
      </c>
      <c r="E33" s="100">
        <v>10.95</v>
      </c>
      <c r="F33" s="152" t="s">
        <v>15</v>
      </c>
      <c r="G33" s="100">
        <v>69.260000000000005</v>
      </c>
      <c r="H33" s="100">
        <v>20.34</v>
      </c>
      <c r="I33" s="100">
        <v>9.52</v>
      </c>
      <c r="J33" s="100">
        <v>0.16</v>
      </c>
      <c r="K33" s="100">
        <v>197.11</v>
      </c>
      <c r="L33" s="100">
        <v>17.18</v>
      </c>
      <c r="M33" s="100">
        <v>70.31</v>
      </c>
      <c r="N33" s="100">
        <v>0.9</v>
      </c>
      <c r="O33" s="100">
        <v>0</v>
      </c>
      <c r="P33" s="100">
        <v>0.79</v>
      </c>
      <c r="Q33" s="100">
        <v>12.97</v>
      </c>
      <c r="R33" s="6"/>
      <c r="S33" s="6"/>
      <c r="T33" s="156"/>
      <c r="U33" s="6"/>
    </row>
    <row r="34" spans="1:21" customFormat="1">
      <c r="A34" s="163" t="s">
        <v>1512</v>
      </c>
      <c r="B34" s="100">
        <v>15.39</v>
      </c>
      <c r="C34" s="100">
        <v>21.9</v>
      </c>
      <c r="D34" s="100">
        <v>25.13</v>
      </c>
      <c r="E34" s="100">
        <v>10.41</v>
      </c>
      <c r="F34" s="152" t="s">
        <v>15</v>
      </c>
      <c r="G34" s="100">
        <v>75.08</v>
      </c>
      <c r="H34" s="100">
        <v>22.29</v>
      </c>
      <c r="I34" s="100">
        <v>9.51</v>
      </c>
      <c r="J34" s="100">
        <v>0.16</v>
      </c>
      <c r="K34" s="100">
        <v>240</v>
      </c>
      <c r="L34" s="100">
        <v>16.82</v>
      </c>
      <c r="M34" s="100">
        <v>71.290000000000006</v>
      </c>
      <c r="N34" s="100">
        <v>1.6</v>
      </c>
      <c r="O34" s="100">
        <v>0</v>
      </c>
      <c r="P34" s="100">
        <v>0.8</v>
      </c>
      <c r="Q34" s="100">
        <v>12.97</v>
      </c>
      <c r="R34" s="6"/>
      <c r="S34" s="6"/>
      <c r="T34" s="156"/>
      <c r="U34" s="6"/>
    </row>
    <row r="35" spans="1:21" customFormat="1">
      <c r="A35" s="163" t="s">
        <v>1513</v>
      </c>
      <c r="B35" s="100">
        <v>17.64</v>
      </c>
      <c r="C35" s="100">
        <v>22.12</v>
      </c>
      <c r="D35" s="100">
        <v>27.06</v>
      </c>
      <c r="E35" s="100">
        <v>10.62</v>
      </c>
      <c r="F35" s="152" t="s">
        <v>15</v>
      </c>
      <c r="G35" s="100">
        <v>77.19</v>
      </c>
      <c r="H35" s="100">
        <v>22.32</v>
      </c>
      <c r="I35" s="100">
        <v>9.64</v>
      </c>
      <c r="J35" s="100">
        <v>0.25</v>
      </c>
      <c r="K35" s="100">
        <v>200.36</v>
      </c>
      <c r="L35" s="100">
        <v>16.68</v>
      </c>
      <c r="M35" s="100">
        <v>71.010000000000005</v>
      </c>
      <c r="N35" s="100">
        <v>4.4000000000000004</v>
      </c>
      <c r="O35" s="100">
        <v>0</v>
      </c>
      <c r="P35" s="100">
        <v>0.8</v>
      </c>
      <c r="Q35" s="100">
        <v>12.97</v>
      </c>
      <c r="R35" s="6"/>
      <c r="S35" s="6"/>
      <c r="T35" s="156"/>
      <c r="U35" s="6"/>
    </row>
    <row r="36" spans="1:21" customFormat="1">
      <c r="A36" s="163" t="s">
        <v>1514</v>
      </c>
      <c r="B36" s="100">
        <v>18.96</v>
      </c>
      <c r="C36" s="100">
        <v>22.18</v>
      </c>
      <c r="D36" s="100">
        <v>28.15</v>
      </c>
      <c r="E36" s="100">
        <v>10.52</v>
      </c>
      <c r="F36" s="152" t="s">
        <v>15</v>
      </c>
      <c r="G36" s="100">
        <v>77.19</v>
      </c>
      <c r="H36" s="100">
        <v>22.32</v>
      </c>
      <c r="I36" s="100">
        <v>9.8000000000000007</v>
      </c>
      <c r="J36" s="100">
        <v>0.24</v>
      </c>
      <c r="K36" s="100">
        <v>166.72</v>
      </c>
      <c r="L36" s="100">
        <v>16.350000000000001</v>
      </c>
      <c r="M36" s="100">
        <v>74.17</v>
      </c>
      <c r="N36" s="100">
        <v>9.6</v>
      </c>
      <c r="O36" s="100">
        <v>0</v>
      </c>
      <c r="P36" s="100">
        <v>0.81</v>
      </c>
      <c r="Q36" s="100">
        <v>12.99</v>
      </c>
      <c r="R36" s="6"/>
      <c r="S36" s="6"/>
      <c r="T36" s="156"/>
      <c r="U36" s="6"/>
    </row>
    <row r="37" spans="1:21" customFormat="1">
      <c r="A37" s="163" t="s">
        <v>1515</v>
      </c>
      <c r="B37" s="100">
        <v>19.3</v>
      </c>
      <c r="C37" s="100">
        <v>22</v>
      </c>
      <c r="D37" s="100">
        <v>28.32</v>
      </c>
      <c r="E37" s="100">
        <v>10.09</v>
      </c>
      <c r="F37" s="152" t="s">
        <v>15</v>
      </c>
      <c r="G37" s="100">
        <v>77.19</v>
      </c>
      <c r="H37" s="100">
        <v>22.32</v>
      </c>
      <c r="I37" s="100">
        <v>9.8800000000000008</v>
      </c>
      <c r="J37" s="100">
        <v>0.23</v>
      </c>
      <c r="K37" s="100">
        <v>172.03</v>
      </c>
      <c r="L37" s="100">
        <v>16.71</v>
      </c>
      <c r="M37" s="100">
        <v>75.599999999999994</v>
      </c>
      <c r="N37" s="100">
        <v>15.8</v>
      </c>
      <c r="O37" s="100">
        <v>0</v>
      </c>
      <c r="P37" s="100">
        <v>0.81</v>
      </c>
      <c r="Q37" s="100">
        <v>12.99</v>
      </c>
      <c r="R37" s="6"/>
      <c r="S37" s="6"/>
      <c r="T37" s="156"/>
      <c r="U37" s="6"/>
    </row>
    <row r="38" spans="1:21" customFormat="1">
      <c r="A38" s="163" t="s">
        <v>1516</v>
      </c>
      <c r="B38" s="100">
        <v>19.47</v>
      </c>
      <c r="C38" s="100">
        <v>21.8</v>
      </c>
      <c r="D38" s="100">
        <v>28.35</v>
      </c>
      <c r="E38" s="100">
        <v>10.62</v>
      </c>
      <c r="F38" s="152" t="s">
        <v>15</v>
      </c>
      <c r="G38" s="100">
        <v>74.150000000000006</v>
      </c>
      <c r="H38" s="100">
        <v>19.04</v>
      </c>
      <c r="I38" s="100">
        <v>9.89</v>
      </c>
      <c r="J38" s="100">
        <v>0.16</v>
      </c>
      <c r="K38" s="100">
        <v>186.2</v>
      </c>
      <c r="L38" s="100">
        <v>17.48</v>
      </c>
      <c r="M38" s="100">
        <v>73.010000000000005</v>
      </c>
      <c r="N38" s="100">
        <v>22.7</v>
      </c>
      <c r="O38" s="100">
        <v>0</v>
      </c>
      <c r="P38" s="100">
        <v>0.81</v>
      </c>
      <c r="Q38" s="100">
        <v>12.98</v>
      </c>
      <c r="R38" s="6"/>
      <c r="S38" s="6"/>
      <c r="T38" s="156"/>
      <c r="U38" s="6"/>
    </row>
    <row r="39" spans="1:21" customFormat="1">
      <c r="A39" s="163" t="s">
        <v>1517</v>
      </c>
      <c r="B39" s="100">
        <v>19.559999999999999</v>
      </c>
      <c r="C39" s="100">
        <v>21.98</v>
      </c>
      <c r="D39" s="100">
        <v>28.52</v>
      </c>
      <c r="E39" s="100">
        <v>10.02</v>
      </c>
      <c r="F39" s="152" t="s">
        <v>15</v>
      </c>
      <c r="G39" s="100">
        <v>73.05</v>
      </c>
      <c r="H39" s="100">
        <v>18.989999999999998</v>
      </c>
      <c r="I39" s="100">
        <v>9.98</v>
      </c>
      <c r="J39" s="100">
        <v>0.26</v>
      </c>
      <c r="K39" s="100">
        <v>34.049999999999997</v>
      </c>
      <c r="L39" s="100">
        <v>18.760000000000002</v>
      </c>
      <c r="M39" s="100">
        <v>58.27</v>
      </c>
      <c r="N39" s="100">
        <v>29</v>
      </c>
      <c r="O39" s="100">
        <v>0</v>
      </c>
      <c r="P39" s="100">
        <v>0.81</v>
      </c>
      <c r="Q39" s="100">
        <v>12.99</v>
      </c>
      <c r="R39" s="6"/>
      <c r="S39" s="6"/>
      <c r="T39" s="156"/>
      <c r="U39" s="6"/>
    </row>
    <row r="40" spans="1:21" customFormat="1">
      <c r="A40" s="163" t="s">
        <v>1518</v>
      </c>
      <c r="B40" s="100">
        <v>19.920000000000002</v>
      </c>
      <c r="C40" s="100">
        <v>22.61</v>
      </c>
      <c r="D40" s="100">
        <v>29.14</v>
      </c>
      <c r="E40" s="100">
        <v>10.08</v>
      </c>
      <c r="F40" s="152" t="s">
        <v>15</v>
      </c>
      <c r="G40" s="100">
        <v>73.05</v>
      </c>
      <c r="H40" s="100">
        <v>18.989999999999998</v>
      </c>
      <c r="I40" s="100">
        <v>10.08</v>
      </c>
      <c r="J40" s="100">
        <v>0.4</v>
      </c>
      <c r="K40" s="100">
        <v>33.08</v>
      </c>
      <c r="L40" s="100">
        <v>20.16</v>
      </c>
      <c r="M40" s="100">
        <v>50.06</v>
      </c>
      <c r="N40" s="100">
        <v>36.5</v>
      </c>
      <c r="O40" s="100">
        <v>0</v>
      </c>
      <c r="P40" s="100">
        <v>0.82</v>
      </c>
      <c r="Q40" s="100">
        <v>12.99</v>
      </c>
      <c r="R40" s="6"/>
      <c r="S40" s="6"/>
      <c r="T40" s="156"/>
      <c r="U40" s="6"/>
    </row>
    <row r="41" spans="1:21" customFormat="1">
      <c r="A41" s="163" t="s">
        <v>1519</v>
      </c>
      <c r="B41" s="100">
        <v>20.149999999999999</v>
      </c>
      <c r="C41" s="100">
        <v>23.36</v>
      </c>
      <c r="D41" s="100">
        <v>29.71</v>
      </c>
      <c r="E41" s="100">
        <v>10.28</v>
      </c>
      <c r="F41" s="152" t="s">
        <v>15</v>
      </c>
      <c r="G41" s="100">
        <v>73.05</v>
      </c>
      <c r="H41" s="100">
        <v>18.989999999999998</v>
      </c>
      <c r="I41" s="100">
        <v>10.16</v>
      </c>
      <c r="J41" s="100">
        <v>0.44</v>
      </c>
      <c r="K41" s="100">
        <v>61.98</v>
      </c>
      <c r="L41" s="100">
        <v>21.02</v>
      </c>
      <c r="M41" s="100">
        <v>47.12</v>
      </c>
      <c r="N41" s="100">
        <v>107.3</v>
      </c>
      <c r="O41" s="100">
        <v>0</v>
      </c>
      <c r="P41" s="100">
        <v>0.82</v>
      </c>
      <c r="Q41" s="100">
        <v>12.99</v>
      </c>
      <c r="R41" s="6"/>
      <c r="S41" s="6"/>
      <c r="T41" s="156"/>
      <c r="U41" s="6"/>
    </row>
    <row r="42" spans="1:21" customFormat="1">
      <c r="A42" s="163" t="s">
        <v>1520</v>
      </c>
      <c r="B42" s="100">
        <v>19.57</v>
      </c>
      <c r="C42" s="100">
        <v>24.15</v>
      </c>
      <c r="D42" s="100">
        <v>29.66</v>
      </c>
      <c r="E42" s="100">
        <v>10.1</v>
      </c>
      <c r="F42" s="152" t="s">
        <v>15</v>
      </c>
      <c r="G42" s="100">
        <v>74.56</v>
      </c>
      <c r="H42" s="100">
        <v>23.12</v>
      </c>
      <c r="I42" s="100">
        <v>10.33</v>
      </c>
      <c r="J42" s="100">
        <v>0.97</v>
      </c>
      <c r="K42" s="100">
        <v>43.21</v>
      </c>
      <c r="L42" s="100">
        <v>21.65</v>
      </c>
      <c r="M42" s="100">
        <v>45.35</v>
      </c>
      <c r="N42" s="100">
        <v>180.7</v>
      </c>
      <c r="O42" s="100">
        <v>0</v>
      </c>
      <c r="P42" s="100">
        <v>0.81</v>
      </c>
      <c r="Q42" s="100">
        <v>12.99</v>
      </c>
      <c r="R42" s="6"/>
      <c r="S42" s="6"/>
      <c r="T42" s="156"/>
      <c r="U42" s="6"/>
    </row>
    <row r="43" spans="1:21" customFormat="1">
      <c r="A43" s="163" t="s">
        <v>1521</v>
      </c>
      <c r="B43" s="100">
        <v>18.96</v>
      </c>
      <c r="C43" s="100">
        <v>24.52</v>
      </c>
      <c r="D43" s="100">
        <v>29.37</v>
      </c>
      <c r="E43" s="100">
        <v>10.119999999999999</v>
      </c>
      <c r="F43" s="152" t="s">
        <v>15</v>
      </c>
      <c r="G43" s="100">
        <v>75.11</v>
      </c>
      <c r="H43" s="100">
        <v>23.18</v>
      </c>
      <c r="I43" s="100">
        <v>10.42</v>
      </c>
      <c r="J43" s="100">
        <v>0.89</v>
      </c>
      <c r="K43" s="100">
        <v>58.19</v>
      </c>
      <c r="L43" s="100">
        <v>22.57</v>
      </c>
      <c r="M43" s="100">
        <v>43.25</v>
      </c>
      <c r="N43" s="100">
        <v>221.7</v>
      </c>
      <c r="O43" s="100">
        <v>0</v>
      </c>
      <c r="P43" s="100">
        <v>0.81</v>
      </c>
      <c r="Q43" s="100">
        <v>13</v>
      </c>
      <c r="R43" s="6"/>
      <c r="S43" s="6"/>
      <c r="T43" s="156"/>
      <c r="U43" s="6"/>
    </row>
    <row r="44" spans="1:21" customFormat="1">
      <c r="A44" s="163" t="s">
        <v>1522</v>
      </c>
      <c r="B44" s="100">
        <v>18.14</v>
      </c>
      <c r="C44" s="100">
        <v>24.43</v>
      </c>
      <c r="D44" s="100">
        <v>28.66</v>
      </c>
      <c r="E44" s="100">
        <v>10.4</v>
      </c>
      <c r="F44" s="152" t="s">
        <v>15</v>
      </c>
      <c r="G44" s="100">
        <v>75.11</v>
      </c>
      <c r="H44" s="100">
        <v>23.18</v>
      </c>
      <c r="I44" s="100">
        <v>10.4</v>
      </c>
      <c r="J44" s="100">
        <v>0.83</v>
      </c>
      <c r="K44" s="100">
        <v>54</v>
      </c>
      <c r="L44" s="100">
        <v>23.42</v>
      </c>
      <c r="M44" s="100">
        <v>41.51</v>
      </c>
      <c r="N44" s="100">
        <v>233.7</v>
      </c>
      <c r="O44" s="100">
        <v>0</v>
      </c>
      <c r="P44" s="100">
        <v>0.8</v>
      </c>
      <c r="Q44" s="100">
        <v>12.99</v>
      </c>
      <c r="R44" s="6"/>
      <c r="S44" s="6"/>
      <c r="T44" s="156"/>
      <c r="U44" s="6"/>
    </row>
    <row r="45" spans="1:21" customFormat="1">
      <c r="A45" s="163" t="s">
        <v>1523</v>
      </c>
      <c r="B45" s="100">
        <v>17.87</v>
      </c>
      <c r="C45" s="100">
        <v>24.17</v>
      </c>
      <c r="D45" s="100">
        <v>28.31</v>
      </c>
      <c r="E45" s="100">
        <v>10.5</v>
      </c>
      <c r="F45" s="152" t="s">
        <v>15</v>
      </c>
      <c r="G45" s="100">
        <v>75.11</v>
      </c>
      <c r="H45" s="100">
        <v>23.18</v>
      </c>
      <c r="I45" s="100">
        <v>10.32</v>
      </c>
      <c r="J45" s="100">
        <v>0.84</v>
      </c>
      <c r="K45" s="100">
        <v>55.66</v>
      </c>
      <c r="L45" s="100">
        <v>23.96</v>
      </c>
      <c r="M45" s="100">
        <v>40.04</v>
      </c>
      <c r="N45" s="100">
        <v>208.1</v>
      </c>
      <c r="O45" s="100">
        <v>0</v>
      </c>
      <c r="P45" s="100">
        <v>0.8</v>
      </c>
      <c r="Q45" s="100">
        <v>12.99</v>
      </c>
      <c r="R45" s="6"/>
      <c r="S45" s="6"/>
      <c r="T45" s="156"/>
      <c r="U45" s="6"/>
    </row>
    <row r="46" spans="1:21" customFormat="1">
      <c r="A46" s="163" t="s">
        <v>1524</v>
      </c>
      <c r="B46" s="100">
        <v>17.07</v>
      </c>
      <c r="C46" s="100">
        <v>24.3</v>
      </c>
      <c r="D46" s="100">
        <v>27.73</v>
      </c>
      <c r="E46" s="100">
        <v>10.74</v>
      </c>
      <c r="F46" s="152" t="s">
        <v>15</v>
      </c>
      <c r="G46" s="100">
        <v>71.930000000000007</v>
      </c>
      <c r="H46" s="100">
        <v>24.88</v>
      </c>
      <c r="I46" s="100">
        <v>10.19</v>
      </c>
      <c r="J46" s="100">
        <v>0.89</v>
      </c>
      <c r="K46" s="100">
        <v>29.95</v>
      </c>
      <c r="L46" s="100">
        <v>24.75</v>
      </c>
      <c r="M46" s="100">
        <v>37.119999999999997</v>
      </c>
      <c r="N46" s="100">
        <v>287.8</v>
      </c>
      <c r="O46" s="100">
        <v>0</v>
      </c>
      <c r="P46" s="100">
        <v>0.79</v>
      </c>
      <c r="Q46" s="100">
        <v>13</v>
      </c>
      <c r="R46" s="6"/>
      <c r="S46" s="6"/>
      <c r="T46" s="156"/>
      <c r="U46" s="6"/>
    </row>
    <row r="47" spans="1:21" customFormat="1">
      <c r="A47" s="163" t="s">
        <v>1525</v>
      </c>
      <c r="B47" s="100">
        <v>16.309999999999999</v>
      </c>
      <c r="C47" s="100">
        <v>24.45</v>
      </c>
      <c r="D47" s="100">
        <v>27.2</v>
      </c>
      <c r="E47" s="100">
        <v>10.4</v>
      </c>
      <c r="F47" s="152" t="s">
        <v>15</v>
      </c>
      <c r="G47" s="100">
        <v>70.77</v>
      </c>
      <c r="H47" s="100">
        <v>24.92</v>
      </c>
      <c r="I47" s="100">
        <v>10.06</v>
      </c>
      <c r="J47" s="100">
        <v>1.02</v>
      </c>
      <c r="K47" s="100">
        <v>43.91</v>
      </c>
      <c r="L47" s="100">
        <v>24.8</v>
      </c>
      <c r="M47" s="100">
        <v>36.380000000000003</v>
      </c>
      <c r="N47" s="100">
        <v>303.89999999999998</v>
      </c>
      <c r="O47" s="100">
        <v>0</v>
      </c>
      <c r="P47" s="100">
        <v>0.78</v>
      </c>
      <c r="Q47" s="100">
        <v>12.99</v>
      </c>
      <c r="R47" s="6"/>
      <c r="S47" s="6"/>
      <c r="T47" s="156"/>
      <c r="U47" s="6"/>
    </row>
    <row r="48" spans="1:21" customFormat="1">
      <c r="A48" s="163" t="s">
        <v>1526</v>
      </c>
      <c r="B48" s="100">
        <v>15.54</v>
      </c>
      <c r="C48" s="100">
        <v>24.53</v>
      </c>
      <c r="D48" s="100">
        <v>26.63</v>
      </c>
      <c r="E48" s="100">
        <v>10.73</v>
      </c>
      <c r="F48" s="152" t="s">
        <v>15</v>
      </c>
      <c r="G48" s="100">
        <v>70.77</v>
      </c>
      <c r="H48" s="100">
        <v>24.92</v>
      </c>
      <c r="I48" s="100">
        <v>9.9600000000000009</v>
      </c>
      <c r="J48" s="100">
        <v>1.08</v>
      </c>
      <c r="K48" s="100">
        <v>46.17</v>
      </c>
      <c r="L48" s="100">
        <v>25.25</v>
      </c>
      <c r="M48" s="100">
        <v>35.200000000000003</v>
      </c>
      <c r="N48" s="100">
        <v>315.89999999999998</v>
      </c>
      <c r="O48" s="100">
        <v>0</v>
      </c>
      <c r="P48" s="100">
        <v>0.77</v>
      </c>
      <c r="Q48" s="100">
        <v>12.98</v>
      </c>
      <c r="R48" s="6"/>
      <c r="S48" s="6"/>
      <c r="T48" s="156"/>
      <c r="U48" s="6"/>
    </row>
    <row r="49" spans="1:21" customFormat="1">
      <c r="A49" s="163" t="s">
        <v>1527</v>
      </c>
      <c r="B49" s="100">
        <v>14.57</v>
      </c>
      <c r="C49" s="100">
        <v>24.59</v>
      </c>
      <c r="D49" s="100">
        <v>25.89</v>
      </c>
      <c r="E49" s="100">
        <v>8.9499999999999993</v>
      </c>
      <c r="F49" s="152" t="s">
        <v>15</v>
      </c>
      <c r="G49" s="100">
        <v>70.77</v>
      </c>
      <c r="H49" s="100">
        <v>24.92</v>
      </c>
      <c r="I49" s="100">
        <v>9.8800000000000008</v>
      </c>
      <c r="J49" s="100">
        <v>1.23</v>
      </c>
      <c r="K49" s="100">
        <v>50.54</v>
      </c>
      <c r="L49" s="100">
        <v>25.72</v>
      </c>
      <c r="M49" s="100">
        <v>34.340000000000003</v>
      </c>
      <c r="N49" s="100">
        <v>236.2</v>
      </c>
      <c r="O49" s="100">
        <v>0</v>
      </c>
      <c r="P49" s="100">
        <v>0.76</v>
      </c>
      <c r="Q49" s="100">
        <v>13</v>
      </c>
      <c r="R49" s="6"/>
      <c r="S49" s="6"/>
      <c r="T49" s="156"/>
      <c r="U49" s="6"/>
    </row>
    <row r="50" spans="1:21" customFormat="1">
      <c r="A50" s="163" t="s">
        <v>1528</v>
      </c>
      <c r="B50" s="100">
        <v>13.51</v>
      </c>
      <c r="C50" s="100">
        <v>24.45</v>
      </c>
      <c r="D50" s="100">
        <v>24.96</v>
      </c>
      <c r="E50" s="100">
        <v>10.33</v>
      </c>
      <c r="F50" s="152" t="s">
        <v>15</v>
      </c>
      <c r="G50" s="100">
        <v>62.91</v>
      </c>
      <c r="H50" s="100">
        <v>21.96</v>
      </c>
      <c r="I50" s="100">
        <v>9.83</v>
      </c>
      <c r="J50" s="100">
        <v>1.0900000000000001</v>
      </c>
      <c r="K50" s="100">
        <v>39.1</v>
      </c>
      <c r="L50" s="100">
        <v>26.09</v>
      </c>
      <c r="M50" s="100">
        <v>33.700000000000003</v>
      </c>
      <c r="N50" s="100">
        <v>311.8</v>
      </c>
      <c r="O50" s="100">
        <v>0</v>
      </c>
      <c r="P50" s="100">
        <v>0.75</v>
      </c>
      <c r="Q50" s="100">
        <v>12.99</v>
      </c>
      <c r="R50" s="6"/>
      <c r="S50" s="6"/>
      <c r="T50" s="156"/>
      <c r="U50" s="6"/>
    </row>
    <row r="51" spans="1:21" customFormat="1">
      <c r="A51" s="163" t="s">
        <v>1529</v>
      </c>
      <c r="B51" s="100">
        <v>12.24</v>
      </c>
      <c r="C51" s="100">
        <v>24.54</v>
      </c>
      <c r="D51" s="100">
        <v>23.99</v>
      </c>
      <c r="E51" s="100">
        <v>10.25</v>
      </c>
      <c r="F51" s="152" t="s">
        <v>15</v>
      </c>
      <c r="G51" s="100">
        <v>60.05</v>
      </c>
      <c r="H51" s="100">
        <v>21.91</v>
      </c>
      <c r="I51" s="100">
        <v>9.77</v>
      </c>
      <c r="J51" s="100">
        <v>1.17</v>
      </c>
      <c r="K51" s="100">
        <v>49.02</v>
      </c>
      <c r="L51" s="100">
        <v>26.6</v>
      </c>
      <c r="M51" s="100">
        <v>32.659999999999997</v>
      </c>
      <c r="N51" s="100">
        <v>344.7</v>
      </c>
      <c r="O51" s="100">
        <v>0</v>
      </c>
      <c r="P51" s="100">
        <v>0.73</v>
      </c>
      <c r="Q51" s="100">
        <v>12.97</v>
      </c>
      <c r="R51" s="6"/>
      <c r="S51" s="6"/>
      <c r="T51" s="156"/>
      <c r="U51" s="6"/>
    </row>
    <row r="52" spans="1:21" customFormat="1">
      <c r="A52" s="163" t="s">
        <v>1530</v>
      </c>
      <c r="B52" s="100">
        <v>10.55</v>
      </c>
      <c r="C52" s="100">
        <v>24.81</v>
      </c>
      <c r="D52" s="100">
        <v>22.77</v>
      </c>
      <c r="E52" s="100">
        <v>10.57</v>
      </c>
      <c r="F52" s="152" t="s">
        <v>15</v>
      </c>
      <c r="G52" s="100">
        <v>60.05</v>
      </c>
      <c r="H52" s="100">
        <v>21.91</v>
      </c>
      <c r="I52" s="100">
        <v>9.6999999999999993</v>
      </c>
      <c r="J52" s="100">
        <v>1</v>
      </c>
      <c r="K52" s="100">
        <v>39.270000000000003</v>
      </c>
      <c r="L52" s="100">
        <v>26.96</v>
      </c>
      <c r="M52" s="100">
        <v>30.63</v>
      </c>
      <c r="N52" s="100">
        <v>358.4</v>
      </c>
      <c r="O52" s="100">
        <v>0</v>
      </c>
      <c r="P52" s="100">
        <v>0.66</v>
      </c>
      <c r="Q52" s="100">
        <v>12.98</v>
      </c>
      <c r="R52" s="6"/>
      <c r="S52" s="6"/>
      <c r="T52" s="156"/>
      <c r="U52" s="6"/>
    </row>
    <row r="53" spans="1:21" customFormat="1">
      <c r="A53" s="163" t="s">
        <v>1531</v>
      </c>
      <c r="B53" s="100">
        <v>8.7100000000000009</v>
      </c>
      <c r="C53" s="100">
        <v>25.47</v>
      </c>
      <c r="D53" s="100">
        <v>21.65</v>
      </c>
      <c r="E53" s="100">
        <v>10.63</v>
      </c>
      <c r="F53" s="152" t="s">
        <v>15</v>
      </c>
      <c r="G53" s="100">
        <v>60.05</v>
      </c>
      <c r="H53" s="100">
        <v>21.91</v>
      </c>
      <c r="I53" s="100">
        <v>9.59</v>
      </c>
      <c r="J53" s="100">
        <v>0.77</v>
      </c>
      <c r="K53" s="100">
        <v>32.4</v>
      </c>
      <c r="L53" s="100">
        <v>27.61</v>
      </c>
      <c r="M53" s="100">
        <v>28.8</v>
      </c>
      <c r="N53" s="100">
        <v>362.8</v>
      </c>
      <c r="O53" s="100">
        <v>0</v>
      </c>
      <c r="P53" s="100">
        <v>0.64</v>
      </c>
      <c r="Q53" s="100">
        <v>12.97</v>
      </c>
      <c r="R53" s="6"/>
      <c r="S53" s="6"/>
      <c r="T53" s="156"/>
      <c r="U53" s="6"/>
    </row>
    <row r="54" spans="1:21" customFormat="1">
      <c r="A54" s="163" t="s">
        <v>1532</v>
      </c>
      <c r="B54" s="100">
        <v>7.08</v>
      </c>
      <c r="C54" s="100">
        <v>25.99</v>
      </c>
      <c r="D54" s="100">
        <v>20.61</v>
      </c>
      <c r="E54" s="100">
        <v>10.51</v>
      </c>
      <c r="F54" s="152" t="s">
        <v>15</v>
      </c>
      <c r="G54" s="100">
        <v>59.37</v>
      </c>
      <c r="H54" s="100">
        <v>25.68</v>
      </c>
      <c r="I54" s="100">
        <v>9.43</v>
      </c>
      <c r="J54" s="100">
        <v>0.85</v>
      </c>
      <c r="K54" s="100">
        <v>345.32</v>
      </c>
      <c r="L54" s="100">
        <v>27.63</v>
      </c>
      <c r="M54" s="100">
        <v>28.13</v>
      </c>
      <c r="N54" s="100">
        <v>338.6</v>
      </c>
      <c r="O54" s="100">
        <v>0</v>
      </c>
      <c r="P54" s="100">
        <v>0.62</v>
      </c>
      <c r="Q54" s="100">
        <v>12.97</v>
      </c>
      <c r="R54" s="6"/>
      <c r="S54" s="6"/>
      <c r="T54" s="156"/>
      <c r="U54" s="6"/>
    </row>
    <row r="55" spans="1:21" customFormat="1">
      <c r="A55" s="163" t="s">
        <v>1533</v>
      </c>
      <c r="B55" s="100">
        <v>5.71</v>
      </c>
      <c r="C55" s="100">
        <v>26.36</v>
      </c>
      <c r="D55" s="100">
        <v>19.7</v>
      </c>
      <c r="E55" s="100">
        <v>11.66</v>
      </c>
      <c r="F55" s="152" t="s">
        <v>15</v>
      </c>
      <c r="G55" s="100">
        <v>59.12</v>
      </c>
      <c r="H55" s="100">
        <v>25.74</v>
      </c>
      <c r="I55" s="100">
        <v>9.2200000000000006</v>
      </c>
      <c r="J55" s="100">
        <v>0.97</v>
      </c>
      <c r="K55" s="100">
        <v>39.590000000000003</v>
      </c>
      <c r="L55" s="100">
        <v>28.19</v>
      </c>
      <c r="M55" s="100">
        <v>26.64</v>
      </c>
      <c r="N55" s="100">
        <v>335.7</v>
      </c>
      <c r="O55" s="100">
        <v>0</v>
      </c>
      <c r="P55" s="100">
        <v>0.6</v>
      </c>
      <c r="Q55" s="100">
        <v>12.97</v>
      </c>
      <c r="R55" s="6"/>
      <c r="S55" s="6"/>
      <c r="T55" s="156"/>
      <c r="U55" s="6"/>
    </row>
    <row r="56" spans="1:21" customFormat="1">
      <c r="A56" s="163" t="s">
        <v>1534</v>
      </c>
      <c r="B56" s="100">
        <v>4.8</v>
      </c>
      <c r="C56" s="100">
        <v>26.6</v>
      </c>
      <c r="D56" s="100">
        <v>19.100000000000001</v>
      </c>
      <c r="E56" s="100">
        <v>11.29</v>
      </c>
      <c r="F56" s="152" t="s">
        <v>15</v>
      </c>
      <c r="G56" s="100">
        <v>59.12</v>
      </c>
      <c r="H56" s="100">
        <v>25.74</v>
      </c>
      <c r="I56" s="100">
        <v>8.9600000000000009</v>
      </c>
      <c r="J56" s="100">
        <v>1.05</v>
      </c>
      <c r="K56" s="100">
        <v>20.77</v>
      </c>
      <c r="L56" s="100">
        <v>28.39</v>
      </c>
      <c r="M56" s="100">
        <v>25.64</v>
      </c>
      <c r="N56" s="100">
        <v>362.9</v>
      </c>
      <c r="O56" s="100">
        <v>0</v>
      </c>
      <c r="P56" s="100">
        <v>0.59</v>
      </c>
      <c r="Q56" s="100">
        <v>12.98</v>
      </c>
      <c r="R56" s="6"/>
      <c r="S56" s="6"/>
      <c r="T56" s="156"/>
      <c r="U56" s="6"/>
    </row>
    <row r="57" spans="1:21" customFormat="1">
      <c r="A57" s="163" t="s">
        <v>1535</v>
      </c>
      <c r="B57" s="100">
        <v>4.07</v>
      </c>
      <c r="C57" s="100">
        <v>26.48</v>
      </c>
      <c r="D57" s="100">
        <v>18.45</v>
      </c>
      <c r="E57" s="100">
        <v>12.77</v>
      </c>
      <c r="F57" s="152" t="s">
        <v>15</v>
      </c>
      <c r="G57" s="100">
        <v>59.12</v>
      </c>
      <c r="H57" s="100">
        <v>25.74</v>
      </c>
      <c r="I57" s="100">
        <v>8.81</v>
      </c>
      <c r="J57" s="100">
        <v>1.53</v>
      </c>
      <c r="K57" s="100">
        <v>34.51</v>
      </c>
      <c r="L57" s="100">
        <v>28.39</v>
      </c>
      <c r="M57" s="100">
        <v>23.98</v>
      </c>
      <c r="N57" s="100">
        <v>375.2</v>
      </c>
      <c r="O57" s="100">
        <v>0</v>
      </c>
      <c r="P57" s="100">
        <v>0.56000000000000005</v>
      </c>
      <c r="Q57" s="100">
        <v>12.97</v>
      </c>
      <c r="R57" s="6"/>
      <c r="S57" s="6"/>
      <c r="T57" s="156"/>
      <c r="U57" s="6"/>
    </row>
    <row r="58" spans="1:21" customFormat="1">
      <c r="A58" s="163" t="s">
        <v>1536</v>
      </c>
      <c r="B58" s="100">
        <v>3.6</v>
      </c>
      <c r="C58" s="100">
        <v>26.19</v>
      </c>
      <c r="D58" s="100">
        <v>17.920000000000002</v>
      </c>
      <c r="E58" s="100">
        <v>12.54</v>
      </c>
      <c r="F58" s="152" t="s">
        <v>15</v>
      </c>
      <c r="G58" s="100">
        <v>57.36</v>
      </c>
      <c r="H58" s="100">
        <v>34.4</v>
      </c>
      <c r="I58" s="100">
        <v>8.51</v>
      </c>
      <c r="J58" s="100">
        <v>0.84</v>
      </c>
      <c r="K58" s="100">
        <v>30.24</v>
      </c>
      <c r="L58" s="100">
        <v>28.87</v>
      </c>
      <c r="M58" s="100">
        <v>22.68</v>
      </c>
      <c r="N58" s="100">
        <v>372.4</v>
      </c>
      <c r="O58" s="100">
        <v>0</v>
      </c>
      <c r="P58" s="100">
        <v>0.55000000000000004</v>
      </c>
      <c r="Q58" s="100">
        <v>12.95</v>
      </c>
      <c r="R58" s="6"/>
      <c r="S58" s="6"/>
      <c r="T58" s="156"/>
      <c r="U58" s="6"/>
    </row>
    <row r="59" spans="1:21" customFormat="1">
      <c r="A59" s="163" t="s">
        <v>1537</v>
      </c>
      <c r="B59" s="100">
        <v>3.36</v>
      </c>
      <c r="C59" s="100">
        <v>26.1</v>
      </c>
      <c r="D59" s="100">
        <v>17.68</v>
      </c>
      <c r="E59" s="100">
        <v>11.49</v>
      </c>
      <c r="F59" s="152" t="s">
        <v>15</v>
      </c>
      <c r="G59" s="100">
        <v>56.71</v>
      </c>
      <c r="H59" s="100">
        <v>34.53</v>
      </c>
      <c r="I59" s="100">
        <v>8.2899999999999991</v>
      </c>
      <c r="J59" s="100">
        <v>0.78</v>
      </c>
      <c r="K59" s="100">
        <v>356.56</v>
      </c>
      <c r="L59" s="100">
        <v>29.2</v>
      </c>
      <c r="M59" s="100">
        <v>22.14</v>
      </c>
      <c r="N59" s="100">
        <v>369.3</v>
      </c>
      <c r="O59" s="100">
        <v>0</v>
      </c>
      <c r="P59" s="100">
        <v>0.55000000000000004</v>
      </c>
      <c r="Q59" s="100">
        <v>12.94</v>
      </c>
      <c r="R59" s="6"/>
      <c r="S59" s="6"/>
      <c r="T59" s="156"/>
      <c r="U59" s="6"/>
    </row>
    <row r="60" spans="1:21" customFormat="1">
      <c r="A60" s="163" t="s">
        <v>1538</v>
      </c>
      <c r="B60" s="100">
        <v>4.18</v>
      </c>
      <c r="C60" s="100">
        <v>24.8</v>
      </c>
      <c r="D60" s="100">
        <v>17.66</v>
      </c>
      <c r="E60" s="100">
        <v>12.39</v>
      </c>
      <c r="F60" s="152" t="s">
        <v>15</v>
      </c>
      <c r="G60" s="100">
        <v>56.71</v>
      </c>
      <c r="H60" s="100">
        <v>34.53</v>
      </c>
      <c r="I60" s="100">
        <v>8.2100000000000009</v>
      </c>
      <c r="J60" s="100">
        <v>1.03</v>
      </c>
      <c r="K60" s="100">
        <v>352.88</v>
      </c>
      <c r="L60" s="100">
        <v>29.38</v>
      </c>
      <c r="M60" s="100">
        <v>21.6</v>
      </c>
      <c r="N60" s="100">
        <v>373.2</v>
      </c>
      <c r="O60" s="100">
        <v>0</v>
      </c>
      <c r="P60" s="100">
        <v>0.54</v>
      </c>
      <c r="Q60" s="100">
        <v>12.96</v>
      </c>
      <c r="R60" s="6"/>
      <c r="S60" s="6"/>
      <c r="T60" s="156"/>
      <c r="U60" s="6"/>
    </row>
    <row r="61" spans="1:21" customFormat="1">
      <c r="A61" s="163" t="s">
        <v>1539</v>
      </c>
      <c r="B61" s="100">
        <v>5.4</v>
      </c>
      <c r="C61" s="100">
        <v>23.2</v>
      </c>
      <c r="D61" s="100">
        <v>17.8</v>
      </c>
      <c r="E61" s="100">
        <v>13.12</v>
      </c>
      <c r="F61" s="152" t="s">
        <v>15</v>
      </c>
      <c r="G61" s="100">
        <v>56.71</v>
      </c>
      <c r="H61" s="100">
        <v>34.53</v>
      </c>
      <c r="I61" s="100">
        <v>8.07</v>
      </c>
      <c r="J61" s="100">
        <v>0.99</v>
      </c>
      <c r="K61" s="100">
        <v>337.07</v>
      </c>
      <c r="L61" s="100">
        <v>29.39</v>
      </c>
      <c r="M61" s="100">
        <v>20.54</v>
      </c>
      <c r="N61" s="100">
        <v>371.4</v>
      </c>
      <c r="O61" s="100">
        <v>0</v>
      </c>
      <c r="P61" s="100">
        <v>0.52</v>
      </c>
      <c r="Q61" s="100">
        <v>12.96</v>
      </c>
      <c r="R61" s="6"/>
      <c r="S61" s="6"/>
      <c r="T61" s="156"/>
      <c r="U61" s="6"/>
    </row>
    <row r="62" spans="1:21" customFormat="1">
      <c r="A62" s="163" t="s">
        <v>1540</v>
      </c>
      <c r="B62" s="100">
        <v>5.8</v>
      </c>
      <c r="C62" s="100">
        <v>22.24</v>
      </c>
      <c r="D62" s="100">
        <v>17.62</v>
      </c>
      <c r="E62" s="100">
        <v>11.06</v>
      </c>
      <c r="F62" s="152" t="s">
        <v>15</v>
      </c>
      <c r="G62" s="100">
        <v>61.03</v>
      </c>
      <c r="H62" s="100">
        <v>32.979999999999997</v>
      </c>
      <c r="I62" s="100">
        <v>7.9</v>
      </c>
      <c r="J62" s="100">
        <v>0.69</v>
      </c>
      <c r="K62" s="100">
        <v>333.27</v>
      </c>
      <c r="L62" s="100">
        <v>29.77</v>
      </c>
      <c r="M62" s="100">
        <v>19.91</v>
      </c>
      <c r="N62" s="100">
        <v>358</v>
      </c>
      <c r="O62" s="100">
        <v>0</v>
      </c>
      <c r="P62" s="100">
        <v>0.51</v>
      </c>
      <c r="Q62" s="100">
        <v>12.94</v>
      </c>
      <c r="R62" s="6"/>
      <c r="S62" s="6"/>
      <c r="T62" s="156"/>
      <c r="U62" s="6"/>
    </row>
    <row r="63" spans="1:21" customFormat="1">
      <c r="A63" s="163" t="s">
        <v>1541</v>
      </c>
      <c r="B63" s="100">
        <v>5.21</v>
      </c>
      <c r="C63" s="100">
        <v>22.35</v>
      </c>
      <c r="D63" s="100">
        <v>17.2</v>
      </c>
      <c r="E63" s="100">
        <v>10.8</v>
      </c>
      <c r="F63" s="152" t="s">
        <v>15</v>
      </c>
      <c r="G63" s="100">
        <v>62.59</v>
      </c>
      <c r="H63" s="100">
        <v>32.950000000000003</v>
      </c>
      <c r="I63" s="100">
        <v>7.76</v>
      </c>
      <c r="J63" s="100">
        <v>1.07</v>
      </c>
      <c r="K63" s="100">
        <v>8.69</v>
      </c>
      <c r="L63" s="100">
        <v>29.74</v>
      </c>
      <c r="M63" s="100">
        <v>21.05</v>
      </c>
      <c r="N63" s="100">
        <v>356.2</v>
      </c>
      <c r="O63" s="100">
        <v>0</v>
      </c>
      <c r="P63" s="100">
        <v>0.5</v>
      </c>
      <c r="Q63" s="100">
        <v>12.93</v>
      </c>
      <c r="R63" s="6"/>
      <c r="S63" s="6"/>
      <c r="T63" s="156"/>
      <c r="U63" s="6"/>
    </row>
    <row r="64" spans="1:21" customFormat="1">
      <c r="A64" s="163" t="s">
        <v>1542</v>
      </c>
      <c r="B64" s="100">
        <v>4.4400000000000004</v>
      </c>
      <c r="C64" s="100">
        <v>22.8</v>
      </c>
      <c r="D64" s="100">
        <v>16.82</v>
      </c>
      <c r="E64" s="100">
        <v>11.12</v>
      </c>
      <c r="F64" s="152" t="s">
        <v>15</v>
      </c>
      <c r="G64" s="100">
        <v>62.59</v>
      </c>
      <c r="H64" s="100">
        <v>32.950000000000003</v>
      </c>
      <c r="I64" s="100">
        <v>7.64</v>
      </c>
      <c r="J64" s="100">
        <v>0.97</v>
      </c>
      <c r="K64" s="100">
        <v>35.270000000000003</v>
      </c>
      <c r="L64" s="100">
        <v>29.84</v>
      </c>
      <c r="M64" s="100">
        <v>22.41</v>
      </c>
      <c r="N64" s="100">
        <v>360</v>
      </c>
      <c r="O64" s="100">
        <v>0</v>
      </c>
      <c r="P64" s="100">
        <v>0.49</v>
      </c>
      <c r="Q64" s="100">
        <v>12.95</v>
      </c>
      <c r="R64" s="6"/>
      <c r="S64" s="6"/>
      <c r="T64" s="156"/>
      <c r="U64" s="6"/>
    </row>
    <row r="65" spans="1:21" customFormat="1">
      <c r="A65" s="163" t="s">
        <v>1543</v>
      </c>
      <c r="B65" s="100">
        <v>3.51</v>
      </c>
      <c r="C65" s="100">
        <v>23.57</v>
      </c>
      <c r="D65" s="100">
        <v>16.48</v>
      </c>
      <c r="E65" s="100">
        <v>10.55</v>
      </c>
      <c r="F65" s="152" t="s">
        <v>15</v>
      </c>
      <c r="G65" s="100">
        <v>62.59</v>
      </c>
      <c r="H65" s="100">
        <v>32.950000000000003</v>
      </c>
      <c r="I65" s="100">
        <v>7.52</v>
      </c>
      <c r="J65" s="100">
        <v>0.76</v>
      </c>
      <c r="K65" s="100">
        <v>353.32</v>
      </c>
      <c r="L65" s="100">
        <v>29.74</v>
      </c>
      <c r="M65" s="100">
        <v>22.97</v>
      </c>
      <c r="N65" s="100">
        <v>352</v>
      </c>
      <c r="O65" s="100">
        <v>0</v>
      </c>
      <c r="P65" s="100">
        <v>0.57999999999999996</v>
      </c>
      <c r="Q65" s="100">
        <v>12.95</v>
      </c>
      <c r="R65" s="6"/>
      <c r="S65" s="6"/>
      <c r="T65" s="156"/>
      <c r="U65" s="6"/>
    </row>
    <row r="66" spans="1:21" customFormat="1">
      <c r="A66" s="163" t="s">
        <v>1544</v>
      </c>
      <c r="B66" s="100">
        <v>3.07</v>
      </c>
      <c r="C66" s="100">
        <v>23.49</v>
      </c>
      <c r="D66" s="100">
        <v>16.079999999999998</v>
      </c>
      <c r="E66" s="100">
        <v>10.52</v>
      </c>
      <c r="F66" s="152" t="s">
        <v>15</v>
      </c>
      <c r="G66" s="100">
        <v>62.08</v>
      </c>
      <c r="H66" s="100">
        <v>32.96</v>
      </c>
      <c r="I66" s="100">
        <v>7.36</v>
      </c>
      <c r="J66" s="100">
        <v>0.73</v>
      </c>
      <c r="K66" s="100">
        <v>0.9</v>
      </c>
      <c r="L66" s="100">
        <v>29.86</v>
      </c>
      <c r="M66" s="100">
        <v>22.44</v>
      </c>
      <c r="N66" s="100">
        <v>345.5</v>
      </c>
      <c r="O66" s="100">
        <v>0</v>
      </c>
      <c r="P66" s="100">
        <v>0.59</v>
      </c>
      <c r="Q66" s="100">
        <v>12.95</v>
      </c>
      <c r="R66" s="6"/>
      <c r="S66" s="6"/>
      <c r="T66" s="156"/>
      <c r="U66" s="6"/>
    </row>
    <row r="67" spans="1:21" customFormat="1">
      <c r="A67" s="163" t="s">
        <v>1545</v>
      </c>
      <c r="B67" s="100">
        <v>2.89</v>
      </c>
      <c r="C67" s="100">
        <v>23.34</v>
      </c>
      <c r="D67" s="100">
        <v>15.86</v>
      </c>
      <c r="E67" s="100">
        <v>10.43</v>
      </c>
      <c r="F67" s="152" t="s">
        <v>15</v>
      </c>
      <c r="G67" s="100">
        <v>61.89</v>
      </c>
      <c r="H67" s="100">
        <v>32.96</v>
      </c>
      <c r="I67" s="100">
        <v>7.21</v>
      </c>
      <c r="J67" s="100">
        <v>1.1399999999999999</v>
      </c>
      <c r="K67" s="100">
        <v>38.79</v>
      </c>
      <c r="L67" s="100">
        <v>29.76</v>
      </c>
      <c r="M67" s="100">
        <v>21.55</v>
      </c>
      <c r="N67" s="100">
        <v>326.39999999999998</v>
      </c>
      <c r="O67" s="100">
        <v>0</v>
      </c>
      <c r="P67" s="100">
        <v>0.57999999999999996</v>
      </c>
      <c r="Q67" s="100">
        <v>12.94</v>
      </c>
      <c r="R67" s="6"/>
      <c r="S67" s="6"/>
      <c r="T67" s="156"/>
      <c r="U67" s="6"/>
    </row>
    <row r="68" spans="1:21" customFormat="1">
      <c r="A68" s="163" t="s">
        <v>1546</v>
      </c>
      <c r="B68" s="100">
        <v>2.72</v>
      </c>
      <c r="C68" s="100">
        <v>23.3</v>
      </c>
      <c r="D68" s="100">
        <v>15.7</v>
      </c>
      <c r="E68" s="100">
        <v>10.43</v>
      </c>
      <c r="F68" s="152" t="s">
        <v>15</v>
      </c>
      <c r="G68" s="100">
        <v>61.89</v>
      </c>
      <c r="H68" s="100">
        <v>32.96</v>
      </c>
      <c r="I68" s="100">
        <v>7.07</v>
      </c>
      <c r="J68" s="100">
        <v>1.07</v>
      </c>
      <c r="K68" s="100">
        <v>43.64</v>
      </c>
      <c r="L68" s="100">
        <v>29.56</v>
      </c>
      <c r="M68" s="100">
        <v>21.15</v>
      </c>
      <c r="N68" s="100">
        <v>143.1</v>
      </c>
      <c r="O68" s="100">
        <v>0</v>
      </c>
      <c r="P68" s="100">
        <v>0.56999999999999995</v>
      </c>
      <c r="Q68" s="100">
        <v>12.94</v>
      </c>
      <c r="R68" s="6"/>
      <c r="S68" s="6"/>
      <c r="T68" s="156"/>
      <c r="U68" s="6"/>
    </row>
    <row r="69" spans="1:21" customFormat="1">
      <c r="A69" s="163" t="s">
        <v>1547</v>
      </c>
      <c r="B69" s="100">
        <v>2.8</v>
      </c>
      <c r="C69" s="100">
        <v>23.06</v>
      </c>
      <c r="D69" s="100">
        <v>15.64</v>
      </c>
      <c r="E69" s="100">
        <v>10.32</v>
      </c>
      <c r="F69" s="152" t="s">
        <v>15</v>
      </c>
      <c r="G69" s="100">
        <v>61.89</v>
      </c>
      <c r="H69" s="100">
        <v>32.96</v>
      </c>
      <c r="I69" s="100">
        <v>6.97</v>
      </c>
      <c r="J69" s="100">
        <v>0.66</v>
      </c>
      <c r="K69" s="100">
        <v>347.69</v>
      </c>
      <c r="L69" s="100">
        <v>29.35</v>
      </c>
      <c r="M69" s="100">
        <v>21.39</v>
      </c>
      <c r="N69" s="100">
        <v>55.8</v>
      </c>
      <c r="O69" s="100">
        <v>0</v>
      </c>
      <c r="P69" s="100">
        <v>0.56000000000000005</v>
      </c>
      <c r="Q69" s="100">
        <v>12.94</v>
      </c>
      <c r="R69" s="6"/>
      <c r="S69" s="6"/>
      <c r="T69" s="156"/>
      <c r="U69" s="6"/>
    </row>
    <row r="70" spans="1:21" customFormat="1">
      <c r="A70" s="163" t="s">
        <v>1548</v>
      </c>
      <c r="B70" s="100">
        <v>2.8</v>
      </c>
      <c r="C70" s="100">
        <v>22.71</v>
      </c>
      <c r="D70" s="100">
        <v>15.46</v>
      </c>
      <c r="E70" s="100">
        <v>11.91</v>
      </c>
      <c r="F70" s="152" t="s">
        <v>15</v>
      </c>
      <c r="G70" s="100">
        <v>60.56</v>
      </c>
      <c r="H70" s="100">
        <v>32.93</v>
      </c>
      <c r="I70" s="100">
        <v>7.13</v>
      </c>
      <c r="J70" s="100">
        <v>0.8</v>
      </c>
      <c r="K70" s="100">
        <v>299.81</v>
      </c>
      <c r="L70" s="100">
        <v>29.4</v>
      </c>
      <c r="M70" s="100">
        <v>21.99</v>
      </c>
      <c r="N70" s="100">
        <v>53.1</v>
      </c>
      <c r="O70" s="100">
        <v>0</v>
      </c>
      <c r="P70" s="100">
        <v>0.56000000000000005</v>
      </c>
      <c r="Q70" s="100">
        <v>12.92</v>
      </c>
      <c r="R70" s="6"/>
      <c r="S70" s="6"/>
      <c r="T70" s="156"/>
      <c r="U70" s="6"/>
    </row>
    <row r="71" spans="1:21" customFormat="1">
      <c r="A71" s="163" t="s">
        <v>1549</v>
      </c>
      <c r="B71" s="100">
        <v>2.65</v>
      </c>
      <c r="C71" s="100">
        <v>22.06</v>
      </c>
      <c r="D71" s="100">
        <v>15</v>
      </c>
      <c r="E71" s="100">
        <v>10</v>
      </c>
      <c r="F71" s="152" t="s">
        <v>15</v>
      </c>
      <c r="G71" s="100">
        <v>60.07</v>
      </c>
      <c r="H71" s="100">
        <v>32.93</v>
      </c>
      <c r="I71" s="100">
        <v>7.06</v>
      </c>
      <c r="J71" s="100">
        <v>0.32</v>
      </c>
      <c r="K71" s="100">
        <v>264.95999999999998</v>
      </c>
      <c r="L71" s="100">
        <v>29.51</v>
      </c>
      <c r="M71" s="100">
        <v>22.01</v>
      </c>
      <c r="N71" s="100">
        <v>48.6</v>
      </c>
      <c r="O71" s="100">
        <v>0</v>
      </c>
      <c r="P71" s="100">
        <v>0.56000000000000005</v>
      </c>
      <c r="Q71" s="100">
        <v>12.93</v>
      </c>
      <c r="R71" s="6"/>
      <c r="S71" s="6"/>
      <c r="T71" s="156"/>
      <c r="U71" s="6"/>
    </row>
    <row r="72" spans="1:21" customFormat="1">
      <c r="A72" s="163" t="s">
        <v>1550</v>
      </c>
      <c r="B72" s="100">
        <v>2.56</v>
      </c>
      <c r="C72" s="100">
        <v>21.66</v>
      </c>
      <c r="D72" s="100">
        <v>14.72</v>
      </c>
      <c r="E72" s="100">
        <v>10.09</v>
      </c>
      <c r="F72" s="152" t="s">
        <v>15</v>
      </c>
      <c r="G72" s="100">
        <v>60.07</v>
      </c>
      <c r="H72" s="100">
        <v>32.93</v>
      </c>
      <c r="I72" s="100">
        <v>6.92</v>
      </c>
      <c r="J72" s="100">
        <v>0.44</v>
      </c>
      <c r="K72" s="100">
        <v>291.26</v>
      </c>
      <c r="L72" s="100">
        <v>29.45</v>
      </c>
      <c r="M72" s="100">
        <v>22.62</v>
      </c>
      <c r="N72" s="100">
        <v>44.9</v>
      </c>
      <c r="O72" s="100">
        <v>0</v>
      </c>
      <c r="P72" s="100">
        <v>0.57999999999999996</v>
      </c>
      <c r="Q72" s="100">
        <v>12.95</v>
      </c>
      <c r="R72" s="6"/>
      <c r="S72" s="6"/>
      <c r="T72" s="156"/>
      <c r="U72" s="6"/>
    </row>
    <row r="73" spans="1:21" customFormat="1">
      <c r="A73" s="163" t="s">
        <v>1551</v>
      </c>
      <c r="B73" s="100">
        <v>2.61</v>
      </c>
      <c r="C73" s="100">
        <v>21.2</v>
      </c>
      <c r="D73" s="100">
        <v>14.52</v>
      </c>
      <c r="E73" s="100">
        <v>10.53</v>
      </c>
      <c r="F73" s="152" t="s">
        <v>15</v>
      </c>
      <c r="G73" s="100">
        <v>60.07</v>
      </c>
      <c r="H73" s="100">
        <v>32.93</v>
      </c>
      <c r="I73" s="100">
        <v>6.8</v>
      </c>
      <c r="J73" s="100">
        <v>0.65</v>
      </c>
      <c r="K73" s="100">
        <v>307.63</v>
      </c>
      <c r="L73" s="100">
        <v>29.51</v>
      </c>
      <c r="M73" s="100">
        <v>21.87</v>
      </c>
      <c r="N73" s="100">
        <v>49.2</v>
      </c>
      <c r="O73" s="100">
        <v>0</v>
      </c>
      <c r="P73" s="100">
        <v>0.61</v>
      </c>
      <c r="Q73" s="100">
        <v>12.93</v>
      </c>
      <c r="R73" s="6"/>
      <c r="S73" s="6"/>
      <c r="T73" s="156"/>
      <c r="U73" s="6"/>
    </row>
    <row r="74" spans="1:21" customFormat="1">
      <c r="A74" s="163" t="s">
        <v>1552</v>
      </c>
      <c r="B74" s="100">
        <v>2.8</v>
      </c>
      <c r="C74" s="100">
        <v>20.89</v>
      </c>
      <c r="D74" s="100">
        <v>14.51</v>
      </c>
      <c r="E74" s="100">
        <v>10.07</v>
      </c>
      <c r="F74" s="152" t="s">
        <v>15</v>
      </c>
      <c r="G74" s="100">
        <v>56.1</v>
      </c>
      <c r="H74" s="100">
        <v>28.57</v>
      </c>
      <c r="I74" s="100">
        <v>6.54</v>
      </c>
      <c r="J74" s="100">
        <v>0.35</v>
      </c>
      <c r="K74" s="100">
        <v>281.56</v>
      </c>
      <c r="L74" s="100">
        <v>29.39</v>
      </c>
      <c r="M74" s="100">
        <v>22.61</v>
      </c>
      <c r="N74" s="100">
        <v>37.200000000000003</v>
      </c>
      <c r="O74" s="100">
        <v>0</v>
      </c>
      <c r="P74" s="100">
        <v>0.61</v>
      </c>
      <c r="Q74" s="100">
        <v>12.92</v>
      </c>
      <c r="R74" s="6"/>
      <c r="S74" s="6"/>
      <c r="T74" s="156"/>
      <c r="U74" s="6"/>
    </row>
    <row r="75" spans="1:21" customFormat="1">
      <c r="A75" s="163" t="s">
        <v>1553</v>
      </c>
      <c r="B75" s="100">
        <v>2.88</v>
      </c>
      <c r="C75" s="100">
        <v>20.34</v>
      </c>
      <c r="D75" s="100">
        <v>14.29</v>
      </c>
      <c r="E75" s="100">
        <v>9.39</v>
      </c>
      <c r="F75" s="152" t="s">
        <v>15</v>
      </c>
      <c r="G75" s="100">
        <v>54.65</v>
      </c>
      <c r="H75" s="100">
        <v>28.5</v>
      </c>
      <c r="I75" s="100">
        <v>6.4</v>
      </c>
      <c r="J75" s="100">
        <v>0.6</v>
      </c>
      <c r="K75" s="100">
        <v>296.27</v>
      </c>
      <c r="L75" s="100">
        <v>29.2</v>
      </c>
      <c r="M75" s="100">
        <v>23.57</v>
      </c>
      <c r="N75" s="100">
        <v>37</v>
      </c>
      <c r="O75" s="100">
        <v>0</v>
      </c>
      <c r="P75" s="100">
        <v>0.59</v>
      </c>
      <c r="Q75" s="100">
        <v>12.93</v>
      </c>
      <c r="R75" s="6"/>
      <c r="S75" s="6"/>
      <c r="T75" s="156"/>
      <c r="U75" s="6"/>
    </row>
    <row r="76" spans="1:21" customFormat="1">
      <c r="A76" s="163" t="s">
        <v>1554</v>
      </c>
      <c r="B76" s="100">
        <v>2.93</v>
      </c>
      <c r="C76" s="100">
        <v>20.07</v>
      </c>
      <c r="D76" s="100">
        <v>14.19</v>
      </c>
      <c r="E76" s="100">
        <v>10.69</v>
      </c>
      <c r="F76" s="152" t="s">
        <v>15</v>
      </c>
      <c r="G76" s="100">
        <v>54.65</v>
      </c>
      <c r="H76" s="100">
        <v>28.5</v>
      </c>
      <c r="I76" s="100">
        <v>6.39</v>
      </c>
      <c r="J76" s="100">
        <v>0.83</v>
      </c>
      <c r="K76" s="100">
        <v>304.62</v>
      </c>
      <c r="L76" s="100">
        <v>29.17</v>
      </c>
      <c r="M76" s="100">
        <v>22.44</v>
      </c>
      <c r="N76" s="100">
        <v>38.9</v>
      </c>
      <c r="O76" s="100">
        <v>0</v>
      </c>
      <c r="P76" s="100">
        <v>0.6</v>
      </c>
      <c r="Q76" s="100">
        <v>12.92</v>
      </c>
      <c r="R76" s="6"/>
      <c r="S76" s="6"/>
      <c r="T76" s="156"/>
      <c r="U76" s="6"/>
    </row>
    <row r="77" spans="1:21" customFormat="1">
      <c r="A77" s="163" t="s">
        <v>1555</v>
      </c>
      <c r="B77" s="100">
        <v>3</v>
      </c>
      <c r="C77" s="100">
        <v>19.82</v>
      </c>
      <c r="D77" s="100">
        <v>14.11</v>
      </c>
      <c r="E77" s="100">
        <v>10.8</v>
      </c>
      <c r="F77" s="152" t="s">
        <v>15</v>
      </c>
      <c r="G77" s="100">
        <v>54.65</v>
      </c>
      <c r="H77" s="100">
        <v>28.5</v>
      </c>
      <c r="I77" s="100">
        <v>6.46</v>
      </c>
      <c r="J77" s="100">
        <v>0.28999999999999998</v>
      </c>
      <c r="K77" s="100">
        <v>266.45</v>
      </c>
      <c r="L77" s="100">
        <v>28.68</v>
      </c>
      <c r="M77" s="100">
        <v>24.82</v>
      </c>
      <c r="N77" s="100">
        <v>21.2</v>
      </c>
      <c r="O77" s="100">
        <v>0</v>
      </c>
      <c r="P77" s="100">
        <v>0.59</v>
      </c>
      <c r="Q77" s="100">
        <v>12.92</v>
      </c>
      <c r="R77" s="6"/>
      <c r="S77" s="6"/>
      <c r="T77" s="156"/>
      <c r="U77" s="6"/>
    </row>
    <row r="78" spans="1:21" customFormat="1">
      <c r="A78" s="163" t="s">
        <v>1556</v>
      </c>
      <c r="B78" s="100">
        <v>3.79</v>
      </c>
      <c r="C78" s="100">
        <v>19.149999999999999</v>
      </c>
      <c r="D78" s="100">
        <v>14.4</v>
      </c>
      <c r="E78" s="100">
        <v>9.49</v>
      </c>
      <c r="F78" s="152" t="s">
        <v>15</v>
      </c>
      <c r="G78" s="100">
        <v>51.16</v>
      </c>
      <c r="H78" s="100">
        <v>27.01</v>
      </c>
      <c r="I78" s="100">
        <v>6.38</v>
      </c>
      <c r="J78" s="100">
        <v>0.23</v>
      </c>
      <c r="K78" s="100">
        <v>190.76</v>
      </c>
      <c r="L78" s="100">
        <v>27.8</v>
      </c>
      <c r="M78" s="100">
        <v>27.89</v>
      </c>
      <c r="N78" s="100">
        <v>14.2</v>
      </c>
      <c r="O78" s="100">
        <v>0</v>
      </c>
      <c r="P78" s="100">
        <v>0.61</v>
      </c>
      <c r="Q78" s="100">
        <v>12.92</v>
      </c>
      <c r="R78" s="6"/>
      <c r="S78" s="6"/>
      <c r="T78" s="156"/>
      <c r="U78" s="6"/>
    </row>
    <row r="79" spans="1:21" customFormat="1">
      <c r="A79" s="163" t="s">
        <v>1557</v>
      </c>
      <c r="B79" s="100">
        <v>3.94</v>
      </c>
      <c r="C79" s="100">
        <v>18.989999999999998</v>
      </c>
      <c r="D79" s="100">
        <v>14.43</v>
      </c>
      <c r="E79" s="100">
        <v>9.77</v>
      </c>
      <c r="F79" s="152" t="s">
        <v>15</v>
      </c>
      <c r="G79" s="100">
        <v>49.89</v>
      </c>
      <c r="H79" s="100">
        <v>26.98</v>
      </c>
      <c r="I79" s="100">
        <v>6.28</v>
      </c>
      <c r="J79" s="100">
        <v>0.16</v>
      </c>
      <c r="K79" s="100">
        <v>207.1</v>
      </c>
      <c r="L79" s="100">
        <v>26.82</v>
      </c>
      <c r="M79" s="100">
        <v>30.73</v>
      </c>
      <c r="N79" s="100">
        <v>8</v>
      </c>
      <c r="O79" s="100">
        <v>0</v>
      </c>
      <c r="P79" s="100">
        <v>0.61</v>
      </c>
      <c r="Q79" s="100">
        <v>12.92</v>
      </c>
      <c r="R79" s="6"/>
      <c r="S79" s="6"/>
      <c r="T79" s="156"/>
      <c r="U79" s="6"/>
    </row>
    <row r="80" spans="1:21" customFormat="1">
      <c r="A80" s="163" t="s">
        <v>1558</v>
      </c>
      <c r="B80" s="100">
        <v>3.64</v>
      </c>
      <c r="C80" s="100">
        <v>19.04</v>
      </c>
      <c r="D80" s="100">
        <v>14.22</v>
      </c>
      <c r="E80" s="100">
        <v>9.7200000000000006</v>
      </c>
      <c r="F80" s="152" t="s">
        <v>15</v>
      </c>
      <c r="G80" s="100">
        <v>49.89</v>
      </c>
      <c r="H80" s="100">
        <v>26.98</v>
      </c>
      <c r="I80" s="100">
        <v>6.28</v>
      </c>
      <c r="J80" s="100">
        <v>0.19</v>
      </c>
      <c r="K80" s="100">
        <v>191.43</v>
      </c>
      <c r="L80" s="100">
        <v>25.91</v>
      </c>
      <c r="M80" s="100">
        <v>33.93</v>
      </c>
      <c r="N80" s="100">
        <v>3.6</v>
      </c>
      <c r="O80" s="100">
        <v>0</v>
      </c>
      <c r="P80" s="100">
        <v>0.62</v>
      </c>
      <c r="Q80" s="100">
        <v>12.92</v>
      </c>
      <c r="R80" s="6"/>
      <c r="S80" s="6"/>
      <c r="T80" s="156"/>
      <c r="U80" s="6"/>
    </row>
    <row r="81" spans="1:21" customFormat="1">
      <c r="A81" s="163" t="s">
        <v>1559</v>
      </c>
      <c r="B81" s="100">
        <v>3.91</v>
      </c>
      <c r="C81" s="100">
        <v>18.7</v>
      </c>
      <c r="D81" s="100">
        <v>14.26</v>
      </c>
      <c r="E81" s="100">
        <v>10.5</v>
      </c>
      <c r="F81" s="152" t="s">
        <v>15</v>
      </c>
      <c r="G81" s="100">
        <v>49.89</v>
      </c>
      <c r="H81" s="100">
        <v>26.98</v>
      </c>
      <c r="I81" s="100">
        <v>6.37</v>
      </c>
      <c r="J81" s="100">
        <v>0.17</v>
      </c>
      <c r="K81" s="100">
        <v>175.91</v>
      </c>
      <c r="L81" s="100">
        <v>24.85</v>
      </c>
      <c r="M81" s="100">
        <v>44.34</v>
      </c>
      <c r="N81" s="100">
        <v>2</v>
      </c>
      <c r="O81" s="100">
        <v>0</v>
      </c>
      <c r="P81" s="100">
        <v>0.62</v>
      </c>
      <c r="Q81" s="100">
        <v>12.92</v>
      </c>
      <c r="R81" s="6"/>
      <c r="S81" s="6"/>
      <c r="T81" s="156"/>
      <c r="U81" s="6"/>
    </row>
    <row r="82" spans="1:21" customFormat="1">
      <c r="A82" s="163" t="s">
        <v>1560</v>
      </c>
      <c r="B82" s="100">
        <v>4.0999999999999996</v>
      </c>
      <c r="C82" s="100">
        <v>18.41</v>
      </c>
      <c r="D82" s="100">
        <v>14.26</v>
      </c>
      <c r="E82" s="100">
        <v>11.82</v>
      </c>
      <c r="F82" s="152" t="s">
        <v>15</v>
      </c>
      <c r="G82" s="100">
        <v>51.91</v>
      </c>
      <c r="H82" s="100">
        <v>27.99</v>
      </c>
      <c r="I82" s="100">
        <v>6.47</v>
      </c>
      <c r="J82" s="100">
        <v>0.18</v>
      </c>
      <c r="K82" s="100">
        <v>174.38</v>
      </c>
      <c r="L82" s="100">
        <v>24.14</v>
      </c>
      <c r="M82" s="100">
        <v>47.77</v>
      </c>
      <c r="N82" s="100">
        <v>1.4</v>
      </c>
      <c r="O82" s="100">
        <v>0</v>
      </c>
      <c r="P82" s="100">
        <v>0.63</v>
      </c>
      <c r="Q82" s="100">
        <v>12.91</v>
      </c>
      <c r="R82" s="6"/>
      <c r="S82" s="6"/>
      <c r="T82" s="156"/>
      <c r="U82" s="6"/>
    </row>
    <row r="83" spans="1:21" customFormat="1">
      <c r="A83" s="163" t="s">
        <v>1561</v>
      </c>
      <c r="B83" s="100">
        <v>4.6500000000000004</v>
      </c>
      <c r="C83" s="100">
        <v>17.809999999999999</v>
      </c>
      <c r="D83" s="100">
        <v>14.39</v>
      </c>
      <c r="E83" s="100">
        <v>11.96</v>
      </c>
      <c r="F83" s="152" t="s">
        <v>15</v>
      </c>
      <c r="G83" s="100">
        <v>52.64</v>
      </c>
      <c r="H83" s="100">
        <v>28</v>
      </c>
      <c r="I83" s="100">
        <v>6.52</v>
      </c>
      <c r="J83" s="100">
        <v>0.19</v>
      </c>
      <c r="K83" s="100">
        <v>166.91</v>
      </c>
      <c r="L83" s="100">
        <v>23.51</v>
      </c>
      <c r="M83" s="100">
        <v>47.68</v>
      </c>
      <c r="N83" s="100">
        <v>1.1000000000000001</v>
      </c>
      <c r="O83" s="100">
        <v>0</v>
      </c>
      <c r="P83" s="100">
        <v>0.63</v>
      </c>
      <c r="Q83" s="100">
        <v>12.91</v>
      </c>
      <c r="R83" s="6"/>
      <c r="S83" s="6"/>
      <c r="T83" s="156"/>
      <c r="U83" s="6"/>
    </row>
    <row r="84" spans="1:21" customFormat="1">
      <c r="A84" s="163" t="s">
        <v>1562</v>
      </c>
      <c r="B84" s="100">
        <v>4.34</v>
      </c>
      <c r="C84" s="100">
        <v>18.22</v>
      </c>
      <c r="D84" s="100">
        <v>14.36</v>
      </c>
      <c r="E84" s="100">
        <v>11.48</v>
      </c>
      <c r="F84" s="152" t="s">
        <v>15</v>
      </c>
      <c r="G84" s="100">
        <v>52.64</v>
      </c>
      <c r="H84" s="100">
        <v>28</v>
      </c>
      <c r="I84" s="100">
        <v>6.61</v>
      </c>
      <c r="J84" s="100">
        <v>0.26</v>
      </c>
      <c r="K84" s="100">
        <v>164.33</v>
      </c>
      <c r="L84" s="100">
        <v>23.38</v>
      </c>
      <c r="M84" s="100">
        <v>47.93</v>
      </c>
      <c r="N84" s="100">
        <v>1</v>
      </c>
      <c r="O84" s="100">
        <v>0</v>
      </c>
      <c r="P84" s="100">
        <v>0.65</v>
      </c>
      <c r="Q84" s="100">
        <v>12.91</v>
      </c>
      <c r="R84" s="6"/>
      <c r="S84" s="6"/>
      <c r="T84" s="156"/>
      <c r="U84" s="6"/>
    </row>
    <row r="85" spans="1:21" customFormat="1">
      <c r="A85" s="163" t="s">
        <v>1563</v>
      </c>
      <c r="B85" s="100">
        <v>4.28</v>
      </c>
      <c r="C85" s="100">
        <v>18.59</v>
      </c>
      <c r="D85" s="100">
        <v>14.5</v>
      </c>
      <c r="E85" s="100">
        <v>11.87</v>
      </c>
      <c r="F85" s="152" t="s">
        <v>15</v>
      </c>
      <c r="G85" s="100">
        <v>52.64</v>
      </c>
      <c r="H85" s="100">
        <v>28</v>
      </c>
      <c r="I85" s="100">
        <v>6.73</v>
      </c>
      <c r="J85" s="100">
        <v>0.22</v>
      </c>
      <c r="K85" s="100">
        <v>174.16</v>
      </c>
      <c r="L85" s="100">
        <v>22.71</v>
      </c>
      <c r="M85" s="100">
        <v>50.95</v>
      </c>
      <c r="N85" s="100">
        <v>1.4</v>
      </c>
      <c r="O85" s="100">
        <v>0</v>
      </c>
      <c r="P85" s="100">
        <v>0.67</v>
      </c>
      <c r="Q85" s="100">
        <v>12.91</v>
      </c>
      <c r="R85" s="6"/>
      <c r="S85" s="6"/>
      <c r="T85" s="156"/>
      <c r="U85" s="6"/>
    </row>
    <row r="86" spans="1:21" customFormat="1">
      <c r="A86" s="163" t="s">
        <v>1564</v>
      </c>
      <c r="B86" s="100">
        <v>4.55</v>
      </c>
      <c r="C86" s="100">
        <v>18.399999999999999</v>
      </c>
      <c r="D86" s="100">
        <v>14.61</v>
      </c>
      <c r="E86" s="100">
        <v>12.23</v>
      </c>
      <c r="F86" s="152" t="s">
        <v>15</v>
      </c>
      <c r="G86" s="100">
        <v>52.2</v>
      </c>
      <c r="H86" s="100">
        <v>22.77</v>
      </c>
      <c r="I86" s="100">
        <v>6.93</v>
      </c>
      <c r="J86" s="100">
        <v>0.21</v>
      </c>
      <c r="K86" s="100">
        <v>170.72</v>
      </c>
      <c r="L86" s="100">
        <v>22.56</v>
      </c>
      <c r="M86" s="100">
        <v>46.17</v>
      </c>
      <c r="N86" s="100">
        <v>0.9</v>
      </c>
      <c r="O86" s="100">
        <v>0</v>
      </c>
      <c r="P86" s="100">
        <v>0.67</v>
      </c>
      <c r="Q86" s="100">
        <v>12.91</v>
      </c>
      <c r="R86" s="6"/>
      <c r="S86" s="6"/>
      <c r="T86" s="156"/>
      <c r="U86" s="6"/>
    </row>
    <row r="87" spans="1:21" customFormat="1">
      <c r="A87" s="163" t="s">
        <v>1565</v>
      </c>
      <c r="B87" s="100">
        <v>4.66</v>
      </c>
      <c r="C87" s="100">
        <v>18.559999999999999</v>
      </c>
      <c r="D87" s="100">
        <v>14.78</v>
      </c>
      <c r="E87" s="100">
        <v>11.73</v>
      </c>
      <c r="F87" s="152" t="s">
        <v>15</v>
      </c>
      <c r="G87" s="100">
        <v>52.04</v>
      </c>
      <c r="H87" s="100">
        <v>22.69</v>
      </c>
      <c r="I87" s="100">
        <v>7.09</v>
      </c>
      <c r="J87" s="100">
        <v>0.21</v>
      </c>
      <c r="K87" s="100">
        <v>172.58</v>
      </c>
      <c r="L87" s="100">
        <v>22.16</v>
      </c>
      <c r="M87" s="100">
        <v>52.59</v>
      </c>
      <c r="N87" s="100">
        <v>1.1000000000000001</v>
      </c>
      <c r="O87" s="100">
        <v>0</v>
      </c>
      <c r="P87" s="100">
        <v>0.68</v>
      </c>
      <c r="Q87" s="100">
        <v>12.91</v>
      </c>
      <c r="R87" s="6"/>
      <c r="S87" s="6"/>
      <c r="T87" s="156"/>
      <c r="U87" s="6"/>
    </row>
    <row r="88" spans="1:21" customFormat="1">
      <c r="A88" s="163" t="s">
        <v>1566</v>
      </c>
      <c r="B88" s="100">
        <v>4.63</v>
      </c>
      <c r="C88" s="100">
        <v>19.079999999999998</v>
      </c>
      <c r="D88" s="100">
        <v>15.04</v>
      </c>
      <c r="E88" s="100">
        <v>12.01</v>
      </c>
      <c r="F88" s="152" t="s">
        <v>15</v>
      </c>
      <c r="G88" s="100">
        <v>52.04</v>
      </c>
      <c r="H88" s="100">
        <v>22.69</v>
      </c>
      <c r="I88" s="100">
        <v>7.27</v>
      </c>
      <c r="J88" s="100">
        <v>0.17</v>
      </c>
      <c r="K88" s="100">
        <v>187.46</v>
      </c>
      <c r="L88" s="100">
        <v>21.53</v>
      </c>
      <c r="M88" s="100">
        <v>55.75</v>
      </c>
      <c r="N88" s="100">
        <v>1.2</v>
      </c>
      <c r="O88" s="100">
        <v>0</v>
      </c>
      <c r="P88" s="100">
        <v>0.7</v>
      </c>
      <c r="Q88" s="100">
        <v>12.92</v>
      </c>
      <c r="R88" s="6"/>
      <c r="S88" s="6"/>
      <c r="T88" s="156"/>
      <c r="U88" s="6"/>
    </row>
    <row r="89" spans="1:21" customFormat="1">
      <c r="A89" s="163" t="s">
        <v>1567</v>
      </c>
      <c r="B89" s="100">
        <v>4.83</v>
      </c>
      <c r="C89" s="100">
        <v>19.48</v>
      </c>
      <c r="D89" s="100">
        <v>15.41</v>
      </c>
      <c r="E89" s="100">
        <v>11.94</v>
      </c>
      <c r="F89" s="152" t="s">
        <v>15</v>
      </c>
      <c r="G89" s="100">
        <v>52.04</v>
      </c>
      <c r="H89" s="100">
        <v>22.69</v>
      </c>
      <c r="I89" s="100">
        <v>7.42</v>
      </c>
      <c r="J89" s="100">
        <v>0.18</v>
      </c>
      <c r="K89" s="100">
        <v>191.24</v>
      </c>
      <c r="L89" s="100">
        <v>21.54</v>
      </c>
      <c r="M89" s="100">
        <v>48.82</v>
      </c>
      <c r="N89" s="100">
        <v>0.9</v>
      </c>
      <c r="O89" s="100">
        <v>0</v>
      </c>
      <c r="P89" s="100">
        <v>0.71</v>
      </c>
      <c r="Q89" s="100">
        <v>12.92</v>
      </c>
      <c r="R89" s="6"/>
      <c r="S89" s="6"/>
      <c r="T89" s="156"/>
      <c r="U89" s="6"/>
    </row>
    <row r="90" spans="1:21" customFormat="1">
      <c r="A90" s="163" t="s">
        <v>1568</v>
      </c>
      <c r="B90" s="100">
        <v>5.0999999999999996</v>
      </c>
      <c r="C90" s="100">
        <v>19.690000000000001</v>
      </c>
      <c r="D90" s="100">
        <v>15.73</v>
      </c>
      <c r="E90" s="100">
        <v>12.12</v>
      </c>
      <c r="F90" s="152" t="s">
        <v>15</v>
      </c>
      <c r="G90" s="100">
        <v>55.01</v>
      </c>
      <c r="H90" s="100">
        <v>22.89</v>
      </c>
      <c r="I90" s="100">
        <v>7.77</v>
      </c>
      <c r="J90" s="100">
        <v>0.13</v>
      </c>
      <c r="K90" s="100">
        <v>160.04</v>
      </c>
      <c r="L90" s="100">
        <v>21.56</v>
      </c>
      <c r="M90" s="100">
        <v>48.51</v>
      </c>
      <c r="N90" s="100">
        <v>0.8</v>
      </c>
      <c r="O90" s="100">
        <v>0</v>
      </c>
      <c r="P90" s="100">
        <v>0.72</v>
      </c>
      <c r="Q90" s="100">
        <v>12.93</v>
      </c>
      <c r="R90" s="6"/>
      <c r="S90" s="6"/>
      <c r="T90" s="156"/>
      <c r="U90" s="6"/>
    </row>
    <row r="91" spans="1:21" customFormat="1">
      <c r="A91" s="163" t="s">
        <v>1569</v>
      </c>
      <c r="B91" s="100">
        <v>5.92</v>
      </c>
      <c r="C91" s="100">
        <v>20.190000000000001</v>
      </c>
      <c r="D91" s="100">
        <v>16.649999999999999</v>
      </c>
      <c r="E91" s="100">
        <v>12.05</v>
      </c>
      <c r="F91" s="152" t="s">
        <v>15</v>
      </c>
      <c r="G91" s="100">
        <v>56.09</v>
      </c>
      <c r="H91" s="100">
        <v>22.9</v>
      </c>
      <c r="I91" s="100">
        <v>8</v>
      </c>
      <c r="J91" s="100">
        <v>0.18</v>
      </c>
      <c r="K91" s="100">
        <v>182.3</v>
      </c>
      <c r="L91" s="100">
        <v>21.86</v>
      </c>
      <c r="M91" s="100">
        <v>50.72</v>
      </c>
      <c r="N91" s="100">
        <v>0.5</v>
      </c>
      <c r="O91" s="100">
        <v>0</v>
      </c>
      <c r="P91" s="100">
        <v>0.71</v>
      </c>
      <c r="Q91" s="100">
        <v>12.92</v>
      </c>
      <c r="R91" s="6"/>
      <c r="S91" s="6"/>
      <c r="T91" s="156"/>
      <c r="U91" s="6"/>
    </row>
    <row r="92" spans="1:21" customFormat="1">
      <c r="A92" s="163" t="s">
        <v>1570</v>
      </c>
      <c r="B92" s="100">
        <v>6.83</v>
      </c>
      <c r="C92" s="100">
        <v>21.21</v>
      </c>
      <c r="D92" s="100">
        <v>17.91</v>
      </c>
      <c r="E92" s="100">
        <v>11.82</v>
      </c>
      <c r="F92" s="152" t="s">
        <v>15</v>
      </c>
      <c r="G92" s="100">
        <v>56.09</v>
      </c>
      <c r="H92" s="100">
        <v>22.9</v>
      </c>
      <c r="I92" s="100">
        <v>8.19</v>
      </c>
      <c r="J92" s="100">
        <v>0.12</v>
      </c>
      <c r="K92" s="100">
        <v>208.57</v>
      </c>
      <c r="L92" s="100">
        <v>22.48</v>
      </c>
      <c r="M92" s="100">
        <v>44.18</v>
      </c>
      <c r="N92" s="100">
        <v>0.3</v>
      </c>
      <c r="O92" s="100">
        <v>0</v>
      </c>
      <c r="P92" s="100">
        <v>0.7</v>
      </c>
      <c r="Q92" s="100">
        <v>12.93</v>
      </c>
      <c r="R92" s="6"/>
      <c r="S92" s="6"/>
      <c r="T92" s="156"/>
      <c r="U92" s="6"/>
    </row>
    <row r="93" spans="1:21" customFormat="1">
      <c r="A93" s="163" t="s">
        <v>1571</v>
      </c>
      <c r="B93" s="100">
        <v>7.22</v>
      </c>
      <c r="C93" s="100">
        <v>22.26</v>
      </c>
      <c r="D93" s="100">
        <v>18.78</v>
      </c>
      <c r="E93" s="100">
        <v>12.21</v>
      </c>
      <c r="F93" s="152" t="s">
        <v>15</v>
      </c>
      <c r="G93" s="100">
        <v>56.09</v>
      </c>
      <c r="H93" s="100">
        <v>22.9</v>
      </c>
      <c r="I93" s="100">
        <v>8.5</v>
      </c>
      <c r="J93" s="100">
        <v>0.17</v>
      </c>
      <c r="K93" s="100">
        <v>289.83999999999997</v>
      </c>
      <c r="L93" s="100">
        <v>22.89</v>
      </c>
      <c r="M93" s="100">
        <v>39.78</v>
      </c>
      <c r="N93" s="100">
        <v>0.3</v>
      </c>
      <c r="O93" s="100">
        <v>0</v>
      </c>
      <c r="P93" s="100">
        <v>0.73</v>
      </c>
      <c r="Q93" s="100">
        <v>12.94</v>
      </c>
      <c r="R93" s="6"/>
      <c r="S93" s="6"/>
      <c r="T93" s="156"/>
      <c r="U93" s="6"/>
    </row>
    <row r="94" spans="1:21" customFormat="1">
      <c r="A94" s="163" t="s">
        <v>1572</v>
      </c>
      <c r="B94" s="100">
        <v>7.38</v>
      </c>
      <c r="C94" s="100">
        <v>22.95</v>
      </c>
      <c r="D94" s="100">
        <v>19.260000000000002</v>
      </c>
      <c r="E94" s="100">
        <v>12.48</v>
      </c>
      <c r="F94" s="152" t="s">
        <v>15</v>
      </c>
      <c r="G94" s="100">
        <v>62.22</v>
      </c>
      <c r="H94" s="100">
        <v>23.25</v>
      </c>
      <c r="I94" s="100">
        <v>8.84</v>
      </c>
      <c r="J94" s="100">
        <v>0.56999999999999995</v>
      </c>
      <c r="K94" s="100">
        <v>301.45999999999998</v>
      </c>
      <c r="L94" s="100">
        <v>23.76</v>
      </c>
      <c r="M94" s="100">
        <v>31.6</v>
      </c>
      <c r="N94" s="100">
        <v>0.1</v>
      </c>
      <c r="O94" s="100">
        <v>0</v>
      </c>
      <c r="P94" s="100">
        <v>0.76</v>
      </c>
      <c r="Q94" s="100">
        <v>12.94</v>
      </c>
      <c r="R94" s="6"/>
      <c r="S94" s="6"/>
      <c r="T94" s="156"/>
      <c r="U94" s="6"/>
    </row>
    <row r="95" spans="1:21" customFormat="1">
      <c r="A95" s="163" t="s">
        <v>1573</v>
      </c>
      <c r="B95" s="100">
        <v>7.16</v>
      </c>
      <c r="C95" s="100">
        <v>23.32</v>
      </c>
      <c r="D95" s="100">
        <v>19.27</v>
      </c>
      <c r="E95" s="100">
        <v>12.47</v>
      </c>
      <c r="F95" s="152" t="s">
        <v>15</v>
      </c>
      <c r="G95" s="100">
        <v>64.45</v>
      </c>
      <c r="H95" s="100">
        <v>23.26</v>
      </c>
      <c r="I95" s="100">
        <v>9.09</v>
      </c>
      <c r="J95" s="100">
        <v>0.91</v>
      </c>
      <c r="K95" s="100">
        <v>309.88</v>
      </c>
      <c r="L95" s="100">
        <v>24.02</v>
      </c>
      <c r="M95" s="100">
        <v>29.85</v>
      </c>
      <c r="N95" s="100">
        <v>0.1</v>
      </c>
      <c r="O95" s="100">
        <v>0</v>
      </c>
      <c r="P95" s="100">
        <v>0.75</v>
      </c>
      <c r="Q95" s="100">
        <v>12.96</v>
      </c>
      <c r="R95" s="6"/>
      <c r="S95" s="6"/>
      <c r="T95" s="156"/>
      <c r="U95" s="6"/>
    </row>
    <row r="96" spans="1:21" customFormat="1">
      <c r="A96" s="163" t="s">
        <v>1574</v>
      </c>
      <c r="B96" s="100">
        <v>6.91</v>
      </c>
      <c r="C96" s="100">
        <v>23.59</v>
      </c>
      <c r="D96" s="100">
        <v>19.22</v>
      </c>
      <c r="E96" s="100">
        <v>12.75</v>
      </c>
      <c r="F96" s="152" t="s">
        <v>15</v>
      </c>
      <c r="G96" s="100">
        <v>64.45</v>
      </c>
      <c r="H96" s="100">
        <v>23.26</v>
      </c>
      <c r="I96" s="100">
        <v>9.17</v>
      </c>
      <c r="J96" s="100">
        <v>0.86</v>
      </c>
      <c r="K96" s="100">
        <v>303.25</v>
      </c>
      <c r="L96" s="100">
        <v>23.87</v>
      </c>
      <c r="M96" s="100">
        <v>30.47</v>
      </c>
      <c r="N96" s="100">
        <v>0.8</v>
      </c>
      <c r="O96" s="100">
        <v>0</v>
      </c>
      <c r="P96" s="100">
        <v>0.74</v>
      </c>
      <c r="Q96" s="100">
        <v>12.96</v>
      </c>
      <c r="R96" s="6"/>
      <c r="S96" s="6"/>
      <c r="T96" s="156"/>
      <c r="U96" s="6"/>
    </row>
    <row r="97" spans="1:28" customFormat="1">
      <c r="A97" s="163" t="s">
        <v>1575</v>
      </c>
      <c r="B97" s="100">
        <v>6.82</v>
      </c>
      <c r="C97" s="100">
        <v>23.97</v>
      </c>
      <c r="D97" s="100">
        <v>19.350000000000001</v>
      </c>
      <c r="E97" s="100">
        <v>12.94</v>
      </c>
      <c r="F97" s="152" t="s">
        <v>15</v>
      </c>
      <c r="G97" s="100">
        <v>64.45</v>
      </c>
      <c r="H97" s="100">
        <v>23.26</v>
      </c>
      <c r="I97" s="100">
        <v>9.15</v>
      </c>
      <c r="J97" s="100">
        <v>0.98</v>
      </c>
      <c r="K97" s="100">
        <v>313.25</v>
      </c>
      <c r="L97" s="100">
        <v>23.62</v>
      </c>
      <c r="M97" s="100">
        <v>29.94</v>
      </c>
      <c r="N97" s="100">
        <v>0.9</v>
      </c>
      <c r="O97" s="100">
        <v>0</v>
      </c>
      <c r="P97" s="100">
        <v>0.74</v>
      </c>
      <c r="Q97" s="100">
        <v>12.94</v>
      </c>
      <c r="R97" s="6"/>
      <c r="S97" s="6"/>
      <c r="T97" s="156"/>
      <c r="U97" s="6"/>
    </row>
    <row r="98" spans="1:28" customFormat="1">
      <c r="A98" s="163" t="s">
        <v>1576</v>
      </c>
      <c r="B98" s="100">
        <v>6.96</v>
      </c>
      <c r="C98" s="100">
        <v>24.47</v>
      </c>
      <c r="D98" s="100">
        <v>19.71</v>
      </c>
      <c r="E98" s="100">
        <v>12.84</v>
      </c>
      <c r="F98" s="152" t="s">
        <v>15</v>
      </c>
      <c r="G98" s="100">
        <v>60.34</v>
      </c>
      <c r="H98" s="100">
        <v>22.27</v>
      </c>
      <c r="I98" s="100">
        <v>9.0500000000000007</v>
      </c>
      <c r="J98" s="100">
        <v>0.65</v>
      </c>
      <c r="K98" s="100">
        <v>312.70999999999998</v>
      </c>
      <c r="L98" s="100">
        <v>23.31</v>
      </c>
      <c r="M98" s="100">
        <v>29.97</v>
      </c>
      <c r="N98" s="100">
        <v>1.2</v>
      </c>
      <c r="O98" s="100">
        <v>0</v>
      </c>
      <c r="P98" s="100">
        <v>0.73</v>
      </c>
      <c r="Q98" s="100">
        <v>12.96</v>
      </c>
      <c r="R98" s="6"/>
      <c r="S98" s="6"/>
      <c r="T98" s="156"/>
      <c r="U98" s="6"/>
    </row>
    <row r="99" spans="1:28" customFormat="1">
      <c r="A99" s="163" t="s">
        <v>1577</v>
      </c>
      <c r="B99" s="100">
        <v>7.04</v>
      </c>
      <c r="C99" s="100">
        <v>24.78</v>
      </c>
      <c r="D99" s="100">
        <v>19.940000000000001</v>
      </c>
      <c r="E99" s="100">
        <v>12.67</v>
      </c>
      <c r="F99" s="152" t="s">
        <v>15</v>
      </c>
      <c r="G99" s="100">
        <v>58.84</v>
      </c>
      <c r="H99" s="100">
        <v>22.26</v>
      </c>
      <c r="I99" s="100">
        <v>8.93</v>
      </c>
      <c r="J99" s="100">
        <v>0.49</v>
      </c>
      <c r="K99" s="100">
        <v>350.02</v>
      </c>
      <c r="L99" s="100">
        <v>22.9</v>
      </c>
      <c r="M99" s="100">
        <v>30.29</v>
      </c>
      <c r="N99" s="100">
        <v>1.2</v>
      </c>
      <c r="O99" s="100">
        <v>0</v>
      </c>
      <c r="P99" s="100">
        <v>0.73</v>
      </c>
      <c r="Q99" s="100">
        <v>12.96</v>
      </c>
      <c r="R99" s="6"/>
      <c r="S99" s="6"/>
      <c r="T99" s="156"/>
      <c r="U99" s="6"/>
    </row>
    <row r="100" spans="1:28" customFormat="1">
      <c r="A100" s="163" t="s">
        <v>1578</v>
      </c>
      <c r="B100" s="100">
        <v>7</v>
      </c>
      <c r="C100" s="100">
        <v>24.71</v>
      </c>
      <c r="D100" s="100">
        <v>19.88</v>
      </c>
      <c r="E100" s="100">
        <v>11.98</v>
      </c>
      <c r="F100" s="152" t="s">
        <v>15</v>
      </c>
      <c r="G100" s="100">
        <v>58.84</v>
      </c>
      <c r="H100" s="100">
        <v>22.26</v>
      </c>
      <c r="I100" s="100">
        <v>8.83</v>
      </c>
      <c r="J100" s="100">
        <v>0.6</v>
      </c>
      <c r="K100" s="100">
        <v>6.79</v>
      </c>
      <c r="L100" s="100">
        <v>22.6</v>
      </c>
      <c r="M100" s="100">
        <v>30.38</v>
      </c>
      <c r="N100" s="100">
        <v>1</v>
      </c>
      <c r="O100" s="100">
        <v>0</v>
      </c>
      <c r="P100" s="100">
        <v>0.72</v>
      </c>
      <c r="Q100" s="100">
        <v>12.95</v>
      </c>
      <c r="R100" s="6"/>
      <c r="S100" s="6"/>
      <c r="T100" s="156"/>
      <c r="U100" s="6"/>
      <c r="AB100" s="161"/>
    </row>
    <row r="101" spans="1:28" customFormat="1">
      <c r="A101" s="163" t="s">
        <v>1579</v>
      </c>
      <c r="B101" s="100">
        <v>6.65</v>
      </c>
      <c r="C101" s="100">
        <v>24.43</v>
      </c>
      <c r="D101" s="100">
        <v>19.45</v>
      </c>
      <c r="E101" s="100">
        <v>12.51</v>
      </c>
      <c r="F101" s="152" t="s">
        <v>15</v>
      </c>
      <c r="G101" s="100">
        <v>58.84</v>
      </c>
      <c r="H101" s="100">
        <v>22.26</v>
      </c>
      <c r="I101" s="100">
        <v>8.76</v>
      </c>
      <c r="J101" s="100">
        <v>0.73</v>
      </c>
      <c r="K101" s="100">
        <v>28.14</v>
      </c>
      <c r="L101" s="100">
        <v>22.22</v>
      </c>
      <c r="M101" s="100">
        <v>31.79</v>
      </c>
      <c r="N101" s="100">
        <v>1.3</v>
      </c>
      <c r="O101" s="100">
        <v>0</v>
      </c>
      <c r="P101" s="100">
        <v>0.7</v>
      </c>
      <c r="Q101" s="100">
        <v>12.94</v>
      </c>
      <c r="R101" s="6"/>
      <c r="S101" s="6"/>
      <c r="T101" s="156"/>
      <c r="U101" s="6"/>
    </row>
    <row r="102" spans="1:28" customFormat="1">
      <c r="A102" s="163" t="s">
        <v>1580</v>
      </c>
      <c r="B102" s="100">
        <v>6.33</v>
      </c>
      <c r="C102" s="100">
        <v>24.35</v>
      </c>
      <c r="D102" s="100">
        <v>19.149999999999999</v>
      </c>
      <c r="E102" s="100">
        <v>12.59</v>
      </c>
      <c r="F102" s="152" t="s">
        <v>15</v>
      </c>
      <c r="G102" s="100">
        <v>56</v>
      </c>
      <c r="H102" s="100">
        <v>23.58</v>
      </c>
      <c r="I102" s="100">
        <v>8.65</v>
      </c>
      <c r="J102" s="100">
        <v>0.5</v>
      </c>
      <c r="K102" s="100">
        <v>24.63</v>
      </c>
      <c r="L102" s="100">
        <v>21.83</v>
      </c>
      <c r="M102" s="100">
        <v>33.26</v>
      </c>
      <c r="N102" s="100">
        <v>1.2</v>
      </c>
      <c r="O102" s="100">
        <v>0</v>
      </c>
      <c r="P102" s="100">
        <v>0.69</v>
      </c>
      <c r="Q102" s="100">
        <v>12.95</v>
      </c>
      <c r="R102" s="6"/>
      <c r="S102" s="6"/>
      <c r="T102" s="156"/>
      <c r="U102" s="6"/>
    </row>
    <row r="103" spans="1:28" customFormat="1">
      <c r="A103" s="163" t="s">
        <v>1581</v>
      </c>
      <c r="B103" s="100">
        <v>6.16</v>
      </c>
      <c r="C103" s="100">
        <v>24.45</v>
      </c>
      <c r="D103" s="100">
        <v>19.059999999999999</v>
      </c>
      <c r="E103" s="100">
        <v>12.15</v>
      </c>
      <c r="F103" s="152" t="s">
        <v>15</v>
      </c>
      <c r="G103" s="100">
        <v>54.96</v>
      </c>
      <c r="H103" s="100">
        <v>23.6</v>
      </c>
      <c r="I103" s="100">
        <v>8.5</v>
      </c>
      <c r="J103" s="100">
        <v>0.52</v>
      </c>
      <c r="K103" s="100">
        <v>24.35</v>
      </c>
      <c r="L103" s="100">
        <v>21.55</v>
      </c>
      <c r="M103" s="100">
        <v>33.909999999999997</v>
      </c>
      <c r="N103" s="100">
        <v>1</v>
      </c>
      <c r="O103" s="100">
        <v>0</v>
      </c>
      <c r="P103" s="100">
        <v>0.68</v>
      </c>
      <c r="Q103" s="100">
        <v>12.94</v>
      </c>
      <c r="R103" s="6"/>
      <c r="S103" s="6"/>
      <c r="T103" s="156"/>
      <c r="U103" s="6"/>
    </row>
    <row r="104" spans="1:28" customFormat="1">
      <c r="A104" s="163" t="s">
        <v>1582</v>
      </c>
      <c r="B104" s="100">
        <v>6.26</v>
      </c>
      <c r="C104" s="100">
        <v>24.52</v>
      </c>
      <c r="D104" s="100">
        <v>19.18</v>
      </c>
      <c r="E104" s="100">
        <v>12.84</v>
      </c>
      <c r="F104" s="152" t="s">
        <v>15</v>
      </c>
      <c r="G104" s="100">
        <v>54.96</v>
      </c>
      <c r="H104" s="100">
        <v>23.6</v>
      </c>
      <c r="I104" s="100">
        <v>8.3800000000000008</v>
      </c>
      <c r="J104" s="100">
        <v>0.42</v>
      </c>
      <c r="K104" s="100">
        <v>27.83</v>
      </c>
      <c r="L104" s="100">
        <v>21.34</v>
      </c>
      <c r="M104" s="100">
        <v>33.880000000000003</v>
      </c>
      <c r="N104" s="100">
        <v>0.9</v>
      </c>
      <c r="O104" s="100">
        <v>0</v>
      </c>
      <c r="P104" s="100">
        <v>0.69</v>
      </c>
      <c r="Q104" s="100">
        <v>12.94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17.809999999999999</v>
      </c>
      <c r="D106" s="158">
        <f t="shared" ref="D106:Q106" si="0">MIN(D9:D104)</f>
        <v>14.11</v>
      </c>
      <c r="E106" s="158">
        <f t="shared" si="0"/>
        <v>8.8000000000000007</v>
      </c>
      <c r="F106" s="158">
        <f t="shared" si="0"/>
        <v>0</v>
      </c>
      <c r="G106" s="158">
        <f t="shared" si="0"/>
        <v>49.89</v>
      </c>
      <c r="H106" s="158">
        <f t="shared" si="0"/>
        <v>18.989999999999998</v>
      </c>
      <c r="I106" s="158">
        <f t="shared" si="0"/>
        <v>6.28</v>
      </c>
      <c r="J106" s="158">
        <f t="shared" si="0"/>
        <v>0.1</v>
      </c>
      <c r="K106" s="158">
        <f t="shared" si="0"/>
        <v>0.9</v>
      </c>
      <c r="L106" s="158">
        <f t="shared" si="0"/>
        <v>16.350000000000001</v>
      </c>
      <c r="M106" s="158">
        <f t="shared" si="0"/>
        <v>19.91</v>
      </c>
      <c r="N106" s="158">
        <f t="shared" si="0"/>
        <v>0.1</v>
      </c>
      <c r="O106" s="158">
        <f t="shared" si="0"/>
        <v>0</v>
      </c>
      <c r="P106" s="158">
        <f t="shared" si="0"/>
        <v>0.49</v>
      </c>
      <c r="Q106" s="158">
        <f t="shared" si="0"/>
        <v>12.91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20.149999999999999</v>
      </c>
      <c r="C107" s="157">
        <f t="shared" ref="C107:Q107" si="1">MAX(C9:C104)</f>
        <v>26.6</v>
      </c>
      <c r="D107" s="157">
        <f t="shared" si="1"/>
        <v>29.71</v>
      </c>
      <c r="E107" s="157">
        <f t="shared" si="1"/>
        <v>13.12</v>
      </c>
      <c r="F107" s="157">
        <f t="shared" si="1"/>
        <v>0</v>
      </c>
      <c r="G107" s="157">
        <f t="shared" si="1"/>
        <v>95.06</v>
      </c>
      <c r="H107" s="157">
        <f t="shared" si="1"/>
        <v>34.53</v>
      </c>
      <c r="I107" s="157">
        <f t="shared" si="1"/>
        <v>10.42</v>
      </c>
      <c r="J107" s="157">
        <f t="shared" si="1"/>
        <v>1.53</v>
      </c>
      <c r="K107" s="157">
        <f t="shared" si="1"/>
        <v>356.56</v>
      </c>
      <c r="L107" s="157">
        <f t="shared" si="1"/>
        <v>29.86</v>
      </c>
      <c r="M107" s="157">
        <f t="shared" si="1"/>
        <v>75.599999999999994</v>
      </c>
      <c r="N107" s="157">
        <f t="shared" si="1"/>
        <v>375.2</v>
      </c>
      <c r="O107" s="157">
        <f t="shared" si="1"/>
        <v>0</v>
      </c>
      <c r="P107" s="157">
        <f t="shared" si="1"/>
        <v>0.82</v>
      </c>
      <c r="Q107" s="157">
        <f t="shared" si="1"/>
        <v>13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9.6280208333333324</v>
      </c>
      <c r="C108" s="158">
        <f t="shared" ref="C108:Q108" si="2">AVERAGE(C9:C104)</f>
        <v>22.660937499999989</v>
      </c>
      <c r="D108" s="158">
        <f t="shared" si="2"/>
        <v>20.911458333333339</v>
      </c>
      <c r="E108" s="158">
        <f t="shared" si="2"/>
        <v>10.951250000000002</v>
      </c>
      <c r="F108" s="158" t="e">
        <f t="shared" si="2"/>
        <v>#DIV/0!</v>
      </c>
      <c r="G108" s="158">
        <f t="shared" si="2"/>
        <v>66.64312500000004</v>
      </c>
      <c r="H108" s="158">
        <f t="shared" si="2"/>
        <v>26.146875000000019</v>
      </c>
      <c r="I108" s="158">
        <f t="shared" si="2"/>
        <v>8.5604166666666632</v>
      </c>
      <c r="J108" s="158">
        <f t="shared" si="2"/>
        <v>0.50229166666666647</v>
      </c>
      <c r="K108" s="158">
        <f t="shared" si="2"/>
        <v>159.92489583333327</v>
      </c>
      <c r="L108" s="158">
        <f t="shared" si="2"/>
        <v>23.558229166666667</v>
      </c>
      <c r="M108" s="158">
        <f t="shared" si="2"/>
        <v>42.103541666666658</v>
      </c>
      <c r="N108" s="158">
        <f t="shared" si="2"/>
        <v>95.751041666666666</v>
      </c>
      <c r="O108" s="158">
        <f t="shared" si="2"/>
        <v>0</v>
      </c>
      <c r="P108" s="158">
        <f t="shared" si="2"/>
        <v>0.68697916666666681</v>
      </c>
      <c r="Q108" s="158">
        <f t="shared" si="2"/>
        <v>12.958229166666678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5.6445462490315537</v>
      </c>
      <c r="C109" s="158">
        <f t="shared" ref="C109:Q109" si="3">STDEV(C9:C104)</f>
        <v>2.0890673205372874</v>
      </c>
      <c r="D109" s="158">
        <f t="shared" si="3"/>
        <v>4.9201041878499057</v>
      </c>
      <c r="E109" s="158">
        <f t="shared" si="3"/>
        <v>1.0871074609158686</v>
      </c>
      <c r="F109" s="158" t="e">
        <f t="shared" si="3"/>
        <v>#DIV/0!</v>
      </c>
      <c r="G109" s="158">
        <f t="shared" si="3"/>
        <v>12.000862627985732</v>
      </c>
      <c r="H109" s="158">
        <f t="shared" si="3"/>
        <v>4.4130128895298606</v>
      </c>
      <c r="I109" s="158">
        <f t="shared" si="3"/>
        <v>1.2255447052480293</v>
      </c>
      <c r="J109" s="158">
        <f t="shared" si="3"/>
        <v>0.36203076102704967</v>
      </c>
      <c r="K109" s="158">
        <f t="shared" si="3"/>
        <v>105.26845934381591</v>
      </c>
      <c r="L109" s="158">
        <f t="shared" si="3"/>
        <v>4.1839545621945664</v>
      </c>
      <c r="M109" s="158">
        <f t="shared" si="3"/>
        <v>16.728106255745459</v>
      </c>
      <c r="N109" s="158">
        <f t="shared" si="3"/>
        <v>143.11650461648486</v>
      </c>
      <c r="O109" s="158">
        <f t="shared" si="3"/>
        <v>0</v>
      </c>
      <c r="P109" s="158">
        <f t="shared" si="3"/>
        <v>8.61469954470932E-2</v>
      </c>
      <c r="Q109" s="158">
        <f t="shared" si="3"/>
        <v>2.7376316759167147E-2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B9" sqref="B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1583</v>
      </c>
      <c r="B9" s="100">
        <v>8.19</v>
      </c>
      <c r="C9" s="100">
        <v>24.62</v>
      </c>
      <c r="D9" s="100">
        <v>20.78</v>
      </c>
      <c r="E9" s="100">
        <v>12.97</v>
      </c>
      <c r="F9" s="152" t="s">
        <v>15</v>
      </c>
      <c r="G9" s="100">
        <v>54.96</v>
      </c>
      <c r="H9" s="100">
        <v>23.6</v>
      </c>
      <c r="I9" s="100">
        <v>8.32</v>
      </c>
      <c r="J9" s="100">
        <v>0.87</v>
      </c>
      <c r="K9" s="100">
        <v>33.36</v>
      </c>
      <c r="L9" s="100">
        <v>21.47</v>
      </c>
      <c r="M9" s="100">
        <v>31.7</v>
      </c>
      <c r="N9" s="100">
        <v>0.4</v>
      </c>
      <c r="O9" s="100">
        <v>0</v>
      </c>
      <c r="P9" s="100">
        <v>0.7</v>
      </c>
      <c r="Q9" s="100">
        <v>12.95</v>
      </c>
      <c r="R9" s="6"/>
      <c r="S9" s="6"/>
      <c r="T9" s="156"/>
      <c r="U9" s="6"/>
    </row>
    <row r="10" spans="1:21" customFormat="1">
      <c r="A10" s="163" t="s">
        <v>1584</v>
      </c>
      <c r="B10" s="100">
        <v>8.3800000000000008</v>
      </c>
      <c r="C10" s="100">
        <v>25.03</v>
      </c>
      <c r="D10" s="100">
        <v>21.14</v>
      </c>
      <c r="E10" s="100">
        <v>13.02</v>
      </c>
      <c r="F10" s="152" t="s">
        <v>15</v>
      </c>
      <c r="G10" s="100">
        <v>68.3</v>
      </c>
      <c r="H10" s="100">
        <v>23.06</v>
      </c>
      <c r="I10" s="100">
        <v>8.1300000000000008</v>
      </c>
      <c r="J10" s="100">
        <v>0.95</v>
      </c>
      <c r="K10" s="100">
        <v>25.17</v>
      </c>
      <c r="L10" s="100">
        <v>21.77</v>
      </c>
      <c r="M10" s="100">
        <v>29.47</v>
      </c>
      <c r="N10" s="100">
        <v>0.5</v>
      </c>
      <c r="O10" s="100">
        <v>0</v>
      </c>
      <c r="P10" s="100">
        <v>0.71</v>
      </c>
      <c r="Q10" s="100">
        <v>12.94</v>
      </c>
      <c r="R10" s="6"/>
      <c r="S10" s="6"/>
      <c r="T10" s="156"/>
      <c r="U10" s="6"/>
    </row>
    <row r="11" spans="1:21" customFormat="1">
      <c r="A11" s="163" t="s">
        <v>1585</v>
      </c>
      <c r="B11" s="100">
        <v>8.69</v>
      </c>
      <c r="C11" s="100">
        <v>24.89</v>
      </c>
      <c r="D11" s="100">
        <v>21.32</v>
      </c>
      <c r="E11" s="100">
        <v>13.4</v>
      </c>
      <c r="F11" s="152" t="s">
        <v>15</v>
      </c>
      <c r="G11" s="100">
        <v>73.150000000000006</v>
      </c>
      <c r="H11" s="100">
        <v>23.06</v>
      </c>
      <c r="I11" s="100">
        <v>8.09</v>
      </c>
      <c r="J11" s="100">
        <v>0.85</v>
      </c>
      <c r="K11" s="100">
        <v>43.77</v>
      </c>
      <c r="L11" s="100">
        <v>21.56</v>
      </c>
      <c r="M11" s="100">
        <v>30.19</v>
      </c>
      <c r="N11" s="100">
        <v>1.1000000000000001</v>
      </c>
      <c r="O11" s="100">
        <v>0</v>
      </c>
      <c r="P11" s="100">
        <v>0.71</v>
      </c>
      <c r="Q11" s="100">
        <v>12.95</v>
      </c>
      <c r="R11" s="6"/>
      <c r="S11" s="6"/>
      <c r="T11" s="156"/>
      <c r="U11" s="6"/>
    </row>
    <row r="12" spans="1:21" customFormat="1">
      <c r="A12" s="163" t="s">
        <v>1586</v>
      </c>
      <c r="B12" s="100">
        <v>8.75</v>
      </c>
      <c r="C12" s="100">
        <v>25</v>
      </c>
      <c r="D12" s="100">
        <v>21.43</v>
      </c>
      <c r="E12" s="100">
        <v>13.73</v>
      </c>
      <c r="F12" s="152" t="s">
        <v>15</v>
      </c>
      <c r="G12" s="100">
        <v>73.150000000000006</v>
      </c>
      <c r="H12" s="100">
        <v>23.06</v>
      </c>
      <c r="I12" s="100">
        <v>8.07</v>
      </c>
      <c r="J12" s="100">
        <v>0.56000000000000005</v>
      </c>
      <c r="K12" s="100">
        <v>40.369999999999997</v>
      </c>
      <c r="L12" s="100">
        <v>20.93</v>
      </c>
      <c r="M12" s="100">
        <v>32.64</v>
      </c>
      <c r="N12" s="100">
        <v>1.4</v>
      </c>
      <c r="O12" s="100">
        <v>0</v>
      </c>
      <c r="P12" s="100">
        <v>0.7</v>
      </c>
      <c r="Q12" s="100">
        <v>12.95</v>
      </c>
      <c r="R12" s="6"/>
      <c r="S12" s="6"/>
      <c r="T12" s="156"/>
      <c r="U12" s="6"/>
    </row>
    <row r="13" spans="1:21" customFormat="1">
      <c r="A13" s="163" t="s">
        <v>1587</v>
      </c>
      <c r="B13" s="100">
        <v>9.19</v>
      </c>
      <c r="C13" s="100">
        <v>25.24</v>
      </c>
      <c r="D13" s="100">
        <v>21.91</v>
      </c>
      <c r="E13" s="100">
        <v>13.8</v>
      </c>
      <c r="F13" s="152" t="s">
        <v>15</v>
      </c>
      <c r="G13" s="100">
        <v>73.150000000000006</v>
      </c>
      <c r="H13" s="100">
        <v>23.06</v>
      </c>
      <c r="I13" s="100">
        <v>8</v>
      </c>
      <c r="J13" s="100">
        <v>0.52</v>
      </c>
      <c r="K13" s="100">
        <v>41.83</v>
      </c>
      <c r="L13" s="100">
        <v>20.420000000000002</v>
      </c>
      <c r="M13" s="100">
        <v>34.06</v>
      </c>
      <c r="N13" s="100">
        <v>1.2</v>
      </c>
      <c r="O13" s="100">
        <v>0</v>
      </c>
      <c r="P13" s="100">
        <v>0.7</v>
      </c>
      <c r="Q13" s="100">
        <v>12.96</v>
      </c>
      <c r="R13" s="6"/>
      <c r="S13" s="6"/>
      <c r="T13" s="156"/>
      <c r="U13" s="6"/>
    </row>
    <row r="14" spans="1:21" customFormat="1">
      <c r="A14" s="163" t="s">
        <v>1588</v>
      </c>
      <c r="B14" s="100">
        <v>9.4700000000000006</v>
      </c>
      <c r="C14" s="100">
        <v>25.08</v>
      </c>
      <c r="D14" s="100">
        <v>22.05</v>
      </c>
      <c r="E14" s="100">
        <v>12.54</v>
      </c>
      <c r="F14" s="152" t="s">
        <v>15</v>
      </c>
      <c r="G14" s="100">
        <v>71.040000000000006</v>
      </c>
      <c r="H14" s="100">
        <v>24.93</v>
      </c>
      <c r="I14" s="100">
        <v>7.88</v>
      </c>
      <c r="J14" s="100">
        <v>0.61</v>
      </c>
      <c r="K14" s="100">
        <v>39.61</v>
      </c>
      <c r="L14" s="100">
        <v>20.18</v>
      </c>
      <c r="M14" s="100">
        <v>34.94</v>
      </c>
      <c r="N14" s="100">
        <v>0.9</v>
      </c>
      <c r="O14" s="100">
        <v>0</v>
      </c>
      <c r="P14" s="100">
        <v>0.7</v>
      </c>
      <c r="Q14" s="100">
        <v>12.96</v>
      </c>
      <c r="R14" s="6"/>
      <c r="S14" s="6"/>
      <c r="T14" s="156"/>
      <c r="U14" s="6"/>
    </row>
    <row r="15" spans="1:21" customFormat="1">
      <c r="A15" s="163" t="s">
        <v>1589</v>
      </c>
      <c r="B15" s="100">
        <v>9.4700000000000006</v>
      </c>
      <c r="C15" s="100">
        <v>24.96</v>
      </c>
      <c r="D15" s="100">
        <v>21.99</v>
      </c>
      <c r="E15" s="100">
        <v>12.38</v>
      </c>
      <c r="F15" s="152" t="s">
        <v>15</v>
      </c>
      <c r="G15" s="100">
        <v>70.27</v>
      </c>
      <c r="H15" s="100">
        <v>24.96</v>
      </c>
      <c r="I15" s="100">
        <v>7.79</v>
      </c>
      <c r="J15" s="100">
        <v>0.38</v>
      </c>
      <c r="K15" s="100">
        <v>38.99</v>
      </c>
      <c r="L15" s="100">
        <v>19.829999999999998</v>
      </c>
      <c r="M15" s="100">
        <v>36.450000000000003</v>
      </c>
      <c r="N15" s="100">
        <v>1</v>
      </c>
      <c r="O15" s="100">
        <v>0</v>
      </c>
      <c r="P15" s="100">
        <v>0.69</v>
      </c>
      <c r="Q15" s="100">
        <v>12.97</v>
      </c>
      <c r="R15" s="6"/>
      <c r="S15" s="6"/>
      <c r="T15" s="156"/>
      <c r="U15" s="6"/>
    </row>
    <row r="16" spans="1:21" customFormat="1">
      <c r="A16" s="163" t="s">
        <v>1590</v>
      </c>
      <c r="B16" s="100">
        <v>9.8699999999999992</v>
      </c>
      <c r="C16" s="100">
        <v>25.01</v>
      </c>
      <c r="D16" s="100">
        <v>22.33</v>
      </c>
      <c r="E16" s="100">
        <v>12.48</v>
      </c>
      <c r="F16" s="152" t="s">
        <v>15</v>
      </c>
      <c r="G16" s="100">
        <v>70.27</v>
      </c>
      <c r="H16" s="100">
        <v>24.96</v>
      </c>
      <c r="I16" s="100">
        <v>7.7</v>
      </c>
      <c r="J16" s="100">
        <v>0.36</v>
      </c>
      <c r="K16" s="100">
        <v>57.85</v>
      </c>
      <c r="L16" s="100">
        <v>19.489999999999998</v>
      </c>
      <c r="M16" s="100">
        <v>37.97</v>
      </c>
      <c r="N16" s="100">
        <v>1</v>
      </c>
      <c r="O16" s="100">
        <v>0</v>
      </c>
      <c r="P16" s="100">
        <v>0.75</v>
      </c>
      <c r="Q16" s="100">
        <v>12.97</v>
      </c>
      <c r="R16" s="6"/>
      <c r="S16" s="6"/>
      <c r="T16" s="156"/>
      <c r="U16" s="6"/>
    </row>
    <row r="17" spans="1:21" customFormat="1">
      <c r="A17" s="163" t="s">
        <v>1591</v>
      </c>
      <c r="B17" s="100">
        <v>10.61</v>
      </c>
      <c r="C17" s="100">
        <v>24.87</v>
      </c>
      <c r="D17" s="100">
        <v>22.85</v>
      </c>
      <c r="E17" s="100">
        <v>8.44</v>
      </c>
      <c r="F17" s="152" t="s">
        <v>15</v>
      </c>
      <c r="G17" s="100">
        <v>70.27</v>
      </c>
      <c r="H17" s="100">
        <v>24.96</v>
      </c>
      <c r="I17" s="100">
        <v>7.68</v>
      </c>
      <c r="J17" s="100">
        <v>0.27</v>
      </c>
      <c r="K17" s="100">
        <v>51.32</v>
      </c>
      <c r="L17" s="100">
        <v>19.239999999999998</v>
      </c>
      <c r="M17" s="100">
        <v>39.450000000000003</v>
      </c>
      <c r="N17" s="100">
        <v>0.9</v>
      </c>
      <c r="O17" s="100">
        <v>0</v>
      </c>
      <c r="P17" s="100">
        <v>0.76</v>
      </c>
      <c r="Q17" s="100">
        <v>12.97</v>
      </c>
      <c r="R17" s="6"/>
      <c r="S17" s="6"/>
      <c r="T17" s="156"/>
      <c r="U17" s="6"/>
    </row>
    <row r="18" spans="1:21" customFormat="1">
      <c r="A18" s="163" t="s">
        <v>1592</v>
      </c>
      <c r="B18" s="100">
        <v>11.29</v>
      </c>
      <c r="C18" s="100">
        <v>24.67</v>
      </c>
      <c r="D18" s="100">
        <v>23.29</v>
      </c>
      <c r="E18" s="100">
        <v>9.94</v>
      </c>
      <c r="F18" s="152" t="s">
        <v>15</v>
      </c>
      <c r="G18" s="100">
        <v>70.09</v>
      </c>
      <c r="H18" s="100">
        <v>22.58</v>
      </c>
      <c r="I18" s="100">
        <v>7.69</v>
      </c>
      <c r="J18" s="100">
        <v>0.12</v>
      </c>
      <c r="K18" s="100">
        <v>80.069999999999993</v>
      </c>
      <c r="L18" s="100">
        <v>18.75</v>
      </c>
      <c r="M18" s="100">
        <v>45.9</v>
      </c>
      <c r="N18" s="100">
        <v>1.1000000000000001</v>
      </c>
      <c r="O18" s="100">
        <v>0</v>
      </c>
      <c r="P18" s="100">
        <v>0.77</v>
      </c>
      <c r="Q18" s="100">
        <v>12.97</v>
      </c>
      <c r="R18" s="6"/>
      <c r="S18" s="6"/>
      <c r="T18" s="156"/>
      <c r="U18" s="6"/>
    </row>
    <row r="19" spans="1:21" customFormat="1">
      <c r="A19" s="163" t="s">
        <v>1593</v>
      </c>
      <c r="B19" s="100">
        <v>11.67</v>
      </c>
      <c r="C19" s="100">
        <v>24.36</v>
      </c>
      <c r="D19" s="100">
        <v>23.44</v>
      </c>
      <c r="E19" s="100">
        <v>9.5500000000000007</v>
      </c>
      <c r="F19" s="152" t="s">
        <v>15</v>
      </c>
      <c r="G19" s="100">
        <v>70.02</v>
      </c>
      <c r="H19" s="100">
        <v>22.54</v>
      </c>
      <c r="I19" s="100">
        <v>7.71</v>
      </c>
      <c r="J19" s="100">
        <v>0.24</v>
      </c>
      <c r="K19" s="100">
        <v>159.32</v>
      </c>
      <c r="L19" s="100">
        <v>17.8</v>
      </c>
      <c r="M19" s="100">
        <v>55.09</v>
      </c>
      <c r="N19" s="100">
        <v>1.2</v>
      </c>
      <c r="O19" s="100">
        <v>0</v>
      </c>
      <c r="P19" s="100">
        <v>0.76</v>
      </c>
      <c r="Q19" s="100">
        <v>12.98</v>
      </c>
      <c r="R19" s="6"/>
      <c r="S19" s="6"/>
      <c r="T19" s="156"/>
      <c r="U19" s="6"/>
    </row>
    <row r="20" spans="1:21" customFormat="1">
      <c r="A20" s="163" t="s">
        <v>1594</v>
      </c>
      <c r="B20" s="100">
        <v>11.91</v>
      </c>
      <c r="C20" s="100">
        <v>23.88</v>
      </c>
      <c r="D20" s="100">
        <v>23.37</v>
      </c>
      <c r="E20" s="100">
        <v>9.39</v>
      </c>
      <c r="F20" s="152" t="s">
        <v>15</v>
      </c>
      <c r="G20" s="100">
        <v>70.02</v>
      </c>
      <c r="H20" s="100">
        <v>22.54</v>
      </c>
      <c r="I20" s="100">
        <v>7.68</v>
      </c>
      <c r="J20" s="100">
        <v>0.14000000000000001</v>
      </c>
      <c r="K20" s="100">
        <v>165.06</v>
      </c>
      <c r="L20" s="100">
        <v>17.38</v>
      </c>
      <c r="M20" s="100">
        <v>53.73</v>
      </c>
      <c r="N20" s="100">
        <v>1</v>
      </c>
      <c r="O20" s="100">
        <v>0</v>
      </c>
      <c r="P20" s="100">
        <v>0.77</v>
      </c>
      <c r="Q20" s="100">
        <v>12.96</v>
      </c>
      <c r="R20" s="6"/>
      <c r="S20" s="6"/>
      <c r="T20" s="156"/>
      <c r="U20" s="6"/>
    </row>
    <row r="21" spans="1:21" customFormat="1">
      <c r="A21" s="163" t="s">
        <v>1595</v>
      </c>
      <c r="B21" s="100">
        <v>12.21</v>
      </c>
      <c r="C21" s="100">
        <v>23.73</v>
      </c>
      <c r="D21" s="100">
        <v>23.54</v>
      </c>
      <c r="E21" s="100">
        <v>9.1199999999999992</v>
      </c>
      <c r="F21" s="152" t="s">
        <v>15</v>
      </c>
      <c r="G21" s="100">
        <v>70.02</v>
      </c>
      <c r="H21" s="100">
        <v>22.54</v>
      </c>
      <c r="I21" s="100">
        <v>7.66</v>
      </c>
      <c r="J21" s="100">
        <v>0.37</v>
      </c>
      <c r="K21" s="100">
        <v>54.55</v>
      </c>
      <c r="L21" s="100">
        <v>17.97</v>
      </c>
      <c r="M21" s="100">
        <v>42.55</v>
      </c>
      <c r="N21" s="100">
        <v>0.2</v>
      </c>
      <c r="O21" s="100">
        <v>0</v>
      </c>
      <c r="P21" s="100">
        <v>0.77</v>
      </c>
      <c r="Q21" s="100">
        <v>12.97</v>
      </c>
      <c r="R21" s="6"/>
      <c r="S21" s="6"/>
      <c r="T21" s="156"/>
      <c r="U21" s="6"/>
    </row>
    <row r="22" spans="1:21" customFormat="1">
      <c r="A22" s="163" t="s">
        <v>1596</v>
      </c>
      <c r="B22" s="100">
        <v>12.62</v>
      </c>
      <c r="C22" s="100">
        <v>23.74</v>
      </c>
      <c r="D22" s="100">
        <v>23.88</v>
      </c>
      <c r="E22" s="100">
        <v>9.4700000000000006</v>
      </c>
      <c r="F22" s="152" t="s">
        <v>15</v>
      </c>
      <c r="G22" s="100">
        <v>69.11</v>
      </c>
      <c r="H22" s="100">
        <v>23.83</v>
      </c>
      <c r="I22" s="100">
        <v>7.65</v>
      </c>
      <c r="J22" s="100">
        <v>0.25</v>
      </c>
      <c r="K22" s="100">
        <v>49.19</v>
      </c>
      <c r="L22" s="100">
        <v>18.16</v>
      </c>
      <c r="M22" s="100">
        <v>43.34</v>
      </c>
      <c r="N22" s="100">
        <v>0.6</v>
      </c>
      <c r="O22" s="100">
        <v>0</v>
      </c>
      <c r="P22" s="100">
        <v>0.77</v>
      </c>
      <c r="Q22" s="100">
        <v>12.96</v>
      </c>
      <c r="R22" s="6"/>
      <c r="S22" s="6"/>
      <c r="T22" s="156"/>
      <c r="U22" s="6"/>
    </row>
    <row r="23" spans="1:21" customFormat="1">
      <c r="A23" s="163" t="s">
        <v>1597</v>
      </c>
      <c r="B23" s="100">
        <v>12.87</v>
      </c>
      <c r="C23" s="100">
        <v>23.93</v>
      </c>
      <c r="D23" s="100">
        <v>24.17</v>
      </c>
      <c r="E23" s="100">
        <v>9</v>
      </c>
      <c r="F23" s="152" t="s">
        <v>15</v>
      </c>
      <c r="G23" s="100">
        <v>68.78</v>
      </c>
      <c r="H23" s="100">
        <v>23.86</v>
      </c>
      <c r="I23" s="100">
        <v>7.64</v>
      </c>
      <c r="J23" s="100">
        <v>0.2</v>
      </c>
      <c r="K23" s="100">
        <v>155.83000000000001</v>
      </c>
      <c r="L23" s="100">
        <v>17.41</v>
      </c>
      <c r="M23" s="100">
        <v>55.2</v>
      </c>
      <c r="N23" s="100">
        <v>1.2</v>
      </c>
      <c r="O23" s="100">
        <v>0</v>
      </c>
      <c r="P23" s="100">
        <v>0.76</v>
      </c>
      <c r="Q23" s="100">
        <v>12.96</v>
      </c>
      <c r="R23" s="6"/>
      <c r="S23" s="6"/>
      <c r="T23" s="156"/>
      <c r="U23" s="6"/>
    </row>
    <row r="24" spans="1:21" customFormat="1">
      <c r="A24" s="163" t="s">
        <v>1598</v>
      </c>
      <c r="B24" s="100">
        <v>12.98</v>
      </c>
      <c r="C24" s="100">
        <v>23.87</v>
      </c>
      <c r="D24" s="100">
        <v>24.23</v>
      </c>
      <c r="E24" s="100">
        <v>9.32</v>
      </c>
      <c r="F24" s="152" t="s">
        <v>15</v>
      </c>
      <c r="G24" s="100">
        <v>68.78</v>
      </c>
      <c r="H24" s="100">
        <v>23.86</v>
      </c>
      <c r="I24" s="100">
        <v>7.64</v>
      </c>
      <c r="J24" s="100">
        <v>0.16</v>
      </c>
      <c r="K24" s="100">
        <v>179.1</v>
      </c>
      <c r="L24" s="100">
        <v>16.559999999999999</v>
      </c>
      <c r="M24" s="100">
        <v>56.7</v>
      </c>
      <c r="N24" s="100">
        <v>1.1000000000000001</v>
      </c>
      <c r="O24" s="100">
        <v>0</v>
      </c>
      <c r="P24" s="100">
        <v>0.76</v>
      </c>
      <c r="Q24" s="100">
        <v>12.97</v>
      </c>
      <c r="R24" s="6"/>
      <c r="S24" s="6"/>
      <c r="T24" s="156"/>
      <c r="U24" s="6"/>
    </row>
    <row r="25" spans="1:21" customFormat="1">
      <c r="A25" s="163" t="s">
        <v>1599</v>
      </c>
      <c r="B25" s="100">
        <v>13.27</v>
      </c>
      <c r="C25" s="100">
        <v>23.85</v>
      </c>
      <c r="D25" s="100">
        <v>24.45</v>
      </c>
      <c r="E25" s="100">
        <v>9.3000000000000007</v>
      </c>
      <c r="F25" s="152" t="s">
        <v>15</v>
      </c>
      <c r="G25" s="100">
        <v>68.78</v>
      </c>
      <c r="H25" s="100">
        <v>23.86</v>
      </c>
      <c r="I25" s="100">
        <v>7.63</v>
      </c>
      <c r="J25" s="100">
        <v>0.2</v>
      </c>
      <c r="K25" s="100">
        <v>204.2</v>
      </c>
      <c r="L25" s="100">
        <v>16.25</v>
      </c>
      <c r="M25" s="100">
        <v>58.71</v>
      </c>
      <c r="N25" s="100">
        <v>1</v>
      </c>
      <c r="O25" s="100">
        <v>0</v>
      </c>
      <c r="P25" s="100">
        <v>0.76</v>
      </c>
      <c r="Q25" s="100">
        <v>12.95</v>
      </c>
      <c r="R25" s="6"/>
      <c r="S25" s="6"/>
      <c r="T25" s="156"/>
      <c r="U25" s="6"/>
    </row>
    <row r="26" spans="1:21" customFormat="1">
      <c r="A26" s="163" t="s">
        <v>1600</v>
      </c>
      <c r="B26" s="100">
        <v>13.6</v>
      </c>
      <c r="C26" s="100">
        <v>23.76</v>
      </c>
      <c r="D26" s="100">
        <v>24.67</v>
      </c>
      <c r="E26" s="100">
        <v>8.7100000000000009</v>
      </c>
      <c r="F26" s="152" t="s">
        <v>15</v>
      </c>
      <c r="G26" s="100">
        <v>62.03</v>
      </c>
      <c r="H26" s="100">
        <v>17.21</v>
      </c>
      <c r="I26" s="100">
        <v>7.63</v>
      </c>
      <c r="J26" s="100">
        <v>0.22</v>
      </c>
      <c r="K26" s="100">
        <v>204.33</v>
      </c>
      <c r="L26" s="100">
        <v>15.34</v>
      </c>
      <c r="M26" s="100">
        <v>64.7</v>
      </c>
      <c r="N26" s="100">
        <v>1.4</v>
      </c>
      <c r="O26" s="100">
        <v>0</v>
      </c>
      <c r="P26" s="100">
        <v>0.76</v>
      </c>
      <c r="Q26" s="100">
        <v>12.96</v>
      </c>
      <c r="R26" s="6"/>
      <c r="S26" s="6"/>
      <c r="T26" s="156"/>
      <c r="U26" s="6"/>
    </row>
    <row r="27" spans="1:21" customFormat="1">
      <c r="A27" s="163" t="s">
        <v>1601</v>
      </c>
      <c r="B27" s="100">
        <v>13.5</v>
      </c>
      <c r="C27" s="100">
        <v>23.5</v>
      </c>
      <c r="D27" s="100">
        <v>24.45</v>
      </c>
      <c r="E27" s="100">
        <v>8.81</v>
      </c>
      <c r="F27" s="152" t="s">
        <v>15</v>
      </c>
      <c r="G27" s="100">
        <v>59.57</v>
      </c>
      <c r="H27" s="100">
        <v>17.100000000000001</v>
      </c>
      <c r="I27" s="100">
        <v>7.62</v>
      </c>
      <c r="J27" s="100">
        <v>0.12</v>
      </c>
      <c r="K27" s="100">
        <v>162.63</v>
      </c>
      <c r="L27" s="100">
        <v>14.99</v>
      </c>
      <c r="M27" s="100">
        <v>63.88</v>
      </c>
      <c r="N27" s="100">
        <v>0.9</v>
      </c>
      <c r="O27" s="100">
        <v>0</v>
      </c>
      <c r="P27" s="100">
        <v>0.77</v>
      </c>
      <c r="Q27" s="100">
        <v>12.95</v>
      </c>
      <c r="R27" s="6"/>
      <c r="S27" s="6"/>
      <c r="T27" s="156"/>
      <c r="U27" s="6"/>
    </row>
    <row r="28" spans="1:21" customFormat="1">
      <c r="A28" s="163" t="s">
        <v>1602</v>
      </c>
      <c r="B28" s="100">
        <v>13.31</v>
      </c>
      <c r="C28" s="100">
        <v>22.99</v>
      </c>
      <c r="D28" s="100">
        <v>24.04</v>
      </c>
      <c r="E28" s="100">
        <v>9.09</v>
      </c>
      <c r="F28" s="152" t="s">
        <v>15</v>
      </c>
      <c r="G28" s="100">
        <v>59.57</v>
      </c>
      <c r="H28" s="100">
        <v>17.100000000000001</v>
      </c>
      <c r="I28" s="100">
        <v>7.63</v>
      </c>
      <c r="J28" s="100">
        <v>0.21</v>
      </c>
      <c r="K28" s="100">
        <v>192.34</v>
      </c>
      <c r="L28" s="100">
        <v>14.97</v>
      </c>
      <c r="M28" s="100">
        <v>67.86</v>
      </c>
      <c r="N28" s="100">
        <v>0.7</v>
      </c>
      <c r="O28" s="100">
        <v>0</v>
      </c>
      <c r="P28" s="100">
        <v>0.76</v>
      </c>
      <c r="Q28" s="100">
        <v>12.95</v>
      </c>
      <c r="R28" s="6"/>
      <c r="S28" s="6"/>
      <c r="T28" s="156"/>
      <c r="U28" s="6"/>
    </row>
    <row r="29" spans="1:21" customFormat="1">
      <c r="A29" s="163" t="s">
        <v>1603</v>
      </c>
      <c r="B29" s="100">
        <v>13.1</v>
      </c>
      <c r="C29" s="100">
        <v>22.53</v>
      </c>
      <c r="D29" s="100">
        <v>23.62</v>
      </c>
      <c r="E29" s="100">
        <v>8.48</v>
      </c>
      <c r="F29" s="152" t="s">
        <v>15</v>
      </c>
      <c r="G29" s="100">
        <v>59.57</v>
      </c>
      <c r="H29" s="100">
        <v>17.100000000000001</v>
      </c>
      <c r="I29" s="100">
        <v>7.63</v>
      </c>
      <c r="J29" s="100">
        <v>0.19</v>
      </c>
      <c r="K29" s="100">
        <v>212.62</v>
      </c>
      <c r="L29" s="100">
        <v>14.46</v>
      </c>
      <c r="M29" s="100">
        <v>67.5</v>
      </c>
      <c r="N29" s="100">
        <v>1</v>
      </c>
      <c r="O29" s="100">
        <v>0</v>
      </c>
      <c r="P29" s="100">
        <v>0.76</v>
      </c>
      <c r="Q29" s="100">
        <v>12.96</v>
      </c>
      <c r="R29" s="6"/>
      <c r="S29" s="6"/>
      <c r="T29" s="156"/>
      <c r="U29" s="6"/>
    </row>
    <row r="30" spans="1:21" customFormat="1">
      <c r="A30" s="163" t="s">
        <v>1604</v>
      </c>
      <c r="B30" s="100">
        <v>12.93</v>
      </c>
      <c r="C30" s="100">
        <v>22.14</v>
      </c>
      <c r="D30" s="100">
        <v>23.29</v>
      </c>
      <c r="E30" s="100">
        <v>8.5500000000000007</v>
      </c>
      <c r="F30" s="152" t="s">
        <v>15</v>
      </c>
      <c r="G30" s="100">
        <v>58.38</v>
      </c>
      <c r="H30" s="100">
        <v>17.27</v>
      </c>
      <c r="I30" s="100">
        <v>7.6</v>
      </c>
      <c r="J30" s="100">
        <v>0.16</v>
      </c>
      <c r="K30" s="100">
        <v>182.76</v>
      </c>
      <c r="L30" s="100">
        <v>14.35</v>
      </c>
      <c r="M30" s="100">
        <v>69.81</v>
      </c>
      <c r="N30" s="100">
        <v>0.7</v>
      </c>
      <c r="O30" s="100">
        <v>0</v>
      </c>
      <c r="P30" s="100">
        <v>0.76</v>
      </c>
      <c r="Q30" s="100">
        <v>12.95</v>
      </c>
      <c r="R30" s="6"/>
      <c r="S30" s="6"/>
      <c r="T30" s="156"/>
      <c r="U30" s="6"/>
    </row>
    <row r="31" spans="1:21" customFormat="1">
      <c r="A31" s="163" t="s">
        <v>1605</v>
      </c>
      <c r="B31" s="100">
        <v>12.86</v>
      </c>
      <c r="C31" s="100">
        <v>21.65</v>
      </c>
      <c r="D31" s="100">
        <v>22.97</v>
      </c>
      <c r="E31" s="100">
        <v>8.11</v>
      </c>
      <c r="F31" s="152" t="s">
        <v>15</v>
      </c>
      <c r="G31" s="100">
        <v>57.95</v>
      </c>
      <c r="H31" s="100">
        <v>17.28</v>
      </c>
      <c r="I31" s="100">
        <v>7.59</v>
      </c>
      <c r="J31" s="100">
        <v>0.14000000000000001</v>
      </c>
      <c r="K31" s="100">
        <v>205</v>
      </c>
      <c r="L31" s="100">
        <v>14.15</v>
      </c>
      <c r="M31" s="100">
        <v>72.44</v>
      </c>
      <c r="N31" s="100">
        <v>0.8</v>
      </c>
      <c r="O31" s="100">
        <v>0</v>
      </c>
      <c r="P31" s="100">
        <v>0.75</v>
      </c>
      <c r="Q31" s="100">
        <v>12.95</v>
      </c>
      <c r="R31" s="6"/>
      <c r="S31" s="6"/>
      <c r="T31" s="156"/>
      <c r="U31" s="6"/>
    </row>
    <row r="32" spans="1:21" customFormat="1">
      <c r="A32" s="163" t="s">
        <v>1606</v>
      </c>
      <c r="B32" s="100">
        <v>12.63</v>
      </c>
      <c r="C32" s="100">
        <v>21.47</v>
      </c>
      <c r="D32" s="100">
        <v>22.7</v>
      </c>
      <c r="E32" s="100">
        <v>8.5299999999999994</v>
      </c>
      <c r="F32" s="152" t="s">
        <v>15</v>
      </c>
      <c r="G32" s="100">
        <v>57.95</v>
      </c>
      <c r="H32" s="100">
        <v>17.28</v>
      </c>
      <c r="I32" s="100">
        <v>7.58</v>
      </c>
      <c r="J32" s="100">
        <v>0.12</v>
      </c>
      <c r="K32" s="100">
        <v>177.14</v>
      </c>
      <c r="L32" s="100">
        <v>14.22</v>
      </c>
      <c r="M32" s="100">
        <v>65.14</v>
      </c>
      <c r="N32" s="100">
        <v>0.6</v>
      </c>
      <c r="O32" s="100">
        <v>0</v>
      </c>
      <c r="P32" s="100">
        <v>0.77</v>
      </c>
      <c r="Q32" s="100">
        <v>12.95</v>
      </c>
      <c r="R32" s="6"/>
      <c r="S32" s="6"/>
      <c r="T32" s="156"/>
      <c r="U32" s="6"/>
    </row>
    <row r="33" spans="1:21" customFormat="1">
      <c r="A33" s="163" t="s">
        <v>1607</v>
      </c>
      <c r="B33" s="100">
        <v>12.7</v>
      </c>
      <c r="C33" s="100">
        <v>21.55</v>
      </c>
      <c r="D33" s="100">
        <v>22.79</v>
      </c>
      <c r="E33" s="100">
        <v>8.3699999999999992</v>
      </c>
      <c r="F33" s="152" t="s">
        <v>15</v>
      </c>
      <c r="G33" s="100">
        <v>57.95</v>
      </c>
      <c r="H33" s="100">
        <v>17.28</v>
      </c>
      <c r="I33" s="100">
        <v>7.6</v>
      </c>
      <c r="J33" s="100">
        <v>0.25</v>
      </c>
      <c r="K33" s="100">
        <v>200.34</v>
      </c>
      <c r="L33" s="100">
        <v>14.14</v>
      </c>
      <c r="M33" s="100">
        <v>70.58</v>
      </c>
      <c r="N33" s="100">
        <v>0.9</v>
      </c>
      <c r="O33" s="100">
        <v>0</v>
      </c>
      <c r="P33" s="100">
        <v>0.81</v>
      </c>
      <c r="Q33" s="100">
        <v>12.95</v>
      </c>
      <c r="R33" s="6"/>
      <c r="S33" s="6"/>
      <c r="T33" s="156"/>
      <c r="U33" s="6"/>
    </row>
    <row r="34" spans="1:21" customFormat="1">
      <c r="A34" s="163" t="s">
        <v>1608</v>
      </c>
      <c r="B34" s="100">
        <v>12.66</v>
      </c>
      <c r="C34" s="100">
        <v>21.43</v>
      </c>
      <c r="D34" s="100">
        <v>22.7</v>
      </c>
      <c r="E34" s="100">
        <v>8.11</v>
      </c>
      <c r="F34" s="152" t="s">
        <v>15</v>
      </c>
      <c r="G34" s="100">
        <v>63.03</v>
      </c>
      <c r="H34" s="100">
        <v>15.39</v>
      </c>
      <c r="I34" s="100">
        <v>7.66</v>
      </c>
      <c r="J34" s="100">
        <v>0.2</v>
      </c>
      <c r="K34" s="100">
        <v>187.77</v>
      </c>
      <c r="L34" s="100">
        <v>13.64</v>
      </c>
      <c r="M34" s="100">
        <v>72.489999999999995</v>
      </c>
      <c r="N34" s="100">
        <v>1.7</v>
      </c>
      <c r="O34" s="100">
        <v>0</v>
      </c>
      <c r="P34" s="100">
        <v>0.8</v>
      </c>
      <c r="Q34" s="100">
        <v>12.96</v>
      </c>
      <c r="R34" s="6"/>
      <c r="S34" s="6"/>
      <c r="T34" s="156"/>
      <c r="U34" s="6"/>
    </row>
    <row r="35" spans="1:21" customFormat="1">
      <c r="A35" s="163" t="s">
        <v>1609</v>
      </c>
      <c r="B35" s="100">
        <v>12.43</v>
      </c>
      <c r="C35" s="100">
        <v>21.13</v>
      </c>
      <c r="D35" s="100">
        <v>22.36</v>
      </c>
      <c r="E35" s="100">
        <v>8.25</v>
      </c>
      <c r="F35" s="152" t="s">
        <v>15</v>
      </c>
      <c r="G35" s="100">
        <v>64.88</v>
      </c>
      <c r="H35" s="100">
        <v>15.36</v>
      </c>
      <c r="I35" s="100">
        <v>7.77</v>
      </c>
      <c r="J35" s="100">
        <v>0.2</v>
      </c>
      <c r="K35" s="100">
        <v>193.72</v>
      </c>
      <c r="L35" s="100">
        <v>13.63</v>
      </c>
      <c r="M35" s="100">
        <v>73</v>
      </c>
      <c r="N35" s="100">
        <v>4.3</v>
      </c>
      <c r="O35" s="100">
        <v>0</v>
      </c>
      <c r="P35" s="100">
        <v>0.75</v>
      </c>
      <c r="Q35" s="100">
        <v>12.97</v>
      </c>
      <c r="R35" s="6"/>
      <c r="S35" s="6"/>
      <c r="T35" s="156"/>
      <c r="U35" s="6"/>
    </row>
    <row r="36" spans="1:21" customFormat="1">
      <c r="A36" s="163" t="s">
        <v>1610</v>
      </c>
      <c r="B36" s="100">
        <v>12.26</v>
      </c>
      <c r="C36" s="100">
        <v>20.81</v>
      </c>
      <c r="D36" s="100">
        <v>22.05</v>
      </c>
      <c r="E36" s="100">
        <v>8.0399999999999991</v>
      </c>
      <c r="F36" s="152" t="s">
        <v>15</v>
      </c>
      <c r="G36" s="100">
        <v>64.88</v>
      </c>
      <c r="H36" s="100">
        <v>15.36</v>
      </c>
      <c r="I36" s="100">
        <v>7.88</v>
      </c>
      <c r="J36" s="100">
        <v>0.21</v>
      </c>
      <c r="K36" s="100">
        <v>155.22999999999999</v>
      </c>
      <c r="L36" s="100">
        <v>13.98</v>
      </c>
      <c r="M36" s="100">
        <v>70.290000000000006</v>
      </c>
      <c r="N36" s="100">
        <v>9.1</v>
      </c>
      <c r="O36" s="100">
        <v>0</v>
      </c>
      <c r="P36" s="100">
        <v>0.75</v>
      </c>
      <c r="Q36" s="100">
        <v>12.98</v>
      </c>
      <c r="R36" s="6"/>
      <c r="S36" s="6"/>
      <c r="T36" s="156"/>
      <c r="U36" s="6"/>
    </row>
    <row r="37" spans="1:21" customFormat="1">
      <c r="A37" s="163" t="s">
        <v>1611</v>
      </c>
      <c r="B37" s="100">
        <v>12.23</v>
      </c>
      <c r="C37" s="100">
        <v>20.77</v>
      </c>
      <c r="D37" s="100">
        <v>22.01</v>
      </c>
      <c r="E37" s="100">
        <v>8.6999999999999993</v>
      </c>
      <c r="F37" s="152" t="s">
        <v>15</v>
      </c>
      <c r="G37" s="100">
        <v>64.88</v>
      </c>
      <c r="H37" s="100">
        <v>15.36</v>
      </c>
      <c r="I37" s="100">
        <v>7.92</v>
      </c>
      <c r="J37" s="100">
        <v>0.15</v>
      </c>
      <c r="K37" s="100">
        <v>164.01</v>
      </c>
      <c r="L37" s="100">
        <v>14.2</v>
      </c>
      <c r="M37" s="100">
        <v>70.150000000000006</v>
      </c>
      <c r="N37" s="100">
        <v>15.1</v>
      </c>
      <c r="O37" s="100">
        <v>0</v>
      </c>
      <c r="P37" s="100">
        <v>0.77</v>
      </c>
      <c r="Q37" s="100">
        <v>12.97</v>
      </c>
      <c r="R37" s="6"/>
      <c r="S37" s="6"/>
      <c r="T37" s="156"/>
      <c r="U37" s="6"/>
    </row>
    <row r="38" spans="1:21" customFormat="1">
      <c r="A38" s="163" t="s">
        <v>1612</v>
      </c>
      <c r="B38" s="100">
        <v>12.52</v>
      </c>
      <c r="C38" s="100">
        <v>20.48</v>
      </c>
      <c r="D38" s="100">
        <v>22.09</v>
      </c>
      <c r="E38" s="100">
        <v>8.8699999999999992</v>
      </c>
      <c r="F38" s="152" t="s">
        <v>15</v>
      </c>
      <c r="G38" s="100">
        <v>64.09</v>
      </c>
      <c r="H38" s="100">
        <v>15.92</v>
      </c>
      <c r="I38" s="100">
        <v>8.02</v>
      </c>
      <c r="J38" s="100">
        <v>0.36</v>
      </c>
      <c r="K38" s="100">
        <v>156.47</v>
      </c>
      <c r="L38" s="100">
        <v>14.92</v>
      </c>
      <c r="M38" s="100">
        <v>65.63</v>
      </c>
      <c r="N38" s="100">
        <v>21.2</v>
      </c>
      <c r="O38" s="100">
        <v>0</v>
      </c>
      <c r="P38" s="100">
        <v>0.78</v>
      </c>
      <c r="Q38" s="100">
        <v>12.97</v>
      </c>
      <c r="R38" s="6"/>
      <c r="S38" s="6"/>
      <c r="T38" s="156"/>
      <c r="U38" s="6"/>
    </row>
    <row r="39" spans="1:21" customFormat="1">
      <c r="A39" s="163" t="s">
        <v>1613</v>
      </c>
      <c r="B39" s="100">
        <v>12.84</v>
      </c>
      <c r="C39" s="100">
        <v>20.059999999999999</v>
      </c>
      <c r="D39" s="100">
        <v>22.13</v>
      </c>
      <c r="E39" s="100">
        <v>8.83</v>
      </c>
      <c r="F39" s="152" t="s">
        <v>15</v>
      </c>
      <c r="G39" s="100">
        <v>63.81</v>
      </c>
      <c r="H39" s="100">
        <v>15.93</v>
      </c>
      <c r="I39" s="100">
        <v>8.32</v>
      </c>
      <c r="J39" s="100">
        <v>0.3</v>
      </c>
      <c r="K39" s="100">
        <v>157.30000000000001</v>
      </c>
      <c r="L39" s="100">
        <v>15.89</v>
      </c>
      <c r="M39" s="100">
        <v>60.37</v>
      </c>
      <c r="N39" s="100">
        <v>27.3</v>
      </c>
      <c r="O39" s="100">
        <v>0</v>
      </c>
      <c r="P39" s="100">
        <v>0.78</v>
      </c>
      <c r="Q39" s="100">
        <v>12.96</v>
      </c>
      <c r="R39" s="6"/>
      <c r="S39" s="6"/>
      <c r="T39" s="156"/>
      <c r="U39" s="6"/>
    </row>
    <row r="40" spans="1:21" customFormat="1">
      <c r="A40" s="163" t="s">
        <v>1614</v>
      </c>
      <c r="B40" s="100">
        <v>12.96</v>
      </c>
      <c r="C40" s="100">
        <v>19.95</v>
      </c>
      <c r="D40" s="100">
        <v>22.16</v>
      </c>
      <c r="E40" s="100">
        <v>8.58</v>
      </c>
      <c r="F40" s="152" t="s">
        <v>15</v>
      </c>
      <c r="G40" s="100">
        <v>63.81</v>
      </c>
      <c r="H40" s="100">
        <v>15.93</v>
      </c>
      <c r="I40" s="100">
        <v>8.35</v>
      </c>
      <c r="J40" s="100">
        <v>0.19</v>
      </c>
      <c r="K40" s="100">
        <v>180.74</v>
      </c>
      <c r="L40" s="100">
        <v>16.68</v>
      </c>
      <c r="M40" s="100">
        <v>58.22</v>
      </c>
      <c r="N40" s="100">
        <v>34.1</v>
      </c>
      <c r="O40" s="100">
        <v>0</v>
      </c>
      <c r="P40" s="100">
        <v>0.78</v>
      </c>
      <c r="Q40" s="100">
        <v>12.96</v>
      </c>
      <c r="R40" s="6"/>
      <c r="S40" s="6"/>
      <c r="T40" s="156"/>
      <c r="U40" s="6"/>
    </row>
    <row r="41" spans="1:21" customFormat="1">
      <c r="A41" s="163" t="s">
        <v>1615</v>
      </c>
      <c r="B41" s="100">
        <v>12.18</v>
      </c>
      <c r="C41" s="100">
        <v>20.329999999999998</v>
      </c>
      <c r="D41" s="100">
        <v>21.74</v>
      </c>
      <c r="E41" s="100">
        <v>8.2100000000000009</v>
      </c>
      <c r="F41" s="152" t="s">
        <v>15</v>
      </c>
      <c r="G41" s="100">
        <v>63.81</v>
      </c>
      <c r="H41" s="100">
        <v>15.93</v>
      </c>
      <c r="I41" s="100">
        <v>8.5399999999999991</v>
      </c>
      <c r="J41" s="100">
        <v>0.13</v>
      </c>
      <c r="K41" s="100">
        <v>204.88</v>
      </c>
      <c r="L41" s="100">
        <v>17.829999999999998</v>
      </c>
      <c r="M41" s="100">
        <v>53.9</v>
      </c>
      <c r="N41" s="100">
        <v>116.5</v>
      </c>
      <c r="O41" s="100">
        <v>0</v>
      </c>
      <c r="P41" s="100">
        <v>0.78</v>
      </c>
      <c r="Q41" s="100">
        <v>12.97</v>
      </c>
      <c r="R41" s="6"/>
      <c r="S41" s="6"/>
      <c r="T41" s="156"/>
      <c r="U41" s="6"/>
    </row>
    <row r="42" spans="1:21" customFormat="1">
      <c r="A42" s="163" t="s">
        <v>1616</v>
      </c>
      <c r="B42" s="100">
        <v>11.37</v>
      </c>
      <c r="C42" s="100">
        <v>20.92</v>
      </c>
      <c r="D42" s="100">
        <v>21.4</v>
      </c>
      <c r="E42" s="100">
        <v>8.32</v>
      </c>
      <c r="F42" s="152" t="s">
        <v>15</v>
      </c>
      <c r="G42" s="100">
        <v>65.94</v>
      </c>
      <c r="H42" s="100">
        <v>18.73</v>
      </c>
      <c r="I42" s="100">
        <v>8.6</v>
      </c>
      <c r="J42" s="100">
        <v>0.13</v>
      </c>
      <c r="K42" s="100">
        <v>274.61</v>
      </c>
      <c r="L42" s="100">
        <v>19.149999999999999</v>
      </c>
      <c r="M42" s="100">
        <v>50.44</v>
      </c>
      <c r="N42" s="100">
        <v>197.5</v>
      </c>
      <c r="O42" s="100">
        <v>0</v>
      </c>
      <c r="P42" s="100">
        <v>0.79</v>
      </c>
      <c r="Q42" s="100">
        <v>12.97</v>
      </c>
      <c r="R42" s="6"/>
      <c r="S42" s="6"/>
      <c r="T42" s="156"/>
      <c r="U42" s="6"/>
    </row>
    <row r="43" spans="1:21" customFormat="1">
      <c r="A43" s="163" t="s">
        <v>1617</v>
      </c>
      <c r="B43" s="100">
        <v>10.77</v>
      </c>
      <c r="C43" s="100">
        <v>20.86</v>
      </c>
      <c r="D43" s="100">
        <v>20.89</v>
      </c>
      <c r="E43" s="100">
        <v>8.32</v>
      </c>
      <c r="F43" s="152" t="s">
        <v>15</v>
      </c>
      <c r="G43" s="100">
        <v>66.709999999999994</v>
      </c>
      <c r="H43" s="100">
        <v>18.77</v>
      </c>
      <c r="I43" s="100">
        <v>8.84</v>
      </c>
      <c r="J43" s="100">
        <v>0.23</v>
      </c>
      <c r="K43" s="100">
        <v>256.85000000000002</v>
      </c>
      <c r="L43" s="100">
        <v>20.39</v>
      </c>
      <c r="M43" s="100">
        <v>44.06</v>
      </c>
      <c r="N43" s="100">
        <v>249.3</v>
      </c>
      <c r="O43" s="100">
        <v>0</v>
      </c>
      <c r="P43" s="100">
        <v>0.78</v>
      </c>
      <c r="Q43" s="100">
        <v>12.96</v>
      </c>
      <c r="R43" s="6"/>
      <c r="S43" s="6"/>
      <c r="T43" s="156"/>
      <c r="U43" s="6"/>
    </row>
    <row r="44" spans="1:21" customFormat="1">
      <c r="A44" s="163" t="s">
        <v>1618</v>
      </c>
      <c r="B44" s="100">
        <v>11.63</v>
      </c>
      <c r="C44" s="100">
        <v>19.89</v>
      </c>
      <c r="D44" s="100">
        <v>21.07</v>
      </c>
      <c r="E44" s="100">
        <v>8.8000000000000007</v>
      </c>
      <c r="F44" s="152" t="s">
        <v>15</v>
      </c>
      <c r="G44" s="100">
        <v>66.709999999999994</v>
      </c>
      <c r="H44" s="100">
        <v>18.77</v>
      </c>
      <c r="I44" s="100">
        <v>8.99</v>
      </c>
      <c r="J44" s="100">
        <v>0.56000000000000005</v>
      </c>
      <c r="K44" s="100">
        <v>279.11</v>
      </c>
      <c r="L44" s="100">
        <v>21.47</v>
      </c>
      <c r="M44" s="100">
        <v>37.64</v>
      </c>
      <c r="N44" s="100">
        <v>266.89999999999998</v>
      </c>
      <c r="O44" s="100">
        <v>0</v>
      </c>
      <c r="P44" s="100">
        <v>0.78</v>
      </c>
      <c r="Q44" s="100">
        <v>12.96</v>
      </c>
      <c r="R44" s="6"/>
      <c r="S44" s="6"/>
      <c r="T44" s="156"/>
      <c r="U44" s="6"/>
    </row>
    <row r="45" spans="1:21" customFormat="1">
      <c r="A45" s="163" t="s">
        <v>1619</v>
      </c>
      <c r="B45" s="100">
        <v>9.26</v>
      </c>
      <c r="C45" s="100">
        <v>21.39</v>
      </c>
      <c r="D45" s="100">
        <v>19.95</v>
      </c>
      <c r="E45" s="100">
        <v>9.41</v>
      </c>
      <c r="F45" s="152" t="s">
        <v>15</v>
      </c>
      <c r="G45" s="100">
        <v>66.709999999999994</v>
      </c>
      <c r="H45" s="100">
        <v>18.77</v>
      </c>
      <c r="I45" s="100">
        <v>9.14</v>
      </c>
      <c r="J45" s="100">
        <v>0.19</v>
      </c>
      <c r="K45" s="100">
        <v>319.14999999999998</v>
      </c>
      <c r="L45" s="100">
        <v>22.59</v>
      </c>
      <c r="M45" s="100">
        <v>33.31</v>
      </c>
      <c r="N45" s="100">
        <v>224.6</v>
      </c>
      <c r="O45" s="100">
        <v>0</v>
      </c>
      <c r="P45" s="100">
        <v>0.78</v>
      </c>
      <c r="Q45" s="100">
        <v>12.96</v>
      </c>
      <c r="R45" s="6"/>
      <c r="S45" s="6"/>
      <c r="T45" s="156"/>
      <c r="U45" s="6"/>
    </row>
    <row r="46" spans="1:21" customFormat="1">
      <c r="A46" s="163" t="s">
        <v>1620</v>
      </c>
      <c r="B46" s="100">
        <v>7.83</v>
      </c>
      <c r="C46" s="100">
        <v>22.24</v>
      </c>
      <c r="D46" s="100">
        <v>19.25</v>
      </c>
      <c r="E46" s="100">
        <v>9.9</v>
      </c>
      <c r="F46" s="152" t="s">
        <v>15</v>
      </c>
      <c r="G46" s="100">
        <v>69.36</v>
      </c>
      <c r="H46" s="100">
        <v>25.88</v>
      </c>
      <c r="I46" s="100">
        <v>9.1199999999999992</v>
      </c>
      <c r="J46" s="100">
        <v>0.35</v>
      </c>
      <c r="K46" s="100">
        <v>46.98</v>
      </c>
      <c r="L46" s="100">
        <v>23.55</v>
      </c>
      <c r="M46" s="100">
        <v>29.92</v>
      </c>
      <c r="N46" s="100">
        <v>314.39999999999998</v>
      </c>
      <c r="O46" s="100">
        <v>0</v>
      </c>
      <c r="P46" s="100">
        <v>0.78</v>
      </c>
      <c r="Q46" s="100">
        <v>12.94</v>
      </c>
      <c r="R46" s="6"/>
      <c r="S46" s="6"/>
      <c r="T46" s="156"/>
      <c r="U46" s="6"/>
    </row>
    <row r="47" spans="1:21" customFormat="1">
      <c r="A47" s="163" t="s">
        <v>1621</v>
      </c>
      <c r="B47" s="100">
        <v>7.64</v>
      </c>
      <c r="C47" s="100">
        <v>22.93</v>
      </c>
      <c r="D47" s="100">
        <v>19.46</v>
      </c>
      <c r="E47" s="100">
        <v>9.7799999999999994</v>
      </c>
      <c r="F47" s="152" t="s">
        <v>15</v>
      </c>
      <c r="G47" s="100">
        <v>70.33</v>
      </c>
      <c r="H47" s="100">
        <v>26.06</v>
      </c>
      <c r="I47" s="100">
        <v>9.15</v>
      </c>
      <c r="J47" s="100">
        <v>0.66</v>
      </c>
      <c r="K47" s="100">
        <v>61.64</v>
      </c>
      <c r="L47" s="100">
        <v>24.24</v>
      </c>
      <c r="M47" s="100">
        <v>25.65</v>
      </c>
      <c r="N47" s="100">
        <v>332</v>
      </c>
      <c r="O47" s="100">
        <v>0</v>
      </c>
      <c r="P47" s="100">
        <v>0.79</v>
      </c>
      <c r="Q47" s="100">
        <v>12.95</v>
      </c>
      <c r="R47" s="6"/>
      <c r="S47" s="6"/>
      <c r="T47" s="156"/>
      <c r="U47" s="6"/>
    </row>
    <row r="48" spans="1:21" customFormat="1">
      <c r="A48" s="163" t="s">
        <v>1622</v>
      </c>
      <c r="B48" s="100">
        <v>7.77</v>
      </c>
      <c r="C48" s="100">
        <v>23.66</v>
      </c>
      <c r="D48" s="100">
        <v>19.940000000000001</v>
      </c>
      <c r="E48" s="100">
        <v>9.91</v>
      </c>
      <c r="F48" s="152" t="s">
        <v>15</v>
      </c>
      <c r="G48" s="100">
        <v>70.33</v>
      </c>
      <c r="H48" s="100">
        <v>26.06</v>
      </c>
      <c r="I48" s="100">
        <v>9.1999999999999993</v>
      </c>
      <c r="J48" s="100">
        <v>0.26</v>
      </c>
      <c r="K48" s="100">
        <v>51.59</v>
      </c>
      <c r="L48" s="100">
        <v>25.63</v>
      </c>
      <c r="M48" s="100">
        <v>21.93</v>
      </c>
      <c r="N48" s="100">
        <v>333</v>
      </c>
      <c r="O48" s="100">
        <v>0</v>
      </c>
      <c r="P48" s="100">
        <v>0.78</v>
      </c>
      <c r="Q48" s="100">
        <v>12.95</v>
      </c>
      <c r="R48" s="6"/>
      <c r="S48" s="6"/>
      <c r="T48" s="156"/>
      <c r="U48" s="6"/>
    </row>
    <row r="49" spans="1:21" customFormat="1">
      <c r="A49" s="163" t="s">
        <v>1623</v>
      </c>
      <c r="B49" s="100">
        <v>7.64</v>
      </c>
      <c r="C49" s="100">
        <v>24.07</v>
      </c>
      <c r="D49" s="100">
        <v>20.05</v>
      </c>
      <c r="E49" s="100">
        <v>9.42</v>
      </c>
      <c r="F49" s="152" t="s">
        <v>15</v>
      </c>
      <c r="G49" s="100">
        <v>70.33</v>
      </c>
      <c r="H49" s="100">
        <v>26.06</v>
      </c>
      <c r="I49" s="100">
        <v>9.15</v>
      </c>
      <c r="J49" s="100">
        <v>0.59</v>
      </c>
      <c r="K49" s="100">
        <v>66.150000000000006</v>
      </c>
      <c r="L49" s="100">
        <v>25.92</v>
      </c>
      <c r="M49" s="100">
        <v>18.84</v>
      </c>
      <c r="N49" s="100">
        <v>237.7</v>
      </c>
      <c r="O49" s="100">
        <v>0</v>
      </c>
      <c r="P49" s="100">
        <v>0.75</v>
      </c>
      <c r="Q49" s="100">
        <v>12.95</v>
      </c>
      <c r="R49" s="6"/>
      <c r="S49" s="6"/>
      <c r="T49" s="156"/>
      <c r="U49" s="6"/>
    </row>
    <row r="50" spans="1:21" customFormat="1">
      <c r="A50" s="163" t="s">
        <v>1624</v>
      </c>
      <c r="B50" s="100">
        <v>7.16</v>
      </c>
      <c r="C50" s="100">
        <v>24.09</v>
      </c>
      <c r="D50" s="100">
        <v>19.68</v>
      </c>
      <c r="E50" s="100">
        <v>10.210000000000001</v>
      </c>
      <c r="F50" s="152" t="s">
        <v>15</v>
      </c>
      <c r="G50" s="100">
        <v>70.27</v>
      </c>
      <c r="H50" s="100">
        <v>26.38</v>
      </c>
      <c r="I50" s="100">
        <v>9.08</v>
      </c>
      <c r="J50" s="100">
        <v>0.28000000000000003</v>
      </c>
      <c r="K50" s="100">
        <v>106.33</v>
      </c>
      <c r="L50" s="100">
        <v>26.72</v>
      </c>
      <c r="M50" s="100">
        <v>16.57</v>
      </c>
      <c r="N50" s="100">
        <v>338.2</v>
      </c>
      <c r="O50" s="100">
        <v>0</v>
      </c>
      <c r="P50" s="100">
        <v>0.75</v>
      </c>
      <c r="Q50" s="100">
        <v>12.95</v>
      </c>
      <c r="R50" s="6"/>
      <c r="S50" s="6"/>
      <c r="T50" s="156"/>
      <c r="U50" s="6"/>
    </row>
    <row r="51" spans="1:21" customFormat="1">
      <c r="A51" s="163" t="s">
        <v>1625</v>
      </c>
      <c r="B51" s="100">
        <v>6.69</v>
      </c>
      <c r="C51" s="100">
        <v>23.59</v>
      </c>
      <c r="D51" s="100">
        <v>19.04</v>
      </c>
      <c r="E51" s="100">
        <v>10.31</v>
      </c>
      <c r="F51" s="152" t="s">
        <v>15</v>
      </c>
      <c r="G51" s="100">
        <v>70.25</v>
      </c>
      <c r="H51" s="100">
        <v>26.38</v>
      </c>
      <c r="I51" s="100">
        <v>8.84</v>
      </c>
      <c r="J51" s="100">
        <v>0.51</v>
      </c>
      <c r="K51" s="100">
        <v>70.69</v>
      </c>
      <c r="L51" s="100">
        <v>27.27</v>
      </c>
      <c r="M51" s="100">
        <v>13.97</v>
      </c>
      <c r="N51" s="100">
        <v>380.9</v>
      </c>
      <c r="O51" s="100">
        <v>0</v>
      </c>
      <c r="P51" s="100">
        <v>0.72</v>
      </c>
      <c r="Q51" s="100">
        <v>12.95</v>
      </c>
      <c r="R51" s="6"/>
      <c r="S51" s="6"/>
      <c r="T51" s="156"/>
      <c r="U51" s="6"/>
    </row>
    <row r="52" spans="1:21" customFormat="1">
      <c r="A52" s="163" t="s">
        <v>1626</v>
      </c>
      <c r="B52" s="100">
        <v>6.98</v>
      </c>
      <c r="C52" s="100">
        <v>22.49</v>
      </c>
      <c r="D52" s="100">
        <v>18.7</v>
      </c>
      <c r="E52" s="100">
        <v>10.34</v>
      </c>
      <c r="F52" s="152" t="s">
        <v>15</v>
      </c>
      <c r="G52" s="100">
        <v>70.25</v>
      </c>
      <c r="H52" s="100">
        <v>26.38</v>
      </c>
      <c r="I52" s="100">
        <v>8.82</v>
      </c>
      <c r="J52" s="100">
        <v>0.81</v>
      </c>
      <c r="K52" s="100">
        <v>23.96</v>
      </c>
      <c r="L52" s="100">
        <v>27.41</v>
      </c>
      <c r="M52" s="100">
        <v>12.4</v>
      </c>
      <c r="N52" s="100">
        <v>381.9</v>
      </c>
      <c r="O52" s="100">
        <v>0</v>
      </c>
      <c r="P52" s="100">
        <v>0.69</v>
      </c>
      <c r="Q52" s="100">
        <v>12.95</v>
      </c>
      <c r="R52" s="6"/>
      <c r="S52" s="6"/>
      <c r="T52" s="156"/>
      <c r="U52" s="6"/>
    </row>
    <row r="53" spans="1:21" customFormat="1">
      <c r="A53" s="163" t="s">
        <v>1627</v>
      </c>
      <c r="B53" s="100">
        <v>7</v>
      </c>
      <c r="C53" s="100">
        <v>22.7</v>
      </c>
      <c r="D53" s="100">
        <v>18.829999999999998</v>
      </c>
      <c r="E53" s="100">
        <v>9.99</v>
      </c>
      <c r="F53" s="152" t="s">
        <v>15</v>
      </c>
      <c r="G53" s="100">
        <v>70.25</v>
      </c>
      <c r="H53" s="100">
        <v>26.38</v>
      </c>
      <c r="I53" s="100">
        <v>8.43</v>
      </c>
      <c r="J53" s="100">
        <v>0.43</v>
      </c>
      <c r="K53" s="100">
        <v>0.85</v>
      </c>
      <c r="L53" s="100">
        <v>27.32</v>
      </c>
      <c r="M53" s="100">
        <v>12.85</v>
      </c>
      <c r="N53" s="100">
        <v>385.1</v>
      </c>
      <c r="O53" s="100">
        <v>0</v>
      </c>
      <c r="P53" s="100">
        <v>0.67</v>
      </c>
      <c r="Q53" s="100">
        <v>12.96</v>
      </c>
      <c r="R53" s="6"/>
      <c r="S53" s="6"/>
      <c r="T53" s="156"/>
      <c r="U53" s="6"/>
    </row>
    <row r="54" spans="1:21" customFormat="1">
      <c r="A54" s="163" t="s">
        <v>1628</v>
      </c>
      <c r="B54" s="133" t="s">
        <v>4</v>
      </c>
      <c r="C54" s="133" t="s">
        <v>4</v>
      </c>
      <c r="D54" s="133" t="s">
        <v>4</v>
      </c>
      <c r="E54" s="133" t="s">
        <v>4</v>
      </c>
      <c r="F54" s="152" t="s">
        <v>15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  <c r="R54" s="6"/>
      <c r="S54" s="6"/>
      <c r="T54" s="156"/>
      <c r="U54" s="6"/>
    </row>
    <row r="55" spans="1:21" customFormat="1">
      <c r="A55" s="163" t="s">
        <v>1629</v>
      </c>
      <c r="B55" s="133" t="s">
        <v>4</v>
      </c>
      <c r="C55" s="133" t="s">
        <v>4</v>
      </c>
      <c r="D55" s="133" t="s">
        <v>4</v>
      </c>
      <c r="E55" s="133" t="s">
        <v>4</v>
      </c>
      <c r="F55" s="152" t="s">
        <v>15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  <c r="R55" s="6"/>
      <c r="S55" s="6"/>
      <c r="T55" s="156"/>
      <c r="U55" s="6"/>
    </row>
    <row r="56" spans="1:21" customFormat="1">
      <c r="A56" s="163" t="s">
        <v>1630</v>
      </c>
      <c r="B56" s="133" t="s">
        <v>4</v>
      </c>
      <c r="C56" s="133" t="s">
        <v>4</v>
      </c>
      <c r="D56" s="133" t="s">
        <v>4</v>
      </c>
      <c r="E56" s="133" t="s">
        <v>4</v>
      </c>
      <c r="F56" s="152" t="s">
        <v>15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163" t="s">
        <v>1631</v>
      </c>
      <c r="B57" s="133" t="s">
        <v>4</v>
      </c>
      <c r="C57" s="133" t="s">
        <v>4</v>
      </c>
      <c r="D57" s="133" t="s">
        <v>4</v>
      </c>
      <c r="E57" s="133" t="s">
        <v>4</v>
      </c>
      <c r="F57" s="152" t="s">
        <v>15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  <c r="R57" s="6"/>
      <c r="S57" s="6"/>
      <c r="T57" s="156"/>
      <c r="U57" s="6"/>
    </row>
    <row r="58" spans="1:21" customFormat="1">
      <c r="A58" s="163" t="s">
        <v>1632</v>
      </c>
      <c r="B58" s="133" t="s">
        <v>4</v>
      </c>
      <c r="C58" s="133" t="s">
        <v>4</v>
      </c>
      <c r="D58" s="133" t="s">
        <v>4</v>
      </c>
      <c r="E58" s="133" t="s">
        <v>4</v>
      </c>
      <c r="F58" s="152" t="s">
        <v>15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163" t="s">
        <v>1633</v>
      </c>
      <c r="B59" s="133" t="s">
        <v>4</v>
      </c>
      <c r="C59" s="133" t="s">
        <v>4</v>
      </c>
      <c r="D59" s="133" t="s">
        <v>4</v>
      </c>
      <c r="E59" s="133" t="s">
        <v>4</v>
      </c>
      <c r="F59" s="152" t="s">
        <v>15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  <c r="R59" s="6"/>
      <c r="S59" s="6"/>
      <c r="T59" s="156"/>
      <c r="U59" s="6"/>
    </row>
    <row r="60" spans="1:21" customFormat="1">
      <c r="A60" s="163" t="s">
        <v>1634</v>
      </c>
      <c r="B60" s="133" t="s">
        <v>4</v>
      </c>
      <c r="C60" s="133" t="s">
        <v>4</v>
      </c>
      <c r="D60" s="133" t="s">
        <v>4</v>
      </c>
      <c r="E60" s="133" t="s">
        <v>4</v>
      </c>
      <c r="F60" s="152" t="s">
        <v>15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  <c r="R60" s="6"/>
      <c r="S60" s="6"/>
      <c r="T60" s="156"/>
      <c r="U60" s="6"/>
    </row>
    <row r="61" spans="1:21" customFormat="1">
      <c r="A61" s="163" t="s">
        <v>1635</v>
      </c>
      <c r="B61" s="150" t="s">
        <v>21</v>
      </c>
      <c r="C61" s="150" t="s">
        <v>21</v>
      </c>
      <c r="D61" s="150" t="s">
        <v>21</v>
      </c>
      <c r="E61" s="100">
        <v>31.97</v>
      </c>
      <c r="F61" s="152" t="s">
        <v>15</v>
      </c>
      <c r="G61" s="100">
        <v>60.36</v>
      </c>
      <c r="H61" s="100">
        <v>19.75</v>
      </c>
      <c r="I61" s="150" t="s">
        <v>21</v>
      </c>
      <c r="J61" s="100">
        <v>0.46</v>
      </c>
      <c r="K61" s="100">
        <v>283.44</v>
      </c>
      <c r="L61" s="100">
        <v>29.98</v>
      </c>
      <c r="M61" s="100">
        <v>11.88</v>
      </c>
      <c r="N61" s="100">
        <v>364.6</v>
      </c>
      <c r="O61" s="100">
        <v>0</v>
      </c>
      <c r="P61" s="100">
        <v>0.4</v>
      </c>
      <c r="Q61" s="150" t="s">
        <v>21</v>
      </c>
      <c r="R61" s="6"/>
      <c r="S61" s="6"/>
      <c r="T61" s="156"/>
      <c r="U61" s="6"/>
    </row>
    <row r="62" spans="1:21" customFormat="1">
      <c r="A62" s="163" t="s">
        <v>1636</v>
      </c>
      <c r="B62" s="100">
        <v>5.42</v>
      </c>
      <c r="C62" s="100">
        <v>19.190000000000001</v>
      </c>
      <c r="D62" s="100">
        <v>15.73</v>
      </c>
      <c r="E62" s="100">
        <v>3.68</v>
      </c>
      <c r="F62" s="152" t="s">
        <v>15</v>
      </c>
      <c r="G62" s="100">
        <v>48.78</v>
      </c>
      <c r="H62" s="100">
        <v>103.11</v>
      </c>
      <c r="I62" s="150" t="s">
        <v>21</v>
      </c>
      <c r="J62" s="100">
        <v>0.1</v>
      </c>
      <c r="K62" s="100">
        <v>82.99</v>
      </c>
      <c r="L62" s="100">
        <v>30.49</v>
      </c>
      <c r="M62" s="100">
        <v>10.85</v>
      </c>
      <c r="N62" s="100">
        <v>344.9</v>
      </c>
      <c r="O62" s="100">
        <v>0</v>
      </c>
      <c r="P62" s="100">
        <v>0.41</v>
      </c>
      <c r="Q62" s="150" t="s">
        <v>21</v>
      </c>
      <c r="R62" s="6"/>
      <c r="S62" s="6"/>
      <c r="T62" s="156"/>
      <c r="U62" s="6"/>
    </row>
    <row r="63" spans="1:21" customFormat="1">
      <c r="A63" s="163" t="s">
        <v>1637</v>
      </c>
      <c r="B63" s="100">
        <v>4.57</v>
      </c>
      <c r="C63" s="100">
        <v>23.1</v>
      </c>
      <c r="D63" s="100">
        <v>17.09</v>
      </c>
      <c r="E63" s="100">
        <v>3.68</v>
      </c>
      <c r="F63" s="152" t="s">
        <v>15</v>
      </c>
      <c r="G63" s="100">
        <v>45.57</v>
      </c>
      <c r="H63" s="100">
        <v>104.41</v>
      </c>
      <c r="I63" s="100">
        <v>6.52</v>
      </c>
      <c r="J63" s="100">
        <v>0.52</v>
      </c>
      <c r="K63" s="100">
        <v>337.66</v>
      </c>
      <c r="L63" s="100">
        <v>30.3</v>
      </c>
      <c r="M63" s="100">
        <v>11.5</v>
      </c>
      <c r="N63" s="100">
        <v>336.4</v>
      </c>
      <c r="O63" s="100">
        <v>0</v>
      </c>
      <c r="P63" s="100">
        <v>0.33</v>
      </c>
      <c r="Q63" s="100">
        <v>12.25</v>
      </c>
      <c r="R63" s="6"/>
      <c r="S63" s="6"/>
      <c r="T63" s="156"/>
      <c r="U63" s="6"/>
    </row>
    <row r="64" spans="1:21" customFormat="1">
      <c r="A64" s="163" t="s">
        <v>1638</v>
      </c>
      <c r="B64" s="100">
        <v>3.79</v>
      </c>
      <c r="C64" s="100">
        <v>23.22</v>
      </c>
      <c r="D64" s="100">
        <v>16.52</v>
      </c>
      <c r="E64" s="100">
        <v>3.68</v>
      </c>
      <c r="F64" s="152" t="s">
        <v>15</v>
      </c>
      <c r="G64" s="100">
        <v>45.57</v>
      </c>
      <c r="H64" s="100">
        <v>104.41</v>
      </c>
      <c r="I64" s="100">
        <v>7.46</v>
      </c>
      <c r="J64" s="100">
        <v>0.59</v>
      </c>
      <c r="K64" s="100">
        <v>355.53</v>
      </c>
      <c r="L64" s="100">
        <v>29.74</v>
      </c>
      <c r="M64" s="100">
        <v>11.72</v>
      </c>
      <c r="N64" s="100">
        <v>325.89999999999998</v>
      </c>
      <c r="O64" s="100">
        <v>0</v>
      </c>
      <c r="P64" s="100">
        <v>0.31</v>
      </c>
      <c r="Q64" s="100">
        <v>12.25</v>
      </c>
      <c r="R64" s="6"/>
      <c r="S64" s="6"/>
      <c r="T64" s="156"/>
      <c r="U64" s="6"/>
    </row>
    <row r="65" spans="1:21" customFormat="1">
      <c r="A65" s="163" t="s">
        <v>1639</v>
      </c>
      <c r="B65" s="100">
        <v>3.42</v>
      </c>
      <c r="C65" s="100">
        <v>22.92</v>
      </c>
      <c r="D65" s="100">
        <v>16.07</v>
      </c>
      <c r="E65" s="100">
        <v>3.68</v>
      </c>
      <c r="F65" s="152" t="s">
        <v>15</v>
      </c>
      <c r="G65" s="100">
        <v>45.57</v>
      </c>
      <c r="H65" s="100">
        <v>104.41</v>
      </c>
      <c r="I65" s="100">
        <v>7.33</v>
      </c>
      <c r="J65" s="100">
        <v>0.67</v>
      </c>
      <c r="K65" s="100">
        <v>1.34</v>
      </c>
      <c r="L65" s="100">
        <v>29.66</v>
      </c>
      <c r="M65" s="100">
        <v>11.14</v>
      </c>
      <c r="N65" s="100">
        <v>337</v>
      </c>
      <c r="O65" s="100">
        <v>0</v>
      </c>
      <c r="P65" s="100">
        <v>0.51</v>
      </c>
      <c r="Q65" s="100">
        <v>12.25</v>
      </c>
      <c r="R65" s="6"/>
      <c r="S65" s="6"/>
      <c r="T65" s="156"/>
      <c r="U65" s="6"/>
    </row>
    <row r="66" spans="1:21" customFormat="1">
      <c r="A66" s="163" t="s">
        <v>1640</v>
      </c>
      <c r="B66" s="100">
        <v>3.33</v>
      </c>
      <c r="C66" s="100">
        <v>22.5</v>
      </c>
      <c r="D66" s="100">
        <v>15.78</v>
      </c>
      <c r="E66" s="100">
        <v>3.68</v>
      </c>
      <c r="F66" s="152" t="s">
        <v>15</v>
      </c>
      <c r="G66" s="100">
        <v>61.65</v>
      </c>
      <c r="H66" s="100">
        <v>46.15</v>
      </c>
      <c r="I66" s="100">
        <v>7.26</v>
      </c>
      <c r="J66" s="100">
        <v>0.74</v>
      </c>
      <c r="K66" s="100">
        <v>346.24</v>
      </c>
      <c r="L66" s="100">
        <v>29.89</v>
      </c>
      <c r="M66" s="100">
        <v>10.06</v>
      </c>
      <c r="N66" s="100">
        <v>346.5</v>
      </c>
      <c r="O66" s="100">
        <v>0</v>
      </c>
      <c r="P66" s="100">
        <v>0.52</v>
      </c>
      <c r="Q66" s="100">
        <v>12.25</v>
      </c>
      <c r="R66" s="6"/>
      <c r="S66" s="6"/>
      <c r="T66" s="156"/>
      <c r="U66" s="6"/>
    </row>
    <row r="67" spans="1:21" customFormat="1">
      <c r="A67" s="163" t="s">
        <v>1641</v>
      </c>
      <c r="B67" s="100">
        <v>3.32</v>
      </c>
      <c r="C67" s="100">
        <v>22.15</v>
      </c>
      <c r="D67" s="100">
        <v>15.59</v>
      </c>
      <c r="E67" s="100">
        <v>3.68</v>
      </c>
      <c r="F67" s="152" t="s">
        <v>15</v>
      </c>
      <c r="G67" s="100">
        <v>67.489999999999995</v>
      </c>
      <c r="H67" s="100">
        <v>45.26</v>
      </c>
      <c r="I67" s="100">
        <v>7.18</v>
      </c>
      <c r="J67" s="100">
        <v>0.81</v>
      </c>
      <c r="K67" s="100">
        <v>5.48</v>
      </c>
      <c r="L67" s="100">
        <v>30.03</v>
      </c>
      <c r="M67" s="100">
        <v>9.56</v>
      </c>
      <c r="N67" s="100">
        <v>328.8</v>
      </c>
      <c r="O67" s="100">
        <v>0</v>
      </c>
      <c r="P67" s="100">
        <v>0.5</v>
      </c>
      <c r="Q67" s="100">
        <v>12.25</v>
      </c>
      <c r="R67" s="6"/>
      <c r="S67" s="6"/>
      <c r="T67" s="156"/>
      <c r="U67" s="6"/>
    </row>
    <row r="68" spans="1:21" customFormat="1">
      <c r="A68" s="163" t="s">
        <v>1642</v>
      </c>
      <c r="B68" s="100">
        <v>3.43</v>
      </c>
      <c r="C68" s="100">
        <v>21.96</v>
      </c>
      <c r="D68" s="100">
        <v>15.57</v>
      </c>
      <c r="E68" s="100">
        <v>3.68</v>
      </c>
      <c r="F68" s="152" t="s">
        <v>15</v>
      </c>
      <c r="G68" s="100">
        <v>67.489999999999995</v>
      </c>
      <c r="H68" s="100">
        <v>45.26</v>
      </c>
      <c r="I68" s="100">
        <v>7.05</v>
      </c>
      <c r="J68" s="100">
        <v>0.67</v>
      </c>
      <c r="K68" s="100">
        <v>325.10000000000002</v>
      </c>
      <c r="L68" s="100">
        <v>29.71</v>
      </c>
      <c r="M68" s="100">
        <v>9.69</v>
      </c>
      <c r="N68" s="100">
        <v>150.4</v>
      </c>
      <c r="O68" s="100">
        <v>0</v>
      </c>
      <c r="P68" s="100">
        <v>0.49</v>
      </c>
      <c r="Q68" s="100">
        <v>12.25</v>
      </c>
      <c r="R68" s="6"/>
      <c r="S68" s="6"/>
      <c r="T68" s="156"/>
      <c r="U68" s="6"/>
    </row>
    <row r="69" spans="1:21" customFormat="1">
      <c r="A69" s="163" t="s">
        <v>1643</v>
      </c>
      <c r="B69" s="100">
        <v>3.43</v>
      </c>
      <c r="C69" s="100">
        <v>21.73</v>
      </c>
      <c r="D69" s="100">
        <v>15.46</v>
      </c>
      <c r="E69" s="100">
        <v>3.68</v>
      </c>
      <c r="F69" s="152" t="s">
        <v>15</v>
      </c>
      <c r="G69" s="100">
        <v>67.489999999999995</v>
      </c>
      <c r="H69" s="100">
        <v>45.26</v>
      </c>
      <c r="I69" s="100">
        <v>6.92</v>
      </c>
      <c r="J69" s="100">
        <v>0.69</v>
      </c>
      <c r="K69" s="100">
        <v>352.37</v>
      </c>
      <c r="L69" s="100">
        <v>29.11</v>
      </c>
      <c r="M69" s="100">
        <v>9.93</v>
      </c>
      <c r="N69" s="100">
        <v>46.7</v>
      </c>
      <c r="O69" s="100">
        <v>0</v>
      </c>
      <c r="P69" s="100">
        <v>0.48</v>
      </c>
      <c r="Q69" s="100">
        <v>12.25</v>
      </c>
      <c r="R69" s="6"/>
      <c r="S69" s="6"/>
      <c r="T69" s="156"/>
      <c r="U69" s="6"/>
    </row>
    <row r="70" spans="1:21" customFormat="1">
      <c r="A70" s="163" t="s">
        <v>1644</v>
      </c>
      <c r="B70" s="100">
        <v>3.41</v>
      </c>
      <c r="C70" s="100">
        <v>21.37</v>
      </c>
      <c r="D70" s="100">
        <v>15.25</v>
      </c>
      <c r="E70" s="100">
        <v>3.68</v>
      </c>
      <c r="F70" s="152" t="s">
        <v>15</v>
      </c>
      <c r="G70" s="100">
        <v>58.92</v>
      </c>
      <c r="H70" s="100">
        <v>32.380000000000003</v>
      </c>
      <c r="I70" s="100">
        <v>6.87</v>
      </c>
      <c r="J70" s="100">
        <v>0.89</v>
      </c>
      <c r="K70" s="100">
        <v>12.33</v>
      </c>
      <c r="L70" s="100">
        <v>29.08</v>
      </c>
      <c r="M70" s="100">
        <v>9.83</v>
      </c>
      <c r="N70" s="100">
        <v>40.200000000000003</v>
      </c>
      <c r="O70" s="100">
        <v>0</v>
      </c>
      <c r="P70" s="100">
        <v>0.47</v>
      </c>
      <c r="Q70" s="100">
        <v>12.25</v>
      </c>
      <c r="R70" s="6"/>
      <c r="S70" s="6"/>
      <c r="T70" s="156"/>
      <c r="U70" s="6"/>
    </row>
    <row r="71" spans="1:21" customFormat="1">
      <c r="A71" s="163" t="s">
        <v>1645</v>
      </c>
      <c r="B71" s="100">
        <v>3.43</v>
      </c>
      <c r="C71" s="100">
        <v>20.97</v>
      </c>
      <c r="D71" s="100">
        <v>15.06</v>
      </c>
      <c r="E71" s="100">
        <v>3.68</v>
      </c>
      <c r="F71" s="152" t="s">
        <v>15</v>
      </c>
      <c r="G71" s="100">
        <v>55.8</v>
      </c>
      <c r="H71" s="100">
        <v>32.06</v>
      </c>
      <c r="I71" s="100">
        <v>6.71</v>
      </c>
      <c r="J71" s="100">
        <v>0.8</v>
      </c>
      <c r="K71" s="100">
        <v>32.47</v>
      </c>
      <c r="L71" s="100">
        <v>28.98</v>
      </c>
      <c r="M71" s="100">
        <v>10.26</v>
      </c>
      <c r="N71" s="100">
        <v>44.1</v>
      </c>
      <c r="O71" s="100">
        <v>0</v>
      </c>
      <c r="P71" s="100">
        <v>0.47</v>
      </c>
      <c r="Q71" s="100">
        <v>12.25</v>
      </c>
      <c r="R71" s="6"/>
      <c r="S71" s="6"/>
      <c r="T71" s="156"/>
      <c r="U71" s="6"/>
    </row>
    <row r="72" spans="1:21" customFormat="1">
      <c r="A72" s="163" t="s">
        <v>1646</v>
      </c>
      <c r="B72" s="100">
        <v>3.48</v>
      </c>
      <c r="C72" s="100">
        <v>20.76</v>
      </c>
      <c r="D72" s="100">
        <v>14.99</v>
      </c>
      <c r="E72" s="100">
        <v>3.68</v>
      </c>
      <c r="F72" s="152" t="s">
        <v>15</v>
      </c>
      <c r="G72" s="100">
        <v>55.8</v>
      </c>
      <c r="H72" s="100">
        <v>32.06</v>
      </c>
      <c r="I72" s="100">
        <v>6.5</v>
      </c>
      <c r="J72" s="100">
        <v>0.71</v>
      </c>
      <c r="K72" s="100">
        <v>331.98</v>
      </c>
      <c r="L72" s="100">
        <v>29.02</v>
      </c>
      <c r="M72" s="100">
        <v>11.61</v>
      </c>
      <c r="N72" s="100">
        <v>36.9</v>
      </c>
      <c r="O72" s="100">
        <v>0</v>
      </c>
      <c r="P72" s="100">
        <v>0.46</v>
      </c>
      <c r="Q72" s="100">
        <v>12.25</v>
      </c>
      <c r="R72" s="6"/>
      <c r="S72" s="6"/>
      <c r="T72" s="156"/>
      <c r="U72" s="6"/>
    </row>
    <row r="73" spans="1:21" customFormat="1">
      <c r="A73" s="163" t="s">
        <v>1647</v>
      </c>
      <c r="B73" s="100">
        <v>3.4</v>
      </c>
      <c r="C73" s="100">
        <v>20.37</v>
      </c>
      <c r="D73" s="100">
        <v>14.72</v>
      </c>
      <c r="E73" s="100">
        <v>3.68</v>
      </c>
      <c r="F73" s="152" t="s">
        <v>15</v>
      </c>
      <c r="G73" s="100">
        <v>55.8</v>
      </c>
      <c r="H73" s="100">
        <v>32.06</v>
      </c>
      <c r="I73" s="100">
        <v>6.44</v>
      </c>
      <c r="J73" s="100">
        <v>0.45</v>
      </c>
      <c r="K73" s="100">
        <v>358.97</v>
      </c>
      <c r="L73" s="100">
        <v>28.89</v>
      </c>
      <c r="M73" s="100">
        <v>12.14</v>
      </c>
      <c r="N73" s="100">
        <v>50.2</v>
      </c>
      <c r="O73" s="100">
        <v>0</v>
      </c>
      <c r="P73" s="100">
        <v>0.44</v>
      </c>
      <c r="Q73" s="100">
        <v>12.25</v>
      </c>
      <c r="R73" s="6"/>
      <c r="S73" s="6"/>
      <c r="T73" s="156"/>
      <c r="U73" s="6"/>
    </row>
    <row r="74" spans="1:21" customFormat="1">
      <c r="A74" s="163" t="s">
        <v>1648</v>
      </c>
      <c r="B74" s="100">
        <v>3.37</v>
      </c>
      <c r="C74" s="100">
        <v>20.14</v>
      </c>
      <c r="D74" s="100">
        <v>14.58</v>
      </c>
      <c r="E74" s="100">
        <v>3.68</v>
      </c>
      <c r="F74" s="152" t="s">
        <v>15</v>
      </c>
      <c r="G74" s="100">
        <v>46.03</v>
      </c>
      <c r="H74" s="100">
        <v>33.32</v>
      </c>
      <c r="I74" s="100">
        <v>6.37</v>
      </c>
      <c r="J74" s="100">
        <v>0.63</v>
      </c>
      <c r="K74" s="100">
        <v>338.27</v>
      </c>
      <c r="L74" s="100">
        <v>28.92</v>
      </c>
      <c r="M74" s="100">
        <v>11.71</v>
      </c>
      <c r="N74" s="100">
        <v>36.9</v>
      </c>
      <c r="O74" s="100">
        <v>0</v>
      </c>
      <c r="P74" s="100">
        <v>0.43</v>
      </c>
      <c r="Q74" s="100">
        <v>12.25</v>
      </c>
      <c r="R74" s="6"/>
      <c r="S74" s="6"/>
      <c r="T74" s="156"/>
      <c r="U74" s="6"/>
    </row>
    <row r="75" spans="1:21" customFormat="1">
      <c r="A75" s="163" t="s">
        <v>1649</v>
      </c>
      <c r="B75" s="100">
        <v>3.42</v>
      </c>
      <c r="C75" s="100">
        <v>19.96</v>
      </c>
      <c r="D75" s="100">
        <v>14.52</v>
      </c>
      <c r="E75" s="100">
        <v>3.68</v>
      </c>
      <c r="F75" s="152" t="s">
        <v>15</v>
      </c>
      <c r="G75" s="100">
        <v>42.48</v>
      </c>
      <c r="H75" s="100">
        <v>33.33</v>
      </c>
      <c r="I75" s="100">
        <v>6.17</v>
      </c>
      <c r="J75" s="100">
        <v>0.86</v>
      </c>
      <c r="K75" s="100">
        <v>38.61</v>
      </c>
      <c r="L75" s="100">
        <v>28.67</v>
      </c>
      <c r="M75" s="100">
        <v>12.05</v>
      </c>
      <c r="N75" s="100">
        <v>37.799999999999997</v>
      </c>
      <c r="O75" s="100">
        <v>0</v>
      </c>
      <c r="P75" s="100">
        <v>0.43</v>
      </c>
      <c r="Q75" s="100">
        <v>12.25</v>
      </c>
      <c r="R75" s="6"/>
      <c r="S75" s="6"/>
      <c r="T75" s="156"/>
      <c r="U75" s="6"/>
    </row>
    <row r="76" spans="1:21" customFormat="1">
      <c r="A76" s="163" t="s">
        <v>1650</v>
      </c>
      <c r="B76" s="100">
        <v>3.51</v>
      </c>
      <c r="C76" s="100">
        <v>20.059999999999999</v>
      </c>
      <c r="D76" s="100">
        <v>14.64</v>
      </c>
      <c r="E76" s="100">
        <v>3.68</v>
      </c>
      <c r="F76" s="152" t="s">
        <v>15</v>
      </c>
      <c r="G76" s="100">
        <v>42.48</v>
      </c>
      <c r="H76" s="100">
        <v>33.33</v>
      </c>
      <c r="I76" s="100">
        <v>6.14</v>
      </c>
      <c r="J76" s="100">
        <v>0.66</v>
      </c>
      <c r="K76" s="100">
        <v>42.69</v>
      </c>
      <c r="L76" s="100">
        <v>28.63</v>
      </c>
      <c r="M76" s="100">
        <v>12.31</v>
      </c>
      <c r="N76" s="100">
        <v>45.7</v>
      </c>
      <c r="O76" s="100">
        <v>0</v>
      </c>
      <c r="P76" s="100">
        <v>0.43</v>
      </c>
      <c r="Q76" s="100">
        <v>12.25</v>
      </c>
      <c r="R76" s="6"/>
      <c r="S76" s="6"/>
      <c r="T76" s="156"/>
      <c r="U76" s="6"/>
    </row>
    <row r="77" spans="1:21" customFormat="1">
      <c r="A77" s="163" t="s">
        <v>1651</v>
      </c>
      <c r="B77" s="100">
        <v>3.74</v>
      </c>
      <c r="C77" s="100">
        <v>20.190000000000001</v>
      </c>
      <c r="D77" s="100">
        <v>14.9</v>
      </c>
      <c r="E77" s="100">
        <v>3.68</v>
      </c>
      <c r="F77" s="152" t="s">
        <v>15</v>
      </c>
      <c r="G77" s="100">
        <v>42.48</v>
      </c>
      <c r="H77" s="100">
        <v>33.33</v>
      </c>
      <c r="I77" s="100">
        <v>6.2</v>
      </c>
      <c r="J77" s="100">
        <v>0.57999999999999996</v>
      </c>
      <c r="K77" s="100">
        <v>49.28</v>
      </c>
      <c r="L77" s="100">
        <v>28.37</v>
      </c>
      <c r="M77" s="100">
        <v>12.79</v>
      </c>
      <c r="N77" s="100">
        <v>19.600000000000001</v>
      </c>
      <c r="O77" s="100">
        <v>0</v>
      </c>
      <c r="P77" s="100">
        <v>0.43</v>
      </c>
      <c r="Q77" s="100">
        <v>12.25</v>
      </c>
      <c r="R77" s="6"/>
      <c r="S77" s="6"/>
      <c r="T77" s="156"/>
      <c r="U77" s="6"/>
    </row>
    <row r="78" spans="1:21" customFormat="1">
      <c r="A78" s="163" t="s">
        <v>1652</v>
      </c>
      <c r="B78" s="100">
        <v>4.07</v>
      </c>
      <c r="C78" s="100">
        <v>20.38</v>
      </c>
      <c r="D78" s="100">
        <v>15.27</v>
      </c>
      <c r="E78" s="100">
        <v>3.68</v>
      </c>
      <c r="F78" s="152" t="s">
        <v>15</v>
      </c>
      <c r="G78" s="100">
        <v>38.130000000000003</v>
      </c>
      <c r="H78" s="100">
        <v>14.48</v>
      </c>
      <c r="I78" s="100">
        <v>6.14</v>
      </c>
      <c r="J78" s="100">
        <v>0.53</v>
      </c>
      <c r="K78" s="100">
        <v>57.81</v>
      </c>
      <c r="L78" s="100">
        <v>27.99</v>
      </c>
      <c r="M78" s="100">
        <v>13.7</v>
      </c>
      <c r="N78" s="100">
        <v>13</v>
      </c>
      <c r="O78" s="100">
        <v>0</v>
      </c>
      <c r="P78" s="100">
        <v>0.47</v>
      </c>
      <c r="Q78" s="100">
        <v>12.25</v>
      </c>
      <c r="R78" s="6"/>
      <c r="S78" s="6"/>
      <c r="T78" s="156"/>
      <c r="U78" s="6"/>
    </row>
    <row r="79" spans="1:21" customFormat="1">
      <c r="A79" s="163" t="s">
        <v>1653</v>
      </c>
      <c r="B79" s="100">
        <v>4.5199999999999996</v>
      </c>
      <c r="C79" s="100">
        <v>20.75</v>
      </c>
      <c r="D79" s="100">
        <v>15.81</v>
      </c>
      <c r="E79" s="100">
        <v>3.68</v>
      </c>
      <c r="F79" s="152" t="s">
        <v>15</v>
      </c>
      <c r="G79" s="100">
        <v>36.549999999999997</v>
      </c>
      <c r="H79" s="100">
        <v>14.19</v>
      </c>
      <c r="I79" s="100">
        <v>6.16</v>
      </c>
      <c r="J79" s="100">
        <v>0.22</v>
      </c>
      <c r="K79" s="100">
        <v>68.510000000000005</v>
      </c>
      <c r="L79" s="100">
        <v>27.18</v>
      </c>
      <c r="M79" s="100">
        <v>17.47</v>
      </c>
      <c r="N79" s="100">
        <v>8.4</v>
      </c>
      <c r="O79" s="100">
        <v>0</v>
      </c>
      <c r="P79" s="100">
        <v>0.45</v>
      </c>
      <c r="Q79" s="100">
        <v>12.25</v>
      </c>
      <c r="R79" s="6"/>
      <c r="S79" s="6"/>
      <c r="T79" s="156"/>
      <c r="U79" s="6"/>
    </row>
    <row r="80" spans="1:21" customFormat="1">
      <c r="A80" s="163" t="s">
        <v>1654</v>
      </c>
      <c r="B80" s="100">
        <v>4.76</v>
      </c>
      <c r="C80" s="100">
        <v>21.05</v>
      </c>
      <c r="D80" s="100">
        <v>16.16</v>
      </c>
      <c r="E80" s="100">
        <v>3.68</v>
      </c>
      <c r="F80" s="152" t="s">
        <v>15</v>
      </c>
      <c r="G80" s="100">
        <v>36.549999999999997</v>
      </c>
      <c r="H80" s="100">
        <v>14.19</v>
      </c>
      <c r="I80" s="100">
        <v>6.33</v>
      </c>
      <c r="J80" s="100">
        <v>0.28000000000000003</v>
      </c>
      <c r="K80" s="100">
        <v>179.72</v>
      </c>
      <c r="L80" s="100">
        <v>25.5</v>
      </c>
      <c r="M80" s="100">
        <v>26.17</v>
      </c>
      <c r="N80" s="100">
        <v>4.4000000000000004</v>
      </c>
      <c r="O80" s="100">
        <v>0</v>
      </c>
      <c r="P80" s="100">
        <v>0.43</v>
      </c>
      <c r="Q80" s="100">
        <v>12.25</v>
      </c>
      <c r="R80" s="6"/>
      <c r="S80" s="6"/>
      <c r="T80" s="156"/>
      <c r="U80" s="6"/>
    </row>
    <row r="81" spans="1:21" customFormat="1">
      <c r="A81" s="163" t="s">
        <v>1655</v>
      </c>
      <c r="B81" s="100">
        <v>4.6500000000000004</v>
      </c>
      <c r="C81" s="100">
        <v>21.32</v>
      </c>
      <c r="D81" s="100">
        <v>16.22</v>
      </c>
      <c r="E81" s="100">
        <v>9.83</v>
      </c>
      <c r="F81" s="152" t="s">
        <v>15</v>
      </c>
      <c r="G81" s="100">
        <v>36.549999999999997</v>
      </c>
      <c r="H81" s="100">
        <v>14.19</v>
      </c>
      <c r="I81" s="100">
        <v>6.6</v>
      </c>
      <c r="J81" s="100">
        <v>0.31</v>
      </c>
      <c r="K81" s="100">
        <v>166.89</v>
      </c>
      <c r="L81" s="100">
        <v>24.5</v>
      </c>
      <c r="M81" s="100">
        <v>30.9</v>
      </c>
      <c r="N81" s="100">
        <v>1.9</v>
      </c>
      <c r="O81" s="100">
        <v>0</v>
      </c>
      <c r="P81" s="100">
        <v>0.38</v>
      </c>
      <c r="Q81" s="100">
        <v>12.25</v>
      </c>
      <c r="R81" s="6"/>
      <c r="S81" s="6"/>
      <c r="T81" s="156"/>
      <c r="U81" s="6"/>
    </row>
    <row r="82" spans="1:21" customFormat="1">
      <c r="A82" s="163" t="s">
        <v>1656</v>
      </c>
      <c r="B82" s="100">
        <v>4.59</v>
      </c>
      <c r="C82" s="100">
        <v>21.68</v>
      </c>
      <c r="D82" s="100">
        <v>16.36</v>
      </c>
      <c r="E82" s="100">
        <v>10.76</v>
      </c>
      <c r="F82" s="152" t="s">
        <v>15</v>
      </c>
      <c r="G82" s="100">
        <v>50.93</v>
      </c>
      <c r="H82" s="100">
        <v>26.2</v>
      </c>
      <c r="I82" s="100">
        <v>7.17</v>
      </c>
      <c r="J82" s="100">
        <v>0.25</v>
      </c>
      <c r="K82" s="100">
        <v>197.36</v>
      </c>
      <c r="L82" s="100">
        <v>23.33</v>
      </c>
      <c r="M82" s="100">
        <v>36.049999999999997</v>
      </c>
      <c r="N82" s="100">
        <v>1.9</v>
      </c>
      <c r="O82" s="100">
        <v>0</v>
      </c>
      <c r="P82" s="100">
        <v>0.38</v>
      </c>
      <c r="Q82" s="100">
        <v>12.25</v>
      </c>
      <c r="R82" s="6"/>
      <c r="S82" s="6"/>
      <c r="T82" s="156"/>
      <c r="U82" s="6"/>
    </row>
    <row r="83" spans="1:21" customFormat="1">
      <c r="A83" s="163" t="s">
        <v>1657</v>
      </c>
      <c r="B83" s="100">
        <v>4.4400000000000004</v>
      </c>
      <c r="C83" s="100">
        <v>21.99</v>
      </c>
      <c r="D83" s="100">
        <v>16.399999999999999</v>
      </c>
      <c r="E83" s="100">
        <v>11.17</v>
      </c>
      <c r="F83" s="152" t="s">
        <v>15</v>
      </c>
      <c r="G83" s="100">
        <v>56.17</v>
      </c>
      <c r="H83" s="100">
        <v>26.39</v>
      </c>
      <c r="I83" s="100">
        <v>8.2799999999999994</v>
      </c>
      <c r="J83" s="100">
        <v>0.23</v>
      </c>
      <c r="K83" s="100">
        <v>159.78</v>
      </c>
      <c r="L83" s="100">
        <v>22.64</v>
      </c>
      <c r="M83" s="100">
        <v>36.549999999999997</v>
      </c>
      <c r="N83" s="100">
        <v>1.1000000000000001</v>
      </c>
      <c r="O83" s="100">
        <v>0</v>
      </c>
      <c r="P83" s="100">
        <v>0.39</v>
      </c>
      <c r="Q83" s="100">
        <v>12.25</v>
      </c>
      <c r="R83" s="6"/>
      <c r="S83" s="6"/>
      <c r="T83" s="156"/>
      <c r="U83" s="6"/>
    </row>
    <row r="84" spans="1:21" customFormat="1">
      <c r="A84" s="163" t="s">
        <v>1658</v>
      </c>
      <c r="B84" s="100">
        <v>4.34</v>
      </c>
      <c r="C84" s="100">
        <v>22.19</v>
      </c>
      <c r="D84" s="100">
        <v>16.420000000000002</v>
      </c>
      <c r="E84" s="100">
        <v>10.66</v>
      </c>
      <c r="F84" s="152" t="s">
        <v>15</v>
      </c>
      <c r="G84" s="100">
        <v>56.17</v>
      </c>
      <c r="H84" s="100">
        <v>26.39</v>
      </c>
      <c r="I84" s="100">
        <v>9.18</v>
      </c>
      <c r="J84" s="100">
        <v>0.25</v>
      </c>
      <c r="K84" s="100">
        <v>175.36</v>
      </c>
      <c r="L84" s="100">
        <v>22.38</v>
      </c>
      <c r="M84" s="100">
        <v>36.83</v>
      </c>
      <c r="N84" s="100">
        <v>1</v>
      </c>
      <c r="O84" s="100">
        <v>0</v>
      </c>
      <c r="P84" s="100">
        <v>0.4</v>
      </c>
      <c r="Q84" s="100">
        <v>12.25</v>
      </c>
      <c r="R84" s="6"/>
      <c r="S84" s="6"/>
      <c r="T84" s="156"/>
      <c r="U84" s="6"/>
    </row>
    <row r="85" spans="1:21" customFormat="1">
      <c r="A85" s="163" t="s">
        <v>1659</v>
      </c>
      <c r="B85" s="100">
        <v>4.29</v>
      </c>
      <c r="C85" s="100">
        <v>22.15</v>
      </c>
      <c r="D85" s="100">
        <v>16.37</v>
      </c>
      <c r="E85" s="100">
        <v>10.66</v>
      </c>
      <c r="F85" s="152" t="s">
        <v>15</v>
      </c>
      <c r="G85" s="100">
        <v>56.17</v>
      </c>
      <c r="H85" s="100">
        <v>26.39</v>
      </c>
      <c r="I85" s="100">
        <v>9.41</v>
      </c>
      <c r="J85" s="100">
        <v>0.22</v>
      </c>
      <c r="K85" s="100">
        <v>179.89</v>
      </c>
      <c r="L85" s="100">
        <v>21.77</v>
      </c>
      <c r="M85" s="100">
        <v>41.08</v>
      </c>
      <c r="N85" s="100">
        <v>1.1000000000000001</v>
      </c>
      <c r="O85" s="100">
        <v>0</v>
      </c>
      <c r="P85" s="100">
        <v>0.41</v>
      </c>
      <c r="Q85" s="100">
        <v>12.25</v>
      </c>
      <c r="R85" s="6"/>
      <c r="S85" s="6"/>
      <c r="T85" s="156"/>
      <c r="U85" s="6"/>
    </row>
    <row r="86" spans="1:21" customFormat="1">
      <c r="A86" s="163" t="s">
        <v>1660</v>
      </c>
      <c r="B86" s="100">
        <v>4.2300000000000004</v>
      </c>
      <c r="C86" s="100">
        <v>22.04</v>
      </c>
      <c r="D86" s="100">
        <v>16.260000000000002</v>
      </c>
      <c r="E86" s="100">
        <v>10.93</v>
      </c>
      <c r="F86" s="152" t="s">
        <v>15</v>
      </c>
      <c r="G86" s="100">
        <v>59.28</v>
      </c>
      <c r="H86" s="100">
        <v>23.44</v>
      </c>
      <c r="I86" s="100">
        <v>9.39</v>
      </c>
      <c r="J86" s="100">
        <v>0.17</v>
      </c>
      <c r="K86" s="100">
        <v>208.65</v>
      </c>
      <c r="L86" s="100">
        <v>21.03</v>
      </c>
      <c r="M86" s="100">
        <v>41.89</v>
      </c>
      <c r="N86" s="100">
        <v>1.3</v>
      </c>
      <c r="O86" s="100">
        <v>0</v>
      </c>
      <c r="P86" s="100">
        <v>0.42</v>
      </c>
      <c r="Q86" s="100">
        <v>12.25</v>
      </c>
      <c r="R86" s="6"/>
      <c r="S86" s="6"/>
      <c r="T86" s="156"/>
      <c r="U86" s="6"/>
    </row>
    <row r="87" spans="1:21" customFormat="1">
      <c r="A87" s="163" t="s">
        <v>1661</v>
      </c>
      <c r="B87" s="100">
        <v>4.08</v>
      </c>
      <c r="C87" s="100">
        <v>22.01</v>
      </c>
      <c r="D87" s="100">
        <v>16.12</v>
      </c>
      <c r="E87" s="100">
        <v>10.87</v>
      </c>
      <c r="F87" s="152" t="s">
        <v>15</v>
      </c>
      <c r="G87" s="100">
        <v>60.41</v>
      </c>
      <c r="H87" s="100">
        <v>23.4</v>
      </c>
      <c r="I87" s="100">
        <v>9.42</v>
      </c>
      <c r="J87" s="100">
        <v>0.17</v>
      </c>
      <c r="K87" s="100">
        <v>173.34</v>
      </c>
      <c r="L87" s="100">
        <v>20.74</v>
      </c>
      <c r="M87" s="100">
        <v>41.94</v>
      </c>
      <c r="N87" s="100">
        <v>0.9</v>
      </c>
      <c r="O87" s="100">
        <v>0</v>
      </c>
      <c r="P87" s="100">
        <v>0.41</v>
      </c>
      <c r="Q87" s="100">
        <v>12.25</v>
      </c>
      <c r="R87" s="6"/>
      <c r="S87" s="6"/>
      <c r="T87" s="156"/>
      <c r="U87" s="6"/>
    </row>
    <row r="88" spans="1:21" customFormat="1">
      <c r="A88" s="163" t="s">
        <v>1662</v>
      </c>
      <c r="B88" s="100">
        <v>4.04</v>
      </c>
      <c r="C88" s="100">
        <v>21.75</v>
      </c>
      <c r="D88" s="100">
        <v>15.95</v>
      </c>
      <c r="E88" s="100">
        <v>10.59</v>
      </c>
      <c r="F88" s="152" t="s">
        <v>15</v>
      </c>
      <c r="G88" s="100">
        <v>60.41</v>
      </c>
      <c r="H88" s="100">
        <v>23.4</v>
      </c>
      <c r="I88" s="100">
        <v>9.3000000000000007</v>
      </c>
      <c r="J88" s="100">
        <v>0.16</v>
      </c>
      <c r="K88" s="100">
        <v>210.34</v>
      </c>
      <c r="L88" s="100">
        <v>20.38</v>
      </c>
      <c r="M88" s="100">
        <v>43.48</v>
      </c>
      <c r="N88" s="100">
        <v>0.9</v>
      </c>
      <c r="O88" s="100">
        <v>0</v>
      </c>
      <c r="P88" s="100">
        <v>0.41</v>
      </c>
      <c r="Q88" s="100">
        <v>12.25</v>
      </c>
      <c r="R88" s="6"/>
      <c r="S88" s="6"/>
      <c r="T88" s="156"/>
      <c r="U88" s="6"/>
    </row>
    <row r="89" spans="1:21" customFormat="1">
      <c r="A89" s="163" t="s">
        <v>1663</v>
      </c>
      <c r="B89" s="100">
        <v>3.94</v>
      </c>
      <c r="C89" s="100">
        <v>21.74</v>
      </c>
      <c r="D89" s="100">
        <v>15.87</v>
      </c>
      <c r="E89" s="100">
        <v>10.41</v>
      </c>
      <c r="F89" s="152" t="s">
        <v>15</v>
      </c>
      <c r="G89" s="100">
        <v>60.41</v>
      </c>
      <c r="H89" s="100">
        <v>23.4</v>
      </c>
      <c r="I89" s="100">
        <v>9.2200000000000006</v>
      </c>
      <c r="J89" s="100">
        <v>0.12</v>
      </c>
      <c r="K89" s="100">
        <v>175.15</v>
      </c>
      <c r="L89" s="100">
        <v>20.16</v>
      </c>
      <c r="M89" s="100">
        <v>40.53</v>
      </c>
      <c r="N89" s="100">
        <v>0.7</v>
      </c>
      <c r="O89" s="100">
        <v>0</v>
      </c>
      <c r="P89" s="100">
        <v>0.42</v>
      </c>
      <c r="Q89" s="100">
        <v>12.25</v>
      </c>
      <c r="R89" s="6"/>
      <c r="S89" s="6"/>
      <c r="T89" s="156"/>
      <c r="U89" s="6"/>
    </row>
    <row r="90" spans="1:21" customFormat="1">
      <c r="A90" s="163" t="s">
        <v>1664</v>
      </c>
      <c r="B90" s="100">
        <v>3.91</v>
      </c>
      <c r="C90" s="100">
        <v>21.48</v>
      </c>
      <c r="D90" s="100">
        <v>15.71</v>
      </c>
      <c r="E90" s="100">
        <v>10.65</v>
      </c>
      <c r="F90" s="152" t="s">
        <v>15</v>
      </c>
      <c r="G90" s="100">
        <v>61.23</v>
      </c>
      <c r="H90" s="100">
        <v>18.57</v>
      </c>
      <c r="I90" s="100">
        <v>9.26</v>
      </c>
      <c r="J90" s="100">
        <v>0.17</v>
      </c>
      <c r="K90" s="100">
        <v>184.31</v>
      </c>
      <c r="L90" s="100">
        <v>20.11</v>
      </c>
      <c r="M90" s="100">
        <v>43.97</v>
      </c>
      <c r="N90" s="100">
        <v>0.7</v>
      </c>
      <c r="O90" s="100">
        <v>0</v>
      </c>
      <c r="P90" s="100">
        <v>0.42</v>
      </c>
      <c r="Q90" s="100">
        <v>12.25</v>
      </c>
      <c r="R90" s="6"/>
      <c r="S90" s="6"/>
      <c r="T90" s="156"/>
      <c r="U90" s="6"/>
    </row>
    <row r="91" spans="1:21" customFormat="1">
      <c r="A91" s="163" t="s">
        <v>1665</v>
      </c>
      <c r="B91" s="100">
        <v>3.84</v>
      </c>
      <c r="C91" s="100">
        <v>21.3</v>
      </c>
      <c r="D91" s="100">
        <v>15.56</v>
      </c>
      <c r="E91" s="100">
        <v>10.54</v>
      </c>
      <c r="F91" s="152" t="s">
        <v>15</v>
      </c>
      <c r="G91" s="100">
        <v>61.52</v>
      </c>
      <c r="H91" s="100">
        <v>18.489999999999998</v>
      </c>
      <c r="I91" s="100">
        <v>9.01</v>
      </c>
      <c r="J91" s="100">
        <v>0.13</v>
      </c>
      <c r="K91" s="100">
        <v>193.75</v>
      </c>
      <c r="L91" s="100">
        <v>19.87</v>
      </c>
      <c r="M91" s="100">
        <v>42.47</v>
      </c>
      <c r="N91" s="100">
        <v>0.7</v>
      </c>
      <c r="O91" s="100">
        <v>0</v>
      </c>
      <c r="P91" s="100">
        <v>0.43</v>
      </c>
      <c r="Q91" s="100">
        <v>12.25</v>
      </c>
      <c r="R91" s="6"/>
      <c r="S91" s="6"/>
      <c r="T91" s="156"/>
      <c r="U91" s="6"/>
    </row>
    <row r="92" spans="1:21" customFormat="1">
      <c r="A92" s="163" t="s">
        <v>1666</v>
      </c>
      <c r="B92" s="100">
        <v>3.77</v>
      </c>
      <c r="C92" s="100">
        <v>21.04</v>
      </c>
      <c r="D92" s="100">
        <v>15.37</v>
      </c>
      <c r="E92" s="100">
        <v>10.41</v>
      </c>
      <c r="F92" s="152" t="s">
        <v>15</v>
      </c>
      <c r="G92" s="100">
        <v>61.52</v>
      </c>
      <c r="H92" s="100">
        <v>18.489999999999998</v>
      </c>
      <c r="I92" s="100">
        <v>9.02</v>
      </c>
      <c r="J92" s="100">
        <v>0.18</v>
      </c>
      <c r="K92" s="100">
        <v>170.34</v>
      </c>
      <c r="L92" s="100">
        <v>19.98</v>
      </c>
      <c r="M92" s="100">
        <v>44.1</v>
      </c>
      <c r="N92" s="100">
        <v>0.6</v>
      </c>
      <c r="O92" s="100">
        <v>0</v>
      </c>
      <c r="P92" s="100">
        <v>0.43</v>
      </c>
      <c r="Q92" s="100">
        <v>12.25</v>
      </c>
      <c r="R92" s="6"/>
      <c r="S92" s="6"/>
      <c r="T92" s="156"/>
      <c r="U92" s="6"/>
    </row>
    <row r="93" spans="1:21" customFormat="1">
      <c r="A93" s="163" t="s">
        <v>1667</v>
      </c>
      <c r="B93" s="100">
        <v>3.7</v>
      </c>
      <c r="C93" s="100">
        <v>20.88</v>
      </c>
      <c r="D93" s="100">
        <v>15.23</v>
      </c>
      <c r="E93" s="100">
        <v>10.130000000000001</v>
      </c>
      <c r="F93" s="152" t="s">
        <v>15</v>
      </c>
      <c r="G93" s="100">
        <v>61.52</v>
      </c>
      <c r="H93" s="100">
        <v>18.489999999999998</v>
      </c>
      <c r="I93" s="100">
        <v>9.2100000000000009</v>
      </c>
      <c r="J93" s="100">
        <v>0.16</v>
      </c>
      <c r="K93" s="100">
        <v>195.58</v>
      </c>
      <c r="L93" s="100">
        <v>19.760000000000002</v>
      </c>
      <c r="M93" s="100">
        <v>45.55</v>
      </c>
      <c r="N93" s="100">
        <v>0.7</v>
      </c>
      <c r="O93" s="100">
        <v>0</v>
      </c>
      <c r="P93" s="100">
        <v>0.45</v>
      </c>
      <c r="Q93" s="100">
        <v>12.25</v>
      </c>
      <c r="R93" s="6"/>
      <c r="S93" s="6"/>
      <c r="T93" s="156"/>
      <c r="U93" s="6"/>
    </row>
    <row r="94" spans="1:21" customFormat="1">
      <c r="A94" s="163" t="s">
        <v>1668</v>
      </c>
      <c r="B94" s="100">
        <v>3.66</v>
      </c>
      <c r="C94" s="100">
        <v>20.59</v>
      </c>
      <c r="D94" s="100">
        <v>15.05</v>
      </c>
      <c r="E94" s="100">
        <v>10.29</v>
      </c>
      <c r="F94" s="152" t="s">
        <v>15</v>
      </c>
      <c r="G94" s="100">
        <v>159.08000000000001</v>
      </c>
      <c r="H94" s="100">
        <v>29.03</v>
      </c>
      <c r="I94" s="100">
        <v>9.1999999999999993</v>
      </c>
      <c r="J94" s="100">
        <v>0.18</v>
      </c>
      <c r="K94" s="100">
        <v>170.84</v>
      </c>
      <c r="L94" s="100">
        <v>19.52</v>
      </c>
      <c r="M94" s="100">
        <v>49.02</v>
      </c>
      <c r="N94" s="100">
        <v>0.8</v>
      </c>
      <c r="O94" s="100">
        <v>0</v>
      </c>
      <c r="P94" s="100">
        <v>0.46</v>
      </c>
      <c r="Q94" s="100">
        <v>12.25</v>
      </c>
      <c r="R94" s="6"/>
      <c r="S94" s="6"/>
      <c r="T94" s="156"/>
      <c r="U94" s="6"/>
    </row>
    <row r="95" spans="1:21" customFormat="1">
      <c r="A95" s="163" t="s">
        <v>1669</v>
      </c>
      <c r="B95" s="100">
        <v>3.62</v>
      </c>
      <c r="C95" s="100">
        <v>20.47</v>
      </c>
      <c r="D95" s="100">
        <v>14.95</v>
      </c>
      <c r="E95" s="100">
        <v>10.51</v>
      </c>
      <c r="F95" s="152" t="s">
        <v>15</v>
      </c>
      <c r="G95" s="100">
        <v>194.55</v>
      </c>
      <c r="H95" s="100">
        <v>29.28</v>
      </c>
      <c r="I95" s="100">
        <v>9.1999999999999993</v>
      </c>
      <c r="J95" s="100">
        <v>0.17</v>
      </c>
      <c r="K95" s="100">
        <v>163.91</v>
      </c>
      <c r="L95" s="100">
        <v>19.32</v>
      </c>
      <c r="M95" s="100">
        <v>52.28</v>
      </c>
      <c r="N95" s="100">
        <v>0.9</v>
      </c>
      <c r="O95" s="100">
        <v>0</v>
      </c>
      <c r="P95" s="100">
        <v>0.46</v>
      </c>
      <c r="Q95" s="100">
        <v>12.25</v>
      </c>
      <c r="R95" s="6"/>
      <c r="S95" s="6"/>
      <c r="T95" s="156"/>
      <c r="U95" s="6"/>
    </row>
    <row r="96" spans="1:21" customFormat="1">
      <c r="A96" s="163" t="s">
        <v>1670</v>
      </c>
      <c r="B96" s="100">
        <v>3.6</v>
      </c>
      <c r="C96" s="100">
        <v>20.309999999999999</v>
      </c>
      <c r="D96" s="100">
        <v>14.85</v>
      </c>
      <c r="E96" s="100">
        <v>10.199999999999999</v>
      </c>
      <c r="F96" s="152" t="s">
        <v>15</v>
      </c>
      <c r="G96" s="100">
        <v>194.55</v>
      </c>
      <c r="H96" s="100">
        <v>29.28</v>
      </c>
      <c r="I96" s="100">
        <v>9.23</v>
      </c>
      <c r="J96" s="100">
        <v>0.24</v>
      </c>
      <c r="K96" s="100">
        <v>171.06</v>
      </c>
      <c r="L96" s="100">
        <v>19.36</v>
      </c>
      <c r="M96" s="100">
        <v>51.28</v>
      </c>
      <c r="N96" s="100">
        <v>0.7</v>
      </c>
      <c r="O96" s="100">
        <v>0</v>
      </c>
      <c r="P96" s="100">
        <v>0.47</v>
      </c>
      <c r="Q96" s="100">
        <v>12.25</v>
      </c>
      <c r="R96" s="6"/>
      <c r="S96" s="6"/>
      <c r="T96" s="156"/>
      <c r="U96" s="6"/>
    </row>
    <row r="97" spans="1:28" customFormat="1">
      <c r="A97" s="163" t="s">
        <v>1671</v>
      </c>
      <c r="B97" s="100">
        <v>3.47</v>
      </c>
      <c r="C97" s="100">
        <v>20.52</v>
      </c>
      <c r="D97" s="100">
        <v>14.86</v>
      </c>
      <c r="E97" s="100">
        <v>10.42</v>
      </c>
      <c r="F97" s="152" t="s">
        <v>15</v>
      </c>
      <c r="G97" s="100">
        <v>194.55</v>
      </c>
      <c r="H97" s="100">
        <v>29.28</v>
      </c>
      <c r="I97" s="100">
        <v>9.25</v>
      </c>
      <c r="J97" s="100">
        <v>0.16</v>
      </c>
      <c r="K97" s="100">
        <v>175.36</v>
      </c>
      <c r="L97" s="100">
        <v>19.05</v>
      </c>
      <c r="M97" s="100">
        <v>53.15</v>
      </c>
      <c r="N97" s="100">
        <v>1</v>
      </c>
      <c r="O97" s="100">
        <v>0</v>
      </c>
      <c r="P97" s="100">
        <v>0.48</v>
      </c>
      <c r="Q97" s="100">
        <v>12.25</v>
      </c>
      <c r="R97" s="6"/>
      <c r="S97" s="6"/>
      <c r="T97" s="156"/>
      <c r="U97" s="6"/>
    </row>
    <row r="98" spans="1:28" customFormat="1">
      <c r="A98" s="163" t="s">
        <v>1672</v>
      </c>
      <c r="B98" s="100">
        <v>3.41</v>
      </c>
      <c r="C98" s="100">
        <v>20.38</v>
      </c>
      <c r="D98" s="100">
        <v>14.73</v>
      </c>
      <c r="E98" s="100">
        <v>10.38</v>
      </c>
      <c r="F98" s="152" t="s">
        <v>15</v>
      </c>
      <c r="G98" s="100">
        <v>110.38</v>
      </c>
      <c r="H98" s="100">
        <v>23.26</v>
      </c>
      <c r="I98" s="100">
        <v>9.3000000000000007</v>
      </c>
      <c r="J98" s="100">
        <v>0.2</v>
      </c>
      <c r="K98" s="100">
        <v>168.16</v>
      </c>
      <c r="L98" s="100">
        <v>18.899999999999999</v>
      </c>
      <c r="M98" s="100">
        <v>51.68</v>
      </c>
      <c r="N98" s="100">
        <v>0.8</v>
      </c>
      <c r="O98" s="100">
        <v>0</v>
      </c>
      <c r="P98" s="100">
        <v>0.49</v>
      </c>
      <c r="Q98" s="100">
        <v>12.25</v>
      </c>
      <c r="R98" s="6"/>
      <c r="S98" s="6"/>
      <c r="T98" s="156"/>
      <c r="U98" s="6"/>
    </row>
    <row r="99" spans="1:28" customFormat="1">
      <c r="A99" s="163" t="s">
        <v>1673</v>
      </c>
      <c r="B99" s="100">
        <v>3.36</v>
      </c>
      <c r="C99" s="100">
        <v>20.12</v>
      </c>
      <c r="D99" s="100">
        <v>14.56</v>
      </c>
      <c r="E99" s="100">
        <v>10.56</v>
      </c>
      <c r="F99" s="152" t="s">
        <v>15</v>
      </c>
      <c r="G99" s="100">
        <v>79.78</v>
      </c>
      <c r="H99" s="100">
        <v>23.17</v>
      </c>
      <c r="I99" s="100">
        <v>9.3800000000000008</v>
      </c>
      <c r="J99" s="100">
        <v>0.15</v>
      </c>
      <c r="K99" s="100">
        <v>169.23</v>
      </c>
      <c r="L99" s="100">
        <v>18.75</v>
      </c>
      <c r="M99" s="100">
        <v>52.34</v>
      </c>
      <c r="N99" s="100">
        <v>0.9</v>
      </c>
      <c r="O99" s="100">
        <v>0</v>
      </c>
      <c r="P99" s="100">
        <v>0.49</v>
      </c>
      <c r="Q99" s="100">
        <v>12.25</v>
      </c>
      <c r="R99" s="6"/>
      <c r="S99" s="6"/>
      <c r="T99" s="156"/>
      <c r="U99" s="6"/>
    </row>
    <row r="100" spans="1:28" customFormat="1">
      <c r="A100" s="163" t="s">
        <v>1674</v>
      </c>
      <c r="B100" s="100">
        <v>3.34</v>
      </c>
      <c r="C100" s="100">
        <v>20.260000000000002</v>
      </c>
      <c r="D100" s="100">
        <v>14.62</v>
      </c>
      <c r="E100" s="100">
        <v>10.38</v>
      </c>
      <c r="F100" s="152" t="s">
        <v>15</v>
      </c>
      <c r="G100" s="100">
        <v>79.78</v>
      </c>
      <c r="H100" s="100">
        <v>23.17</v>
      </c>
      <c r="I100" s="100">
        <v>9.43</v>
      </c>
      <c r="J100" s="100">
        <v>0.22</v>
      </c>
      <c r="K100" s="100">
        <v>169.4</v>
      </c>
      <c r="L100" s="100">
        <v>18.72</v>
      </c>
      <c r="M100" s="100">
        <v>53.08</v>
      </c>
      <c r="N100" s="100">
        <v>0.8</v>
      </c>
      <c r="O100" s="100">
        <v>0</v>
      </c>
      <c r="P100" s="100">
        <v>0.52</v>
      </c>
      <c r="Q100" s="100">
        <v>12.25</v>
      </c>
      <c r="R100" s="6"/>
      <c r="S100" s="6"/>
      <c r="T100" s="156"/>
      <c r="U100" s="6"/>
      <c r="AB100" s="161"/>
    </row>
    <row r="101" spans="1:28" customFormat="1">
      <c r="A101" s="163" t="s">
        <v>1675</v>
      </c>
      <c r="B101" s="100">
        <v>3.61</v>
      </c>
      <c r="C101" s="100">
        <v>20.87</v>
      </c>
      <c r="D101" s="100">
        <v>15.15</v>
      </c>
      <c r="E101" s="100">
        <v>10</v>
      </c>
      <c r="F101" s="152" t="s">
        <v>15</v>
      </c>
      <c r="G101" s="100">
        <v>79.78</v>
      </c>
      <c r="H101" s="100">
        <v>23.17</v>
      </c>
      <c r="I101" s="100">
        <v>9.4700000000000006</v>
      </c>
      <c r="J101" s="100">
        <v>0.21</v>
      </c>
      <c r="K101" s="100">
        <v>171.64</v>
      </c>
      <c r="L101" s="100">
        <v>18.41</v>
      </c>
      <c r="M101" s="100">
        <v>57.65</v>
      </c>
      <c r="N101" s="100">
        <v>1</v>
      </c>
      <c r="O101" s="100">
        <v>0</v>
      </c>
      <c r="P101" s="100">
        <v>0.57999999999999996</v>
      </c>
      <c r="Q101" s="100">
        <v>12.25</v>
      </c>
      <c r="R101" s="6"/>
      <c r="S101" s="6"/>
      <c r="T101" s="156"/>
      <c r="U101" s="6"/>
    </row>
    <row r="102" spans="1:28" customFormat="1">
      <c r="A102" s="163" t="s">
        <v>1676</v>
      </c>
      <c r="B102" s="100">
        <v>3.95</v>
      </c>
      <c r="C102" s="100">
        <v>21.12</v>
      </c>
      <c r="D102" s="100">
        <v>15.56</v>
      </c>
      <c r="E102" s="100">
        <v>10.11</v>
      </c>
      <c r="F102" s="152" t="s">
        <v>15</v>
      </c>
      <c r="G102" s="100">
        <v>70.44</v>
      </c>
      <c r="H102" s="100">
        <v>18.02</v>
      </c>
      <c r="I102" s="100">
        <v>9.57</v>
      </c>
      <c r="J102" s="100">
        <v>0.23</v>
      </c>
      <c r="K102" s="100">
        <v>157.52000000000001</v>
      </c>
      <c r="L102" s="100">
        <v>18.3</v>
      </c>
      <c r="M102" s="100">
        <v>56.42</v>
      </c>
      <c r="N102" s="100">
        <v>0.9</v>
      </c>
      <c r="O102" s="100">
        <v>0</v>
      </c>
      <c r="P102" s="100">
        <v>0.59</v>
      </c>
      <c r="Q102" s="100">
        <v>12.25</v>
      </c>
      <c r="R102" s="6"/>
      <c r="S102" s="6"/>
      <c r="T102" s="156"/>
      <c r="U102" s="6"/>
    </row>
    <row r="103" spans="1:28" customFormat="1">
      <c r="A103" s="163" t="s">
        <v>1677</v>
      </c>
      <c r="B103" s="100">
        <v>4.4400000000000004</v>
      </c>
      <c r="C103" s="100">
        <v>21.5</v>
      </c>
      <c r="D103" s="100">
        <v>16.14</v>
      </c>
      <c r="E103" s="100">
        <v>9.49</v>
      </c>
      <c r="F103" s="152" t="s">
        <v>15</v>
      </c>
      <c r="G103" s="100">
        <v>67.05</v>
      </c>
      <c r="H103" s="100">
        <v>17.940000000000001</v>
      </c>
      <c r="I103" s="100">
        <v>9.64</v>
      </c>
      <c r="J103" s="100">
        <v>0.23</v>
      </c>
      <c r="K103" s="100">
        <v>166.41</v>
      </c>
      <c r="L103" s="100">
        <v>18.100000000000001</v>
      </c>
      <c r="M103" s="100">
        <v>57.96</v>
      </c>
      <c r="N103" s="100">
        <v>1</v>
      </c>
      <c r="O103" s="100">
        <v>0</v>
      </c>
      <c r="P103" s="100">
        <v>0.61</v>
      </c>
      <c r="Q103" s="100">
        <v>12.25</v>
      </c>
      <c r="R103" s="6"/>
      <c r="S103" s="6"/>
      <c r="T103" s="156"/>
      <c r="U103" s="6"/>
    </row>
    <row r="104" spans="1:28" customFormat="1">
      <c r="A104" s="163" t="s">
        <v>1678</v>
      </c>
      <c r="B104" s="100">
        <v>4.82</v>
      </c>
      <c r="C104" s="100">
        <v>22</v>
      </c>
      <c r="D104" s="100">
        <v>16.71</v>
      </c>
      <c r="E104" s="100">
        <v>9.52</v>
      </c>
      <c r="F104" s="152" t="s">
        <v>15</v>
      </c>
      <c r="G104" s="100">
        <v>67.05</v>
      </c>
      <c r="H104" s="100">
        <v>17.940000000000001</v>
      </c>
      <c r="I104" s="100">
        <v>9.7100000000000009</v>
      </c>
      <c r="J104" s="100">
        <v>0.16</v>
      </c>
      <c r="K104" s="100">
        <v>142.76</v>
      </c>
      <c r="L104" s="100">
        <v>17.850000000000001</v>
      </c>
      <c r="M104" s="100">
        <v>56.03</v>
      </c>
      <c r="N104" s="100">
        <v>0.9</v>
      </c>
      <c r="O104" s="100">
        <v>0</v>
      </c>
      <c r="P104" s="100">
        <v>0.63</v>
      </c>
      <c r="Q104" s="100">
        <v>12.25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3.32</v>
      </c>
      <c r="C106" s="158">
        <f>MIN(C9:C104)</f>
        <v>19.190000000000001</v>
      </c>
      <c r="D106" s="158">
        <f t="shared" ref="D106:Q106" si="0">MIN(D9:D104)</f>
        <v>14.52</v>
      </c>
      <c r="E106" s="158">
        <f t="shared" si="0"/>
        <v>3.68</v>
      </c>
      <c r="F106" s="158">
        <f t="shared" si="0"/>
        <v>0</v>
      </c>
      <c r="G106" s="158">
        <f t="shared" si="0"/>
        <v>36.549999999999997</v>
      </c>
      <c r="H106" s="158">
        <f t="shared" si="0"/>
        <v>14.19</v>
      </c>
      <c r="I106" s="158">
        <f t="shared" si="0"/>
        <v>6.14</v>
      </c>
      <c r="J106" s="158">
        <f t="shared" si="0"/>
        <v>0.1</v>
      </c>
      <c r="K106" s="158">
        <f t="shared" si="0"/>
        <v>0.85</v>
      </c>
      <c r="L106" s="158">
        <f t="shared" si="0"/>
        <v>13.63</v>
      </c>
      <c r="M106" s="158">
        <f t="shared" si="0"/>
        <v>9.56</v>
      </c>
      <c r="N106" s="158">
        <f t="shared" si="0"/>
        <v>0.2</v>
      </c>
      <c r="O106" s="158">
        <f t="shared" si="0"/>
        <v>0</v>
      </c>
      <c r="P106" s="158">
        <f t="shared" si="0"/>
        <v>0.31</v>
      </c>
      <c r="Q106" s="158">
        <f t="shared" si="0"/>
        <v>12.25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13.6</v>
      </c>
      <c r="C107" s="157">
        <f t="shared" ref="C107:Q107" si="1">MAX(C9:C104)</f>
        <v>25.24</v>
      </c>
      <c r="D107" s="157">
        <f t="shared" si="1"/>
        <v>24.67</v>
      </c>
      <c r="E107" s="157">
        <f t="shared" si="1"/>
        <v>31.97</v>
      </c>
      <c r="F107" s="157">
        <f t="shared" si="1"/>
        <v>0</v>
      </c>
      <c r="G107" s="157">
        <f t="shared" si="1"/>
        <v>194.55</v>
      </c>
      <c r="H107" s="157">
        <f t="shared" si="1"/>
        <v>104.41</v>
      </c>
      <c r="I107" s="157">
        <f t="shared" si="1"/>
        <v>9.7100000000000009</v>
      </c>
      <c r="J107" s="157">
        <f t="shared" si="1"/>
        <v>0.95</v>
      </c>
      <c r="K107" s="157">
        <f t="shared" si="1"/>
        <v>358.97</v>
      </c>
      <c r="L107" s="157">
        <f t="shared" si="1"/>
        <v>30.49</v>
      </c>
      <c r="M107" s="157">
        <f t="shared" si="1"/>
        <v>73</v>
      </c>
      <c r="N107" s="157">
        <f t="shared" si="1"/>
        <v>385.1</v>
      </c>
      <c r="O107" s="157">
        <f t="shared" si="1"/>
        <v>0</v>
      </c>
      <c r="P107" s="157">
        <f t="shared" si="1"/>
        <v>0.81</v>
      </c>
      <c r="Q107" s="157">
        <f t="shared" si="1"/>
        <v>12.98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7.4410227272727294</v>
      </c>
      <c r="C108" s="158">
        <f t="shared" ref="C108:Q108" si="2">AVERAGE(C9:C104)</f>
        <v>22.074886363636363</v>
      </c>
      <c r="D108" s="158">
        <f t="shared" si="2"/>
        <v>18.851477272727269</v>
      </c>
      <c r="E108" s="158">
        <f t="shared" si="2"/>
        <v>8.8782022471910054</v>
      </c>
      <c r="F108" s="158" t="e">
        <f t="shared" si="2"/>
        <v>#DIV/0!</v>
      </c>
      <c r="G108" s="158">
        <f t="shared" si="2"/>
        <v>68.022808988764069</v>
      </c>
      <c r="H108" s="158">
        <f t="shared" si="2"/>
        <v>27.215842696629228</v>
      </c>
      <c r="I108" s="158">
        <f t="shared" si="2"/>
        <v>8.0834482758620663</v>
      </c>
      <c r="J108" s="158">
        <f t="shared" si="2"/>
        <v>0.35651685393258431</v>
      </c>
      <c r="K108" s="158">
        <f t="shared" si="2"/>
        <v>154.29887640449434</v>
      </c>
      <c r="L108" s="158">
        <f t="shared" si="2"/>
        <v>21.542584269662921</v>
      </c>
      <c r="M108" s="158">
        <f t="shared" si="2"/>
        <v>38.923932584269672</v>
      </c>
      <c r="N108" s="158">
        <f t="shared" si="2"/>
        <v>76.79999999999994</v>
      </c>
      <c r="O108" s="158">
        <f t="shared" si="2"/>
        <v>0</v>
      </c>
      <c r="P108" s="158">
        <f t="shared" si="2"/>
        <v>0.60584269662921353</v>
      </c>
      <c r="Q108" s="158">
        <f t="shared" si="2"/>
        <v>12.616666666666667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3.8571110741794787</v>
      </c>
      <c r="C109" s="158">
        <f t="shared" ref="C109:Q109" si="3">STDEV(C9:C104)</f>
        <v>1.5930141995010318</v>
      </c>
      <c r="D109" s="158">
        <f t="shared" si="3"/>
        <v>3.480641881539031</v>
      </c>
      <c r="E109" s="158">
        <f t="shared" si="3"/>
        <v>3.7901051082204429</v>
      </c>
      <c r="F109" s="158" t="e">
        <f t="shared" si="3"/>
        <v>#DIV/0!</v>
      </c>
      <c r="G109" s="158">
        <f t="shared" si="3"/>
        <v>28.123804863041933</v>
      </c>
      <c r="H109" s="158">
        <f t="shared" si="3"/>
        <v>18.169065731783867</v>
      </c>
      <c r="I109" s="158">
        <f t="shared" si="3"/>
        <v>1.0252564371065434</v>
      </c>
      <c r="J109" s="158">
        <f t="shared" si="3"/>
        <v>0.23485537679212648</v>
      </c>
      <c r="K109" s="158">
        <f t="shared" si="3"/>
        <v>94.187314751440013</v>
      </c>
      <c r="L109" s="158">
        <f t="shared" si="3"/>
        <v>5.1432900966585686</v>
      </c>
      <c r="M109" s="158">
        <f t="shared" si="3"/>
        <v>20.044439867113056</v>
      </c>
      <c r="N109" s="158">
        <f t="shared" si="3"/>
        <v>130.34266377514314</v>
      </c>
      <c r="O109" s="158">
        <f t="shared" si="3"/>
        <v>0</v>
      </c>
      <c r="P109" s="158">
        <f t="shared" si="3"/>
        <v>0.15913694066292247</v>
      </c>
      <c r="Q109" s="158">
        <f t="shared" si="3"/>
        <v>0.35635645424296747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COUNT(B9:B104)+8</f>
        <v>96</v>
      </c>
      <c r="C110" s="157">
        <f t="shared" ref="C110:D110" si="4">COUNT(C9:C104)+8</f>
        <v>96</v>
      </c>
      <c r="D110" s="157">
        <f t="shared" si="4"/>
        <v>96</v>
      </c>
      <c r="E110" s="157">
        <f>COUNT(E9:E104)+7</f>
        <v>96</v>
      </c>
      <c r="F110" s="157">
        <v>0</v>
      </c>
      <c r="G110" s="157">
        <f t="shared" ref="G110:P110" si="5">COUNT(G9:G104)+7</f>
        <v>96</v>
      </c>
      <c r="H110" s="157">
        <f t="shared" si="5"/>
        <v>96</v>
      </c>
      <c r="I110" s="157">
        <f t="shared" si="5"/>
        <v>94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COUNT(Q9:Q104)+9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&lt;90%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LESS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54" activePane="bottomRight" state="frozen"/>
      <selection pane="topRight"/>
      <selection pane="bottomLeft"/>
      <selection pane="bottomRight" activeCell="S8" sqref="S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1679</v>
      </c>
      <c r="B9" s="100">
        <v>8.6999999999999993</v>
      </c>
      <c r="C9" s="100">
        <v>22.98</v>
      </c>
      <c r="D9" s="100">
        <v>20.34</v>
      </c>
      <c r="E9" s="100">
        <v>9.89</v>
      </c>
      <c r="F9" s="152" t="s">
        <v>15</v>
      </c>
      <c r="G9" s="100">
        <v>67.05</v>
      </c>
      <c r="H9" s="100">
        <v>17.940000000000001</v>
      </c>
      <c r="I9" s="100">
        <v>9.8000000000000007</v>
      </c>
      <c r="J9" s="100">
        <v>0.19</v>
      </c>
      <c r="K9" s="100">
        <v>152.93</v>
      </c>
      <c r="L9" s="100">
        <v>18.149999999999999</v>
      </c>
      <c r="M9" s="100">
        <v>50.02</v>
      </c>
      <c r="N9" s="100">
        <v>0.8</v>
      </c>
      <c r="O9" s="100">
        <v>0</v>
      </c>
      <c r="P9" s="100">
        <v>0.64</v>
      </c>
      <c r="Q9" s="100">
        <v>11.25</v>
      </c>
      <c r="R9" s="6"/>
      <c r="S9" s="6"/>
      <c r="T9" s="156"/>
      <c r="U9" s="6"/>
    </row>
    <row r="10" spans="1:21" customFormat="1">
      <c r="A10" s="163" t="s">
        <v>1680</v>
      </c>
      <c r="B10" s="100">
        <v>10.35</v>
      </c>
      <c r="C10" s="100">
        <v>23.53</v>
      </c>
      <c r="D10" s="100">
        <v>21.94</v>
      </c>
      <c r="E10" s="100">
        <v>9.7799999999999994</v>
      </c>
      <c r="F10" s="152" t="s">
        <v>15</v>
      </c>
      <c r="G10" s="100">
        <v>52.36</v>
      </c>
      <c r="H10" s="100">
        <v>19.95</v>
      </c>
      <c r="I10" s="100">
        <v>9.84</v>
      </c>
      <c r="J10" s="100">
        <v>0.19</v>
      </c>
      <c r="K10" s="100">
        <v>164.61</v>
      </c>
      <c r="L10" s="100">
        <v>17.78</v>
      </c>
      <c r="M10" s="100">
        <v>58.62</v>
      </c>
      <c r="N10" s="100">
        <v>1</v>
      </c>
      <c r="O10" s="100">
        <v>0</v>
      </c>
      <c r="P10" s="100">
        <v>0.65</v>
      </c>
      <c r="Q10" s="100">
        <v>11.25</v>
      </c>
      <c r="R10" s="6"/>
      <c r="S10" s="6"/>
      <c r="T10" s="156"/>
      <c r="U10" s="6"/>
    </row>
    <row r="11" spans="1:21" customFormat="1">
      <c r="A11" s="163" t="s">
        <v>1681</v>
      </c>
      <c r="B11" s="100">
        <v>11.76</v>
      </c>
      <c r="C11" s="100">
        <v>24.08</v>
      </c>
      <c r="D11" s="100">
        <v>23.36</v>
      </c>
      <c r="E11" s="100">
        <v>9.8000000000000007</v>
      </c>
      <c r="F11" s="152" t="s">
        <v>15</v>
      </c>
      <c r="G11" s="100">
        <v>47.02</v>
      </c>
      <c r="H11" s="100">
        <v>19.98</v>
      </c>
      <c r="I11" s="100">
        <v>9.89</v>
      </c>
      <c r="J11" s="100">
        <v>0.25</v>
      </c>
      <c r="K11" s="100">
        <v>173.01</v>
      </c>
      <c r="L11" s="100">
        <v>17.38</v>
      </c>
      <c r="M11" s="100">
        <v>62.32</v>
      </c>
      <c r="N11" s="100">
        <v>1.2</v>
      </c>
      <c r="O11" s="100">
        <v>0</v>
      </c>
      <c r="P11" s="100">
        <v>0.66</v>
      </c>
      <c r="Q11" s="100">
        <v>11.25</v>
      </c>
      <c r="R11" s="6"/>
      <c r="S11" s="6"/>
      <c r="T11" s="156"/>
      <c r="U11" s="6"/>
    </row>
    <row r="12" spans="1:21" customFormat="1">
      <c r="A12" s="163" t="s">
        <v>1682</v>
      </c>
      <c r="B12" s="100">
        <v>12.81</v>
      </c>
      <c r="C12" s="100">
        <v>24.65</v>
      </c>
      <c r="D12" s="100">
        <v>24.5</v>
      </c>
      <c r="E12" s="100">
        <v>9.56</v>
      </c>
      <c r="F12" s="152" t="s">
        <v>15</v>
      </c>
      <c r="G12" s="100">
        <v>47.02</v>
      </c>
      <c r="H12" s="100">
        <v>19.98</v>
      </c>
      <c r="I12" s="100">
        <v>9.98</v>
      </c>
      <c r="J12" s="100">
        <v>0.18</v>
      </c>
      <c r="K12" s="100">
        <v>164.28</v>
      </c>
      <c r="L12" s="100">
        <v>17.059999999999999</v>
      </c>
      <c r="M12" s="100">
        <v>60.99</v>
      </c>
      <c r="N12" s="100">
        <v>1.1000000000000001</v>
      </c>
      <c r="O12" s="100">
        <v>0</v>
      </c>
      <c r="P12" s="100">
        <v>0.67</v>
      </c>
      <c r="Q12" s="100">
        <v>11.25</v>
      </c>
      <c r="R12" s="6"/>
      <c r="S12" s="6"/>
      <c r="T12" s="156"/>
      <c r="U12" s="6"/>
    </row>
    <row r="13" spans="1:21" customFormat="1">
      <c r="A13" s="163" t="s">
        <v>1683</v>
      </c>
      <c r="B13" s="100">
        <v>13.93</v>
      </c>
      <c r="C13" s="100">
        <v>24.91</v>
      </c>
      <c r="D13" s="100">
        <v>25.54</v>
      </c>
      <c r="E13" s="100">
        <v>9.74</v>
      </c>
      <c r="F13" s="152" t="s">
        <v>15</v>
      </c>
      <c r="G13" s="100">
        <v>47.02</v>
      </c>
      <c r="H13" s="100">
        <v>19.98</v>
      </c>
      <c r="I13" s="100">
        <v>10.029999999999999</v>
      </c>
      <c r="J13" s="100">
        <v>0.26</v>
      </c>
      <c r="K13" s="100">
        <v>211.8</v>
      </c>
      <c r="L13" s="100">
        <v>16.48</v>
      </c>
      <c r="M13" s="100">
        <v>63.89</v>
      </c>
      <c r="N13" s="100">
        <v>1.5</v>
      </c>
      <c r="O13" s="100">
        <v>0</v>
      </c>
      <c r="P13" s="100">
        <v>0.68</v>
      </c>
      <c r="Q13" s="100">
        <v>11.25</v>
      </c>
      <c r="R13" s="6"/>
      <c r="S13" s="6"/>
      <c r="T13" s="156"/>
      <c r="U13" s="6"/>
    </row>
    <row r="14" spans="1:21" customFormat="1">
      <c r="A14" s="163" t="s">
        <v>1684</v>
      </c>
      <c r="B14" s="100">
        <v>14.38</v>
      </c>
      <c r="C14" s="100">
        <v>25.03</v>
      </c>
      <c r="D14" s="100">
        <v>25.96</v>
      </c>
      <c r="E14" s="100">
        <v>9.49</v>
      </c>
      <c r="F14" s="152" t="s">
        <v>15</v>
      </c>
      <c r="G14" s="100">
        <v>81.040000000000006</v>
      </c>
      <c r="H14" s="100">
        <v>19.79</v>
      </c>
      <c r="I14" s="100">
        <v>10.08</v>
      </c>
      <c r="J14" s="100">
        <v>0.17</v>
      </c>
      <c r="K14" s="100">
        <v>208.34</v>
      </c>
      <c r="L14" s="100">
        <v>16.09</v>
      </c>
      <c r="M14" s="100">
        <v>63.09</v>
      </c>
      <c r="N14" s="100">
        <v>1.1000000000000001</v>
      </c>
      <c r="O14" s="100">
        <v>0</v>
      </c>
      <c r="P14" s="100">
        <v>0.68</v>
      </c>
      <c r="Q14" s="100">
        <v>11.25</v>
      </c>
      <c r="R14" s="6"/>
      <c r="S14" s="6"/>
      <c r="T14" s="156"/>
      <c r="U14" s="6"/>
    </row>
    <row r="15" spans="1:21" customFormat="1">
      <c r="A15" s="163" t="s">
        <v>1685</v>
      </c>
      <c r="B15" s="100">
        <v>14.4</v>
      </c>
      <c r="C15" s="100">
        <v>24.83</v>
      </c>
      <c r="D15" s="100">
        <v>25.87</v>
      </c>
      <c r="E15" s="100">
        <v>9.83</v>
      </c>
      <c r="F15" s="152" t="s">
        <v>15</v>
      </c>
      <c r="G15" s="100">
        <v>93.41</v>
      </c>
      <c r="H15" s="100">
        <v>19.78</v>
      </c>
      <c r="I15" s="100">
        <v>10.119999999999999</v>
      </c>
      <c r="J15" s="100">
        <v>0.12</v>
      </c>
      <c r="K15" s="100">
        <v>186.39</v>
      </c>
      <c r="L15" s="100">
        <v>15.92</v>
      </c>
      <c r="M15" s="100">
        <v>64.819999999999993</v>
      </c>
      <c r="N15" s="100">
        <v>1</v>
      </c>
      <c r="O15" s="100">
        <v>0</v>
      </c>
      <c r="P15" s="100">
        <v>0.68</v>
      </c>
      <c r="Q15" s="100">
        <v>11.25</v>
      </c>
      <c r="R15" s="6"/>
      <c r="S15" s="6"/>
      <c r="T15" s="156"/>
      <c r="U15" s="6"/>
    </row>
    <row r="16" spans="1:21" customFormat="1">
      <c r="A16" s="163" t="s">
        <v>1686</v>
      </c>
      <c r="B16" s="100">
        <v>14.33</v>
      </c>
      <c r="C16" s="100">
        <v>24.69</v>
      </c>
      <c r="D16" s="100">
        <v>25.74</v>
      </c>
      <c r="E16" s="100">
        <v>9.33</v>
      </c>
      <c r="F16" s="152" t="s">
        <v>15</v>
      </c>
      <c r="G16" s="100">
        <v>93.41</v>
      </c>
      <c r="H16" s="100">
        <v>19.78</v>
      </c>
      <c r="I16" s="100">
        <v>10.130000000000001</v>
      </c>
      <c r="J16" s="100">
        <v>0.18</v>
      </c>
      <c r="K16" s="100">
        <v>138.12</v>
      </c>
      <c r="L16" s="100">
        <v>16.170000000000002</v>
      </c>
      <c r="M16" s="100">
        <v>60.92</v>
      </c>
      <c r="N16" s="100">
        <v>0.7</v>
      </c>
      <c r="O16" s="100">
        <v>0</v>
      </c>
      <c r="P16" s="100">
        <v>0.68</v>
      </c>
      <c r="Q16" s="100">
        <v>11.25</v>
      </c>
      <c r="R16" s="6"/>
      <c r="S16" s="6"/>
      <c r="T16" s="156"/>
      <c r="U16" s="6"/>
    </row>
    <row r="17" spans="1:21" customFormat="1">
      <c r="A17" s="163" t="s">
        <v>1687</v>
      </c>
      <c r="B17" s="100">
        <v>14.39</v>
      </c>
      <c r="C17" s="100">
        <v>24.75</v>
      </c>
      <c r="D17" s="100">
        <v>25.82</v>
      </c>
      <c r="E17" s="100">
        <v>8.83</v>
      </c>
      <c r="F17" s="152" t="s">
        <v>15</v>
      </c>
      <c r="G17" s="100">
        <v>93.41</v>
      </c>
      <c r="H17" s="100">
        <v>19.78</v>
      </c>
      <c r="I17" s="100">
        <v>10.14</v>
      </c>
      <c r="J17" s="100">
        <v>0.2</v>
      </c>
      <c r="K17" s="100">
        <v>177.69</v>
      </c>
      <c r="L17" s="100">
        <v>16.23</v>
      </c>
      <c r="M17" s="100">
        <v>65.22</v>
      </c>
      <c r="N17" s="100">
        <v>0.9</v>
      </c>
      <c r="O17" s="100">
        <v>0</v>
      </c>
      <c r="P17" s="100">
        <v>0.69</v>
      </c>
      <c r="Q17" s="100">
        <v>11.25</v>
      </c>
      <c r="R17" s="6"/>
      <c r="S17" s="6"/>
      <c r="T17" s="156"/>
      <c r="U17" s="6"/>
    </row>
    <row r="18" spans="1:21" customFormat="1">
      <c r="A18" s="163" t="s">
        <v>1688</v>
      </c>
      <c r="B18" s="100">
        <v>14.38</v>
      </c>
      <c r="C18" s="100">
        <v>24.65</v>
      </c>
      <c r="D18" s="100">
        <v>25.76</v>
      </c>
      <c r="E18" s="100">
        <v>10.07</v>
      </c>
      <c r="F18" s="152" t="s">
        <v>15</v>
      </c>
      <c r="G18" s="100">
        <v>63.28</v>
      </c>
      <c r="H18" s="100">
        <v>18.190000000000001</v>
      </c>
      <c r="I18" s="100">
        <v>10.17</v>
      </c>
      <c r="J18" s="100">
        <v>0.15</v>
      </c>
      <c r="K18" s="100">
        <v>169.63</v>
      </c>
      <c r="L18" s="100">
        <v>16</v>
      </c>
      <c r="M18" s="100">
        <v>66.680000000000007</v>
      </c>
      <c r="N18" s="100">
        <v>1</v>
      </c>
      <c r="O18" s="100">
        <v>0</v>
      </c>
      <c r="P18" s="100">
        <v>0.69</v>
      </c>
      <c r="Q18" s="100">
        <v>11.25</v>
      </c>
      <c r="R18" s="6"/>
      <c r="S18" s="6"/>
      <c r="T18" s="156"/>
      <c r="U18" s="6"/>
    </row>
    <row r="19" spans="1:21" customFormat="1">
      <c r="A19" s="163" t="s">
        <v>1689</v>
      </c>
      <c r="B19" s="100">
        <v>14.27</v>
      </c>
      <c r="C19" s="100">
        <v>24.39</v>
      </c>
      <c r="D19" s="100">
        <v>25.54</v>
      </c>
      <c r="E19" s="100">
        <v>10.25</v>
      </c>
      <c r="F19" s="152" t="s">
        <v>15</v>
      </c>
      <c r="G19" s="100">
        <v>52.32</v>
      </c>
      <c r="H19" s="100">
        <v>18.16</v>
      </c>
      <c r="I19" s="100">
        <v>10.19</v>
      </c>
      <c r="J19" s="100">
        <v>0.13</v>
      </c>
      <c r="K19" s="100">
        <v>149.1</v>
      </c>
      <c r="L19" s="100">
        <v>16.02</v>
      </c>
      <c r="M19" s="100">
        <v>63.74</v>
      </c>
      <c r="N19" s="100">
        <v>0.8</v>
      </c>
      <c r="O19" s="100">
        <v>0</v>
      </c>
      <c r="P19" s="100">
        <v>0.69</v>
      </c>
      <c r="Q19" s="100">
        <v>11.25</v>
      </c>
      <c r="R19" s="6"/>
      <c r="S19" s="6"/>
      <c r="T19" s="156"/>
      <c r="U19" s="6"/>
    </row>
    <row r="20" spans="1:21" customFormat="1">
      <c r="A20" s="163" t="s">
        <v>1690</v>
      </c>
      <c r="B20" s="100">
        <v>14.18</v>
      </c>
      <c r="C20" s="100">
        <v>24.31</v>
      </c>
      <c r="D20" s="100">
        <v>25.42</v>
      </c>
      <c r="E20" s="100">
        <v>9.93</v>
      </c>
      <c r="F20" s="152" t="s">
        <v>15</v>
      </c>
      <c r="G20" s="100">
        <v>52.32</v>
      </c>
      <c r="H20" s="100">
        <v>18.16</v>
      </c>
      <c r="I20" s="100">
        <v>10.210000000000001</v>
      </c>
      <c r="J20" s="100">
        <v>0.2</v>
      </c>
      <c r="K20" s="100">
        <v>186.64</v>
      </c>
      <c r="L20" s="100">
        <v>16.14</v>
      </c>
      <c r="M20" s="100">
        <v>67.44</v>
      </c>
      <c r="N20" s="100">
        <v>0.9</v>
      </c>
      <c r="O20" s="100">
        <v>0</v>
      </c>
      <c r="P20" s="100">
        <v>0.69</v>
      </c>
      <c r="Q20" s="100">
        <v>11.25</v>
      </c>
      <c r="R20" s="6"/>
      <c r="S20" s="6"/>
      <c r="T20" s="156"/>
      <c r="U20" s="6"/>
    </row>
    <row r="21" spans="1:21" customFormat="1">
      <c r="A21" s="163" t="s">
        <v>1691</v>
      </c>
      <c r="B21" s="100">
        <v>14.06</v>
      </c>
      <c r="C21" s="100">
        <v>23.98</v>
      </c>
      <c r="D21" s="100">
        <v>25.15</v>
      </c>
      <c r="E21" s="100">
        <v>9.98</v>
      </c>
      <c r="F21" s="152" t="s">
        <v>15</v>
      </c>
      <c r="G21" s="100">
        <v>52.32</v>
      </c>
      <c r="H21" s="100">
        <v>18.16</v>
      </c>
      <c r="I21" s="100">
        <v>10.26</v>
      </c>
      <c r="J21" s="100">
        <v>0.27</v>
      </c>
      <c r="K21" s="100">
        <v>208.65</v>
      </c>
      <c r="L21" s="100">
        <v>15.34</v>
      </c>
      <c r="M21" s="100">
        <v>71.59</v>
      </c>
      <c r="N21" s="100">
        <v>1.4</v>
      </c>
      <c r="O21" s="100">
        <v>0</v>
      </c>
      <c r="P21" s="100">
        <v>0.69</v>
      </c>
      <c r="Q21" s="100">
        <v>11.25</v>
      </c>
      <c r="R21" s="6"/>
      <c r="S21" s="6"/>
      <c r="T21" s="156"/>
      <c r="U21" s="6"/>
    </row>
    <row r="22" spans="1:21" customFormat="1">
      <c r="A22" s="163" t="s">
        <v>1692</v>
      </c>
      <c r="B22" s="100">
        <v>13.87</v>
      </c>
      <c r="C22" s="100">
        <v>23.5</v>
      </c>
      <c r="D22" s="100">
        <v>24.75</v>
      </c>
      <c r="E22" s="100">
        <v>10.17</v>
      </c>
      <c r="F22" s="152" t="s">
        <v>15</v>
      </c>
      <c r="G22" s="100">
        <v>55.76</v>
      </c>
      <c r="H22" s="100">
        <v>10.81</v>
      </c>
      <c r="I22" s="100">
        <v>10.31</v>
      </c>
      <c r="J22" s="100">
        <v>0.17</v>
      </c>
      <c r="K22" s="100">
        <v>193.37</v>
      </c>
      <c r="L22" s="100">
        <v>14.99</v>
      </c>
      <c r="M22" s="100">
        <v>73.010000000000005</v>
      </c>
      <c r="N22" s="100">
        <v>1.2</v>
      </c>
      <c r="O22" s="100">
        <v>0</v>
      </c>
      <c r="P22" s="100">
        <v>0.69</v>
      </c>
      <c r="Q22" s="100">
        <v>11.25</v>
      </c>
      <c r="R22" s="6"/>
      <c r="S22" s="6"/>
      <c r="T22" s="156"/>
      <c r="U22" s="6"/>
    </row>
    <row r="23" spans="1:21" customFormat="1">
      <c r="A23" s="163" t="s">
        <v>1693</v>
      </c>
      <c r="B23" s="100">
        <v>13.67</v>
      </c>
      <c r="C23" s="100">
        <v>23.05</v>
      </c>
      <c r="D23" s="100">
        <v>24.35</v>
      </c>
      <c r="E23" s="100">
        <v>10.41</v>
      </c>
      <c r="F23" s="152" t="s">
        <v>15</v>
      </c>
      <c r="G23" s="100">
        <v>57.02</v>
      </c>
      <c r="H23" s="100">
        <v>10.64</v>
      </c>
      <c r="I23" s="100">
        <v>10.34</v>
      </c>
      <c r="J23" s="100">
        <v>0.18</v>
      </c>
      <c r="K23" s="100">
        <v>154.49</v>
      </c>
      <c r="L23" s="100">
        <v>15.29</v>
      </c>
      <c r="M23" s="100">
        <v>70.930000000000007</v>
      </c>
      <c r="N23" s="100">
        <v>0.8</v>
      </c>
      <c r="O23" s="100">
        <v>0</v>
      </c>
      <c r="P23" s="100">
        <v>0.68</v>
      </c>
      <c r="Q23" s="100">
        <v>11.25</v>
      </c>
      <c r="R23" s="6"/>
      <c r="S23" s="6"/>
      <c r="T23" s="156"/>
      <c r="U23" s="6"/>
    </row>
    <row r="24" spans="1:21" customFormat="1">
      <c r="A24" s="163" t="s">
        <v>1694</v>
      </c>
      <c r="B24" s="100">
        <v>13.48</v>
      </c>
      <c r="C24" s="100">
        <v>22.7</v>
      </c>
      <c r="D24" s="100">
        <v>24.02</v>
      </c>
      <c r="E24" s="100">
        <v>9.89</v>
      </c>
      <c r="F24" s="152" t="s">
        <v>15</v>
      </c>
      <c r="G24" s="100">
        <v>57.02</v>
      </c>
      <c r="H24" s="100">
        <v>10.64</v>
      </c>
      <c r="I24" s="100">
        <v>10.32</v>
      </c>
      <c r="J24" s="100">
        <v>0.13</v>
      </c>
      <c r="K24" s="100">
        <v>131.72</v>
      </c>
      <c r="L24" s="100">
        <v>15.87</v>
      </c>
      <c r="M24" s="100">
        <v>62.01</v>
      </c>
      <c r="N24" s="100">
        <v>0.6</v>
      </c>
      <c r="O24" s="100">
        <v>0</v>
      </c>
      <c r="P24" s="100">
        <v>0.63</v>
      </c>
      <c r="Q24" s="100">
        <v>11.25</v>
      </c>
      <c r="R24" s="6"/>
      <c r="S24" s="6"/>
      <c r="T24" s="156"/>
      <c r="U24" s="6"/>
    </row>
    <row r="25" spans="1:21" customFormat="1">
      <c r="A25" s="163" t="s">
        <v>1695</v>
      </c>
      <c r="B25" s="100">
        <v>14.25</v>
      </c>
      <c r="C25" s="100">
        <v>22.93</v>
      </c>
      <c r="D25" s="100">
        <v>24.75</v>
      </c>
      <c r="E25" s="100">
        <v>10.33</v>
      </c>
      <c r="F25" s="152" t="s">
        <v>15</v>
      </c>
      <c r="G25" s="100">
        <v>57.02</v>
      </c>
      <c r="H25" s="100">
        <v>10.64</v>
      </c>
      <c r="I25" s="100">
        <v>10.32</v>
      </c>
      <c r="J25" s="100">
        <v>0.1</v>
      </c>
      <c r="K25" s="100">
        <v>181.63</v>
      </c>
      <c r="L25" s="100">
        <v>16.68</v>
      </c>
      <c r="M25" s="100">
        <v>53.15</v>
      </c>
      <c r="N25" s="100">
        <v>0.4</v>
      </c>
      <c r="O25" s="100">
        <v>0</v>
      </c>
      <c r="P25" s="100">
        <v>0.62</v>
      </c>
      <c r="Q25" s="100">
        <v>11.25</v>
      </c>
      <c r="R25" s="6"/>
      <c r="S25" s="6"/>
      <c r="T25" s="156"/>
      <c r="U25" s="6"/>
    </row>
    <row r="26" spans="1:21" customFormat="1">
      <c r="A26" s="163" t="s">
        <v>1696</v>
      </c>
      <c r="B26" s="100">
        <v>15.71</v>
      </c>
      <c r="C26" s="100">
        <v>23.66</v>
      </c>
      <c r="D26" s="100">
        <v>26.31</v>
      </c>
      <c r="E26" s="100">
        <v>10.4</v>
      </c>
      <c r="F26" s="152" t="s">
        <v>15</v>
      </c>
      <c r="G26" s="100">
        <v>66.27</v>
      </c>
      <c r="H26" s="100">
        <v>6.7</v>
      </c>
      <c r="I26" s="100">
        <v>10.36</v>
      </c>
      <c r="J26" s="100">
        <v>0.2</v>
      </c>
      <c r="K26" s="100">
        <v>179.91</v>
      </c>
      <c r="L26" s="100">
        <v>16.55</v>
      </c>
      <c r="M26" s="100">
        <v>62.29</v>
      </c>
      <c r="N26" s="100">
        <v>1.1000000000000001</v>
      </c>
      <c r="O26" s="100">
        <v>0</v>
      </c>
      <c r="P26" s="100">
        <v>0.65</v>
      </c>
      <c r="Q26" s="100">
        <v>11.25</v>
      </c>
      <c r="R26" s="6"/>
      <c r="S26" s="6"/>
      <c r="T26" s="156"/>
      <c r="U26" s="6"/>
    </row>
    <row r="27" spans="1:21" customFormat="1">
      <c r="A27" s="163" t="s">
        <v>1697</v>
      </c>
      <c r="B27" s="100">
        <v>16.399999999999999</v>
      </c>
      <c r="C27" s="100">
        <v>23.81</v>
      </c>
      <c r="D27" s="100">
        <v>26.94</v>
      </c>
      <c r="E27" s="100">
        <v>10.39</v>
      </c>
      <c r="F27" s="152" t="s">
        <v>15</v>
      </c>
      <c r="G27" s="100">
        <v>69.63</v>
      </c>
      <c r="H27" s="100">
        <v>6.64</v>
      </c>
      <c r="I27" s="100">
        <v>10.48</v>
      </c>
      <c r="J27" s="100">
        <v>0.18</v>
      </c>
      <c r="K27" s="100">
        <v>203.26</v>
      </c>
      <c r="L27" s="100">
        <v>15.62</v>
      </c>
      <c r="M27" s="100">
        <v>70.56</v>
      </c>
      <c r="N27" s="100">
        <v>1.5</v>
      </c>
      <c r="O27" s="100">
        <v>0</v>
      </c>
      <c r="P27" s="100">
        <v>0.66</v>
      </c>
      <c r="Q27" s="100">
        <v>11.25</v>
      </c>
      <c r="R27" s="6"/>
      <c r="S27" s="6"/>
      <c r="T27" s="156"/>
      <c r="U27" s="6"/>
    </row>
    <row r="28" spans="1:21" customFormat="1">
      <c r="A28" s="163" t="s">
        <v>1698</v>
      </c>
      <c r="B28" s="100">
        <v>16.48</v>
      </c>
      <c r="C28" s="100">
        <v>23.42</v>
      </c>
      <c r="D28" s="100">
        <v>26.8</v>
      </c>
      <c r="E28" s="100">
        <v>10.5</v>
      </c>
      <c r="F28" s="152" t="s">
        <v>15</v>
      </c>
      <c r="G28" s="100">
        <v>69.63</v>
      </c>
      <c r="H28" s="100">
        <v>6.64</v>
      </c>
      <c r="I28" s="100">
        <v>10.65</v>
      </c>
      <c r="J28" s="100">
        <v>0.23</v>
      </c>
      <c r="K28" s="100">
        <v>156.38</v>
      </c>
      <c r="L28" s="100">
        <v>15.45</v>
      </c>
      <c r="M28" s="100">
        <v>70.88</v>
      </c>
      <c r="N28" s="100">
        <v>1.1000000000000001</v>
      </c>
      <c r="O28" s="100">
        <v>0</v>
      </c>
      <c r="P28" s="100">
        <v>0.66</v>
      </c>
      <c r="Q28" s="100">
        <v>11.25</v>
      </c>
      <c r="R28" s="6"/>
      <c r="S28" s="6"/>
      <c r="T28" s="156"/>
      <c r="U28" s="6"/>
    </row>
    <row r="29" spans="1:21" customFormat="1">
      <c r="A29" s="163" t="s">
        <v>1699</v>
      </c>
      <c r="B29" s="100">
        <v>16.78</v>
      </c>
      <c r="C29" s="100">
        <v>23.17</v>
      </c>
      <c r="D29" s="100">
        <v>26.91</v>
      </c>
      <c r="E29" s="100">
        <v>10.26</v>
      </c>
      <c r="F29" s="152" t="s">
        <v>15</v>
      </c>
      <c r="G29" s="100">
        <v>69.63</v>
      </c>
      <c r="H29" s="100">
        <v>6.64</v>
      </c>
      <c r="I29" s="100">
        <v>10.77</v>
      </c>
      <c r="J29" s="100">
        <v>0.22</v>
      </c>
      <c r="K29" s="100">
        <v>149.96</v>
      </c>
      <c r="L29" s="100">
        <v>15.81</v>
      </c>
      <c r="M29" s="100">
        <v>64.650000000000006</v>
      </c>
      <c r="N29" s="100">
        <v>1</v>
      </c>
      <c r="O29" s="100">
        <v>0</v>
      </c>
      <c r="P29" s="100">
        <v>0.66</v>
      </c>
      <c r="Q29" s="100">
        <v>11.25</v>
      </c>
      <c r="R29" s="6"/>
      <c r="S29" s="6"/>
      <c r="T29" s="156"/>
      <c r="U29" s="6"/>
    </row>
    <row r="30" spans="1:21" customFormat="1">
      <c r="A30" s="163" t="s">
        <v>1700</v>
      </c>
      <c r="B30" s="100">
        <v>17.399999999999999</v>
      </c>
      <c r="C30" s="100">
        <v>23.38</v>
      </c>
      <c r="D30" s="100">
        <v>27.52</v>
      </c>
      <c r="E30" s="100">
        <v>10.49</v>
      </c>
      <c r="F30" s="152" t="s">
        <v>15</v>
      </c>
      <c r="G30" s="100">
        <v>68.41</v>
      </c>
      <c r="H30" s="100">
        <v>22.43</v>
      </c>
      <c r="I30" s="100">
        <v>10.79</v>
      </c>
      <c r="J30" s="100">
        <v>0.22</v>
      </c>
      <c r="K30" s="100">
        <v>184.51</v>
      </c>
      <c r="L30" s="100">
        <v>15.51</v>
      </c>
      <c r="M30" s="100">
        <v>69.45</v>
      </c>
      <c r="N30" s="100">
        <v>1.2</v>
      </c>
      <c r="O30" s="100">
        <v>0</v>
      </c>
      <c r="P30" s="100">
        <v>0.68</v>
      </c>
      <c r="Q30" s="100">
        <v>11.25</v>
      </c>
      <c r="R30" s="6"/>
      <c r="S30" s="6"/>
      <c r="T30" s="156"/>
      <c r="U30" s="6"/>
    </row>
    <row r="31" spans="1:21" customFormat="1">
      <c r="A31" s="163" t="s">
        <v>1701</v>
      </c>
      <c r="B31" s="100">
        <v>17.920000000000002</v>
      </c>
      <c r="C31" s="100">
        <v>23.38</v>
      </c>
      <c r="D31" s="100">
        <v>27.94</v>
      </c>
      <c r="E31" s="100">
        <v>10.38</v>
      </c>
      <c r="F31" s="152" t="s">
        <v>15</v>
      </c>
      <c r="G31" s="100">
        <v>67.97</v>
      </c>
      <c r="H31" s="100">
        <v>22.67</v>
      </c>
      <c r="I31" s="100">
        <v>10.87</v>
      </c>
      <c r="J31" s="100">
        <v>0.19</v>
      </c>
      <c r="K31" s="100">
        <v>198.51</v>
      </c>
      <c r="L31" s="100">
        <v>14.88</v>
      </c>
      <c r="M31" s="100">
        <v>72.52</v>
      </c>
      <c r="N31" s="100">
        <v>1.4</v>
      </c>
      <c r="O31" s="100">
        <v>0</v>
      </c>
      <c r="P31" s="100">
        <v>0.68</v>
      </c>
      <c r="Q31" s="100">
        <v>11.25</v>
      </c>
      <c r="R31" s="6"/>
      <c r="S31" s="6"/>
      <c r="T31" s="156"/>
      <c r="U31" s="6"/>
    </row>
    <row r="32" spans="1:21" customFormat="1">
      <c r="A32" s="163" t="s">
        <v>1702</v>
      </c>
      <c r="B32" s="100">
        <v>18.09</v>
      </c>
      <c r="C32" s="100">
        <v>22.8</v>
      </c>
      <c r="D32" s="100">
        <v>27.77</v>
      </c>
      <c r="E32" s="100">
        <v>10.33</v>
      </c>
      <c r="F32" s="152" t="s">
        <v>15</v>
      </c>
      <c r="G32" s="100">
        <v>67.97</v>
      </c>
      <c r="H32" s="100">
        <v>22.67</v>
      </c>
      <c r="I32" s="100">
        <v>11.02</v>
      </c>
      <c r="J32" s="100">
        <v>0.21</v>
      </c>
      <c r="K32" s="100">
        <v>148.4</v>
      </c>
      <c r="L32" s="100">
        <v>15.06</v>
      </c>
      <c r="M32" s="100">
        <v>69.11</v>
      </c>
      <c r="N32" s="100">
        <v>0.9</v>
      </c>
      <c r="O32" s="100">
        <v>0</v>
      </c>
      <c r="P32" s="100">
        <v>0.68</v>
      </c>
      <c r="Q32" s="100">
        <v>11.25</v>
      </c>
      <c r="R32" s="6"/>
      <c r="S32" s="6"/>
      <c r="T32" s="156"/>
      <c r="U32" s="6"/>
    </row>
    <row r="33" spans="1:21" customFormat="1">
      <c r="A33" s="163" t="s">
        <v>1703</v>
      </c>
      <c r="B33" s="100">
        <v>18.66</v>
      </c>
      <c r="C33" s="100">
        <v>22.09</v>
      </c>
      <c r="D33" s="100">
        <v>27.85</v>
      </c>
      <c r="E33" s="100">
        <v>10.36</v>
      </c>
      <c r="F33" s="152" t="s">
        <v>15</v>
      </c>
      <c r="G33" s="100">
        <v>67.97</v>
      </c>
      <c r="H33" s="100">
        <v>22.67</v>
      </c>
      <c r="I33" s="100">
        <v>11.13</v>
      </c>
      <c r="J33" s="100">
        <v>0.28000000000000003</v>
      </c>
      <c r="K33" s="100">
        <v>161.63</v>
      </c>
      <c r="L33" s="100">
        <v>15.22</v>
      </c>
      <c r="M33" s="100">
        <v>67.12</v>
      </c>
      <c r="N33" s="100">
        <v>1</v>
      </c>
      <c r="O33" s="100">
        <v>0</v>
      </c>
      <c r="P33" s="100">
        <v>0.69</v>
      </c>
      <c r="Q33" s="100">
        <v>11.25</v>
      </c>
      <c r="R33" s="6"/>
      <c r="S33" s="6"/>
      <c r="T33" s="156"/>
      <c r="U33" s="6"/>
    </row>
    <row r="34" spans="1:21" customFormat="1">
      <c r="A34" s="163" t="s">
        <v>1704</v>
      </c>
      <c r="B34" s="100">
        <v>19.03</v>
      </c>
      <c r="C34" s="100">
        <v>22.39</v>
      </c>
      <c r="D34" s="100">
        <v>28.31</v>
      </c>
      <c r="E34" s="100">
        <v>10.36</v>
      </c>
      <c r="F34" s="152" t="s">
        <v>15</v>
      </c>
      <c r="G34" s="100">
        <v>75.33</v>
      </c>
      <c r="H34" s="100">
        <v>23.8</v>
      </c>
      <c r="I34" s="100">
        <v>11.22</v>
      </c>
      <c r="J34" s="100">
        <v>0.27</v>
      </c>
      <c r="K34" s="100">
        <v>163.57</v>
      </c>
      <c r="L34" s="100">
        <v>15.29</v>
      </c>
      <c r="M34" s="100">
        <v>65.459999999999994</v>
      </c>
      <c r="N34" s="100">
        <v>1.5</v>
      </c>
      <c r="O34" s="100">
        <v>0</v>
      </c>
      <c r="P34" s="100">
        <v>0.7</v>
      </c>
      <c r="Q34" s="100">
        <v>11.25</v>
      </c>
      <c r="R34" s="6"/>
      <c r="S34" s="6"/>
      <c r="T34" s="156"/>
      <c r="U34" s="6"/>
    </row>
    <row r="35" spans="1:21" customFormat="1">
      <c r="A35" s="163" t="s">
        <v>1705</v>
      </c>
      <c r="B35" s="100">
        <v>20.41</v>
      </c>
      <c r="C35" s="100">
        <v>23.12</v>
      </c>
      <c r="D35" s="100">
        <v>29.8</v>
      </c>
      <c r="E35" s="100">
        <v>10.47</v>
      </c>
      <c r="F35" s="152" t="s">
        <v>15</v>
      </c>
      <c r="G35" s="100">
        <v>78.010000000000005</v>
      </c>
      <c r="H35" s="100">
        <v>23.82</v>
      </c>
      <c r="I35" s="100">
        <v>11.34</v>
      </c>
      <c r="J35" s="100">
        <v>0.21</v>
      </c>
      <c r="K35" s="100">
        <v>166.46</v>
      </c>
      <c r="L35" s="100">
        <v>15.26</v>
      </c>
      <c r="M35" s="100">
        <v>66.81</v>
      </c>
      <c r="N35" s="100">
        <v>4.5</v>
      </c>
      <c r="O35" s="100">
        <v>0</v>
      </c>
      <c r="P35" s="100">
        <v>0.71</v>
      </c>
      <c r="Q35" s="100">
        <v>11.25</v>
      </c>
      <c r="R35" s="6"/>
      <c r="S35" s="6"/>
      <c r="T35" s="156"/>
      <c r="U35" s="6"/>
    </row>
    <row r="36" spans="1:21" customFormat="1">
      <c r="A36" s="163" t="s">
        <v>1706</v>
      </c>
      <c r="B36" s="100">
        <v>21.81</v>
      </c>
      <c r="C36" s="100">
        <v>23.77</v>
      </c>
      <c r="D36" s="100">
        <v>31.27</v>
      </c>
      <c r="E36" s="100">
        <v>11.03</v>
      </c>
      <c r="F36" s="152" t="s">
        <v>15</v>
      </c>
      <c r="G36" s="100">
        <v>78.010000000000005</v>
      </c>
      <c r="H36" s="100">
        <v>23.82</v>
      </c>
      <c r="I36" s="100">
        <v>11.53</v>
      </c>
      <c r="J36" s="100">
        <v>0.22</v>
      </c>
      <c r="K36" s="100">
        <v>182.75</v>
      </c>
      <c r="L36" s="100">
        <v>15.3</v>
      </c>
      <c r="M36" s="100">
        <v>71.22</v>
      </c>
      <c r="N36" s="100">
        <v>9.1999999999999993</v>
      </c>
      <c r="O36" s="100">
        <v>0</v>
      </c>
      <c r="P36" s="100">
        <v>0.73</v>
      </c>
      <c r="Q36" s="100">
        <v>11.25</v>
      </c>
      <c r="R36" s="6"/>
      <c r="S36" s="6"/>
      <c r="T36" s="156"/>
      <c r="U36" s="6"/>
    </row>
    <row r="37" spans="1:21" customFormat="1">
      <c r="A37" s="163" t="s">
        <v>1707</v>
      </c>
      <c r="B37" s="100">
        <v>22.83</v>
      </c>
      <c r="C37" s="100">
        <v>24</v>
      </c>
      <c r="D37" s="100">
        <v>32.200000000000003</v>
      </c>
      <c r="E37" s="100">
        <v>10.97</v>
      </c>
      <c r="F37" s="152" t="s">
        <v>15</v>
      </c>
      <c r="G37" s="100">
        <v>78.010000000000005</v>
      </c>
      <c r="H37" s="100">
        <v>23.82</v>
      </c>
      <c r="I37" s="100">
        <v>11.8</v>
      </c>
      <c r="J37" s="100">
        <v>0.18</v>
      </c>
      <c r="K37" s="100">
        <v>164.53</v>
      </c>
      <c r="L37" s="100">
        <v>15.36</v>
      </c>
      <c r="M37" s="100">
        <v>71.540000000000006</v>
      </c>
      <c r="N37" s="100">
        <v>15.1</v>
      </c>
      <c r="O37" s="100">
        <v>0</v>
      </c>
      <c r="P37" s="100">
        <v>0.73</v>
      </c>
      <c r="Q37" s="100">
        <v>11.25</v>
      </c>
      <c r="R37" s="6"/>
      <c r="S37" s="6"/>
      <c r="T37" s="156"/>
      <c r="U37" s="6"/>
    </row>
    <row r="38" spans="1:21" customFormat="1">
      <c r="A38" s="163" t="s">
        <v>1708</v>
      </c>
      <c r="B38" s="100">
        <v>23.89</v>
      </c>
      <c r="C38" s="100">
        <v>24.02</v>
      </c>
      <c r="D38" s="100">
        <v>33.06</v>
      </c>
      <c r="E38" s="100">
        <v>10.45</v>
      </c>
      <c r="F38" s="152" t="s">
        <v>15</v>
      </c>
      <c r="G38" s="100">
        <v>94.24</v>
      </c>
      <c r="H38" s="100">
        <v>33.9</v>
      </c>
      <c r="I38" s="100">
        <v>12.11</v>
      </c>
      <c r="J38" s="100">
        <v>0.32</v>
      </c>
      <c r="K38" s="100">
        <v>163.79</v>
      </c>
      <c r="L38" s="100">
        <v>16.21</v>
      </c>
      <c r="M38" s="100">
        <v>68.66</v>
      </c>
      <c r="N38" s="100">
        <v>21</v>
      </c>
      <c r="O38" s="100">
        <v>0</v>
      </c>
      <c r="P38" s="100">
        <v>0.74</v>
      </c>
      <c r="Q38" s="100">
        <v>11.25</v>
      </c>
      <c r="R38" s="6"/>
      <c r="S38" s="6"/>
      <c r="T38" s="156"/>
      <c r="U38" s="6"/>
    </row>
    <row r="39" spans="1:21" customFormat="1">
      <c r="A39" s="163" t="s">
        <v>1709</v>
      </c>
      <c r="B39" s="100">
        <v>25.02</v>
      </c>
      <c r="C39" s="100">
        <v>24.33</v>
      </c>
      <c r="D39" s="100">
        <v>34.130000000000003</v>
      </c>
      <c r="E39" s="100">
        <v>10.69</v>
      </c>
      <c r="F39" s="152" t="s">
        <v>15</v>
      </c>
      <c r="G39" s="100">
        <v>100.14</v>
      </c>
      <c r="H39" s="100">
        <v>34.049999999999997</v>
      </c>
      <c r="I39" s="100">
        <v>12.38</v>
      </c>
      <c r="J39" s="100">
        <v>0.46</v>
      </c>
      <c r="K39" s="100">
        <v>167.18</v>
      </c>
      <c r="L39" s="100">
        <v>17.079999999999998</v>
      </c>
      <c r="M39" s="100">
        <v>65.040000000000006</v>
      </c>
      <c r="N39" s="100">
        <v>26.8</v>
      </c>
      <c r="O39" s="100">
        <v>0</v>
      </c>
      <c r="P39" s="100">
        <v>0.75</v>
      </c>
      <c r="Q39" s="100">
        <v>11.25</v>
      </c>
      <c r="R39" s="6"/>
      <c r="S39" s="6"/>
      <c r="T39" s="156"/>
      <c r="U39" s="6"/>
    </row>
    <row r="40" spans="1:21" customFormat="1">
      <c r="A40" s="163" t="s">
        <v>1710</v>
      </c>
      <c r="B40" s="100">
        <v>25.7</v>
      </c>
      <c r="C40" s="100">
        <v>24.46</v>
      </c>
      <c r="D40" s="100">
        <v>34.74</v>
      </c>
      <c r="E40" s="100">
        <v>11.27</v>
      </c>
      <c r="F40" s="152" t="s">
        <v>15</v>
      </c>
      <c r="G40" s="100">
        <v>100.14</v>
      </c>
      <c r="H40" s="100">
        <v>34.049999999999997</v>
      </c>
      <c r="I40" s="100">
        <v>12.57</v>
      </c>
      <c r="J40" s="100">
        <v>0.73</v>
      </c>
      <c r="K40" s="100">
        <v>159.01</v>
      </c>
      <c r="L40" s="100">
        <v>18.32</v>
      </c>
      <c r="M40" s="100">
        <v>53.01</v>
      </c>
      <c r="N40" s="100">
        <v>33.5</v>
      </c>
      <c r="O40" s="100">
        <v>0</v>
      </c>
      <c r="P40" s="100">
        <v>0.76</v>
      </c>
      <c r="Q40" s="100">
        <v>11.25</v>
      </c>
      <c r="R40" s="6"/>
      <c r="S40" s="6"/>
      <c r="T40" s="156"/>
      <c r="U40" s="6"/>
    </row>
    <row r="41" spans="1:21" customFormat="1">
      <c r="A41" s="163" t="s">
        <v>1711</v>
      </c>
      <c r="B41" s="100">
        <v>25.92</v>
      </c>
      <c r="C41" s="100">
        <v>24.63</v>
      </c>
      <c r="D41" s="100">
        <v>35</v>
      </c>
      <c r="E41" s="100">
        <v>10.92</v>
      </c>
      <c r="F41" s="152" t="s">
        <v>15</v>
      </c>
      <c r="G41" s="100">
        <v>100.14</v>
      </c>
      <c r="H41" s="100">
        <v>34.049999999999997</v>
      </c>
      <c r="I41" s="100">
        <v>12.74</v>
      </c>
      <c r="J41" s="100">
        <v>0.33</v>
      </c>
      <c r="K41" s="100">
        <v>149.43</v>
      </c>
      <c r="L41" s="100">
        <v>19.5</v>
      </c>
      <c r="M41" s="100">
        <v>47.09</v>
      </c>
      <c r="N41" s="100">
        <v>116.1</v>
      </c>
      <c r="O41" s="100">
        <v>0</v>
      </c>
      <c r="P41" s="100">
        <v>0.77</v>
      </c>
      <c r="Q41" s="100">
        <v>11.25</v>
      </c>
      <c r="R41" s="6"/>
      <c r="S41" s="6"/>
      <c r="T41" s="156"/>
      <c r="U41" s="6"/>
    </row>
    <row r="42" spans="1:21" customFormat="1">
      <c r="A42" s="163" t="s">
        <v>1712</v>
      </c>
      <c r="B42" s="100">
        <v>25.32</v>
      </c>
      <c r="C42" s="100">
        <v>24.97</v>
      </c>
      <c r="D42" s="100">
        <v>34.71</v>
      </c>
      <c r="E42" s="100">
        <v>11.1</v>
      </c>
      <c r="F42" s="152" t="s">
        <v>15</v>
      </c>
      <c r="G42" s="100">
        <v>95.34</v>
      </c>
      <c r="H42" s="100">
        <v>33.08</v>
      </c>
      <c r="I42" s="100">
        <v>12.96</v>
      </c>
      <c r="J42" s="100">
        <v>0.22</v>
      </c>
      <c r="K42" s="100">
        <v>89.24</v>
      </c>
      <c r="L42" s="100">
        <v>20.89</v>
      </c>
      <c r="M42" s="100">
        <v>41.44</v>
      </c>
      <c r="N42" s="100">
        <v>185.3</v>
      </c>
      <c r="O42" s="100">
        <v>0</v>
      </c>
      <c r="P42" s="100">
        <v>0.79</v>
      </c>
      <c r="Q42" s="100">
        <v>11.25</v>
      </c>
      <c r="R42" s="6"/>
      <c r="S42" s="6"/>
      <c r="T42" s="156"/>
      <c r="U42" s="6"/>
    </row>
    <row r="43" spans="1:21" customFormat="1">
      <c r="A43" s="163" t="s">
        <v>1713</v>
      </c>
      <c r="B43" s="100">
        <v>24.87</v>
      </c>
      <c r="C43" s="100">
        <v>24.58</v>
      </c>
      <c r="D43" s="100">
        <v>34.14</v>
      </c>
      <c r="E43" s="100">
        <v>11.43</v>
      </c>
      <c r="F43" s="152" t="s">
        <v>15</v>
      </c>
      <c r="G43" s="100">
        <v>93.59</v>
      </c>
      <c r="H43" s="100">
        <v>33.06</v>
      </c>
      <c r="I43" s="100">
        <v>13.18</v>
      </c>
      <c r="J43" s="100">
        <v>0.44</v>
      </c>
      <c r="K43" s="100">
        <v>52.14</v>
      </c>
      <c r="L43" s="100">
        <v>21.91</v>
      </c>
      <c r="M43" s="100">
        <v>36.43</v>
      </c>
      <c r="N43" s="100">
        <v>232.1</v>
      </c>
      <c r="O43" s="100">
        <v>0</v>
      </c>
      <c r="P43" s="100">
        <v>0.79</v>
      </c>
      <c r="Q43" s="100">
        <v>11.25</v>
      </c>
      <c r="R43" s="6"/>
      <c r="S43" s="6"/>
      <c r="T43" s="156"/>
      <c r="U43" s="6"/>
    </row>
    <row r="44" spans="1:21" customFormat="1">
      <c r="A44" s="163" t="s">
        <v>1714</v>
      </c>
      <c r="B44" s="100">
        <v>23.77</v>
      </c>
      <c r="C44" s="100">
        <v>24.68</v>
      </c>
      <c r="D44" s="100">
        <v>33.299999999999997</v>
      </c>
      <c r="E44" s="100">
        <v>11.36</v>
      </c>
      <c r="F44" s="152" t="s">
        <v>15</v>
      </c>
      <c r="G44" s="100">
        <v>93.59</v>
      </c>
      <c r="H44" s="100">
        <v>33.06</v>
      </c>
      <c r="I44" s="100">
        <v>13.32</v>
      </c>
      <c r="J44" s="100">
        <v>0.55000000000000004</v>
      </c>
      <c r="K44" s="100">
        <v>37.229999999999997</v>
      </c>
      <c r="L44" s="100">
        <v>22.69</v>
      </c>
      <c r="M44" s="100">
        <v>35.17</v>
      </c>
      <c r="N44" s="100">
        <v>243.5</v>
      </c>
      <c r="O44" s="100">
        <v>0</v>
      </c>
      <c r="P44" s="100">
        <v>0.82</v>
      </c>
      <c r="Q44" s="100">
        <v>11.25</v>
      </c>
      <c r="R44" s="6"/>
      <c r="S44" s="6"/>
      <c r="T44" s="156"/>
      <c r="U44" s="6"/>
    </row>
    <row r="45" spans="1:21" customFormat="1">
      <c r="A45" s="163" t="s">
        <v>1715</v>
      </c>
      <c r="B45" s="100">
        <v>22.5</v>
      </c>
      <c r="C45" s="100">
        <v>25.32</v>
      </c>
      <c r="D45" s="100">
        <v>32.619999999999997</v>
      </c>
      <c r="E45" s="100">
        <v>11.41</v>
      </c>
      <c r="F45" s="152" t="s">
        <v>15</v>
      </c>
      <c r="G45" s="100">
        <v>93.59</v>
      </c>
      <c r="H45" s="100">
        <v>33.06</v>
      </c>
      <c r="I45" s="100">
        <v>13.35</v>
      </c>
      <c r="J45" s="100">
        <v>0.33</v>
      </c>
      <c r="K45" s="100">
        <v>90.62</v>
      </c>
      <c r="L45" s="100">
        <v>23.92</v>
      </c>
      <c r="M45" s="100">
        <v>32.28</v>
      </c>
      <c r="N45" s="100">
        <v>208.7</v>
      </c>
      <c r="O45" s="100">
        <v>0</v>
      </c>
      <c r="P45" s="100">
        <v>0.84</v>
      </c>
      <c r="Q45" s="100">
        <v>11.25</v>
      </c>
      <c r="R45" s="6"/>
      <c r="S45" s="6"/>
      <c r="T45" s="156"/>
      <c r="U45" s="6"/>
    </row>
    <row r="46" spans="1:21" customFormat="1">
      <c r="A46" s="163" t="s">
        <v>1716</v>
      </c>
      <c r="B46" s="100">
        <v>20.92</v>
      </c>
      <c r="C46" s="100">
        <v>25.62</v>
      </c>
      <c r="D46" s="100">
        <v>31.51</v>
      </c>
      <c r="E46" s="100">
        <v>11.68</v>
      </c>
      <c r="F46" s="152" t="s">
        <v>15</v>
      </c>
      <c r="G46" s="100">
        <v>85.79</v>
      </c>
      <c r="H46" s="100">
        <v>33.39</v>
      </c>
      <c r="I46" s="100">
        <v>13.32</v>
      </c>
      <c r="J46" s="100">
        <v>0.41</v>
      </c>
      <c r="K46" s="100">
        <v>37.04</v>
      </c>
      <c r="L46" s="100">
        <v>24.9</v>
      </c>
      <c r="M46" s="100">
        <v>30.63</v>
      </c>
      <c r="N46" s="100">
        <v>285.39999999999998</v>
      </c>
      <c r="O46" s="100">
        <v>0</v>
      </c>
      <c r="P46" s="100">
        <v>0.84</v>
      </c>
      <c r="Q46" s="100">
        <v>11.25</v>
      </c>
      <c r="R46" s="6"/>
      <c r="S46" s="6"/>
      <c r="T46" s="156"/>
      <c r="U46" s="6"/>
    </row>
    <row r="47" spans="1:21" customFormat="1">
      <c r="A47" s="163" t="s">
        <v>1717</v>
      </c>
      <c r="B47" s="100">
        <v>20.07</v>
      </c>
      <c r="C47" s="100">
        <v>25.35</v>
      </c>
      <c r="D47" s="100">
        <v>30.69</v>
      </c>
      <c r="E47" s="100">
        <v>11.73</v>
      </c>
      <c r="F47" s="152" t="s">
        <v>15</v>
      </c>
      <c r="G47" s="100">
        <v>82.95</v>
      </c>
      <c r="H47" s="100">
        <v>33.4</v>
      </c>
      <c r="I47" s="100">
        <v>13.27</v>
      </c>
      <c r="J47" s="100">
        <v>0.44</v>
      </c>
      <c r="K47" s="100">
        <v>46.07</v>
      </c>
      <c r="L47" s="100">
        <v>25.56</v>
      </c>
      <c r="M47" s="100">
        <v>29.52</v>
      </c>
      <c r="N47" s="100">
        <v>287.39999999999998</v>
      </c>
      <c r="O47" s="100">
        <v>0</v>
      </c>
      <c r="P47" s="100">
        <v>0.85</v>
      </c>
      <c r="Q47" s="100">
        <v>11.25</v>
      </c>
      <c r="R47" s="6"/>
      <c r="S47" s="6"/>
      <c r="T47" s="156"/>
      <c r="U47" s="6"/>
    </row>
    <row r="48" spans="1:21" customFormat="1">
      <c r="A48" s="163" t="s">
        <v>1718</v>
      </c>
      <c r="B48" s="100">
        <v>19.440000000000001</v>
      </c>
      <c r="C48" s="100">
        <v>25.25</v>
      </c>
      <c r="D48" s="100">
        <v>30.13</v>
      </c>
      <c r="E48" s="100">
        <v>12.49</v>
      </c>
      <c r="F48" s="152" t="s">
        <v>15</v>
      </c>
      <c r="G48" s="100">
        <v>82.95</v>
      </c>
      <c r="H48" s="100">
        <v>33.4</v>
      </c>
      <c r="I48" s="100">
        <v>13.24</v>
      </c>
      <c r="J48" s="100">
        <v>0.45</v>
      </c>
      <c r="K48" s="100">
        <v>68.06</v>
      </c>
      <c r="L48" s="100">
        <v>26.39</v>
      </c>
      <c r="M48" s="100">
        <v>27.7</v>
      </c>
      <c r="N48" s="100">
        <v>293.3</v>
      </c>
      <c r="O48" s="100">
        <v>0</v>
      </c>
      <c r="P48" s="100">
        <v>0.85</v>
      </c>
      <c r="Q48" s="100">
        <v>11.25</v>
      </c>
      <c r="R48" s="6"/>
      <c r="S48" s="6"/>
      <c r="T48" s="156"/>
      <c r="U48" s="6"/>
    </row>
    <row r="49" spans="1:21" customFormat="1">
      <c r="A49" s="163" t="s">
        <v>1719</v>
      </c>
      <c r="B49" s="100">
        <v>18.57</v>
      </c>
      <c r="C49" s="100">
        <v>25.91</v>
      </c>
      <c r="D49" s="100">
        <v>29.77</v>
      </c>
      <c r="E49" s="100">
        <v>11.49</v>
      </c>
      <c r="F49" s="152" t="s">
        <v>15</v>
      </c>
      <c r="G49" s="100">
        <v>82.95</v>
      </c>
      <c r="H49" s="100">
        <v>33.4</v>
      </c>
      <c r="I49" s="100">
        <v>13.25</v>
      </c>
      <c r="J49" s="100">
        <v>0.77</v>
      </c>
      <c r="K49" s="100">
        <v>43.18</v>
      </c>
      <c r="L49" s="100">
        <v>26.59</v>
      </c>
      <c r="M49" s="100">
        <v>26.29</v>
      </c>
      <c r="N49" s="100">
        <v>226.9</v>
      </c>
      <c r="O49" s="100">
        <v>0</v>
      </c>
      <c r="P49" s="100">
        <v>0.86</v>
      </c>
      <c r="Q49" s="100">
        <v>11.25</v>
      </c>
      <c r="R49" s="6"/>
      <c r="S49" s="6"/>
      <c r="T49" s="156"/>
      <c r="U49" s="6"/>
    </row>
    <row r="50" spans="1:21" customFormat="1">
      <c r="A50" s="163" t="s">
        <v>1720</v>
      </c>
      <c r="B50" s="100">
        <v>17.7</v>
      </c>
      <c r="C50" s="100">
        <v>26.37</v>
      </c>
      <c r="D50" s="100">
        <v>29.32</v>
      </c>
      <c r="E50" s="100">
        <v>12.5</v>
      </c>
      <c r="F50" s="152" t="s">
        <v>15</v>
      </c>
      <c r="G50" s="100">
        <v>101.29</v>
      </c>
      <c r="H50" s="100">
        <v>39.840000000000003</v>
      </c>
      <c r="I50" s="100">
        <v>13.29</v>
      </c>
      <c r="J50" s="100">
        <v>0.81</v>
      </c>
      <c r="K50" s="100">
        <v>59.09</v>
      </c>
      <c r="L50" s="100">
        <v>27.27</v>
      </c>
      <c r="M50" s="100">
        <v>24.69</v>
      </c>
      <c r="N50" s="100">
        <v>284.10000000000002</v>
      </c>
      <c r="O50" s="100">
        <v>0</v>
      </c>
      <c r="P50" s="100">
        <v>0.85</v>
      </c>
      <c r="Q50" s="100">
        <v>11.25</v>
      </c>
      <c r="R50" s="6"/>
      <c r="S50" s="6"/>
      <c r="T50" s="156"/>
      <c r="U50" s="6"/>
    </row>
    <row r="51" spans="1:21" customFormat="1">
      <c r="A51" s="163" t="s">
        <v>1721</v>
      </c>
      <c r="B51" s="100">
        <v>16.739999999999998</v>
      </c>
      <c r="C51" s="100">
        <v>26.71</v>
      </c>
      <c r="D51" s="100">
        <v>28.73</v>
      </c>
      <c r="E51" s="100">
        <v>13.57</v>
      </c>
      <c r="F51" s="152" t="s">
        <v>15</v>
      </c>
      <c r="G51" s="100">
        <v>107.96</v>
      </c>
      <c r="H51" s="100">
        <v>39.94</v>
      </c>
      <c r="I51" s="100">
        <v>13.29</v>
      </c>
      <c r="J51" s="100">
        <v>0.46</v>
      </c>
      <c r="K51" s="100">
        <v>59.54</v>
      </c>
      <c r="L51" s="100">
        <v>28.1</v>
      </c>
      <c r="M51" s="100">
        <v>23.67</v>
      </c>
      <c r="N51" s="100">
        <v>333.2</v>
      </c>
      <c r="O51" s="100">
        <v>0</v>
      </c>
      <c r="P51" s="100">
        <v>0.84</v>
      </c>
      <c r="Q51" s="100">
        <v>11.25</v>
      </c>
      <c r="R51" s="6"/>
      <c r="S51" s="6"/>
      <c r="T51" s="156"/>
      <c r="U51" s="6"/>
    </row>
    <row r="52" spans="1:21" customFormat="1">
      <c r="A52" s="163" t="s">
        <v>1722</v>
      </c>
      <c r="B52" s="100">
        <v>15.71</v>
      </c>
      <c r="C52" s="100">
        <v>26.6</v>
      </c>
      <c r="D52" s="100">
        <v>27.85</v>
      </c>
      <c r="E52" s="100">
        <v>13.12</v>
      </c>
      <c r="F52" s="152" t="s">
        <v>15</v>
      </c>
      <c r="G52" s="100">
        <v>107.96</v>
      </c>
      <c r="H52" s="100">
        <v>39.94</v>
      </c>
      <c r="I52" s="100">
        <v>13.21</v>
      </c>
      <c r="J52" s="100">
        <v>0.5</v>
      </c>
      <c r="K52" s="100">
        <v>82.46</v>
      </c>
      <c r="L52" s="100">
        <v>28.76</v>
      </c>
      <c r="M52" s="100">
        <v>21.86</v>
      </c>
      <c r="N52" s="100">
        <v>349.9</v>
      </c>
      <c r="O52" s="100">
        <v>0</v>
      </c>
      <c r="P52" s="100">
        <v>0.83</v>
      </c>
      <c r="Q52" s="100">
        <v>11.25</v>
      </c>
      <c r="R52" s="6"/>
      <c r="S52" s="6"/>
      <c r="T52" s="156"/>
      <c r="U52" s="6"/>
    </row>
    <row r="53" spans="1:21" customFormat="1">
      <c r="A53" s="163" t="s">
        <v>1723</v>
      </c>
      <c r="B53" s="100">
        <v>14.21</v>
      </c>
      <c r="C53" s="100">
        <v>26.95</v>
      </c>
      <c r="D53" s="100">
        <v>26.83</v>
      </c>
      <c r="E53" s="100">
        <v>11.51</v>
      </c>
      <c r="F53" s="152" t="s">
        <v>15</v>
      </c>
      <c r="G53" s="100">
        <v>107.96</v>
      </c>
      <c r="H53" s="100">
        <v>39.94</v>
      </c>
      <c r="I53" s="100">
        <v>13.09</v>
      </c>
      <c r="J53" s="100">
        <v>0.98</v>
      </c>
      <c r="K53" s="100">
        <v>49.77</v>
      </c>
      <c r="L53" s="100">
        <v>28.64</v>
      </c>
      <c r="M53" s="100">
        <v>19.96</v>
      </c>
      <c r="N53" s="100">
        <v>358.7</v>
      </c>
      <c r="O53" s="100">
        <v>0</v>
      </c>
      <c r="P53" s="100">
        <v>0.81</v>
      </c>
      <c r="Q53" s="100">
        <v>11.25</v>
      </c>
      <c r="R53" s="6"/>
      <c r="S53" s="6"/>
      <c r="T53" s="156"/>
      <c r="U53" s="6"/>
    </row>
    <row r="54" spans="1:21" customFormat="1">
      <c r="A54" s="163" t="s">
        <v>1724</v>
      </c>
      <c r="B54" s="100">
        <v>12.55</v>
      </c>
      <c r="C54" s="100">
        <v>27.14</v>
      </c>
      <c r="D54" s="100">
        <v>25.6</v>
      </c>
      <c r="E54" s="100">
        <v>10.48</v>
      </c>
      <c r="F54" s="152" t="s">
        <v>15</v>
      </c>
      <c r="G54" s="100">
        <v>90.79</v>
      </c>
      <c r="H54" s="100">
        <v>45.33</v>
      </c>
      <c r="I54" s="100">
        <v>12.96</v>
      </c>
      <c r="J54" s="100">
        <v>0.72</v>
      </c>
      <c r="K54" s="100">
        <v>66.69</v>
      </c>
      <c r="L54" s="100">
        <v>29.04</v>
      </c>
      <c r="M54" s="100">
        <v>19.95</v>
      </c>
      <c r="N54" s="100">
        <v>328.6</v>
      </c>
      <c r="O54" s="100">
        <v>0</v>
      </c>
      <c r="P54" s="100">
        <v>0.81</v>
      </c>
      <c r="Q54" s="100">
        <v>11.25</v>
      </c>
      <c r="R54" s="6"/>
      <c r="S54" s="6"/>
      <c r="T54" s="156"/>
      <c r="U54" s="6"/>
    </row>
    <row r="55" spans="1:21" customFormat="1">
      <c r="A55" s="163" t="s">
        <v>1725</v>
      </c>
      <c r="B55" s="100">
        <v>10.97</v>
      </c>
      <c r="C55" s="100">
        <v>27.43</v>
      </c>
      <c r="D55" s="100">
        <v>24.48</v>
      </c>
      <c r="E55" s="100">
        <v>11.41</v>
      </c>
      <c r="F55" s="152" t="s">
        <v>15</v>
      </c>
      <c r="G55" s="100">
        <v>84.54</v>
      </c>
      <c r="H55" s="100">
        <v>45.41</v>
      </c>
      <c r="I55" s="100">
        <v>12.73</v>
      </c>
      <c r="J55" s="100">
        <v>0.82</v>
      </c>
      <c r="K55" s="100">
        <v>52.91</v>
      </c>
      <c r="L55" s="100">
        <v>29.62</v>
      </c>
      <c r="M55" s="100">
        <v>18.7</v>
      </c>
      <c r="N55" s="100">
        <v>322.2</v>
      </c>
      <c r="O55" s="100">
        <v>0</v>
      </c>
      <c r="P55" s="100">
        <v>0.78</v>
      </c>
      <c r="Q55" s="100">
        <v>11.25</v>
      </c>
      <c r="R55" s="6"/>
      <c r="S55" s="6"/>
      <c r="T55" s="156"/>
      <c r="U55" s="6"/>
    </row>
    <row r="56" spans="1:21" customFormat="1">
      <c r="A56" s="163" t="s">
        <v>1726</v>
      </c>
      <c r="B56" s="100">
        <v>9.6</v>
      </c>
      <c r="C56" s="100">
        <v>27.67</v>
      </c>
      <c r="D56" s="100">
        <v>23.51</v>
      </c>
      <c r="E56" s="100">
        <v>13.26</v>
      </c>
      <c r="F56" s="152" t="s">
        <v>15</v>
      </c>
      <c r="G56" s="100">
        <v>84.54</v>
      </c>
      <c r="H56" s="100">
        <v>45.41</v>
      </c>
      <c r="I56" s="100">
        <v>12.55</v>
      </c>
      <c r="J56" s="100">
        <v>0.67</v>
      </c>
      <c r="K56" s="100">
        <v>51.4</v>
      </c>
      <c r="L56" s="100">
        <v>30.38</v>
      </c>
      <c r="M56" s="100">
        <v>16.7</v>
      </c>
      <c r="N56" s="100">
        <v>355.6</v>
      </c>
      <c r="O56" s="100">
        <v>0</v>
      </c>
      <c r="P56" s="100">
        <v>0.77</v>
      </c>
      <c r="Q56" s="100">
        <v>11.25</v>
      </c>
      <c r="R56" s="6"/>
      <c r="S56" s="6"/>
      <c r="T56" s="156"/>
      <c r="U56" s="6"/>
    </row>
    <row r="57" spans="1:21" customFormat="1">
      <c r="A57" s="163" t="s">
        <v>1727</v>
      </c>
      <c r="B57" s="100">
        <v>8.74</v>
      </c>
      <c r="C57" s="100">
        <v>27.69</v>
      </c>
      <c r="D57" s="100">
        <v>22.82</v>
      </c>
      <c r="E57" s="100">
        <v>11.67</v>
      </c>
      <c r="F57" s="152" t="s">
        <v>15</v>
      </c>
      <c r="G57" s="100">
        <v>84.54</v>
      </c>
      <c r="H57" s="100">
        <v>45.41</v>
      </c>
      <c r="I57" s="100">
        <v>12.38</v>
      </c>
      <c r="J57" s="100">
        <v>0.59</v>
      </c>
      <c r="K57" s="100">
        <v>33.409999999999997</v>
      </c>
      <c r="L57" s="100">
        <v>30.18</v>
      </c>
      <c r="M57" s="100">
        <v>16.510000000000002</v>
      </c>
      <c r="N57" s="100">
        <v>381.9</v>
      </c>
      <c r="O57" s="100">
        <v>0</v>
      </c>
      <c r="P57" s="100">
        <v>0.75</v>
      </c>
      <c r="Q57" s="100">
        <v>11.25</v>
      </c>
      <c r="R57" s="6"/>
      <c r="S57" s="6"/>
      <c r="T57" s="156"/>
      <c r="U57" s="6"/>
    </row>
    <row r="58" spans="1:21" customFormat="1">
      <c r="A58" s="163" t="s">
        <v>1728</v>
      </c>
      <c r="B58" s="100">
        <v>7.79</v>
      </c>
      <c r="C58" s="100">
        <v>27.49</v>
      </c>
      <c r="D58" s="100">
        <v>21.96</v>
      </c>
      <c r="E58" s="100">
        <v>11.52</v>
      </c>
      <c r="F58" s="152" t="s">
        <v>15</v>
      </c>
      <c r="G58" s="100">
        <v>73.08</v>
      </c>
      <c r="H58" s="100">
        <v>44.87</v>
      </c>
      <c r="I58" s="100">
        <v>12.15</v>
      </c>
      <c r="J58" s="100">
        <v>0.59</v>
      </c>
      <c r="K58" s="100">
        <v>21.81</v>
      </c>
      <c r="L58" s="100">
        <v>30.37</v>
      </c>
      <c r="M58" s="100">
        <v>17.09</v>
      </c>
      <c r="N58" s="100">
        <v>373</v>
      </c>
      <c r="O58" s="100">
        <v>0</v>
      </c>
      <c r="P58" s="100">
        <v>0.73</v>
      </c>
      <c r="Q58" s="100">
        <v>11.25</v>
      </c>
      <c r="R58" s="6"/>
      <c r="S58" s="6"/>
      <c r="T58" s="156"/>
      <c r="U58" s="6"/>
    </row>
    <row r="59" spans="1:21" customFormat="1">
      <c r="A59" s="163" t="s">
        <v>1729</v>
      </c>
      <c r="B59" s="100">
        <v>6.94</v>
      </c>
      <c r="C59" s="100">
        <v>27.15</v>
      </c>
      <c r="D59" s="100">
        <v>21.1</v>
      </c>
      <c r="E59" s="100">
        <v>13.47</v>
      </c>
      <c r="F59" s="152" t="s">
        <v>15</v>
      </c>
      <c r="G59" s="100">
        <v>68.92</v>
      </c>
      <c r="H59" s="100">
        <v>44.86</v>
      </c>
      <c r="I59" s="100">
        <v>11.75</v>
      </c>
      <c r="J59" s="100">
        <v>0.82</v>
      </c>
      <c r="K59" s="100">
        <v>41.34</v>
      </c>
      <c r="L59" s="100">
        <v>30.18</v>
      </c>
      <c r="M59" s="100">
        <v>15.7</v>
      </c>
      <c r="N59" s="100">
        <v>373.6</v>
      </c>
      <c r="O59" s="100">
        <v>0</v>
      </c>
      <c r="P59" s="100">
        <v>0.71</v>
      </c>
      <c r="Q59" s="100">
        <v>11.25</v>
      </c>
      <c r="R59" s="6"/>
      <c r="S59" s="6"/>
      <c r="T59" s="156"/>
      <c r="U59" s="6"/>
    </row>
    <row r="60" spans="1:21" customFormat="1">
      <c r="A60" s="163" t="s">
        <v>1730</v>
      </c>
      <c r="B60" s="100">
        <v>6.37</v>
      </c>
      <c r="C60" s="100">
        <v>26.72</v>
      </c>
      <c r="D60" s="100">
        <v>20.420000000000002</v>
      </c>
      <c r="E60" s="100">
        <v>12.82</v>
      </c>
      <c r="F60" s="152" t="s">
        <v>15</v>
      </c>
      <c r="G60" s="100">
        <v>68.92</v>
      </c>
      <c r="H60" s="100">
        <v>44.86</v>
      </c>
      <c r="I60" s="100">
        <v>11.36</v>
      </c>
      <c r="J60" s="100">
        <v>0.5</v>
      </c>
      <c r="K60" s="100">
        <v>11.47</v>
      </c>
      <c r="L60" s="100">
        <v>30.89</v>
      </c>
      <c r="M60" s="100">
        <v>15.45</v>
      </c>
      <c r="N60" s="100">
        <v>371.9</v>
      </c>
      <c r="O60" s="100">
        <v>0</v>
      </c>
      <c r="P60" s="100">
        <v>0.69</v>
      </c>
      <c r="Q60" s="100">
        <v>11.25</v>
      </c>
      <c r="R60" s="6"/>
      <c r="S60" s="6"/>
      <c r="T60" s="156"/>
      <c r="U60" s="6"/>
    </row>
    <row r="61" spans="1:21" customFormat="1">
      <c r="A61" s="163" t="s">
        <v>1731</v>
      </c>
      <c r="B61" s="100">
        <v>5.97</v>
      </c>
      <c r="C61" s="100">
        <v>26.29</v>
      </c>
      <c r="D61" s="100">
        <v>19.87</v>
      </c>
      <c r="E61" s="100">
        <v>13.29</v>
      </c>
      <c r="F61" s="152" t="s">
        <v>15</v>
      </c>
      <c r="G61" s="100">
        <v>68.92</v>
      </c>
      <c r="H61" s="100">
        <v>44.86</v>
      </c>
      <c r="I61" s="100">
        <v>11.13</v>
      </c>
      <c r="J61" s="100">
        <v>0.57999999999999996</v>
      </c>
      <c r="K61" s="100">
        <v>334.51</v>
      </c>
      <c r="L61" s="100">
        <v>30.93</v>
      </c>
      <c r="M61" s="100">
        <v>15.79</v>
      </c>
      <c r="N61" s="100">
        <v>354.4</v>
      </c>
      <c r="O61" s="100">
        <v>0</v>
      </c>
      <c r="P61" s="100">
        <v>0.67</v>
      </c>
      <c r="Q61" s="100">
        <v>11.25</v>
      </c>
      <c r="R61" s="6"/>
      <c r="S61" s="6"/>
      <c r="T61" s="156"/>
      <c r="U61" s="6"/>
    </row>
    <row r="62" spans="1:21" customFormat="1">
      <c r="A62" s="163" t="s">
        <v>1732</v>
      </c>
      <c r="B62" s="100">
        <v>5.62</v>
      </c>
      <c r="C62" s="100">
        <v>25.73</v>
      </c>
      <c r="D62" s="100">
        <v>19.3</v>
      </c>
      <c r="E62" s="100">
        <v>16.29</v>
      </c>
      <c r="F62" s="152" t="s">
        <v>15</v>
      </c>
      <c r="G62" s="100">
        <v>57.02</v>
      </c>
      <c r="H62" s="100">
        <v>45.41</v>
      </c>
      <c r="I62" s="100">
        <v>10.94</v>
      </c>
      <c r="J62" s="100">
        <v>0.62</v>
      </c>
      <c r="K62" s="100">
        <v>42.19</v>
      </c>
      <c r="L62" s="100">
        <v>31.24</v>
      </c>
      <c r="M62" s="100">
        <v>15.04</v>
      </c>
      <c r="N62" s="100">
        <v>341.7</v>
      </c>
      <c r="O62" s="100">
        <v>0</v>
      </c>
      <c r="P62" s="100">
        <v>0.66</v>
      </c>
      <c r="Q62" s="100">
        <v>11.25</v>
      </c>
      <c r="R62" s="6"/>
      <c r="S62" s="6"/>
      <c r="T62" s="156"/>
      <c r="U62" s="6"/>
    </row>
    <row r="63" spans="1:21" customFormat="1">
      <c r="A63" s="163" t="s">
        <v>1733</v>
      </c>
      <c r="B63" s="100">
        <v>5.24</v>
      </c>
      <c r="C63" s="100">
        <v>25.24</v>
      </c>
      <c r="D63" s="100">
        <v>18.739999999999998</v>
      </c>
      <c r="E63" s="100">
        <v>11.1</v>
      </c>
      <c r="F63" s="152" t="s">
        <v>15</v>
      </c>
      <c r="G63" s="100">
        <v>52.69</v>
      </c>
      <c r="H63" s="100">
        <v>45.41</v>
      </c>
      <c r="I63" s="100">
        <v>10.72</v>
      </c>
      <c r="J63" s="100">
        <v>0.39</v>
      </c>
      <c r="K63" s="100">
        <v>78.319999999999993</v>
      </c>
      <c r="L63" s="100">
        <v>32.03</v>
      </c>
      <c r="M63" s="100">
        <v>14.61</v>
      </c>
      <c r="N63" s="100">
        <v>323.89999999999998</v>
      </c>
      <c r="O63" s="100">
        <v>0</v>
      </c>
      <c r="P63" s="100">
        <v>0.62</v>
      </c>
      <c r="Q63" s="100">
        <v>11.25</v>
      </c>
      <c r="R63" s="6"/>
      <c r="S63" s="6"/>
      <c r="T63" s="156"/>
      <c r="U63" s="6"/>
    </row>
    <row r="64" spans="1:21" customFormat="1">
      <c r="A64" s="163" t="s">
        <v>1734</v>
      </c>
      <c r="B64" s="100">
        <v>4.75</v>
      </c>
      <c r="C64" s="100">
        <v>25</v>
      </c>
      <c r="D64" s="100">
        <v>18.23</v>
      </c>
      <c r="E64" s="100">
        <v>11.6</v>
      </c>
      <c r="F64" s="152" t="s">
        <v>15</v>
      </c>
      <c r="G64" s="100">
        <v>52.69</v>
      </c>
      <c r="H64" s="100">
        <v>45.41</v>
      </c>
      <c r="I64" s="100">
        <v>10.52</v>
      </c>
      <c r="J64" s="100">
        <v>1.17</v>
      </c>
      <c r="K64" s="100">
        <v>50.84</v>
      </c>
      <c r="L64" s="100">
        <v>31.36</v>
      </c>
      <c r="M64" s="100">
        <v>14.85</v>
      </c>
      <c r="N64" s="100">
        <v>340.7</v>
      </c>
      <c r="O64" s="100">
        <v>0</v>
      </c>
      <c r="P64" s="100">
        <v>0.55000000000000004</v>
      </c>
      <c r="Q64" s="100">
        <v>11.25</v>
      </c>
      <c r="R64" s="6"/>
      <c r="S64" s="6"/>
      <c r="T64" s="156"/>
      <c r="U64" s="6"/>
    </row>
    <row r="65" spans="1:21" customFormat="1">
      <c r="A65" s="163" t="s">
        <v>1735</v>
      </c>
      <c r="B65" s="100">
        <v>4.55</v>
      </c>
      <c r="C65" s="100">
        <v>24.88</v>
      </c>
      <c r="D65" s="100">
        <v>17.989999999999998</v>
      </c>
      <c r="E65" s="100">
        <v>11.32</v>
      </c>
      <c r="F65" s="152" t="s">
        <v>15</v>
      </c>
      <c r="G65" s="100">
        <v>52.69</v>
      </c>
      <c r="H65" s="100">
        <v>45.41</v>
      </c>
      <c r="I65" s="100">
        <v>10.36</v>
      </c>
      <c r="J65" s="100">
        <v>1.03</v>
      </c>
      <c r="K65" s="100">
        <v>56.99</v>
      </c>
      <c r="L65" s="100">
        <v>31.59</v>
      </c>
      <c r="M65" s="100">
        <v>14.23</v>
      </c>
      <c r="N65" s="100">
        <v>342.1</v>
      </c>
      <c r="O65" s="100">
        <v>0</v>
      </c>
      <c r="P65" s="100">
        <v>0.65</v>
      </c>
      <c r="Q65" s="100">
        <v>11.25</v>
      </c>
      <c r="R65" s="6"/>
      <c r="S65" s="6"/>
      <c r="T65" s="156"/>
      <c r="U65" s="6"/>
    </row>
    <row r="66" spans="1:21" customFormat="1">
      <c r="A66" s="163" t="s">
        <v>1736</v>
      </c>
      <c r="B66" s="100">
        <v>4.4800000000000004</v>
      </c>
      <c r="C66" s="100">
        <v>24.51</v>
      </c>
      <c r="D66" s="100">
        <v>17.75</v>
      </c>
      <c r="E66" s="100">
        <v>11.5</v>
      </c>
      <c r="F66" s="152" t="s">
        <v>15</v>
      </c>
      <c r="G66" s="100">
        <v>60.95</v>
      </c>
      <c r="H66" s="100">
        <v>42.66</v>
      </c>
      <c r="I66" s="100">
        <v>10.11</v>
      </c>
      <c r="J66" s="100">
        <v>0.53</v>
      </c>
      <c r="K66" s="100">
        <v>78.61</v>
      </c>
      <c r="L66" s="100">
        <v>31.9</v>
      </c>
      <c r="M66" s="100">
        <v>13.36</v>
      </c>
      <c r="N66" s="100">
        <v>329.2</v>
      </c>
      <c r="O66" s="100">
        <v>0</v>
      </c>
      <c r="P66" s="100">
        <v>0.65</v>
      </c>
      <c r="Q66" s="100">
        <v>11.25</v>
      </c>
      <c r="R66" s="6"/>
      <c r="S66" s="6"/>
      <c r="T66" s="156"/>
      <c r="U66" s="6"/>
    </row>
    <row r="67" spans="1:21" customFormat="1">
      <c r="A67" s="163" t="s">
        <v>1737</v>
      </c>
      <c r="B67" s="100">
        <v>4.53</v>
      </c>
      <c r="C67" s="100">
        <v>23.92</v>
      </c>
      <c r="D67" s="100">
        <v>17.48</v>
      </c>
      <c r="E67" s="100">
        <v>12.13</v>
      </c>
      <c r="F67" s="152" t="s">
        <v>15</v>
      </c>
      <c r="G67" s="100">
        <v>63.96</v>
      </c>
      <c r="H67" s="100">
        <v>42.62</v>
      </c>
      <c r="I67" s="100">
        <v>9.73</v>
      </c>
      <c r="J67" s="100">
        <v>0.57999999999999996</v>
      </c>
      <c r="K67" s="100">
        <v>309.11</v>
      </c>
      <c r="L67" s="100">
        <v>31.66</v>
      </c>
      <c r="M67" s="100">
        <v>14.15</v>
      </c>
      <c r="N67" s="100">
        <v>309.89999999999998</v>
      </c>
      <c r="O67" s="100">
        <v>0</v>
      </c>
      <c r="P67" s="100">
        <v>0.63</v>
      </c>
      <c r="Q67" s="100">
        <v>11.25</v>
      </c>
      <c r="R67" s="6"/>
      <c r="S67" s="6"/>
      <c r="T67" s="156"/>
      <c r="U67" s="6"/>
    </row>
    <row r="68" spans="1:21" customFormat="1">
      <c r="A68" s="163" t="s">
        <v>1738</v>
      </c>
      <c r="B68" s="100">
        <v>4.67</v>
      </c>
      <c r="C68" s="100">
        <v>23.52</v>
      </c>
      <c r="D68" s="100">
        <v>17.39</v>
      </c>
      <c r="E68" s="100">
        <v>12.18</v>
      </c>
      <c r="F68" s="152" t="s">
        <v>15</v>
      </c>
      <c r="G68" s="100">
        <v>63.96</v>
      </c>
      <c r="H68" s="100">
        <v>42.62</v>
      </c>
      <c r="I68" s="100">
        <v>9.32</v>
      </c>
      <c r="J68" s="100">
        <v>1.18</v>
      </c>
      <c r="K68" s="100">
        <v>320.29000000000002</v>
      </c>
      <c r="L68" s="100">
        <v>31.24</v>
      </c>
      <c r="M68" s="100">
        <v>14.41</v>
      </c>
      <c r="N68" s="100">
        <v>115.4</v>
      </c>
      <c r="O68" s="100">
        <v>0</v>
      </c>
      <c r="P68" s="100">
        <v>0.62</v>
      </c>
      <c r="Q68" s="100">
        <v>11.25</v>
      </c>
      <c r="R68" s="6"/>
      <c r="S68" s="6"/>
      <c r="T68" s="156"/>
      <c r="U68" s="6"/>
    </row>
    <row r="69" spans="1:21" customFormat="1">
      <c r="A69" s="163" t="s">
        <v>1739</v>
      </c>
      <c r="B69" s="100">
        <v>4.87</v>
      </c>
      <c r="C69" s="100">
        <v>23.17</v>
      </c>
      <c r="D69" s="100">
        <v>17.36</v>
      </c>
      <c r="E69" s="100">
        <v>12.8</v>
      </c>
      <c r="F69" s="152" t="s">
        <v>15</v>
      </c>
      <c r="G69" s="100">
        <v>63.96</v>
      </c>
      <c r="H69" s="100">
        <v>42.62</v>
      </c>
      <c r="I69" s="100">
        <v>9.0299999999999994</v>
      </c>
      <c r="J69" s="100">
        <v>0.83</v>
      </c>
      <c r="K69" s="100">
        <v>338.22</v>
      </c>
      <c r="L69" s="100">
        <v>30.83</v>
      </c>
      <c r="M69" s="100">
        <v>14.62</v>
      </c>
      <c r="N69" s="100">
        <v>51.5</v>
      </c>
      <c r="O69" s="100">
        <v>0</v>
      </c>
      <c r="P69" s="100">
        <v>0.6</v>
      </c>
      <c r="Q69" s="100">
        <v>11.25</v>
      </c>
      <c r="R69" s="6"/>
      <c r="S69" s="6"/>
      <c r="T69" s="156"/>
      <c r="U69" s="6"/>
    </row>
    <row r="70" spans="1:21" customFormat="1">
      <c r="A70" s="163" t="s">
        <v>1740</v>
      </c>
      <c r="B70" s="100">
        <v>5.0599999999999996</v>
      </c>
      <c r="C70" s="100">
        <v>22.67</v>
      </c>
      <c r="D70" s="100">
        <v>17.25</v>
      </c>
      <c r="E70" s="100">
        <v>13.66</v>
      </c>
      <c r="F70" s="152" t="s">
        <v>15</v>
      </c>
      <c r="G70" s="100">
        <v>53.09</v>
      </c>
      <c r="H70" s="100">
        <v>40.57</v>
      </c>
      <c r="I70" s="100">
        <v>8.7899999999999991</v>
      </c>
      <c r="J70" s="100">
        <v>0.88</v>
      </c>
      <c r="K70" s="100">
        <v>38.49</v>
      </c>
      <c r="L70" s="100">
        <v>31.06</v>
      </c>
      <c r="M70" s="100">
        <v>14.56</v>
      </c>
      <c r="N70" s="100">
        <v>46.8</v>
      </c>
      <c r="O70" s="100">
        <v>0</v>
      </c>
      <c r="P70" s="100">
        <v>0.57999999999999996</v>
      </c>
      <c r="Q70" s="100">
        <v>11.25</v>
      </c>
      <c r="R70" s="6"/>
      <c r="S70" s="6"/>
      <c r="T70" s="156"/>
      <c r="U70" s="6"/>
    </row>
    <row r="71" spans="1:21" customFormat="1">
      <c r="A71" s="163" t="s">
        <v>1741</v>
      </c>
      <c r="B71" s="100">
        <v>5.13</v>
      </c>
      <c r="C71" s="100">
        <v>22.66</v>
      </c>
      <c r="D71" s="100">
        <v>17.309999999999999</v>
      </c>
      <c r="E71" s="100">
        <v>13.47</v>
      </c>
      <c r="F71" s="152" t="s">
        <v>15</v>
      </c>
      <c r="G71" s="100">
        <v>49.14</v>
      </c>
      <c r="H71" s="100">
        <v>40.520000000000003</v>
      </c>
      <c r="I71" s="100">
        <v>8.44</v>
      </c>
      <c r="J71" s="100">
        <v>0.65</v>
      </c>
      <c r="K71" s="100">
        <v>4.0999999999999996</v>
      </c>
      <c r="L71" s="100">
        <v>30.99</v>
      </c>
      <c r="M71" s="100">
        <v>14.68</v>
      </c>
      <c r="N71" s="100">
        <v>50.2</v>
      </c>
      <c r="O71" s="100">
        <v>0</v>
      </c>
      <c r="P71" s="100">
        <v>0.57999999999999996</v>
      </c>
      <c r="Q71" s="100">
        <v>11.25</v>
      </c>
      <c r="R71" s="6"/>
      <c r="S71" s="6"/>
      <c r="T71" s="156"/>
      <c r="U71" s="6"/>
    </row>
    <row r="72" spans="1:21" customFormat="1">
      <c r="A72" s="163" t="s">
        <v>1742</v>
      </c>
      <c r="B72" s="100">
        <v>5.07</v>
      </c>
      <c r="C72" s="100">
        <v>22.73</v>
      </c>
      <c r="D72" s="100">
        <v>17.29</v>
      </c>
      <c r="E72" s="100">
        <v>13.51</v>
      </c>
      <c r="F72" s="152" t="s">
        <v>15</v>
      </c>
      <c r="G72" s="100">
        <v>49.14</v>
      </c>
      <c r="H72" s="100">
        <v>40.520000000000003</v>
      </c>
      <c r="I72" s="100">
        <v>8.18</v>
      </c>
      <c r="J72" s="100">
        <v>1.1200000000000001</v>
      </c>
      <c r="K72" s="100">
        <v>29.56</v>
      </c>
      <c r="L72" s="100">
        <v>30.76</v>
      </c>
      <c r="M72" s="100">
        <v>14.84</v>
      </c>
      <c r="N72" s="100">
        <v>43.1</v>
      </c>
      <c r="O72" s="100">
        <v>0</v>
      </c>
      <c r="P72" s="100">
        <v>0.56999999999999995</v>
      </c>
      <c r="Q72" s="100">
        <v>11.25</v>
      </c>
      <c r="R72" s="6"/>
      <c r="S72" s="6"/>
      <c r="T72" s="156"/>
      <c r="U72" s="6"/>
    </row>
    <row r="73" spans="1:21" customFormat="1">
      <c r="A73" s="163" t="s">
        <v>1743</v>
      </c>
      <c r="B73" s="100">
        <v>5.09</v>
      </c>
      <c r="C73" s="100">
        <v>22.63</v>
      </c>
      <c r="D73" s="100">
        <v>17.260000000000002</v>
      </c>
      <c r="E73" s="100">
        <v>11.88</v>
      </c>
      <c r="F73" s="152" t="s">
        <v>15</v>
      </c>
      <c r="G73" s="100">
        <v>49.14</v>
      </c>
      <c r="H73" s="100">
        <v>40.520000000000003</v>
      </c>
      <c r="I73" s="100">
        <v>8.0500000000000007</v>
      </c>
      <c r="J73" s="100">
        <v>1.18</v>
      </c>
      <c r="K73" s="100">
        <v>50</v>
      </c>
      <c r="L73" s="100">
        <v>30.63</v>
      </c>
      <c r="M73" s="100">
        <v>14.83</v>
      </c>
      <c r="N73" s="100">
        <v>56.9</v>
      </c>
      <c r="O73" s="100">
        <v>0</v>
      </c>
      <c r="P73" s="100">
        <v>0.56000000000000005</v>
      </c>
      <c r="Q73" s="100">
        <v>11.25</v>
      </c>
      <c r="R73" s="6"/>
      <c r="S73" s="6"/>
      <c r="T73" s="156"/>
      <c r="U73" s="6"/>
    </row>
    <row r="74" spans="1:21" customFormat="1">
      <c r="A74" s="163" t="s">
        <v>1744</v>
      </c>
      <c r="B74" s="100">
        <v>4.9800000000000004</v>
      </c>
      <c r="C74" s="100">
        <v>22.74</v>
      </c>
      <c r="D74" s="100">
        <v>17.22</v>
      </c>
      <c r="E74" s="100">
        <v>15.47</v>
      </c>
      <c r="F74" s="152" t="s">
        <v>15</v>
      </c>
      <c r="G74" s="100">
        <v>41.09</v>
      </c>
      <c r="H74" s="100">
        <v>39.4</v>
      </c>
      <c r="I74" s="100">
        <v>7.79</v>
      </c>
      <c r="J74" s="100">
        <v>0.72</v>
      </c>
      <c r="K74" s="100">
        <v>57.09</v>
      </c>
      <c r="L74" s="100">
        <v>30.57</v>
      </c>
      <c r="M74" s="100">
        <v>15.42</v>
      </c>
      <c r="N74" s="100">
        <v>36.200000000000003</v>
      </c>
      <c r="O74" s="100">
        <v>0</v>
      </c>
      <c r="P74" s="100">
        <v>0.56000000000000005</v>
      </c>
      <c r="Q74" s="100">
        <v>11.25</v>
      </c>
      <c r="R74" s="6"/>
      <c r="S74" s="6"/>
      <c r="T74" s="156"/>
      <c r="U74" s="6"/>
    </row>
    <row r="75" spans="1:21" customFormat="1">
      <c r="A75" s="163" t="s">
        <v>1745</v>
      </c>
      <c r="B75" s="100">
        <v>4.75</v>
      </c>
      <c r="C75" s="100">
        <v>23.14</v>
      </c>
      <c r="D75" s="100">
        <v>17.25</v>
      </c>
      <c r="E75" s="100">
        <v>12.45</v>
      </c>
      <c r="F75" s="152" t="s">
        <v>15</v>
      </c>
      <c r="G75" s="100">
        <v>38.159999999999997</v>
      </c>
      <c r="H75" s="100">
        <v>39.380000000000003</v>
      </c>
      <c r="I75" s="100">
        <v>7.49</v>
      </c>
      <c r="J75" s="100">
        <v>1</v>
      </c>
      <c r="K75" s="100">
        <v>46.06</v>
      </c>
      <c r="L75" s="100">
        <v>30.43</v>
      </c>
      <c r="M75" s="100">
        <v>15.72</v>
      </c>
      <c r="N75" s="100">
        <v>31.8</v>
      </c>
      <c r="O75" s="100">
        <v>0</v>
      </c>
      <c r="P75" s="100">
        <v>0.54</v>
      </c>
      <c r="Q75" s="100">
        <v>11.25</v>
      </c>
      <c r="R75" s="6"/>
      <c r="S75" s="6"/>
      <c r="T75" s="156"/>
      <c r="U75" s="6"/>
    </row>
    <row r="76" spans="1:21" customFormat="1">
      <c r="A76" s="163" t="s">
        <v>1746</v>
      </c>
      <c r="B76" s="100">
        <v>4.8499999999999996</v>
      </c>
      <c r="C76" s="100">
        <v>23.61</v>
      </c>
      <c r="D76" s="100">
        <v>17.57</v>
      </c>
      <c r="E76" s="100">
        <v>15.03</v>
      </c>
      <c r="F76" s="152" t="s">
        <v>15</v>
      </c>
      <c r="G76" s="100">
        <v>38.159999999999997</v>
      </c>
      <c r="H76" s="100">
        <v>39.380000000000003</v>
      </c>
      <c r="I76" s="100">
        <v>7.46</v>
      </c>
      <c r="J76" s="100">
        <v>0.43</v>
      </c>
      <c r="K76" s="100">
        <v>15.64</v>
      </c>
      <c r="L76" s="100">
        <v>30.44</v>
      </c>
      <c r="M76" s="100">
        <v>16.190000000000001</v>
      </c>
      <c r="N76" s="100">
        <v>40.1</v>
      </c>
      <c r="O76" s="100">
        <v>0</v>
      </c>
      <c r="P76" s="100">
        <v>0.55000000000000004</v>
      </c>
      <c r="Q76" s="100">
        <v>11.25</v>
      </c>
      <c r="R76" s="6"/>
      <c r="S76" s="6"/>
      <c r="T76" s="156"/>
      <c r="U76" s="6"/>
    </row>
    <row r="77" spans="1:21" customFormat="1">
      <c r="A77" s="163" t="s">
        <v>1747</v>
      </c>
      <c r="B77" s="100">
        <v>4.99</v>
      </c>
      <c r="C77" s="100">
        <v>24.17</v>
      </c>
      <c r="D77" s="100">
        <v>17.98</v>
      </c>
      <c r="E77" s="100">
        <v>13.41</v>
      </c>
      <c r="F77" s="152" t="s">
        <v>15</v>
      </c>
      <c r="G77" s="100">
        <v>38.159999999999997</v>
      </c>
      <c r="H77" s="100">
        <v>39.380000000000003</v>
      </c>
      <c r="I77" s="100">
        <v>7.46</v>
      </c>
      <c r="J77" s="100">
        <v>0.2</v>
      </c>
      <c r="K77" s="100">
        <v>16.89</v>
      </c>
      <c r="L77" s="100">
        <v>30.1</v>
      </c>
      <c r="M77" s="100">
        <v>17.62</v>
      </c>
      <c r="N77" s="100">
        <v>21.1</v>
      </c>
      <c r="O77" s="100">
        <v>0</v>
      </c>
      <c r="P77" s="100">
        <v>0.54</v>
      </c>
      <c r="Q77" s="100">
        <v>11.25</v>
      </c>
      <c r="R77" s="6"/>
      <c r="S77" s="6"/>
      <c r="T77" s="156"/>
      <c r="U77" s="6"/>
    </row>
    <row r="78" spans="1:21" customFormat="1">
      <c r="A78" s="163" t="s">
        <v>1748</v>
      </c>
      <c r="B78" s="100">
        <v>5.13</v>
      </c>
      <c r="C78" s="100">
        <v>24.69</v>
      </c>
      <c r="D78" s="100">
        <v>18.37</v>
      </c>
      <c r="E78" s="100">
        <v>11.44</v>
      </c>
      <c r="F78" s="152" t="s">
        <v>15</v>
      </c>
      <c r="G78" s="100">
        <v>40.69</v>
      </c>
      <c r="H78" s="100">
        <v>36.36</v>
      </c>
      <c r="I78" s="100">
        <v>7.28</v>
      </c>
      <c r="J78" s="100">
        <v>0.35</v>
      </c>
      <c r="K78" s="100">
        <v>41.68</v>
      </c>
      <c r="L78" s="100">
        <v>29.73</v>
      </c>
      <c r="M78" s="100">
        <v>18.07</v>
      </c>
      <c r="N78" s="100">
        <v>14.5</v>
      </c>
      <c r="O78" s="100">
        <v>0</v>
      </c>
      <c r="P78" s="100">
        <v>0.56000000000000005</v>
      </c>
      <c r="Q78" s="100">
        <v>11.25</v>
      </c>
      <c r="R78" s="6"/>
      <c r="S78" s="6"/>
      <c r="T78" s="156"/>
      <c r="U78" s="6"/>
    </row>
    <row r="79" spans="1:21" customFormat="1">
      <c r="A79" s="163" t="s">
        <v>1749</v>
      </c>
      <c r="B79" s="100">
        <v>5.32</v>
      </c>
      <c r="C79" s="100">
        <v>25.17</v>
      </c>
      <c r="D79" s="100">
        <v>18.77</v>
      </c>
      <c r="E79" s="100">
        <v>10.4</v>
      </c>
      <c r="F79" s="152" t="s">
        <v>15</v>
      </c>
      <c r="G79" s="100">
        <v>41.62</v>
      </c>
      <c r="H79" s="100">
        <v>36.32</v>
      </c>
      <c r="I79" s="100">
        <v>7.15</v>
      </c>
      <c r="J79" s="100">
        <v>0.22</v>
      </c>
      <c r="K79" s="100">
        <v>194.85</v>
      </c>
      <c r="L79" s="100">
        <v>28.6</v>
      </c>
      <c r="M79" s="100">
        <v>22.29</v>
      </c>
      <c r="N79" s="100">
        <v>9.3000000000000007</v>
      </c>
      <c r="O79" s="100">
        <v>0</v>
      </c>
      <c r="P79" s="100">
        <v>0.55000000000000004</v>
      </c>
      <c r="Q79" s="100">
        <v>11.25</v>
      </c>
      <c r="R79" s="6"/>
      <c r="S79" s="6"/>
      <c r="T79" s="156"/>
      <c r="U79" s="6"/>
    </row>
    <row r="80" spans="1:21" customFormat="1">
      <c r="A80" s="163" t="s">
        <v>1750</v>
      </c>
      <c r="B80" s="100">
        <v>5.38</v>
      </c>
      <c r="C80" s="100">
        <v>25.26</v>
      </c>
      <c r="D80" s="100">
        <v>18.87</v>
      </c>
      <c r="E80" s="100">
        <v>10.08</v>
      </c>
      <c r="F80" s="152" t="s">
        <v>15</v>
      </c>
      <c r="G80" s="100">
        <v>41.62</v>
      </c>
      <c r="H80" s="100">
        <v>36.32</v>
      </c>
      <c r="I80" s="100">
        <v>7.12</v>
      </c>
      <c r="J80" s="100">
        <v>0.25</v>
      </c>
      <c r="K80" s="100">
        <v>178.18</v>
      </c>
      <c r="L80" s="100">
        <v>26.88</v>
      </c>
      <c r="M80" s="100">
        <v>31.48</v>
      </c>
      <c r="N80" s="100">
        <v>4.5999999999999996</v>
      </c>
      <c r="O80" s="100">
        <v>0</v>
      </c>
      <c r="P80" s="100">
        <v>0.55000000000000004</v>
      </c>
      <c r="Q80" s="100">
        <v>11.25</v>
      </c>
      <c r="R80" s="6"/>
      <c r="S80" s="6"/>
      <c r="T80" s="156"/>
      <c r="U80" s="6"/>
    </row>
    <row r="81" spans="1:21" customFormat="1">
      <c r="A81" s="163" t="s">
        <v>1751</v>
      </c>
      <c r="B81" s="100">
        <v>5.53</v>
      </c>
      <c r="C81" s="100">
        <v>24.59</v>
      </c>
      <c r="D81" s="100">
        <v>18.64</v>
      </c>
      <c r="E81" s="100">
        <v>8.36</v>
      </c>
      <c r="F81" s="152" t="s">
        <v>15</v>
      </c>
      <c r="G81" s="100">
        <v>41.62</v>
      </c>
      <c r="H81" s="100">
        <v>36.32</v>
      </c>
      <c r="I81" s="100">
        <v>7.11</v>
      </c>
      <c r="J81" s="100">
        <v>0.22</v>
      </c>
      <c r="K81" s="100">
        <v>167.67</v>
      </c>
      <c r="L81" s="100">
        <v>25.65</v>
      </c>
      <c r="M81" s="100">
        <v>37.21</v>
      </c>
      <c r="N81" s="100">
        <v>2.2000000000000002</v>
      </c>
      <c r="O81" s="100">
        <v>0</v>
      </c>
      <c r="P81" s="100">
        <v>0.55000000000000004</v>
      </c>
      <c r="Q81" s="100">
        <v>11.25</v>
      </c>
      <c r="R81" s="6"/>
      <c r="S81" s="6"/>
      <c r="T81" s="156"/>
      <c r="U81" s="6"/>
    </row>
    <row r="82" spans="1:21" customFormat="1">
      <c r="A82" s="163" t="s">
        <v>1752</v>
      </c>
      <c r="B82" s="100">
        <v>5.6</v>
      </c>
      <c r="C82" s="100">
        <v>24.29</v>
      </c>
      <c r="D82" s="100">
        <v>18.53</v>
      </c>
      <c r="E82" s="100">
        <v>9.83</v>
      </c>
      <c r="F82" s="152" t="s">
        <v>15</v>
      </c>
      <c r="G82" s="100">
        <v>51.07</v>
      </c>
      <c r="H82" s="100">
        <v>32.57</v>
      </c>
      <c r="I82" s="100">
        <v>7.13</v>
      </c>
      <c r="J82" s="100">
        <v>0.25</v>
      </c>
      <c r="K82" s="100">
        <v>160.94</v>
      </c>
      <c r="L82" s="100">
        <v>25.41</v>
      </c>
      <c r="M82" s="100">
        <v>33.450000000000003</v>
      </c>
      <c r="N82" s="100">
        <v>1.3</v>
      </c>
      <c r="O82" s="100">
        <v>0</v>
      </c>
      <c r="P82" s="100">
        <v>0.56999999999999995</v>
      </c>
      <c r="Q82" s="100">
        <v>11.25</v>
      </c>
      <c r="R82" s="6"/>
      <c r="S82" s="6"/>
      <c r="T82" s="156"/>
      <c r="U82" s="6"/>
    </row>
    <row r="83" spans="1:21" customFormat="1">
      <c r="A83" s="163" t="s">
        <v>1753</v>
      </c>
      <c r="B83" s="100">
        <v>5.69</v>
      </c>
      <c r="C83" s="100">
        <v>24.84</v>
      </c>
      <c r="D83" s="100">
        <v>18.89</v>
      </c>
      <c r="E83" s="100">
        <v>9.8699999999999992</v>
      </c>
      <c r="F83" s="152" t="s">
        <v>15</v>
      </c>
      <c r="G83" s="100">
        <v>54.5</v>
      </c>
      <c r="H83" s="100">
        <v>32.520000000000003</v>
      </c>
      <c r="I83" s="100">
        <v>7.16</v>
      </c>
      <c r="J83" s="100">
        <v>0.24</v>
      </c>
      <c r="K83" s="100">
        <v>164.64</v>
      </c>
      <c r="L83" s="100">
        <v>24.57</v>
      </c>
      <c r="M83" s="100">
        <v>38.86</v>
      </c>
      <c r="N83" s="100">
        <v>1.5</v>
      </c>
      <c r="O83" s="100">
        <v>0</v>
      </c>
      <c r="P83" s="100">
        <v>0.61</v>
      </c>
      <c r="Q83" s="100">
        <v>11.25</v>
      </c>
      <c r="R83" s="6"/>
      <c r="S83" s="6"/>
      <c r="T83" s="156"/>
      <c r="U83" s="6"/>
    </row>
    <row r="84" spans="1:21" customFormat="1">
      <c r="A84" s="163" t="s">
        <v>1754</v>
      </c>
      <c r="B84" s="100">
        <v>6.03</v>
      </c>
      <c r="C84" s="100">
        <v>24.74</v>
      </c>
      <c r="D84" s="100">
        <v>19.12</v>
      </c>
      <c r="E84" s="100">
        <v>9.86</v>
      </c>
      <c r="F84" s="152" t="s">
        <v>15</v>
      </c>
      <c r="G84" s="100">
        <v>54.5</v>
      </c>
      <c r="H84" s="100">
        <v>32.520000000000003</v>
      </c>
      <c r="I84" s="100">
        <v>7.32</v>
      </c>
      <c r="J84" s="100">
        <v>0.24</v>
      </c>
      <c r="K84" s="100">
        <v>167.73</v>
      </c>
      <c r="L84" s="100">
        <v>23.67</v>
      </c>
      <c r="M84" s="100">
        <v>44.12</v>
      </c>
      <c r="N84" s="100">
        <v>1.5</v>
      </c>
      <c r="O84" s="100">
        <v>0</v>
      </c>
      <c r="P84" s="100">
        <v>0.66</v>
      </c>
      <c r="Q84" s="100">
        <v>11.25</v>
      </c>
      <c r="R84" s="6"/>
      <c r="S84" s="6"/>
      <c r="T84" s="156"/>
      <c r="U84" s="6"/>
    </row>
    <row r="85" spans="1:21" customFormat="1">
      <c r="A85" s="163" t="s">
        <v>1755</v>
      </c>
      <c r="B85" s="100">
        <v>6.43</v>
      </c>
      <c r="C85" s="100">
        <v>24.07</v>
      </c>
      <c r="D85" s="100">
        <v>19.079999999999998</v>
      </c>
      <c r="E85" s="100">
        <v>9.5500000000000007</v>
      </c>
      <c r="F85" s="152" t="s">
        <v>15</v>
      </c>
      <c r="G85" s="100">
        <v>54.5</v>
      </c>
      <c r="H85" s="100">
        <v>32.520000000000003</v>
      </c>
      <c r="I85" s="100">
        <v>7.76</v>
      </c>
      <c r="J85" s="100">
        <v>0.21</v>
      </c>
      <c r="K85" s="100">
        <v>184.6</v>
      </c>
      <c r="L85" s="100">
        <v>23.13</v>
      </c>
      <c r="M85" s="100">
        <v>45.09</v>
      </c>
      <c r="N85" s="100">
        <v>1.3</v>
      </c>
      <c r="O85" s="100">
        <v>0</v>
      </c>
      <c r="P85" s="100">
        <v>0.69</v>
      </c>
      <c r="Q85" s="100">
        <v>11.25</v>
      </c>
      <c r="R85" s="6"/>
      <c r="S85" s="6"/>
      <c r="T85" s="156"/>
      <c r="U85" s="6"/>
    </row>
    <row r="86" spans="1:21" customFormat="1">
      <c r="A86" s="163" t="s">
        <v>1756</v>
      </c>
      <c r="B86" s="100">
        <v>6.72</v>
      </c>
      <c r="C86" s="100">
        <v>23.43</v>
      </c>
      <c r="D86" s="100">
        <v>18.98</v>
      </c>
      <c r="E86" s="100">
        <v>9.4499999999999993</v>
      </c>
      <c r="F86" s="152" t="s">
        <v>15</v>
      </c>
      <c r="G86" s="100">
        <v>138.91</v>
      </c>
      <c r="H86" s="100">
        <v>45.13</v>
      </c>
      <c r="I86" s="100">
        <v>8.1</v>
      </c>
      <c r="J86" s="100">
        <v>0.26</v>
      </c>
      <c r="K86" s="100">
        <v>176.18</v>
      </c>
      <c r="L86" s="100">
        <v>22.46</v>
      </c>
      <c r="M86" s="100">
        <v>47.78</v>
      </c>
      <c r="N86" s="100">
        <v>1.4</v>
      </c>
      <c r="O86" s="100">
        <v>0</v>
      </c>
      <c r="P86" s="100">
        <v>0.7</v>
      </c>
      <c r="Q86" s="100">
        <v>11.25</v>
      </c>
      <c r="R86" s="6"/>
      <c r="S86" s="6"/>
      <c r="T86" s="156"/>
      <c r="U86" s="6"/>
    </row>
    <row r="87" spans="1:21" customFormat="1">
      <c r="A87" s="163" t="s">
        <v>1757</v>
      </c>
      <c r="B87" s="100">
        <v>6.97</v>
      </c>
      <c r="C87" s="100">
        <v>22.72</v>
      </c>
      <c r="D87" s="100">
        <v>18.809999999999999</v>
      </c>
      <c r="E87" s="100">
        <v>9.39</v>
      </c>
      <c r="F87" s="152" t="s">
        <v>15</v>
      </c>
      <c r="G87" s="100">
        <v>169.61</v>
      </c>
      <c r="H87" s="100">
        <v>45.32</v>
      </c>
      <c r="I87" s="100">
        <v>8.27</v>
      </c>
      <c r="J87" s="100">
        <v>0.17</v>
      </c>
      <c r="K87" s="100">
        <v>240.88</v>
      </c>
      <c r="L87" s="100">
        <v>21.92</v>
      </c>
      <c r="M87" s="100">
        <v>45.26</v>
      </c>
      <c r="N87" s="100">
        <v>1.3</v>
      </c>
      <c r="O87" s="100">
        <v>0</v>
      </c>
      <c r="P87" s="100">
        <v>0.71</v>
      </c>
      <c r="Q87" s="100">
        <v>11.25</v>
      </c>
      <c r="R87" s="6"/>
      <c r="S87" s="6"/>
      <c r="T87" s="156"/>
      <c r="U87" s="6"/>
    </row>
    <row r="88" spans="1:21" customFormat="1">
      <c r="A88" s="163" t="s">
        <v>1758</v>
      </c>
      <c r="B88" s="100">
        <v>7.25</v>
      </c>
      <c r="C88" s="100">
        <v>22.04</v>
      </c>
      <c r="D88" s="100">
        <v>18.68</v>
      </c>
      <c r="E88" s="100">
        <v>9.1999999999999993</v>
      </c>
      <c r="F88" s="152" t="s">
        <v>15</v>
      </c>
      <c r="G88" s="100">
        <v>169.61</v>
      </c>
      <c r="H88" s="100">
        <v>45.32</v>
      </c>
      <c r="I88" s="100">
        <v>8.48</v>
      </c>
      <c r="J88" s="100">
        <v>0.17</v>
      </c>
      <c r="K88" s="100">
        <v>130.75</v>
      </c>
      <c r="L88" s="100">
        <v>21.73</v>
      </c>
      <c r="M88" s="100">
        <v>46.23</v>
      </c>
      <c r="N88" s="100">
        <v>0.9</v>
      </c>
      <c r="O88" s="100">
        <v>0</v>
      </c>
      <c r="P88" s="100">
        <v>0.72</v>
      </c>
      <c r="Q88" s="100">
        <v>11.25</v>
      </c>
      <c r="R88" s="6"/>
      <c r="S88" s="6"/>
      <c r="T88" s="156"/>
      <c r="U88" s="6"/>
    </row>
    <row r="89" spans="1:21" customFormat="1">
      <c r="A89" s="163" t="s">
        <v>1759</v>
      </c>
      <c r="B89" s="100">
        <v>7.49</v>
      </c>
      <c r="C89" s="100">
        <v>21.83</v>
      </c>
      <c r="D89" s="100">
        <v>18.760000000000002</v>
      </c>
      <c r="E89" s="100">
        <v>9.49</v>
      </c>
      <c r="F89" s="152" t="s">
        <v>15</v>
      </c>
      <c r="G89" s="100">
        <v>169.61</v>
      </c>
      <c r="H89" s="100">
        <v>45.32</v>
      </c>
      <c r="I89" s="100">
        <v>8.64</v>
      </c>
      <c r="J89" s="100">
        <v>0.13</v>
      </c>
      <c r="K89" s="100">
        <v>179.7</v>
      </c>
      <c r="L89" s="100">
        <v>21.68</v>
      </c>
      <c r="M89" s="100">
        <v>46.02</v>
      </c>
      <c r="N89" s="100">
        <v>0.9</v>
      </c>
      <c r="O89" s="100">
        <v>0</v>
      </c>
      <c r="P89" s="100">
        <v>0.73</v>
      </c>
      <c r="Q89" s="100">
        <v>11.25</v>
      </c>
      <c r="R89" s="6"/>
      <c r="S89" s="6"/>
      <c r="T89" s="156"/>
      <c r="U89" s="6"/>
    </row>
    <row r="90" spans="1:21" customFormat="1">
      <c r="A90" s="163" t="s">
        <v>1760</v>
      </c>
      <c r="B90" s="100">
        <v>7.68</v>
      </c>
      <c r="C90" s="100">
        <v>21.68</v>
      </c>
      <c r="D90" s="100">
        <v>18.829999999999998</v>
      </c>
      <c r="E90" s="100">
        <v>9.59</v>
      </c>
      <c r="F90" s="152" t="s">
        <v>15</v>
      </c>
      <c r="G90" s="100">
        <v>99.34</v>
      </c>
      <c r="H90" s="100">
        <v>34.26</v>
      </c>
      <c r="I90" s="100">
        <v>8.8000000000000007</v>
      </c>
      <c r="J90" s="100">
        <v>0.13</v>
      </c>
      <c r="K90" s="100">
        <v>206.23</v>
      </c>
      <c r="L90" s="100">
        <v>21.37</v>
      </c>
      <c r="M90" s="100">
        <v>49.27</v>
      </c>
      <c r="N90" s="100">
        <v>1</v>
      </c>
      <c r="O90" s="100">
        <v>0</v>
      </c>
      <c r="P90" s="100">
        <v>0.74</v>
      </c>
      <c r="Q90" s="100">
        <v>11.25</v>
      </c>
      <c r="R90" s="6"/>
      <c r="S90" s="6"/>
      <c r="T90" s="156"/>
      <c r="U90" s="6"/>
    </row>
    <row r="91" spans="1:21" customFormat="1">
      <c r="A91" s="163" t="s">
        <v>1761</v>
      </c>
      <c r="B91" s="100">
        <v>7.85</v>
      </c>
      <c r="C91" s="100">
        <v>21.49</v>
      </c>
      <c r="D91" s="100">
        <v>18.87</v>
      </c>
      <c r="E91" s="100">
        <v>9.17</v>
      </c>
      <c r="F91" s="152" t="s">
        <v>15</v>
      </c>
      <c r="G91" s="100">
        <v>73.790000000000006</v>
      </c>
      <c r="H91" s="100">
        <v>34.090000000000003</v>
      </c>
      <c r="I91" s="100">
        <v>8.9600000000000009</v>
      </c>
      <c r="J91" s="100">
        <v>0.12</v>
      </c>
      <c r="K91" s="100">
        <v>168.08</v>
      </c>
      <c r="L91" s="100">
        <v>21.05</v>
      </c>
      <c r="M91" s="100">
        <v>48.66</v>
      </c>
      <c r="N91" s="100">
        <v>0.9</v>
      </c>
      <c r="O91" s="100">
        <v>0</v>
      </c>
      <c r="P91" s="100">
        <v>0.75</v>
      </c>
      <c r="Q91" s="100">
        <v>11.25</v>
      </c>
      <c r="R91" s="6"/>
      <c r="S91" s="6"/>
      <c r="T91" s="156"/>
      <c r="U91" s="6"/>
    </row>
    <row r="92" spans="1:21" customFormat="1">
      <c r="A92" s="163" t="s">
        <v>1762</v>
      </c>
      <c r="B92" s="100">
        <v>8</v>
      </c>
      <c r="C92" s="100">
        <v>21.25</v>
      </c>
      <c r="D92" s="100">
        <v>18.87</v>
      </c>
      <c r="E92" s="100">
        <v>9.0500000000000007</v>
      </c>
      <c r="F92" s="152" t="s">
        <v>15</v>
      </c>
      <c r="G92" s="100">
        <v>73.790000000000006</v>
      </c>
      <c r="H92" s="100">
        <v>34.090000000000003</v>
      </c>
      <c r="I92" s="100">
        <v>9.06</v>
      </c>
      <c r="J92" s="100">
        <v>0.17</v>
      </c>
      <c r="K92" s="100">
        <v>167.98</v>
      </c>
      <c r="L92" s="100">
        <v>20.76</v>
      </c>
      <c r="M92" s="100">
        <v>57.68</v>
      </c>
      <c r="N92" s="100">
        <v>1</v>
      </c>
      <c r="O92" s="100">
        <v>0</v>
      </c>
      <c r="P92" s="100">
        <v>0.76</v>
      </c>
      <c r="Q92" s="100">
        <v>11.25</v>
      </c>
      <c r="R92" s="6"/>
      <c r="S92" s="6"/>
      <c r="T92" s="156"/>
      <c r="U92" s="6"/>
    </row>
    <row r="93" spans="1:21" customFormat="1">
      <c r="A93" s="163" t="s">
        <v>1763</v>
      </c>
      <c r="B93" s="100">
        <v>8.19</v>
      </c>
      <c r="C93" s="100">
        <v>21.08</v>
      </c>
      <c r="D93" s="100">
        <v>18.940000000000001</v>
      </c>
      <c r="E93" s="100">
        <v>9.4499999999999993</v>
      </c>
      <c r="F93" s="152" t="s">
        <v>15</v>
      </c>
      <c r="G93" s="100">
        <v>73.790000000000006</v>
      </c>
      <c r="H93" s="100">
        <v>34.090000000000003</v>
      </c>
      <c r="I93" s="100">
        <v>9.14</v>
      </c>
      <c r="J93" s="100">
        <v>0.21</v>
      </c>
      <c r="K93" s="100">
        <v>160.52000000000001</v>
      </c>
      <c r="L93" s="100">
        <v>20.37</v>
      </c>
      <c r="M93" s="100">
        <v>60.31</v>
      </c>
      <c r="N93" s="100">
        <v>1</v>
      </c>
      <c r="O93" s="100">
        <v>0</v>
      </c>
      <c r="P93" s="100">
        <v>0.77</v>
      </c>
      <c r="Q93" s="100">
        <v>11.25</v>
      </c>
      <c r="R93" s="6"/>
      <c r="S93" s="6"/>
      <c r="T93" s="156"/>
      <c r="U93" s="6"/>
    </row>
    <row r="94" spans="1:21" customFormat="1">
      <c r="A94" s="163" t="s">
        <v>1764</v>
      </c>
      <c r="B94" s="100">
        <v>8.42</v>
      </c>
      <c r="C94" s="100">
        <v>20.84</v>
      </c>
      <c r="D94" s="100">
        <v>18.989999999999998</v>
      </c>
      <c r="E94" s="100">
        <v>9.0399999999999991</v>
      </c>
      <c r="F94" s="152" t="s">
        <v>15</v>
      </c>
      <c r="G94" s="100">
        <v>74.239999999999995</v>
      </c>
      <c r="H94" s="100">
        <v>29.54</v>
      </c>
      <c r="I94" s="100">
        <v>9.23</v>
      </c>
      <c r="J94" s="100">
        <v>0.22</v>
      </c>
      <c r="K94" s="100">
        <v>160.41999999999999</v>
      </c>
      <c r="L94" s="100">
        <v>20.3</v>
      </c>
      <c r="M94" s="100">
        <v>59.46</v>
      </c>
      <c r="N94" s="100">
        <v>0.8</v>
      </c>
      <c r="O94" s="100">
        <v>0</v>
      </c>
      <c r="P94" s="100">
        <v>0.78</v>
      </c>
      <c r="Q94" s="100">
        <v>11.25</v>
      </c>
      <c r="R94" s="6"/>
      <c r="S94" s="6"/>
      <c r="T94" s="156"/>
      <c r="U94" s="6"/>
    </row>
    <row r="95" spans="1:21" customFormat="1">
      <c r="A95" s="163" t="s">
        <v>1765</v>
      </c>
      <c r="B95" s="100">
        <v>8.5299999999999994</v>
      </c>
      <c r="C95" s="100">
        <v>20.76</v>
      </c>
      <c r="D95" s="100">
        <v>19.04</v>
      </c>
      <c r="E95" s="100">
        <v>8.92</v>
      </c>
      <c r="F95" s="152" t="s">
        <v>15</v>
      </c>
      <c r="G95" s="100">
        <v>74.41</v>
      </c>
      <c r="H95" s="100">
        <v>29.43</v>
      </c>
      <c r="I95" s="100">
        <v>9.34</v>
      </c>
      <c r="J95" s="100">
        <v>0.22</v>
      </c>
      <c r="K95" s="100">
        <v>155.03</v>
      </c>
      <c r="L95" s="100">
        <v>20.07</v>
      </c>
      <c r="M95" s="100">
        <v>62.08</v>
      </c>
      <c r="N95" s="100">
        <v>0.9</v>
      </c>
      <c r="O95" s="100">
        <v>0</v>
      </c>
      <c r="P95" s="100">
        <v>0.78</v>
      </c>
      <c r="Q95" s="100">
        <v>11.25</v>
      </c>
      <c r="R95" s="6"/>
      <c r="S95" s="6"/>
      <c r="T95" s="156"/>
      <c r="U95" s="6"/>
    </row>
    <row r="96" spans="1:21" customFormat="1">
      <c r="A96" s="163" t="s">
        <v>1766</v>
      </c>
      <c r="B96" s="100">
        <v>8.6199999999999992</v>
      </c>
      <c r="C96" s="100">
        <v>20.75</v>
      </c>
      <c r="D96" s="100">
        <v>19.100000000000001</v>
      </c>
      <c r="E96" s="100">
        <v>9.11</v>
      </c>
      <c r="F96" s="152" t="s">
        <v>15</v>
      </c>
      <c r="G96" s="100">
        <v>74.41</v>
      </c>
      <c r="H96" s="100">
        <v>29.43</v>
      </c>
      <c r="I96" s="100">
        <v>9.42</v>
      </c>
      <c r="J96" s="100">
        <v>0.15</v>
      </c>
      <c r="K96" s="100">
        <v>167.81</v>
      </c>
      <c r="L96" s="100">
        <v>19.91</v>
      </c>
      <c r="M96" s="100">
        <v>55.84</v>
      </c>
      <c r="N96" s="100">
        <v>0.9</v>
      </c>
      <c r="O96" s="100">
        <v>0</v>
      </c>
      <c r="P96" s="100">
        <v>0.79</v>
      </c>
      <c r="Q96" s="100">
        <v>11.25</v>
      </c>
      <c r="R96" s="6"/>
      <c r="S96" s="6"/>
      <c r="T96" s="156"/>
      <c r="U96" s="6"/>
    </row>
    <row r="97" spans="1:28" customFormat="1">
      <c r="A97" s="163" t="s">
        <v>1767</v>
      </c>
      <c r="B97" s="100">
        <v>8.5299999999999994</v>
      </c>
      <c r="C97" s="100">
        <v>20.84</v>
      </c>
      <c r="D97" s="100">
        <v>19.079999999999998</v>
      </c>
      <c r="E97" s="100">
        <v>9.08</v>
      </c>
      <c r="F97" s="152" t="s">
        <v>15</v>
      </c>
      <c r="G97" s="100">
        <v>74.41</v>
      </c>
      <c r="H97" s="100">
        <v>29.43</v>
      </c>
      <c r="I97" s="100">
        <v>9.5</v>
      </c>
      <c r="J97" s="100">
        <v>0.14000000000000001</v>
      </c>
      <c r="K97" s="100">
        <v>170.56</v>
      </c>
      <c r="L97" s="100">
        <v>19.98</v>
      </c>
      <c r="M97" s="100">
        <v>48.59</v>
      </c>
      <c r="N97" s="100">
        <v>0.7</v>
      </c>
      <c r="O97" s="100">
        <v>0</v>
      </c>
      <c r="P97" s="100">
        <v>0.78</v>
      </c>
      <c r="Q97" s="100">
        <v>11.25</v>
      </c>
      <c r="R97" s="6"/>
      <c r="S97" s="6"/>
      <c r="T97" s="156"/>
      <c r="U97" s="6"/>
    </row>
    <row r="98" spans="1:28" customFormat="1">
      <c r="A98" s="163" t="s">
        <v>1768</v>
      </c>
      <c r="B98" s="100">
        <v>8.36</v>
      </c>
      <c r="C98" s="100">
        <v>20.89</v>
      </c>
      <c r="D98" s="100">
        <v>18.97</v>
      </c>
      <c r="E98" s="100">
        <v>9.06</v>
      </c>
      <c r="F98" s="152" t="s">
        <v>15</v>
      </c>
      <c r="G98" s="100">
        <v>49.77</v>
      </c>
      <c r="H98" s="100">
        <v>22.63</v>
      </c>
      <c r="I98" s="100">
        <v>9.5299999999999994</v>
      </c>
      <c r="J98" s="100">
        <v>0.16</v>
      </c>
      <c r="K98" s="100">
        <v>191.61</v>
      </c>
      <c r="L98" s="100">
        <v>19.82</v>
      </c>
      <c r="M98" s="100">
        <v>49.72</v>
      </c>
      <c r="N98" s="100">
        <v>0.8</v>
      </c>
      <c r="O98" s="100">
        <v>0</v>
      </c>
      <c r="P98" s="100">
        <v>0.79</v>
      </c>
      <c r="Q98" s="100">
        <v>11.25</v>
      </c>
      <c r="R98" s="6"/>
      <c r="S98" s="6"/>
      <c r="T98" s="156"/>
      <c r="U98" s="6"/>
    </row>
    <row r="99" spans="1:28" customFormat="1">
      <c r="A99" s="163" t="s">
        <v>1769</v>
      </c>
      <c r="B99" s="100">
        <v>8.16</v>
      </c>
      <c r="C99" s="100">
        <v>20.99</v>
      </c>
      <c r="D99" s="100">
        <v>18.86</v>
      </c>
      <c r="E99" s="100">
        <v>8.7200000000000006</v>
      </c>
      <c r="F99" s="152" t="s">
        <v>15</v>
      </c>
      <c r="G99" s="100">
        <v>40.81</v>
      </c>
      <c r="H99" s="100">
        <v>22.53</v>
      </c>
      <c r="I99" s="100">
        <v>9.5299999999999994</v>
      </c>
      <c r="J99" s="100">
        <v>0.23</v>
      </c>
      <c r="K99" s="100">
        <v>160.63999999999999</v>
      </c>
      <c r="L99" s="100">
        <v>19.54</v>
      </c>
      <c r="M99" s="100">
        <v>59.83</v>
      </c>
      <c r="N99" s="100">
        <v>1</v>
      </c>
      <c r="O99" s="100">
        <v>0</v>
      </c>
      <c r="P99" s="100">
        <v>0.79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1770</v>
      </c>
      <c r="B100" s="100">
        <v>8.26</v>
      </c>
      <c r="C100" s="100">
        <v>21.35</v>
      </c>
      <c r="D100" s="100">
        <v>19.13</v>
      </c>
      <c r="E100" s="100">
        <v>9.18</v>
      </c>
      <c r="F100" s="152" t="s">
        <v>15</v>
      </c>
      <c r="G100" s="100">
        <v>40.81</v>
      </c>
      <c r="H100" s="100">
        <v>22.53</v>
      </c>
      <c r="I100" s="100">
        <v>9.51</v>
      </c>
      <c r="J100" s="100">
        <v>0.21</v>
      </c>
      <c r="K100" s="100">
        <v>152.33000000000001</v>
      </c>
      <c r="L100" s="100">
        <v>19.47</v>
      </c>
      <c r="M100" s="100">
        <v>53.4</v>
      </c>
      <c r="N100" s="100">
        <v>0.9</v>
      </c>
      <c r="O100" s="100">
        <v>0</v>
      </c>
      <c r="P100" s="100">
        <v>0.79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1771</v>
      </c>
      <c r="B101" s="100">
        <v>9.2100000000000009</v>
      </c>
      <c r="C101" s="100">
        <v>22.29</v>
      </c>
      <c r="D101" s="100">
        <v>20.38</v>
      </c>
      <c r="E101" s="100">
        <v>9.1</v>
      </c>
      <c r="F101" s="152" t="s">
        <v>15</v>
      </c>
      <c r="G101" s="100">
        <v>40.81</v>
      </c>
      <c r="H101" s="100">
        <v>22.53</v>
      </c>
      <c r="I101" s="100">
        <v>9.48</v>
      </c>
      <c r="J101" s="100">
        <v>0.28000000000000003</v>
      </c>
      <c r="K101" s="100">
        <v>167.48</v>
      </c>
      <c r="L101" s="100">
        <v>19.420000000000002</v>
      </c>
      <c r="M101" s="100">
        <v>60.6</v>
      </c>
      <c r="N101" s="100">
        <v>1</v>
      </c>
      <c r="O101" s="100">
        <v>0</v>
      </c>
      <c r="P101" s="100">
        <v>0.79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1772</v>
      </c>
      <c r="B102" s="100">
        <v>9.6999999999999993</v>
      </c>
      <c r="C102" s="100">
        <v>22.56</v>
      </c>
      <c r="D102" s="100">
        <v>20.92</v>
      </c>
      <c r="E102" s="100">
        <v>9.14</v>
      </c>
      <c r="F102" s="152" t="s">
        <v>15</v>
      </c>
      <c r="G102" s="100">
        <v>54.72</v>
      </c>
      <c r="H102" s="100">
        <v>17.89</v>
      </c>
      <c r="I102" s="100">
        <v>9.4600000000000009</v>
      </c>
      <c r="J102" s="100">
        <v>0.25</v>
      </c>
      <c r="K102" s="100">
        <v>171.94</v>
      </c>
      <c r="L102" s="100">
        <v>19.16</v>
      </c>
      <c r="M102" s="100">
        <v>61.04</v>
      </c>
      <c r="N102" s="100">
        <v>1</v>
      </c>
      <c r="O102" s="100">
        <v>0</v>
      </c>
      <c r="P102" s="100">
        <v>0.77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1773</v>
      </c>
      <c r="B103" s="100">
        <v>9.57</v>
      </c>
      <c r="C103" s="100">
        <v>22.72</v>
      </c>
      <c r="D103" s="100">
        <v>20.9</v>
      </c>
      <c r="E103" s="100">
        <v>8.92</v>
      </c>
      <c r="F103" s="152" t="s">
        <v>15</v>
      </c>
      <c r="G103" s="100">
        <v>59.77</v>
      </c>
      <c r="H103" s="100">
        <v>17.82</v>
      </c>
      <c r="I103" s="100">
        <v>9.41</v>
      </c>
      <c r="J103" s="100">
        <v>0.22</v>
      </c>
      <c r="K103" s="100">
        <v>173.55</v>
      </c>
      <c r="L103" s="100">
        <v>19.079999999999998</v>
      </c>
      <c r="M103" s="100">
        <v>55.53</v>
      </c>
      <c r="N103" s="100">
        <v>1</v>
      </c>
      <c r="O103" s="100">
        <v>0</v>
      </c>
      <c r="P103" s="100">
        <v>0.7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1774</v>
      </c>
      <c r="B104" s="100">
        <v>8.98</v>
      </c>
      <c r="C104" s="100">
        <v>22.7</v>
      </c>
      <c r="D104" s="100">
        <v>20.41</v>
      </c>
      <c r="E104" s="100">
        <v>9.35</v>
      </c>
      <c r="F104" s="152" t="s">
        <v>15</v>
      </c>
      <c r="G104" s="100">
        <v>59.77</v>
      </c>
      <c r="H104" s="100">
        <v>17.82</v>
      </c>
      <c r="I104" s="100">
        <v>9.35</v>
      </c>
      <c r="J104" s="100">
        <v>0.16</v>
      </c>
      <c r="K104" s="100">
        <v>177.07</v>
      </c>
      <c r="L104" s="100">
        <v>18.89</v>
      </c>
      <c r="M104" s="100">
        <v>58.09</v>
      </c>
      <c r="N104" s="100">
        <v>1</v>
      </c>
      <c r="O104" s="100">
        <v>0</v>
      </c>
      <c r="P104" s="100">
        <v>0.68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4.4800000000000004</v>
      </c>
      <c r="C106" s="158">
        <f>MIN(C9:C104)</f>
        <v>20.75</v>
      </c>
      <c r="D106" s="158">
        <f t="shared" ref="D106:Q106" si="0">MIN(D9:D104)</f>
        <v>17.22</v>
      </c>
      <c r="E106" s="158">
        <f t="shared" si="0"/>
        <v>8.36</v>
      </c>
      <c r="F106" s="158">
        <f t="shared" si="0"/>
        <v>0</v>
      </c>
      <c r="G106" s="158">
        <f t="shared" si="0"/>
        <v>38.159999999999997</v>
      </c>
      <c r="H106" s="158">
        <f t="shared" si="0"/>
        <v>6.64</v>
      </c>
      <c r="I106" s="158">
        <f t="shared" si="0"/>
        <v>7.11</v>
      </c>
      <c r="J106" s="158">
        <f t="shared" si="0"/>
        <v>0.1</v>
      </c>
      <c r="K106" s="158">
        <f t="shared" si="0"/>
        <v>4.0999999999999996</v>
      </c>
      <c r="L106" s="158">
        <f t="shared" si="0"/>
        <v>14.88</v>
      </c>
      <c r="M106" s="158">
        <f t="shared" si="0"/>
        <v>13.36</v>
      </c>
      <c r="N106" s="158">
        <f t="shared" si="0"/>
        <v>0.4</v>
      </c>
      <c r="O106" s="158">
        <f t="shared" si="0"/>
        <v>0</v>
      </c>
      <c r="P106" s="158">
        <f t="shared" si="0"/>
        <v>0.54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25.92</v>
      </c>
      <c r="C107" s="157">
        <f t="shared" ref="C107:Q107" si="1">MAX(C9:C104)</f>
        <v>27.69</v>
      </c>
      <c r="D107" s="157">
        <f t="shared" si="1"/>
        <v>35</v>
      </c>
      <c r="E107" s="157">
        <f t="shared" si="1"/>
        <v>16.29</v>
      </c>
      <c r="F107" s="157">
        <f t="shared" si="1"/>
        <v>0</v>
      </c>
      <c r="G107" s="157">
        <f t="shared" si="1"/>
        <v>169.61</v>
      </c>
      <c r="H107" s="157">
        <f t="shared" si="1"/>
        <v>45.41</v>
      </c>
      <c r="I107" s="157">
        <f t="shared" si="1"/>
        <v>13.35</v>
      </c>
      <c r="J107" s="157">
        <f t="shared" si="1"/>
        <v>1.18</v>
      </c>
      <c r="K107" s="157">
        <f t="shared" si="1"/>
        <v>338.22</v>
      </c>
      <c r="L107" s="157">
        <f t="shared" si="1"/>
        <v>32.03</v>
      </c>
      <c r="M107" s="157">
        <f t="shared" si="1"/>
        <v>73.010000000000005</v>
      </c>
      <c r="N107" s="157">
        <f t="shared" si="1"/>
        <v>381.9</v>
      </c>
      <c r="O107" s="157">
        <f t="shared" si="1"/>
        <v>0</v>
      </c>
      <c r="P107" s="157">
        <f t="shared" si="1"/>
        <v>0.86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11.856666666666669</v>
      </c>
      <c r="C108" s="158">
        <f t="shared" ref="C108:Q108" si="2">AVERAGE(C9:C104)</f>
        <v>23.973541666666673</v>
      </c>
      <c r="D108" s="158">
        <f t="shared" si="2"/>
        <v>23.384166666666655</v>
      </c>
      <c r="E108" s="158">
        <f t="shared" si="2"/>
        <v>10.827708333333334</v>
      </c>
      <c r="F108" s="158" t="e">
        <f t="shared" si="2"/>
        <v>#DIV/0!</v>
      </c>
      <c r="G108" s="158">
        <f t="shared" si="2"/>
        <v>71.843437500000007</v>
      </c>
      <c r="H108" s="158">
        <f t="shared" si="2"/>
        <v>30.768020833333356</v>
      </c>
      <c r="I108" s="158">
        <f t="shared" si="2"/>
        <v>10.263541666666667</v>
      </c>
      <c r="J108" s="158">
        <f t="shared" si="2"/>
        <v>0.38812499999999989</v>
      </c>
      <c r="K108" s="158">
        <f t="shared" si="2"/>
        <v>135.94906249999997</v>
      </c>
      <c r="L108" s="158">
        <f t="shared" si="2"/>
        <v>22.631979166666664</v>
      </c>
      <c r="M108" s="158">
        <f t="shared" si="2"/>
        <v>43.275729166666672</v>
      </c>
      <c r="N108" s="158">
        <f t="shared" si="2"/>
        <v>93.106249999999932</v>
      </c>
      <c r="O108" s="158">
        <f t="shared" si="2"/>
        <v>0</v>
      </c>
      <c r="P108" s="158">
        <f t="shared" si="2"/>
        <v>0.69854166666666673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6.2978390055915883</v>
      </c>
      <c r="C109" s="158">
        <f t="shared" ref="C109:Q109" si="3">STDEV(C9:C104)</f>
        <v>1.7218722852368196</v>
      </c>
      <c r="D109" s="158">
        <f t="shared" si="3"/>
        <v>5.2787346304058369</v>
      </c>
      <c r="E109" s="158">
        <f t="shared" si="3"/>
        <v>1.5974502573042519</v>
      </c>
      <c r="F109" s="158" t="e">
        <f t="shared" si="3"/>
        <v>#DIV/0!</v>
      </c>
      <c r="G109" s="158">
        <f t="shared" si="3"/>
        <v>26.759849532584774</v>
      </c>
      <c r="H109" s="158">
        <f t="shared" si="3"/>
        <v>11.296357178991361</v>
      </c>
      <c r="I109" s="158">
        <f t="shared" si="3"/>
        <v>1.8192375378983043</v>
      </c>
      <c r="J109" s="158">
        <f t="shared" si="3"/>
        <v>0.28331612434838505</v>
      </c>
      <c r="K109" s="158">
        <f t="shared" si="3"/>
        <v>73.424575049618852</v>
      </c>
      <c r="L109" s="158">
        <f t="shared" si="3"/>
        <v>6.0064342026813833</v>
      </c>
      <c r="M109" s="158">
        <f t="shared" si="3"/>
        <v>20.992915283359267</v>
      </c>
      <c r="N109" s="158">
        <f t="shared" si="3"/>
        <v>139.01004038898554</v>
      </c>
      <c r="O109" s="158">
        <f t="shared" si="3"/>
        <v>0</v>
      </c>
      <c r="P109" s="158">
        <f t="shared" si="3"/>
        <v>8.540897483553149E-2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S95" sqref="S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1775</v>
      </c>
      <c r="B9" s="100">
        <v>7.88</v>
      </c>
      <c r="C9" s="100">
        <v>22.6</v>
      </c>
      <c r="D9" s="100">
        <v>19.47</v>
      </c>
      <c r="E9" s="100">
        <v>9.42</v>
      </c>
      <c r="F9" s="152" t="s">
        <v>15</v>
      </c>
      <c r="G9" s="100">
        <v>59.77</v>
      </c>
      <c r="H9" s="100">
        <v>17.82</v>
      </c>
      <c r="I9" s="100">
        <v>9.26</v>
      </c>
      <c r="J9" s="100">
        <v>0.21</v>
      </c>
      <c r="K9" s="100">
        <v>183.57</v>
      </c>
      <c r="L9" s="100">
        <v>18.420000000000002</v>
      </c>
      <c r="M9" s="100">
        <v>63.41</v>
      </c>
      <c r="N9" s="100">
        <v>1.3</v>
      </c>
      <c r="O9" s="100">
        <v>0</v>
      </c>
      <c r="P9" s="100">
        <v>0.68</v>
      </c>
      <c r="Q9" s="100">
        <v>11.25</v>
      </c>
      <c r="R9" s="6"/>
      <c r="S9" s="6"/>
      <c r="T9" s="156"/>
      <c r="U9" s="6"/>
    </row>
    <row r="10" spans="1:21" customFormat="1">
      <c r="A10" s="163" t="s">
        <v>1776</v>
      </c>
      <c r="B10" s="100">
        <v>8.17</v>
      </c>
      <c r="C10" s="100">
        <v>22.17</v>
      </c>
      <c r="D10" s="100">
        <v>19.489999999999998</v>
      </c>
      <c r="E10" s="100">
        <v>10.119999999999999</v>
      </c>
      <c r="F10" s="152" t="s">
        <v>15</v>
      </c>
      <c r="G10" s="100">
        <v>52.31</v>
      </c>
      <c r="H10" s="100">
        <v>19.420000000000002</v>
      </c>
      <c r="I10" s="100">
        <v>9.15</v>
      </c>
      <c r="J10" s="100">
        <v>0.24</v>
      </c>
      <c r="K10" s="100">
        <v>169.93</v>
      </c>
      <c r="L10" s="100">
        <v>18.09</v>
      </c>
      <c r="M10" s="100">
        <v>63.02</v>
      </c>
      <c r="N10" s="100">
        <v>1.2</v>
      </c>
      <c r="O10" s="100">
        <v>0</v>
      </c>
      <c r="P10" s="100">
        <v>0.68</v>
      </c>
      <c r="Q10" s="100">
        <v>11.25</v>
      </c>
      <c r="R10" s="6"/>
      <c r="S10" s="6"/>
      <c r="T10" s="156"/>
      <c r="U10" s="6"/>
    </row>
    <row r="11" spans="1:21" customFormat="1">
      <c r="A11" s="163" t="s">
        <v>1777</v>
      </c>
      <c r="B11" s="100">
        <v>9.44</v>
      </c>
      <c r="C11" s="100">
        <v>20.96</v>
      </c>
      <c r="D11" s="100">
        <v>19.87</v>
      </c>
      <c r="E11" s="100">
        <v>9.6300000000000008</v>
      </c>
      <c r="F11" s="152" t="s">
        <v>15</v>
      </c>
      <c r="G11" s="100">
        <v>49.6</v>
      </c>
      <c r="H11" s="100">
        <v>19.45</v>
      </c>
      <c r="I11" s="100">
        <v>9.0299999999999994</v>
      </c>
      <c r="J11" s="100">
        <v>0.26</v>
      </c>
      <c r="K11" s="100">
        <v>170.59</v>
      </c>
      <c r="L11" s="100">
        <v>17.91</v>
      </c>
      <c r="M11" s="100">
        <v>63.33</v>
      </c>
      <c r="N11" s="100">
        <v>1</v>
      </c>
      <c r="O11" s="100">
        <v>0</v>
      </c>
      <c r="P11" s="100">
        <v>0.68</v>
      </c>
      <c r="Q11" s="100">
        <v>11.25</v>
      </c>
      <c r="R11" s="6"/>
      <c r="S11" s="6"/>
      <c r="T11" s="156"/>
      <c r="U11" s="6"/>
    </row>
    <row r="12" spans="1:21" customFormat="1">
      <c r="A12" s="163" t="s">
        <v>1778</v>
      </c>
      <c r="B12" s="100">
        <v>9.92</v>
      </c>
      <c r="C12" s="100">
        <v>20</v>
      </c>
      <c r="D12" s="100">
        <v>19.760000000000002</v>
      </c>
      <c r="E12" s="100">
        <v>9.94</v>
      </c>
      <c r="F12" s="152" t="s">
        <v>15</v>
      </c>
      <c r="G12" s="100">
        <v>49.6</v>
      </c>
      <c r="H12" s="100">
        <v>19.45</v>
      </c>
      <c r="I12" s="100">
        <v>8.9499999999999993</v>
      </c>
      <c r="J12" s="100">
        <v>0.18</v>
      </c>
      <c r="K12" s="100">
        <v>186.1</v>
      </c>
      <c r="L12" s="100">
        <v>18.04</v>
      </c>
      <c r="M12" s="100">
        <v>58.27</v>
      </c>
      <c r="N12" s="100">
        <v>0.9</v>
      </c>
      <c r="O12" s="100">
        <v>0</v>
      </c>
      <c r="P12" s="100">
        <v>0.66</v>
      </c>
      <c r="Q12" s="100">
        <v>11.25</v>
      </c>
      <c r="R12" s="6"/>
      <c r="S12" s="6"/>
      <c r="T12" s="156"/>
      <c r="U12" s="6"/>
    </row>
    <row r="13" spans="1:21" customFormat="1">
      <c r="A13" s="163" t="s">
        <v>1779</v>
      </c>
      <c r="B13" s="100">
        <v>9.0399999999999991</v>
      </c>
      <c r="C13" s="100">
        <v>20.23</v>
      </c>
      <c r="D13" s="100">
        <v>19.170000000000002</v>
      </c>
      <c r="E13" s="100">
        <v>9.2100000000000009</v>
      </c>
      <c r="F13" s="152" t="s">
        <v>15</v>
      </c>
      <c r="G13" s="100">
        <v>49.6</v>
      </c>
      <c r="H13" s="100">
        <v>19.45</v>
      </c>
      <c r="I13" s="100">
        <v>8.89</v>
      </c>
      <c r="J13" s="100">
        <v>0.23</v>
      </c>
      <c r="K13" s="100">
        <v>168.31</v>
      </c>
      <c r="L13" s="100">
        <v>17.760000000000002</v>
      </c>
      <c r="M13" s="100">
        <v>63.01</v>
      </c>
      <c r="N13" s="100">
        <v>1</v>
      </c>
      <c r="O13" s="100">
        <v>0</v>
      </c>
      <c r="P13" s="100">
        <v>0.66</v>
      </c>
      <c r="Q13" s="100">
        <v>11.25</v>
      </c>
      <c r="R13" s="6"/>
      <c r="S13" s="6"/>
      <c r="T13" s="156"/>
      <c r="U13" s="6"/>
    </row>
    <row r="14" spans="1:21" customFormat="1">
      <c r="A14" s="163" t="s">
        <v>1780</v>
      </c>
      <c r="B14" s="100">
        <v>9.2799999999999994</v>
      </c>
      <c r="C14" s="100">
        <v>19.46</v>
      </c>
      <c r="D14" s="100">
        <v>18.96</v>
      </c>
      <c r="E14" s="100">
        <v>9.6300000000000008</v>
      </c>
      <c r="F14" s="152" t="s">
        <v>15</v>
      </c>
      <c r="G14" s="100">
        <v>43.58</v>
      </c>
      <c r="H14" s="100">
        <v>16.329999999999998</v>
      </c>
      <c r="I14" s="100">
        <v>8.84</v>
      </c>
      <c r="J14" s="100">
        <v>0.27</v>
      </c>
      <c r="K14" s="100">
        <v>162.38999999999999</v>
      </c>
      <c r="L14" s="100">
        <v>17.739999999999998</v>
      </c>
      <c r="M14" s="100">
        <v>64.650000000000006</v>
      </c>
      <c r="N14" s="100">
        <v>0.9</v>
      </c>
      <c r="O14" s="100">
        <v>0</v>
      </c>
      <c r="P14" s="100">
        <v>0.66</v>
      </c>
      <c r="Q14" s="100">
        <v>11.25</v>
      </c>
      <c r="R14" s="6"/>
      <c r="S14" s="6"/>
      <c r="T14" s="156"/>
      <c r="U14" s="6"/>
    </row>
    <row r="15" spans="1:21" customFormat="1">
      <c r="A15" s="163" t="s">
        <v>1781</v>
      </c>
      <c r="B15" s="100">
        <v>8.84</v>
      </c>
      <c r="C15" s="100">
        <v>19.5</v>
      </c>
      <c r="D15" s="100">
        <v>18.63</v>
      </c>
      <c r="E15" s="100">
        <v>9.3800000000000008</v>
      </c>
      <c r="F15" s="152" t="s">
        <v>15</v>
      </c>
      <c r="G15" s="100">
        <v>41.4</v>
      </c>
      <c r="H15" s="100">
        <v>16.28</v>
      </c>
      <c r="I15" s="100">
        <v>8.7899999999999991</v>
      </c>
      <c r="J15" s="100">
        <v>0.27</v>
      </c>
      <c r="K15" s="100">
        <v>162.44</v>
      </c>
      <c r="L15" s="100">
        <v>17.7</v>
      </c>
      <c r="M15" s="100">
        <v>64.39</v>
      </c>
      <c r="N15" s="100">
        <v>1</v>
      </c>
      <c r="O15" s="100">
        <v>0</v>
      </c>
      <c r="P15" s="100">
        <v>0.65</v>
      </c>
      <c r="Q15" s="100">
        <v>11.25</v>
      </c>
      <c r="R15" s="6"/>
      <c r="S15" s="6"/>
      <c r="T15" s="156"/>
      <c r="U15" s="6"/>
    </row>
    <row r="16" spans="1:21" customFormat="1">
      <c r="A16" s="163" t="s">
        <v>1782</v>
      </c>
      <c r="B16" s="100">
        <v>8.52</v>
      </c>
      <c r="C16" s="100">
        <v>19.34</v>
      </c>
      <c r="D16" s="100">
        <v>18.29</v>
      </c>
      <c r="E16" s="100">
        <v>9.68</v>
      </c>
      <c r="F16" s="152" t="s">
        <v>15</v>
      </c>
      <c r="G16" s="100">
        <v>41.4</v>
      </c>
      <c r="H16" s="100">
        <v>16.28</v>
      </c>
      <c r="I16" s="100">
        <v>8.75</v>
      </c>
      <c r="J16" s="100">
        <v>0.22</v>
      </c>
      <c r="K16" s="100">
        <v>163.56</v>
      </c>
      <c r="L16" s="100">
        <v>17.61</v>
      </c>
      <c r="M16" s="100">
        <v>63.94</v>
      </c>
      <c r="N16" s="100">
        <v>0.9</v>
      </c>
      <c r="O16" s="100">
        <v>0</v>
      </c>
      <c r="P16" s="100">
        <v>0.65</v>
      </c>
      <c r="Q16" s="100">
        <v>11.25</v>
      </c>
      <c r="R16" s="6"/>
      <c r="S16" s="6"/>
      <c r="T16" s="156"/>
      <c r="U16" s="6"/>
    </row>
    <row r="17" spans="1:21" customFormat="1">
      <c r="A17" s="163" t="s">
        <v>1783</v>
      </c>
      <c r="B17" s="100">
        <v>7.51</v>
      </c>
      <c r="C17" s="100">
        <v>20.09</v>
      </c>
      <c r="D17" s="100">
        <v>17.87</v>
      </c>
      <c r="E17" s="100">
        <v>8.83</v>
      </c>
      <c r="F17" s="152" t="s">
        <v>15</v>
      </c>
      <c r="G17" s="100">
        <v>41.4</v>
      </c>
      <c r="H17" s="100">
        <v>16.28</v>
      </c>
      <c r="I17" s="100">
        <v>8.7899999999999991</v>
      </c>
      <c r="J17" s="100">
        <v>0.14000000000000001</v>
      </c>
      <c r="K17" s="100">
        <v>147.77000000000001</v>
      </c>
      <c r="L17" s="100">
        <v>17.43</v>
      </c>
      <c r="M17" s="100">
        <v>65.23</v>
      </c>
      <c r="N17" s="100">
        <v>0.9</v>
      </c>
      <c r="O17" s="100">
        <v>0</v>
      </c>
      <c r="P17" s="100">
        <v>0.65</v>
      </c>
      <c r="Q17" s="100">
        <v>11.25</v>
      </c>
      <c r="R17" s="6"/>
      <c r="S17" s="6"/>
      <c r="T17" s="156"/>
      <c r="U17" s="6"/>
    </row>
    <row r="18" spans="1:21" customFormat="1">
      <c r="A18" s="163" t="s">
        <v>1784</v>
      </c>
      <c r="B18" s="100">
        <v>8.7200000000000006</v>
      </c>
      <c r="C18" s="100">
        <v>19.3</v>
      </c>
      <c r="D18" s="100">
        <v>18.43</v>
      </c>
      <c r="E18" s="100">
        <v>10.26</v>
      </c>
      <c r="F18" s="152" t="s">
        <v>15</v>
      </c>
      <c r="G18" s="100">
        <v>48.38</v>
      </c>
      <c r="H18" s="100">
        <v>16.72</v>
      </c>
      <c r="I18" s="100">
        <v>8.8800000000000008</v>
      </c>
      <c r="J18" s="100">
        <v>0.12</v>
      </c>
      <c r="K18" s="100">
        <v>97.47</v>
      </c>
      <c r="L18" s="100">
        <v>17.66</v>
      </c>
      <c r="M18" s="100">
        <v>58.1</v>
      </c>
      <c r="N18" s="100">
        <v>0.8</v>
      </c>
      <c r="O18" s="100">
        <v>0</v>
      </c>
      <c r="P18" s="100">
        <v>0.66</v>
      </c>
      <c r="Q18" s="100">
        <v>11.25</v>
      </c>
      <c r="R18" s="6"/>
      <c r="S18" s="6"/>
      <c r="T18" s="156"/>
      <c r="U18" s="6"/>
    </row>
    <row r="19" spans="1:21" customFormat="1">
      <c r="A19" s="163" t="s">
        <v>1785</v>
      </c>
      <c r="B19" s="100">
        <v>9.35</v>
      </c>
      <c r="C19" s="100">
        <v>20</v>
      </c>
      <c r="D19" s="100">
        <v>19.3</v>
      </c>
      <c r="E19" s="100">
        <v>10.55</v>
      </c>
      <c r="F19" s="152" t="s">
        <v>15</v>
      </c>
      <c r="G19" s="100">
        <v>50.92</v>
      </c>
      <c r="H19" s="100">
        <v>16.73</v>
      </c>
      <c r="I19" s="100">
        <v>8.98</v>
      </c>
      <c r="J19" s="100">
        <v>0.26</v>
      </c>
      <c r="K19" s="100">
        <v>138.96</v>
      </c>
      <c r="L19" s="100">
        <v>18.05</v>
      </c>
      <c r="M19" s="100">
        <v>56.57</v>
      </c>
      <c r="N19" s="100">
        <v>0.7</v>
      </c>
      <c r="O19" s="100">
        <v>0</v>
      </c>
      <c r="P19" s="100">
        <v>0.66</v>
      </c>
      <c r="Q19" s="100">
        <v>11.25</v>
      </c>
      <c r="R19" s="6"/>
      <c r="S19" s="6"/>
      <c r="T19" s="156"/>
      <c r="U19" s="6"/>
    </row>
    <row r="20" spans="1:21" customFormat="1">
      <c r="A20" s="163" t="s">
        <v>1786</v>
      </c>
      <c r="B20" s="100">
        <v>9.19</v>
      </c>
      <c r="C20" s="100">
        <v>22.06</v>
      </c>
      <c r="D20" s="100">
        <v>20.239999999999998</v>
      </c>
      <c r="E20" s="100">
        <v>10.59</v>
      </c>
      <c r="F20" s="152" t="s">
        <v>15</v>
      </c>
      <c r="G20" s="100">
        <v>50.92</v>
      </c>
      <c r="H20" s="100">
        <v>16.73</v>
      </c>
      <c r="I20" s="100">
        <v>9.09</v>
      </c>
      <c r="J20" s="100">
        <v>0.16</v>
      </c>
      <c r="K20" s="100">
        <v>148.68</v>
      </c>
      <c r="L20" s="100">
        <v>17.78</v>
      </c>
      <c r="M20" s="100">
        <v>59.24</v>
      </c>
      <c r="N20" s="100">
        <v>1</v>
      </c>
      <c r="O20" s="100">
        <v>0</v>
      </c>
      <c r="P20" s="100">
        <v>0.67</v>
      </c>
      <c r="Q20" s="100">
        <v>11.25</v>
      </c>
      <c r="R20" s="6"/>
      <c r="S20" s="6"/>
      <c r="T20" s="156"/>
      <c r="U20" s="6"/>
    </row>
    <row r="21" spans="1:21" customFormat="1">
      <c r="A21" s="163" t="s">
        <v>1787</v>
      </c>
      <c r="B21" s="100">
        <v>11.13</v>
      </c>
      <c r="C21" s="100">
        <v>22.57</v>
      </c>
      <c r="D21" s="100">
        <v>22.07</v>
      </c>
      <c r="E21" s="100">
        <v>10.94</v>
      </c>
      <c r="F21" s="152" t="s">
        <v>15</v>
      </c>
      <c r="G21" s="100">
        <v>50.92</v>
      </c>
      <c r="H21" s="100">
        <v>16.73</v>
      </c>
      <c r="I21" s="100">
        <v>9.17</v>
      </c>
      <c r="J21" s="100">
        <v>0.15</v>
      </c>
      <c r="K21" s="100">
        <v>180.92</v>
      </c>
      <c r="L21" s="100">
        <v>17.53</v>
      </c>
      <c r="M21" s="100">
        <v>62.01</v>
      </c>
      <c r="N21" s="100">
        <v>1</v>
      </c>
      <c r="O21" s="100">
        <v>0</v>
      </c>
      <c r="P21" s="100">
        <v>0.67</v>
      </c>
      <c r="Q21" s="100">
        <v>11.25</v>
      </c>
      <c r="R21" s="6"/>
      <c r="S21" s="6"/>
      <c r="T21" s="156"/>
      <c r="U21" s="6"/>
    </row>
    <row r="22" spans="1:21" customFormat="1">
      <c r="A22" s="163" t="s">
        <v>1788</v>
      </c>
      <c r="B22" s="100">
        <v>11.92</v>
      </c>
      <c r="C22" s="100">
        <v>23.97</v>
      </c>
      <c r="D22" s="100">
        <v>23.43</v>
      </c>
      <c r="E22" s="100">
        <v>9.9499999999999993</v>
      </c>
      <c r="F22" s="152" t="s">
        <v>15</v>
      </c>
      <c r="G22" s="100">
        <v>63.09</v>
      </c>
      <c r="H22" s="100">
        <v>19.510000000000002</v>
      </c>
      <c r="I22" s="100">
        <v>9.25</v>
      </c>
      <c r="J22" s="100">
        <v>0.14000000000000001</v>
      </c>
      <c r="K22" s="100">
        <v>176.3</v>
      </c>
      <c r="L22" s="100">
        <v>17.25</v>
      </c>
      <c r="M22" s="100">
        <v>63.1</v>
      </c>
      <c r="N22" s="100">
        <v>1</v>
      </c>
      <c r="O22" s="100">
        <v>0</v>
      </c>
      <c r="P22" s="100">
        <v>0.68</v>
      </c>
      <c r="Q22" s="100">
        <v>11.25</v>
      </c>
      <c r="R22" s="6"/>
      <c r="S22" s="6"/>
      <c r="T22" s="156"/>
      <c r="U22" s="6"/>
    </row>
    <row r="23" spans="1:21" customFormat="1">
      <c r="A23" s="163" t="s">
        <v>1789</v>
      </c>
      <c r="B23" s="100">
        <v>13.14</v>
      </c>
      <c r="C23" s="100">
        <v>25.07</v>
      </c>
      <c r="D23" s="100">
        <v>24.98</v>
      </c>
      <c r="E23" s="100">
        <v>10.55</v>
      </c>
      <c r="F23" s="152" t="s">
        <v>15</v>
      </c>
      <c r="G23" s="100">
        <v>67.52</v>
      </c>
      <c r="H23" s="100">
        <v>19.57</v>
      </c>
      <c r="I23" s="100">
        <v>9.3699999999999992</v>
      </c>
      <c r="J23" s="100">
        <v>0.23</v>
      </c>
      <c r="K23" s="100">
        <v>189.97</v>
      </c>
      <c r="L23" s="100">
        <v>16.89</v>
      </c>
      <c r="M23" s="100">
        <v>69</v>
      </c>
      <c r="N23" s="100">
        <v>1.3</v>
      </c>
      <c r="O23" s="100">
        <v>0</v>
      </c>
      <c r="P23" s="100">
        <v>0.68</v>
      </c>
      <c r="Q23" s="100">
        <v>11.25</v>
      </c>
      <c r="R23" s="6"/>
      <c r="S23" s="6"/>
      <c r="T23" s="156"/>
      <c r="U23" s="6"/>
    </row>
    <row r="24" spans="1:21" customFormat="1">
      <c r="A24" s="163" t="s">
        <v>1790</v>
      </c>
      <c r="B24" s="100">
        <v>14.16</v>
      </c>
      <c r="C24" s="100">
        <v>25.08</v>
      </c>
      <c r="D24" s="100">
        <v>25.81</v>
      </c>
      <c r="E24" s="100">
        <v>10.41</v>
      </c>
      <c r="F24" s="152" t="s">
        <v>15</v>
      </c>
      <c r="G24" s="100">
        <v>67.52</v>
      </c>
      <c r="H24" s="100">
        <v>19.57</v>
      </c>
      <c r="I24" s="100">
        <v>9.44</v>
      </c>
      <c r="J24" s="100">
        <v>0.21</v>
      </c>
      <c r="K24" s="100">
        <v>162.35</v>
      </c>
      <c r="L24" s="100">
        <v>16.489999999999998</v>
      </c>
      <c r="M24" s="100">
        <v>70.28</v>
      </c>
      <c r="N24" s="100">
        <v>1.2</v>
      </c>
      <c r="O24" s="100">
        <v>0</v>
      </c>
      <c r="P24" s="100">
        <v>0.69</v>
      </c>
      <c r="Q24" s="100">
        <v>11.25</v>
      </c>
      <c r="R24" s="6"/>
      <c r="S24" s="6"/>
      <c r="T24" s="156"/>
      <c r="U24" s="6"/>
    </row>
    <row r="25" spans="1:21" customFormat="1">
      <c r="A25" s="163" t="s">
        <v>1791</v>
      </c>
      <c r="B25" s="100">
        <v>15.18</v>
      </c>
      <c r="C25" s="100">
        <v>24.67</v>
      </c>
      <c r="D25" s="100">
        <v>26.41</v>
      </c>
      <c r="E25" s="100">
        <v>10.31</v>
      </c>
      <c r="F25" s="152" t="s">
        <v>15</v>
      </c>
      <c r="G25" s="100">
        <v>67.52</v>
      </c>
      <c r="H25" s="100">
        <v>19.57</v>
      </c>
      <c r="I25" s="100">
        <v>9.4600000000000009</v>
      </c>
      <c r="J25" s="100">
        <v>0.24</v>
      </c>
      <c r="K25" s="100">
        <v>171.39</v>
      </c>
      <c r="L25" s="100">
        <v>16.329999999999998</v>
      </c>
      <c r="M25" s="100">
        <v>72.77</v>
      </c>
      <c r="N25" s="100">
        <v>1.3</v>
      </c>
      <c r="O25" s="100">
        <v>0</v>
      </c>
      <c r="P25" s="100">
        <v>0.68</v>
      </c>
      <c r="Q25" s="100">
        <v>11.25</v>
      </c>
      <c r="R25" s="6"/>
      <c r="S25" s="6"/>
      <c r="T25" s="156"/>
      <c r="U25" s="6"/>
    </row>
    <row r="26" spans="1:21" customFormat="1">
      <c r="A26" s="163" t="s">
        <v>1792</v>
      </c>
      <c r="B26" s="100">
        <v>15.49</v>
      </c>
      <c r="C26" s="100">
        <v>24.53</v>
      </c>
      <c r="D26" s="100">
        <v>26.59</v>
      </c>
      <c r="E26" s="100">
        <v>10.26</v>
      </c>
      <c r="F26" s="152" t="s">
        <v>15</v>
      </c>
      <c r="G26" s="100">
        <v>70.069999999999993</v>
      </c>
      <c r="H26" s="100">
        <v>18.809999999999999</v>
      </c>
      <c r="I26" s="100">
        <v>9.5</v>
      </c>
      <c r="J26" s="100">
        <v>0.23</v>
      </c>
      <c r="K26" s="100">
        <v>174.34</v>
      </c>
      <c r="L26" s="100">
        <v>16.05</v>
      </c>
      <c r="M26" s="100">
        <v>73.44</v>
      </c>
      <c r="N26" s="100">
        <v>1.1000000000000001</v>
      </c>
      <c r="O26" s="100">
        <v>0</v>
      </c>
      <c r="P26" s="100">
        <v>0.69</v>
      </c>
      <c r="Q26" s="100">
        <v>11.25</v>
      </c>
      <c r="R26" s="6"/>
      <c r="S26" s="6"/>
      <c r="T26" s="156"/>
      <c r="U26" s="6"/>
    </row>
    <row r="27" spans="1:21" customFormat="1">
      <c r="A27" s="163" t="s">
        <v>1793</v>
      </c>
      <c r="B27" s="100">
        <v>15.97</v>
      </c>
      <c r="C27" s="100">
        <v>24.74</v>
      </c>
      <c r="D27" s="100">
        <v>27.08</v>
      </c>
      <c r="E27" s="100">
        <v>10.7</v>
      </c>
      <c r="F27" s="152" t="s">
        <v>15</v>
      </c>
      <c r="G27" s="100">
        <v>71</v>
      </c>
      <c r="H27" s="100">
        <v>18.79</v>
      </c>
      <c r="I27" s="100">
        <v>9.51</v>
      </c>
      <c r="J27" s="100">
        <v>0.18</v>
      </c>
      <c r="K27" s="100">
        <v>194.36</v>
      </c>
      <c r="L27" s="100">
        <v>15.56</v>
      </c>
      <c r="M27" s="100">
        <v>74.87</v>
      </c>
      <c r="N27" s="100">
        <v>1.3</v>
      </c>
      <c r="O27" s="100">
        <v>0</v>
      </c>
      <c r="P27" s="100">
        <v>0.72</v>
      </c>
      <c r="Q27" s="100">
        <v>11.25</v>
      </c>
      <c r="R27" s="6"/>
      <c r="S27" s="6"/>
      <c r="T27" s="156"/>
      <c r="U27" s="6"/>
    </row>
    <row r="28" spans="1:21" customFormat="1">
      <c r="A28" s="163" t="s">
        <v>1794</v>
      </c>
      <c r="B28" s="100">
        <v>15.99</v>
      </c>
      <c r="C28" s="100">
        <v>24.8</v>
      </c>
      <c r="D28" s="100">
        <v>27.13</v>
      </c>
      <c r="E28" s="100">
        <v>10.15</v>
      </c>
      <c r="F28" s="152" t="s">
        <v>15</v>
      </c>
      <c r="G28" s="100">
        <v>71</v>
      </c>
      <c r="H28" s="100">
        <v>18.79</v>
      </c>
      <c r="I28" s="100">
        <v>9.5500000000000007</v>
      </c>
      <c r="J28" s="100">
        <v>0.18</v>
      </c>
      <c r="K28" s="100">
        <v>193.75</v>
      </c>
      <c r="L28" s="100">
        <v>15.37</v>
      </c>
      <c r="M28" s="100">
        <v>75.94</v>
      </c>
      <c r="N28" s="100">
        <v>1.1000000000000001</v>
      </c>
      <c r="O28" s="100">
        <v>0</v>
      </c>
      <c r="P28" s="100">
        <v>0.75</v>
      </c>
      <c r="Q28" s="100">
        <v>11.25</v>
      </c>
      <c r="R28" s="6"/>
      <c r="S28" s="6"/>
      <c r="T28" s="156"/>
      <c r="U28" s="6"/>
    </row>
    <row r="29" spans="1:21" customFormat="1">
      <c r="A29" s="163" t="s">
        <v>1795</v>
      </c>
      <c r="B29" s="100">
        <v>15.01</v>
      </c>
      <c r="C29" s="100">
        <v>24.96</v>
      </c>
      <c r="D29" s="100">
        <v>26.43</v>
      </c>
      <c r="E29" s="100">
        <v>9.9499999999999993</v>
      </c>
      <c r="F29" s="152" t="s">
        <v>15</v>
      </c>
      <c r="G29" s="100">
        <v>71</v>
      </c>
      <c r="H29" s="100">
        <v>18.79</v>
      </c>
      <c r="I29" s="100">
        <v>9.58</v>
      </c>
      <c r="J29" s="100">
        <v>0.15</v>
      </c>
      <c r="K29" s="100">
        <v>157.37</v>
      </c>
      <c r="L29" s="100">
        <v>15.23</v>
      </c>
      <c r="M29" s="100">
        <v>76.38</v>
      </c>
      <c r="N29" s="100">
        <v>1</v>
      </c>
      <c r="O29" s="100">
        <v>0</v>
      </c>
      <c r="P29" s="100">
        <v>0.76</v>
      </c>
      <c r="Q29" s="100">
        <v>11.25</v>
      </c>
      <c r="R29" s="6"/>
      <c r="S29" s="6"/>
      <c r="T29" s="156"/>
      <c r="U29" s="6"/>
    </row>
    <row r="30" spans="1:21" customFormat="1">
      <c r="A30" s="163" t="s">
        <v>1796</v>
      </c>
      <c r="B30" s="100">
        <v>14.37</v>
      </c>
      <c r="C30" s="100">
        <v>25.08</v>
      </c>
      <c r="D30" s="100">
        <v>25.98</v>
      </c>
      <c r="E30" s="100">
        <v>9.9</v>
      </c>
      <c r="F30" s="152" t="s">
        <v>15</v>
      </c>
      <c r="G30" s="100">
        <v>55.76</v>
      </c>
      <c r="H30" s="100">
        <v>15.45</v>
      </c>
      <c r="I30" s="100">
        <v>9.57</v>
      </c>
      <c r="J30" s="100">
        <v>0.2</v>
      </c>
      <c r="K30" s="100">
        <v>165.43</v>
      </c>
      <c r="L30" s="100">
        <v>15.3</v>
      </c>
      <c r="M30" s="100">
        <v>77</v>
      </c>
      <c r="N30" s="100">
        <v>0.9</v>
      </c>
      <c r="O30" s="100">
        <v>0</v>
      </c>
      <c r="P30" s="100">
        <v>0.76</v>
      </c>
      <c r="Q30" s="100">
        <v>11.25</v>
      </c>
      <c r="R30" s="6"/>
      <c r="S30" s="6"/>
      <c r="T30" s="156"/>
      <c r="U30" s="6"/>
    </row>
    <row r="31" spans="1:21" customFormat="1">
      <c r="A31" s="163" t="s">
        <v>1797</v>
      </c>
      <c r="B31" s="100">
        <v>13.61</v>
      </c>
      <c r="C31" s="100">
        <v>25.17</v>
      </c>
      <c r="D31" s="100">
        <v>25.41</v>
      </c>
      <c r="E31" s="100">
        <v>9.5399999999999991</v>
      </c>
      <c r="F31" s="152" t="s">
        <v>15</v>
      </c>
      <c r="G31" s="100">
        <v>50.21</v>
      </c>
      <c r="H31" s="100">
        <v>15.4</v>
      </c>
      <c r="I31" s="100">
        <v>9.5500000000000007</v>
      </c>
      <c r="J31" s="100">
        <v>0.16</v>
      </c>
      <c r="K31" s="100">
        <v>176.11</v>
      </c>
      <c r="L31" s="100">
        <v>15.2</v>
      </c>
      <c r="M31" s="100">
        <v>76.459999999999994</v>
      </c>
      <c r="N31" s="100">
        <v>0.9</v>
      </c>
      <c r="O31" s="100">
        <v>0</v>
      </c>
      <c r="P31" s="100">
        <v>0.76</v>
      </c>
      <c r="Q31" s="100">
        <v>11.25</v>
      </c>
      <c r="R31" s="6"/>
      <c r="S31" s="6"/>
      <c r="T31" s="156"/>
      <c r="U31" s="6"/>
    </row>
    <row r="32" spans="1:21" customFormat="1">
      <c r="A32" s="163" t="s">
        <v>1798</v>
      </c>
      <c r="B32" s="100">
        <v>13.23</v>
      </c>
      <c r="C32" s="100">
        <v>24.88</v>
      </c>
      <c r="D32" s="100">
        <v>24.96</v>
      </c>
      <c r="E32" s="100">
        <v>9.43</v>
      </c>
      <c r="F32" s="152" t="s">
        <v>15</v>
      </c>
      <c r="G32" s="100">
        <v>50.21</v>
      </c>
      <c r="H32" s="100">
        <v>15.4</v>
      </c>
      <c r="I32" s="100">
        <v>9.49</v>
      </c>
      <c r="J32" s="100">
        <v>0.18</v>
      </c>
      <c r="K32" s="100">
        <v>189.05</v>
      </c>
      <c r="L32" s="100">
        <v>15.02</v>
      </c>
      <c r="M32" s="100">
        <v>77.81</v>
      </c>
      <c r="N32" s="100">
        <v>1.1000000000000001</v>
      </c>
      <c r="O32" s="100">
        <v>0</v>
      </c>
      <c r="P32" s="100">
        <v>0.76</v>
      </c>
      <c r="Q32" s="100">
        <v>11.25</v>
      </c>
      <c r="R32" s="6"/>
      <c r="S32" s="6"/>
      <c r="T32" s="156"/>
      <c r="U32" s="6"/>
    </row>
    <row r="33" spans="1:21" customFormat="1">
      <c r="A33" s="163" t="s">
        <v>1799</v>
      </c>
      <c r="B33" s="100">
        <v>13.1</v>
      </c>
      <c r="C33" s="100">
        <v>24.63</v>
      </c>
      <c r="D33" s="100">
        <v>24.72</v>
      </c>
      <c r="E33" s="100">
        <v>9.82</v>
      </c>
      <c r="F33" s="152" t="s">
        <v>15</v>
      </c>
      <c r="G33" s="100">
        <v>50.21</v>
      </c>
      <c r="H33" s="100">
        <v>15.4</v>
      </c>
      <c r="I33" s="100">
        <v>9.4499999999999993</v>
      </c>
      <c r="J33" s="100">
        <v>0.14000000000000001</v>
      </c>
      <c r="K33" s="100">
        <v>171.93</v>
      </c>
      <c r="L33" s="100">
        <v>14.87</v>
      </c>
      <c r="M33" s="100">
        <v>78.290000000000006</v>
      </c>
      <c r="N33" s="100">
        <v>1.2</v>
      </c>
      <c r="O33" s="100">
        <v>0</v>
      </c>
      <c r="P33" s="100">
        <v>0.76</v>
      </c>
      <c r="Q33" s="100">
        <v>11.25</v>
      </c>
      <c r="R33" s="6"/>
      <c r="S33" s="6"/>
      <c r="T33" s="156"/>
      <c r="U33" s="6"/>
    </row>
    <row r="34" spans="1:21" customFormat="1">
      <c r="A34" s="163" t="s">
        <v>1800</v>
      </c>
      <c r="B34" s="100">
        <v>12.75</v>
      </c>
      <c r="C34" s="100">
        <v>24.41</v>
      </c>
      <c r="D34" s="100">
        <v>24.33</v>
      </c>
      <c r="E34" s="100">
        <v>9.14</v>
      </c>
      <c r="F34" s="152" t="s">
        <v>15</v>
      </c>
      <c r="G34" s="100">
        <v>61.92</v>
      </c>
      <c r="H34" s="100">
        <v>16.14</v>
      </c>
      <c r="I34" s="100">
        <v>9.4700000000000006</v>
      </c>
      <c r="J34" s="100">
        <v>0.16</v>
      </c>
      <c r="K34" s="100">
        <v>217.26</v>
      </c>
      <c r="L34" s="100">
        <v>14.94</v>
      </c>
      <c r="M34" s="100">
        <v>74.81</v>
      </c>
      <c r="N34" s="100">
        <v>1.7</v>
      </c>
      <c r="O34" s="100">
        <v>0</v>
      </c>
      <c r="P34" s="100">
        <v>0.76</v>
      </c>
      <c r="Q34" s="100">
        <v>11.25</v>
      </c>
      <c r="R34" s="6"/>
      <c r="S34" s="6"/>
      <c r="T34" s="156"/>
      <c r="U34" s="6"/>
    </row>
    <row r="35" spans="1:21" customFormat="1">
      <c r="A35" s="163" t="s">
        <v>1801</v>
      </c>
      <c r="B35" s="100">
        <v>12.39</v>
      </c>
      <c r="C35" s="100">
        <v>24.41</v>
      </c>
      <c r="D35" s="100">
        <v>24.04</v>
      </c>
      <c r="E35" s="100">
        <v>9.06</v>
      </c>
      <c r="F35" s="152" t="s">
        <v>15</v>
      </c>
      <c r="G35" s="100">
        <v>66.17</v>
      </c>
      <c r="H35" s="100">
        <v>16.149999999999999</v>
      </c>
      <c r="I35" s="100">
        <v>9.4499999999999993</v>
      </c>
      <c r="J35" s="100">
        <v>0.2</v>
      </c>
      <c r="K35" s="100">
        <v>164.77</v>
      </c>
      <c r="L35" s="100">
        <v>14.97</v>
      </c>
      <c r="M35" s="100">
        <v>78.900000000000006</v>
      </c>
      <c r="N35" s="100">
        <v>4.9000000000000004</v>
      </c>
      <c r="O35" s="100">
        <v>0</v>
      </c>
      <c r="P35" s="100">
        <v>0.77</v>
      </c>
      <c r="Q35" s="100">
        <v>11.25</v>
      </c>
      <c r="R35" s="6"/>
      <c r="S35" s="6"/>
      <c r="T35" s="156"/>
      <c r="U35" s="6"/>
    </row>
    <row r="36" spans="1:21" customFormat="1">
      <c r="A36" s="163" t="s">
        <v>1802</v>
      </c>
      <c r="B36" s="100">
        <v>12.12</v>
      </c>
      <c r="C36" s="100">
        <v>24.06</v>
      </c>
      <c r="D36" s="100">
        <v>23.64</v>
      </c>
      <c r="E36" s="100">
        <v>9.64</v>
      </c>
      <c r="F36" s="152" t="s">
        <v>15</v>
      </c>
      <c r="G36" s="100">
        <v>66.17</v>
      </c>
      <c r="H36" s="100">
        <v>16.149999999999999</v>
      </c>
      <c r="I36" s="100">
        <v>9.44</v>
      </c>
      <c r="J36" s="100">
        <v>0.16</v>
      </c>
      <c r="K36" s="100">
        <v>201.19</v>
      </c>
      <c r="L36" s="100">
        <v>14.9</v>
      </c>
      <c r="M36" s="100">
        <v>79.510000000000005</v>
      </c>
      <c r="N36" s="100">
        <v>10.3</v>
      </c>
      <c r="O36" s="100">
        <v>0</v>
      </c>
      <c r="P36" s="100">
        <v>0.77</v>
      </c>
      <c r="Q36" s="100">
        <v>11.25</v>
      </c>
      <c r="R36" s="6"/>
      <c r="S36" s="6"/>
      <c r="T36" s="156"/>
      <c r="U36" s="6"/>
    </row>
    <row r="37" spans="1:21" customFormat="1">
      <c r="A37" s="163" t="s">
        <v>1803</v>
      </c>
      <c r="B37" s="100">
        <v>12.06</v>
      </c>
      <c r="C37" s="100">
        <v>23.44</v>
      </c>
      <c r="D37" s="100">
        <v>23.27</v>
      </c>
      <c r="E37" s="100">
        <v>9.61</v>
      </c>
      <c r="F37" s="152" t="s">
        <v>15</v>
      </c>
      <c r="G37" s="100">
        <v>66.17</v>
      </c>
      <c r="H37" s="100">
        <v>16.149999999999999</v>
      </c>
      <c r="I37" s="100">
        <v>9.4600000000000009</v>
      </c>
      <c r="J37" s="100">
        <v>0.1</v>
      </c>
      <c r="K37" s="100">
        <v>173.39</v>
      </c>
      <c r="L37" s="100">
        <v>15.31</v>
      </c>
      <c r="M37" s="100">
        <v>77.84</v>
      </c>
      <c r="N37" s="100">
        <v>16.5</v>
      </c>
      <c r="O37" s="100">
        <v>0</v>
      </c>
      <c r="P37" s="100">
        <v>0.77</v>
      </c>
      <c r="Q37" s="100">
        <v>11.25</v>
      </c>
      <c r="R37" s="6"/>
      <c r="S37" s="6"/>
      <c r="T37" s="156"/>
      <c r="U37" s="6"/>
    </row>
    <row r="38" spans="1:21" customFormat="1">
      <c r="A38" s="163" t="s">
        <v>1804</v>
      </c>
      <c r="B38" s="100">
        <v>12.01</v>
      </c>
      <c r="C38" s="100">
        <v>23.17</v>
      </c>
      <c r="D38" s="100">
        <v>23.09</v>
      </c>
      <c r="E38" s="100">
        <v>9.3699999999999992</v>
      </c>
      <c r="F38" s="152" t="s">
        <v>15</v>
      </c>
      <c r="G38" s="100">
        <v>57.87</v>
      </c>
      <c r="H38" s="100">
        <v>17.690000000000001</v>
      </c>
      <c r="I38" s="100">
        <v>9.48</v>
      </c>
      <c r="J38" s="100">
        <v>0.2</v>
      </c>
      <c r="K38" s="100">
        <v>171.87</v>
      </c>
      <c r="L38" s="100">
        <v>15.96</v>
      </c>
      <c r="M38" s="100">
        <v>76.05</v>
      </c>
      <c r="N38" s="100">
        <v>22.9</v>
      </c>
      <c r="O38" s="100">
        <v>0</v>
      </c>
      <c r="P38" s="100">
        <v>0.78</v>
      </c>
      <c r="Q38" s="100">
        <v>11.25</v>
      </c>
      <c r="R38" s="6"/>
      <c r="S38" s="6"/>
      <c r="T38" s="156"/>
      <c r="U38" s="6"/>
    </row>
    <row r="39" spans="1:21" customFormat="1">
      <c r="A39" s="163" t="s">
        <v>1805</v>
      </c>
      <c r="B39" s="100">
        <v>11.8</v>
      </c>
      <c r="C39" s="100">
        <v>23.36</v>
      </c>
      <c r="D39" s="100">
        <v>23.02</v>
      </c>
      <c r="E39" s="100">
        <v>9.07</v>
      </c>
      <c r="F39" s="152" t="s">
        <v>15</v>
      </c>
      <c r="G39" s="100">
        <v>54.85</v>
      </c>
      <c r="H39" s="100">
        <v>17.71</v>
      </c>
      <c r="I39" s="100">
        <v>9.48</v>
      </c>
      <c r="J39" s="100">
        <v>0.48</v>
      </c>
      <c r="K39" s="100">
        <v>163.53</v>
      </c>
      <c r="L39" s="100">
        <v>17.239999999999998</v>
      </c>
      <c r="M39" s="100">
        <v>67.069999999999993</v>
      </c>
      <c r="N39" s="100">
        <v>29.1</v>
      </c>
      <c r="O39" s="100">
        <v>0</v>
      </c>
      <c r="P39" s="100">
        <v>0.78</v>
      </c>
      <c r="Q39" s="100">
        <v>11.25</v>
      </c>
      <c r="R39" s="6"/>
      <c r="S39" s="6"/>
      <c r="T39" s="156"/>
      <c r="U39" s="6"/>
    </row>
    <row r="40" spans="1:21" customFormat="1">
      <c r="A40" s="163" t="s">
        <v>1806</v>
      </c>
      <c r="B40" s="100">
        <v>11.41</v>
      </c>
      <c r="C40" s="100">
        <v>23.5</v>
      </c>
      <c r="D40" s="100">
        <v>22.78</v>
      </c>
      <c r="E40" s="100">
        <v>9.36</v>
      </c>
      <c r="F40" s="152" t="s">
        <v>15</v>
      </c>
      <c r="G40" s="100">
        <v>54.85</v>
      </c>
      <c r="H40" s="100">
        <v>17.71</v>
      </c>
      <c r="I40" s="100">
        <v>9.49</v>
      </c>
      <c r="J40" s="100">
        <v>0.22</v>
      </c>
      <c r="K40" s="100">
        <v>154.28</v>
      </c>
      <c r="L40" s="100">
        <v>18.53</v>
      </c>
      <c r="M40" s="100">
        <v>64.86</v>
      </c>
      <c r="N40" s="100">
        <v>36.6</v>
      </c>
      <c r="O40" s="100">
        <v>0</v>
      </c>
      <c r="P40" s="100">
        <v>0.79</v>
      </c>
      <c r="Q40" s="100">
        <v>11.25</v>
      </c>
      <c r="R40" s="6"/>
      <c r="S40" s="6"/>
      <c r="T40" s="156"/>
      <c r="U40" s="6"/>
    </row>
    <row r="41" spans="1:21" customFormat="1">
      <c r="A41" s="163" t="s">
        <v>1807</v>
      </c>
      <c r="B41" s="100">
        <v>10.95</v>
      </c>
      <c r="C41" s="100">
        <v>23.98</v>
      </c>
      <c r="D41" s="100">
        <v>22.66</v>
      </c>
      <c r="E41" s="100">
        <v>9.3699999999999992</v>
      </c>
      <c r="F41" s="152" t="s">
        <v>15</v>
      </c>
      <c r="G41" s="100">
        <v>54.85</v>
      </c>
      <c r="H41" s="100">
        <v>17.71</v>
      </c>
      <c r="I41" s="100">
        <v>9.59</v>
      </c>
      <c r="J41" s="100">
        <v>0.08</v>
      </c>
      <c r="K41" s="100">
        <v>168.79</v>
      </c>
      <c r="L41" s="100">
        <v>20.23</v>
      </c>
      <c r="M41" s="100">
        <v>56.61</v>
      </c>
      <c r="N41" s="100">
        <v>123.8</v>
      </c>
      <c r="O41" s="100">
        <v>0</v>
      </c>
      <c r="P41" s="100">
        <v>0.79</v>
      </c>
      <c r="Q41" s="100">
        <v>11.25</v>
      </c>
      <c r="R41" s="6"/>
      <c r="S41" s="6"/>
      <c r="T41" s="156"/>
      <c r="U41" s="6"/>
    </row>
    <row r="42" spans="1:21" customFormat="1">
      <c r="A42" s="163" t="s">
        <v>1808</v>
      </c>
      <c r="B42" s="100">
        <v>10.29</v>
      </c>
      <c r="C42" s="100">
        <v>25.01</v>
      </c>
      <c r="D42" s="100">
        <v>22.67</v>
      </c>
      <c r="E42" s="100">
        <v>9.57</v>
      </c>
      <c r="F42" s="152" t="s">
        <v>15</v>
      </c>
      <c r="G42" s="100">
        <v>69.03</v>
      </c>
      <c r="H42" s="100">
        <v>20.29</v>
      </c>
      <c r="I42" s="100">
        <v>9.73</v>
      </c>
      <c r="J42" s="100">
        <v>0.33</v>
      </c>
      <c r="K42" s="100">
        <v>141.58000000000001</v>
      </c>
      <c r="L42" s="100">
        <v>22.19</v>
      </c>
      <c r="M42" s="100">
        <v>46.46</v>
      </c>
      <c r="N42" s="100">
        <v>184.6</v>
      </c>
      <c r="O42" s="100">
        <v>0</v>
      </c>
      <c r="P42" s="100">
        <v>0.8</v>
      </c>
      <c r="Q42" s="100">
        <v>11.25</v>
      </c>
      <c r="R42" s="6"/>
      <c r="S42" s="6"/>
      <c r="T42" s="156"/>
      <c r="U42" s="6"/>
    </row>
    <row r="43" spans="1:21" customFormat="1">
      <c r="A43" s="163" t="s">
        <v>1809</v>
      </c>
      <c r="B43" s="100">
        <v>9.8000000000000007</v>
      </c>
      <c r="C43" s="100">
        <v>25.59</v>
      </c>
      <c r="D43" s="100">
        <v>22.58</v>
      </c>
      <c r="E43" s="100">
        <v>9.61</v>
      </c>
      <c r="F43" s="152" t="s">
        <v>15</v>
      </c>
      <c r="G43" s="100">
        <v>74.180000000000007</v>
      </c>
      <c r="H43" s="100">
        <v>20.32</v>
      </c>
      <c r="I43" s="100">
        <v>9.8800000000000008</v>
      </c>
      <c r="J43" s="100">
        <v>0.1</v>
      </c>
      <c r="K43" s="100">
        <v>256.05</v>
      </c>
      <c r="L43" s="100">
        <v>23.59</v>
      </c>
      <c r="M43" s="100">
        <v>42.14</v>
      </c>
      <c r="N43" s="100">
        <v>229.1</v>
      </c>
      <c r="O43" s="100">
        <v>0</v>
      </c>
      <c r="P43" s="100">
        <v>0.82</v>
      </c>
      <c r="Q43" s="100">
        <v>11.25</v>
      </c>
      <c r="R43" s="6"/>
      <c r="S43" s="6"/>
      <c r="T43" s="156"/>
      <c r="U43" s="6"/>
    </row>
    <row r="44" spans="1:21" customFormat="1">
      <c r="A44" s="163" t="s">
        <v>1810</v>
      </c>
      <c r="B44" s="100">
        <v>9.07</v>
      </c>
      <c r="C44" s="100">
        <v>25.71</v>
      </c>
      <c r="D44" s="100">
        <v>22.06</v>
      </c>
      <c r="E44" s="100">
        <v>10.3</v>
      </c>
      <c r="F44" s="152" t="s">
        <v>15</v>
      </c>
      <c r="G44" s="100">
        <v>74.180000000000007</v>
      </c>
      <c r="H44" s="100">
        <v>20.32</v>
      </c>
      <c r="I44" s="100">
        <v>10.06</v>
      </c>
      <c r="J44" s="100">
        <v>0.33</v>
      </c>
      <c r="K44" s="100">
        <v>269.10000000000002</v>
      </c>
      <c r="L44" s="100">
        <v>24.39</v>
      </c>
      <c r="M44" s="100">
        <v>41.21</v>
      </c>
      <c r="N44" s="100">
        <v>242.7</v>
      </c>
      <c r="O44" s="100">
        <v>0</v>
      </c>
      <c r="P44" s="100">
        <v>0.83</v>
      </c>
      <c r="Q44" s="100">
        <v>11.25</v>
      </c>
      <c r="R44" s="6"/>
      <c r="S44" s="6"/>
      <c r="T44" s="156"/>
      <c r="U44" s="6"/>
    </row>
    <row r="45" spans="1:21" customFormat="1">
      <c r="A45" s="163" t="s">
        <v>1811</v>
      </c>
      <c r="B45" s="100">
        <v>8.4</v>
      </c>
      <c r="C45" s="100">
        <v>25.71</v>
      </c>
      <c r="D45" s="100">
        <v>21.52</v>
      </c>
      <c r="E45" s="100">
        <v>9.86</v>
      </c>
      <c r="F45" s="152" t="s">
        <v>15</v>
      </c>
      <c r="G45" s="100">
        <v>74.180000000000007</v>
      </c>
      <c r="H45" s="100">
        <v>20.32</v>
      </c>
      <c r="I45" s="100">
        <v>10.19</v>
      </c>
      <c r="J45" s="100">
        <v>0.12</v>
      </c>
      <c r="K45" s="100">
        <v>287.45999999999998</v>
      </c>
      <c r="L45" s="100">
        <v>25.62</v>
      </c>
      <c r="M45" s="100">
        <v>37.65</v>
      </c>
      <c r="N45" s="100">
        <v>209.4</v>
      </c>
      <c r="O45" s="100">
        <v>0</v>
      </c>
      <c r="P45" s="100">
        <v>0.82</v>
      </c>
      <c r="Q45" s="100">
        <v>11.25</v>
      </c>
      <c r="R45" s="6"/>
      <c r="S45" s="6"/>
      <c r="T45" s="156"/>
      <c r="U45" s="6"/>
    </row>
    <row r="46" spans="1:21" customFormat="1">
      <c r="A46" s="163" t="s">
        <v>1812</v>
      </c>
      <c r="B46" s="100">
        <v>7.57</v>
      </c>
      <c r="C46" s="100">
        <v>25.79</v>
      </c>
      <c r="D46" s="100">
        <v>20.9</v>
      </c>
      <c r="E46" s="100">
        <v>10.01</v>
      </c>
      <c r="F46" s="152" t="s">
        <v>15</v>
      </c>
      <c r="G46" s="100">
        <v>73.2</v>
      </c>
      <c r="H46" s="100">
        <v>27.7</v>
      </c>
      <c r="I46" s="100">
        <v>10.28</v>
      </c>
      <c r="J46" s="100">
        <v>0.32</v>
      </c>
      <c r="K46" s="100">
        <v>263.08</v>
      </c>
      <c r="L46" s="100">
        <v>26.55</v>
      </c>
      <c r="M46" s="100">
        <v>35.090000000000003</v>
      </c>
      <c r="N46" s="100">
        <v>291.39999999999998</v>
      </c>
      <c r="O46" s="100">
        <v>0</v>
      </c>
      <c r="P46" s="100">
        <v>0.79</v>
      </c>
      <c r="Q46" s="100">
        <v>11.25</v>
      </c>
      <c r="R46" s="6"/>
      <c r="S46" s="6"/>
      <c r="T46" s="156"/>
      <c r="U46" s="6"/>
    </row>
    <row r="47" spans="1:21" customFormat="1">
      <c r="A47" s="163" t="s">
        <v>1813</v>
      </c>
      <c r="B47" s="100">
        <v>6.82</v>
      </c>
      <c r="C47" s="100">
        <v>25.43</v>
      </c>
      <c r="D47" s="100">
        <v>20.100000000000001</v>
      </c>
      <c r="E47" s="100">
        <v>10.54</v>
      </c>
      <c r="F47" s="152" t="s">
        <v>15</v>
      </c>
      <c r="G47" s="100">
        <v>72.84</v>
      </c>
      <c r="H47" s="100">
        <v>27.87</v>
      </c>
      <c r="I47" s="100">
        <v>10.38</v>
      </c>
      <c r="J47" s="100">
        <v>0.53</v>
      </c>
      <c r="K47" s="100">
        <v>270.83</v>
      </c>
      <c r="L47" s="100">
        <v>27.08</v>
      </c>
      <c r="M47" s="100">
        <v>32.700000000000003</v>
      </c>
      <c r="N47" s="100">
        <v>305</v>
      </c>
      <c r="O47" s="100">
        <v>0</v>
      </c>
      <c r="P47" s="100">
        <v>0.76</v>
      </c>
      <c r="Q47" s="100">
        <v>11.25</v>
      </c>
      <c r="R47" s="6"/>
      <c r="S47" s="6"/>
      <c r="T47" s="156"/>
      <c r="U47" s="6"/>
    </row>
    <row r="48" spans="1:21" customFormat="1">
      <c r="A48" s="163" t="s">
        <v>1814</v>
      </c>
      <c r="B48" s="100">
        <v>6.31</v>
      </c>
      <c r="C48" s="100">
        <v>25.38</v>
      </c>
      <c r="D48" s="100">
        <v>19.670000000000002</v>
      </c>
      <c r="E48" s="100">
        <v>10.64</v>
      </c>
      <c r="F48" s="152" t="s">
        <v>15</v>
      </c>
      <c r="G48" s="100">
        <v>72.84</v>
      </c>
      <c r="H48" s="100">
        <v>27.87</v>
      </c>
      <c r="I48" s="100">
        <v>10.48</v>
      </c>
      <c r="J48" s="100">
        <v>0.55000000000000004</v>
      </c>
      <c r="K48" s="100">
        <v>275.51</v>
      </c>
      <c r="L48" s="100">
        <v>27.94</v>
      </c>
      <c r="M48" s="100">
        <v>29.68</v>
      </c>
      <c r="N48" s="100">
        <v>316.39999999999998</v>
      </c>
      <c r="O48" s="100">
        <v>0</v>
      </c>
      <c r="P48" s="100">
        <v>0.77</v>
      </c>
      <c r="Q48" s="100">
        <v>11.25</v>
      </c>
      <c r="R48" s="6"/>
      <c r="S48" s="6"/>
      <c r="T48" s="156"/>
      <c r="U48" s="6"/>
    </row>
    <row r="49" spans="1:21" customFormat="1">
      <c r="A49" s="163" t="s">
        <v>1815</v>
      </c>
      <c r="B49" s="100">
        <v>5.09</v>
      </c>
      <c r="C49" s="100">
        <v>25.68</v>
      </c>
      <c r="D49" s="100">
        <v>18.850000000000001</v>
      </c>
      <c r="E49" s="100">
        <v>9.84</v>
      </c>
      <c r="F49" s="152" t="s">
        <v>15</v>
      </c>
      <c r="G49" s="100">
        <v>72.84</v>
      </c>
      <c r="H49" s="100">
        <v>27.87</v>
      </c>
      <c r="I49" s="100">
        <v>10.59</v>
      </c>
      <c r="J49" s="100">
        <v>0.51</v>
      </c>
      <c r="K49" s="100">
        <v>268.24</v>
      </c>
      <c r="L49" s="100">
        <v>28.74</v>
      </c>
      <c r="M49" s="100">
        <v>26.7</v>
      </c>
      <c r="N49" s="100">
        <v>241.2</v>
      </c>
      <c r="O49" s="100">
        <v>0</v>
      </c>
      <c r="P49" s="100">
        <v>0.79</v>
      </c>
      <c r="Q49" s="100">
        <v>11.25</v>
      </c>
      <c r="R49" s="6"/>
      <c r="S49" s="6"/>
      <c r="T49" s="156"/>
      <c r="U49" s="6"/>
    </row>
    <row r="50" spans="1:21" customFormat="1">
      <c r="A50" s="163" t="s">
        <v>1816</v>
      </c>
      <c r="B50" s="100">
        <v>4.26</v>
      </c>
      <c r="C50" s="100">
        <v>25.54</v>
      </c>
      <c r="D50" s="100">
        <v>18.11</v>
      </c>
      <c r="E50" s="100">
        <v>11.56</v>
      </c>
      <c r="F50" s="152" t="s">
        <v>15</v>
      </c>
      <c r="G50" s="100">
        <v>70.69</v>
      </c>
      <c r="H50" s="100">
        <v>29.88</v>
      </c>
      <c r="I50" s="100">
        <v>10.77</v>
      </c>
      <c r="J50" s="100">
        <v>0.46</v>
      </c>
      <c r="K50" s="100">
        <v>270.92</v>
      </c>
      <c r="L50" s="100">
        <v>29.58</v>
      </c>
      <c r="M50" s="100">
        <v>23.93</v>
      </c>
      <c r="N50" s="100">
        <v>308.5</v>
      </c>
      <c r="O50" s="100">
        <v>0</v>
      </c>
      <c r="P50" s="100">
        <v>0.78</v>
      </c>
      <c r="Q50" s="100">
        <v>11.25</v>
      </c>
      <c r="R50" s="6"/>
      <c r="S50" s="6"/>
      <c r="T50" s="156"/>
      <c r="U50" s="6"/>
    </row>
    <row r="51" spans="1:21" customFormat="1">
      <c r="A51" s="163" t="s">
        <v>1817</v>
      </c>
      <c r="B51" s="100">
        <v>3.92</v>
      </c>
      <c r="C51" s="100">
        <v>24.98</v>
      </c>
      <c r="D51" s="100">
        <v>17.55</v>
      </c>
      <c r="E51" s="100">
        <v>11.77</v>
      </c>
      <c r="F51" s="152" t="s">
        <v>15</v>
      </c>
      <c r="G51" s="100">
        <v>69.91</v>
      </c>
      <c r="H51" s="100">
        <v>29.92</v>
      </c>
      <c r="I51" s="100">
        <v>10.9</v>
      </c>
      <c r="J51" s="100">
        <v>0.66</v>
      </c>
      <c r="K51" s="100">
        <v>287.43</v>
      </c>
      <c r="L51" s="100">
        <v>30.05</v>
      </c>
      <c r="M51" s="100">
        <v>22.08</v>
      </c>
      <c r="N51" s="100">
        <v>357.7</v>
      </c>
      <c r="O51" s="100">
        <v>0</v>
      </c>
      <c r="P51" s="100">
        <v>0.78</v>
      </c>
      <c r="Q51" s="100">
        <v>11.25</v>
      </c>
      <c r="R51" s="6"/>
      <c r="S51" s="6"/>
      <c r="T51" s="156"/>
      <c r="U51" s="6"/>
    </row>
    <row r="52" spans="1:21" customFormat="1">
      <c r="A52" s="163" t="s">
        <v>1818</v>
      </c>
      <c r="B52" s="100">
        <v>3.83</v>
      </c>
      <c r="C52" s="100">
        <v>24.54</v>
      </c>
      <c r="D52" s="100">
        <v>17.25</v>
      </c>
      <c r="E52" s="100">
        <v>12.67</v>
      </c>
      <c r="F52" s="152" t="s">
        <v>15</v>
      </c>
      <c r="G52" s="100">
        <v>69.91</v>
      </c>
      <c r="H52" s="100">
        <v>29.92</v>
      </c>
      <c r="I52" s="100">
        <v>10.92</v>
      </c>
      <c r="J52" s="100">
        <v>0.63</v>
      </c>
      <c r="K52" s="100">
        <v>279.22000000000003</v>
      </c>
      <c r="L52" s="100">
        <v>30.66</v>
      </c>
      <c r="M52" s="100">
        <v>21.73</v>
      </c>
      <c r="N52" s="100">
        <v>363.7</v>
      </c>
      <c r="O52" s="100">
        <v>0</v>
      </c>
      <c r="P52" s="100">
        <v>0.78</v>
      </c>
      <c r="Q52" s="100">
        <v>11.25</v>
      </c>
      <c r="R52" s="6"/>
      <c r="S52" s="6"/>
      <c r="T52" s="156"/>
      <c r="U52" s="6"/>
    </row>
    <row r="53" spans="1:21" customFormat="1">
      <c r="A53" s="163" t="s">
        <v>1819</v>
      </c>
      <c r="B53" s="100">
        <v>3.9</v>
      </c>
      <c r="C53" s="100">
        <v>24.47</v>
      </c>
      <c r="D53" s="100">
        <v>17.260000000000002</v>
      </c>
      <c r="E53" s="100">
        <v>14.29</v>
      </c>
      <c r="F53" s="152" t="s">
        <v>15</v>
      </c>
      <c r="G53" s="100">
        <v>69.91</v>
      </c>
      <c r="H53" s="100">
        <v>29.92</v>
      </c>
      <c r="I53" s="100">
        <v>10.89</v>
      </c>
      <c r="J53" s="100">
        <v>0.7</v>
      </c>
      <c r="K53" s="100">
        <v>263.36</v>
      </c>
      <c r="L53" s="100">
        <v>31.22</v>
      </c>
      <c r="M53" s="100">
        <v>21.29</v>
      </c>
      <c r="N53" s="100">
        <v>368.3</v>
      </c>
      <c r="O53" s="100">
        <v>0</v>
      </c>
      <c r="P53" s="100">
        <v>0.82</v>
      </c>
      <c r="Q53" s="100">
        <v>11.25</v>
      </c>
      <c r="R53" s="6"/>
      <c r="S53" s="6"/>
      <c r="T53" s="156"/>
      <c r="U53" s="6"/>
    </row>
    <row r="54" spans="1:21" customFormat="1">
      <c r="A54" s="163" t="s">
        <v>1820</v>
      </c>
      <c r="B54" s="100">
        <v>4.17</v>
      </c>
      <c r="C54" s="100">
        <v>24.36</v>
      </c>
      <c r="D54" s="100">
        <v>17.43</v>
      </c>
      <c r="E54" s="100">
        <v>22.11</v>
      </c>
      <c r="F54" s="152" t="s">
        <v>15</v>
      </c>
      <c r="G54" s="100">
        <v>66.16</v>
      </c>
      <c r="H54" s="100">
        <v>29.39</v>
      </c>
      <c r="I54" s="100">
        <v>10.85</v>
      </c>
      <c r="J54" s="100">
        <v>0.55000000000000004</v>
      </c>
      <c r="K54" s="100">
        <v>288.02</v>
      </c>
      <c r="L54" s="100">
        <v>31.84</v>
      </c>
      <c r="M54" s="100">
        <v>20.43</v>
      </c>
      <c r="N54" s="100">
        <v>339</v>
      </c>
      <c r="O54" s="100">
        <v>0</v>
      </c>
      <c r="P54" s="100">
        <v>0.86</v>
      </c>
      <c r="Q54" s="100">
        <v>11.25</v>
      </c>
      <c r="R54" s="6"/>
      <c r="S54" s="6"/>
      <c r="T54" s="156"/>
      <c r="U54" s="6"/>
    </row>
    <row r="55" spans="1:21" customFormat="1">
      <c r="A55" s="163" t="s">
        <v>1821</v>
      </c>
      <c r="B55" s="100">
        <v>4.91</v>
      </c>
      <c r="C55" s="100">
        <v>23.79</v>
      </c>
      <c r="D55" s="100">
        <v>17.72</v>
      </c>
      <c r="E55" s="100">
        <v>14.43</v>
      </c>
      <c r="F55" s="152" t="s">
        <v>15</v>
      </c>
      <c r="G55" s="100">
        <v>64.790000000000006</v>
      </c>
      <c r="H55" s="100">
        <v>29.38</v>
      </c>
      <c r="I55" s="100">
        <v>10.91</v>
      </c>
      <c r="J55" s="100">
        <v>0.6</v>
      </c>
      <c r="K55" s="100">
        <v>260.26</v>
      </c>
      <c r="L55" s="100">
        <v>32.299999999999997</v>
      </c>
      <c r="M55" s="100">
        <v>20.56</v>
      </c>
      <c r="N55" s="100">
        <v>335.1</v>
      </c>
      <c r="O55" s="100">
        <v>0</v>
      </c>
      <c r="P55" s="100">
        <v>0.87</v>
      </c>
      <c r="Q55" s="100">
        <v>11.25</v>
      </c>
      <c r="R55" s="6"/>
      <c r="S55" s="6"/>
      <c r="T55" s="156"/>
      <c r="U55" s="6"/>
    </row>
    <row r="56" spans="1:21" customFormat="1">
      <c r="A56" s="163" t="s">
        <v>1822</v>
      </c>
      <c r="B56" s="100">
        <v>6.63</v>
      </c>
      <c r="C56" s="100">
        <v>21.93</v>
      </c>
      <c r="D56" s="100">
        <v>18.13</v>
      </c>
      <c r="E56" s="100">
        <v>12.97</v>
      </c>
      <c r="F56" s="152" t="s">
        <v>15</v>
      </c>
      <c r="G56" s="100">
        <v>64.790000000000006</v>
      </c>
      <c r="H56" s="100">
        <v>29.38</v>
      </c>
      <c r="I56" s="100">
        <v>11.03</v>
      </c>
      <c r="J56" s="100">
        <v>0.46</v>
      </c>
      <c r="K56" s="100">
        <v>245.03</v>
      </c>
      <c r="L56" s="100">
        <v>32.93</v>
      </c>
      <c r="M56" s="100">
        <v>19.88</v>
      </c>
      <c r="N56" s="100">
        <v>374.8</v>
      </c>
      <c r="O56" s="100">
        <v>0</v>
      </c>
      <c r="P56" s="100">
        <v>0.87</v>
      </c>
      <c r="Q56" s="100">
        <v>11.25</v>
      </c>
      <c r="R56" s="6"/>
      <c r="S56" s="6"/>
      <c r="T56" s="156"/>
      <c r="U56" s="6"/>
    </row>
    <row r="57" spans="1:21" customFormat="1">
      <c r="A57" s="163" t="s">
        <v>1823</v>
      </c>
      <c r="B57" s="100">
        <v>4.68</v>
      </c>
      <c r="C57" s="100">
        <v>22.92</v>
      </c>
      <c r="D57" s="100">
        <v>17.079999999999998</v>
      </c>
      <c r="E57" s="100">
        <v>13.34</v>
      </c>
      <c r="F57" s="152" t="s">
        <v>15</v>
      </c>
      <c r="G57" s="100">
        <v>64.790000000000006</v>
      </c>
      <c r="H57" s="100">
        <v>29.38</v>
      </c>
      <c r="I57" s="100">
        <v>11.19</v>
      </c>
      <c r="J57" s="100">
        <v>0.98</v>
      </c>
      <c r="K57" s="100">
        <v>309.62</v>
      </c>
      <c r="L57" s="100">
        <v>32.53</v>
      </c>
      <c r="M57" s="100">
        <v>19.2</v>
      </c>
      <c r="N57" s="100">
        <v>376</v>
      </c>
      <c r="O57" s="100">
        <v>0</v>
      </c>
      <c r="P57" s="100">
        <v>0.86</v>
      </c>
      <c r="Q57" s="100">
        <v>11.25</v>
      </c>
      <c r="R57" s="6"/>
      <c r="S57" s="6"/>
      <c r="T57" s="156"/>
      <c r="U57" s="6"/>
    </row>
    <row r="58" spans="1:21" customFormat="1">
      <c r="A58" s="163" t="s">
        <v>1824</v>
      </c>
      <c r="B58" s="100">
        <v>3.87</v>
      </c>
      <c r="C58" s="100">
        <v>23.17</v>
      </c>
      <c r="D58" s="100">
        <v>16.559999999999999</v>
      </c>
      <c r="E58" s="100">
        <v>14.62</v>
      </c>
      <c r="F58" s="152" t="s">
        <v>15</v>
      </c>
      <c r="G58" s="100">
        <v>62.33</v>
      </c>
      <c r="H58" s="100">
        <v>30.57</v>
      </c>
      <c r="I58" s="100">
        <v>11.46</v>
      </c>
      <c r="J58" s="100">
        <v>0.54</v>
      </c>
      <c r="K58" s="100">
        <v>281.61</v>
      </c>
      <c r="L58" s="100">
        <v>32.979999999999997</v>
      </c>
      <c r="M58" s="100">
        <v>19.11</v>
      </c>
      <c r="N58" s="100">
        <v>373.1</v>
      </c>
      <c r="O58" s="100">
        <v>0</v>
      </c>
      <c r="P58" s="100">
        <v>0.86</v>
      </c>
      <c r="Q58" s="100">
        <v>11.25</v>
      </c>
      <c r="R58" s="6"/>
      <c r="S58" s="6"/>
      <c r="T58" s="156"/>
      <c r="U58" s="6"/>
    </row>
    <row r="59" spans="1:21" customFormat="1">
      <c r="A59" s="163" t="s">
        <v>1825</v>
      </c>
      <c r="B59" s="100">
        <v>3.65</v>
      </c>
      <c r="C59" s="100">
        <v>22.89</v>
      </c>
      <c r="D59" s="100">
        <v>16.23</v>
      </c>
      <c r="E59" s="100">
        <v>14.64</v>
      </c>
      <c r="F59" s="152" t="s">
        <v>15</v>
      </c>
      <c r="G59" s="100">
        <v>61.43</v>
      </c>
      <c r="H59" s="100">
        <v>30.58</v>
      </c>
      <c r="I59" s="100">
        <v>11.67</v>
      </c>
      <c r="J59" s="100">
        <v>0.6</v>
      </c>
      <c r="K59" s="100">
        <v>280.64999999999998</v>
      </c>
      <c r="L59" s="100">
        <v>33.31</v>
      </c>
      <c r="M59" s="100">
        <v>18.23</v>
      </c>
      <c r="N59" s="100">
        <v>378.8</v>
      </c>
      <c r="O59" s="100">
        <v>0</v>
      </c>
      <c r="P59" s="100">
        <v>0.85</v>
      </c>
      <c r="Q59" s="100">
        <v>11.25</v>
      </c>
      <c r="R59" s="6"/>
      <c r="S59" s="6"/>
      <c r="T59" s="156"/>
      <c r="U59" s="6"/>
    </row>
    <row r="60" spans="1:21" customFormat="1">
      <c r="A60" s="163" t="s">
        <v>1826</v>
      </c>
      <c r="B60" s="100">
        <v>3.67</v>
      </c>
      <c r="C60" s="100">
        <v>22.24</v>
      </c>
      <c r="D60" s="100">
        <v>15.91</v>
      </c>
      <c r="E60" s="100">
        <v>14.45</v>
      </c>
      <c r="F60" s="152" t="s">
        <v>15</v>
      </c>
      <c r="G60" s="100">
        <v>61.43</v>
      </c>
      <c r="H60" s="100">
        <v>30.58</v>
      </c>
      <c r="I60" s="100">
        <v>11.76</v>
      </c>
      <c r="J60" s="100">
        <v>0.64</v>
      </c>
      <c r="K60" s="100">
        <v>265.22000000000003</v>
      </c>
      <c r="L60" s="100">
        <v>33.71</v>
      </c>
      <c r="M60" s="100">
        <v>17.48</v>
      </c>
      <c r="N60" s="100">
        <v>380.6</v>
      </c>
      <c r="O60" s="100">
        <v>0</v>
      </c>
      <c r="P60" s="100">
        <v>0.83</v>
      </c>
      <c r="Q60" s="100">
        <v>11.25</v>
      </c>
      <c r="R60" s="6"/>
      <c r="S60" s="6"/>
      <c r="T60" s="156"/>
      <c r="U60" s="6"/>
    </row>
    <row r="61" spans="1:21" customFormat="1">
      <c r="A61" s="163" t="s">
        <v>1827</v>
      </c>
      <c r="B61" s="100">
        <v>3.56</v>
      </c>
      <c r="C61" s="100">
        <v>21.83</v>
      </c>
      <c r="D61" s="100">
        <v>15.61</v>
      </c>
      <c r="E61" s="100">
        <v>16.07</v>
      </c>
      <c r="F61" s="152" t="s">
        <v>15</v>
      </c>
      <c r="G61" s="100">
        <v>61.43</v>
      </c>
      <c r="H61" s="100">
        <v>30.58</v>
      </c>
      <c r="I61" s="100">
        <v>11.72</v>
      </c>
      <c r="J61" s="100">
        <v>0.68</v>
      </c>
      <c r="K61" s="100">
        <v>283.38</v>
      </c>
      <c r="L61" s="100">
        <v>33.71</v>
      </c>
      <c r="M61" s="100">
        <v>17.21</v>
      </c>
      <c r="N61" s="100">
        <v>357.3</v>
      </c>
      <c r="O61" s="100">
        <v>0</v>
      </c>
      <c r="P61" s="100">
        <v>0.83</v>
      </c>
      <c r="Q61" s="100">
        <v>11.25</v>
      </c>
      <c r="R61" s="6"/>
      <c r="S61" s="6"/>
      <c r="T61" s="156"/>
      <c r="U61" s="6"/>
    </row>
    <row r="62" spans="1:21" customFormat="1">
      <c r="A62" s="163" t="s">
        <v>1828</v>
      </c>
      <c r="B62" s="100">
        <v>3.49</v>
      </c>
      <c r="C62" s="100">
        <v>21.55</v>
      </c>
      <c r="D62" s="100">
        <v>15.41</v>
      </c>
      <c r="E62" s="100">
        <v>16.57</v>
      </c>
      <c r="F62" s="152" t="s">
        <v>15</v>
      </c>
      <c r="G62" s="100">
        <v>55.12</v>
      </c>
      <c r="H62" s="100">
        <v>31.53</v>
      </c>
      <c r="I62" s="100">
        <v>11.67</v>
      </c>
      <c r="J62" s="100">
        <v>0.4</v>
      </c>
      <c r="K62" s="100">
        <v>319.52999999999997</v>
      </c>
      <c r="L62" s="100">
        <v>33.76</v>
      </c>
      <c r="M62" s="100">
        <v>16.47</v>
      </c>
      <c r="N62" s="100">
        <v>340.6</v>
      </c>
      <c r="O62" s="100">
        <v>0</v>
      </c>
      <c r="P62" s="100">
        <v>0.81</v>
      </c>
      <c r="Q62" s="100">
        <v>11.25</v>
      </c>
      <c r="R62" s="6"/>
      <c r="S62" s="6"/>
      <c r="T62" s="156"/>
      <c r="U62" s="6"/>
    </row>
    <row r="63" spans="1:21" customFormat="1">
      <c r="A63" s="163" t="s">
        <v>1829</v>
      </c>
      <c r="B63" s="100">
        <v>3.58</v>
      </c>
      <c r="C63" s="100">
        <v>21.13</v>
      </c>
      <c r="D63" s="100">
        <v>15.26</v>
      </c>
      <c r="E63" s="100">
        <v>15.57</v>
      </c>
      <c r="F63" s="152" t="s">
        <v>15</v>
      </c>
      <c r="G63" s="100">
        <v>52.82</v>
      </c>
      <c r="H63" s="100">
        <v>31.55</v>
      </c>
      <c r="I63" s="100">
        <v>11.58</v>
      </c>
      <c r="J63" s="100">
        <v>0.54</v>
      </c>
      <c r="K63" s="100">
        <v>265.27999999999997</v>
      </c>
      <c r="L63" s="100">
        <v>34.08</v>
      </c>
      <c r="M63" s="100">
        <v>16.43</v>
      </c>
      <c r="N63" s="100">
        <v>340.3</v>
      </c>
      <c r="O63" s="100">
        <v>0</v>
      </c>
      <c r="P63" s="100">
        <v>0.8</v>
      </c>
      <c r="Q63" s="100">
        <v>11.25</v>
      </c>
      <c r="R63" s="6"/>
      <c r="S63" s="6"/>
      <c r="T63" s="156"/>
      <c r="U63" s="6"/>
    </row>
    <row r="64" spans="1:21" customFormat="1">
      <c r="A64" s="163" t="s">
        <v>1830</v>
      </c>
      <c r="B64" s="100">
        <v>4.72</v>
      </c>
      <c r="C64" s="100">
        <v>19.829999999999998</v>
      </c>
      <c r="D64" s="100">
        <v>15.5</v>
      </c>
      <c r="E64" s="100">
        <v>15.11</v>
      </c>
      <c r="F64" s="152" t="s">
        <v>15</v>
      </c>
      <c r="G64" s="100">
        <v>52.82</v>
      </c>
      <c r="H64" s="100">
        <v>31.55</v>
      </c>
      <c r="I64" s="100">
        <v>11.48</v>
      </c>
      <c r="J64" s="100">
        <v>1.21</v>
      </c>
      <c r="K64" s="100">
        <v>288.08999999999997</v>
      </c>
      <c r="L64" s="100">
        <v>33.93</v>
      </c>
      <c r="M64" s="100">
        <v>15.75</v>
      </c>
      <c r="N64" s="100">
        <v>359.3</v>
      </c>
      <c r="O64" s="100">
        <v>0</v>
      </c>
      <c r="P64" s="100">
        <v>0.79</v>
      </c>
      <c r="Q64" s="100">
        <v>11.25</v>
      </c>
      <c r="R64" s="6"/>
      <c r="S64" s="6"/>
      <c r="T64" s="156"/>
      <c r="U64" s="6"/>
    </row>
    <row r="65" spans="1:21" customFormat="1">
      <c r="A65" s="163" t="s">
        <v>1831</v>
      </c>
      <c r="B65" s="100">
        <v>7.26</v>
      </c>
      <c r="C65" s="100">
        <v>18.61</v>
      </c>
      <c r="D65" s="100">
        <v>16.89</v>
      </c>
      <c r="E65" s="100">
        <v>14.47</v>
      </c>
      <c r="F65" s="152" t="s">
        <v>15</v>
      </c>
      <c r="G65" s="100">
        <v>52.82</v>
      </c>
      <c r="H65" s="100">
        <v>31.55</v>
      </c>
      <c r="I65" s="100">
        <v>11.32</v>
      </c>
      <c r="J65" s="100">
        <v>1.1499999999999999</v>
      </c>
      <c r="K65" s="100">
        <v>314.57</v>
      </c>
      <c r="L65" s="100">
        <v>33.6</v>
      </c>
      <c r="M65" s="100">
        <v>15.2</v>
      </c>
      <c r="N65" s="100">
        <v>351.6</v>
      </c>
      <c r="O65" s="100">
        <v>0</v>
      </c>
      <c r="P65" s="100">
        <v>0.75</v>
      </c>
      <c r="Q65" s="100">
        <v>11.25</v>
      </c>
      <c r="R65" s="6"/>
      <c r="S65" s="6"/>
      <c r="T65" s="156"/>
      <c r="U65" s="6"/>
    </row>
    <row r="66" spans="1:21" customFormat="1">
      <c r="A66" s="163" t="s">
        <v>1832</v>
      </c>
      <c r="B66" s="100">
        <v>9.26</v>
      </c>
      <c r="C66" s="100">
        <v>17.72</v>
      </c>
      <c r="D66" s="100">
        <v>18.04</v>
      </c>
      <c r="E66" s="100">
        <v>16.28</v>
      </c>
      <c r="F66" s="152" t="s">
        <v>15</v>
      </c>
      <c r="G66" s="100">
        <v>53.43</v>
      </c>
      <c r="H66" s="100">
        <v>34.049999999999997</v>
      </c>
      <c r="I66" s="100">
        <v>11.07</v>
      </c>
      <c r="J66" s="100">
        <v>0.56000000000000005</v>
      </c>
      <c r="K66" s="100">
        <v>254.05</v>
      </c>
      <c r="L66" s="100">
        <v>34.07</v>
      </c>
      <c r="M66" s="100">
        <v>15.08</v>
      </c>
      <c r="N66" s="100">
        <v>353.3</v>
      </c>
      <c r="O66" s="100">
        <v>0</v>
      </c>
      <c r="P66" s="100">
        <v>0.78</v>
      </c>
      <c r="Q66" s="100">
        <v>11.25</v>
      </c>
      <c r="R66" s="6"/>
      <c r="S66" s="6"/>
      <c r="T66" s="156"/>
      <c r="U66" s="6"/>
    </row>
    <row r="67" spans="1:21" customFormat="1">
      <c r="A67" s="163" t="s">
        <v>1833</v>
      </c>
      <c r="B67" s="100">
        <v>5.8</v>
      </c>
      <c r="C67" s="100">
        <v>19.75</v>
      </c>
      <c r="D67" s="100">
        <v>16.32</v>
      </c>
      <c r="E67" s="100">
        <v>15.95</v>
      </c>
      <c r="F67" s="152" t="s">
        <v>15</v>
      </c>
      <c r="G67" s="100">
        <v>53.65</v>
      </c>
      <c r="H67" s="100">
        <v>34.08</v>
      </c>
      <c r="I67" s="100">
        <v>10.75</v>
      </c>
      <c r="J67" s="100">
        <v>0.74</v>
      </c>
      <c r="K67" s="100">
        <v>275.08</v>
      </c>
      <c r="L67" s="100">
        <v>34.11</v>
      </c>
      <c r="M67" s="100">
        <v>14.67</v>
      </c>
      <c r="N67" s="100">
        <v>316.89999999999998</v>
      </c>
      <c r="O67" s="100">
        <v>0</v>
      </c>
      <c r="P67" s="100">
        <v>0.82</v>
      </c>
      <c r="Q67" s="100">
        <v>11.25</v>
      </c>
      <c r="R67" s="6"/>
      <c r="S67" s="6"/>
      <c r="T67" s="156"/>
      <c r="U67" s="6"/>
    </row>
    <row r="68" spans="1:21" customFormat="1">
      <c r="A68" s="163" t="s">
        <v>1834</v>
      </c>
      <c r="B68" s="100">
        <v>4.3899999999999997</v>
      </c>
      <c r="C68" s="100">
        <v>20.399999999999999</v>
      </c>
      <c r="D68" s="100">
        <v>15.53</v>
      </c>
      <c r="E68" s="100">
        <v>18.78</v>
      </c>
      <c r="F68" s="152" t="s">
        <v>15</v>
      </c>
      <c r="G68" s="100">
        <v>53.65</v>
      </c>
      <c r="H68" s="100">
        <v>34.08</v>
      </c>
      <c r="I68" s="100">
        <v>10.44</v>
      </c>
      <c r="J68" s="100">
        <v>0.82</v>
      </c>
      <c r="K68" s="100">
        <v>264.69</v>
      </c>
      <c r="L68" s="100">
        <v>33.450000000000003</v>
      </c>
      <c r="M68" s="100">
        <v>16.079999999999998</v>
      </c>
      <c r="N68" s="100">
        <v>119</v>
      </c>
      <c r="O68" s="100">
        <v>0</v>
      </c>
      <c r="P68" s="100">
        <v>0.81</v>
      </c>
      <c r="Q68" s="100">
        <v>11.25</v>
      </c>
      <c r="R68" s="6"/>
      <c r="S68" s="6"/>
      <c r="T68" s="156"/>
      <c r="U68" s="6"/>
    </row>
    <row r="69" spans="1:21" customFormat="1">
      <c r="A69" s="163" t="s">
        <v>1835</v>
      </c>
      <c r="B69" s="100">
        <v>3.99</v>
      </c>
      <c r="C69" s="100">
        <v>20</v>
      </c>
      <c r="D69" s="100">
        <v>15</v>
      </c>
      <c r="E69" s="100">
        <v>15.86</v>
      </c>
      <c r="F69" s="152" t="s">
        <v>15</v>
      </c>
      <c r="G69" s="100">
        <v>53.65</v>
      </c>
      <c r="H69" s="100">
        <v>34.08</v>
      </c>
      <c r="I69" s="100">
        <v>10.07</v>
      </c>
      <c r="J69" s="100">
        <v>1.04</v>
      </c>
      <c r="K69" s="100">
        <v>262.63</v>
      </c>
      <c r="L69" s="100">
        <v>33</v>
      </c>
      <c r="M69" s="100">
        <v>14.5</v>
      </c>
      <c r="N69" s="100">
        <v>49.6</v>
      </c>
      <c r="O69" s="100">
        <v>0</v>
      </c>
      <c r="P69" s="100">
        <v>0.76</v>
      </c>
      <c r="Q69" s="100">
        <v>11.25</v>
      </c>
      <c r="R69" s="6"/>
      <c r="S69" s="6"/>
      <c r="T69" s="156"/>
      <c r="U69" s="6"/>
    </row>
    <row r="70" spans="1:21" customFormat="1">
      <c r="A70" s="163" t="s">
        <v>1836</v>
      </c>
      <c r="B70" s="100">
        <v>3.88</v>
      </c>
      <c r="C70" s="100">
        <v>19.260000000000002</v>
      </c>
      <c r="D70" s="100">
        <v>14.53</v>
      </c>
      <c r="E70" s="100">
        <v>15.49</v>
      </c>
      <c r="F70" s="152" t="s">
        <v>15</v>
      </c>
      <c r="G70" s="100">
        <v>50.48</v>
      </c>
      <c r="H70" s="100">
        <v>33.299999999999997</v>
      </c>
      <c r="I70" s="100">
        <v>9.64</v>
      </c>
      <c r="J70" s="100">
        <v>1.04</v>
      </c>
      <c r="K70" s="100">
        <v>266.33999999999997</v>
      </c>
      <c r="L70" s="100">
        <v>32.840000000000003</v>
      </c>
      <c r="M70" s="100">
        <v>15.31</v>
      </c>
      <c r="N70" s="100">
        <v>49</v>
      </c>
      <c r="O70" s="100">
        <v>0</v>
      </c>
      <c r="P70" s="100">
        <v>0.72</v>
      </c>
      <c r="Q70" s="100">
        <v>11.25</v>
      </c>
      <c r="R70" s="6"/>
      <c r="S70" s="6"/>
      <c r="T70" s="156"/>
      <c r="U70" s="6"/>
    </row>
    <row r="71" spans="1:21" customFormat="1">
      <c r="A71" s="163" t="s">
        <v>1837</v>
      </c>
      <c r="B71" s="100">
        <v>3.89</v>
      </c>
      <c r="C71" s="100">
        <v>18.64</v>
      </c>
      <c r="D71" s="100">
        <v>14.21</v>
      </c>
      <c r="E71" s="100">
        <v>16.63</v>
      </c>
      <c r="F71" s="152" t="s">
        <v>15</v>
      </c>
      <c r="G71" s="100">
        <v>49.33</v>
      </c>
      <c r="H71" s="100">
        <v>33.28</v>
      </c>
      <c r="I71" s="100">
        <v>8.99</v>
      </c>
      <c r="J71" s="100">
        <v>0.53</v>
      </c>
      <c r="K71" s="100">
        <v>256.58</v>
      </c>
      <c r="L71" s="100">
        <v>32.840000000000003</v>
      </c>
      <c r="M71" s="100">
        <v>15.55</v>
      </c>
      <c r="N71" s="100">
        <v>44.6</v>
      </c>
      <c r="O71" s="100">
        <v>0</v>
      </c>
      <c r="P71" s="100">
        <v>0.72</v>
      </c>
      <c r="Q71" s="100">
        <v>11.25</v>
      </c>
      <c r="R71" s="6"/>
      <c r="S71" s="6"/>
      <c r="T71" s="156"/>
      <c r="U71" s="6"/>
    </row>
    <row r="72" spans="1:21" customFormat="1">
      <c r="A72" s="163" t="s">
        <v>1838</v>
      </c>
      <c r="B72" s="100">
        <v>3.86</v>
      </c>
      <c r="C72" s="100">
        <v>18.079999999999998</v>
      </c>
      <c r="D72" s="100">
        <v>13.9</v>
      </c>
      <c r="E72" s="100">
        <v>14.74</v>
      </c>
      <c r="F72" s="152" t="s">
        <v>15</v>
      </c>
      <c r="G72" s="100">
        <v>49.33</v>
      </c>
      <c r="H72" s="100">
        <v>33.28</v>
      </c>
      <c r="I72" s="100">
        <v>8.59</v>
      </c>
      <c r="J72" s="100">
        <v>0.56999999999999995</v>
      </c>
      <c r="K72" s="100">
        <v>274.77</v>
      </c>
      <c r="L72" s="100">
        <v>32.81</v>
      </c>
      <c r="M72" s="100">
        <v>15.32</v>
      </c>
      <c r="N72" s="100">
        <v>50</v>
      </c>
      <c r="O72" s="100">
        <v>0</v>
      </c>
      <c r="P72" s="100">
        <v>0.68</v>
      </c>
      <c r="Q72" s="100">
        <v>11.25</v>
      </c>
      <c r="R72" s="6"/>
      <c r="S72" s="6"/>
      <c r="T72" s="156"/>
      <c r="U72" s="6"/>
    </row>
    <row r="73" spans="1:21" customFormat="1">
      <c r="A73" s="163" t="s">
        <v>1839</v>
      </c>
      <c r="B73" s="100">
        <v>3.83</v>
      </c>
      <c r="C73" s="100">
        <v>17.59</v>
      </c>
      <c r="D73" s="100">
        <v>13.61</v>
      </c>
      <c r="E73" s="100">
        <v>15.04</v>
      </c>
      <c r="F73" s="152" t="s">
        <v>15</v>
      </c>
      <c r="G73" s="100">
        <v>49.33</v>
      </c>
      <c r="H73" s="100">
        <v>33.28</v>
      </c>
      <c r="I73" s="100">
        <v>8.3800000000000008</v>
      </c>
      <c r="J73" s="100">
        <v>0.68</v>
      </c>
      <c r="K73" s="100">
        <v>261.52999999999997</v>
      </c>
      <c r="L73" s="100">
        <v>32.659999999999997</v>
      </c>
      <c r="M73" s="100">
        <v>16.91</v>
      </c>
      <c r="N73" s="100">
        <v>72</v>
      </c>
      <c r="O73" s="100">
        <v>0</v>
      </c>
      <c r="P73" s="100">
        <v>0.66</v>
      </c>
      <c r="Q73" s="100">
        <v>11.25</v>
      </c>
      <c r="R73" s="6"/>
      <c r="S73" s="6"/>
      <c r="T73" s="156"/>
      <c r="U73" s="6"/>
    </row>
    <row r="74" spans="1:21" customFormat="1">
      <c r="A74" s="163" t="s">
        <v>1840</v>
      </c>
      <c r="B74" s="100">
        <v>3.85</v>
      </c>
      <c r="C74" s="100">
        <v>17.170000000000002</v>
      </c>
      <c r="D74" s="100">
        <v>13.41</v>
      </c>
      <c r="E74" s="100">
        <v>15.3</v>
      </c>
      <c r="F74" s="152" t="s">
        <v>15</v>
      </c>
      <c r="G74" s="100">
        <v>33.9</v>
      </c>
      <c r="H74" s="100">
        <v>32.68</v>
      </c>
      <c r="I74" s="100">
        <v>8.06</v>
      </c>
      <c r="J74" s="100">
        <v>0.85</v>
      </c>
      <c r="K74" s="100">
        <v>276.51</v>
      </c>
      <c r="L74" s="100">
        <v>32.68</v>
      </c>
      <c r="M74" s="100">
        <v>15.58</v>
      </c>
      <c r="N74" s="100">
        <v>41.6</v>
      </c>
      <c r="O74" s="100">
        <v>0</v>
      </c>
      <c r="P74" s="100">
        <v>0.7</v>
      </c>
      <c r="Q74" s="100">
        <v>11.25</v>
      </c>
      <c r="R74" s="6"/>
      <c r="S74" s="6"/>
      <c r="T74" s="156"/>
      <c r="U74" s="6"/>
    </row>
    <row r="75" spans="1:21" customFormat="1">
      <c r="A75" s="163" t="s">
        <v>1841</v>
      </c>
      <c r="B75" s="100">
        <v>3.9</v>
      </c>
      <c r="C75" s="100">
        <v>17.09</v>
      </c>
      <c r="D75" s="100">
        <v>13.41</v>
      </c>
      <c r="E75" s="100">
        <v>16.02</v>
      </c>
      <c r="F75" s="152" t="s">
        <v>15</v>
      </c>
      <c r="G75" s="100">
        <v>28.3</v>
      </c>
      <c r="H75" s="100">
        <v>32.67</v>
      </c>
      <c r="I75" s="100">
        <v>7.85</v>
      </c>
      <c r="J75" s="100">
        <v>0.57999999999999996</v>
      </c>
      <c r="K75" s="100">
        <v>253.47</v>
      </c>
      <c r="L75" s="100">
        <v>32.26</v>
      </c>
      <c r="M75" s="100">
        <v>17.149999999999999</v>
      </c>
      <c r="N75" s="100">
        <v>35.5</v>
      </c>
      <c r="O75" s="100">
        <v>0</v>
      </c>
      <c r="P75" s="100">
        <v>0.67</v>
      </c>
      <c r="Q75" s="100">
        <v>11.25</v>
      </c>
      <c r="R75" s="6"/>
      <c r="S75" s="6"/>
      <c r="T75" s="156"/>
      <c r="U75" s="6"/>
    </row>
    <row r="76" spans="1:21" customFormat="1">
      <c r="A76" s="163" t="s">
        <v>1842</v>
      </c>
      <c r="B76" s="100">
        <v>3.91</v>
      </c>
      <c r="C76" s="100">
        <v>16.809999999999999</v>
      </c>
      <c r="D76" s="100">
        <v>13.27</v>
      </c>
      <c r="E76" s="100">
        <v>15.32</v>
      </c>
      <c r="F76" s="152" t="s">
        <v>15</v>
      </c>
      <c r="G76" s="100">
        <v>28.3</v>
      </c>
      <c r="H76" s="100">
        <v>32.67</v>
      </c>
      <c r="I76" s="100">
        <v>7.66</v>
      </c>
      <c r="J76" s="100">
        <v>0.89</v>
      </c>
      <c r="K76" s="100">
        <v>266.5</v>
      </c>
      <c r="L76" s="100">
        <v>32.119999999999997</v>
      </c>
      <c r="M76" s="100">
        <v>16.54</v>
      </c>
      <c r="N76" s="100">
        <v>39</v>
      </c>
      <c r="O76" s="100">
        <v>0</v>
      </c>
      <c r="P76" s="100">
        <v>0.65</v>
      </c>
      <c r="Q76" s="100">
        <v>11.25</v>
      </c>
      <c r="R76" s="6"/>
      <c r="S76" s="6"/>
      <c r="T76" s="156"/>
      <c r="U76" s="6"/>
    </row>
    <row r="77" spans="1:21" customFormat="1">
      <c r="A77" s="163" t="s">
        <v>1843</v>
      </c>
      <c r="B77" s="100">
        <v>3.89</v>
      </c>
      <c r="C77" s="100">
        <v>16.559999999999999</v>
      </c>
      <c r="D77" s="100">
        <v>13.12</v>
      </c>
      <c r="E77" s="100">
        <v>15.92</v>
      </c>
      <c r="F77" s="152" t="s">
        <v>15</v>
      </c>
      <c r="G77" s="100">
        <v>28.3</v>
      </c>
      <c r="H77" s="100">
        <v>32.67</v>
      </c>
      <c r="I77" s="100">
        <v>7.55</v>
      </c>
      <c r="J77" s="100">
        <v>0.81</v>
      </c>
      <c r="K77" s="100">
        <v>261.01</v>
      </c>
      <c r="L77" s="100">
        <v>31.6</v>
      </c>
      <c r="M77" s="100">
        <v>16.87</v>
      </c>
      <c r="N77" s="100">
        <v>21.2</v>
      </c>
      <c r="O77" s="100">
        <v>0</v>
      </c>
      <c r="P77" s="100">
        <v>0.64</v>
      </c>
      <c r="Q77" s="100">
        <v>11.25</v>
      </c>
      <c r="R77" s="6"/>
      <c r="S77" s="6"/>
      <c r="T77" s="156"/>
      <c r="U77" s="6"/>
    </row>
    <row r="78" spans="1:21" customFormat="1">
      <c r="A78" s="163" t="s">
        <v>1844</v>
      </c>
      <c r="B78" s="100">
        <v>3.88</v>
      </c>
      <c r="C78" s="100">
        <v>16.29</v>
      </c>
      <c r="D78" s="100">
        <v>12.97</v>
      </c>
      <c r="E78" s="100">
        <v>19.559999999999999</v>
      </c>
      <c r="F78" s="152" t="s">
        <v>15</v>
      </c>
      <c r="G78" s="100">
        <v>30</v>
      </c>
      <c r="H78" s="100">
        <v>29.15</v>
      </c>
      <c r="I78" s="100">
        <v>7.42</v>
      </c>
      <c r="J78" s="100">
        <v>0.56999999999999995</v>
      </c>
      <c r="K78" s="100">
        <v>255.99</v>
      </c>
      <c r="L78" s="100">
        <v>31.07</v>
      </c>
      <c r="M78" s="100">
        <v>18.09</v>
      </c>
      <c r="N78" s="100">
        <v>14.9</v>
      </c>
      <c r="O78" s="100">
        <v>0</v>
      </c>
      <c r="P78" s="100">
        <v>0.62</v>
      </c>
      <c r="Q78" s="100">
        <v>11.25</v>
      </c>
      <c r="R78" s="6"/>
      <c r="S78" s="6"/>
      <c r="T78" s="156"/>
      <c r="U78" s="6"/>
    </row>
    <row r="79" spans="1:21" customFormat="1">
      <c r="A79" s="163" t="s">
        <v>1845</v>
      </c>
      <c r="B79" s="100">
        <v>3.87</v>
      </c>
      <c r="C79" s="100">
        <v>16.190000000000001</v>
      </c>
      <c r="D79" s="100">
        <v>12.92</v>
      </c>
      <c r="E79" s="100">
        <v>17.97</v>
      </c>
      <c r="F79" s="152" t="s">
        <v>15</v>
      </c>
      <c r="G79" s="100">
        <v>30.62</v>
      </c>
      <c r="H79" s="100">
        <v>29.09</v>
      </c>
      <c r="I79" s="100">
        <v>7.18</v>
      </c>
      <c r="J79" s="100">
        <v>0.46</v>
      </c>
      <c r="K79" s="100">
        <v>253.79</v>
      </c>
      <c r="L79" s="100">
        <v>30.44</v>
      </c>
      <c r="M79" s="100">
        <v>19.2</v>
      </c>
      <c r="N79" s="100">
        <v>9</v>
      </c>
      <c r="O79" s="100">
        <v>0</v>
      </c>
      <c r="P79" s="100">
        <v>0.64</v>
      </c>
      <c r="Q79" s="100">
        <v>11.25</v>
      </c>
      <c r="R79" s="6"/>
      <c r="S79" s="6"/>
      <c r="T79" s="156"/>
      <c r="U79" s="6"/>
    </row>
    <row r="80" spans="1:21" customFormat="1">
      <c r="A80" s="163" t="s">
        <v>1846</v>
      </c>
      <c r="B80" s="100">
        <v>3.92</v>
      </c>
      <c r="C80" s="100">
        <v>16.02</v>
      </c>
      <c r="D80" s="100">
        <v>12.86</v>
      </c>
      <c r="E80" s="100">
        <v>16.75</v>
      </c>
      <c r="F80" s="152" t="s">
        <v>15</v>
      </c>
      <c r="G80" s="100">
        <v>30.62</v>
      </c>
      <c r="H80" s="100">
        <v>29.09</v>
      </c>
      <c r="I80" s="100">
        <v>7.18</v>
      </c>
      <c r="J80" s="100">
        <v>0.21</v>
      </c>
      <c r="K80" s="100">
        <v>177.22</v>
      </c>
      <c r="L80" s="100">
        <v>29.31</v>
      </c>
      <c r="M80" s="100">
        <v>22.28</v>
      </c>
      <c r="N80" s="100">
        <v>4.4000000000000004</v>
      </c>
      <c r="O80" s="100">
        <v>0</v>
      </c>
      <c r="P80" s="100">
        <v>0.63</v>
      </c>
      <c r="Q80" s="100">
        <v>11.25</v>
      </c>
      <c r="R80" s="6"/>
      <c r="S80" s="6"/>
      <c r="T80" s="156"/>
      <c r="U80" s="6"/>
    </row>
    <row r="81" spans="1:21" customFormat="1">
      <c r="A81" s="163" t="s">
        <v>1847</v>
      </c>
      <c r="B81" s="100">
        <v>3.98</v>
      </c>
      <c r="C81" s="100">
        <v>15.9</v>
      </c>
      <c r="D81" s="100">
        <v>12.85</v>
      </c>
      <c r="E81" s="100">
        <v>11.38</v>
      </c>
      <c r="F81" s="152" t="s">
        <v>15</v>
      </c>
      <c r="G81" s="100">
        <v>30.62</v>
      </c>
      <c r="H81" s="100">
        <v>29.09</v>
      </c>
      <c r="I81" s="100">
        <v>7.11</v>
      </c>
      <c r="J81" s="100">
        <v>0.26</v>
      </c>
      <c r="K81" s="100">
        <v>166.73</v>
      </c>
      <c r="L81" s="100">
        <v>28.14</v>
      </c>
      <c r="M81" s="100">
        <v>25.88</v>
      </c>
      <c r="N81" s="100">
        <v>2.1</v>
      </c>
      <c r="O81" s="100">
        <v>0</v>
      </c>
      <c r="P81" s="100">
        <v>0.65</v>
      </c>
      <c r="Q81" s="100">
        <v>11.25</v>
      </c>
      <c r="R81" s="6"/>
      <c r="S81" s="6"/>
      <c r="T81" s="156"/>
      <c r="U81" s="6"/>
    </row>
    <row r="82" spans="1:21" customFormat="1">
      <c r="A82" s="163" t="s">
        <v>1848</v>
      </c>
      <c r="B82" s="100">
        <v>4.09</v>
      </c>
      <c r="C82" s="100">
        <v>15.8</v>
      </c>
      <c r="D82" s="100">
        <v>12.88</v>
      </c>
      <c r="E82" s="100">
        <v>11.62</v>
      </c>
      <c r="F82" s="152" t="s">
        <v>15</v>
      </c>
      <c r="G82" s="100">
        <v>32.18</v>
      </c>
      <c r="H82" s="100">
        <v>25.14</v>
      </c>
      <c r="I82" s="100">
        <v>7.08</v>
      </c>
      <c r="J82" s="100">
        <v>0.24</v>
      </c>
      <c r="K82" s="100">
        <v>178.62</v>
      </c>
      <c r="L82" s="100">
        <v>27.28</v>
      </c>
      <c r="M82" s="100">
        <v>29.34</v>
      </c>
      <c r="N82" s="100">
        <v>1.7</v>
      </c>
      <c r="O82" s="100">
        <v>0</v>
      </c>
      <c r="P82" s="100">
        <v>0.66</v>
      </c>
      <c r="Q82" s="100">
        <v>11.25</v>
      </c>
      <c r="R82" s="6"/>
      <c r="S82" s="6"/>
      <c r="T82" s="156"/>
      <c r="U82" s="6"/>
    </row>
    <row r="83" spans="1:21" customFormat="1">
      <c r="A83" s="163" t="s">
        <v>1849</v>
      </c>
      <c r="B83" s="100">
        <v>4.21</v>
      </c>
      <c r="C83" s="100">
        <v>15.82</v>
      </c>
      <c r="D83" s="100">
        <v>12.99</v>
      </c>
      <c r="E83" s="100">
        <v>10.45</v>
      </c>
      <c r="F83" s="152" t="s">
        <v>15</v>
      </c>
      <c r="G83" s="100">
        <v>32.74</v>
      </c>
      <c r="H83" s="100">
        <v>25.08</v>
      </c>
      <c r="I83" s="100">
        <v>7.26</v>
      </c>
      <c r="J83" s="100">
        <v>0.28999999999999998</v>
      </c>
      <c r="K83" s="100">
        <v>170.06</v>
      </c>
      <c r="L83" s="100">
        <v>26.31</v>
      </c>
      <c r="M83" s="100">
        <v>35.520000000000003</v>
      </c>
      <c r="N83" s="100">
        <v>1.7</v>
      </c>
      <c r="O83" s="100">
        <v>0</v>
      </c>
      <c r="P83" s="100">
        <v>0.67</v>
      </c>
      <c r="Q83" s="100">
        <v>11.25</v>
      </c>
      <c r="R83" s="6"/>
      <c r="S83" s="6"/>
      <c r="T83" s="156"/>
      <c r="U83" s="6"/>
    </row>
    <row r="84" spans="1:21" customFormat="1">
      <c r="A84" s="163" t="s">
        <v>1850</v>
      </c>
      <c r="B84" s="100">
        <v>4.37</v>
      </c>
      <c r="C84" s="100">
        <v>15.86</v>
      </c>
      <c r="D84" s="100">
        <v>13.14</v>
      </c>
      <c r="E84" s="100">
        <v>10.43</v>
      </c>
      <c r="F84" s="152" t="s">
        <v>15</v>
      </c>
      <c r="G84" s="100">
        <v>32.74</v>
      </c>
      <c r="H84" s="100">
        <v>25.08</v>
      </c>
      <c r="I84" s="100">
        <v>7.34</v>
      </c>
      <c r="J84" s="100">
        <v>0.3</v>
      </c>
      <c r="K84" s="100">
        <v>167.32</v>
      </c>
      <c r="L84" s="100">
        <v>25.54</v>
      </c>
      <c r="M84" s="100">
        <v>40.35</v>
      </c>
      <c r="N84" s="100">
        <v>1.5</v>
      </c>
      <c r="O84" s="100">
        <v>0</v>
      </c>
      <c r="P84" s="100">
        <v>0.67</v>
      </c>
      <c r="Q84" s="100">
        <v>11.25</v>
      </c>
      <c r="R84" s="6"/>
      <c r="S84" s="6"/>
      <c r="T84" s="156"/>
      <c r="U84" s="6"/>
    </row>
    <row r="85" spans="1:21" customFormat="1">
      <c r="A85" s="163" t="s">
        <v>1851</v>
      </c>
      <c r="B85" s="100">
        <v>4.54</v>
      </c>
      <c r="C85" s="100">
        <v>15.95</v>
      </c>
      <c r="D85" s="100">
        <v>13.32</v>
      </c>
      <c r="E85" s="100">
        <v>10.8</v>
      </c>
      <c r="F85" s="152" t="s">
        <v>15</v>
      </c>
      <c r="G85" s="100">
        <v>32.74</v>
      </c>
      <c r="H85" s="100">
        <v>25.08</v>
      </c>
      <c r="I85" s="100">
        <v>7.49</v>
      </c>
      <c r="J85" s="100">
        <v>0.22</v>
      </c>
      <c r="K85" s="100">
        <v>174.64</v>
      </c>
      <c r="L85" s="100">
        <v>24.99</v>
      </c>
      <c r="M85" s="100">
        <v>40.229999999999997</v>
      </c>
      <c r="N85" s="100">
        <v>1.2</v>
      </c>
      <c r="O85" s="100">
        <v>0</v>
      </c>
      <c r="P85" s="100">
        <v>0.66</v>
      </c>
      <c r="Q85" s="100">
        <v>11.25</v>
      </c>
      <c r="R85" s="6"/>
      <c r="S85" s="6"/>
      <c r="T85" s="156"/>
      <c r="U85" s="6"/>
    </row>
    <row r="86" spans="1:21" customFormat="1">
      <c r="A86" s="163" t="s">
        <v>1852</v>
      </c>
      <c r="B86" s="100">
        <v>4.5199999999999996</v>
      </c>
      <c r="C86" s="100">
        <v>16.239999999999998</v>
      </c>
      <c r="D86" s="100">
        <v>13.46</v>
      </c>
      <c r="E86" s="100">
        <v>11</v>
      </c>
      <c r="F86" s="152" t="s">
        <v>15</v>
      </c>
      <c r="G86" s="100">
        <v>34.450000000000003</v>
      </c>
      <c r="H86" s="100">
        <v>25.16</v>
      </c>
      <c r="I86" s="100">
        <v>7.47</v>
      </c>
      <c r="J86" s="100">
        <v>0.25</v>
      </c>
      <c r="K86" s="100">
        <v>172.91</v>
      </c>
      <c r="L86" s="100">
        <v>24.79</v>
      </c>
      <c r="M86" s="100">
        <v>45.15</v>
      </c>
      <c r="N86" s="100">
        <v>1.2</v>
      </c>
      <c r="O86" s="100">
        <v>0</v>
      </c>
      <c r="P86" s="100">
        <v>0.62</v>
      </c>
      <c r="Q86" s="100">
        <v>11.25</v>
      </c>
      <c r="R86" s="6"/>
      <c r="S86" s="6"/>
      <c r="T86" s="156"/>
      <c r="U86" s="6"/>
    </row>
    <row r="87" spans="1:21" customFormat="1">
      <c r="A87" s="163" t="s">
        <v>1853</v>
      </c>
      <c r="B87" s="100">
        <v>4.5</v>
      </c>
      <c r="C87" s="100">
        <v>16.62</v>
      </c>
      <c r="D87" s="100">
        <v>13.64</v>
      </c>
      <c r="E87" s="100">
        <v>10.74</v>
      </c>
      <c r="F87" s="152" t="s">
        <v>15</v>
      </c>
      <c r="G87" s="100">
        <v>35.07</v>
      </c>
      <c r="H87" s="100">
        <v>25.16</v>
      </c>
      <c r="I87" s="100">
        <v>7.48</v>
      </c>
      <c r="J87" s="100">
        <v>0.24</v>
      </c>
      <c r="K87" s="100">
        <v>167.87</v>
      </c>
      <c r="L87" s="100">
        <v>24.25</v>
      </c>
      <c r="M87" s="100">
        <v>44.09</v>
      </c>
      <c r="N87" s="100">
        <v>1.3</v>
      </c>
      <c r="O87" s="100">
        <v>0</v>
      </c>
      <c r="P87" s="100">
        <v>0.61</v>
      </c>
      <c r="Q87" s="100">
        <v>11.25</v>
      </c>
      <c r="R87" s="6"/>
      <c r="S87" s="6"/>
      <c r="T87" s="156"/>
      <c r="U87" s="6"/>
    </row>
    <row r="88" spans="1:21" customFormat="1">
      <c r="A88" s="163" t="s">
        <v>1854</v>
      </c>
      <c r="B88" s="100">
        <v>4.7</v>
      </c>
      <c r="C88" s="100">
        <v>17.149999999999999</v>
      </c>
      <c r="D88" s="100">
        <v>14.08</v>
      </c>
      <c r="E88" s="100">
        <v>10.61</v>
      </c>
      <c r="F88" s="152" t="s">
        <v>15</v>
      </c>
      <c r="G88" s="100">
        <v>35.07</v>
      </c>
      <c r="H88" s="100">
        <v>25.16</v>
      </c>
      <c r="I88" s="100">
        <v>7.66</v>
      </c>
      <c r="J88" s="100">
        <v>0.15</v>
      </c>
      <c r="K88" s="100">
        <v>115.69</v>
      </c>
      <c r="L88" s="100">
        <v>24.43</v>
      </c>
      <c r="M88" s="100">
        <v>39.659999999999997</v>
      </c>
      <c r="N88" s="100">
        <v>0.6</v>
      </c>
      <c r="O88" s="100">
        <v>0</v>
      </c>
      <c r="P88" s="100">
        <v>0.62</v>
      </c>
      <c r="Q88" s="100">
        <v>11.25</v>
      </c>
      <c r="R88" s="6"/>
      <c r="S88" s="6"/>
      <c r="T88" s="156"/>
      <c r="U88" s="6"/>
    </row>
    <row r="89" spans="1:21" customFormat="1">
      <c r="A89" s="163" t="s">
        <v>1855</v>
      </c>
      <c r="B89" s="100">
        <v>5.54</v>
      </c>
      <c r="C89" s="100">
        <v>18.52</v>
      </c>
      <c r="D89" s="100">
        <v>15.47</v>
      </c>
      <c r="E89" s="100">
        <v>10.9</v>
      </c>
      <c r="F89" s="152" t="s">
        <v>15</v>
      </c>
      <c r="G89" s="100">
        <v>35.07</v>
      </c>
      <c r="H89" s="100">
        <v>25.16</v>
      </c>
      <c r="I89" s="100">
        <v>7.78</v>
      </c>
      <c r="J89" s="100">
        <v>0.32</v>
      </c>
      <c r="K89" s="100">
        <v>168.25</v>
      </c>
      <c r="L89" s="100">
        <v>24.11</v>
      </c>
      <c r="M89" s="100">
        <v>47.44</v>
      </c>
      <c r="N89" s="100">
        <v>1.4</v>
      </c>
      <c r="O89" s="100">
        <v>0</v>
      </c>
      <c r="P89" s="100">
        <v>0.66</v>
      </c>
      <c r="Q89" s="100">
        <v>11.25</v>
      </c>
      <c r="R89" s="6"/>
      <c r="S89" s="6"/>
      <c r="T89" s="156"/>
      <c r="U89" s="6"/>
    </row>
    <row r="90" spans="1:21" customFormat="1">
      <c r="A90" s="163" t="s">
        <v>1856</v>
      </c>
      <c r="B90" s="100">
        <v>6.22</v>
      </c>
      <c r="C90" s="100">
        <v>19.739999999999998</v>
      </c>
      <c r="D90" s="100">
        <v>16.649999999999999</v>
      </c>
      <c r="E90" s="100">
        <v>10.33</v>
      </c>
      <c r="F90" s="152" t="s">
        <v>15</v>
      </c>
      <c r="G90" s="100">
        <v>52.11</v>
      </c>
      <c r="H90" s="100">
        <v>22.69</v>
      </c>
      <c r="I90" s="100">
        <v>7.89</v>
      </c>
      <c r="J90" s="100">
        <v>0.26</v>
      </c>
      <c r="K90" s="100">
        <v>187.3</v>
      </c>
      <c r="L90" s="100">
        <v>23.29</v>
      </c>
      <c r="M90" s="100">
        <v>49.36</v>
      </c>
      <c r="N90" s="100">
        <v>1.5</v>
      </c>
      <c r="O90" s="100">
        <v>0</v>
      </c>
      <c r="P90" s="100">
        <v>0.69</v>
      </c>
      <c r="Q90" s="100">
        <v>11.25</v>
      </c>
      <c r="R90" s="6"/>
      <c r="S90" s="6"/>
      <c r="T90" s="156"/>
      <c r="U90" s="6"/>
    </row>
    <row r="91" spans="1:21" customFormat="1">
      <c r="A91" s="163" t="s">
        <v>1857</v>
      </c>
      <c r="B91" s="100">
        <v>6.43</v>
      </c>
      <c r="C91" s="100">
        <v>20.51</v>
      </c>
      <c r="D91" s="100">
        <v>17.23</v>
      </c>
      <c r="E91" s="100">
        <v>11.32</v>
      </c>
      <c r="F91" s="152" t="s">
        <v>15</v>
      </c>
      <c r="G91" s="100">
        <v>58.31</v>
      </c>
      <c r="H91" s="100">
        <v>22.65</v>
      </c>
      <c r="I91" s="100">
        <v>8.09</v>
      </c>
      <c r="J91" s="100">
        <v>0.21</v>
      </c>
      <c r="K91" s="100">
        <v>199.15</v>
      </c>
      <c r="L91" s="100">
        <v>22.49</v>
      </c>
      <c r="M91" s="100">
        <v>51.59</v>
      </c>
      <c r="N91" s="100">
        <v>1.5</v>
      </c>
      <c r="O91" s="100">
        <v>0</v>
      </c>
      <c r="P91" s="100">
        <v>0.7</v>
      </c>
      <c r="Q91" s="100">
        <v>11.25</v>
      </c>
      <c r="R91" s="6"/>
      <c r="S91" s="6"/>
      <c r="T91" s="156"/>
      <c r="U91" s="6"/>
    </row>
    <row r="92" spans="1:21" customFormat="1">
      <c r="A92" s="163" t="s">
        <v>1858</v>
      </c>
      <c r="B92" s="100">
        <v>6.6</v>
      </c>
      <c r="C92" s="100">
        <v>21.11</v>
      </c>
      <c r="D92" s="100">
        <v>17.670000000000002</v>
      </c>
      <c r="E92" s="100">
        <v>10.92</v>
      </c>
      <c r="F92" s="152" t="s">
        <v>15</v>
      </c>
      <c r="G92" s="100">
        <v>58.31</v>
      </c>
      <c r="H92" s="100">
        <v>22.65</v>
      </c>
      <c r="I92" s="100">
        <v>8.2899999999999991</v>
      </c>
      <c r="J92" s="100">
        <v>0.19</v>
      </c>
      <c r="K92" s="100">
        <v>168.73</v>
      </c>
      <c r="L92" s="100">
        <v>22.27</v>
      </c>
      <c r="M92" s="100">
        <v>50.63</v>
      </c>
      <c r="N92" s="100">
        <v>1</v>
      </c>
      <c r="O92" s="100">
        <v>0</v>
      </c>
      <c r="P92" s="100">
        <v>0.72</v>
      </c>
      <c r="Q92" s="100">
        <v>11.25</v>
      </c>
      <c r="R92" s="6"/>
      <c r="S92" s="6"/>
      <c r="T92" s="156"/>
      <c r="U92" s="6"/>
    </row>
    <row r="93" spans="1:21" customFormat="1">
      <c r="A93" s="163" t="s">
        <v>1859</v>
      </c>
      <c r="B93" s="100">
        <v>6.66</v>
      </c>
      <c r="C93" s="100">
        <v>21.3</v>
      </c>
      <c r="D93" s="100">
        <v>17.82</v>
      </c>
      <c r="E93" s="100">
        <v>10.77</v>
      </c>
      <c r="F93" s="152" t="s">
        <v>15</v>
      </c>
      <c r="G93" s="100">
        <v>58.31</v>
      </c>
      <c r="H93" s="100">
        <v>22.65</v>
      </c>
      <c r="I93" s="100">
        <v>8.52</v>
      </c>
      <c r="J93" s="100">
        <v>0.19</v>
      </c>
      <c r="K93" s="100">
        <v>182.26</v>
      </c>
      <c r="L93" s="100">
        <v>22.09</v>
      </c>
      <c r="M93" s="100">
        <v>53.81</v>
      </c>
      <c r="N93" s="100">
        <v>1</v>
      </c>
      <c r="O93" s="100">
        <v>0</v>
      </c>
      <c r="P93" s="100">
        <v>0.74</v>
      </c>
      <c r="Q93" s="100">
        <v>11.25</v>
      </c>
      <c r="R93" s="6"/>
      <c r="S93" s="6"/>
      <c r="T93" s="156"/>
      <c r="U93" s="6"/>
    </row>
    <row r="94" spans="1:21" customFormat="1">
      <c r="A94" s="163" t="s">
        <v>1860</v>
      </c>
      <c r="B94" s="100">
        <v>6.7</v>
      </c>
      <c r="C94" s="100">
        <v>21.47</v>
      </c>
      <c r="D94" s="100">
        <v>17.940000000000001</v>
      </c>
      <c r="E94" s="100">
        <v>10.89</v>
      </c>
      <c r="F94" s="152" t="s">
        <v>15</v>
      </c>
      <c r="G94" s="100">
        <v>64.569999999999993</v>
      </c>
      <c r="H94" s="100">
        <v>24.33</v>
      </c>
      <c r="I94" s="100">
        <v>8.76</v>
      </c>
      <c r="J94" s="100">
        <v>0.21</v>
      </c>
      <c r="K94" s="100">
        <v>175.19</v>
      </c>
      <c r="L94" s="100">
        <v>21.75</v>
      </c>
      <c r="M94" s="100">
        <v>56.01</v>
      </c>
      <c r="N94" s="100">
        <v>1</v>
      </c>
      <c r="O94" s="100">
        <v>0</v>
      </c>
      <c r="P94" s="100">
        <v>0.76</v>
      </c>
      <c r="Q94" s="100">
        <v>11.25</v>
      </c>
      <c r="R94" s="6"/>
      <c r="S94" s="6"/>
      <c r="T94" s="156"/>
      <c r="U94" s="6"/>
    </row>
    <row r="95" spans="1:21" customFormat="1">
      <c r="A95" s="163" t="s">
        <v>1861</v>
      </c>
      <c r="B95" s="100">
        <v>6.77</v>
      </c>
      <c r="C95" s="100">
        <v>21.32</v>
      </c>
      <c r="D95" s="100">
        <v>17.920000000000002</v>
      </c>
      <c r="E95" s="100">
        <v>10.56</v>
      </c>
      <c r="F95" s="152" t="s">
        <v>15</v>
      </c>
      <c r="G95" s="100">
        <v>66.849999999999994</v>
      </c>
      <c r="H95" s="100">
        <v>24.37</v>
      </c>
      <c r="I95" s="100">
        <v>9.01</v>
      </c>
      <c r="J95" s="100">
        <v>0.16</v>
      </c>
      <c r="K95" s="100">
        <v>183.88</v>
      </c>
      <c r="L95" s="100">
        <v>21.39</v>
      </c>
      <c r="M95" s="100">
        <v>51.59</v>
      </c>
      <c r="N95" s="100">
        <v>1</v>
      </c>
      <c r="O95" s="100">
        <v>0</v>
      </c>
      <c r="P95" s="100">
        <v>0.77</v>
      </c>
      <c r="Q95" s="100">
        <v>11.25</v>
      </c>
      <c r="R95" s="6"/>
      <c r="S95" s="6"/>
      <c r="T95" s="156"/>
      <c r="U95" s="6"/>
    </row>
    <row r="96" spans="1:21" customFormat="1">
      <c r="A96" s="163" t="s">
        <v>1862</v>
      </c>
      <c r="B96" s="100">
        <v>6.78</v>
      </c>
      <c r="C96" s="100">
        <v>21.26</v>
      </c>
      <c r="D96" s="100">
        <v>17.899999999999999</v>
      </c>
      <c r="E96" s="100">
        <v>10.98</v>
      </c>
      <c r="F96" s="152" t="s">
        <v>15</v>
      </c>
      <c r="G96" s="100">
        <v>66.849999999999994</v>
      </c>
      <c r="H96" s="100">
        <v>24.37</v>
      </c>
      <c r="I96" s="100">
        <v>9.24</v>
      </c>
      <c r="J96" s="100">
        <v>0.28000000000000003</v>
      </c>
      <c r="K96" s="100">
        <v>162.35</v>
      </c>
      <c r="L96" s="100">
        <v>21.36</v>
      </c>
      <c r="M96" s="100">
        <v>57.61</v>
      </c>
      <c r="N96" s="100">
        <v>1</v>
      </c>
      <c r="O96" s="100">
        <v>0</v>
      </c>
      <c r="P96" s="100">
        <v>0.77</v>
      </c>
      <c r="Q96" s="100">
        <v>11.25</v>
      </c>
      <c r="R96" s="6"/>
      <c r="S96" s="6"/>
      <c r="T96" s="156"/>
      <c r="U96" s="6"/>
    </row>
    <row r="97" spans="1:28" customFormat="1">
      <c r="A97" s="163" t="s">
        <v>1863</v>
      </c>
      <c r="B97" s="100">
        <v>6.84</v>
      </c>
      <c r="C97" s="100">
        <v>21.2</v>
      </c>
      <c r="D97" s="100">
        <v>17.91</v>
      </c>
      <c r="E97" s="100">
        <v>10.92</v>
      </c>
      <c r="F97" s="152" t="s">
        <v>15</v>
      </c>
      <c r="G97" s="100">
        <v>66.849999999999994</v>
      </c>
      <c r="H97" s="100">
        <v>24.37</v>
      </c>
      <c r="I97" s="100">
        <v>9.42</v>
      </c>
      <c r="J97" s="100">
        <v>0.23</v>
      </c>
      <c r="K97" s="100">
        <v>187.12</v>
      </c>
      <c r="L97" s="100">
        <v>21.04</v>
      </c>
      <c r="M97" s="100">
        <v>56.99</v>
      </c>
      <c r="N97" s="100">
        <v>1.1000000000000001</v>
      </c>
      <c r="O97" s="100">
        <v>0</v>
      </c>
      <c r="P97" s="100">
        <v>0.78</v>
      </c>
      <c r="Q97" s="100">
        <v>11.25</v>
      </c>
      <c r="R97" s="6"/>
      <c r="S97" s="6"/>
      <c r="T97" s="156"/>
      <c r="U97" s="6"/>
    </row>
    <row r="98" spans="1:28" customFormat="1">
      <c r="A98" s="163" t="s">
        <v>1864</v>
      </c>
      <c r="B98" s="100">
        <v>6.92</v>
      </c>
      <c r="C98" s="100">
        <v>21.14</v>
      </c>
      <c r="D98" s="100">
        <v>17.940000000000001</v>
      </c>
      <c r="E98" s="100">
        <v>10.7</v>
      </c>
      <c r="F98" s="152" t="s">
        <v>15</v>
      </c>
      <c r="G98" s="100">
        <v>63.9</v>
      </c>
      <c r="H98" s="100">
        <v>19.98</v>
      </c>
      <c r="I98" s="100">
        <v>9.59</v>
      </c>
      <c r="J98" s="100">
        <v>0.18</v>
      </c>
      <c r="K98" s="100">
        <v>168.47</v>
      </c>
      <c r="L98" s="100">
        <v>20.8</v>
      </c>
      <c r="M98" s="100">
        <v>53.54</v>
      </c>
      <c r="N98" s="100">
        <v>0.9</v>
      </c>
      <c r="O98" s="100">
        <v>0</v>
      </c>
      <c r="P98" s="100">
        <v>0.8</v>
      </c>
      <c r="Q98" s="100">
        <v>11.25</v>
      </c>
      <c r="R98" s="6"/>
      <c r="S98" s="6"/>
      <c r="T98" s="156"/>
      <c r="U98" s="6"/>
    </row>
    <row r="99" spans="1:28" customFormat="1">
      <c r="A99" s="163" t="s">
        <v>1865</v>
      </c>
      <c r="B99" s="100">
        <v>6.95</v>
      </c>
      <c r="C99" s="100">
        <v>21.09</v>
      </c>
      <c r="D99" s="100">
        <v>17.940000000000001</v>
      </c>
      <c r="E99" s="100">
        <v>11.02</v>
      </c>
      <c r="F99" s="152" t="s">
        <v>15</v>
      </c>
      <c r="G99" s="100">
        <v>62.84</v>
      </c>
      <c r="H99" s="100">
        <v>19.920000000000002</v>
      </c>
      <c r="I99" s="100">
        <v>9.76</v>
      </c>
      <c r="J99" s="100">
        <v>0.21</v>
      </c>
      <c r="K99" s="100">
        <v>170.44</v>
      </c>
      <c r="L99" s="100">
        <v>20.81</v>
      </c>
      <c r="M99" s="100">
        <v>61.4</v>
      </c>
      <c r="N99" s="100">
        <v>1</v>
      </c>
      <c r="O99" s="100">
        <v>0</v>
      </c>
      <c r="P99" s="100">
        <v>0.8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1866</v>
      </c>
      <c r="B100" s="100">
        <v>7.01</v>
      </c>
      <c r="C100" s="100">
        <v>21.06</v>
      </c>
      <c r="D100" s="100">
        <v>17.98</v>
      </c>
      <c r="E100" s="100">
        <v>10.57</v>
      </c>
      <c r="F100" s="152" t="s">
        <v>15</v>
      </c>
      <c r="G100" s="100">
        <v>62.84</v>
      </c>
      <c r="H100" s="100">
        <v>19.920000000000002</v>
      </c>
      <c r="I100" s="100">
        <v>9.89</v>
      </c>
      <c r="J100" s="100">
        <v>0.22</v>
      </c>
      <c r="K100" s="100">
        <v>189.32</v>
      </c>
      <c r="L100" s="100">
        <v>20.66</v>
      </c>
      <c r="M100" s="100">
        <v>58.8</v>
      </c>
      <c r="N100" s="100">
        <v>0.9</v>
      </c>
      <c r="O100" s="100">
        <v>0</v>
      </c>
      <c r="P100" s="100">
        <v>0.81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1867</v>
      </c>
      <c r="B101" s="100">
        <v>7.09</v>
      </c>
      <c r="C101" s="100">
        <v>20.91</v>
      </c>
      <c r="D101" s="100">
        <v>17.97</v>
      </c>
      <c r="E101" s="100">
        <v>11.23</v>
      </c>
      <c r="F101" s="152" t="s">
        <v>15</v>
      </c>
      <c r="G101" s="100">
        <v>62.84</v>
      </c>
      <c r="H101" s="100">
        <v>19.920000000000002</v>
      </c>
      <c r="I101" s="100">
        <v>9.99</v>
      </c>
      <c r="J101" s="100">
        <v>0.25</v>
      </c>
      <c r="K101" s="100">
        <v>155.08000000000001</v>
      </c>
      <c r="L101" s="100">
        <v>20.61</v>
      </c>
      <c r="M101" s="100">
        <v>57.52</v>
      </c>
      <c r="N101" s="100">
        <v>1</v>
      </c>
      <c r="O101" s="100">
        <v>0</v>
      </c>
      <c r="P101" s="100">
        <v>0.81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1868</v>
      </c>
      <c r="B102" s="100">
        <v>7.22</v>
      </c>
      <c r="C102" s="100">
        <v>20.83</v>
      </c>
      <c r="D102" s="100">
        <v>18.03</v>
      </c>
      <c r="E102" s="100">
        <v>10.95</v>
      </c>
      <c r="F102" s="152" t="s">
        <v>15</v>
      </c>
      <c r="G102" s="100">
        <v>62.03</v>
      </c>
      <c r="H102" s="100">
        <v>20.93</v>
      </c>
      <c r="I102" s="100">
        <v>10.09</v>
      </c>
      <c r="J102" s="100">
        <v>0.34</v>
      </c>
      <c r="K102" s="100">
        <v>190.53</v>
      </c>
      <c r="L102" s="100">
        <v>20.440000000000001</v>
      </c>
      <c r="M102" s="100">
        <v>58.54</v>
      </c>
      <c r="N102" s="100">
        <v>1</v>
      </c>
      <c r="O102" s="100">
        <v>0</v>
      </c>
      <c r="P102" s="100">
        <v>0.82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1869</v>
      </c>
      <c r="B103" s="100">
        <v>7.28</v>
      </c>
      <c r="C103" s="100">
        <v>20.89</v>
      </c>
      <c r="D103" s="100">
        <v>18.11</v>
      </c>
      <c r="E103" s="100">
        <v>10.58</v>
      </c>
      <c r="F103" s="152" t="s">
        <v>15</v>
      </c>
      <c r="G103" s="100">
        <v>61.73</v>
      </c>
      <c r="H103" s="100">
        <v>20.95</v>
      </c>
      <c r="I103" s="100">
        <v>10.199999999999999</v>
      </c>
      <c r="J103" s="100">
        <v>0.26</v>
      </c>
      <c r="K103" s="100">
        <v>160.31</v>
      </c>
      <c r="L103" s="100">
        <v>20.170000000000002</v>
      </c>
      <c r="M103" s="100">
        <v>57.21</v>
      </c>
      <c r="N103" s="100">
        <v>1.2</v>
      </c>
      <c r="O103" s="100">
        <v>0</v>
      </c>
      <c r="P103" s="100">
        <v>0.83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1870</v>
      </c>
      <c r="B104" s="100">
        <v>7.41</v>
      </c>
      <c r="C104" s="100">
        <v>20.84</v>
      </c>
      <c r="D104" s="100">
        <v>18.18</v>
      </c>
      <c r="E104" s="100">
        <v>10.49</v>
      </c>
      <c r="F104" s="152" t="s">
        <v>15</v>
      </c>
      <c r="G104" s="100">
        <v>61.73</v>
      </c>
      <c r="H104" s="100">
        <v>20.95</v>
      </c>
      <c r="I104" s="100">
        <v>10.35</v>
      </c>
      <c r="J104" s="100">
        <v>0.18</v>
      </c>
      <c r="K104" s="100">
        <v>187.61</v>
      </c>
      <c r="L104" s="100">
        <v>20.04</v>
      </c>
      <c r="M104" s="100">
        <v>60.57</v>
      </c>
      <c r="N104" s="100">
        <v>1</v>
      </c>
      <c r="O104" s="100">
        <v>0</v>
      </c>
      <c r="P104" s="100">
        <v>0.84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3.49</v>
      </c>
      <c r="C106" s="158">
        <f>MIN(C9:C104)</f>
        <v>15.8</v>
      </c>
      <c r="D106" s="158">
        <f t="shared" ref="D106:Q106" si="0">MIN(D9:D104)</f>
        <v>12.85</v>
      </c>
      <c r="E106" s="158">
        <f t="shared" si="0"/>
        <v>8.83</v>
      </c>
      <c r="F106" s="158">
        <f t="shared" si="0"/>
        <v>0</v>
      </c>
      <c r="G106" s="158">
        <f t="shared" si="0"/>
        <v>28.3</v>
      </c>
      <c r="H106" s="158">
        <f t="shared" si="0"/>
        <v>15.4</v>
      </c>
      <c r="I106" s="158">
        <f t="shared" si="0"/>
        <v>7.08</v>
      </c>
      <c r="J106" s="158">
        <f t="shared" si="0"/>
        <v>0.08</v>
      </c>
      <c r="K106" s="158">
        <f t="shared" si="0"/>
        <v>97.47</v>
      </c>
      <c r="L106" s="158">
        <f t="shared" si="0"/>
        <v>14.87</v>
      </c>
      <c r="M106" s="158">
        <f t="shared" si="0"/>
        <v>14.5</v>
      </c>
      <c r="N106" s="158">
        <f t="shared" si="0"/>
        <v>0.6</v>
      </c>
      <c r="O106" s="158">
        <f t="shared" si="0"/>
        <v>0</v>
      </c>
      <c r="P106" s="158">
        <f t="shared" si="0"/>
        <v>0.61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15.99</v>
      </c>
      <c r="C107" s="157">
        <f t="shared" ref="C107:Q107" si="1">MAX(C9:C104)</f>
        <v>25.79</v>
      </c>
      <c r="D107" s="157">
        <f t="shared" si="1"/>
        <v>27.13</v>
      </c>
      <c r="E107" s="157">
        <f t="shared" si="1"/>
        <v>22.11</v>
      </c>
      <c r="F107" s="157">
        <f t="shared" si="1"/>
        <v>0</v>
      </c>
      <c r="G107" s="157">
        <f t="shared" si="1"/>
        <v>74.180000000000007</v>
      </c>
      <c r="H107" s="157">
        <f t="shared" si="1"/>
        <v>34.08</v>
      </c>
      <c r="I107" s="157">
        <f t="shared" si="1"/>
        <v>11.76</v>
      </c>
      <c r="J107" s="157">
        <f t="shared" si="1"/>
        <v>1.21</v>
      </c>
      <c r="K107" s="157">
        <f t="shared" si="1"/>
        <v>319.52999999999997</v>
      </c>
      <c r="L107" s="157">
        <f t="shared" si="1"/>
        <v>34.11</v>
      </c>
      <c r="M107" s="157">
        <f t="shared" si="1"/>
        <v>79.510000000000005</v>
      </c>
      <c r="N107" s="157">
        <f t="shared" si="1"/>
        <v>380.6</v>
      </c>
      <c r="O107" s="157">
        <f t="shared" si="1"/>
        <v>0</v>
      </c>
      <c r="P107" s="157">
        <f t="shared" si="1"/>
        <v>0.87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7.5682291666666677</v>
      </c>
      <c r="C108" s="158">
        <f t="shared" ref="C108:Q108" si="2">AVERAGE(C9:C104)</f>
        <v>21.399687499999999</v>
      </c>
      <c r="D108" s="158">
        <f t="shared" si="2"/>
        <v>18.600833333333338</v>
      </c>
      <c r="E108" s="158">
        <f t="shared" si="2"/>
        <v>11.922395833333338</v>
      </c>
      <c r="F108" s="158" t="e">
        <f t="shared" si="2"/>
        <v>#DIV/0!</v>
      </c>
      <c r="G108" s="158">
        <f t="shared" si="2"/>
        <v>55.269166666666649</v>
      </c>
      <c r="H108" s="158">
        <f t="shared" si="2"/>
        <v>24.005833333333324</v>
      </c>
      <c r="I108" s="158">
        <f t="shared" si="2"/>
        <v>9.4213541666666671</v>
      </c>
      <c r="J108" s="158">
        <f t="shared" si="2"/>
        <v>0.37635416666666655</v>
      </c>
      <c r="K108" s="158">
        <f t="shared" si="2"/>
        <v>210.02239583333332</v>
      </c>
      <c r="L108" s="158">
        <f t="shared" si="2"/>
        <v>24.103749999999994</v>
      </c>
      <c r="M108" s="158">
        <f t="shared" si="2"/>
        <v>44.736770833333338</v>
      </c>
      <c r="N108" s="158">
        <f t="shared" si="2"/>
        <v>96.303125000000065</v>
      </c>
      <c r="O108" s="158">
        <f t="shared" si="2"/>
        <v>0</v>
      </c>
      <c r="P108" s="158">
        <f t="shared" si="2"/>
        <v>0.73968749999999972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3.5932788119785557</v>
      </c>
      <c r="C109" s="158">
        <f t="shared" ref="C109:Q109" si="3">STDEV(C9:C104)</f>
        <v>3.0587009465233908</v>
      </c>
      <c r="D109" s="158">
        <f t="shared" si="3"/>
        <v>4.0109850914093919</v>
      </c>
      <c r="E109" s="158">
        <f t="shared" si="3"/>
        <v>2.8091837154108878</v>
      </c>
      <c r="F109" s="158" t="e">
        <f t="shared" si="3"/>
        <v>#DIV/0!</v>
      </c>
      <c r="G109" s="158">
        <f t="shared" si="3"/>
        <v>13.266386147082859</v>
      </c>
      <c r="H109" s="158">
        <f t="shared" si="3"/>
        <v>6.065558969628067</v>
      </c>
      <c r="I109" s="158">
        <f t="shared" si="3"/>
        <v>1.230526305706241</v>
      </c>
      <c r="J109" s="158">
        <f t="shared" si="3"/>
        <v>0.25977771790378473</v>
      </c>
      <c r="K109" s="158">
        <f t="shared" si="3"/>
        <v>52.777953865222599</v>
      </c>
      <c r="L109" s="158">
        <f t="shared" si="3"/>
        <v>6.7022771071519296</v>
      </c>
      <c r="M109" s="158">
        <f t="shared" si="3"/>
        <v>22.208392462726984</v>
      </c>
      <c r="N109" s="158">
        <f t="shared" si="3"/>
        <v>143.37268436390005</v>
      </c>
      <c r="O109" s="158">
        <f t="shared" si="3"/>
        <v>0</v>
      </c>
      <c r="P109" s="158">
        <f t="shared" si="3"/>
        <v>7.1280810512847154E-2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M99" sqref="M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1871</v>
      </c>
      <c r="B9" s="100">
        <v>7.24</v>
      </c>
      <c r="C9" s="100">
        <v>21.49</v>
      </c>
      <c r="D9" s="100">
        <v>18.39</v>
      </c>
      <c r="E9" s="100">
        <v>10.69</v>
      </c>
      <c r="F9" s="152" t="s">
        <v>15</v>
      </c>
      <c r="G9" s="100">
        <v>61.73</v>
      </c>
      <c r="H9" s="100">
        <v>20.95</v>
      </c>
      <c r="I9" s="100">
        <v>10.48</v>
      </c>
      <c r="J9" s="100">
        <v>0.17</v>
      </c>
      <c r="K9" s="100">
        <v>184</v>
      </c>
      <c r="L9" s="100">
        <v>19.920000000000002</v>
      </c>
      <c r="M9" s="100">
        <v>59.73</v>
      </c>
      <c r="N9" s="100">
        <v>1</v>
      </c>
      <c r="O9" s="100">
        <v>0</v>
      </c>
      <c r="P9" s="100">
        <v>0.85</v>
      </c>
      <c r="Q9" s="100">
        <v>11.25</v>
      </c>
      <c r="R9" s="6"/>
      <c r="S9" s="6"/>
      <c r="T9" s="156"/>
      <c r="U9" s="6"/>
    </row>
    <row r="10" spans="1:21" customFormat="1">
      <c r="A10" s="163" t="s">
        <v>1872</v>
      </c>
      <c r="B10" s="100">
        <v>7.48</v>
      </c>
      <c r="C10" s="100">
        <v>21.38</v>
      </c>
      <c r="D10" s="100">
        <v>18.52</v>
      </c>
      <c r="E10" s="100">
        <v>10.54</v>
      </c>
      <c r="F10" s="152" t="s">
        <v>15</v>
      </c>
      <c r="G10" s="100">
        <v>64.3</v>
      </c>
      <c r="H10" s="100">
        <v>22.22</v>
      </c>
      <c r="I10" s="100">
        <v>10.59</v>
      </c>
      <c r="J10" s="100">
        <v>0.17</v>
      </c>
      <c r="K10" s="100">
        <v>203.27</v>
      </c>
      <c r="L10" s="100">
        <v>19.559999999999999</v>
      </c>
      <c r="M10" s="100">
        <v>61.47</v>
      </c>
      <c r="N10" s="100">
        <v>1.2</v>
      </c>
      <c r="O10" s="100">
        <v>0</v>
      </c>
      <c r="P10" s="100">
        <v>0.91</v>
      </c>
      <c r="Q10" s="100">
        <v>11.25</v>
      </c>
      <c r="R10" s="6"/>
      <c r="S10" s="6"/>
      <c r="T10" s="156"/>
      <c r="U10" s="6"/>
    </row>
    <row r="11" spans="1:21" customFormat="1">
      <c r="A11" s="163" t="s">
        <v>1873</v>
      </c>
      <c r="B11" s="100">
        <v>7.8</v>
      </c>
      <c r="C11" s="100">
        <v>21.49</v>
      </c>
      <c r="D11" s="100">
        <v>18.84</v>
      </c>
      <c r="E11" s="100">
        <v>10.63</v>
      </c>
      <c r="F11" s="152" t="s">
        <v>15</v>
      </c>
      <c r="G11" s="100">
        <v>65.23</v>
      </c>
      <c r="H11" s="100">
        <v>22.24</v>
      </c>
      <c r="I11" s="100">
        <v>10.72</v>
      </c>
      <c r="J11" s="100">
        <v>0.18</v>
      </c>
      <c r="K11" s="100">
        <v>186.19</v>
      </c>
      <c r="L11" s="100">
        <v>19.239999999999998</v>
      </c>
      <c r="M11" s="100">
        <v>64.959999999999994</v>
      </c>
      <c r="N11" s="100">
        <v>1.2</v>
      </c>
      <c r="O11" s="100">
        <v>0</v>
      </c>
      <c r="P11" s="100">
        <v>0.93</v>
      </c>
      <c r="Q11" s="100">
        <v>11.25</v>
      </c>
      <c r="R11" s="6"/>
      <c r="S11" s="6"/>
      <c r="T11" s="156"/>
      <c r="U11" s="6"/>
    </row>
    <row r="12" spans="1:21" customFormat="1">
      <c r="A12" s="163" t="s">
        <v>1874</v>
      </c>
      <c r="B12" s="100">
        <v>8.08</v>
      </c>
      <c r="C12" s="100">
        <v>21.34</v>
      </c>
      <c r="D12" s="100">
        <v>18.98</v>
      </c>
      <c r="E12" s="100">
        <v>10.45</v>
      </c>
      <c r="F12" s="152" t="s">
        <v>15</v>
      </c>
      <c r="G12" s="100">
        <v>65.23</v>
      </c>
      <c r="H12" s="100">
        <v>22.24</v>
      </c>
      <c r="I12" s="100">
        <v>10.84</v>
      </c>
      <c r="J12" s="100">
        <v>0.14000000000000001</v>
      </c>
      <c r="K12" s="100">
        <v>172.11</v>
      </c>
      <c r="L12" s="100">
        <v>18.89</v>
      </c>
      <c r="M12" s="100">
        <v>64.099999999999994</v>
      </c>
      <c r="N12" s="100">
        <v>1.2</v>
      </c>
      <c r="O12" s="100">
        <v>0</v>
      </c>
      <c r="P12" s="100">
        <v>0.95</v>
      </c>
      <c r="Q12" s="100">
        <v>11.25</v>
      </c>
      <c r="R12" s="6"/>
      <c r="S12" s="6"/>
      <c r="T12" s="156"/>
      <c r="U12" s="6"/>
    </row>
    <row r="13" spans="1:21" customFormat="1">
      <c r="A13" s="163" t="s">
        <v>1875</v>
      </c>
      <c r="B13" s="100">
        <v>8.18</v>
      </c>
      <c r="C13" s="100">
        <v>21.23</v>
      </c>
      <c r="D13" s="100">
        <v>19.010000000000002</v>
      </c>
      <c r="E13" s="100">
        <v>10.28</v>
      </c>
      <c r="F13" s="152" t="s">
        <v>15</v>
      </c>
      <c r="G13" s="100">
        <v>65.23</v>
      </c>
      <c r="H13" s="100">
        <v>22.24</v>
      </c>
      <c r="I13" s="100">
        <v>10.93</v>
      </c>
      <c r="J13" s="100">
        <v>0.2</v>
      </c>
      <c r="K13" s="100">
        <v>163.26</v>
      </c>
      <c r="L13" s="100">
        <v>19.03</v>
      </c>
      <c r="M13" s="100">
        <v>65.989999999999995</v>
      </c>
      <c r="N13" s="100">
        <v>0.9</v>
      </c>
      <c r="O13" s="100">
        <v>0</v>
      </c>
      <c r="P13" s="100">
        <v>0.95</v>
      </c>
      <c r="Q13" s="100">
        <v>11.25</v>
      </c>
      <c r="R13" s="6"/>
      <c r="S13" s="6"/>
      <c r="T13" s="156"/>
      <c r="U13" s="6"/>
    </row>
    <row r="14" spans="1:21" customFormat="1">
      <c r="A14" s="163" t="s">
        <v>1876</v>
      </c>
      <c r="B14" s="100">
        <v>8.35</v>
      </c>
      <c r="C14" s="100">
        <v>21.1</v>
      </c>
      <c r="D14" s="100">
        <v>19.07</v>
      </c>
      <c r="E14" s="100">
        <v>10.8</v>
      </c>
      <c r="F14" s="152" t="s">
        <v>15</v>
      </c>
      <c r="G14" s="100">
        <v>64.11</v>
      </c>
      <c r="H14" s="100">
        <v>22.08</v>
      </c>
      <c r="I14" s="100">
        <v>11.02</v>
      </c>
      <c r="J14" s="100">
        <v>0.18</v>
      </c>
      <c r="K14" s="100">
        <v>164.13</v>
      </c>
      <c r="L14" s="100">
        <v>19.09</v>
      </c>
      <c r="M14" s="100">
        <v>65.349999999999994</v>
      </c>
      <c r="N14" s="100">
        <v>0.9</v>
      </c>
      <c r="O14" s="100">
        <v>0</v>
      </c>
      <c r="P14" s="100">
        <v>0.95</v>
      </c>
      <c r="Q14" s="100">
        <v>11.25</v>
      </c>
      <c r="R14" s="6"/>
      <c r="S14" s="6"/>
      <c r="T14" s="156"/>
      <c r="U14" s="6"/>
    </row>
    <row r="15" spans="1:21" customFormat="1">
      <c r="A15" s="163" t="s">
        <v>1877</v>
      </c>
      <c r="B15" s="100">
        <v>8.5299999999999994</v>
      </c>
      <c r="C15" s="100">
        <v>21.02</v>
      </c>
      <c r="D15" s="100">
        <v>19.18</v>
      </c>
      <c r="E15" s="100">
        <v>10.210000000000001</v>
      </c>
      <c r="F15" s="152" t="s">
        <v>15</v>
      </c>
      <c r="G15" s="100">
        <v>63.7</v>
      </c>
      <c r="H15" s="100">
        <v>22.08</v>
      </c>
      <c r="I15" s="100">
        <v>11.09</v>
      </c>
      <c r="J15" s="100">
        <v>0.22</v>
      </c>
      <c r="K15" s="100">
        <v>159.62</v>
      </c>
      <c r="L15" s="100">
        <v>19.03</v>
      </c>
      <c r="M15" s="100">
        <v>64.41</v>
      </c>
      <c r="N15" s="100">
        <v>0.9</v>
      </c>
      <c r="O15" s="100">
        <v>0</v>
      </c>
      <c r="P15" s="100">
        <v>0.95</v>
      </c>
      <c r="Q15" s="100">
        <v>11.25</v>
      </c>
      <c r="R15" s="6"/>
      <c r="S15" s="6"/>
      <c r="T15" s="156"/>
      <c r="U15" s="6"/>
    </row>
    <row r="16" spans="1:21" customFormat="1">
      <c r="A16" s="163" t="s">
        <v>1878</v>
      </c>
      <c r="B16" s="100">
        <v>8.84</v>
      </c>
      <c r="C16" s="100">
        <v>20.66</v>
      </c>
      <c r="D16" s="100">
        <v>19.239999999999998</v>
      </c>
      <c r="E16" s="100">
        <v>10.43</v>
      </c>
      <c r="F16" s="152" t="s">
        <v>15</v>
      </c>
      <c r="G16" s="100">
        <v>63.7</v>
      </c>
      <c r="H16" s="100">
        <v>22.08</v>
      </c>
      <c r="I16" s="100">
        <v>11.12</v>
      </c>
      <c r="J16" s="100">
        <v>0.14000000000000001</v>
      </c>
      <c r="K16" s="100">
        <v>183.14</v>
      </c>
      <c r="L16" s="100">
        <v>18.93</v>
      </c>
      <c r="M16" s="100">
        <v>62.52</v>
      </c>
      <c r="N16" s="100">
        <v>1</v>
      </c>
      <c r="O16" s="100">
        <v>0</v>
      </c>
      <c r="P16" s="100">
        <v>0.95</v>
      </c>
      <c r="Q16" s="100">
        <v>11.25</v>
      </c>
      <c r="R16" s="6"/>
      <c r="S16" s="6"/>
      <c r="T16" s="156"/>
      <c r="U16" s="6"/>
    </row>
    <row r="17" spans="1:21" customFormat="1">
      <c r="A17" s="163" t="s">
        <v>1879</v>
      </c>
      <c r="B17" s="100">
        <v>9.08</v>
      </c>
      <c r="C17" s="100">
        <v>20.58</v>
      </c>
      <c r="D17" s="100">
        <v>19.38</v>
      </c>
      <c r="E17" s="100">
        <v>8.0399999999999991</v>
      </c>
      <c r="F17" s="152" t="s">
        <v>15</v>
      </c>
      <c r="G17" s="100">
        <v>63.7</v>
      </c>
      <c r="H17" s="100">
        <v>22.08</v>
      </c>
      <c r="I17" s="100">
        <v>11.12</v>
      </c>
      <c r="J17" s="100">
        <v>0.2</v>
      </c>
      <c r="K17" s="100">
        <v>184.76</v>
      </c>
      <c r="L17" s="100">
        <v>18.63</v>
      </c>
      <c r="M17" s="100">
        <v>64.47</v>
      </c>
      <c r="N17" s="100">
        <v>1.3</v>
      </c>
      <c r="O17" s="100">
        <v>0</v>
      </c>
      <c r="P17" s="100">
        <v>0.95</v>
      </c>
      <c r="Q17" s="100">
        <v>11.25</v>
      </c>
      <c r="R17" s="6"/>
      <c r="S17" s="6"/>
      <c r="T17" s="156"/>
      <c r="U17" s="6"/>
    </row>
    <row r="18" spans="1:21" customFormat="1">
      <c r="A18" s="163" t="s">
        <v>1880</v>
      </c>
      <c r="B18" s="100">
        <v>9.42</v>
      </c>
      <c r="C18" s="100">
        <v>20.100000000000001</v>
      </c>
      <c r="D18" s="100">
        <v>19.41</v>
      </c>
      <c r="E18" s="100">
        <v>9.77</v>
      </c>
      <c r="F18" s="152" t="s">
        <v>15</v>
      </c>
      <c r="G18" s="100">
        <v>59.87</v>
      </c>
      <c r="H18" s="100">
        <v>22.45</v>
      </c>
      <c r="I18" s="100">
        <v>11.1</v>
      </c>
      <c r="J18" s="100">
        <v>0.18</v>
      </c>
      <c r="K18" s="100">
        <v>185.46</v>
      </c>
      <c r="L18" s="100">
        <v>18.22</v>
      </c>
      <c r="M18" s="100">
        <v>64.23</v>
      </c>
      <c r="N18" s="100">
        <v>1.2</v>
      </c>
      <c r="O18" s="100">
        <v>0</v>
      </c>
      <c r="P18" s="100">
        <v>0.95</v>
      </c>
      <c r="Q18" s="100">
        <v>11.25</v>
      </c>
      <c r="R18" s="6"/>
      <c r="S18" s="6"/>
      <c r="T18" s="156"/>
      <c r="U18" s="6"/>
    </row>
    <row r="19" spans="1:21" customFormat="1">
      <c r="A19" s="163" t="s">
        <v>1881</v>
      </c>
      <c r="B19" s="100">
        <v>9.77</v>
      </c>
      <c r="C19" s="100">
        <v>20.07</v>
      </c>
      <c r="D19" s="100">
        <v>19.670000000000002</v>
      </c>
      <c r="E19" s="100">
        <v>10.210000000000001</v>
      </c>
      <c r="F19" s="152" t="s">
        <v>15</v>
      </c>
      <c r="G19" s="100">
        <v>58.48</v>
      </c>
      <c r="H19" s="100">
        <v>22.46</v>
      </c>
      <c r="I19" s="100">
        <v>11.06</v>
      </c>
      <c r="J19" s="100">
        <v>0.15</v>
      </c>
      <c r="K19" s="100">
        <v>205.19</v>
      </c>
      <c r="L19" s="100">
        <v>18.059999999999999</v>
      </c>
      <c r="M19" s="100">
        <v>65.709999999999994</v>
      </c>
      <c r="N19" s="100">
        <v>1.1000000000000001</v>
      </c>
      <c r="O19" s="100">
        <v>0</v>
      </c>
      <c r="P19" s="100">
        <v>0.95</v>
      </c>
      <c r="Q19" s="100">
        <v>11.25</v>
      </c>
      <c r="R19" s="6"/>
      <c r="S19" s="6"/>
      <c r="T19" s="156"/>
      <c r="U19" s="6"/>
    </row>
    <row r="20" spans="1:21" customFormat="1">
      <c r="A20" s="163" t="s">
        <v>1882</v>
      </c>
      <c r="B20" s="100">
        <v>10.14</v>
      </c>
      <c r="C20" s="100">
        <v>19.850000000000001</v>
      </c>
      <c r="D20" s="100">
        <v>19.86</v>
      </c>
      <c r="E20" s="100">
        <v>9.83</v>
      </c>
      <c r="F20" s="152" t="s">
        <v>15</v>
      </c>
      <c r="G20" s="100">
        <v>58.48</v>
      </c>
      <c r="H20" s="100">
        <v>22.46</v>
      </c>
      <c r="I20" s="100">
        <v>11.04</v>
      </c>
      <c r="J20" s="100">
        <v>0.19</v>
      </c>
      <c r="K20" s="100">
        <v>162.87</v>
      </c>
      <c r="L20" s="100">
        <v>18.25</v>
      </c>
      <c r="M20" s="100">
        <v>64.290000000000006</v>
      </c>
      <c r="N20" s="100">
        <v>1</v>
      </c>
      <c r="O20" s="100">
        <v>0</v>
      </c>
      <c r="P20" s="100">
        <v>0.95</v>
      </c>
      <c r="Q20" s="100">
        <v>11.25</v>
      </c>
      <c r="R20" s="6"/>
      <c r="S20" s="6"/>
      <c r="T20" s="156"/>
      <c r="U20" s="6"/>
    </row>
    <row r="21" spans="1:21" customFormat="1">
      <c r="A21" s="163" t="s">
        <v>1883</v>
      </c>
      <c r="B21" s="100">
        <v>10.119999999999999</v>
      </c>
      <c r="C21" s="100">
        <v>19.72</v>
      </c>
      <c r="D21" s="100">
        <v>19.77</v>
      </c>
      <c r="E21" s="100">
        <v>9.4700000000000006</v>
      </c>
      <c r="F21" s="152" t="s">
        <v>15</v>
      </c>
      <c r="G21" s="100">
        <v>58.48</v>
      </c>
      <c r="H21" s="100">
        <v>22.46</v>
      </c>
      <c r="I21" s="100">
        <v>11.05</v>
      </c>
      <c r="J21" s="100">
        <v>0.19</v>
      </c>
      <c r="K21" s="100">
        <v>142.25</v>
      </c>
      <c r="L21" s="100">
        <v>18.309999999999999</v>
      </c>
      <c r="M21" s="100">
        <v>63.31</v>
      </c>
      <c r="N21" s="100">
        <v>0.9</v>
      </c>
      <c r="O21" s="100">
        <v>0</v>
      </c>
      <c r="P21" s="100">
        <v>0.95</v>
      </c>
      <c r="Q21" s="100">
        <v>11.25</v>
      </c>
      <c r="R21" s="6"/>
      <c r="S21" s="6"/>
      <c r="T21" s="156"/>
      <c r="U21" s="6"/>
    </row>
    <row r="22" spans="1:21" customFormat="1">
      <c r="A22" s="163" t="s">
        <v>1884</v>
      </c>
      <c r="B22" s="100">
        <v>10.24</v>
      </c>
      <c r="C22" s="100">
        <v>19.27</v>
      </c>
      <c r="D22" s="100">
        <v>19.64</v>
      </c>
      <c r="E22" s="100">
        <v>9.32</v>
      </c>
      <c r="F22" s="152" t="s">
        <v>15</v>
      </c>
      <c r="G22" s="100">
        <v>53.1</v>
      </c>
      <c r="H22" s="100">
        <v>17.97</v>
      </c>
      <c r="I22" s="100">
        <v>11.07</v>
      </c>
      <c r="J22" s="100">
        <v>0.18</v>
      </c>
      <c r="K22" s="100">
        <v>175.84</v>
      </c>
      <c r="L22" s="100">
        <v>18.27</v>
      </c>
      <c r="M22" s="100">
        <v>65.48</v>
      </c>
      <c r="N22" s="100">
        <v>1.1000000000000001</v>
      </c>
      <c r="O22" s="100">
        <v>0</v>
      </c>
      <c r="P22" s="100">
        <v>0.96</v>
      </c>
      <c r="Q22" s="100">
        <v>11.25</v>
      </c>
      <c r="R22" s="6"/>
      <c r="S22" s="6"/>
      <c r="T22" s="156"/>
      <c r="U22" s="6"/>
    </row>
    <row r="23" spans="1:21" customFormat="1">
      <c r="A23" s="163" t="s">
        <v>1885</v>
      </c>
      <c r="B23" s="100">
        <v>10.32</v>
      </c>
      <c r="C23" s="100">
        <v>19.52</v>
      </c>
      <c r="D23" s="100">
        <v>19.82</v>
      </c>
      <c r="E23" s="100">
        <v>9.5399999999999991</v>
      </c>
      <c r="F23" s="152" t="s">
        <v>15</v>
      </c>
      <c r="G23" s="100">
        <v>51.14</v>
      </c>
      <c r="H23" s="100">
        <v>17.87</v>
      </c>
      <c r="I23" s="100">
        <v>11.06</v>
      </c>
      <c r="J23" s="100">
        <v>0.25</v>
      </c>
      <c r="K23" s="100">
        <v>193.41</v>
      </c>
      <c r="L23" s="100">
        <v>17.95</v>
      </c>
      <c r="M23" s="100">
        <v>68.010000000000005</v>
      </c>
      <c r="N23" s="100">
        <v>1.2</v>
      </c>
      <c r="O23" s="100">
        <v>0</v>
      </c>
      <c r="P23" s="100">
        <v>0.95</v>
      </c>
      <c r="Q23" s="100">
        <v>11.25</v>
      </c>
      <c r="R23" s="6"/>
      <c r="S23" s="6"/>
      <c r="T23" s="156"/>
      <c r="U23" s="6"/>
    </row>
    <row r="24" spans="1:21" customFormat="1">
      <c r="A24" s="163" t="s">
        <v>1886</v>
      </c>
      <c r="B24" s="100">
        <v>10.199999999999999</v>
      </c>
      <c r="C24" s="100">
        <v>19.57</v>
      </c>
      <c r="D24" s="100">
        <v>19.760000000000002</v>
      </c>
      <c r="E24" s="100">
        <v>9.32</v>
      </c>
      <c r="F24" s="152" t="s">
        <v>15</v>
      </c>
      <c r="G24" s="100">
        <v>51.14</v>
      </c>
      <c r="H24" s="100">
        <v>17.87</v>
      </c>
      <c r="I24" s="100">
        <v>11.06</v>
      </c>
      <c r="J24" s="100">
        <v>0.16</v>
      </c>
      <c r="K24" s="100">
        <v>224.3</v>
      </c>
      <c r="L24" s="100">
        <v>17.59</v>
      </c>
      <c r="M24" s="100">
        <v>65.45</v>
      </c>
      <c r="N24" s="100">
        <v>1.4</v>
      </c>
      <c r="O24" s="100">
        <v>0</v>
      </c>
      <c r="P24" s="100">
        <v>0.95</v>
      </c>
      <c r="Q24" s="100">
        <v>11.25</v>
      </c>
      <c r="R24" s="6"/>
      <c r="S24" s="6"/>
      <c r="T24" s="156"/>
      <c r="U24" s="6"/>
    </row>
    <row r="25" spans="1:21" customFormat="1">
      <c r="A25" s="163" t="s">
        <v>1887</v>
      </c>
      <c r="B25" s="100">
        <v>10.43</v>
      </c>
      <c r="C25" s="100">
        <v>19.239999999999998</v>
      </c>
      <c r="D25" s="100">
        <v>19.77</v>
      </c>
      <c r="E25" s="100">
        <v>9.8800000000000008</v>
      </c>
      <c r="F25" s="152" t="s">
        <v>15</v>
      </c>
      <c r="G25" s="100">
        <v>51.14</v>
      </c>
      <c r="H25" s="100">
        <v>17.87</v>
      </c>
      <c r="I25" s="100">
        <v>11.1</v>
      </c>
      <c r="J25" s="100">
        <v>0.06</v>
      </c>
      <c r="K25" s="100">
        <v>156.58000000000001</v>
      </c>
      <c r="L25" s="100">
        <v>17.62</v>
      </c>
      <c r="M25" s="100">
        <v>64.55</v>
      </c>
      <c r="N25" s="100">
        <v>1.2</v>
      </c>
      <c r="O25" s="100">
        <v>0</v>
      </c>
      <c r="P25" s="100">
        <v>0.96</v>
      </c>
      <c r="Q25" s="100">
        <v>11.25</v>
      </c>
      <c r="R25" s="6"/>
      <c r="S25" s="6"/>
      <c r="T25" s="156"/>
      <c r="U25" s="6"/>
    </row>
    <row r="26" spans="1:21" customFormat="1">
      <c r="A26" s="163" t="s">
        <v>1888</v>
      </c>
      <c r="B26" s="100">
        <v>10.75</v>
      </c>
      <c r="C26" s="100">
        <v>19.05</v>
      </c>
      <c r="D26" s="100">
        <v>19.93</v>
      </c>
      <c r="E26" s="100">
        <v>9.5399999999999991</v>
      </c>
      <c r="F26" s="152" t="s">
        <v>15</v>
      </c>
      <c r="G26" s="100">
        <v>44.5</v>
      </c>
      <c r="H26" s="100">
        <v>16.350000000000001</v>
      </c>
      <c r="I26" s="100">
        <v>11.13</v>
      </c>
      <c r="J26" s="100">
        <v>0.21</v>
      </c>
      <c r="K26" s="100">
        <v>131.16999999999999</v>
      </c>
      <c r="L26" s="100">
        <v>18.010000000000002</v>
      </c>
      <c r="M26" s="100">
        <v>61.66</v>
      </c>
      <c r="N26" s="100">
        <v>0.8</v>
      </c>
      <c r="O26" s="100">
        <v>0</v>
      </c>
      <c r="P26" s="100">
        <v>0.96</v>
      </c>
      <c r="Q26" s="100">
        <v>11.25</v>
      </c>
      <c r="R26" s="6"/>
      <c r="S26" s="6"/>
      <c r="T26" s="156"/>
      <c r="U26" s="6"/>
    </row>
    <row r="27" spans="1:21" customFormat="1">
      <c r="A27" s="163" t="s">
        <v>1889</v>
      </c>
      <c r="B27" s="100">
        <v>11.54</v>
      </c>
      <c r="C27" s="100">
        <v>19.47</v>
      </c>
      <c r="D27" s="100">
        <v>20.78</v>
      </c>
      <c r="E27" s="100">
        <v>9.82</v>
      </c>
      <c r="F27" s="152" t="s">
        <v>15</v>
      </c>
      <c r="G27" s="100">
        <v>42.09</v>
      </c>
      <c r="H27" s="100">
        <v>16.329999999999998</v>
      </c>
      <c r="I27" s="100">
        <v>11.14</v>
      </c>
      <c r="J27" s="100">
        <v>0.15</v>
      </c>
      <c r="K27" s="100">
        <v>175.83</v>
      </c>
      <c r="L27" s="100">
        <v>17.809999999999999</v>
      </c>
      <c r="M27" s="100">
        <v>67.48</v>
      </c>
      <c r="N27" s="100">
        <v>1.3</v>
      </c>
      <c r="O27" s="100">
        <v>0</v>
      </c>
      <c r="P27" s="100">
        <v>0.97</v>
      </c>
      <c r="Q27" s="100">
        <v>11.25</v>
      </c>
      <c r="R27" s="6"/>
      <c r="S27" s="6"/>
      <c r="T27" s="156"/>
      <c r="U27" s="6"/>
    </row>
    <row r="28" spans="1:21" customFormat="1">
      <c r="A28" s="163" t="s">
        <v>1890</v>
      </c>
      <c r="B28" s="100">
        <v>11.93</v>
      </c>
      <c r="C28" s="100">
        <v>19.920000000000002</v>
      </c>
      <c r="D28" s="100">
        <v>21.32</v>
      </c>
      <c r="E28" s="100">
        <v>9.65</v>
      </c>
      <c r="F28" s="152" t="s">
        <v>15</v>
      </c>
      <c r="G28" s="100">
        <v>42.09</v>
      </c>
      <c r="H28" s="100">
        <v>16.329999999999998</v>
      </c>
      <c r="I28" s="100">
        <v>11.16</v>
      </c>
      <c r="J28" s="100">
        <v>0.2</v>
      </c>
      <c r="K28" s="100">
        <v>188.27</v>
      </c>
      <c r="L28" s="100">
        <v>17.38</v>
      </c>
      <c r="M28" s="100">
        <v>71.36</v>
      </c>
      <c r="N28" s="100">
        <v>1.3</v>
      </c>
      <c r="O28" s="100">
        <v>0</v>
      </c>
      <c r="P28" s="100">
        <v>0.96</v>
      </c>
      <c r="Q28" s="100">
        <v>11.25</v>
      </c>
      <c r="R28" s="6"/>
      <c r="S28" s="6"/>
      <c r="T28" s="156"/>
      <c r="U28" s="6"/>
    </row>
    <row r="29" spans="1:21" customFormat="1">
      <c r="A29" s="163" t="s">
        <v>1891</v>
      </c>
      <c r="B29" s="100">
        <v>11.83</v>
      </c>
      <c r="C29" s="100">
        <v>19.940000000000001</v>
      </c>
      <c r="D29" s="100">
        <v>21.26</v>
      </c>
      <c r="E29" s="100">
        <v>9.77</v>
      </c>
      <c r="F29" s="152" t="s">
        <v>15</v>
      </c>
      <c r="G29" s="100">
        <v>42.09</v>
      </c>
      <c r="H29" s="100">
        <v>16.329999999999998</v>
      </c>
      <c r="I29" s="100">
        <v>11.22</v>
      </c>
      <c r="J29" s="100">
        <v>0.22</v>
      </c>
      <c r="K29" s="100">
        <v>159.63</v>
      </c>
      <c r="L29" s="100">
        <v>17.440000000000001</v>
      </c>
      <c r="M29" s="100">
        <v>70.510000000000005</v>
      </c>
      <c r="N29" s="100">
        <v>1.1000000000000001</v>
      </c>
      <c r="O29" s="100">
        <v>0</v>
      </c>
      <c r="P29" s="100">
        <v>0.9</v>
      </c>
      <c r="Q29" s="100">
        <v>11.25</v>
      </c>
      <c r="R29" s="6"/>
      <c r="S29" s="6"/>
      <c r="T29" s="156"/>
      <c r="U29" s="6"/>
    </row>
    <row r="30" spans="1:21" customFormat="1">
      <c r="A30" s="163" t="s">
        <v>1892</v>
      </c>
      <c r="B30" s="100">
        <v>11.78</v>
      </c>
      <c r="C30" s="100">
        <v>20.190000000000001</v>
      </c>
      <c r="D30" s="100">
        <v>21.35</v>
      </c>
      <c r="E30" s="100">
        <v>10</v>
      </c>
      <c r="F30" s="152" t="s">
        <v>15</v>
      </c>
      <c r="G30" s="100">
        <v>46.39</v>
      </c>
      <c r="H30" s="100">
        <v>16.48</v>
      </c>
      <c r="I30" s="100">
        <v>11.24</v>
      </c>
      <c r="J30" s="100">
        <v>0.24</v>
      </c>
      <c r="K30" s="100">
        <v>172.66</v>
      </c>
      <c r="L30" s="100">
        <v>17.43</v>
      </c>
      <c r="M30" s="100">
        <v>70.92</v>
      </c>
      <c r="N30" s="100">
        <v>1.1000000000000001</v>
      </c>
      <c r="O30" s="100">
        <v>0</v>
      </c>
      <c r="P30" s="100">
        <v>0.87</v>
      </c>
      <c r="Q30" s="100">
        <v>11.25</v>
      </c>
      <c r="R30" s="6"/>
      <c r="S30" s="6"/>
      <c r="T30" s="156"/>
      <c r="U30" s="6"/>
    </row>
    <row r="31" spans="1:21" customFormat="1">
      <c r="A31" s="163" t="s">
        <v>1893</v>
      </c>
      <c r="B31" s="100">
        <v>12.03</v>
      </c>
      <c r="C31" s="100">
        <v>20.3</v>
      </c>
      <c r="D31" s="100">
        <v>21.61</v>
      </c>
      <c r="E31" s="100">
        <v>9.9499999999999993</v>
      </c>
      <c r="F31" s="152" t="s">
        <v>15</v>
      </c>
      <c r="G31" s="100">
        <v>47.96</v>
      </c>
      <c r="H31" s="100">
        <v>16.489999999999998</v>
      </c>
      <c r="I31" s="100">
        <v>11.23</v>
      </c>
      <c r="J31" s="100">
        <v>0.24</v>
      </c>
      <c r="K31" s="100">
        <v>200.84</v>
      </c>
      <c r="L31" s="100">
        <v>16.989999999999998</v>
      </c>
      <c r="M31" s="100">
        <v>73.45</v>
      </c>
      <c r="N31" s="100">
        <v>1.4</v>
      </c>
      <c r="O31" s="100">
        <v>0</v>
      </c>
      <c r="P31" s="100">
        <v>0.87</v>
      </c>
      <c r="Q31" s="100">
        <v>11.25</v>
      </c>
      <c r="R31" s="6"/>
      <c r="S31" s="6"/>
      <c r="T31" s="156"/>
      <c r="U31" s="6"/>
    </row>
    <row r="32" spans="1:21" customFormat="1">
      <c r="A32" s="163" t="s">
        <v>1894</v>
      </c>
      <c r="B32" s="100">
        <v>12.06</v>
      </c>
      <c r="C32" s="100">
        <v>20.71</v>
      </c>
      <c r="D32" s="100">
        <v>21.84</v>
      </c>
      <c r="E32" s="100">
        <v>9.9600000000000009</v>
      </c>
      <c r="F32" s="152" t="s">
        <v>15</v>
      </c>
      <c r="G32" s="100">
        <v>47.96</v>
      </c>
      <c r="H32" s="100">
        <v>16.489999999999998</v>
      </c>
      <c r="I32" s="100">
        <v>11.23</v>
      </c>
      <c r="J32" s="100">
        <v>0.18</v>
      </c>
      <c r="K32" s="100">
        <v>198.12</v>
      </c>
      <c r="L32" s="100">
        <v>16.61</v>
      </c>
      <c r="M32" s="100">
        <v>74.430000000000007</v>
      </c>
      <c r="N32" s="100">
        <v>1.4</v>
      </c>
      <c r="O32" s="100">
        <v>0</v>
      </c>
      <c r="P32" s="100">
        <v>0.87</v>
      </c>
      <c r="Q32" s="100">
        <v>11.25</v>
      </c>
      <c r="R32" s="6"/>
      <c r="S32" s="6"/>
      <c r="T32" s="156"/>
      <c r="U32" s="6"/>
    </row>
    <row r="33" spans="1:21" customFormat="1">
      <c r="A33" s="163" t="s">
        <v>1895</v>
      </c>
      <c r="B33" s="100">
        <v>12.09</v>
      </c>
      <c r="C33" s="100">
        <v>20.65</v>
      </c>
      <c r="D33" s="100">
        <v>21.84</v>
      </c>
      <c r="E33" s="100">
        <v>9.9700000000000006</v>
      </c>
      <c r="F33" s="152" t="s">
        <v>15</v>
      </c>
      <c r="G33" s="100">
        <v>47.96</v>
      </c>
      <c r="H33" s="100">
        <v>16.489999999999998</v>
      </c>
      <c r="I33" s="100">
        <v>11.23</v>
      </c>
      <c r="J33" s="100">
        <v>0.17</v>
      </c>
      <c r="K33" s="100">
        <v>181.21</v>
      </c>
      <c r="L33" s="100">
        <v>16.510000000000002</v>
      </c>
      <c r="M33" s="100">
        <v>76.099999999999994</v>
      </c>
      <c r="N33" s="100">
        <v>1.3</v>
      </c>
      <c r="O33" s="100">
        <v>0</v>
      </c>
      <c r="P33" s="100">
        <v>0.86</v>
      </c>
      <c r="Q33" s="100">
        <v>11.25</v>
      </c>
      <c r="R33" s="6"/>
      <c r="S33" s="6"/>
      <c r="T33" s="156"/>
      <c r="U33" s="6"/>
    </row>
    <row r="34" spans="1:21" customFormat="1">
      <c r="A34" s="163" t="s">
        <v>1896</v>
      </c>
      <c r="B34" s="100">
        <v>12.02</v>
      </c>
      <c r="C34" s="100">
        <v>20.63</v>
      </c>
      <c r="D34" s="100">
        <v>21.77</v>
      </c>
      <c r="E34" s="100">
        <v>10.29</v>
      </c>
      <c r="F34" s="152" t="s">
        <v>15</v>
      </c>
      <c r="G34" s="100">
        <v>47.55</v>
      </c>
      <c r="H34" s="100">
        <v>14.3</v>
      </c>
      <c r="I34" s="100">
        <v>11.19</v>
      </c>
      <c r="J34" s="100">
        <v>0.16</v>
      </c>
      <c r="K34" s="100">
        <v>167.88</v>
      </c>
      <c r="L34" s="100">
        <v>16.489999999999998</v>
      </c>
      <c r="M34" s="100">
        <v>75.989999999999995</v>
      </c>
      <c r="N34" s="100">
        <v>1.9</v>
      </c>
      <c r="O34" s="100">
        <v>0</v>
      </c>
      <c r="P34" s="100">
        <v>0.85</v>
      </c>
      <c r="Q34" s="100">
        <v>11.25</v>
      </c>
      <c r="R34" s="6"/>
      <c r="S34" s="6"/>
      <c r="T34" s="156"/>
      <c r="U34" s="6"/>
    </row>
    <row r="35" spans="1:21" customFormat="1">
      <c r="A35" s="163" t="s">
        <v>1897</v>
      </c>
      <c r="B35" s="100">
        <v>12.56</v>
      </c>
      <c r="C35" s="100">
        <v>20.57</v>
      </c>
      <c r="D35" s="100">
        <v>22.17</v>
      </c>
      <c r="E35" s="100">
        <v>10.31</v>
      </c>
      <c r="F35" s="152" t="s">
        <v>15</v>
      </c>
      <c r="G35" s="100">
        <v>47.4</v>
      </c>
      <c r="H35" s="100">
        <v>14.27</v>
      </c>
      <c r="I35" s="100">
        <v>11.11</v>
      </c>
      <c r="J35" s="100">
        <v>0.1</v>
      </c>
      <c r="K35" s="100">
        <v>181.02</v>
      </c>
      <c r="L35" s="100">
        <v>16.850000000000001</v>
      </c>
      <c r="M35" s="100">
        <v>70.37</v>
      </c>
      <c r="N35" s="100">
        <v>4.5999999999999996</v>
      </c>
      <c r="O35" s="100">
        <v>0</v>
      </c>
      <c r="P35" s="100">
        <v>0.85</v>
      </c>
      <c r="Q35" s="100">
        <v>11.25</v>
      </c>
      <c r="R35" s="6"/>
      <c r="S35" s="6"/>
      <c r="T35" s="156"/>
      <c r="U35" s="6"/>
    </row>
    <row r="36" spans="1:21" customFormat="1">
      <c r="A36" s="163" t="s">
        <v>1898</v>
      </c>
      <c r="B36" s="100">
        <v>14.13</v>
      </c>
      <c r="C36" s="100">
        <v>20.95</v>
      </c>
      <c r="D36" s="100">
        <v>23.63</v>
      </c>
      <c r="E36" s="100">
        <v>10.210000000000001</v>
      </c>
      <c r="F36" s="152" t="s">
        <v>15</v>
      </c>
      <c r="G36" s="100">
        <v>47.4</v>
      </c>
      <c r="H36" s="100">
        <v>14.27</v>
      </c>
      <c r="I36" s="100">
        <v>11.07</v>
      </c>
      <c r="J36" s="100">
        <v>0.16</v>
      </c>
      <c r="K36" s="100">
        <v>159.24</v>
      </c>
      <c r="L36" s="100">
        <v>17</v>
      </c>
      <c r="M36" s="100">
        <v>73.11</v>
      </c>
      <c r="N36" s="100">
        <v>10.4</v>
      </c>
      <c r="O36" s="100">
        <v>0</v>
      </c>
      <c r="P36" s="100">
        <v>0.86</v>
      </c>
      <c r="Q36" s="100">
        <v>11.25</v>
      </c>
      <c r="R36" s="6"/>
      <c r="S36" s="6"/>
      <c r="T36" s="156"/>
      <c r="U36" s="6"/>
    </row>
    <row r="37" spans="1:21" customFormat="1">
      <c r="A37" s="163" t="s">
        <v>1899</v>
      </c>
      <c r="B37" s="100">
        <v>14.9</v>
      </c>
      <c r="C37" s="100">
        <v>21.2</v>
      </c>
      <c r="D37" s="100">
        <v>24.37</v>
      </c>
      <c r="E37" s="100">
        <v>9.8699999999999992</v>
      </c>
      <c r="F37" s="152" t="s">
        <v>15</v>
      </c>
      <c r="G37" s="100">
        <v>47.4</v>
      </c>
      <c r="H37" s="100">
        <v>14.27</v>
      </c>
      <c r="I37" s="100">
        <v>11.03</v>
      </c>
      <c r="J37" s="100">
        <v>0.24</v>
      </c>
      <c r="K37" s="100">
        <v>163.02000000000001</v>
      </c>
      <c r="L37" s="100">
        <v>17.5</v>
      </c>
      <c r="M37" s="100">
        <v>71.64</v>
      </c>
      <c r="N37" s="100">
        <v>16.600000000000001</v>
      </c>
      <c r="O37" s="100">
        <v>0</v>
      </c>
      <c r="P37" s="100">
        <v>0.86</v>
      </c>
      <c r="Q37" s="100">
        <v>11.25</v>
      </c>
      <c r="R37" s="6"/>
      <c r="S37" s="6"/>
      <c r="T37" s="156"/>
      <c r="U37" s="6"/>
    </row>
    <row r="38" spans="1:21" customFormat="1">
      <c r="A38" s="163" t="s">
        <v>1900</v>
      </c>
      <c r="B38" s="100">
        <v>15.6</v>
      </c>
      <c r="C38" s="100">
        <v>21.43</v>
      </c>
      <c r="D38" s="100">
        <v>25.06</v>
      </c>
      <c r="E38" s="100">
        <v>10.19</v>
      </c>
      <c r="F38" s="152" t="s">
        <v>15</v>
      </c>
      <c r="G38" s="100">
        <v>49.25</v>
      </c>
      <c r="H38" s="100">
        <v>16.29</v>
      </c>
      <c r="I38" s="100">
        <v>10.98</v>
      </c>
      <c r="J38" s="100">
        <v>0.16</v>
      </c>
      <c r="K38" s="100">
        <v>162.83000000000001</v>
      </c>
      <c r="L38" s="100">
        <v>18.059999999999999</v>
      </c>
      <c r="M38" s="100">
        <v>70.2</v>
      </c>
      <c r="N38" s="100">
        <v>23.4</v>
      </c>
      <c r="O38" s="100">
        <v>0</v>
      </c>
      <c r="P38" s="100">
        <v>0.86</v>
      </c>
      <c r="Q38" s="100">
        <v>11.25</v>
      </c>
      <c r="R38" s="6"/>
      <c r="S38" s="6"/>
      <c r="T38" s="156"/>
      <c r="U38" s="6"/>
    </row>
    <row r="39" spans="1:21" customFormat="1">
      <c r="A39" s="163" t="s">
        <v>1901</v>
      </c>
      <c r="B39" s="100">
        <v>15.72</v>
      </c>
      <c r="C39" s="100">
        <v>21.43</v>
      </c>
      <c r="D39" s="100">
        <v>25.16</v>
      </c>
      <c r="E39" s="100">
        <v>10.38</v>
      </c>
      <c r="F39" s="152" t="s">
        <v>15</v>
      </c>
      <c r="G39" s="100">
        <v>49.93</v>
      </c>
      <c r="H39" s="100">
        <v>16.32</v>
      </c>
      <c r="I39" s="100">
        <v>10.97</v>
      </c>
      <c r="J39" s="100">
        <v>0.28000000000000003</v>
      </c>
      <c r="K39" s="100">
        <v>171.36</v>
      </c>
      <c r="L39" s="100">
        <v>18.86</v>
      </c>
      <c r="M39" s="100">
        <v>64.739999999999995</v>
      </c>
      <c r="N39" s="100">
        <v>30</v>
      </c>
      <c r="O39" s="100">
        <v>0</v>
      </c>
      <c r="P39" s="100">
        <v>0.86</v>
      </c>
      <c r="Q39" s="100">
        <v>11.25</v>
      </c>
      <c r="R39" s="6"/>
      <c r="S39" s="6"/>
      <c r="T39" s="156"/>
      <c r="U39" s="6"/>
    </row>
    <row r="40" spans="1:21" customFormat="1">
      <c r="A40" s="163" t="s">
        <v>1902</v>
      </c>
      <c r="B40" s="100">
        <v>15.32</v>
      </c>
      <c r="C40" s="100">
        <v>21.51</v>
      </c>
      <c r="D40" s="100">
        <v>24.88</v>
      </c>
      <c r="E40" s="100">
        <v>10.4</v>
      </c>
      <c r="F40" s="152" t="s">
        <v>15</v>
      </c>
      <c r="G40" s="100">
        <v>49.93</v>
      </c>
      <c r="H40" s="100">
        <v>16.32</v>
      </c>
      <c r="I40" s="100">
        <v>10.96</v>
      </c>
      <c r="J40" s="100">
        <v>0.39</v>
      </c>
      <c r="K40" s="100">
        <v>156.12</v>
      </c>
      <c r="L40" s="100">
        <v>19.940000000000001</v>
      </c>
      <c r="M40" s="100">
        <v>59.2</v>
      </c>
      <c r="N40" s="100">
        <v>38</v>
      </c>
      <c r="O40" s="100">
        <v>0</v>
      </c>
      <c r="P40" s="100">
        <v>0.86</v>
      </c>
      <c r="Q40" s="100">
        <v>11.25</v>
      </c>
      <c r="R40" s="6"/>
      <c r="S40" s="6"/>
      <c r="T40" s="156"/>
      <c r="U40" s="6"/>
    </row>
    <row r="41" spans="1:21" customFormat="1">
      <c r="A41" s="163" t="s">
        <v>1903</v>
      </c>
      <c r="B41" s="100">
        <v>14.76</v>
      </c>
      <c r="C41" s="100">
        <v>21.52</v>
      </c>
      <c r="D41" s="100">
        <v>24.43</v>
      </c>
      <c r="E41" s="100">
        <v>9.93</v>
      </c>
      <c r="F41" s="152" t="s">
        <v>15</v>
      </c>
      <c r="G41" s="100">
        <v>49.93</v>
      </c>
      <c r="H41" s="100">
        <v>16.32</v>
      </c>
      <c r="I41" s="100">
        <v>10.94</v>
      </c>
      <c r="J41" s="100">
        <v>0.24</v>
      </c>
      <c r="K41" s="100">
        <v>265.14999999999998</v>
      </c>
      <c r="L41" s="100">
        <v>21.05</v>
      </c>
      <c r="M41" s="100">
        <v>54.07</v>
      </c>
      <c r="N41" s="100">
        <v>122.8</v>
      </c>
      <c r="O41" s="100">
        <v>0</v>
      </c>
      <c r="P41" s="100">
        <v>0.86</v>
      </c>
      <c r="Q41" s="100">
        <v>11.25</v>
      </c>
      <c r="R41" s="6"/>
      <c r="S41" s="6"/>
      <c r="T41" s="156"/>
      <c r="U41" s="6"/>
    </row>
    <row r="42" spans="1:21" customFormat="1">
      <c r="A42" s="163" t="s">
        <v>1904</v>
      </c>
      <c r="B42" s="100">
        <v>14.02</v>
      </c>
      <c r="C42" s="100">
        <v>21.67</v>
      </c>
      <c r="D42" s="100">
        <v>23.92</v>
      </c>
      <c r="E42" s="100">
        <v>9.91</v>
      </c>
      <c r="F42" s="152" t="s">
        <v>15</v>
      </c>
      <c r="G42" s="100">
        <v>60.12</v>
      </c>
      <c r="H42" s="100">
        <v>18.91</v>
      </c>
      <c r="I42" s="100">
        <v>10.93</v>
      </c>
      <c r="J42" s="100">
        <v>0.43</v>
      </c>
      <c r="K42" s="100">
        <v>269.73</v>
      </c>
      <c r="L42" s="100">
        <v>22.17</v>
      </c>
      <c r="M42" s="100">
        <v>51.22</v>
      </c>
      <c r="N42" s="100">
        <v>153.6</v>
      </c>
      <c r="O42" s="100">
        <v>0</v>
      </c>
      <c r="P42" s="100">
        <v>0.86</v>
      </c>
      <c r="Q42" s="100">
        <v>11.25</v>
      </c>
      <c r="R42" s="6"/>
      <c r="S42" s="6"/>
      <c r="T42" s="156"/>
      <c r="U42" s="6"/>
    </row>
    <row r="43" spans="1:21" customFormat="1">
      <c r="A43" s="163" t="s">
        <v>1905</v>
      </c>
      <c r="B43" s="100">
        <v>13.11</v>
      </c>
      <c r="C43" s="100">
        <v>21.58</v>
      </c>
      <c r="D43" s="100">
        <v>23.14</v>
      </c>
      <c r="E43" s="100">
        <v>9.66</v>
      </c>
      <c r="F43" s="152" t="s">
        <v>15</v>
      </c>
      <c r="G43" s="100">
        <v>63.83</v>
      </c>
      <c r="H43" s="100">
        <v>18.95</v>
      </c>
      <c r="I43" s="100">
        <v>10.91</v>
      </c>
      <c r="J43" s="100">
        <v>0.42</v>
      </c>
      <c r="K43" s="100">
        <v>268.07</v>
      </c>
      <c r="L43" s="100">
        <v>23.43</v>
      </c>
      <c r="M43" s="100">
        <v>47.51</v>
      </c>
      <c r="N43" s="100">
        <v>217.1</v>
      </c>
      <c r="O43" s="100">
        <v>0</v>
      </c>
      <c r="P43" s="100">
        <v>0.87</v>
      </c>
      <c r="Q43" s="100">
        <v>11.25</v>
      </c>
      <c r="R43" s="6"/>
      <c r="S43" s="6"/>
      <c r="T43" s="156"/>
      <c r="U43" s="6"/>
    </row>
    <row r="44" spans="1:21" customFormat="1">
      <c r="A44" s="163" t="s">
        <v>1906</v>
      </c>
      <c r="B44" s="100">
        <v>12.15</v>
      </c>
      <c r="C44" s="100">
        <v>21.59</v>
      </c>
      <c r="D44" s="100">
        <v>22.37</v>
      </c>
      <c r="E44" s="100">
        <v>9.69</v>
      </c>
      <c r="F44" s="152" t="s">
        <v>15</v>
      </c>
      <c r="G44" s="100">
        <v>63.83</v>
      </c>
      <c r="H44" s="100">
        <v>18.95</v>
      </c>
      <c r="I44" s="100">
        <v>10.97</v>
      </c>
      <c r="J44" s="100">
        <v>0.34</v>
      </c>
      <c r="K44" s="100">
        <v>254.14</v>
      </c>
      <c r="L44" s="100">
        <v>24.65</v>
      </c>
      <c r="M44" s="100">
        <v>43.49</v>
      </c>
      <c r="N44" s="100">
        <v>233.2</v>
      </c>
      <c r="O44" s="100">
        <v>0</v>
      </c>
      <c r="P44" s="100">
        <v>0.86</v>
      </c>
      <c r="Q44" s="100">
        <v>11.25</v>
      </c>
      <c r="R44" s="6"/>
      <c r="S44" s="6"/>
      <c r="T44" s="156"/>
      <c r="U44" s="6"/>
    </row>
    <row r="45" spans="1:21" customFormat="1">
      <c r="A45" s="163" t="s">
        <v>1907</v>
      </c>
      <c r="B45" s="100">
        <v>11.12</v>
      </c>
      <c r="C45" s="100">
        <v>21.63</v>
      </c>
      <c r="D45" s="100">
        <v>21.57</v>
      </c>
      <c r="E45" s="100">
        <v>10.06</v>
      </c>
      <c r="F45" s="152" t="s">
        <v>15</v>
      </c>
      <c r="G45" s="100">
        <v>63.83</v>
      </c>
      <c r="H45" s="100">
        <v>18.95</v>
      </c>
      <c r="I45" s="100">
        <v>11.07</v>
      </c>
      <c r="J45" s="100">
        <v>0.25</v>
      </c>
      <c r="K45" s="100">
        <v>268.47000000000003</v>
      </c>
      <c r="L45" s="100">
        <v>25.85</v>
      </c>
      <c r="M45" s="100">
        <v>39.47</v>
      </c>
      <c r="N45" s="100">
        <v>202.4</v>
      </c>
      <c r="O45" s="100">
        <v>0</v>
      </c>
      <c r="P45" s="100">
        <v>0.87</v>
      </c>
      <c r="Q45" s="100">
        <v>11.25</v>
      </c>
      <c r="R45" s="6"/>
      <c r="S45" s="6"/>
      <c r="T45" s="156"/>
      <c r="U45" s="6"/>
    </row>
    <row r="46" spans="1:21" customFormat="1">
      <c r="A46" s="163" t="s">
        <v>1908</v>
      </c>
      <c r="B46" s="100">
        <v>9.6999999999999993</v>
      </c>
      <c r="C46" s="100">
        <v>22.17</v>
      </c>
      <c r="D46" s="100">
        <v>20.71</v>
      </c>
      <c r="E46" s="100">
        <v>10.18</v>
      </c>
      <c r="F46" s="152" t="s">
        <v>15</v>
      </c>
      <c r="G46" s="100">
        <v>68.45</v>
      </c>
      <c r="H46" s="100">
        <v>23.55</v>
      </c>
      <c r="I46" s="100">
        <v>11.17</v>
      </c>
      <c r="J46" s="100">
        <v>0.24</v>
      </c>
      <c r="K46" s="100">
        <v>259.25</v>
      </c>
      <c r="L46" s="100">
        <v>26.77</v>
      </c>
      <c r="M46" s="100">
        <v>35.89</v>
      </c>
      <c r="N46" s="100">
        <v>283.5</v>
      </c>
      <c r="O46" s="100">
        <v>0</v>
      </c>
      <c r="P46" s="100">
        <v>0.88</v>
      </c>
      <c r="Q46" s="100">
        <v>11.25</v>
      </c>
      <c r="R46" s="6"/>
      <c r="S46" s="6"/>
      <c r="T46" s="156"/>
      <c r="U46" s="6"/>
    </row>
    <row r="47" spans="1:21" customFormat="1">
      <c r="A47" s="163" t="s">
        <v>1909</v>
      </c>
      <c r="B47" s="100">
        <v>8.4</v>
      </c>
      <c r="C47" s="100">
        <v>22.77</v>
      </c>
      <c r="D47" s="100">
        <v>19.98</v>
      </c>
      <c r="E47" s="100">
        <v>10.39</v>
      </c>
      <c r="F47" s="152" t="s">
        <v>15</v>
      </c>
      <c r="G47" s="100">
        <v>70.13</v>
      </c>
      <c r="H47" s="100">
        <v>23.66</v>
      </c>
      <c r="I47" s="100">
        <v>11.23</v>
      </c>
      <c r="J47" s="100">
        <v>0.12</v>
      </c>
      <c r="K47" s="100">
        <v>312.55</v>
      </c>
      <c r="L47" s="100">
        <v>27.86</v>
      </c>
      <c r="M47" s="100">
        <v>32</v>
      </c>
      <c r="N47" s="100">
        <v>297.60000000000002</v>
      </c>
      <c r="O47" s="100">
        <v>0</v>
      </c>
      <c r="P47" s="100">
        <v>0.87</v>
      </c>
      <c r="Q47" s="100">
        <v>11.25</v>
      </c>
      <c r="R47" s="6"/>
      <c r="S47" s="6"/>
      <c r="T47" s="156"/>
      <c r="U47" s="6"/>
    </row>
    <row r="48" spans="1:21" customFormat="1">
      <c r="A48" s="163" t="s">
        <v>1910</v>
      </c>
      <c r="B48" s="100">
        <v>7.98</v>
      </c>
      <c r="C48" s="100">
        <v>22.65</v>
      </c>
      <c r="D48" s="100">
        <v>19.579999999999998</v>
      </c>
      <c r="E48" s="100">
        <v>10.93</v>
      </c>
      <c r="F48" s="152" t="s">
        <v>15</v>
      </c>
      <c r="G48" s="100">
        <v>70.13</v>
      </c>
      <c r="H48" s="100">
        <v>23.66</v>
      </c>
      <c r="I48" s="100">
        <v>11.33</v>
      </c>
      <c r="J48" s="100">
        <v>0.44</v>
      </c>
      <c r="K48" s="100">
        <v>80.540000000000006</v>
      </c>
      <c r="L48" s="100">
        <v>29.06</v>
      </c>
      <c r="M48" s="100">
        <v>28.41</v>
      </c>
      <c r="N48" s="100">
        <v>308.89999999999998</v>
      </c>
      <c r="O48" s="100">
        <v>0</v>
      </c>
      <c r="P48" s="100">
        <v>0.87</v>
      </c>
      <c r="Q48" s="100">
        <v>11.25</v>
      </c>
      <c r="R48" s="6"/>
      <c r="S48" s="6"/>
      <c r="T48" s="156"/>
      <c r="U48" s="6"/>
    </row>
    <row r="49" spans="1:21" customFormat="1">
      <c r="A49" s="163" t="s">
        <v>1911</v>
      </c>
      <c r="B49" s="100">
        <v>8.02</v>
      </c>
      <c r="C49" s="100">
        <v>22.4</v>
      </c>
      <c r="D49" s="100">
        <v>19.489999999999998</v>
      </c>
      <c r="E49" s="100">
        <v>8.7799999999999994</v>
      </c>
      <c r="F49" s="152" t="s">
        <v>15</v>
      </c>
      <c r="G49" s="100">
        <v>70.13</v>
      </c>
      <c r="H49" s="100">
        <v>23.66</v>
      </c>
      <c r="I49" s="100">
        <v>11.36</v>
      </c>
      <c r="J49" s="100">
        <v>0.69</v>
      </c>
      <c r="K49" s="100">
        <v>57.72</v>
      </c>
      <c r="L49" s="100">
        <v>29.34</v>
      </c>
      <c r="M49" s="100">
        <v>26.28</v>
      </c>
      <c r="N49" s="100">
        <v>241.8</v>
      </c>
      <c r="O49" s="100">
        <v>0</v>
      </c>
      <c r="P49" s="100">
        <v>0.89</v>
      </c>
      <c r="Q49" s="100">
        <v>11.25</v>
      </c>
      <c r="R49" s="6"/>
      <c r="S49" s="6"/>
      <c r="T49" s="156"/>
      <c r="U49" s="6"/>
    </row>
    <row r="50" spans="1:21" customFormat="1">
      <c r="A50" s="163" t="s">
        <v>1912</v>
      </c>
      <c r="B50" s="100">
        <v>8.56</v>
      </c>
      <c r="C50" s="100">
        <v>21.6</v>
      </c>
      <c r="D50" s="100">
        <v>19.5</v>
      </c>
      <c r="E50" s="100">
        <v>10.45</v>
      </c>
      <c r="F50" s="152" t="s">
        <v>15</v>
      </c>
      <c r="G50" s="100">
        <v>67.38</v>
      </c>
      <c r="H50" s="100">
        <v>26.27</v>
      </c>
      <c r="I50" s="100">
        <v>11.22</v>
      </c>
      <c r="J50" s="100">
        <v>0.46</v>
      </c>
      <c r="K50" s="100">
        <v>44.88</v>
      </c>
      <c r="L50" s="100">
        <v>30.38</v>
      </c>
      <c r="M50" s="100">
        <v>24.92</v>
      </c>
      <c r="N50" s="100">
        <v>294</v>
      </c>
      <c r="O50" s="100">
        <v>0</v>
      </c>
      <c r="P50" s="100">
        <v>0.91</v>
      </c>
      <c r="Q50" s="100">
        <v>11.25</v>
      </c>
      <c r="R50" s="6"/>
      <c r="S50" s="6"/>
      <c r="T50" s="156"/>
      <c r="U50" s="6"/>
    </row>
    <row r="51" spans="1:21" customFormat="1">
      <c r="A51" s="163" t="s">
        <v>1913</v>
      </c>
      <c r="B51" s="100">
        <v>9.84</v>
      </c>
      <c r="C51" s="100">
        <v>20.32</v>
      </c>
      <c r="D51" s="100">
        <v>19.86</v>
      </c>
      <c r="E51" s="100">
        <v>13.32</v>
      </c>
      <c r="F51" s="152" t="s">
        <v>15</v>
      </c>
      <c r="G51" s="100">
        <v>66.38</v>
      </c>
      <c r="H51" s="100">
        <v>26.31</v>
      </c>
      <c r="I51" s="100">
        <v>11.13</v>
      </c>
      <c r="J51" s="100">
        <v>1.02</v>
      </c>
      <c r="K51" s="100">
        <v>36.58</v>
      </c>
      <c r="L51" s="100">
        <v>30.24</v>
      </c>
      <c r="M51" s="100">
        <v>24.83</v>
      </c>
      <c r="N51" s="100">
        <v>340.1</v>
      </c>
      <c r="O51" s="100">
        <v>0</v>
      </c>
      <c r="P51" s="100">
        <v>0.89</v>
      </c>
      <c r="Q51" s="100">
        <v>11.25</v>
      </c>
      <c r="R51" s="6"/>
      <c r="S51" s="6"/>
      <c r="T51" s="156"/>
      <c r="U51" s="6"/>
    </row>
    <row r="52" spans="1:21" customFormat="1">
      <c r="A52" s="163" t="s">
        <v>1914</v>
      </c>
      <c r="B52" s="100">
        <v>10.33</v>
      </c>
      <c r="C52" s="100">
        <v>19.78</v>
      </c>
      <c r="D52" s="100">
        <v>19.97</v>
      </c>
      <c r="E52" s="100">
        <v>11.68</v>
      </c>
      <c r="F52" s="152" t="s">
        <v>15</v>
      </c>
      <c r="G52" s="100">
        <v>66.38</v>
      </c>
      <c r="H52" s="100">
        <v>26.31</v>
      </c>
      <c r="I52" s="100">
        <v>11</v>
      </c>
      <c r="J52" s="100">
        <v>0.25</v>
      </c>
      <c r="K52" s="100">
        <v>23.76</v>
      </c>
      <c r="L52" s="100">
        <v>30.95</v>
      </c>
      <c r="M52" s="100">
        <v>24.1</v>
      </c>
      <c r="N52" s="100">
        <v>339.8</v>
      </c>
      <c r="O52" s="100">
        <v>0</v>
      </c>
      <c r="P52" s="100">
        <v>0.91</v>
      </c>
      <c r="Q52" s="100">
        <v>11.25</v>
      </c>
      <c r="R52" s="6"/>
      <c r="S52" s="6"/>
      <c r="T52" s="156"/>
      <c r="U52" s="6"/>
    </row>
    <row r="53" spans="1:21" customFormat="1">
      <c r="A53" s="163" t="s">
        <v>1915</v>
      </c>
      <c r="B53" s="100">
        <v>10.41</v>
      </c>
      <c r="C53" s="100">
        <v>19.29</v>
      </c>
      <c r="D53" s="100">
        <v>19.78</v>
      </c>
      <c r="E53" s="100">
        <v>11.98</v>
      </c>
      <c r="F53" s="152" t="s">
        <v>15</v>
      </c>
      <c r="G53" s="100">
        <v>66.38</v>
      </c>
      <c r="H53" s="100">
        <v>26.31</v>
      </c>
      <c r="I53" s="100">
        <v>10.87</v>
      </c>
      <c r="J53" s="100">
        <v>0.65</v>
      </c>
      <c r="K53" s="100">
        <v>32.119999999999997</v>
      </c>
      <c r="L53" s="100">
        <v>31.28</v>
      </c>
      <c r="M53" s="100">
        <v>23.42</v>
      </c>
      <c r="N53" s="100">
        <v>340.7</v>
      </c>
      <c r="O53" s="100">
        <v>0</v>
      </c>
      <c r="P53" s="100">
        <v>0.89</v>
      </c>
      <c r="Q53" s="100">
        <v>11.25</v>
      </c>
      <c r="R53" s="6"/>
      <c r="S53" s="6"/>
      <c r="T53" s="156"/>
      <c r="U53" s="6"/>
    </row>
    <row r="54" spans="1:21" customFormat="1">
      <c r="A54" s="163" t="s">
        <v>1916</v>
      </c>
      <c r="B54" s="100">
        <v>7.45</v>
      </c>
      <c r="C54" s="100">
        <v>20.76</v>
      </c>
      <c r="D54" s="100">
        <v>18.170000000000002</v>
      </c>
      <c r="E54" s="100">
        <v>12.33</v>
      </c>
      <c r="F54" s="152" t="s">
        <v>15</v>
      </c>
      <c r="G54" s="100">
        <v>69.44</v>
      </c>
      <c r="H54" s="100">
        <v>30.3</v>
      </c>
      <c r="I54" s="100">
        <v>10.84</v>
      </c>
      <c r="J54" s="100">
        <v>0.83</v>
      </c>
      <c r="K54" s="100">
        <v>46.39</v>
      </c>
      <c r="L54" s="100">
        <v>31.83</v>
      </c>
      <c r="M54" s="100">
        <v>21.14</v>
      </c>
      <c r="N54" s="100">
        <v>322</v>
      </c>
      <c r="O54" s="100">
        <v>0</v>
      </c>
      <c r="P54" s="100">
        <v>0.88</v>
      </c>
      <c r="Q54" s="100">
        <v>11.25</v>
      </c>
      <c r="R54" s="6"/>
      <c r="S54" s="6"/>
      <c r="T54" s="156"/>
      <c r="U54" s="6"/>
    </row>
    <row r="55" spans="1:21" customFormat="1">
      <c r="A55" s="163" t="s">
        <v>1917</v>
      </c>
      <c r="B55" s="100">
        <v>8.44</v>
      </c>
      <c r="C55" s="100">
        <v>20.16</v>
      </c>
      <c r="D55" s="100">
        <v>18.649999999999999</v>
      </c>
      <c r="E55" s="100">
        <v>13.04</v>
      </c>
      <c r="F55" s="152" t="s">
        <v>15</v>
      </c>
      <c r="G55" s="100">
        <v>70.55</v>
      </c>
      <c r="H55" s="100">
        <v>30.37</v>
      </c>
      <c r="I55" s="100">
        <v>10.7</v>
      </c>
      <c r="J55" s="100">
        <v>0.8</v>
      </c>
      <c r="K55" s="100">
        <v>30.26</v>
      </c>
      <c r="L55" s="100">
        <v>31.99</v>
      </c>
      <c r="M55" s="100">
        <v>21.22</v>
      </c>
      <c r="N55" s="100">
        <v>324.2</v>
      </c>
      <c r="O55" s="100">
        <v>0</v>
      </c>
      <c r="P55" s="100">
        <v>0.87</v>
      </c>
      <c r="Q55" s="100">
        <v>11.25</v>
      </c>
      <c r="R55" s="6"/>
      <c r="S55" s="6"/>
      <c r="T55" s="156"/>
      <c r="U55" s="6"/>
    </row>
    <row r="56" spans="1:21" customFormat="1">
      <c r="A56" s="163" t="s">
        <v>1918</v>
      </c>
      <c r="B56" s="100">
        <v>6.11</v>
      </c>
      <c r="C56" s="100">
        <v>21.44</v>
      </c>
      <c r="D56" s="100">
        <v>17.45</v>
      </c>
      <c r="E56" s="100">
        <v>13.92</v>
      </c>
      <c r="F56" s="152" t="s">
        <v>15</v>
      </c>
      <c r="G56" s="100">
        <v>70.55</v>
      </c>
      <c r="H56" s="100">
        <v>30.37</v>
      </c>
      <c r="I56" s="100">
        <v>10.6</v>
      </c>
      <c r="J56" s="100">
        <v>1.03</v>
      </c>
      <c r="K56" s="100">
        <v>43.37</v>
      </c>
      <c r="L56" s="100">
        <v>32.56</v>
      </c>
      <c r="M56" s="100">
        <v>20.89</v>
      </c>
      <c r="N56" s="100">
        <v>349.4</v>
      </c>
      <c r="O56" s="100">
        <v>0</v>
      </c>
      <c r="P56" s="100">
        <v>0.87</v>
      </c>
      <c r="Q56" s="100">
        <v>11.25</v>
      </c>
      <c r="R56" s="6"/>
      <c r="S56" s="6"/>
      <c r="T56" s="156"/>
      <c r="U56" s="6"/>
    </row>
    <row r="57" spans="1:21" customFormat="1">
      <c r="A57" s="163" t="s">
        <v>1919</v>
      </c>
      <c r="B57" s="100">
        <v>4.9400000000000004</v>
      </c>
      <c r="C57" s="100">
        <v>21.79</v>
      </c>
      <c r="D57" s="100">
        <v>16.7</v>
      </c>
      <c r="E57" s="100">
        <v>13.83</v>
      </c>
      <c r="F57" s="152" t="s">
        <v>15</v>
      </c>
      <c r="G57" s="100">
        <v>70.55</v>
      </c>
      <c r="H57" s="100">
        <v>30.37</v>
      </c>
      <c r="I57" s="100">
        <v>10.53</v>
      </c>
      <c r="J57" s="100">
        <v>0.77</v>
      </c>
      <c r="K57" s="100">
        <v>45.31</v>
      </c>
      <c r="L57" s="100">
        <v>32.92</v>
      </c>
      <c r="M57" s="100">
        <v>20.52</v>
      </c>
      <c r="N57" s="100">
        <v>352.8</v>
      </c>
      <c r="O57" s="100">
        <v>0</v>
      </c>
      <c r="P57" s="100">
        <v>0.86</v>
      </c>
      <c r="Q57" s="100">
        <v>11.25</v>
      </c>
      <c r="R57" s="6"/>
      <c r="S57" s="6"/>
      <c r="T57" s="156"/>
      <c r="U57" s="6"/>
    </row>
    <row r="58" spans="1:21" customFormat="1">
      <c r="A58" s="163" t="s">
        <v>1920</v>
      </c>
      <c r="B58" s="100">
        <v>4.54</v>
      </c>
      <c r="C58" s="100">
        <v>22</v>
      </c>
      <c r="D58" s="100">
        <v>16.48</v>
      </c>
      <c r="E58" s="100">
        <v>13.78</v>
      </c>
      <c r="F58" s="152" t="s">
        <v>15</v>
      </c>
      <c r="G58" s="100">
        <v>69.31</v>
      </c>
      <c r="H58" s="100">
        <v>31.82</v>
      </c>
      <c r="I58" s="100">
        <v>10.38</v>
      </c>
      <c r="J58" s="100">
        <v>1.2</v>
      </c>
      <c r="K58" s="100">
        <v>50.96</v>
      </c>
      <c r="L58" s="100">
        <v>32.92</v>
      </c>
      <c r="M58" s="100">
        <v>19.489999999999998</v>
      </c>
      <c r="N58" s="100">
        <v>365.4</v>
      </c>
      <c r="O58" s="100">
        <v>0</v>
      </c>
      <c r="P58" s="100">
        <v>0.84</v>
      </c>
      <c r="Q58" s="100">
        <v>11.25</v>
      </c>
      <c r="R58" s="6"/>
      <c r="S58" s="6"/>
      <c r="T58" s="156"/>
      <c r="U58" s="6"/>
    </row>
    <row r="59" spans="1:21" customFormat="1">
      <c r="A59" s="163" t="s">
        <v>1921</v>
      </c>
      <c r="B59" s="100">
        <v>4.37</v>
      </c>
      <c r="C59" s="100">
        <v>21.93</v>
      </c>
      <c r="D59" s="100">
        <v>16.309999999999999</v>
      </c>
      <c r="E59" s="100">
        <v>16.670000000000002</v>
      </c>
      <c r="F59" s="152" t="s">
        <v>15</v>
      </c>
      <c r="G59" s="100">
        <v>68.87</v>
      </c>
      <c r="H59" s="100">
        <v>31.84</v>
      </c>
      <c r="I59" s="100">
        <v>10.27</v>
      </c>
      <c r="J59" s="100">
        <v>0.83</v>
      </c>
      <c r="K59" s="100">
        <v>12.02</v>
      </c>
      <c r="L59" s="100">
        <v>33.26</v>
      </c>
      <c r="M59" s="100">
        <v>18.23</v>
      </c>
      <c r="N59" s="100">
        <v>360.9</v>
      </c>
      <c r="O59" s="100">
        <v>0</v>
      </c>
      <c r="P59" s="100">
        <v>0.81</v>
      </c>
      <c r="Q59" s="100">
        <v>11.25</v>
      </c>
      <c r="R59" s="6"/>
      <c r="S59" s="6"/>
      <c r="T59" s="156"/>
      <c r="U59" s="6"/>
    </row>
    <row r="60" spans="1:21" customFormat="1">
      <c r="A60" s="163" t="s">
        <v>1922</v>
      </c>
      <c r="B60" s="100">
        <v>4.84</v>
      </c>
      <c r="C60" s="100">
        <v>21.39</v>
      </c>
      <c r="D60" s="100">
        <v>16.399999999999999</v>
      </c>
      <c r="E60" s="100">
        <v>18.18</v>
      </c>
      <c r="F60" s="152" t="s">
        <v>15</v>
      </c>
      <c r="G60" s="100">
        <v>68.87</v>
      </c>
      <c r="H60" s="100">
        <v>31.84</v>
      </c>
      <c r="I60" s="100">
        <v>10.07</v>
      </c>
      <c r="J60" s="100">
        <v>1.23</v>
      </c>
      <c r="K60" s="100">
        <v>32.58</v>
      </c>
      <c r="L60" s="100">
        <v>33.119999999999997</v>
      </c>
      <c r="M60" s="100">
        <v>18.21</v>
      </c>
      <c r="N60" s="100">
        <v>361.7</v>
      </c>
      <c r="O60" s="100">
        <v>0</v>
      </c>
      <c r="P60" s="100">
        <v>0.8</v>
      </c>
      <c r="Q60" s="100">
        <v>11.25</v>
      </c>
      <c r="R60" s="6"/>
      <c r="S60" s="6"/>
      <c r="T60" s="156"/>
      <c r="U60" s="6"/>
    </row>
    <row r="61" spans="1:21" customFormat="1">
      <c r="A61" s="163" t="s">
        <v>1923</v>
      </c>
      <c r="B61" s="100">
        <v>4.53</v>
      </c>
      <c r="C61" s="100">
        <v>21.34</v>
      </c>
      <c r="D61" s="100">
        <v>16.14</v>
      </c>
      <c r="E61" s="100">
        <v>19.14</v>
      </c>
      <c r="F61" s="152" t="s">
        <v>15</v>
      </c>
      <c r="G61" s="100">
        <v>68.87</v>
      </c>
      <c r="H61" s="100">
        <v>31.84</v>
      </c>
      <c r="I61" s="100">
        <v>9.7200000000000006</v>
      </c>
      <c r="J61" s="100">
        <v>0.68</v>
      </c>
      <c r="K61" s="100">
        <v>25.1</v>
      </c>
      <c r="L61" s="100">
        <v>33.25</v>
      </c>
      <c r="M61" s="100">
        <v>18.59</v>
      </c>
      <c r="N61" s="100">
        <v>344.8</v>
      </c>
      <c r="O61" s="100">
        <v>0</v>
      </c>
      <c r="P61" s="100">
        <v>0.79</v>
      </c>
      <c r="Q61" s="100">
        <v>11.25</v>
      </c>
      <c r="R61" s="6"/>
      <c r="S61" s="6"/>
      <c r="T61" s="156"/>
      <c r="U61" s="6"/>
    </row>
    <row r="62" spans="1:21" customFormat="1">
      <c r="A62" s="163" t="s">
        <v>1924</v>
      </c>
      <c r="B62" s="100">
        <v>4.0599999999999996</v>
      </c>
      <c r="C62" s="100">
        <v>21.49</v>
      </c>
      <c r="D62" s="100">
        <v>15.83</v>
      </c>
      <c r="E62" s="100">
        <v>18.739999999999998</v>
      </c>
      <c r="F62" s="152" t="s">
        <v>15</v>
      </c>
      <c r="G62" s="100">
        <v>65.84</v>
      </c>
      <c r="H62" s="100">
        <v>32.79</v>
      </c>
      <c r="I62" s="100">
        <v>9.43</v>
      </c>
      <c r="J62" s="100">
        <v>0.99</v>
      </c>
      <c r="K62" s="100">
        <v>334.04</v>
      </c>
      <c r="L62" s="100">
        <v>33.67</v>
      </c>
      <c r="M62" s="100">
        <v>17.72</v>
      </c>
      <c r="N62" s="100">
        <v>356</v>
      </c>
      <c r="O62" s="100">
        <v>0</v>
      </c>
      <c r="P62" s="100">
        <v>0.76</v>
      </c>
      <c r="Q62" s="100">
        <v>11.25</v>
      </c>
      <c r="R62" s="6"/>
      <c r="S62" s="6"/>
      <c r="T62" s="156"/>
      <c r="U62" s="6"/>
    </row>
    <row r="63" spans="1:21" customFormat="1">
      <c r="A63" s="163" t="s">
        <v>1925</v>
      </c>
      <c r="B63" s="100">
        <v>4.03</v>
      </c>
      <c r="C63" s="100">
        <v>21.39</v>
      </c>
      <c r="D63" s="100">
        <v>15.76</v>
      </c>
      <c r="E63" s="100">
        <v>12.29</v>
      </c>
      <c r="F63" s="152" t="s">
        <v>15</v>
      </c>
      <c r="G63" s="100">
        <v>64.739999999999995</v>
      </c>
      <c r="H63" s="100">
        <v>32.81</v>
      </c>
      <c r="I63" s="100">
        <v>9.14</v>
      </c>
      <c r="J63" s="100">
        <v>0.93</v>
      </c>
      <c r="K63" s="100">
        <v>325.33999999999997</v>
      </c>
      <c r="L63" s="100">
        <v>33.53</v>
      </c>
      <c r="M63" s="100">
        <v>17.399999999999999</v>
      </c>
      <c r="N63" s="100">
        <v>350.6</v>
      </c>
      <c r="O63" s="100">
        <v>0</v>
      </c>
      <c r="P63" s="100">
        <v>0.75</v>
      </c>
      <c r="Q63" s="100">
        <v>11.25</v>
      </c>
      <c r="R63" s="6"/>
      <c r="S63" s="6"/>
      <c r="T63" s="156"/>
      <c r="U63" s="6"/>
    </row>
    <row r="64" spans="1:21" customFormat="1">
      <c r="A64" s="163" t="s">
        <v>1926</v>
      </c>
      <c r="B64" s="100">
        <v>4.1100000000000003</v>
      </c>
      <c r="C64" s="100">
        <v>20.73</v>
      </c>
      <c r="D64" s="100">
        <v>15.48</v>
      </c>
      <c r="E64" s="100">
        <v>11.66</v>
      </c>
      <c r="F64" s="152" t="s">
        <v>15</v>
      </c>
      <c r="G64" s="100">
        <v>64.739999999999995</v>
      </c>
      <c r="H64" s="100">
        <v>32.81</v>
      </c>
      <c r="I64" s="100">
        <v>8.89</v>
      </c>
      <c r="J64" s="100">
        <v>0.67</v>
      </c>
      <c r="K64" s="100">
        <v>335.43</v>
      </c>
      <c r="L64" s="100">
        <v>33.64</v>
      </c>
      <c r="M64" s="100">
        <v>16.95</v>
      </c>
      <c r="N64" s="100">
        <v>374.7</v>
      </c>
      <c r="O64" s="100">
        <v>0</v>
      </c>
      <c r="P64" s="100">
        <v>0.72</v>
      </c>
      <c r="Q64" s="100">
        <v>11.25</v>
      </c>
      <c r="R64" s="6"/>
      <c r="S64" s="6"/>
      <c r="T64" s="156"/>
      <c r="U64" s="6"/>
    </row>
    <row r="65" spans="1:21" customFormat="1">
      <c r="A65" s="163" t="s">
        <v>1927</v>
      </c>
      <c r="B65" s="100">
        <v>4.1500000000000004</v>
      </c>
      <c r="C65" s="100">
        <v>20.51</v>
      </c>
      <c r="D65" s="100">
        <v>15.39</v>
      </c>
      <c r="E65" s="100">
        <v>11.6</v>
      </c>
      <c r="F65" s="152" t="s">
        <v>15</v>
      </c>
      <c r="G65" s="100">
        <v>64.739999999999995</v>
      </c>
      <c r="H65" s="100">
        <v>32.81</v>
      </c>
      <c r="I65" s="100">
        <v>8.7200000000000006</v>
      </c>
      <c r="J65" s="100">
        <v>0.85</v>
      </c>
      <c r="K65" s="100">
        <v>1.28</v>
      </c>
      <c r="L65" s="100">
        <v>34.01</v>
      </c>
      <c r="M65" s="100">
        <v>17.55</v>
      </c>
      <c r="N65" s="100">
        <v>356.8</v>
      </c>
      <c r="O65" s="100">
        <v>0</v>
      </c>
      <c r="P65" s="100">
        <v>0.55000000000000004</v>
      </c>
      <c r="Q65" s="100">
        <v>11.25</v>
      </c>
      <c r="R65" s="6"/>
      <c r="S65" s="6"/>
      <c r="T65" s="156"/>
      <c r="U65" s="6"/>
    </row>
    <row r="66" spans="1:21" customFormat="1">
      <c r="A66" s="163" t="s">
        <v>1928</v>
      </c>
      <c r="B66" s="100">
        <v>4.21</v>
      </c>
      <c r="C66" s="100">
        <v>20.48</v>
      </c>
      <c r="D66" s="100">
        <v>15.43</v>
      </c>
      <c r="E66" s="100">
        <v>13.14</v>
      </c>
      <c r="F66" s="152" t="s">
        <v>15</v>
      </c>
      <c r="G66" s="100">
        <v>58.65</v>
      </c>
      <c r="H66" s="100">
        <v>29.26</v>
      </c>
      <c r="I66" s="100">
        <v>8.43</v>
      </c>
      <c r="J66" s="100">
        <v>0.93</v>
      </c>
      <c r="K66" s="100">
        <v>336.72</v>
      </c>
      <c r="L66" s="100">
        <v>33.799999999999997</v>
      </c>
      <c r="M66" s="100">
        <v>18.11</v>
      </c>
      <c r="N66" s="100">
        <v>349.4</v>
      </c>
      <c r="O66" s="100">
        <v>0</v>
      </c>
      <c r="P66" s="100">
        <v>0.54</v>
      </c>
      <c r="Q66" s="100">
        <v>11.25</v>
      </c>
      <c r="R66" s="6"/>
      <c r="S66" s="6"/>
      <c r="T66" s="156"/>
      <c r="U66" s="6"/>
    </row>
    <row r="67" spans="1:21" customFormat="1">
      <c r="A67" s="163" t="s">
        <v>1929</v>
      </c>
      <c r="B67" s="100">
        <v>4.2300000000000004</v>
      </c>
      <c r="C67" s="100">
        <v>20.51</v>
      </c>
      <c r="D67" s="100">
        <v>15.46</v>
      </c>
      <c r="E67" s="100">
        <v>13.64</v>
      </c>
      <c r="F67" s="152" t="s">
        <v>15</v>
      </c>
      <c r="G67" s="100">
        <v>56.44</v>
      </c>
      <c r="H67" s="100">
        <v>29.2</v>
      </c>
      <c r="I67" s="100">
        <v>8.06</v>
      </c>
      <c r="J67" s="100">
        <v>0.86</v>
      </c>
      <c r="K67" s="100">
        <v>326.52999999999997</v>
      </c>
      <c r="L67" s="100">
        <v>33.56</v>
      </c>
      <c r="M67" s="100">
        <v>19.14</v>
      </c>
      <c r="N67" s="100">
        <v>281.39999999999998</v>
      </c>
      <c r="O67" s="100">
        <v>0</v>
      </c>
      <c r="P67" s="100">
        <v>0.56000000000000005</v>
      </c>
      <c r="Q67" s="100">
        <v>11.25</v>
      </c>
      <c r="R67" s="6"/>
      <c r="S67" s="6"/>
      <c r="T67" s="156"/>
      <c r="U67" s="6"/>
    </row>
    <row r="68" spans="1:21" customFormat="1">
      <c r="A68" s="163" t="s">
        <v>1930</v>
      </c>
      <c r="B68" s="100">
        <v>4.24</v>
      </c>
      <c r="C68" s="100">
        <v>20.350000000000001</v>
      </c>
      <c r="D68" s="100">
        <v>15.38</v>
      </c>
      <c r="E68" s="100">
        <v>11.47</v>
      </c>
      <c r="F68" s="152" t="s">
        <v>15</v>
      </c>
      <c r="G68" s="100">
        <v>56.44</v>
      </c>
      <c r="H68" s="100">
        <v>29.2</v>
      </c>
      <c r="I68" s="100">
        <v>7.74</v>
      </c>
      <c r="J68" s="100">
        <v>0.48</v>
      </c>
      <c r="K68" s="100">
        <v>7.18</v>
      </c>
      <c r="L68" s="100">
        <v>33.450000000000003</v>
      </c>
      <c r="M68" s="100">
        <v>19.190000000000001</v>
      </c>
      <c r="N68" s="100">
        <v>106.3</v>
      </c>
      <c r="O68" s="100">
        <v>0</v>
      </c>
      <c r="P68" s="100">
        <v>0.52</v>
      </c>
      <c r="Q68" s="100">
        <v>11.25</v>
      </c>
      <c r="R68" s="6"/>
      <c r="S68" s="6"/>
      <c r="T68" s="156"/>
      <c r="U68" s="6"/>
    </row>
    <row r="69" spans="1:21" customFormat="1">
      <c r="A69" s="163" t="s">
        <v>1931</v>
      </c>
      <c r="B69" s="100">
        <v>4.05</v>
      </c>
      <c r="C69" s="100">
        <v>20.41</v>
      </c>
      <c r="D69" s="100">
        <v>15.27</v>
      </c>
      <c r="E69" s="100">
        <v>11.88</v>
      </c>
      <c r="F69" s="152" t="s">
        <v>15</v>
      </c>
      <c r="G69" s="100">
        <v>56.44</v>
      </c>
      <c r="H69" s="100">
        <v>29.2</v>
      </c>
      <c r="I69" s="100">
        <v>7.7</v>
      </c>
      <c r="J69" s="100">
        <v>0.74</v>
      </c>
      <c r="K69" s="100">
        <v>23.09</v>
      </c>
      <c r="L69" s="100">
        <v>32.979999999999997</v>
      </c>
      <c r="M69" s="100">
        <v>19.64</v>
      </c>
      <c r="N69" s="100">
        <v>56.1</v>
      </c>
      <c r="O69" s="100">
        <v>0</v>
      </c>
      <c r="P69" s="100">
        <v>0.45</v>
      </c>
      <c r="Q69" s="100">
        <v>11.25</v>
      </c>
      <c r="R69" s="6"/>
      <c r="S69" s="6"/>
      <c r="T69" s="156"/>
      <c r="U69" s="6"/>
    </row>
    <row r="70" spans="1:21" customFormat="1">
      <c r="A70" s="163" t="s">
        <v>1932</v>
      </c>
      <c r="B70" s="100">
        <v>3.99</v>
      </c>
      <c r="C70" s="100">
        <v>20.54</v>
      </c>
      <c r="D70" s="100">
        <v>15.28</v>
      </c>
      <c r="E70" s="100">
        <v>11.95</v>
      </c>
      <c r="F70" s="152" t="s">
        <v>15</v>
      </c>
      <c r="G70" s="100">
        <v>53.03</v>
      </c>
      <c r="H70" s="100">
        <v>30.08</v>
      </c>
      <c r="I70" s="100">
        <v>7.6</v>
      </c>
      <c r="J70" s="100">
        <v>0.76</v>
      </c>
      <c r="K70" s="100">
        <v>16.05</v>
      </c>
      <c r="L70" s="100">
        <v>32.89</v>
      </c>
      <c r="M70" s="100">
        <v>19.62</v>
      </c>
      <c r="N70" s="100">
        <v>56.5</v>
      </c>
      <c r="O70" s="100">
        <v>0</v>
      </c>
      <c r="P70" s="100">
        <v>0.44</v>
      </c>
      <c r="Q70" s="100">
        <v>11.25</v>
      </c>
      <c r="R70" s="6"/>
      <c r="S70" s="6"/>
      <c r="T70" s="156"/>
      <c r="U70" s="6"/>
    </row>
    <row r="71" spans="1:21" customFormat="1">
      <c r="A71" s="163" t="s">
        <v>1933</v>
      </c>
      <c r="B71" s="100">
        <v>3.97</v>
      </c>
      <c r="C71" s="100">
        <v>20.89</v>
      </c>
      <c r="D71" s="100">
        <v>15.45</v>
      </c>
      <c r="E71" s="100">
        <v>12.46</v>
      </c>
      <c r="F71" s="152" t="s">
        <v>15</v>
      </c>
      <c r="G71" s="100">
        <v>51.79</v>
      </c>
      <c r="H71" s="100">
        <v>30.1</v>
      </c>
      <c r="I71" s="100">
        <v>7.39</v>
      </c>
      <c r="J71" s="100">
        <v>0.64</v>
      </c>
      <c r="K71" s="100">
        <v>306.32</v>
      </c>
      <c r="L71" s="100">
        <v>32.81</v>
      </c>
      <c r="M71" s="100">
        <v>19.739999999999998</v>
      </c>
      <c r="N71" s="100">
        <v>51.6</v>
      </c>
      <c r="O71" s="100">
        <v>0</v>
      </c>
      <c r="P71" s="100">
        <v>0.43</v>
      </c>
      <c r="Q71" s="100">
        <v>11.25</v>
      </c>
      <c r="R71" s="6"/>
      <c r="S71" s="6"/>
      <c r="T71" s="156"/>
      <c r="U71" s="6"/>
    </row>
    <row r="72" spans="1:21" customFormat="1">
      <c r="A72" s="163" t="s">
        <v>1934</v>
      </c>
      <c r="B72" s="100">
        <v>3.92</v>
      </c>
      <c r="C72" s="100">
        <v>21.13</v>
      </c>
      <c r="D72" s="100">
        <v>15.53</v>
      </c>
      <c r="E72" s="100">
        <v>11.9</v>
      </c>
      <c r="F72" s="152" t="s">
        <v>15</v>
      </c>
      <c r="G72" s="100">
        <v>51.79</v>
      </c>
      <c r="H72" s="100">
        <v>30.1</v>
      </c>
      <c r="I72" s="100">
        <v>7.21</v>
      </c>
      <c r="J72" s="100">
        <v>0.86</v>
      </c>
      <c r="K72" s="100">
        <v>333.15</v>
      </c>
      <c r="L72" s="100">
        <v>32.69</v>
      </c>
      <c r="M72" s="100">
        <v>19.57</v>
      </c>
      <c r="N72" s="100">
        <v>51.6</v>
      </c>
      <c r="O72" s="100">
        <v>0</v>
      </c>
      <c r="P72" s="100">
        <v>0.42</v>
      </c>
      <c r="Q72" s="100">
        <v>11.25</v>
      </c>
      <c r="R72" s="6"/>
      <c r="S72" s="6"/>
      <c r="T72" s="156"/>
      <c r="U72" s="6"/>
    </row>
    <row r="73" spans="1:21" customFormat="1">
      <c r="A73" s="163" t="s">
        <v>1935</v>
      </c>
      <c r="B73" s="100">
        <v>3.94</v>
      </c>
      <c r="C73" s="100">
        <v>21.08</v>
      </c>
      <c r="D73" s="100">
        <v>15.53</v>
      </c>
      <c r="E73" s="100">
        <v>11.35</v>
      </c>
      <c r="F73" s="152" t="s">
        <v>15</v>
      </c>
      <c r="G73" s="100">
        <v>51.79</v>
      </c>
      <c r="H73" s="100">
        <v>30.1</v>
      </c>
      <c r="I73" s="100">
        <v>7.03</v>
      </c>
      <c r="J73" s="100">
        <v>0.71</v>
      </c>
      <c r="K73" s="100">
        <v>324.85000000000002</v>
      </c>
      <c r="L73" s="100">
        <v>32.619999999999997</v>
      </c>
      <c r="M73" s="100">
        <v>19.88</v>
      </c>
      <c r="N73" s="100">
        <v>102.5</v>
      </c>
      <c r="O73" s="100">
        <v>0</v>
      </c>
      <c r="P73" s="100">
        <v>0.42</v>
      </c>
      <c r="Q73" s="100">
        <v>11.25</v>
      </c>
      <c r="R73" s="6"/>
      <c r="S73" s="6"/>
      <c r="T73" s="156"/>
      <c r="U73" s="6"/>
    </row>
    <row r="74" spans="1:21" customFormat="1">
      <c r="A74" s="163" t="s">
        <v>1936</v>
      </c>
      <c r="B74" s="100">
        <v>3.97</v>
      </c>
      <c r="C74" s="100">
        <v>21.04</v>
      </c>
      <c r="D74" s="100">
        <v>15.53</v>
      </c>
      <c r="E74" s="100">
        <v>11.56</v>
      </c>
      <c r="F74" s="152" t="s">
        <v>15</v>
      </c>
      <c r="G74" s="100">
        <v>48.26</v>
      </c>
      <c r="H74" s="100">
        <v>25.78</v>
      </c>
      <c r="I74" s="100">
        <v>6.85</v>
      </c>
      <c r="J74" s="100">
        <v>0.6</v>
      </c>
      <c r="K74" s="100">
        <v>324.06</v>
      </c>
      <c r="L74" s="100">
        <v>32.51</v>
      </c>
      <c r="M74" s="100">
        <v>20.36</v>
      </c>
      <c r="N74" s="100">
        <v>39.5</v>
      </c>
      <c r="O74" s="100">
        <v>0</v>
      </c>
      <c r="P74" s="100">
        <v>0.4</v>
      </c>
      <c r="Q74" s="100">
        <v>11.25</v>
      </c>
      <c r="R74" s="6"/>
      <c r="S74" s="6"/>
      <c r="T74" s="156"/>
      <c r="U74" s="6"/>
    </row>
    <row r="75" spans="1:21" customFormat="1">
      <c r="A75" s="163" t="s">
        <v>1937</v>
      </c>
      <c r="B75" s="100">
        <v>3.92</v>
      </c>
      <c r="C75" s="100">
        <v>20.96</v>
      </c>
      <c r="D75" s="100">
        <v>15.45</v>
      </c>
      <c r="E75" s="100">
        <v>11.54</v>
      </c>
      <c r="F75" s="152" t="s">
        <v>15</v>
      </c>
      <c r="G75" s="100">
        <v>46.97</v>
      </c>
      <c r="H75" s="100">
        <v>25.71</v>
      </c>
      <c r="I75" s="100">
        <v>6.6</v>
      </c>
      <c r="J75" s="100">
        <v>0.28000000000000003</v>
      </c>
      <c r="K75" s="100">
        <v>330.6</v>
      </c>
      <c r="L75" s="100">
        <v>32.42</v>
      </c>
      <c r="M75" s="100">
        <v>21.03</v>
      </c>
      <c r="N75" s="100">
        <v>31.4</v>
      </c>
      <c r="O75" s="100">
        <v>0</v>
      </c>
      <c r="P75" s="100">
        <v>0.4</v>
      </c>
      <c r="Q75" s="100">
        <v>11.25</v>
      </c>
      <c r="R75" s="6"/>
      <c r="S75" s="6"/>
      <c r="T75" s="156"/>
      <c r="U75" s="6"/>
    </row>
    <row r="76" spans="1:21" customFormat="1">
      <c r="A76" s="163" t="s">
        <v>1938</v>
      </c>
      <c r="B76" s="100">
        <v>4.08</v>
      </c>
      <c r="C76" s="100">
        <v>21.29</v>
      </c>
      <c r="D76" s="100">
        <v>15.74</v>
      </c>
      <c r="E76" s="100">
        <v>12.82</v>
      </c>
      <c r="F76" s="152" t="s">
        <v>15</v>
      </c>
      <c r="G76" s="100">
        <v>46.97</v>
      </c>
      <c r="H76" s="100">
        <v>25.71</v>
      </c>
      <c r="I76" s="100">
        <v>6.44</v>
      </c>
      <c r="J76" s="100">
        <v>0.67</v>
      </c>
      <c r="K76" s="100">
        <v>38.840000000000003</v>
      </c>
      <c r="L76" s="100">
        <v>32.25</v>
      </c>
      <c r="M76" s="100">
        <v>20.78</v>
      </c>
      <c r="N76" s="100">
        <v>39.1</v>
      </c>
      <c r="O76" s="100">
        <v>0</v>
      </c>
      <c r="P76" s="100">
        <v>0.4</v>
      </c>
      <c r="Q76" s="100">
        <v>11.25</v>
      </c>
      <c r="R76" s="6"/>
      <c r="S76" s="6"/>
      <c r="T76" s="156"/>
      <c r="U76" s="6"/>
    </row>
    <row r="77" spans="1:21" customFormat="1">
      <c r="A77" s="163" t="s">
        <v>1939</v>
      </c>
      <c r="B77" s="100">
        <v>4.2300000000000004</v>
      </c>
      <c r="C77" s="100">
        <v>21.98</v>
      </c>
      <c r="D77" s="100">
        <v>16.22</v>
      </c>
      <c r="E77" s="100">
        <v>12.53</v>
      </c>
      <c r="F77" s="152" t="s">
        <v>15</v>
      </c>
      <c r="G77" s="100">
        <v>46.97</v>
      </c>
      <c r="H77" s="100">
        <v>25.71</v>
      </c>
      <c r="I77" s="100">
        <v>6.35</v>
      </c>
      <c r="J77" s="100">
        <v>0.77</v>
      </c>
      <c r="K77" s="100">
        <v>42.36</v>
      </c>
      <c r="L77" s="100">
        <v>31.93</v>
      </c>
      <c r="M77" s="100">
        <v>21.42</v>
      </c>
      <c r="N77" s="100">
        <v>20.7</v>
      </c>
      <c r="O77" s="100">
        <v>0</v>
      </c>
      <c r="P77" s="100">
        <v>0.42</v>
      </c>
      <c r="Q77" s="100">
        <v>11.25</v>
      </c>
      <c r="R77" s="6"/>
      <c r="S77" s="6"/>
      <c r="T77" s="156"/>
      <c r="U77" s="6"/>
    </row>
    <row r="78" spans="1:21" customFormat="1">
      <c r="A78" s="163" t="s">
        <v>1940</v>
      </c>
      <c r="B78" s="100">
        <v>4.51</v>
      </c>
      <c r="C78" s="100">
        <v>22.68</v>
      </c>
      <c r="D78" s="100">
        <v>16.82</v>
      </c>
      <c r="E78" s="100">
        <v>13.06</v>
      </c>
      <c r="F78" s="152" t="s">
        <v>15</v>
      </c>
      <c r="G78" s="100">
        <v>44.36</v>
      </c>
      <c r="H78" s="100">
        <v>27.4</v>
      </c>
      <c r="I78" s="100">
        <v>6.3</v>
      </c>
      <c r="J78" s="100">
        <v>0.85</v>
      </c>
      <c r="K78" s="100">
        <v>42.64</v>
      </c>
      <c r="L78" s="100">
        <v>31.47</v>
      </c>
      <c r="M78" s="100">
        <v>22.47</v>
      </c>
      <c r="N78" s="100">
        <v>14.5</v>
      </c>
      <c r="O78" s="100">
        <v>0</v>
      </c>
      <c r="P78" s="100">
        <v>0.43</v>
      </c>
      <c r="Q78" s="100">
        <v>11.25</v>
      </c>
      <c r="R78" s="6"/>
      <c r="S78" s="6"/>
      <c r="T78" s="156"/>
      <c r="U78" s="6"/>
    </row>
    <row r="79" spans="1:21" customFormat="1">
      <c r="A79" s="163" t="s">
        <v>1941</v>
      </c>
      <c r="B79" s="100">
        <v>4.91</v>
      </c>
      <c r="C79" s="100">
        <v>23.46</v>
      </c>
      <c r="D79" s="100">
        <v>17.55</v>
      </c>
      <c r="E79" s="100">
        <v>11.69</v>
      </c>
      <c r="F79" s="152" t="s">
        <v>15</v>
      </c>
      <c r="G79" s="100">
        <v>43.4</v>
      </c>
      <c r="H79" s="100">
        <v>27.43</v>
      </c>
      <c r="I79" s="100">
        <v>6.34</v>
      </c>
      <c r="J79" s="100">
        <v>0.78</v>
      </c>
      <c r="K79" s="100">
        <v>53.74</v>
      </c>
      <c r="L79" s="100">
        <v>30.86</v>
      </c>
      <c r="M79" s="100">
        <v>23.46</v>
      </c>
      <c r="N79" s="100">
        <v>8.6</v>
      </c>
      <c r="O79" s="100">
        <v>0</v>
      </c>
      <c r="P79" s="100">
        <v>0.43</v>
      </c>
      <c r="Q79" s="100">
        <v>11.25</v>
      </c>
      <c r="R79" s="6"/>
      <c r="S79" s="6"/>
      <c r="T79" s="156"/>
      <c r="U79" s="6"/>
    </row>
    <row r="80" spans="1:21" customFormat="1">
      <c r="A80" s="163" t="s">
        <v>1942</v>
      </c>
      <c r="B80" s="100">
        <v>5.58</v>
      </c>
      <c r="C80" s="100">
        <v>24.54</v>
      </c>
      <c r="D80" s="100">
        <v>18.64</v>
      </c>
      <c r="E80" s="100">
        <v>10.58</v>
      </c>
      <c r="F80" s="152" t="s">
        <v>15</v>
      </c>
      <c r="G80" s="100">
        <v>43.4</v>
      </c>
      <c r="H80" s="100">
        <v>27.43</v>
      </c>
      <c r="I80" s="100">
        <v>6.33</v>
      </c>
      <c r="J80" s="100">
        <v>0.88</v>
      </c>
      <c r="K80" s="100">
        <v>56.67</v>
      </c>
      <c r="L80" s="100">
        <v>30.37</v>
      </c>
      <c r="M80" s="100">
        <v>24.19</v>
      </c>
      <c r="N80" s="100">
        <v>3.9</v>
      </c>
      <c r="O80" s="100">
        <v>0</v>
      </c>
      <c r="P80" s="100">
        <v>0.45</v>
      </c>
      <c r="Q80" s="100">
        <v>11.25</v>
      </c>
      <c r="R80" s="6"/>
      <c r="S80" s="6"/>
      <c r="T80" s="156"/>
      <c r="U80" s="6"/>
    </row>
    <row r="81" spans="1:21" customFormat="1">
      <c r="A81" s="163" t="s">
        <v>1943</v>
      </c>
      <c r="B81" s="100">
        <v>6.6</v>
      </c>
      <c r="C81" s="100">
        <v>25.51</v>
      </c>
      <c r="D81" s="100">
        <v>19.97</v>
      </c>
      <c r="E81" s="100">
        <v>8.2799999999999994</v>
      </c>
      <c r="F81" s="152" t="s">
        <v>15</v>
      </c>
      <c r="G81" s="100">
        <v>43.4</v>
      </c>
      <c r="H81" s="100">
        <v>27.43</v>
      </c>
      <c r="I81" s="100">
        <v>6.37</v>
      </c>
      <c r="J81" s="100">
        <v>0.53</v>
      </c>
      <c r="K81" s="100">
        <v>50.83</v>
      </c>
      <c r="L81" s="100">
        <v>29.82</v>
      </c>
      <c r="M81" s="100">
        <v>25.42</v>
      </c>
      <c r="N81" s="100">
        <v>1.9</v>
      </c>
      <c r="O81" s="100">
        <v>0</v>
      </c>
      <c r="P81" s="100">
        <v>0.47</v>
      </c>
      <c r="Q81" s="100">
        <v>11.25</v>
      </c>
      <c r="R81" s="6"/>
      <c r="S81" s="6"/>
      <c r="T81" s="156"/>
      <c r="U81" s="6"/>
    </row>
    <row r="82" spans="1:21" customFormat="1">
      <c r="A82" s="163" t="s">
        <v>1944</v>
      </c>
      <c r="B82" s="100">
        <v>7.25</v>
      </c>
      <c r="C82" s="100">
        <v>26.17</v>
      </c>
      <c r="D82" s="100">
        <v>20.84</v>
      </c>
      <c r="E82" s="100">
        <v>9.5500000000000007</v>
      </c>
      <c r="F82" s="152" t="s">
        <v>15</v>
      </c>
      <c r="G82" s="100">
        <v>46.14</v>
      </c>
      <c r="H82" s="100">
        <v>26.75</v>
      </c>
      <c r="I82" s="100">
        <v>6.47</v>
      </c>
      <c r="J82" s="100">
        <v>0.61</v>
      </c>
      <c r="K82" s="100">
        <v>65.069999999999993</v>
      </c>
      <c r="L82" s="100">
        <v>29.3</v>
      </c>
      <c r="M82" s="100">
        <v>26.98</v>
      </c>
      <c r="N82" s="100">
        <v>1.4</v>
      </c>
      <c r="O82" s="100">
        <v>0</v>
      </c>
      <c r="P82" s="100">
        <v>0.5</v>
      </c>
      <c r="Q82" s="100">
        <v>11.25</v>
      </c>
      <c r="R82" s="6"/>
      <c r="S82" s="6"/>
      <c r="T82" s="156"/>
      <c r="U82" s="6"/>
    </row>
    <row r="83" spans="1:21" customFormat="1">
      <c r="A83" s="163" t="s">
        <v>1945</v>
      </c>
      <c r="B83" s="100">
        <v>7.7</v>
      </c>
      <c r="C83" s="100">
        <v>26.54</v>
      </c>
      <c r="D83" s="100">
        <v>21.39</v>
      </c>
      <c r="E83" s="100">
        <v>9.61</v>
      </c>
      <c r="F83" s="152" t="s">
        <v>15</v>
      </c>
      <c r="G83" s="100">
        <v>47.13</v>
      </c>
      <c r="H83" s="100">
        <v>26.74</v>
      </c>
      <c r="I83" s="100">
        <v>6.56</v>
      </c>
      <c r="J83" s="100">
        <v>0.24</v>
      </c>
      <c r="K83" s="100">
        <v>113.13</v>
      </c>
      <c r="L83" s="100">
        <v>28.32</v>
      </c>
      <c r="M83" s="100">
        <v>34.76</v>
      </c>
      <c r="N83" s="100">
        <v>2</v>
      </c>
      <c r="O83" s="100">
        <v>0</v>
      </c>
      <c r="P83" s="100">
        <v>0.51</v>
      </c>
      <c r="Q83" s="100">
        <v>11.25</v>
      </c>
      <c r="R83" s="6"/>
      <c r="S83" s="6"/>
      <c r="T83" s="156"/>
      <c r="U83" s="6"/>
    </row>
    <row r="84" spans="1:21" customFormat="1">
      <c r="A84" s="163" t="s">
        <v>1946</v>
      </c>
      <c r="B84" s="100">
        <v>7.83</v>
      </c>
      <c r="C84" s="100">
        <v>26.44</v>
      </c>
      <c r="D84" s="100">
        <v>21.45</v>
      </c>
      <c r="E84" s="100">
        <v>9.0500000000000007</v>
      </c>
      <c r="F84" s="152" t="s">
        <v>15</v>
      </c>
      <c r="G84" s="100">
        <v>47.13</v>
      </c>
      <c r="H84" s="100">
        <v>26.74</v>
      </c>
      <c r="I84" s="100">
        <v>6.72</v>
      </c>
      <c r="J84" s="100">
        <v>0.37</v>
      </c>
      <c r="K84" s="100">
        <v>163.74</v>
      </c>
      <c r="L84" s="100">
        <v>26.99</v>
      </c>
      <c r="M84" s="100">
        <v>43.09</v>
      </c>
      <c r="N84" s="100">
        <v>2.1</v>
      </c>
      <c r="O84" s="100">
        <v>0</v>
      </c>
      <c r="P84" s="100">
        <v>0.5</v>
      </c>
      <c r="Q84" s="100">
        <v>11.25</v>
      </c>
      <c r="R84" s="6"/>
      <c r="S84" s="6"/>
      <c r="T84" s="156"/>
      <c r="U84" s="6"/>
    </row>
    <row r="85" spans="1:21" customFormat="1">
      <c r="A85" s="163" t="s">
        <v>1947</v>
      </c>
      <c r="B85" s="100">
        <v>7.79</v>
      </c>
      <c r="C85" s="100">
        <v>26.19</v>
      </c>
      <c r="D85" s="100">
        <v>21.29</v>
      </c>
      <c r="E85" s="100">
        <v>8.9600000000000009</v>
      </c>
      <c r="F85" s="152" t="s">
        <v>15</v>
      </c>
      <c r="G85" s="100">
        <v>47.13</v>
      </c>
      <c r="H85" s="100">
        <v>26.74</v>
      </c>
      <c r="I85" s="100">
        <v>6.85</v>
      </c>
      <c r="J85" s="100">
        <v>0.24</v>
      </c>
      <c r="K85" s="100">
        <v>190.97</v>
      </c>
      <c r="L85" s="100">
        <v>26</v>
      </c>
      <c r="M85" s="100">
        <v>45.18</v>
      </c>
      <c r="N85" s="100">
        <v>2</v>
      </c>
      <c r="O85" s="100">
        <v>0</v>
      </c>
      <c r="P85" s="100">
        <v>0.51</v>
      </c>
      <c r="Q85" s="100">
        <v>11.25</v>
      </c>
      <c r="R85" s="6"/>
      <c r="S85" s="6"/>
      <c r="T85" s="156"/>
      <c r="U85" s="6"/>
    </row>
    <row r="86" spans="1:21" customFormat="1">
      <c r="A86" s="163" t="s">
        <v>1948</v>
      </c>
      <c r="B86" s="100">
        <v>8</v>
      </c>
      <c r="C86" s="100">
        <v>25.81</v>
      </c>
      <c r="D86" s="100">
        <v>21.25</v>
      </c>
      <c r="E86" s="100">
        <v>8.75</v>
      </c>
      <c r="F86" s="152" t="s">
        <v>15</v>
      </c>
      <c r="G86" s="100">
        <v>58.72</v>
      </c>
      <c r="H86" s="100">
        <v>26.34</v>
      </c>
      <c r="I86" s="100">
        <v>6.96</v>
      </c>
      <c r="J86" s="100">
        <v>0.2</v>
      </c>
      <c r="K86" s="100">
        <v>187.46</v>
      </c>
      <c r="L86" s="100">
        <v>25.07</v>
      </c>
      <c r="M86" s="100">
        <v>46</v>
      </c>
      <c r="N86" s="100">
        <v>1.7</v>
      </c>
      <c r="O86" s="100">
        <v>0</v>
      </c>
      <c r="P86" s="100">
        <v>0.52</v>
      </c>
      <c r="Q86" s="100">
        <v>11.25</v>
      </c>
      <c r="R86" s="6"/>
      <c r="S86" s="6"/>
      <c r="T86" s="156"/>
      <c r="U86" s="6"/>
    </row>
    <row r="87" spans="1:21" customFormat="1">
      <c r="A87" s="163" t="s">
        <v>1949</v>
      </c>
      <c r="B87" s="100">
        <v>7.86</v>
      </c>
      <c r="C87" s="100">
        <v>25.81</v>
      </c>
      <c r="D87" s="100">
        <v>21.14</v>
      </c>
      <c r="E87" s="100">
        <v>9.24</v>
      </c>
      <c r="F87" s="152" t="s">
        <v>15</v>
      </c>
      <c r="G87" s="100">
        <v>62.93</v>
      </c>
      <c r="H87" s="100">
        <v>26.33</v>
      </c>
      <c r="I87" s="100">
        <v>7.14</v>
      </c>
      <c r="J87" s="100">
        <v>0.19</v>
      </c>
      <c r="K87" s="100">
        <v>187.7</v>
      </c>
      <c r="L87" s="100">
        <v>24.76</v>
      </c>
      <c r="M87" s="100">
        <v>45.8</v>
      </c>
      <c r="N87" s="100">
        <v>1.3</v>
      </c>
      <c r="O87" s="100">
        <v>0</v>
      </c>
      <c r="P87" s="100">
        <v>0.54</v>
      </c>
      <c r="Q87" s="100">
        <v>11.25</v>
      </c>
      <c r="R87" s="6"/>
      <c r="S87" s="6"/>
      <c r="T87" s="156"/>
      <c r="U87" s="6"/>
    </row>
    <row r="88" spans="1:21" customFormat="1">
      <c r="A88" s="163" t="s">
        <v>1950</v>
      </c>
      <c r="B88" s="100">
        <v>7.75</v>
      </c>
      <c r="C88" s="100">
        <v>25.75</v>
      </c>
      <c r="D88" s="100">
        <v>21.02</v>
      </c>
      <c r="E88" s="100">
        <v>9.57</v>
      </c>
      <c r="F88" s="152" t="s">
        <v>15</v>
      </c>
      <c r="G88" s="100">
        <v>62.93</v>
      </c>
      <c r="H88" s="100">
        <v>26.33</v>
      </c>
      <c r="I88" s="100">
        <v>7.36</v>
      </c>
      <c r="J88" s="100">
        <v>0.25</v>
      </c>
      <c r="K88" s="100">
        <v>162.57</v>
      </c>
      <c r="L88" s="100">
        <v>24.57</v>
      </c>
      <c r="M88" s="100">
        <v>48.15</v>
      </c>
      <c r="N88" s="100">
        <v>1.2</v>
      </c>
      <c r="O88" s="100">
        <v>0</v>
      </c>
      <c r="P88" s="100">
        <v>0.56999999999999995</v>
      </c>
      <c r="Q88" s="100">
        <v>11.25</v>
      </c>
      <c r="R88" s="6"/>
      <c r="S88" s="6"/>
      <c r="T88" s="156"/>
      <c r="U88" s="6"/>
    </row>
    <row r="89" spans="1:21" customFormat="1">
      <c r="A89" s="163" t="s">
        <v>1951</v>
      </c>
      <c r="B89" s="100">
        <v>8.0399999999999991</v>
      </c>
      <c r="C89" s="100">
        <v>25.67</v>
      </c>
      <c r="D89" s="100">
        <v>21.21</v>
      </c>
      <c r="E89" s="100">
        <v>9.16</v>
      </c>
      <c r="F89" s="152" t="s">
        <v>15</v>
      </c>
      <c r="G89" s="100">
        <v>62.93</v>
      </c>
      <c r="H89" s="100">
        <v>26.33</v>
      </c>
      <c r="I89" s="100">
        <v>7.57</v>
      </c>
      <c r="J89" s="100">
        <v>0.23</v>
      </c>
      <c r="K89" s="100">
        <v>169.53</v>
      </c>
      <c r="L89" s="100">
        <v>23.99</v>
      </c>
      <c r="M89" s="100">
        <v>53.98</v>
      </c>
      <c r="N89" s="100">
        <v>1.4</v>
      </c>
      <c r="O89" s="100">
        <v>0</v>
      </c>
      <c r="P89" s="100">
        <v>0.62</v>
      </c>
      <c r="Q89" s="100">
        <v>11.25</v>
      </c>
      <c r="R89" s="6"/>
      <c r="S89" s="6"/>
      <c r="T89" s="156"/>
      <c r="U89" s="6"/>
    </row>
    <row r="90" spans="1:21" customFormat="1">
      <c r="A90" s="163" t="s">
        <v>1952</v>
      </c>
      <c r="B90" s="100">
        <v>8.41</v>
      </c>
      <c r="C90" s="100">
        <v>25.25</v>
      </c>
      <c r="D90" s="100">
        <v>21.28</v>
      </c>
      <c r="E90" s="100">
        <v>8.75</v>
      </c>
      <c r="F90" s="152" t="s">
        <v>15</v>
      </c>
      <c r="G90" s="100">
        <v>67.930000000000007</v>
      </c>
      <c r="H90" s="100">
        <v>23.4</v>
      </c>
      <c r="I90" s="100">
        <v>7.72</v>
      </c>
      <c r="J90" s="100">
        <v>0.18</v>
      </c>
      <c r="K90" s="100">
        <v>168.41</v>
      </c>
      <c r="L90" s="100">
        <v>23.6</v>
      </c>
      <c r="M90" s="100">
        <v>49.59</v>
      </c>
      <c r="N90" s="100">
        <v>1.1000000000000001</v>
      </c>
      <c r="O90" s="100">
        <v>0</v>
      </c>
      <c r="P90" s="100">
        <v>0.65</v>
      </c>
      <c r="Q90" s="100">
        <v>11.25</v>
      </c>
      <c r="R90" s="6"/>
      <c r="S90" s="6"/>
      <c r="T90" s="156"/>
      <c r="U90" s="6"/>
    </row>
    <row r="91" spans="1:21" customFormat="1">
      <c r="A91" s="163" t="s">
        <v>1953</v>
      </c>
      <c r="B91" s="100">
        <v>8.82</v>
      </c>
      <c r="C91" s="100">
        <v>24.75</v>
      </c>
      <c r="D91" s="100">
        <v>21.36</v>
      </c>
      <c r="E91" s="100">
        <v>8.5500000000000007</v>
      </c>
      <c r="F91" s="152" t="s">
        <v>15</v>
      </c>
      <c r="G91" s="100">
        <v>69.739999999999995</v>
      </c>
      <c r="H91" s="100">
        <v>23.36</v>
      </c>
      <c r="I91" s="100">
        <v>7.86</v>
      </c>
      <c r="J91" s="100">
        <v>0.23</v>
      </c>
      <c r="K91" s="100">
        <v>185.79</v>
      </c>
      <c r="L91" s="100">
        <v>23.29</v>
      </c>
      <c r="M91" s="100">
        <v>53.94</v>
      </c>
      <c r="N91" s="100">
        <v>1.4</v>
      </c>
      <c r="O91" s="100">
        <v>0</v>
      </c>
      <c r="P91" s="100">
        <v>0.65</v>
      </c>
      <c r="Q91" s="100">
        <v>11.25</v>
      </c>
      <c r="R91" s="6"/>
      <c r="S91" s="6"/>
      <c r="T91" s="156"/>
      <c r="U91" s="6"/>
    </row>
    <row r="92" spans="1:21" customFormat="1">
      <c r="A92" s="163" t="s">
        <v>1954</v>
      </c>
      <c r="B92" s="100">
        <v>9.24</v>
      </c>
      <c r="C92" s="100">
        <v>24.17</v>
      </c>
      <c r="D92" s="100">
        <v>21.39</v>
      </c>
      <c r="E92" s="100">
        <v>8.81</v>
      </c>
      <c r="F92" s="152" t="s">
        <v>15</v>
      </c>
      <c r="G92" s="100">
        <v>69.739999999999995</v>
      </c>
      <c r="H92" s="100">
        <v>23.36</v>
      </c>
      <c r="I92" s="100">
        <v>7.99</v>
      </c>
      <c r="J92" s="100">
        <v>0.2</v>
      </c>
      <c r="K92" s="100">
        <v>199.96</v>
      </c>
      <c r="L92" s="100">
        <v>22.83</v>
      </c>
      <c r="M92" s="100">
        <v>54.31</v>
      </c>
      <c r="N92" s="100">
        <v>1.3</v>
      </c>
      <c r="O92" s="100">
        <v>0</v>
      </c>
      <c r="P92" s="100">
        <v>0.66</v>
      </c>
      <c r="Q92" s="100">
        <v>11.25</v>
      </c>
      <c r="R92" s="6"/>
      <c r="S92" s="6"/>
      <c r="T92" s="156"/>
      <c r="U92" s="6"/>
    </row>
    <row r="93" spans="1:21" customFormat="1">
      <c r="A93" s="163" t="s">
        <v>1955</v>
      </c>
      <c r="B93" s="100">
        <v>9.57</v>
      </c>
      <c r="C93" s="100">
        <v>23.56</v>
      </c>
      <c r="D93" s="100">
        <v>21.34</v>
      </c>
      <c r="E93" s="100">
        <v>9.1300000000000008</v>
      </c>
      <c r="F93" s="152" t="s">
        <v>15</v>
      </c>
      <c r="G93" s="100">
        <v>69.739999999999995</v>
      </c>
      <c r="H93" s="100">
        <v>23.36</v>
      </c>
      <c r="I93" s="100">
        <v>8.08</v>
      </c>
      <c r="J93" s="100">
        <v>0.14000000000000001</v>
      </c>
      <c r="K93" s="100">
        <v>167.69</v>
      </c>
      <c r="L93" s="100">
        <v>22.57</v>
      </c>
      <c r="M93" s="100">
        <v>56.46</v>
      </c>
      <c r="N93" s="100">
        <v>1.2</v>
      </c>
      <c r="O93" s="100">
        <v>0</v>
      </c>
      <c r="P93" s="100">
        <v>0.67</v>
      </c>
      <c r="Q93" s="100">
        <v>11.25</v>
      </c>
      <c r="R93" s="6"/>
      <c r="S93" s="6"/>
      <c r="T93" s="156"/>
      <c r="U93" s="6"/>
    </row>
    <row r="94" spans="1:21" customFormat="1">
      <c r="A94" s="163" t="s">
        <v>1956</v>
      </c>
      <c r="B94" s="100">
        <v>9.91</v>
      </c>
      <c r="C94" s="100">
        <v>23.1</v>
      </c>
      <c r="D94" s="100">
        <v>21.37</v>
      </c>
      <c r="E94" s="100">
        <v>8.8800000000000008</v>
      </c>
      <c r="F94" s="152" t="s">
        <v>15</v>
      </c>
      <c r="G94" s="100">
        <v>69.239999999999995</v>
      </c>
      <c r="H94" s="100">
        <v>20.5</v>
      </c>
      <c r="I94" s="100">
        <v>8.1300000000000008</v>
      </c>
      <c r="J94" s="100">
        <v>0.2</v>
      </c>
      <c r="K94" s="100">
        <v>175.23</v>
      </c>
      <c r="L94" s="100">
        <v>22.56</v>
      </c>
      <c r="M94" s="100">
        <v>54.66</v>
      </c>
      <c r="N94" s="100">
        <v>1</v>
      </c>
      <c r="O94" s="100">
        <v>0</v>
      </c>
      <c r="P94" s="100">
        <v>0.67</v>
      </c>
      <c r="Q94" s="100">
        <v>11.25</v>
      </c>
      <c r="R94" s="6"/>
      <c r="S94" s="6"/>
      <c r="T94" s="156"/>
      <c r="U94" s="6"/>
    </row>
    <row r="95" spans="1:21" customFormat="1">
      <c r="A95" s="163" t="s">
        <v>1957</v>
      </c>
      <c r="B95" s="100">
        <v>10.14</v>
      </c>
      <c r="C95" s="100">
        <v>22.68</v>
      </c>
      <c r="D95" s="100">
        <v>21.34</v>
      </c>
      <c r="E95" s="100">
        <v>8.61</v>
      </c>
      <c r="F95" s="152" t="s">
        <v>15</v>
      </c>
      <c r="G95" s="100">
        <v>69.05</v>
      </c>
      <c r="H95" s="100">
        <v>20.43</v>
      </c>
      <c r="I95" s="100">
        <v>8.2200000000000006</v>
      </c>
      <c r="J95" s="100">
        <v>0.15</v>
      </c>
      <c r="K95" s="100">
        <v>177.51</v>
      </c>
      <c r="L95" s="100">
        <v>22.33</v>
      </c>
      <c r="M95" s="100">
        <v>55.06</v>
      </c>
      <c r="N95" s="100">
        <v>1.1000000000000001</v>
      </c>
      <c r="O95" s="100">
        <v>0</v>
      </c>
      <c r="P95" s="100">
        <v>0.68</v>
      </c>
      <c r="Q95" s="100">
        <v>11.25</v>
      </c>
      <c r="R95" s="6"/>
      <c r="S95" s="6"/>
      <c r="T95" s="156"/>
      <c r="U95" s="6"/>
    </row>
    <row r="96" spans="1:21" customFormat="1">
      <c r="A96" s="163" t="s">
        <v>1958</v>
      </c>
      <c r="B96" s="100">
        <v>10.4</v>
      </c>
      <c r="C96" s="100">
        <v>22.41</v>
      </c>
      <c r="D96" s="100">
        <v>21.39</v>
      </c>
      <c r="E96" s="100">
        <v>8.89</v>
      </c>
      <c r="F96" s="152" t="s">
        <v>15</v>
      </c>
      <c r="G96" s="100">
        <v>69.05</v>
      </c>
      <c r="H96" s="100">
        <v>20.43</v>
      </c>
      <c r="I96" s="100">
        <v>8.33</v>
      </c>
      <c r="J96" s="100">
        <v>0.17</v>
      </c>
      <c r="K96" s="100">
        <v>192.97</v>
      </c>
      <c r="L96" s="100">
        <v>22.18</v>
      </c>
      <c r="M96" s="100">
        <v>56.2</v>
      </c>
      <c r="N96" s="100">
        <v>1.1000000000000001</v>
      </c>
      <c r="O96" s="100">
        <v>0</v>
      </c>
      <c r="P96" s="100">
        <v>0.68</v>
      </c>
      <c r="Q96" s="100">
        <v>11.25</v>
      </c>
      <c r="R96" s="6"/>
      <c r="S96" s="6"/>
      <c r="T96" s="156"/>
      <c r="U96" s="6"/>
    </row>
    <row r="97" spans="1:28" customFormat="1">
      <c r="A97" s="163" t="s">
        <v>1959</v>
      </c>
      <c r="B97" s="100">
        <v>10.59</v>
      </c>
      <c r="C97" s="100">
        <v>22.22</v>
      </c>
      <c r="D97" s="100">
        <v>21.45</v>
      </c>
      <c r="E97" s="100">
        <v>8.9600000000000009</v>
      </c>
      <c r="F97" s="152" t="s">
        <v>15</v>
      </c>
      <c r="G97" s="100">
        <v>69.05</v>
      </c>
      <c r="H97" s="100">
        <v>20.43</v>
      </c>
      <c r="I97" s="100">
        <v>8.43</v>
      </c>
      <c r="J97" s="100">
        <v>0.18</v>
      </c>
      <c r="K97" s="100">
        <v>171.44</v>
      </c>
      <c r="L97" s="100">
        <v>21.96</v>
      </c>
      <c r="M97" s="100">
        <v>57.73</v>
      </c>
      <c r="N97" s="100">
        <v>1.1000000000000001</v>
      </c>
      <c r="O97" s="100">
        <v>0</v>
      </c>
      <c r="P97" s="100">
        <v>0.69</v>
      </c>
      <c r="Q97" s="100">
        <v>11.25</v>
      </c>
      <c r="R97" s="6"/>
      <c r="S97" s="6"/>
      <c r="T97" s="156"/>
      <c r="U97" s="6"/>
    </row>
    <row r="98" spans="1:28" customFormat="1">
      <c r="A98" s="163" t="s">
        <v>1960</v>
      </c>
      <c r="B98" s="100">
        <v>10.77</v>
      </c>
      <c r="C98" s="100">
        <v>21.89</v>
      </c>
      <c r="D98" s="100">
        <v>21.43</v>
      </c>
      <c r="E98" s="100">
        <v>8.51</v>
      </c>
      <c r="F98" s="152" t="s">
        <v>15</v>
      </c>
      <c r="G98" s="100">
        <v>70.319999999999993</v>
      </c>
      <c r="H98" s="100">
        <v>19.920000000000002</v>
      </c>
      <c r="I98" s="100">
        <v>8.52</v>
      </c>
      <c r="J98" s="100">
        <v>0.22</v>
      </c>
      <c r="K98" s="100">
        <v>162.22999999999999</v>
      </c>
      <c r="L98" s="100">
        <v>21.85</v>
      </c>
      <c r="M98" s="100">
        <v>59.16</v>
      </c>
      <c r="N98" s="100">
        <v>1</v>
      </c>
      <c r="O98" s="100">
        <v>0</v>
      </c>
      <c r="P98" s="100">
        <v>0.7</v>
      </c>
      <c r="Q98" s="100">
        <v>11.25</v>
      </c>
      <c r="R98" s="6"/>
      <c r="S98" s="6"/>
      <c r="T98" s="156"/>
      <c r="U98" s="6"/>
    </row>
    <row r="99" spans="1:28" customFormat="1">
      <c r="A99" s="163" t="s">
        <v>1961</v>
      </c>
      <c r="B99" s="100">
        <v>10.92</v>
      </c>
      <c r="C99" s="100">
        <v>21.57</v>
      </c>
      <c r="D99" s="100">
        <v>21.38</v>
      </c>
      <c r="E99" s="100">
        <v>9.0500000000000007</v>
      </c>
      <c r="F99" s="152" t="s">
        <v>15</v>
      </c>
      <c r="G99" s="100">
        <v>70.78</v>
      </c>
      <c r="H99" s="100">
        <v>19.91</v>
      </c>
      <c r="I99" s="100">
        <v>8.6</v>
      </c>
      <c r="J99" s="100">
        <v>0.16</v>
      </c>
      <c r="K99" s="100">
        <v>165.78</v>
      </c>
      <c r="L99" s="100">
        <v>21.74</v>
      </c>
      <c r="M99" s="100">
        <v>59.8</v>
      </c>
      <c r="N99" s="100">
        <v>1.1000000000000001</v>
      </c>
      <c r="O99" s="100">
        <v>0</v>
      </c>
      <c r="P99" s="100">
        <v>0.7</v>
      </c>
      <c r="Q99" s="100">
        <v>11.25</v>
      </c>
      <c r="R99" s="6"/>
      <c r="S99" s="6"/>
      <c r="T99" s="156"/>
      <c r="U99" s="6"/>
    </row>
    <row r="100" spans="1:28" customFormat="1">
      <c r="A100" s="163" t="s">
        <v>1962</v>
      </c>
      <c r="B100" s="100">
        <v>11.02</v>
      </c>
      <c r="C100" s="100">
        <v>21.27</v>
      </c>
      <c r="D100" s="100">
        <v>21.3</v>
      </c>
      <c r="E100" s="100">
        <v>9.1</v>
      </c>
      <c r="F100" s="152" t="s">
        <v>15</v>
      </c>
      <c r="G100" s="100">
        <v>70.78</v>
      </c>
      <c r="H100" s="100">
        <v>19.91</v>
      </c>
      <c r="I100" s="100">
        <v>8.66</v>
      </c>
      <c r="J100" s="100">
        <v>0.18</v>
      </c>
      <c r="K100" s="100">
        <v>162.80000000000001</v>
      </c>
      <c r="L100" s="100">
        <v>21.66</v>
      </c>
      <c r="M100" s="100">
        <v>59.19</v>
      </c>
      <c r="N100" s="100">
        <v>1</v>
      </c>
      <c r="O100" s="100">
        <v>0</v>
      </c>
      <c r="P100" s="100">
        <v>0.7</v>
      </c>
      <c r="Q100" s="100">
        <v>11.25</v>
      </c>
      <c r="R100" s="6"/>
      <c r="S100" s="6"/>
      <c r="T100" s="156"/>
      <c r="U100" s="6"/>
      <c r="AB100" s="161"/>
    </row>
    <row r="101" spans="1:28" customFormat="1">
      <c r="A101" s="163" t="s">
        <v>1963</v>
      </c>
      <c r="B101" s="100">
        <v>11.05</v>
      </c>
      <c r="C101" s="100">
        <v>21.18</v>
      </c>
      <c r="D101" s="100">
        <v>21.27</v>
      </c>
      <c r="E101" s="100">
        <v>9.51</v>
      </c>
      <c r="F101" s="152" t="s">
        <v>15</v>
      </c>
      <c r="G101" s="100">
        <v>70.78</v>
      </c>
      <c r="H101" s="100">
        <v>19.91</v>
      </c>
      <c r="I101" s="100">
        <v>8.69</v>
      </c>
      <c r="J101" s="100">
        <v>0.21</v>
      </c>
      <c r="K101" s="100">
        <v>184.38</v>
      </c>
      <c r="L101" s="100">
        <v>21.41</v>
      </c>
      <c r="M101" s="100">
        <v>59.4</v>
      </c>
      <c r="N101" s="100">
        <v>1.2</v>
      </c>
      <c r="O101" s="100">
        <v>0</v>
      </c>
      <c r="P101" s="100">
        <v>0.71</v>
      </c>
      <c r="Q101" s="100">
        <v>11.25</v>
      </c>
      <c r="R101" s="6"/>
      <c r="S101" s="6"/>
      <c r="T101" s="156"/>
      <c r="U101" s="6"/>
    </row>
    <row r="102" spans="1:28" customFormat="1">
      <c r="A102" s="163" t="s">
        <v>1964</v>
      </c>
      <c r="B102" s="100">
        <v>11.02</v>
      </c>
      <c r="C102" s="100">
        <v>21.27</v>
      </c>
      <c r="D102" s="100">
        <v>21.31</v>
      </c>
      <c r="E102" s="100">
        <v>9.83</v>
      </c>
      <c r="F102" s="152" t="s">
        <v>15</v>
      </c>
      <c r="G102" s="100">
        <v>69.53</v>
      </c>
      <c r="H102" s="100">
        <v>17.45</v>
      </c>
      <c r="I102" s="100">
        <v>8.69</v>
      </c>
      <c r="J102" s="100">
        <v>0.17</v>
      </c>
      <c r="K102" s="100">
        <v>198.44</v>
      </c>
      <c r="L102" s="100">
        <v>20.85</v>
      </c>
      <c r="M102" s="100">
        <v>61.18</v>
      </c>
      <c r="N102" s="100">
        <v>1.4</v>
      </c>
      <c r="O102" s="100">
        <v>0</v>
      </c>
      <c r="P102" s="100">
        <v>0.71</v>
      </c>
      <c r="Q102" s="100">
        <v>11.25</v>
      </c>
      <c r="R102" s="6"/>
      <c r="S102" s="6"/>
      <c r="T102" s="156"/>
      <c r="U102" s="6"/>
    </row>
    <row r="103" spans="1:28" customFormat="1">
      <c r="A103" s="163" t="s">
        <v>1965</v>
      </c>
      <c r="B103" s="100">
        <v>11.26</v>
      </c>
      <c r="C103" s="100">
        <v>21.12</v>
      </c>
      <c r="D103" s="100">
        <v>21.41</v>
      </c>
      <c r="E103" s="100">
        <v>9.34</v>
      </c>
      <c r="F103" s="152" t="s">
        <v>15</v>
      </c>
      <c r="G103" s="100">
        <v>69.069999999999993</v>
      </c>
      <c r="H103" s="100">
        <v>17.420000000000002</v>
      </c>
      <c r="I103" s="100">
        <v>8.69</v>
      </c>
      <c r="J103" s="100">
        <v>0.17</v>
      </c>
      <c r="K103" s="100">
        <v>178.08</v>
      </c>
      <c r="L103" s="100">
        <v>20.78</v>
      </c>
      <c r="M103" s="100">
        <v>61.83</v>
      </c>
      <c r="N103" s="100">
        <v>1.2</v>
      </c>
      <c r="O103" s="100">
        <v>0</v>
      </c>
      <c r="P103" s="100">
        <v>0.72</v>
      </c>
      <c r="Q103" s="100">
        <v>11.25</v>
      </c>
      <c r="R103" s="6"/>
      <c r="S103" s="6"/>
      <c r="T103" s="156"/>
      <c r="U103" s="6"/>
    </row>
    <row r="104" spans="1:28" customFormat="1">
      <c r="A104" s="163" t="s">
        <v>1966</v>
      </c>
      <c r="B104" s="100">
        <v>11.55</v>
      </c>
      <c r="C104" s="100">
        <v>21.12</v>
      </c>
      <c r="D104" s="100">
        <v>21.65</v>
      </c>
      <c r="E104" s="100">
        <v>9.15</v>
      </c>
      <c r="F104" s="152" t="s">
        <v>15</v>
      </c>
      <c r="G104" s="100">
        <v>69.069999999999993</v>
      </c>
      <c r="H104" s="100">
        <v>17.420000000000002</v>
      </c>
      <c r="I104" s="100">
        <v>8.74</v>
      </c>
      <c r="J104" s="100">
        <v>0.13</v>
      </c>
      <c r="K104" s="100">
        <v>185.21</v>
      </c>
      <c r="L104" s="100">
        <v>20.79</v>
      </c>
      <c r="M104" s="100">
        <v>61.25</v>
      </c>
      <c r="N104" s="100">
        <v>1</v>
      </c>
      <c r="O104" s="100">
        <v>0</v>
      </c>
      <c r="P104" s="100">
        <v>0.74</v>
      </c>
      <c r="Q104" s="100">
        <v>11.25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3.92</v>
      </c>
      <c r="C106" s="158">
        <f>MIN(C9:C104)</f>
        <v>19.05</v>
      </c>
      <c r="D106" s="158">
        <f t="shared" ref="D106:Q106" si="0">MIN(D9:D104)</f>
        <v>15.27</v>
      </c>
      <c r="E106" s="158">
        <f t="shared" si="0"/>
        <v>8.0399999999999991</v>
      </c>
      <c r="F106" s="158">
        <f t="shared" si="0"/>
        <v>0</v>
      </c>
      <c r="G106" s="158">
        <f t="shared" si="0"/>
        <v>42.09</v>
      </c>
      <c r="H106" s="158">
        <f t="shared" si="0"/>
        <v>14.27</v>
      </c>
      <c r="I106" s="158">
        <f t="shared" si="0"/>
        <v>6.3</v>
      </c>
      <c r="J106" s="158">
        <f t="shared" si="0"/>
        <v>0.06</v>
      </c>
      <c r="K106" s="158">
        <f t="shared" si="0"/>
        <v>1.28</v>
      </c>
      <c r="L106" s="158">
        <f t="shared" si="0"/>
        <v>16.489999999999998</v>
      </c>
      <c r="M106" s="158">
        <f t="shared" si="0"/>
        <v>16.95</v>
      </c>
      <c r="N106" s="158">
        <f t="shared" si="0"/>
        <v>0.8</v>
      </c>
      <c r="O106" s="158">
        <f t="shared" si="0"/>
        <v>0</v>
      </c>
      <c r="P106" s="158">
        <f t="shared" si="0"/>
        <v>0.4</v>
      </c>
      <c r="Q106" s="158">
        <f t="shared" si="0"/>
        <v>11.25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15.72</v>
      </c>
      <c r="C107" s="157">
        <f t="shared" ref="C107:Q107" si="1">MAX(C9:C104)</f>
        <v>26.54</v>
      </c>
      <c r="D107" s="157">
        <f t="shared" si="1"/>
        <v>25.16</v>
      </c>
      <c r="E107" s="157">
        <f t="shared" si="1"/>
        <v>19.14</v>
      </c>
      <c r="F107" s="157">
        <f t="shared" si="1"/>
        <v>0</v>
      </c>
      <c r="G107" s="157">
        <f t="shared" si="1"/>
        <v>70.78</v>
      </c>
      <c r="H107" s="157">
        <f t="shared" si="1"/>
        <v>32.81</v>
      </c>
      <c r="I107" s="157">
        <f t="shared" si="1"/>
        <v>11.36</v>
      </c>
      <c r="J107" s="157">
        <f t="shared" si="1"/>
        <v>1.23</v>
      </c>
      <c r="K107" s="157">
        <f t="shared" si="1"/>
        <v>336.72</v>
      </c>
      <c r="L107" s="157">
        <f t="shared" si="1"/>
        <v>34.01</v>
      </c>
      <c r="M107" s="157">
        <f t="shared" si="1"/>
        <v>76.099999999999994</v>
      </c>
      <c r="N107" s="157">
        <f t="shared" si="1"/>
        <v>374.7</v>
      </c>
      <c r="O107" s="157">
        <f t="shared" si="1"/>
        <v>0</v>
      </c>
      <c r="P107" s="157">
        <f t="shared" si="1"/>
        <v>0.97</v>
      </c>
      <c r="Q107" s="157">
        <f t="shared" si="1"/>
        <v>11.25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8.7051041666666649</v>
      </c>
      <c r="C108" s="158">
        <f t="shared" ref="C108:Q108" si="2">AVERAGE(C9:C104)</f>
        <v>21.690312500000005</v>
      </c>
      <c r="D108" s="158">
        <f t="shared" si="2"/>
        <v>19.665104166666673</v>
      </c>
      <c r="E108" s="158">
        <f t="shared" si="2"/>
        <v>10.736145833333332</v>
      </c>
      <c r="F108" s="158" t="e">
        <f t="shared" si="2"/>
        <v>#DIV/0!</v>
      </c>
      <c r="G108" s="158">
        <f t="shared" si="2"/>
        <v>58.975416666666668</v>
      </c>
      <c r="H108" s="158">
        <f t="shared" si="2"/>
        <v>23.313333333333315</v>
      </c>
      <c r="I108" s="158">
        <f t="shared" si="2"/>
        <v>9.4841666666666722</v>
      </c>
      <c r="J108" s="158">
        <f t="shared" si="2"/>
        <v>0.40395833333333342</v>
      </c>
      <c r="K108" s="158">
        <f t="shared" si="2"/>
        <v>162.50354166666668</v>
      </c>
      <c r="L108" s="158">
        <f t="shared" si="2"/>
        <v>24.844062499999989</v>
      </c>
      <c r="M108" s="158">
        <f t="shared" si="2"/>
        <v>45.483645833333327</v>
      </c>
      <c r="N108" s="158">
        <f t="shared" si="2"/>
        <v>93.681250000000034</v>
      </c>
      <c r="O108" s="158">
        <f t="shared" si="2"/>
        <v>0</v>
      </c>
      <c r="P108" s="158">
        <f t="shared" si="2"/>
        <v>0.74979166666666641</v>
      </c>
      <c r="Q108" s="158">
        <f t="shared" si="2"/>
        <v>11.25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3.2147888511465545</v>
      </c>
      <c r="C109" s="158">
        <f t="shared" ref="C109:Q109" si="3">STDEV(C9:C104)</f>
        <v>1.8105093514925865</v>
      </c>
      <c r="D109" s="158">
        <f t="shared" si="3"/>
        <v>2.5940352612104562</v>
      </c>
      <c r="E109" s="158">
        <f t="shared" si="3"/>
        <v>2.1004858434440385</v>
      </c>
      <c r="F109" s="158" t="e">
        <f t="shared" si="3"/>
        <v>#DIV/0!</v>
      </c>
      <c r="G109" s="158">
        <f t="shared" si="3"/>
        <v>9.6169546461790727</v>
      </c>
      <c r="H109" s="158">
        <f t="shared" si="3"/>
        <v>5.3140805347515636</v>
      </c>
      <c r="I109" s="158">
        <f t="shared" si="3"/>
        <v>1.7660271599906014</v>
      </c>
      <c r="J109" s="158">
        <f t="shared" si="3"/>
        <v>0.30001220735397333</v>
      </c>
      <c r="K109" s="158">
        <f t="shared" si="3"/>
        <v>90.568412920308504</v>
      </c>
      <c r="L109" s="158">
        <f t="shared" si="3"/>
        <v>6.1392728144944178</v>
      </c>
      <c r="M109" s="158">
        <f t="shared" si="3"/>
        <v>20.366854244854338</v>
      </c>
      <c r="N109" s="158">
        <f t="shared" si="3"/>
        <v>138.57198191211893</v>
      </c>
      <c r="O109" s="158">
        <f t="shared" si="3"/>
        <v>0</v>
      </c>
      <c r="P109" s="158">
        <f t="shared" si="3"/>
        <v>0.18376174028611908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B9" sqref="B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1967</v>
      </c>
      <c r="B9" s="100">
        <v>12.25</v>
      </c>
      <c r="C9" s="100">
        <v>21.03</v>
      </c>
      <c r="D9" s="100">
        <v>22.16</v>
      </c>
      <c r="E9" s="100">
        <v>9.1999999999999993</v>
      </c>
      <c r="F9" s="152" t="s">
        <v>15</v>
      </c>
      <c r="G9" s="100">
        <v>69.069999999999993</v>
      </c>
      <c r="H9" s="100">
        <v>17.420000000000002</v>
      </c>
      <c r="I9" s="100">
        <v>8.91</v>
      </c>
      <c r="J9" s="100">
        <v>0.17</v>
      </c>
      <c r="K9" s="100">
        <v>176.87</v>
      </c>
      <c r="L9" s="100">
        <v>20.83</v>
      </c>
      <c r="M9" s="100">
        <v>62.17</v>
      </c>
      <c r="N9" s="100">
        <v>1</v>
      </c>
      <c r="O9" s="100">
        <v>0</v>
      </c>
      <c r="P9" s="100">
        <v>0.77</v>
      </c>
      <c r="Q9" s="100">
        <v>14.58</v>
      </c>
      <c r="R9" s="6"/>
      <c r="S9" s="6"/>
      <c r="T9" s="156"/>
      <c r="U9" s="6"/>
    </row>
    <row r="10" spans="1:21" customFormat="1">
      <c r="A10" s="163" t="s">
        <v>1968</v>
      </c>
      <c r="B10" s="100">
        <v>12.36</v>
      </c>
      <c r="C10" s="100">
        <v>21.32</v>
      </c>
      <c r="D10" s="100">
        <v>22.4</v>
      </c>
      <c r="E10" s="100">
        <v>9.35</v>
      </c>
      <c r="F10" s="152" t="s">
        <v>15</v>
      </c>
      <c r="G10" s="100">
        <v>72.23</v>
      </c>
      <c r="H10" s="100">
        <v>21.6</v>
      </c>
      <c r="I10" s="100">
        <v>9.1300000000000008</v>
      </c>
      <c r="J10" s="100">
        <v>0.14000000000000001</v>
      </c>
      <c r="K10" s="100">
        <v>205.45</v>
      </c>
      <c r="L10" s="100">
        <v>20.56</v>
      </c>
      <c r="M10" s="100">
        <v>65.19</v>
      </c>
      <c r="N10" s="100">
        <v>1.1000000000000001</v>
      </c>
      <c r="O10" s="100">
        <v>0</v>
      </c>
      <c r="P10" s="100">
        <v>0.78</v>
      </c>
      <c r="Q10" s="100">
        <v>14.58</v>
      </c>
      <c r="R10" s="6"/>
      <c r="S10" s="6"/>
      <c r="T10" s="156"/>
      <c r="U10" s="6"/>
    </row>
    <row r="11" spans="1:21" customFormat="1">
      <c r="A11" s="163" t="s">
        <v>1969</v>
      </c>
      <c r="B11" s="100">
        <v>12.52</v>
      </c>
      <c r="C11" s="100">
        <v>21.42</v>
      </c>
      <c r="D11" s="100">
        <v>22.58</v>
      </c>
      <c r="E11" s="100">
        <v>9.64</v>
      </c>
      <c r="F11" s="152" t="s">
        <v>15</v>
      </c>
      <c r="G11" s="100">
        <v>73.37</v>
      </c>
      <c r="H11" s="100">
        <v>21.67</v>
      </c>
      <c r="I11" s="100">
        <v>9.33</v>
      </c>
      <c r="J11" s="100">
        <v>0.26</v>
      </c>
      <c r="K11" s="100">
        <v>86.52</v>
      </c>
      <c r="L11" s="100">
        <v>20.57</v>
      </c>
      <c r="M11" s="100">
        <v>62.74</v>
      </c>
      <c r="N11" s="100">
        <v>0.9</v>
      </c>
      <c r="O11" s="100">
        <v>0</v>
      </c>
      <c r="P11" s="100">
        <v>0.77</v>
      </c>
      <c r="Q11" s="100">
        <v>14.58</v>
      </c>
      <c r="R11" s="6"/>
      <c r="S11" s="6"/>
      <c r="T11" s="156"/>
      <c r="U11" s="6"/>
    </row>
    <row r="12" spans="1:21" customFormat="1">
      <c r="A12" s="163" t="s">
        <v>1970</v>
      </c>
      <c r="B12" s="100">
        <v>12.84</v>
      </c>
      <c r="C12" s="100">
        <v>21.69</v>
      </c>
      <c r="D12" s="100">
        <v>22.98</v>
      </c>
      <c r="E12" s="100">
        <v>9.39</v>
      </c>
      <c r="F12" s="152" t="s">
        <v>15</v>
      </c>
      <c r="G12" s="100">
        <v>73.37</v>
      </c>
      <c r="H12" s="100">
        <v>21.67</v>
      </c>
      <c r="I12" s="100">
        <v>9.5</v>
      </c>
      <c r="J12" s="100">
        <v>0.64</v>
      </c>
      <c r="K12" s="100">
        <v>41.06</v>
      </c>
      <c r="L12" s="100">
        <v>21.99</v>
      </c>
      <c r="M12" s="100">
        <v>51.4</v>
      </c>
      <c r="N12" s="100">
        <v>0</v>
      </c>
      <c r="O12" s="100">
        <v>0</v>
      </c>
      <c r="P12" s="100">
        <v>0.73</v>
      </c>
      <c r="Q12" s="100">
        <v>14.58</v>
      </c>
      <c r="R12" s="6"/>
      <c r="S12" s="6"/>
      <c r="T12" s="156"/>
      <c r="U12" s="6"/>
    </row>
    <row r="13" spans="1:21" customFormat="1">
      <c r="A13" s="163" t="s">
        <v>1971</v>
      </c>
      <c r="B13" s="100">
        <v>13.8</v>
      </c>
      <c r="C13" s="100">
        <v>22.41</v>
      </c>
      <c r="D13" s="100">
        <v>24.13</v>
      </c>
      <c r="E13" s="100">
        <v>9.5</v>
      </c>
      <c r="F13" s="152" t="s">
        <v>15</v>
      </c>
      <c r="G13" s="100">
        <v>73.37</v>
      </c>
      <c r="H13" s="100">
        <v>21.67</v>
      </c>
      <c r="I13" s="100">
        <v>9.58</v>
      </c>
      <c r="J13" s="100">
        <v>0.2</v>
      </c>
      <c r="K13" s="100">
        <v>67.75</v>
      </c>
      <c r="L13" s="100">
        <v>22.41</v>
      </c>
      <c r="M13" s="100">
        <v>51.31</v>
      </c>
      <c r="N13" s="100">
        <v>0.9</v>
      </c>
      <c r="O13" s="100">
        <v>0</v>
      </c>
      <c r="P13" s="100">
        <v>0.74</v>
      </c>
      <c r="Q13" s="100">
        <v>14.58</v>
      </c>
      <c r="R13" s="6"/>
      <c r="S13" s="6"/>
      <c r="T13" s="156"/>
      <c r="U13" s="6"/>
    </row>
    <row r="14" spans="1:21" customFormat="1">
      <c r="A14" s="163" t="s">
        <v>1972</v>
      </c>
      <c r="B14" s="100">
        <v>14.84</v>
      </c>
      <c r="C14" s="100">
        <v>22.99</v>
      </c>
      <c r="D14" s="100">
        <v>25.27</v>
      </c>
      <c r="E14" s="100">
        <v>9.8000000000000007</v>
      </c>
      <c r="F14" s="152" t="s">
        <v>15</v>
      </c>
      <c r="G14" s="100">
        <v>77.78</v>
      </c>
      <c r="H14" s="100">
        <v>19.34</v>
      </c>
      <c r="I14" s="100">
        <v>9.77</v>
      </c>
      <c r="J14" s="100">
        <v>0.19</v>
      </c>
      <c r="K14" s="100">
        <v>142.35</v>
      </c>
      <c r="L14" s="100">
        <v>22.07</v>
      </c>
      <c r="M14" s="100">
        <v>54.42</v>
      </c>
      <c r="N14" s="100">
        <v>1.4</v>
      </c>
      <c r="O14" s="100">
        <v>0</v>
      </c>
      <c r="P14" s="100">
        <v>0.78</v>
      </c>
      <c r="Q14" s="100">
        <v>14.58</v>
      </c>
      <c r="R14" s="6"/>
      <c r="S14" s="6"/>
      <c r="T14" s="156"/>
      <c r="U14" s="6"/>
    </row>
    <row r="15" spans="1:21" customFormat="1">
      <c r="A15" s="163" t="s">
        <v>1973</v>
      </c>
      <c r="B15" s="100">
        <v>15.8</v>
      </c>
      <c r="C15" s="100">
        <v>23.55</v>
      </c>
      <c r="D15" s="100">
        <v>26.32</v>
      </c>
      <c r="E15" s="100">
        <v>10.199999999999999</v>
      </c>
      <c r="F15" s="152" t="s">
        <v>15</v>
      </c>
      <c r="G15" s="100">
        <v>79.38</v>
      </c>
      <c r="H15" s="100">
        <v>19.3</v>
      </c>
      <c r="I15" s="100">
        <v>10.27</v>
      </c>
      <c r="J15" s="100">
        <v>0.23</v>
      </c>
      <c r="K15" s="100">
        <v>181.05</v>
      </c>
      <c r="L15" s="100">
        <v>21.53</v>
      </c>
      <c r="M15" s="100">
        <v>58</v>
      </c>
      <c r="N15" s="100">
        <v>1.6</v>
      </c>
      <c r="O15" s="100">
        <v>0</v>
      </c>
      <c r="P15" s="100">
        <v>0.81</v>
      </c>
      <c r="Q15" s="100">
        <v>14.58</v>
      </c>
      <c r="R15" s="6"/>
      <c r="S15" s="6"/>
      <c r="T15" s="156"/>
      <c r="U15" s="6"/>
    </row>
    <row r="16" spans="1:21" customFormat="1">
      <c r="A16" s="163" t="s">
        <v>1974</v>
      </c>
      <c r="B16" s="100">
        <v>16.73</v>
      </c>
      <c r="C16" s="100">
        <v>23.87</v>
      </c>
      <c r="D16" s="100">
        <v>27.24</v>
      </c>
      <c r="E16" s="100">
        <v>10.039999999999999</v>
      </c>
      <c r="F16" s="152" t="s">
        <v>15</v>
      </c>
      <c r="G16" s="100">
        <v>79.38</v>
      </c>
      <c r="H16" s="100">
        <v>19.3</v>
      </c>
      <c r="I16" s="100">
        <v>10.91</v>
      </c>
      <c r="J16" s="100">
        <v>0.19</v>
      </c>
      <c r="K16" s="100">
        <v>194.6</v>
      </c>
      <c r="L16" s="100">
        <v>20.63</v>
      </c>
      <c r="M16" s="100">
        <v>64.44</v>
      </c>
      <c r="N16" s="100">
        <v>1.8</v>
      </c>
      <c r="O16" s="100">
        <v>0</v>
      </c>
      <c r="P16" s="100">
        <v>0.84</v>
      </c>
      <c r="Q16" s="100">
        <v>14.58</v>
      </c>
      <c r="R16" s="6"/>
      <c r="S16" s="6"/>
      <c r="T16" s="156"/>
      <c r="U16" s="6"/>
    </row>
    <row r="17" spans="1:21" customFormat="1">
      <c r="A17" s="163" t="s">
        <v>1975</v>
      </c>
      <c r="B17" s="100">
        <v>17.47</v>
      </c>
      <c r="C17" s="100">
        <v>24.02</v>
      </c>
      <c r="D17" s="100">
        <v>27.91</v>
      </c>
      <c r="E17" s="100">
        <v>8.2899999999999991</v>
      </c>
      <c r="F17" s="152" t="s">
        <v>15</v>
      </c>
      <c r="G17" s="100">
        <v>79.38</v>
      </c>
      <c r="H17" s="100">
        <v>19.3</v>
      </c>
      <c r="I17" s="100">
        <v>11.59</v>
      </c>
      <c r="J17" s="100">
        <v>0.22</v>
      </c>
      <c r="K17" s="100">
        <v>184.03</v>
      </c>
      <c r="L17" s="100">
        <v>20.18</v>
      </c>
      <c r="M17" s="100">
        <v>67.36</v>
      </c>
      <c r="N17" s="100">
        <v>1.6</v>
      </c>
      <c r="O17" s="100">
        <v>0</v>
      </c>
      <c r="P17" s="100">
        <v>0.88</v>
      </c>
      <c r="Q17" s="100">
        <v>14.58</v>
      </c>
      <c r="R17" s="6"/>
      <c r="S17" s="6"/>
      <c r="T17" s="156"/>
      <c r="U17" s="6"/>
    </row>
    <row r="18" spans="1:21" customFormat="1">
      <c r="A18" s="163" t="s">
        <v>1976</v>
      </c>
      <c r="B18" s="100">
        <v>17.97</v>
      </c>
      <c r="C18" s="100">
        <v>24.05</v>
      </c>
      <c r="D18" s="100">
        <v>28.33</v>
      </c>
      <c r="E18" s="100">
        <v>9.7200000000000006</v>
      </c>
      <c r="F18" s="152" t="s">
        <v>15</v>
      </c>
      <c r="G18" s="100">
        <v>96.26</v>
      </c>
      <c r="H18" s="100">
        <v>26.23</v>
      </c>
      <c r="I18" s="100">
        <v>12.27</v>
      </c>
      <c r="J18" s="100">
        <v>0.21</v>
      </c>
      <c r="K18" s="100">
        <v>167.84</v>
      </c>
      <c r="L18" s="100">
        <v>20.02</v>
      </c>
      <c r="M18" s="100">
        <v>66.39</v>
      </c>
      <c r="N18" s="100">
        <v>1.3</v>
      </c>
      <c r="O18" s="100">
        <v>0</v>
      </c>
      <c r="P18" s="100">
        <v>0.9</v>
      </c>
      <c r="Q18" s="100">
        <v>14.58</v>
      </c>
      <c r="R18" s="6"/>
      <c r="S18" s="6"/>
      <c r="T18" s="156"/>
      <c r="U18" s="6"/>
    </row>
    <row r="19" spans="1:21" customFormat="1">
      <c r="A19" s="163" t="s">
        <v>1977</v>
      </c>
      <c r="B19" s="100">
        <v>18.46</v>
      </c>
      <c r="C19" s="100">
        <v>23.85</v>
      </c>
      <c r="D19" s="100">
        <v>28.61</v>
      </c>
      <c r="E19" s="100">
        <v>10.16</v>
      </c>
      <c r="F19" s="152" t="s">
        <v>15</v>
      </c>
      <c r="G19" s="100">
        <v>102.4</v>
      </c>
      <c r="H19" s="100">
        <v>26.34</v>
      </c>
      <c r="I19" s="100">
        <v>12.84</v>
      </c>
      <c r="J19" s="100">
        <v>0.14000000000000001</v>
      </c>
      <c r="K19" s="100">
        <v>195.08</v>
      </c>
      <c r="L19" s="100">
        <v>19.75</v>
      </c>
      <c r="M19" s="100">
        <v>69.19</v>
      </c>
      <c r="N19" s="100">
        <v>1.3</v>
      </c>
      <c r="O19" s="100">
        <v>0</v>
      </c>
      <c r="P19" s="100">
        <v>0.92</v>
      </c>
      <c r="Q19" s="100">
        <v>14.58</v>
      </c>
      <c r="R19" s="6"/>
      <c r="S19" s="6"/>
      <c r="T19" s="156"/>
      <c r="U19" s="6"/>
    </row>
    <row r="20" spans="1:21" customFormat="1">
      <c r="A20" s="163" t="s">
        <v>1978</v>
      </c>
      <c r="B20" s="100">
        <v>18.760000000000002</v>
      </c>
      <c r="C20" s="100">
        <v>23.83</v>
      </c>
      <c r="D20" s="100">
        <v>28.85</v>
      </c>
      <c r="E20" s="100">
        <v>9.65</v>
      </c>
      <c r="F20" s="152" t="s">
        <v>15</v>
      </c>
      <c r="G20" s="100">
        <v>102.4</v>
      </c>
      <c r="H20" s="100">
        <v>26.34</v>
      </c>
      <c r="I20" s="100">
        <v>13.29</v>
      </c>
      <c r="J20" s="100">
        <v>0.18</v>
      </c>
      <c r="K20" s="100">
        <v>183.01</v>
      </c>
      <c r="L20" s="100">
        <v>19.66</v>
      </c>
      <c r="M20" s="100">
        <v>67.650000000000006</v>
      </c>
      <c r="N20" s="100">
        <v>1.1000000000000001</v>
      </c>
      <c r="O20" s="100">
        <v>0</v>
      </c>
      <c r="P20" s="100">
        <v>0.93</v>
      </c>
      <c r="Q20" s="100">
        <v>14.58</v>
      </c>
      <c r="R20" s="6"/>
      <c r="S20" s="6"/>
      <c r="T20" s="156"/>
      <c r="U20" s="6"/>
    </row>
    <row r="21" spans="1:21" customFormat="1">
      <c r="A21" s="163" t="s">
        <v>1979</v>
      </c>
      <c r="B21" s="100">
        <v>18.93</v>
      </c>
      <c r="C21" s="100">
        <v>23.81</v>
      </c>
      <c r="D21" s="100">
        <v>28.97</v>
      </c>
      <c r="E21" s="100">
        <v>9.83</v>
      </c>
      <c r="F21" s="152" t="s">
        <v>15</v>
      </c>
      <c r="G21" s="100">
        <v>102.4</v>
      </c>
      <c r="H21" s="100">
        <v>26.34</v>
      </c>
      <c r="I21" s="100">
        <v>13.65</v>
      </c>
      <c r="J21" s="100">
        <v>0.17</v>
      </c>
      <c r="K21" s="100">
        <v>192.95</v>
      </c>
      <c r="L21" s="100">
        <v>19.41</v>
      </c>
      <c r="M21" s="100">
        <v>67.73</v>
      </c>
      <c r="N21" s="100">
        <v>1.1000000000000001</v>
      </c>
      <c r="O21" s="100">
        <v>0</v>
      </c>
      <c r="P21" s="100">
        <v>0.94</v>
      </c>
      <c r="Q21" s="100">
        <v>14.58</v>
      </c>
      <c r="R21" s="6"/>
      <c r="S21" s="6"/>
      <c r="T21" s="156"/>
      <c r="U21" s="6"/>
    </row>
    <row r="22" spans="1:21" customFormat="1">
      <c r="A22" s="163" t="s">
        <v>1980</v>
      </c>
      <c r="B22" s="100">
        <v>19.079999999999998</v>
      </c>
      <c r="C22" s="100">
        <v>23.73</v>
      </c>
      <c r="D22" s="100">
        <v>29.05</v>
      </c>
      <c r="E22" s="100">
        <v>9.52</v>
      </c>
      <c r="F22" s="152" t="s">
        <v>15</v>
      </c>
      <c r="G22" s="100">
        <v>108.21</v>
      </c>
      <c r="H22" s="100">
        <v>23.01</v>
      </c>
      <c r="I22" s="100">
        <v>13.85</v>
      </c>
      <c r="J22" s="100">
        <v>0.17</v>
      </c>
      <c r="K22" s="100">
        <v>196.44</v>
      </c>
      <c r="L22" s="100">
        <v>19.23</v>
      </c>
      <c r="M22" s="100">
        <v>70.5</v>
      </c>
      <c r="N22" s="100">
        <v>1.3</v>
      </c>
      <c r="O22" s="100">
        <v>0</v>
      </c>
      <c r="P22" s="100">
        <v>0.96</v>
      </c>
      <c r="Q22" s="100">
        <v>14.58</v>
      </c>
      <c r="R22" s="6"/>
      <c r="S22" s="6"/>
      <c r="T22" s="156"/>
      <c r="U22" s="6"/>
    </row>
    <row r="23" spans="1:21" customFormat="1">
      <c r="A23" s="163" t="s">
        <v>1981</v>
      </c>
      <c r="B23" s="100">
        <v>19.05</v>
      </c>
      <c r="C23" s="100">
        <v>23.59</v>
      </c>
      <c r="D23" s="100">
        <v>28.96</v>
      </c>
      <c r="E23" s="100">
        <v>9.89</v>
      </c>
      <c r="F23" s="152" t="s">
        <v>15</v>
      </c>
      <c r="G23" s="100">
        <v>110.33</v>
      </c>
      <c r="H23" s="100">
        <v>22.93</v>
      </c>
      <c r="I23" s="100">
        <v>13.98</v>
      </c>
      <c r="J23" s="100">
        <v>0.19</v>
      </c>
      <c r="K23" s="100">
        <v>192.53</v>
      </c>
      <c r="L23" s="100">
        <v>18.809999999999999</v>
      </c>
      <c r="M23" s="100">
        <v>71.23</v>
      </c>
      <c r="N23" s="100">
        <v>1.5</v>
      </c>
      <c r="O23" s="100">
        <v>0</v>
      </c>
      <c r="P23" s="100">
        <v>0.95</v>
      </c>
      <c r="Q23" s="100">
        <v>14.58</v>
      </c>
      <c r="R23" s="6"/>
      <c r="S23" s="6"/>
      <c r="T23" s="156"/>
      <c r="U23" s="6"/>
    </row>
    <row r="24" spans="1:21" customFormat="1">
      <c r="A24" s="163" t="s">
        <v>1982</v>
      </c>
      <c r="B24" s="100">
        <v>19.059999999999999</v>
      </c>
      <c r="C24" s="100">
        <v>23.47</v>
      </c>
      <c r="D24" s="100">
        <v>28.9</v>
      </c>
      <c r="E24" s="100">
        <v>10.15</v>
      </c>
      <c r="F24" s="152" t="s">
        <v>15</v>
      </c>
      <c r="G24" s="100">
        <v>110.33</v>
      </c>
      <c r="H24" s="100">
        <v>22.93</v>
      </c>
      <c r="I24" s="100">
        <v>14.09</v>
      </c>
      <c r="J24" s="100">
        <v>0.16</v>
      </c>
      <c r="K24" s="100">
        <v>147.75</v>
      </c>
      <c r="L24" s="100">
        <v>18.73</v>
      </c>
      <c r="M24" s="100">
        <v>70.73</v>
      </c>
      <c r="N24" s="100">
        <v>1.1000000000000001</v>
      </c>
      <c r="O24" s="100">
        <v>0</v>
      </c>
      <c r="P24" s="100">
        <v>0.94</v>
      </c>
      <c r="Q24" s="100">
        <v>14.58</v>
      </c>
      <c r="R24" s="6"/>
      <c r="S24" s="6"/>
      <c r="T24" s="156"/>
      <c r="U24" s="6"/>
    </row>
    <row r="25" spans="1:21" customFormat="1">
      <c r="A25" s="163" t="s">
        <v>1983</v>
      </c>
      <c r="B25" s="100">
        <v>19.54</v>
      </c>
      <c r="C25" s="100">
        <v>23.58</v>
      </c>
      <c r="D25" s="100">
        <v>29.34</v>
      </c>
      <c r="E25" s="100">
        <v>9.76</v>
      </c>
      <c r="F25" s="152" t="s">
        <v>15</v>
      </c>
      <c r="G25" s="100">
        <v>110.33</v>
      </c>
      <c r="H25" s="100">
        <v>22.93</v>
      </c>
      <c r="I25" s="100">
        <v>14.1</v>
      </c>
      <c r="J25" s="100">
        <v>0.2</v>
      </c>
      <c r="K25" s="100">
        <v>145.52000000000001</v>
      </c>
      <c r="L25" s="100">
        <v>19.059999999999999</v>
      </c>
      <c r="M25" s="100">
        <v>67.02</v>
      </c>
      <c r="N25" s="100">
        <v>0.9</v>
      </c>
      <c r="O25" s="100">
        <v>0</v>
      </c>
      <c r="P25" s="100">
        <v>0.94</v>
      </c>
      <c r="Q25" s="100">
        <v>14.58</v>
      </c>
      <c r="R25" s="6"/>
      <c r="S25" s="6"/>
      <c r="T25" s="156"/>
      <c r="U25" s="6"/>
    </row>
    <row r="26" spans="1:21" customFormat="1">
      <c r="A26" s="163" t="s">
        <v>1984</v>
      </c>
      <c r="B26" s="100">
        <v>20.5</v>
      </c>
      <c r="C26" s="100">
        <v>23.71</v>
      </c>
      <c r="D26" s="100">
        <v>30.18</v>
      </c>
      <c r="E26" s="100">
        <v>9.9499999999999993</v>
      </c>
      <c r="F26" s="152" t="s">
        <v>15</v>
      </c>
      <c r="G26" s="100">
        <v>109.34</v>
      </c>
      <c r="H26" s="100">
        <v>22.25</v>
      </c>
      <c r="I26" s="100">
        <v>14.07</v>
      </c>
      <c r="J26" s="100">
        <v>0.14000000000000001</v>
      </c>
      <c r="K26" s="100">
        <v>171</v>
      </c>
      <c r="L26" s="100">
        <v>19.11</v>
      </c>
      <c r="M26" s="100">
        <v>68.91</v>
      </c>
      <c r="N26" s="100">
        <v>1.1000000000000001</v>
      </c>
      <c r="O26" s="100">
        <v>0</v>
      </c>
      <c r="P26" s="100">
        <v>0.94</v>
      </c>
      <c r="Q26" s="100">
        <v>14.58</v>
      </c>
      <c r="R26" s="6"/>
      <c r="S26" s="6"/>
      <c r="T26" s="156"/>
      <c r="U26" s="6"/>
    </row>
    <row r="27" spans="1:21" customFormat="1">
      <c r="A27" s="163" t="s">
        <v>1985</v>
      </c>
      <c r="B27" s="100">
        <v>22.29</v>
      </c>
      <c r="C27" s="100">
        <v>23.85</v>
      </c>
      <c r="D27" s="100">
        <v>31.69</v>
      </c>
      <c r="E27" s="100">
        <v>9.8800000000000008</v>
      </c>
      <c r="F27" s="152" t="s">
        <v>15</v>
      </c>
      <c r="G27" s="100">
        <v>108.97</v>
      </c>
      <c r="H27" s="100">
        <v>22.24</v>
      </c>
      <c r="I27" s="100">
        <v>14.07</v>
      </c>
      <c r="J27" s="100">
        <v>0.13</v>
      </c>
      <c r="K27" s="100">
        <v>152.41</v>
      </c>
      <c r="L27" s="100">
        <v>19.27</v>
      </c>
      <c r="M27" s="100">
        <v>66.81</v>
      </c>
      <c r="N27" s="100">
        <v>1</v>
      </c>
      <c r="O27" s="100">
        <v>0</v>
      </c>
      <c r="P27" s="100">
        <v>0.95</v>
      </c>
      <c r="Q27" s="100">
        <v>14.58</v>
      </c>
      <c r="R27" s="6"/>
      <c r="S27" s="6"/>
      <c r="T27" s="156"/>
      <c r="U27" s="6"/>
    </row>
    <row r="28" spans="1:21" customFormat="1">
      <c r="A28" s="163" t="s">
        <v>1986</v>
      </c>
      <c r="B28" s="100">
        <v>25.06</v>
      </c>
      <c r="C28" s="100">
        <v>24.36</v>
      </c>
      <c r="D28" s="100">
        <v>34.17</v>
      </c>
      <c r="E28" s="100">
        <v>10.17</v>
      </c>
      <c r="F28" s="152" t="s">
        <v>15</v>
      </c>
      <c r="G28" s="100">
        <v>108.97</v>
      </c>
      <c r="H28" s="100">
        <v>22.24</v>
      </c>
      <c r="I28" s="100">
        <v>14.09</v>
      </c>
      <c r="J28" s="100">
        <v>0.19</v>
      </c>
      <c r="K28" s="100">
        <v>162.25</v>
      </c>
      <c r="L28" s="100">
        <v>19.350000000000001</v>
      </c>
      <c r="M28" s="100">
        <v>67.569999999999993</v>
      </c>
      <c r="N28" s="100">
        <v>1</v>
      </c>
      <c r="O28" s="100">
        <v>0</v>
      </c>
      <c r="P28" s="100">
        <v>0.96</v>
      </c>
      <c r="Q28" s="100">
        <v>14.58</v>
      </c>
      <c r="R28" s="6"/>
      <c r="S28" s="6"/>
      <c r="T28" s="156"/>
      <c r="U28" s="6"/>
    </row>
    <row r="29" spans="1:21" customFormat="1">
      <c r="A29" s="163" t="s">
        <v>1987</v>
      </c>
      <c r="B29" s="100">
        <v>27.94</v>
      </c>
      <c r="C29" s="100">
        <v>24.37</v>
      </c>
      <c r="D29" s="100">
        <v>36.49</v>
      </c>
      <c r="E29" s="100">
        <v>9.75</v>
      </c>
      <c r="F29" s="152" t="s">
        <v>15</v>
      </c>
      <c r="G29" s="100">
        <v>108.97</v>
      </c>
      <c r="H29" s="100">
        <v>22.24</v>
      </c>
      <c r="I29" s="100">
        <v>14.18</v>
      </c>
      <c r="J29" s="100">
        <v>0.23</v>
      </c>
      <c r="K29" s="100">
        <v>164.06</v>
      </c>
      <c r="L29" s="100">
        <v>19.260000000000002</v>
      </c>
      <c r="M29" s="100">
        <v>73.849999999999994</v>
      </c>
      <c r="N29" s="100">
        <v>1.3</v>
      </c>
      <c r="O29" s="100">
        <v>0</v>
      </c>
      <c r="P29" s="100">
        <v>0.96</v>
      </c>
      <c r="Q29" s="100">
        <v>14.58</v>
      </c>
      <c r="R29" s="6"/>
      <c r="S29" s="6"/>
      <c r="T29" s="156"/>
      <c r="U29" s="6"/>
    </row>
    <row r="30" spans="1:21" customFormat="1">
      <c r="A30" s="163" t="s">
        <v>1988</v>
      </c>
      <c r="B30" s="100">
        <v>30.09</v>
      </c>
      <c r="C30" s="100">
        <v>24.37</v>
      </c>
      <c r="D30" s="100">
        <v>38.21</v>
      </c>
      <c r="E30" s="100">
        <v>9.77</v>
      </c>
      <c r="F30" s="152" t="s">
        <v>15</v>
      </c>
      <c r="G30" s="100">
        <v>119.67</v>
      </c>
      <c r="H30" s="100">
        <v>25.05</v>
      </c>
      <c r="I30" s="100">
        <v>14.3</v>
      </c>
      <c r="J30" s="100">
        <v>0.15</v>
      </c>
      <c r="K30" s="100">
        <v>169.94</v>
      </c>
      <c r="L30" s="100">
        <v>18.96</v>
      </c>
      <c r="M30" s="100">
        <v>71.61</v>
      </c>
      <c r="N30" s="100">
        <v>1.2</v>
      </c>
      <c r="O30" s="100">
        <v>0</v>
      </c>
      <c r="P30" s="100">
        <v>0.98</v>
      </c>
      <c r="Q30" s="100">
        <v>14.58</v>
      </c>
      <c r="R30" s="6"/>
      <c r="S30" s="6"/>
      <c r="T30" s="156"/>
      <c r="U30" s="6"/>
    </row>
    <row r="31" spans="1:21" customFormat="1">
      <c r="A31" s="163" t="s">
        <v>1989</v>
      </c>
      <c r="B31" s="100">
        <v>32.31</v>
      </c>
      <c r="C31" s="100">
        <v>24.46</v>
      </c>
      <c r="D31" s="100">
        <v>40.049999999999997</v>
      </c>
      <c r="E31" s="100">
        <v>9.82</v>
      </c>
      <c r="F31" s="152" t="s">
        <v>15</v>
      </c>
      <c r="G31" s="100">
        <v>123.55</v>
      </c>
      <c r="H31" s="100">
        <v>25.09</v>
      </c>
      <c r="I31" s="100">
        <v>14.44</v>
      </c>
      <c r="J31" s="100">
        <v>0.2</v>
      </c>
      <c r="K31" s="100">
        <v>159.51</v>
      </c>
      <c r="L31" s="100">
        <v>19.09</v>
      </c>
      <c r="M31" s="100">
        <v>72.36</v>
      </c>
      <c r="N31" s="100">
        <v>1.1000000000000001</v>
      </c>
      <c r="O31" s="100">
        <v>0</v>
      </c>
      <c r="P31" s="100">
        <v>0.98</v>
      </c>
      <c r="Q31" s="100">
        <v>14.58</v>
      </c>
      <c r="R31" s="6"/>
      <c r="S31" s="6"/>
      <c r="T31" s="156"/>
      <c r="U31" s="6"/>
    </row>
    <row r="32" spans="1:21" customFormat="1">
      <c r="A32" s="163" t="s">
        <v>1990</v>
      </c>
      <c r="B32" s="100">
        <v>34.520000000000003</v>
      </c>
      <c r="C32" s="100">
        <v>25.18</v>
      </c>
      <c r="D32" s="100">
        <v>42.19</v>
      </c>
      <c r="E32" s="100">
        <v>10.1</v>
      </c>
      <c r="F32" s="152" t="s">
        <v>15</v>
      </c>
      <c r="G32" s="100">
        <v>123.55</v>
      </c>
      <c r="H32" s="100">
        <v>25.09</v>
      </c>
      <c r="I32" s="100">
        <v>14.59</v>
      </c>
      <c r="J32" s="100">
        <v>0.1</v>
      </c>
      <c r="K32" s="100">
        <v>194.07</v>
      </c>
      <c r="L32" s="100">
        <v>19.13</v>
      </c>
      <c r="M32" s="100">
        <v>68.03</v>
      </c>
      <c r="N32" s="100">
        <v>1</v>
      </c>
      <c r="O32" s="100">
        <v>0</v>
      </c>
      <c r="P32" s="100">
        <v>1.05</v>
      </c>
      <c r="Q32" s="100">
        <v>14.58</v>
      </c>
      <c r="R32" s="6"/>
      <c r="S32" s="6"/>
      <c r="T32" s="156"/>
      <c r="U32" s="6"/>
    </row>
    <row r="33" spans="1:21" customFormat="1">
      <c r="A33" s="163" t="s">
        <v>1991</v>
      </c>
      <c r="B33" s="100">
        <v>36.75</v>
      </c>
      <c r="C33" s="100">
        <v>25.74</v>
      </c>
      <c r="D33" s="100">
        <v>44.27</v>
      </c>
      <c r="E33" s="100">
        <v>10.220000000000001</v>
      </c>
      <c r="F33" s="152" t="s">
        <v>15</v>
      </c>
      <c r="G33" s="100">
        <v>123.55</v>
      </c>
      <c r="H33" s="100">
        <v>25.09</v>
      </c>
      <c r="I33" s="100">
        <v>14.85</v>
      </c>
      <c r="J33" s="100">
        <v>0.19</v>
      </c>
      <c r="K33" s="100">
        <v>176.98</v>
      </c>
      <c r="L33" s="100">
        <v>19.03</v>
      </c>
      <c r="M33" s="100">
        <v>68.52</v>
      </c>
      <c r="N33" s="100">
        <v>1.3</v>
      </c>
      <c r="O33" s="100">
        <v>0</v>
      </c>
      <c r="P33" s="100">
        <v>1.0900000000000001</v>
      </c>
      <c r="Q33" s="100">
        <v>14.58</v>
      </c>
      <c r="R33" s="6"/>
      <c r="S33" s="6"/>
      <c r="T33" s="156"/>
      <c r="U33" s="6"/>
    </row>
    <row r="34" spans="1:21" customFormat="1">
      <c r="A34" s="163" t="s">
        <v>1992</v>
      </c>
      <c r="B34" s="100">
        <v>38.5</v>
      </c>
      <c r="C34" s="100">
        <v>25.81</v>
      </c>
      <c r="D34" s="100">
        <v>45.71</v>
      </c>
      <c r="E34" s="100">
        <v>10.27</v>
      </c>
      <c r="F34" s="152" t="s">
        <v>15</v>
      </c>
      <c r="G34" s="100">
        <v>124.59</v>
      </c>
      <c r="H34" s="100">
        <v>26.3</v>
      </c>
      <c r="I34" s="100">
        <v>15.13</v>
      </c>
      <c r="J34" s="100">
        <v>0.22</v>
      </c>
      <c r="K34" s="100">
        <v>201.97</v>
      </c>
      <c r="L34" s="100">
        <v>18.23</v>
      </c>
      <c r="M34" s="100">
        <v>78.22</v>
      </c>
      <c r="N34" s="100">
        <v>2.6</v>
      </c>
      <c r="O34" s="100">
        <v>0</v>
      </c>
      <c r="P34" s="100">
        <v>1.1100000000000001</v>
      </c>
      <c r="Q34" s="100">
        <v>14.58</v>
      </c>
      <c r="R34" s="6"/>
      <c r="S34" s="6"/>
      <c r="T34" s="156"/>
      <c r="U34" s="6"/>
    </row>
    <row r="35" spans="1:21" customFormat="1">
      <c r="A35" s="163" t="s">
        <v>1993</v>
      </c>
      <c r="B35" s="100">
        <v>39.450000000000003</v>
      </c>
      <c r="C35" s="100">
        <v>25.78</v>
      </c>
      <c r="D35" s="100">
        <v>46.46</v>
      </c>
      <c r="E35" s="100">
        <v>9.7799999999999994</v>
      </c>
      <c r="F35" s="152" t="s">
        <v>15</v>
      </c>
      <c r="G35" s="100">
        <v>124.97</v>
      </c>
      <c r="H35" s="100">
        <v>26.32</v>
      </c>
      <c r="I35" s="100">
        <v>15.4</v>
      </c>
      <c r="J35" s="100">
        <v>0.15</v>
      </c>
      <c r="K35" s="100">
        <v>173.8</v>
      </c>
      <c r="L35" s="100">
        <v>17.940000000000001</v>
      </c>
      <c r="M35" s="100">
        <v>79.5</v>
      </c>
      <c r="N35" s="100">
        <v>5.4</v>
      </c>
      <c r="O35" s="100">
        <v>0</v>
      </c>
      <c r="P35" s="100">
        <v>1.1200000000000001</v>
      </c>
      <c r="Q35" s="100">
        <v>14.58</v>
      </c>
      <c r="R35" s="6"/>
      <c r="S35" s="6"/>
      <c r="T35" s="156"/>
      <c r="U35" s="6"/>
    </row>
    <row r="36" spans="1:21" customFormat="1">
      <c r="A36" s="163" t="s">
        <v>1994</v>
      </c>
      <c r="B36" s="100">
        <v>40.07</v>
      </c>
      <c r="C36" s="100">
        <v>25.56</v>
      </c>
      <c r="D36" s="100">
        <v>46.84</v>
      </c>
      <c r="E36" s="100">
        <v>9.6300000000000008</v>
      </c>
      <c r="F36" s="152" t="s">
        <v>15</v>
      </c>
      <c r="G36" s="100">
        <v>124.97</v>
      </c>
      <c r="H36" s="100">
        <v>26.32</v>
      </c>
      <c r="I36" s="100">
        <v>15.63</v>
      </c>
      <c r="J36" s="100">
        <v>0.24</v>
      </c>
      <c r="K36" s="100">
        <v>159.27000000000001</v>
      </c>
      <c r="L36" s="100">
        <v>18.170000000000002</v>
      </c>
      <c r="M36" s="100">
        <v>77.959999999999994</v>
      </c>
      <c r="N36" s="100">
        <v>10.7</v>
      </c>
      <c r="O36" s="100">
        <v>0</v>
      </c>
      <c r="P36" s="100">
        <v>1.1299999999999999</v>
      </c>
      <c r="Q36" s="100">
        <v>14.58</v>
      </c>
      <c r="R36" s="6"/>
      <c r="S36" s="6"/>
      <c r="T36" s="156"/>
      <c r="U36" s="6"/>
    </row>
    <row r="37" spans="1:21" customFormat="1">
      <c r="A37" s="163" t="s">
        <v>1995</v>
      </c>
      <c r="B37" s="100">
        <v>40.880000000000003</v>
      </c>
      <c r="C37" s="100">
        <v>25.38</v>
      </c>
      <c r="D37" s="100">
        <v>47.39</v>
      </c>
      <c r="E37" s="100">
        <v>9.2100000000000009</v>
      </c>
      <c r="F37" s="152" t="s">
        <v>15</v>
      </c>
      <c r="G37" s="100">
        <v>124.97</v>
      </c>
      <c r="H37" s="100">
        <v>26.32</v>
      </c>
      <c r="I37" s="100">
        <v>15.72</v>
      </c>
      <c r="J37" s="100">
        <v>0.09</v>
      </c>
      <c r="K37" s="100">
        <v>189.51</v>
      </c>
      <c r="L37" s="100">
        <v>18.63</v>
      </c>
      <c r="M37" s="100">
        <v>74.72</v>
      </c>
      <c r="N37" s="100">
        <v>17</v>
      </c>
      <c r="O37" s="100">
        <v>0</v>
      </c>
      <c r="P37" s="100">
        <v>1.1499999999999999</v>
      </c>
      <c r="Q37" s="100">
        <v>14.58</v>
      </c>
      <c r="R37" s="6"/>
      <c r="S37" s="6"/>
      <c r="T37" s="156"/>
      <c r="U37" s="6"/>
    </row>
    <row r="38" spans="1:21" customFormat="1">
      <c r="A38" s="163" t="s">
        <v>1996</v>
      </c>
      <c r="B38" s="100">
        <v>42.14</v>
      </c>
      <c r="C38" s="100">
        <v>25.41</v>
      </c>
      <c r="D38" s="100">
        <v>48.42</v>
      </c>
      <c r="E38" s="100">
        <v>9.8699999999999992</v>
      </c>
      <c r="F38" s="152" t="s">
        <v>15</v>
      </c>
      <c r="G38" s="100">
        <v>119.77</v>
      </c>
      <c r="H38" s="100">
        <v>25.24</v>
      </c>
      <c r="I38" s="100">
        <v>15.83</v>
      </c>
      <c r="J38" s="100">
        <v>0.03</v>
      </c>
      <c r="K38" s="100">
        <v>320.41000000000003</v>
      </c>
      <c r="L38" s="100">
        <v>19.59</v>
      </c>
      <c r="M38" s="100">
        <v>70.02</v>
      </c>
      <c r="N38" s="100">
        <v>24.1</v>
      </c>
      <c r="O38" s="100">
        <v>0</v>
      </c>
      <c r="P38" s="100">
        <v>1.1599999999999999</v>
      </c>
      <c r="Q38" s="100">
        <v>14.58</v>
      </c>
      <c r="R38" s="6"/>
      <c r="S38" s="6"/>
      <c r="T38" s="156"/>
      <c r="U38" s="6"/>
    </row>
    <row r="39" spans="1:21" customFormat="1">
      <c r="A39" s="163" t="s">
        <v>1997</v>
      </c>
      <c r="B39" s="100">
        <v>43.28</v>
      </c>
      <c r="C39" s="100">
        <v>25.75</v>
      </c>
      <c r="D39" s="100">
        <v>49.52</v>
      </c>
      <c r="E39" s="100">
        <v>9.67</v>
      </c>
      <c r="F39" s="152" t="s">
        <v>15</v>
      </c>
      <c r="G39" s="100">
        <v>117.88</v>
      </c>
      <c r="H39" s="100">
        <v>25.22</v>
      </c>
      <c r="I39" s="100">
        <v>15.99</v>
      </c>
      <c r="J39" s="100">
        <v>0.25</v>
      </c>
      <c r="K39" s="100">
        <v>40.93</v>
      </c>
      <c r="L39" s="100">
        <v>20.85</v>
      </c>
      <c r="M39" s="100">
        <v>61.21</v>
      </c>
      <c r="N39" s="100">
        <v>30.9</v>
      </c>
      <c r="O39" s="100">
        <v>0</v>
      </c>
      <c r="P39" s="100">
        <v>1.19</v>
      </c>
      <c r="Q39" s="100">
        <v>14.58</v>
      </c>
      <c r="R39" s="6"/>
      <c r="S39" s="6"/>
      <c r="T39" s="156"/>
      <c r="U39" s="6"/>
    </row>
    <row r="40" spans="1:21" customFormat="1">
      <c r="A40" s="163" t="s">
        <v>1998</v>
      </c>
      <c r="B40" s="100">
        <v>43.65</v>
      </c>
      <c r="C40" s="100">
        <v>26.61</v>
      </c>
      <c r="D40" s="100">
        <v>50.26</v>
      </c>
      <c r="E40" s="100">
        <v>10.45</v>
      </c>
      <c r="F40" s="152" t="s">
        <v>15</v>
      </c>
      <c r="G40" s="100">
        <v>117.88</v>
      </c>
      <c r="H40" s="100">
        <v>25.22</v>
      </c>
      <c r="I40" s="100">
        <v>16.22</v>
      </c>
      <c r="J40" s="100">
        <v>0.4</v>
      </c>
      <c r="K40" s="100">
        <v>38.840000000000003</v>
      </c>
      <c r="L40" s="100">
        <v>21.92</v>
      </c>
      <c r="M40" s="100">
        <v>56.38</v>
      </c>
      <c r="N40" s="100">
        <v>39.799999999999997</v>
      </c>
      <c r="O40" s="100">
        <v>0</v>
      </c>
      <c r="P40" s="100">
        <v>1.22</v>
      </c>
      <c r="Q40" s="100">
        <v>14.58</v>
      </c>
      <c r="R40" s="6"/>
      <c r="S40" s="6"/>
      <c r="T40" s="156"/>
      <c r="U40" s="6"/>
    </row>
    <row r="41" spans="1:21" customFormat="1">
      <c r="A41" s="163" t="s">
        <v>1999</v>
      </c>
      <c r="B41" s="100">
        <v>43.38</v>
      </c>
      <c r="C41" s="100">
        <v>27.28</v>
      </c>
      <c r="D41" s="100">
        <v>50.39</v>
      </c>
      <c r="E41" s="100">
        <v>10.45</v>
      </c>
      <c r="F41" s="152" t="s">
        <v>15</v>
      </c>
      <c r="G41" s="100">
        <v>117.88</v>
      </c>
      <c r="H41" s="100">
        <v>25.22</v>
      </c>
      <c r="I41" s="100">
        <v>16.59</v>
      </c>
      <c r="J41" s="100">
        <v>0.82</v>
      </c>
      <c r="K41" s="100">
        <v>52.46</v>
      </c>
      <c r="L41" s="100">
        <v>22.74</v>
      </c>
      <c r="M41" s="100">
        <v>51.16</v>
      </c>
      <c r="N41" s="100">
        <v>109.8</v>
      </c>
      <c r="O41" s="100">
        <v>0</v>
      </c>
      <c r="P41" s="100">
        <v>1.24</v>
      </c>
      <c r="Q41" s="100">
        <v>14.58</v>
      </c>
      <c r="R41" s="6"/>
      <c r="S41" s="6"/>
      <c r="T41" s="156"/>
      <c r="U41" s="6"/>
    </row>
    <row r="42" spans="1:21" customFormat="1">
      <c r="A42" s="163" t="s">
        <v>2000</v>
      </c>
      <c r="B42" s="100">
        <v>42.44</v>
      </c>
      <c r="C42" s="100">
        <v>27.78</v>
      </c>
      <c r="D42" s="100">
        <v>49.9</v>
      </c>
      <c r="E42" s="100">
        <v>10.76</v>
      </c>
      <c r="F42" s="152" t="s">
        <v>15</v>
      </c>
      <c r="G42" s="100">
        <v>132.43</v>
      </c>
      <c r="H42" s="100">
        <v>35.78</v>
      </c>
      <c r="I42" s="100">
        <v>16.940000000000001</v>
      </c>
      <c r="J42" s="100">
        <v>0.77</v>
      </c>
      <c r="K42" s="100">
        <v>44.35</v>
      </c>
      <c r="L42" s="100">
        <v>23.54</v>
      </c>
      <c r="M42" s="100">
        <v>47.48</v>
      </c>
      <c r="N42" s="100">
        <v>140</v>
      </c>
      <c r="O42" s="100">
        <v>0</v>
      </c>
      <c r="P42" s="100">
        <v>1.26</v>
      </c>
      <c r="Q42" s="100">
        <v>14.58</v>
      </c>
      <c r="R42" s="6"/>
      <c r="S42" s="6"/>
      <c r="T42" s="156"/>
      <c r="U42" s="6"/>
    </row>
    <row r="43" spans="1:21" customFormat="1">
      <c r="A43" s="163" t="s">
        <v>2001</v>
      </c>
      <c r="B43" s="100">
        <v>41.44</v>
      </c>
      <c r="C43" s="100">
        <v>28.02</v>
      </c>
      <c r="D43" s="100">
        <v>49.22</v>
      </c>
      <c r="E43" s="100">
        <v>11.08</v>
      </c>
      <c r="F43" s="152" t="s">
        <v>15</v>
      </c>
      <c r="G43" s="100">
        <v>137.72</v>
      </c>
      <c r="H43" s="100">
        <v>35.94</v>
      </c>
      <c r="I43" s="100">
        <v>17.13</v>
      </c>
      <c r="J43" s="100">
        <v>0.75</v>
      </c>
      <c r="K43" s="100">
        <v>48.93</v>
      </c>
      <c r="L43" s="100">
        <v>24.37</v>
      </c>
      <c r="M43" s="100">
        <v>44.62</v>
      </c>
      <c r="N43" s="100">
        <v>194.5</v>
      </c>
      <c r="O43" s="100">
        <v>0</v>
      </c>
      <c r="P43" s="100">
        <v>1.28</v>
      </c>
      <c r="Q43" s="100">
        <v>14.58</v>
      </c>
      <c r="R43" s="6"/>
      <c r="S43" s="6"/>
      <c r="T43" s="156"/>
      <c r="U43" s="6"/>
    </row>
    <row r="44" spans="1:21" customFormat="1">
      <c r="A44" s="163" t="s">
        <v>2002</v>
      </c>
      <c r="B44" s="100">
        <v>40.29</v>
      </c>
      <c r="C44" s="100">
        <v>27.95</v>
      </c>
      <c r="D44" s="100">
        <v>48.26</v>
      </c>
      <c r="E44" s="100">
        <v>10.94</v>
      </c>
      <c r="F44" s="152" t="s">
        <v>15</v>
      </c>
      <c r="G44" s="100">
        <v>137.72</v>
      </c>
      <c r="H44" s="100">
        <v>35.94</v>
      </c>
      <c r="I44" s="100">
        <v>17.16</v>
      </c>
      <c r="J44" s="100">
        <v>1.1499999999999999</v>
      </c>
      <c r="K44" s="100">
        <v>52.6</v>
      </c>
      <c r="L44" s="100">
        <v>25.01</v>
      </c>
      <c r="M44" s="100">
        <v>41.57</v>
      </c>
      <c r="N44" s="100">
        <v>210.2</v>
      </c>
      <c r="O44" s="100">
        <v>0</v>
      </c>
      <c r="P44" s="100">
        <v>1.28</v>
      </c>
      <c r="Q44" s="100">
        <v>14.58</v>
      </c>
      <c r="R44" s="6"/>
      <c r="S44" s="6"/>
      <c r="T44" s="156"/>
      <c r="U44" s="6"/>
    </row>
    <row r="45" spans="1:21" customFormat="1">
      <c r="A45" s="163" t="s">
        <v>2003</v>
      </c>
      <c r="B45" s="100">
        <v>38.799999999999997</v>
      </c>
      <c r="C45" s="100">
        <v>27.98</v>
      </c>
      <c r="D45" s="100">
        <v>47.09</v>
      </c>
      <c r="E45" s="100">
        <v>11.14</v>
      </c>
      <c r="F45" s="152" t="s">
        <v>15</v>
      </c>
      <c r="G45" s="100">
        <v>137.72</v>
      </c>
      <c r="H45" s="100">
        <v>35.94</v>
      </c>
      <c r="I45" s="100">
        <v>17.09</v>
      </c>
      <c r="J45" s="100">
        <v>0.89</v>
      </c>
      <c r="K45" s="100">
        <v>55.74</v>
      </c>
      <c r="L45" s="100">
        <v>25.9</v>
      </c>
      <c r="M45" s="100">
        <v>37.770000000000003</v>
      </c>
      <c r="N45" s="100">
        <v>187.4</v>
      </c>
      <c r="O45" s="100">
        <v>0</v>
      </c>
      <c r="P45" s="100">
        <v>1.27</v>
      </c>
      <c r="Q45" s="100">
        <v>14.58</v>
      </c>
      <c r="R45" s="6"/>
      <c r="S45" s="6"/>
      <c r="T45" s="156"/>
      <c r="U45" s="6"/>
    </row>
    <row r="46" spans="1:21" customFormat="1">
      <c r="A46" s="163" t="s">
        <v>2004</v>
      </c>
      <c r="B46" s="100">
        <v>37.18</v>
      </c>
      <c r="C46" s="100">
        <v>27.66</v>
      </c>
      <c r="D46" s="100">
        <v>45.61</v>
      </c>
      <c r="E46" s="100">
        <v>11.21</v>
      </c>
      <c r="F46" s="152" t="s">
        <v>15</v>
      </c>
      <c r="G46" s="100">
        <v>129.07</v>
      </c>
      <c r="H46" s="100">
        <v>39.44</v>
      </c>
      <c r="I46" s="100">
        <v>17.010000000000002</v>
      </c>
      <c r="J46" s="100">
        <v>0.96</v>
      </c>
      <c r="K46" s="100">
        <v>48.96</v>
      </c>
      <c r="L46" s="100">
        <v>26.45</v>
      </c>
      <c r="M46" s="100">
        <v>36.590000000000003</v>
      </c>
      <c r="N46" s="100">
        <v>261.39999999999998</v>
      </c>
      <c r="O46" s="100">
        <v>0</v>
      </c>
      <c r="P46" s="100">
        <v>1.25</v>
      </c>
      <c r="Q46" s="100">
        <v>14.58</v>
      </c>
      <c r="R46" s="6"/>
      <c r="S46" s="6"/>
      <c r="T46" s="156"/>
      <c r="U46" s="6"/>
    </row>
    <row r="47" spans="1:21" customFormat="1">
      <c r="A47" s="163" t="s">
        <v>2005</v>
      </c>
      <c r="B47" s="100">
        <v>35.64</v>
      </c>
      <c r="C47" s="100">
        <v>27.7</v>
      </c>
      <c r="D47" s="100">
        <v>44.41</v>
      </c>
      <c r="E47" s="100">
        <v>11.35</v>
      </c>
      <c r="F47" s="152" t="s">
        <v>15</v>
      </c>
      <c r="G47" s="100">
        <v>125.92</v>
      </c>
      <c r="H47" s="100">
        <v>39.520000000000003</v>
      </c>
      <c r="I47" s="100">
        <v>16.850000000000001</v>
      </c>
      <c r="J47" s="100">
        <v>0.56000000000000005</v>
      </c>
      <c r="K47" s="100">
        <v>81.02</v>
      </c>
      <c r="L47" s="100">
        <v>27.24</v>
      </c>
      <c r="M47" s="100">
        <v>34.979999999999997</v>
      </c>
      <c r="N47" s="100">
        <v>273.2</v>
      </c>
      <c r="O47" s="100">
        <v>0</v>
      </c>
      <c r="P47" s="100">
        <v>1.23</v>
      </c>
      <c r="Q47" s="100">
        <v>14.58</v>
      </c>
      <c r="R47" s="6"/>
      <c r="S47" s="6"/>
      <c r="T47" s="156"/>
      <c r="U47" s="6"/>
    </row>
    <row r="48" spans="1:21" customFormat="1">
      <c r="A48" s="163" t="s">
        <v>2006</v>
      </c>
      <c r="B48" s="100">
        <v>33.83</v>
      </c>
      <c r="C48" s="100">
        <v>27.68</v>
      </c>
      <c r="D48" s="100">
        <v>42.94</v>
      </c>
      <c r="E48" s="100">
        <v>10.79</v>
      </c>
      <c r="F48" s="152" t="s">
        <v>15</v>
      </c>
      <c r="G48" s="100">
        <v>125.92</v>
      </c>
      <c r="H48" s="100">
        <v>39.520000000000003</v>
      </c>
      <c r="I48" s="100">
        <v>16.63</v>
      </c>
      <c r="J48" s="100">
        <v>0.75</v>
      </c>
      <c r="K48" s="100">
        <v>71.150000000000006</v>
      </c>
      <c r="L48" s="100">
        <v>28.13</v>
      </c>
      <c r="M48" s="100">
        <v>33.32</v>
      </c>
      <c r="N48" s="100">
        <v>284.60000000000002</v>
      </c>
      <c r="O48" s="100">
        <v>0</v>
      </c>
      <c r="P48" s="100">
        <v>1.2</v>
      </c>
      <c r="Q48" s="100">
        <v>14.58</v>
      </c>
      <c r="R48" s="6"/>
      <c r="S48" s="6"/>
      <c r="T48" s="156"/>
      <c r="U48" s="6"/>
    </row>
    <row r="49" spans="1:21" customFormat="1">
      <c r="A49" s="163" t="s">
        <v>2007</v>
      </c>
      <c r="B49" s="100">
        <v>31.72</v>
      </c>
      <c r="C49" s="100">
        <v>27.87</v>
      </c>
      <c r="D49" s="100">
        <v>41.35</v>
      </c>
      <c r="E49" s="100">
        <v>10.71</v>
      </c>
      <c r="F49" s="152" t="s">
        <v>15</v>
      </c>
      <c r="G49" s="100">
        <v>125.92</v>
      </c>
      <c r="H49" s="100">
        <v>39.520000000000003</v>
      </c>
      <c r="I49" s="100">
        <v>16.45</v>
      </c>
      <c r="J49" s="100">
        <v>0.41</v>
      </c>
      <c r="K49" s="100">
        <v>20.170000000000002</v>
      </c>
      <c r="L49" s="100">
        <v>28.37</v>
      </c>
      <c r="M49" s="100">
        <v>33.54</v>
      </c>
      <c r="N49" s="100">
        <v>226.7</v>
      </c>
      <c r="O49" s="100">
        <v>0</v>
      </c>
      <c r="P49" s="100">
        <v>1.18</v>
      </c>
      <c r="Q49" s="100">
        <v>14.58</v>
      </c>
      <c r="R49" s="6"/>
      <c r="S49" s="6"/>
      <c r="T49" s="156"/>
      <c r="U49" s="6"/>
    </row>
    <row r="50" spans="1:21" customFormat="1">
      <c r="A50" s="163" t="s">
        <v>2008</v>
      </c>
      <c r="B50" s="100">
        <v>29.63</v>
      </c>
      <c r="C50" s="100">
        <v>27.96</v>
      </c>
      <c r="D50" s="100">
        <v>39.72</v>
      </c>
      <c r="E50" s="100">
        <v>11.8</v>
      </c>
      <c r="F50" s="152" t="s">
        <v>15</v>
      </c>
      <c r="G50" s="100">
        <v>120.15</v>
      </c>
      <c r="H50" s="100">
        <v>39.18</v>
      </c>
      <c r="I50" s="100">
        <v>16.21</v>
      </c>
      <c r="J50" s="100">
        <v>0.22</v>
      </c>
      <c r="K50" s="100">
        <v>250.84</v>
      </c>
      <c r="L50" s="100">
        <v>29.31</v>
      </c>
      <c r="M50" s="100">
        <v>32.08</v>
      </c>
      <c r="N50" s="100">
        <v>265</v>
      </c>
      <c r="O50" s="100">
        <v>0</v>
      </c>
      <c r="P50" s="100">
        <v>1.1599999999999999</v>
      </c>
      <c r="Q50" s="100">
        <v>14.58</v>
      </c>
      <c r="R50" s="6"/>
      <c r="S50" s="6"/>
      <c r="T50" s="156"/>
      <c r="U50" s="6"/>
    </row>
    <row r="51" spans="1:21" customFormat="1">
      <c r="A51" s="163" t="s">
        <v>2009</v>
      </c>
      <c r="B51" s="100">
        <v>26.94</v>
      </c>
      <c r="C51" s="100">
        <v>28.11</v>
      </c>
      <c r="D51" s="100">
        <v>37.64</v>
      </c>
      <c r="E51" s="100">
        <v>11.47</v>
      </c>
      <c r="F51" s="152" t="s">
        <v>15</v>
      </c>
      <c r="G51" s="100">
        <v>118.05</v>
      </c>
      <c r="H51" s="100">
        <v>39.17</v>
      </c>
      <c r="I51" s="100">
        <v>15.95</v>
      </c>
      <c r="J51" s="100">
        <v>0.24</v>
      </c>
      <c r="K51" s="100">
        <v>267.02</v>
      </c>
      <c r="L51" s="100">
        <v>29.98</v>
      </c>
      <c r="M51" s="100">
        <v>31.3</v>
      </c>
      <c r="N51" s="100">
        <v>313.8</v>
      </c>
      <c r="O51" s="100">
        <v>0</v>
      </c>
      <c r="P51" s="100">
        <v>1.0900000000000001</v>
      </c>
      <c r="Q51" s="100">
        <v>14.58</v>
      </c>
      <c r="R51" s="6"/>
      <c r="S51" s="6"/>
      <c r="T51" s="156"/>
      <c r="U51" s="6"/>
    </row>
    <row r="52" spans="1:21" customFormat="1">
      <c r="A52" s="163" t="s">
        <v>2010</v>
      </c>
      <c r="B52" s="100">
        <v>23.32</v>
      </c>
      <c r="C52" s="100">
        <v>29</v>
      </c>
      <c r="D52" s="100">
        <v>35.21</v>
      </c>
      <c r="E52" s="100">
        <v>11.17</v>
      </c>
      <c r="F52" s="152" t="s">
        <v>15</v>
      </c>
      <c r="G52" s="100">
        <v>118.05</v>
      </c>
      <c r="H52" s="100">
        <v>39.17</v>
      </c>
      <c r="I52" s="100">
        <v>15.76</v>
      </c>
      <c r="J52" s="100">
        <v>0.31</v>
      </c>
      <c r="K52" s="100">
        <v>263.27</v>
      </c>
      <c r="L52" s="100">
        <v>30.78</v>
      </c>
      <c r="M52" s="100">
        <v>29.07</v>
      </c>
      <c r="N52" s="100">
        <v>322.7</v>
      </c>
      <c r="O52" s="100">
        <v>0</v>
      </c>
      <c r="P52" s="100">
        <v>1.03</v>
      </c>
      <c r="Q52" s="100">
        <v>14.58</v>
      </c>
      <c r="R52" s="6"/>
      <c r="S52" s="6"/>
      <c r="T52" s="156"/>
      <c r="U52" s="6"/>
    </row>
    <row r="53" spans="1:21" customFormat="1">
      <c r="A53" s="163" t="s">
        <v>2011</v>
      </c>
      <c r="B53" s="100">
        <v>19.41</v>
      </c>
      <c r="C53" s="100">
        <v>30.08</v>
      </c>
      <c r="D53" s="100">
        <v>32.630000000000003</v>
      </c>
      <c r="E53" s="100">
        <v>12.19</v>
      </c>
      <c r="F53" s="152" t="s">
        <v>15</v>
      </c>
      <c r="G53" s="100">
        <v>118.05</v>
      </c>
      <c r="H53" s="100">
        <v>39.17</v>
      </c>
      <c r="I53" s="100">
        <v>15.55</v>
      </c>
      <c r="J53" s="100">
        <v>0.62</v>
      </c>
      <c r="K53" s="100">
        <v>309.94</v>
      </c>
      <c r="L53" s="100">
        <v>30.74</v>
      </c>
      <c r="M53" s="100">
        <v>28.05</v>
      </c>
      <c r="N53" s="100">
        <v>324</v>
      </c>
      <c r="O53" s="100">
        <v>0</v>
      </c>
      <c r="P53" s="100">
        <v>0.98</v>
      </c>
      <c r="Q53" s="100">
        <v>14.58</v>
      </c>
      <c r="R53" s="6"/>
      <c r="S53" s="6"/>
      <c r="T53" s="156"/>
      <c r="U53" s="6"/>
    </row>
    <row r="54" spans="1:21" customFormat="1">
      <c r="A54" s="163" t="s">
        <v>2012</v>
      </c>
      <c r="B54" s="100">
        <v>13.38</v>
      </c>
      <c r="C54" s="100">
        <v>31.01</v>
      </c>
      <c r="D54" s="100">
        <v>28.28</v>
      </c>
      <c r="E54" s="100">
        <v>18.399999999999999</v>
      </c>
      <c r="F54" s="152" t="s">
        <v>15</v>
      </c>
      <c r="G54" s="100">
        <v>107.74</v>
      </c>
      <c r="H54" s="100">
        <v>38.93</v>
      </c>
      <c r="I54" s="100">
        <v>15.19</v>
      </c>
      <c r="J54" s="100">
        <v>0.15</v>
      </c>
      <c r="K54" s="100">
        <v>63.49</v>
      </c>
      <c r="L54" s="100">
        <v>31.28</v>
      </c>
      <c r="M54" s="100">
        <v>27.4</v>
      </c>
      <c r="N54" s="100">
        <v>301</v>
      </c>
      <c r="O54" s="100">
        <v>0</v>
      </c>
      <c r="P54" s="100">
        <v>0.9</v>
      </c>
      <c r="Q54" s="100">
        <v>14.58</v>
      </c>
      <c r="R54" s="6"/>
      <c r="S54" s="6"/>
      <c r="T54" s="156"/>
      <c r="U54" s="6"/>
    </row>
    <row r="55" spans="1:21" customFormat="1">
      <c r="A55" s="163" t="s">
        <v>2013</v>
      </c>
      <c r="B55" s="100">
        <v>7.47</v>
      </c>
      <c r="C55" s="100">
        <v>32.409999999999997</v>
      </c>
      <c r="D55" s="100">
        <v>24.27</v>
      </c>
      <c r="E55" s="100">
        <v>12.2</v>
      </c>
      <c r="F55" s="152" t="s">
        <v>15</v>
      </c>
      <c r="G55" s="100">
        <v>103.99</v>
      </c>
      <c r="H55" s="100">
        <v>38.93</v>
      </c>
      <c r="I55" s="100">
        <v>14.55</v>
      </c>
      <c r="J55" s="100">
        <v>0.31</v>
      </c>
      <c r="K55" s="100">
        <v>269.7</v>
      </c>
      <c r="L55" s="100">
        <v>31.81</v>
      </c>
      <c r="M55" s="100">
        <v>27.6</v>
      </c>
      <c r="N55" s="100">
        <v>299</v>
      </c>
      <c r="O55" s="100">
        <v>0</v>
      </c>
      <c r="P55" s="100">
        <v>0.87</v>
      </c>
      <c r="Q55" s="100">
        <v>14.58</v>
      </c>
      <c r="R55" s="6"/>
      <c r="S55" s="6"/>
      <c r="T55" s="156"/>
      <c r="U55" s="6"/>
    </row>
    <row r="56" spans="1:21" customFormat="1">
      <c r="A56" s="163" t="s">
        <v>2014</v>
      </c>
      <c r="B56" s="100">
        <v>5.12</v>
      </c>
      <c r="C56" s="100">
        <v>32.229999999999997</v>
      </c>
      <c r="D56" s="100">
        <v>22.3</v>
      </c>
      <c r="E56" s="100">
        <v>11.32</v>
      </c>
      <c r="F56" s="152" t="s">
        <v>15</v>
      </c>
      <c r="G56" s="100">
        <v>103.99</v>
      </c>
      <c r="H56" s="100">
        <v>38.93</v>
      </c>
      <c r="I56" s="100">
        <v>13.77</v>
      </c>
      <c r="J56" s="100">
        <v>0.48</v>
      </c>
      <c r="K56" s="100">
        <v>255.05</v>
      </c>
      <c r="L56" s="100">
        <v>32.04</v>
      </c>
      <c r="M56" s="100">
        <v>28.4</v>
      </c>
      <c r="N56" s="100">
        <v>328.3</v>
      </c>
      <c r="O56" s="100">
        <v>0</v>
      </c>
      <c r="P56" s="100">
        <v>0.84</v>
      </c>
      <c r="Q56" s="100">
        <v>14.58</v>
      </c>
      <c r="R56" s="6"/>
      <c r="S56" s="6"/>
      <c r="T56" s="156"/>
      <c r="U56" s="6"/>
    </row>
    <row r="57" spans="1:21" customFormat="1">
      <c r="A57" s="163" t="s">
        <v>2015</v>
      </c>
      <c r="B57" s="100">
        <v>4.29</v>
      </c>
      <c r="C57" s="100">
        <v>31.14</v>
      </c>
      <c r="D57" s="100">
        <v>21.06</v>
      </c>
      <c r="E57" s="100">
        <v>11.85</v>
      </c>
      <c r="F57" s="152" t="s">
        <v>15</v>
      </c>
      <c r="G57" s="100">
        <v>103.99</v>
      </c>
      <c r="H57" s="100">
        <v>38.93</v>
      </c>
      <c r="I57" s="100">
        <v>13.28</v>
      </c>
      <c r="J57" s="100">
        <v>0.76</v>
      </c>
      <c r="K57" s="100">
        <v>253.66</v>
      </c>
      <c r="L57" s="100">
        <v>32.08</v>
      </c>
      <c r="M57" s="100">
        <v>29.23</v>
      </c>
      <c r="N57" s="100">
        <v>335.9</v>
      </c>
      <c r="O57" s="100">
        <v>0</v>
      </c>
      <c r="P57" s="100">
        <v>0.81</v>
      </c>
      <c r="Q57" s="100">
        <v>14.58</v>
      </c>
      <c r="R57" s="6"/>
      <c r="S57" s="6"/>
      <c r="T57" s="156"/>
      <c r="U57" s="6"/>
    </row>
    <row r="58" spans="1:21" customFormat="1">
      <c r="A58" s="163" t="s">
        <v>2016</v>
      </c>
      <c r="B58" s="100">
        <v>3.93</v>
      </c>
      <c r="C58" s="100">
        <v>29.74</v>
      </c>
      <c r="D58" s="100">
        <v>20.04</v>
      </c>
      <c r="E58" s="100">
        <v>11.91</v>
      </c>
      <c r="F58" s="152" t="s">
        <v>15</v>
      </c>
      <c r="G58" s="100">
        <v>94.67</v>
      </c>
      <c r="H58" s="100">
        <v>40.08</v>
      </c>
      <c r="I58" s="100">
        <v>12.94</v>
      </c>
      <c r="J58" s="100">
        <v>0.36</v>
      </c>
      <c r="K58" s="100">
        <v>259.08</v>
      </c>
      <c r="L58" s="100">
        <v>32.64</v>
      </c>
      <c r="M58" s="100">
        <v>28.72</v>
      </c>
      <c r="N58" s="100">
        <v>330.4</v>
      </c>
      <c r="O58" s="100">
        <v>0</v>
      </c>
      <c r="P58" s="100">
        <v>0.8</v>
      </c>
      <c r="Q58" s="100">
        <v>14.58</v>
      </c>
      <c r="R58" s="6"/>
      <c r="S58" s="6"/>
      <c r="T58" s="156"/>
      <c r="U58" s="6"/>
    </row>
    <row r="59" spans="1:21" customFormat="1">
      <c r="A59" s="163" t="s">
        <v>2017</v>
      </c>
      <c r="B59" s="100">
        <v>3.78</v>
      </c>
      <c r="C59" s="100">
        <v>28.71</v>
      </c>
      <c r="D59" s="100">
        <v>19.38</v>
      </c>
      <c r="E59" s="100">
        <v>12.37</v>
      </c>
      <c r="F59" s="152" t="s">
        <v>15</v>
      </c>
      <c r="G59" s="100">
        <v>91.28</v>
      </c>
      <c r="H59" s="100">
        <v>40.1</v>
      </c>
      <c r="I59" s="100">
        <v>12.63</v>
      </c>
      <c r="J59" s="100">
        <v>0.57999999999999996</v>
      </c>
      <c r="K59" s="100">
        <v>254.63</v>
      </c>
      <c r="L59" s="100">
        <v>33</v>
      </c>
      <c r="M59" s="100">
        <v>28.56</v>
      </c>
      <c r="N59" s="100">
        <v>318.2</v>
      </c>
      <c r="O59" s="100">
        <v>0</v>
      </c>
      <c r="P59" s="100">
        <v>0.79</v>
      </c>
      <c r="Q59" s="100">
        <v>12.92</v>
      </c>
      <c r="R59" s="6"/>
      <c r="S59" s="6"/>
      <c r="T59" s="156"/>
      <c r="U59" s="6"/>
    </row>
    <row r="60" spans="1:21" customFormat="1">
      <c r="A60" s="163" t="s">
        <v>2018</v>
      </c>
      <c r="B60" s="100">
        <v>3.8</v>
      </c>
      <c r="C60" s="100">
        <v>27.87</v>
      </c>
      <c r="D60" s="100">
        <v>18.96</v>
      </c>
      <c r="E60" s="100">
        <v>13.83</v>
      </c>
      <c r="F60" s="152" t="s">
        <v>15</v>
      </c>
      <c r="G60" s="100">
        <v>91.28</v>
      </c>
      <c r="H60" s="100">
        <v>40.1</v>
      </c>
      <c r="I60" s="100">
        <v>12.44</v>
      </c>
      <c r="J60" s="100">
        <v>1.06</v>
      </c>
      <c r="K60" s="100">
        <v>294.7</v>
      </c>
      <c r="L60" s="100">
        <v>32.51</v>
      </c>
      <c r="M60" s="100">
        <v>29.68</v>
      </c>
      <c r="N60" s="100">
        <v>318.39999999999998</v>
      </c>
      <c r="O60" s="100">
        <v>0</v>
      </c>
      <c r="P60" s="100">
        <v>0.8</v>
      </c>
      <c r="Q60" s="100">
        <v>12.92</v>
      </c>
      <c r="R60" s="6"/>
      <c r="S60" s="6"/>
      <c r="T60" s="156"/>
      <c r="U60" s="6"/>
    </row>
    <row r="61" spans="1:21" customFormat="1">
      <c r="A61" s="163" t="s">
        <v>2019</v>
      </c>
      <c r="B61" s="100">
        <v>3.88</v>
      </c>
      <c r="C61" s="100">
        <v>27.74</v>
      </c>
      <c r="D61" s="100">
        <v>18.96</v>
      </c>
      <c r="E61" s="100">
        <v>13.99</v>
      </c>
      <c r="F61" s="152" t="s">
        <v>15</v>
      </c>
      <c r="G61" s="100">
        <v>91.28</v>
      </c>
      <c r="H61" s="100">
        <v>40.1</v>
      </c>
      <c r="I61" s="100">
        <v>12.29</v>
      </c>
      <c r="J61" s="100">
        <v>1</v>
      </c>
      <c r="K61" s="100">
        <v>292.69</v>
      </c>
      <c r="L61" s="100">
        <v>32.659999999999997</v>
      </c>
      <c r="M61" s="100">
        <v>29.5</v>
      </c>
      <c r="N61" s="100">
        <v>317.8</v>
      </c>
      <c r="O61" s="100">
        <v>0</v>
      </c>
      <c r="P61" s="100">
        <v>0.81</v>
      </c>
      <c r="Q61" s="100">
        <v>12.92</v>
      </c>
      <c r="R61" s="6"/>
      <c r="S61" s="6"/>
      <c r="T61" s="156"/>
      <c r="U61" s="6"/>
    </row>
    <row r="62" spans="1:21" customFormat="1">
      <c r="A62" s="163" t="s">
        <v>2020</v>
      </c>
      <c r="B62" s="100">
        <v>3.9</v>
      </c>
      <c r="C62" s="100">
        <v>27.7</v>
      </c>
      <c r="D62" s="100">
        <v>18.95</v>
      </c>
      <c r="E62" s="100">
        <v>14.62</v>
      </c>
      <c r="F62" s="152" t="s">
        <v>15</v>
      </c>
      <c r="G62" s="100">
        <v>91.63</v>
      </c>
      <c r="H62" s="100">
        <v>40.840000000000003</v>
      </c>
      <c r="I62" s="100">
        <v>12.27</v>
      </c>
      <c r="J62" s="100">
        <v>0.57999999999999996</v>
      </c>
      <c r="K62" s="100">
        <v>243.57</v>
      </c>
      <c r="L62" s="100">
        <v>33.33</v>
      </c>
      <c r="M62" s="100">
        <v>29.06</v>
      </c>
      <c r="N62" s="100">
        <v>297.8</v>
      </c>
      <c r="O62" s="100">
        <v>0</v>
      </c>
      <c r="P62" s="100">
        <v>0.81</v>
      </c>
      <c r="Q62" s="100">
        <v>12.93</v>
      </c>
      <c r="R62" s="6"/>
      <c r="S62" s="6"/>
      <c r="T62" s="156"/>
      <c r="U62" s="6"/>
    </row>
    <row r="63" spans="1:21" customFormat="1">
      <c r="A63" s="163" t="s">
        <v>2021</v>
      </c>
      <c r="B63" s="100">
        <v>3.9</v>
      </c>
      <c r="C63" s="100">
        <v>27.25</v>
      </c>
      <c r="D63" s="100">
        <v>18.71</v>
      </c>
      <c r="E63" s="100">
        <v>14.84</v>
      </c>
      <c r="F63" s="152" t="s">
        <v>15</v>
      </c>
      <c r="G63" s="100">
        <v>91.76</v>
      </c>
      <c r="H63" s="100">
        <v>40.85</v>
      </c>
      <c r="I63" s="100">
        <v>12.36</v>
      </c>
      <c r="J63" s="100">
        <v>1.1200000000000001</v>
      </c>
      <c r="K63" s="100">
        <v>316.57</v>
      </c>
      <c r="L63" s="100">
        <v>33.090000000000003</v>
      </c>
      <c r="M63" s="100">
        <v>28.94</v>
      </c>
      <c r="N63" s="100">
        <v>296.10000000000002</v>
      </c>
      <c r="O63" s="100">
        <v>0</v>
      </c>
      <c r="P63" s="100">
        <v>0.82</v>
      </c>
      <c r="Q63" s="100">
        <v>12.92</v>
      </c>
      <c r="R63" s="6"/>
      <c r="S63" s="6"/>
      <c r="T63" s="156"/>
      <c r="U63" s="6"/>
    </row>
    <row r="64" spans="1:21" customFormat="1">
      <c r="A64" s="163" t="s">
        <v>2022</v>
      </c>
      <c r="B64" s="100">
        <v>3.91</v>
      </c>
      <c r="C64" s="100">
        <v>26.96</v>
      </c>
      <c r="D64" s="100">
        <v>18.57</v>
      </c>
      <c r="E64" s="100">
        <v>14.91</v>
      </c>
      <c r="F64" s="152" t="s">
        <v>15</v>
      </c>
      <c r="G64" s="100">
        <v>91.76</v>
      </c>
      <c r="H64" s="100">
        <v>40.85</v>
      </c>
      <c r="I64" s="100">
        <v>12.36</v>
      </c>
      <c r="J64" s="100">
        <v>0.73</v>
      </c>
      <c r="K64" s="100">
        <v>281.33</v>
      </c>
      <c r="L64" s="100">
        <v>33.1</v>
      </c>
      <c r="M64" s="100">
        <v>29.67</v>
      </c>
      <c r="N64" s="100">
        <v>302.2</v>
      </c>
      <c r="O64" s="100">
        <v>0</v>
      </c>
      <c r="P64" s="100">
        <v>0.81</v>
      </c>
      <c r="Q64" s="100">
        <v>12.93</v>
      </c>
      <c r="R64" s="6"/>
      <c r="S64" s="6"/>
      <c r="T64" s="156"/>
      <c r="U64" s="6"/>
    </row>
    <row r="65" spans="1:21" customFormat="1">
      <c r="A65" s="163" t="s">
        <v>2023</v>
      </c>
      <c r="B65" s="100">
        <v>3.87</v>
      </c>
      <c r="C65" s="100">
        <v>26.32</v>
      </c>
      <c r="D65" s="100">
        <v>18.2</v>
      </c>
      <c r="E65" s="100">
        <v>14.4</v>
      </c>
      <c r="F65" s="152" t="s">
        <v>15</v>
      </c>
      <c r="G65" s="100">
        <v>91.76</v>
      </c>
      <c r="H65" s="100">
        <v>40.85</v>
      </c>
      <c r="I65" s="100">
        <v>12.29</v>
      </c>
      <c r="J65" s="100">
        <v>0.97</v>
      </c>
      <c r="K65" s="100">
        <v>293.92</v>
      </c>
      <c r="L65" s="100">
        <v>33.4</v>
      </c>
      <c r="M65" s="100">
        <v>27.2</v>
      </c>
      <c r="N65" s="100">
        <v>299.5</v>
      </c>
      <c r="O65" s="100">
        <v>0</v>
      </c>
      <c r="P65" s="100">
        <v>0.77</v>
      </c>
      <c r="Q65" s="100">
        <v>12.92</v>
      </c>
      <c r="R65" s="6"/>
      <c r="S65" s="6"/>
      <c r="T65" s="156"/>
      <c r="U65" s="6"/>
    </row>
    <row r="66" spans="1:21" customFormat="1">
      <c r="A66" s="163" t="s">
        <v>2024</v>
      </c>
      <c r="B66" s="100">
        <v>3.81</v>
      </c>
      <c r="C66" s="100">
        <v>25.8</v>
      </c>
      <c r="D66" s="100">
        <v>17.88</v>
      </c>
      <c r="E66" s="100">
        <v>15.28</v>
      </c>
      <c r="F66" s="152" t="s">
        <v>15</v>
      </c>
      <c r="G66" s="100">
        <v>84.75</v>
      </c>
      <c r="H66" s="100">
        <v>39.96</v>
      </c>
      <c r="I66" s="100">
        <v>12.1</v>
      </c>
      <c r="J66" s="100">
        <v>0.94</v>
      </c>
      <c r="K66" s="100">
        <v>280.43</v>
      </c>
      <c r="L66" s="100">
        <v>33.11</v>
      </c>
      <c r="M66" s="100">
        <v>28.34</v>
      </c>
      <c r="N66" s="100">
        <v>301.89999999999998</v>
      </c>
      <c r="O66" s="100">
        <v>0</v>
      </c>
      <c r="P66" s="100">
        <v>0.77</v>
      </c>
      <c r="Q66" s="100">
        <v>12.93</v>
      </c>
      <c r="R66" s="6"/>
      <c r="S66" s="6"/>
      <c r="T66" s="156"/>
      <c r="U66" s="6"/>
    </row>
    <row r="67" spans="1:21" customFormat="1">
      <c r="A67" s="163" t="s">
        <v>2025</v>
      </c>
      <c r="B67" s="100">
        <v>3.8</v>
      </c>
      <c r="C67" s="100">
        <v>25.28</v>
      </c>
      <c r="D67" s="100">
        <v>17.61</v>
      </c>
      <c r="E67" s="100">
        <v>15.35</v>
      </c>
      <c r="F67" s="152" t="s">
        <v>15</v>
      </c>
      <c r="G67" s="100">
        <v>82.21</v>
      </c>
      <c r="H67" s="100">
        <v>39.950000000000003</v>
      </c>
      <c r="I67" s="100">
        <v>11.76</v>
      </c>
      <c r="J67" s="100">
        <v>0.81</v>
      </c>
      <c r="K67" s="100">
        <v>290.14</v>
      </c>
      <c r="L67" s="100">
        <v>33.26</v>
      </c>
      <c r="M67" s="100">
        <v>27.96</v>
      </c>
      <c r="N67" s="100">
        <v>238.5</v>
      </c>
      <c r="O67" s="100">
        <v>0</v>
      </c>
      <c r="P67" s="100">
        <v>0.74</v>
      </c>
      <c r="Q67" s="100">
        <v>12.92</v>
      </c>
      <c r="R67" s="6"/>
      <c r="S67" s="6"/>
      <c r="T67" s="156"/>
      <c r="U67" s="6"/>
    </row>
    <row r="68" spans="1:21" customFormat="1">
      <c r="A68" s="163" t="s">
        <v>2026</v>
      </c>
      <c r="B68" s="100">
        <v>3.79</v>
      </c>
      <c r="C68" s="100">
        <v>24.61</v>
      </c>
      <c r="D68" s="100">
        <v>17.239999999999998</v>
      </c>
      <c r="E68" s="100">
        <v>15.32</v>
      </c>
      <c r="F68" s="152" t="s">
        <v>15</v>
      </c>
      <c r="G68" s="100">
        <v>82.21</v>
      </c>
      <c r="H68" s="100">
        <v>39.950000000000003</v>
      </c>
      <c r="I68" s="100">
        <v>11.45</v>
      </c>
      <c r="J68" s="100">
        <v>0.78</v>
      </c>
      <c r="K68" s="100">
        <v>257.60000000000002</v>
      </c>
      <c r="L68" s="100">
        <v>33.270000000000003</v>
      </c>
      <c r="M68" s="100">
        <v>28.45</v>
      </c>
      <c r="N68" s="100">
        <v>115.7</v>
      </c>
      <c r="O68" s="100">
        <v>0</v>
      </c>
      <c r="P68" s="100">
        <v>0.73</v>
      </c>
      <c r="Q68" s="100">
        <v>12.93</v>
      </c>
      <c r="R68" s="6"/>
      <c r="S68" s="6"/>
      <c r="T68" s="156"/>
      <c r="U68" s="6"/>
    </row>
    <row r="69" spans="1:21" customFormat="1">
      <c r="A69" s="163" t="s">
        <v>2027</v>
      </c>
      <c r="B69" s="100">
        <v>3.77</v>
      </c>
      <c r="C69" s="100">
        <v>23.95</v>
      </c>
      <c r="D69" s="100">
        <v>16.89</v>
      </c>
      <c r="E69" s="100">
        <v>15.62</v>
      </c>
      <c r="F69" s="152" t="s">
        <v>15</v>
      </c>
      <c r="G69" s="100">
        <v>82.21</v>
      </c>
      <c r="H69" s="100">
        <v>39.950000000000003</v>
      </c>
      <c r="I69" s="100">
        <v>11.12</v>
      </c>
      <c r="J69" s="100">
        <v>0.87</v>
      </c>
      <c r="K69" s="100">
        <v>280.13</v>
      </c>
      <c r="L69" s="100">
        <v>32.659999999999997</v>
      </c>
      <c r="M69" s="100">
        <v>29.55</v>
      </c>
      <c r="N69" s="100">
        <v>75.099999999999994</v>
      </c>
      <c r="O69" s="100">
        <v>0</v>
      </c>
      <c r="P69" s="100">
        <v>0.71</v>
      </c>
      <c r="Q69" s="100">
        <v>12.91</v>
      </c>
      <c r="R69" s="6"/>
      <c r="S69" s="6"/>
      <c r="T69" s="156"/>
      <c r="U69" s="6"/>
    </row>
    <row r="70" spans="1:21" customFormat="1">
      <c r="A70" s="163" t="s">
        <v>2028</v>
      </c>
      <c r="B70" s="100">
        <v>3.81</v>
      </c>
      <c r="C70" s="100">
        <v>23.44</v>
      </c>
      <c r="D70" s="100">
        <v>16.66</v>
      </c>
      <c r="E70" s="100">
        <v>20.71</v>
      </c>
      <c r="F70" s="152" t="s">
        <v>15</v>
      </c>
      <c r="G70" s="100">
        <v>71.59</v>
      </c>
      <c r="H70" s="100">
        <v>38.92</v>
      </c>
      <c r="I70" s="100">
        <v>10.81</v>
      </c>
      <c r="J70" s="100">
        <v>0.59</v>
      </c>
      <c r="K70" s="100">
        <v>283.74</v>
      </c>
      <c r="L70" s="100">
        <v>32.57</v>
      </c>
      <c r="M70" s="100">
        <v>29.69</v>
      </c>
      <c r="N70" s="100">
        <v>66</v>
      </c>
      <c r="O70" s="100">
        <v>0</v>
      </c>
      <c r="P70" s="100">
        <v>0.71</v>
      </c>
      <c r="Q70" s="100">
        <v>12.9</v>
      </c>
      <c r="R70" s="6"/>
      <c r="S70" s="6"/>
      <c r="T70" s="156"/>
      <c r="U70" s="6"/>
    </row>
    <row r="71" spans="1:21" customFormat="1">
      <c r="A71" s="163" t="s">
        <v>2029</v>
      </c>
      <c r="B71" s="100">
        <v>3.89</v>
      </c>
      <c r="C71" s="100">
        <v>23.51</v>
      </c>
      <c r="D71" s="100">
        <v>16.75</v>
      </c>
      <c r="E71" s="100">
        <v>24.67</v>
      </c>
      <c r="F71" s="152" t="s">
        <v>15</v>
      </c>
      <c r="G71" s="100">
        <v>67.73</v>
      </c>
      <c r="H71" s="100">
        <v>38.89</v>
      </c>
      <c r="I71" s="100">
        <v>10.59</v>
      </c>
      <c r="J71" s="100">
        <v>0.78</v>
      </c>
      <c r="K71" s="100">
        <v>313.35000000000002</v>
      </c>
      <c r="L71" s="100">
        <v>32.35</v>
      </c>
      <c r="M71" s="100">
        <v>29.08</v>
      </c>
      <c r="N71" s="100">
        <v>66.900000000000006</v>
      </c>
      <c r="O71" s="100">
        <v>0</v>
      </c>
      <c r="P71" s="100">
        <v>0.71</v>
      </c>
      <c r="Q71" s="100">
        <v>12.91</v>
      </c>
      <c r="R71" s="6"/>
      <c r="S71" s="6"/>
      <c r="T71" s="156"/>
      <c r="U71" s="6"/>
    </row>
    <row r="72" spans="1:21" customFormat="1">
      <c r="A72" s="163" t="s">
        <v>2030</v>
      </c>
      <c r="B72" s="100">
        <v>3.92</v>
      </c>
      <c r="C72" s="100">
        <v>24.14</v>
      </c>
      <c r="D72" s="100">
        <v>17.11</v>
      </c>
      <c r="E72" s="100">
        <v>32.630000000000003</v>
      </c>
      <c r="F72" s="152" t="s">
        <v>15</v>
      </c>
      <c r="G72" s="100">
        <v>67.73</v>
      </c>
      <c r="H72" s="100">
        <v>38.89</v>
      </c>
      <c r="I72" s="100">
        <v>10.42</v>
      </c>
      <c r="J72" s="100">
        <v>0.23</v>
      </c>
      <c r="K72" s="100">
        <v>281.39</v>
      </c>
      <c r="L72" s="100">
        <v>32.17</v>
      </c>
      <c r="M72" s="100">
        <v>29.54</v>
      </c>
      <c r="N72" s="100">
        <v>59.3</v>
      </c>
      <c r="O72" s="100">
        <v>0</v>
      </c>
      <c r="P72" s="100">
        <v>0.73</v>
      </c>
      <c r="Q72" s="100">
        <v>12.9</v>
      </c>
      <c r="R72" s="6"/>
      <c r="S72" s="6"/>
      <c r="T72" s="156"/>
      <c r="U72" s="6"/>
    </row>
    <row r="73" spans="1:21" customFormat="1">
      <c r="A73" s="163" t="s">
        <v>2031</v>
      </c>
      <c r="B73" s="100">
        <v>4.01</v>
      </c>
      <c r="C73" s="100">
        <v>24.05</v>
      </c>
      <c r="D73" s="100">
        <v>17.13</v>
      </c>
      <c r="E73" s="100">
        <v>32.22</v>
      </c>
      <c r="F73" s="152" t="s">
        <v>15</v>
      </c>
      <c r="G73" s="100">
        <v>67.73</v>
      </c>
      <c r="H73" s="100">
        <v>38.89</v>
      </c>
      <c r="I73" s="100">
        <v>10.039999999999999</v>
      </c>
      <c r="J73" s="100">
        <v>0.59</v>
      </c>
      <c r="K73" s="100">
        <v>313.95</v>
      </c>
      <c r="L73" s="100">
        <v>32.06</v>
      </c>
      <c r="M73" s="100">
        <v>30.16</v>
      </c>
      <c r="N73" s="100">
        <v>72.8</v>
      </c>
      <c r="O73" s="100">
        <v>0</v>
      </c>
      <c r="P73" s="100">
        <v>0.73</v>
      </c>
      <c r="Q73" s="100">
        <v>12.89</v>
      </c>
      <c r="R73" s="6"/>
      <c r="S73" s="6"/>
      <c r="T73" s="156"/>
      <c r="U73" s="6"/>
    </row>
    <row r="74" spans="1:21" customFormat="1">
      <c r="A74" s="163" t="s">
        <v>2032</v>
      </c>
      <c r="B74" s="100">
        <v>4.0999999999999996</v>
      </c>
      <c r="C74" s="100">
        <v>24.17</v>
      </c>
      <c r="D74" s="100">
        <v>17.260000000000002</v>
      </c>
      <c r="E74" s="100">
        <v>35.89</v>
      </c>
      <c r="F74" s="152" t="s">
        <v>15</v>
      </c>
      <c r="G74" s="100">
        <v>67.16</v>
      </c>
      <c r="H74" s="100">
        <v>37.79</v>
      </c>
      <c r="I74" s="100">
        <v>9.67</v>
      </c>
      <c r="J74" s="100">
        <v>0.79</v>
      </c>
      <c r="K74" s="100">
        <v>322.26</v>
      </c>
      <c r="L74" s="100">
        <v>32</v>
      </c>
      <c r="M74" s="100">
        <v>30.13</v>
      </c>
      <c r="N74" s="100">
        <v>46.6</v>
      </c>
      <c r="O74" s="100">
        <v>0</v>
      </c>
      <c r="P74" s="100">
        <v>0.72</v>
      </c>
      <c r="Q74" s="100">
        <v>12.9</v>
      </c>
      <c r="R74" s="6"/>
      <c r="S74" s="6"/>
      <c r="T74" s="156"/>
      <c r="U74" s="6"/>
    </row>
    <row r="75" spans="1:21" customFormat="1">
      <c r="A75" s="163" t="s">
        <v>2033</v>
      </c>
      <c r="B75" s="100">
        <v>4.1900000000000004</v>
      </c>
      <c r="C75" s="100">
        <v>24.07</v>
      </c>
      <c r="D75" s="100">
        <v>17.29</v>
      </c>
      <c r="E75" s="100">
        <v>29.76</v>
      </c>
      <c r="F75" s="152" t="s">
        <v>15</v>
      </c>
      <c r="G75" s="100">
        <v>66.95</v>
      </c>
      <c r="H75" s="100">
        <v>37.770000000000003</v>
      </c>
      <c r="I75" s="100">
        <v>9.35</v>
      </c>
      <c r="J75" s="100">
        <v>0.67</v>
      </c>
      <c r="K75" s="100">
        <v>324.25</v>
      </c>
      <c r="L75" s="100">
        <v>31.86</v>
      </c>
      <c r="M75" s="100">
        <v>30.55</v>
      </c>
      <c r="N75" s="100">
        <v>34.700000000000003</v>
      </c>
      <c r="O75" s="100">
        <v>0</v>
      </c>
      <c r="P75" s="100">
        <v>0.73</v>
      </c>
      <c r="Q75" s="100">
        <v>12.89</v>
      </c>
      <c r="R75" s="6"/>
      <c r="S75" s="6"/>
      <c r="T75" s="156"/>
      <c r="U75" s="6"/>
    </row>
    <row r="76" spans="1:21" customFormat="1">
      <c r="A76" s="163" t="s">
        <v>2034</v>
      </c>
      <c r="B76" s="100">
        <v>4.32</v>
      </c>
      <c r="C76" s="100">
        <v>24.32</v>
      </c>
      <c r="D76" s="100">
        <v>17.52</v>
      </c>
      <c r="E76" s="100">
        <v>44.16</v>
      </c>
      <c r="F76" s="152" t="s">
        <v>15</v>
      </c>
      <c r="G76" s="100">
        <v>66.95</v>
      </c>
      <c r="H76" s="100">
        <v>37.770000000000003</v>
      </c>
      <c r="I76" s="100">
        <v>9.1199999999999992</v>
      </c>
      <c r="J76" s="100">
        <v>0.51</v>
      </c>
      <c r="K76" s="100">
        <v>4.47</v>
      </c>
      <c r="L76" s="100">
        <v>31.78</v>
      </c>
      <c r="M76" s="100">
        <v>30.3</v>
      </c>
      <c r="N76" s="100">
        <v>32.200000000000003</v>
      </c>
      <c r="O76" s="100">
        <v>0</v>
      </c>
      <c r="P76" s="100">
        <v>0.76</v>
      </c>
      <c r="Q76" s="100">
        <v>12.89</v>
      </c>
      <c r="R76" s="6"/>
      <c r="S76" s="6"/>
      <c r="T76" s="156"/>
      <c r="U76" s="6"/>
    </row>
    <row r="77" spans="1:21" customFormat="1">
      <c r="A77" s="163" t="s">
        <v>2035</v>
      </c>
      <c r="B77" s="100">
        <v>4.47</v>
      </c>
      <c r="C77" s="100">
        <v>25.03</v>
      </c>
      <c r="D77" s="100">
        <v>18.010000000000002</v>
      </c>
      <c r="E77" s="100">
        <v>41.89</v>
      </c>
      <c r="F77" s="152" t="s">
        <v>15</v>
      </c>
      <c r="G77" s="100">
        <v>66.95</v>
      </c>
      <c r="H77" s="100">
        <v>37.770000000000003</v>
      </c>
      <c r="I77" s="100">
        <v>9.1</v>
      </c>
      <c r="J77" s="100">
        <v>0.47</v>
      </c>
      <c r="K77" s="100">
        <v>34.590000000000003</v>
      </c>
      <c r="L77" s="100">
        <v>31.59</v>
      </c>
      <c r="M77" s="100">
        <v>30.75</v>
      </c>
      <c r="N77" s="100">
        <v>23.3</v>
      </c>
      <c r="O77" s="100">
        <v>0</v>
      </c>
      <c r="P77" s="100">
        <v>0.76</v>
      </c>
      <c r="Q77" s="100">
        <v>12.91</v>
      </c>
      <c r="R77" s="6"/>
      <c r="S77" s="6"/>
      <c r="T77" s="156"/>
      <c r="U77" s="6"/>
    </row>
    <row r="78" spans="1:21" customFormat="1">
      <c r="A78" s="163" t="s">
        <v>2036</v>
      </c>
      <c r="B78" s="100">
        <v>4.66</v>
      </c>
      <c r="C78" s="100">
        <v>25.7</v>
      </c>
      <c r="D78" s="100">
        <v>18.52</v>
      </c>
      <c r="E78" s="100">
        <v>34.04</v>
      </c>
      <c r="F78" s="152" t="s">
        <v>15</v>
      </c>
      <c r="G78" s="100">
        <v>69.67</v>
      </c>
      <c r="H78" s="100">
        <v>33.869999999999997</v>
      </c>
      <c r="I78" s="100">
        <v>9.0399999999999991</v>
      </c>
      <c r="J78" s="100">
        <v>0.44</v>
      </c>
      <c r="K78" s="100">
        <v>39.15</v>
      </c>
      <c r="L78" s="100">
        <v>31.2</v>
      </c>
      <c r="M78" s="100">
        <v>31.87</v>
      </c>
      <c r="N78" s="100">
        <v>15</v>
      </c>
      <c r="O78" s="100">
        <v>0</v>
      </c>
      <c r="P78" s="100">
        <v>0.78</v>
      </c>
      <c r="Q78" s="100">
        <v>12.91</v>
      </c>
      <c r="R78" s="6"/>
      <c r="S78" s="6"/>
      <c r="T78" s="156"/>
      <c r="U78" s="6"/>
    </row>
    <row r="79" spans="1:21" customFormat="1">
      <c r="A79" s="163" t="s">
        <v>2037</v>
      </c>
      <c r="B79" s="100">
        <v>4.8899999999999997</v>
      </c>
      <c r="C79" s="100">
        <v>26.2</v>
      </c>
      <c r="D79" s="100">
        <v>18.96</v>
      </c>
      <c r="E79" s="100">
        <v>36.82</v>
      </c>
      <c r="F79" s="152" t="s">
        <v>15</v>
      </c>
      <c r="G79" s="100">
        <v>70.650000000000006</v>
      </c>
      <c r="H79" s="100">
        <v>33.81</v>
      </c>
      <c r="I79" s="100">
        <v>9.02</v>
      </c>
      <c r="J79" s="100">
        <v>0.44</v>
      </c>
      <c r="K79" s="100">
        <v>48.55</v>
      </c>
      <c r="L79" s="100">
        <v>30.83</v>
      </c>
      <c r="M79" s="100">
        <v>32.08</v>
      </c>
      <c r="N79" s="100">
        <v>8.5</v>
      </c>
      <c r="O79" s="100">
        <v>0</v>
      </c>
      <c r="P79" s="100">
        <v>0.81</v>
      </c>
      <c r="Q79" s="100">
        <v>12.92</v>
      </c>
      <c r="R79" s="6"/>
      <c r="S79" s="6"/>
      <c r="T79" s="156"/>
      <c r="U79" s="6"/>
    </row>
    <row r="80" spans="1:21" customFormat="1">
      <c r="A80" s="163" t="s">
        <v>2038</v>
      </c>
      <c r="B80" s="100">
        <v>5.29</v>
      </c>
      <c r="C80" s="100">
        <v>26.55</v>
      </c>
      <c r="D80" s="100">
        <v>19.46</v>
      </c>
      <c r="E80" s="100">
        <v>31.96</v>
      </c>
      <c r="F80" s="152" t="s">
        <v>15</v>
      </c>
      <c r="G80" s="100">
        <v>70.650000000000006</v>
      </c>
      <c r="H80" s="100">
        <v>33.81</v>
      </c>
      <c r="I80" s="100">
        <v>9.1</v>
      </c>
      <c r="J80" s="100">
        <v>0.47</v>
      </c>
      <c r="K80" s="100">
        <v>53.89</v>
      </c>
      <c r="L80" s="100">
        <v>30.27</v>
      </c>
      <c r="M80" s="100">
        <v>33.33</v>
      </c>
      <c r="N80" s="100">
        <v>3.8</v>
      </c>
      <c r="O80" s="100">
        <v>0</v>
      </c>
      <c r="P80" s="100">
        <v>0.81</v>
      </c>
      <c r="Q80" s="100">
        <v>12.91</v>
      </c>
      <c r="R80" s="6"/>
      <c r="S80" s="6"/>
      <c r="T80" s="156"/>
      <c r="U80" s="6"/>
    </row>
    <row r="81" spans="1:21" customFormat="1">
      <c r="A81" s="163" t="s">
        <v>2039</v>
      </c>
      <c r="B81" s="100">
        <v>5.92</v>
      </c>
      <c r="C81" s="100">
        <v>27.33</v>
      </c>
      <c r="D81" s="100">
        <v>20.38</v>
      </c>
      <c r="E81" s="100">
        <v>19.36</v>
      </c>
      <c r="F81" s="152" t="s">
        <v>15</v>
      </c>
      <c r="G81" s="100">
        <v>70.650000000000006</v>
      </c>
      <c r="H81" s="100">
        <v>33.81</v>
      </c>
      <c r="I81" s="100">
        <v>9.2799999999999994</v>
      </c>
      <c r="J81" s="100">
        <v>0.39</v>
      </c>
      <c r="K81" s="100">
        <v>50.11</v>
      </c>
      <c r="L81" s="100">
        <v>29.82</v>
      </c>
      <c r="M81" s="100">
        <v>34.25</v>
      </c>
      <c r="N81" s="100">
        <v>1.9</v>
      </c>
      <c r="O81" s="100">
        <v>0</v>
      </c>
      <c r="P81" s="100">
        <v>0.85</v>
      </c>
      <c r="Q81" s="100">
        <v>12.91</v>
      </c>
      <c r="R81" s="6"/>
      <c r="S81" s="6"/>
      <c r="T81" s="156"/>
      <c r="U81" s="6"/>
    </row>
    <row r="82" spans="1:21" customFormat="1">
      <c r="A82" s="163" t="s">
        <v>2040</v>
      </c>
      <c r="B82" s="100">
        <v>6.15</v>
      </c>
      <c r="C82" s="100">
        <v>27.87</v>
      </c>
      <c r="D82" s="100">
        <v>20.84</v>
      </c>
      <c r="E82" s="100">
        <v>14.61</v>
      </c>
      <c r="F82" s="152" t="s">
        <v>15</v>
      </c>
      <c r="G82" s="100">
        <v>77.73</v>
      </c>
      <c r="H82" s="100">
        <v>35.32</v>
      </c>
      <c r="I82" s="100">
        <v>9.51</v>
      </c>
      <c r="J82" s="100">
        <v>0.21</v>
      </c>
      <c r="K82" s="100">
        <v>138.35</v>
      </c>
      <c r="L82" s="100">
        <v>28.55</v>
      </c>
      <c r="M82" s="100">
        <v>42.33</v>
      </c>
      <c r="N82" s="100">
        <v>2.2000000000000002</v>
      </c>
      <c r="O82" s="100">
        <v>0</v>
      </c>
      <c r="P82" s="100">
        <v>0.8</v>
      </c>
      <c r="Q82" s="100">
        <v>12.91</v>
      </c>
      <c r="R82" s="6"/>
      <c r="S82" s="6"/>
      <c r="T82" s="156"/>
      <c r="U82" s="6"/>
    </row>
    <row r="83" spans="1:21" customFormat="1">
      <c r="A83" s="163" t="s">
        <v>2041</v>
      </c>
      <c r="B83" s="100">
        <v>6.35</v>
      </c>
      <c r="C83" s="100">
        <v>27.86</v>
      </c>
      <c r="D83" s="100">
        <v>21</v>
      </c>
      <c r="E83" s="100">
        <v>15.63</v>
      </c>
      <c r="F83" s="152" t="s">
        <v>15</v>
      </c>
      <c r="G83" s="100">
        <v>80.3</v>
      </c>
      <c r="H83" s="100">
        <v>35.35</v>
      </c>
      <c r="I83" s="100">
        <v>9.64</v>
      </c>
      <c r="J83" s="100">
        <v>0.46</v>
      </c>
      <c r="K83" s="100">
        <v>60.85</v>
      </c>
      <c r="L83" s="100">
        <v>28.28</v>
      </c>
      <c r="M83" s="100">
        <v>38.83</v>
      </c>
      <c r="N83" s="100">
        <v>1.1000000000000001</v>
      </c>
      <c r="O83" s="100">
        <v>0</v>
      </c>
      <c r="P83" s="100">
        <v>0.83</v>
      </c>
      <c r="Q83" s="100">
        <v>12.92</v>
      </c>
      <c r="R83" s="6"/>
      <c r="S83" s="6"/>
      <c r="T83" s="156"/>
      <c r="U83" s="6"/>
    </row>
    <row r="84" spans="1:21" customFormat="1">
      <c r="A84" s="163" t="s">
        <v>2042</v>
      </c>
      <c r="B84" s="100">
        <v>6.58</v>
      </c>
      <c r="C84" s="100">
        <v>27.82</v>
      </c>
      <c r="D84" s="100">
        <v>21.16</v>
      </c>
      <c r="E84" s="100">
        <v>15.53</v>
      </c>
      <c r="F84" s="152" t="s">
        <v>15</v>
      </c>
      <c r="G84" s="100">
        <v>80.3</v>
      </c>
      <c r="H84" s="100">
        <v>35.35</v>
      </c>
      <c r="I84" s="100">
        <v>9.65</v>
      </c>
      <c r="J84" s="100">
        <v>0.52</v>
      </c>
      <c r="K84" s="100">
        <v>65.75</v>
      </c>
      <c r="L84" s="100">
        <v>28.4</v>
      </c>
      <c r="M84" s="100">
        <v>37.659999999999997</v>
      </c>
      <c r="N84" s="100">
        <v>1.1000000000000001</v>
      </c>
      <c r="O84" s="100">
        <v>0</v>
      </c>
      <c r="P84" s="100">
        <v>0.84</v>
      </c>
      <c r="Q84" s="100">
        <v>12.93</v>
      </c>
      <c r="R84" s="6"/>
      <c r="S84" s="6"/>
      <c r="T84" s="156"/>
      <c r="U84" s="6"/>
    </row>
    <row r="85" spans="1:21" customFormat="1">
      <c r="A85" s="163" t="s">
        <v>2043</v>
      </c>
      <c r="B85" s="100">
        <v>6.87</v>
      </c>
      <c r="C85" s="100">
        <v>27.53</v>
      </c>
      <c r="D85" s="100">
        <v>21.25</v>
      </c>
      <c r="E85" s="100">
        <v>13.38</v>
      </c>
      <c r="F85" s="152" t="s">
        <v>15</v>
      </c>
      <c r="G85" s="100">
        <v>80.3</v>
      </c>
      <c r="H85" s="100">
        <v>35.35</v>
      </c>
      <c r="I85" s="100">
        <v>10.5</v>
      </c>
      <c r="J85" s="100">
        <v>0.19</v>
      </c>
      <c r="K85" s="100">
        <v>147.71</v>
      </c>
      <c r="L85" s="100">
        <v>27.3</v>
      </c>
      <c r="M85" s="100">
        <v>48.44</v>
      </c>
      <c r="N85" s="100">
        <v>2.1</v>
      </c>
      <c r="O85" s="100">
        <v>0</v>
      </c>
      <c r="P85" s="100">
        <v>0.83</v>
      </c>
      <c r="Q85" s="100">
        <v>12.94</v>
      </c>
      <c r="R85" s="6"/>
      <c r="S85" s="6"/>
      <c r="T85" s="156"/>
      <c r="U85" s="6"/>
    </row>
    <row r="86" spans="1:21" customFormat="1">
      <c r="A86" s="163" t="s">
        <v>2044</v>
      </c>
      <c r="B86" s="100">
        <v>7.07</v>
      </c>
      <c r="C86" s="100">
        <v>27.31</v>
      </c>
      <c r="D86" s="100">
        <v>21.29</v>
      </c>
      <c r="E86" s="100">
        <v>11.43</v>
      </c>
      <c r="F86" s="152" t="s">
        <v>15</v>
      </c>
      <c r="G86" s="100">
        <v>89.97</v>
      </c>
      <c r="H86" s="100">
        <v>34.64</v>
      </c>
      <c r="I86" s="100">
        <v>11.27</v>
      </c>
      <c r="J86" s="100">
        <v>0.25</v>
      </c>
      <c r="K86" s="100">
        <v>160.21</v>
      </c>
      <c r="L86" s="100">
        <v>26.41</v>
      </c>
      <c r="M86" s="100">
        <v>49.91</v>
      </c>
      <c r="N86" s="100">
        <v>1.8</v>
      </c>
      <c r="O86" s="100">
        <v>0</v>
      </c>
      <c r="P86" s="100">
        <v>0.84</v>
      </c>
      <c r="Q86" s="100">
        <v>12.92</v>
      </c>
      <c r="R86" s="6"/>
      <c r="S86" s="6"/>
      <c r="T86" s="156"/>
      <c r="U86" s="6"/>
    </row>
    <row r="87" spans="1:21" customFormat="1">
      <c r="A87" s="163" t="s">
        <v>2045</v>
      </c>
      <c r="B87" s="100">
        <v>7.23</v>
      </c>
      <c r="C87" s="100">
        <v>27.24</v>
      </c>
      <c r="D87" s="100">
        <v>21.38</v>
      </c>
      <c r="E87" s="100">
        <v>11.36</v>
      </c>
      <c r="F87" s="152" t="s">
        <v>15</v>
      </c>
      <c r="G87" s="100">
        <v>93.49</v>
      </c>
      <c r="H87" s="100">
        <v>34.630000000000003</v>
      </c>
      <c r="I87" s="100">
        <v>10.91</v>
      </c>
      <c r="J87" s="100">
        <v>0.27</v>
      </c>
      <c r="K87" s="100">
        <v>233.35</v>
      </c>
      <c r="L87" s="100">
        <v>25.46</v>
      </c>
      <c r="M87" s="100">
        <v>52.79</v>
      </c>
      <c r="N87" s="100">
        <v>2</v>
      </c>
      <c r="O87" s="100">
        <v>0</v>
      </c>
      <c r="P87" s="100">
        <v>0.85</v>
      </c>
      <c r="Q87" s="100">
        <v>12.92</v>
      </c>
      <c r="R87" s="6"/>
      <c r="S87" s="6"/>
      <c r="T87" s="156"/>
      <c r="U87" s="6"/>
    </row>
    <row r="88" spans="1:21" customFormat="1">
      <c r="A88" s="163" t="s">
        <v>2046</v>
      </c>
      <c r="B88" s="100">
        <v>7.47</v>
      </c>
      <c r="C88" s="100">
        <v>26.71</v>
      </c>
      <c r="D88" s="100">
        <v>21.3</v>
      </c>
      <c r="E88" s="100">
        <v>10.85</v>
      </c>
      <c r="F88" s="152" t="s">
        <v>15</v>
      </c>
      <c r="G88" s="100">
        <v>93.49</v>
      </c>
      <c r="H88" s="100">
        <v>34.630000000000003</v>
      </c>
      <c r="I88" s="100">
        <v>10.66</v>
      </c>
      <c r="J88" s="100">
        <v>0.23</v>
      </c>
      <c r="K88" s="100">
        <v>181.52</v>
      </c>
      <c r="L88" s="100">
        <v>24.97</v>
      </c>
      <c r="M88" s="100">
        <v>55</v>
      </c>
      <c r="N88" s="100">
        <v>1.7</v>
      </c>
      <c r="O88" s="100">
        <v>0</v>
      </c>
      <c r="P88" s="100">
        <v>0.87</v>
      </c>
      <c r="Q88" s="100">
        <v>12.91</v>
      </c>
      <c r="R88" s="6"/>
      <c r="S88" s="6"/>
      <c r="T88" s="156"/>
      <c r="U88" s="6"/>
    </row>
    <row r="89" spans="1:21" customFormat="1">
      <c r="A89" s="163" t="s">
        <v>2047</v>
      </c>
      <c r="B89" s="100">
        <v>7.57</v>
      </c>
      <c r="C89" s="100">
        <v>26.3</v>
      </c>
      <c r="D89" s="100">
        <v>21.16</v>
      </c>
      <c r="E89" s="100">
        <v>10.56</v>
      </c>
      <c r="F89" s="152" t="s">
        <v>15</v>
      </c>
      <c r="G89" s="100">
        <v>93.49</v>
      </c>
      <c r="H89" s="100">
        <v>34.630000000000003</v>
      </c>
      <c r="I89" s="100">
        <v>10.84</v>
      </c>
      <c r="J89" s="100">
        <v>0.23</v>
      </c>
      <c r="K89" s="100">
        <v>173.21</v>
      </c>
      <c r="L89" s="100">
        <v>24.55</v>
      </c>
      <c r="M89" s="100">
        <v>55.46</v>
      </c>
      <c r="N89" s="100">
        <v>1.2</v>
      </c>
      <c r="O89" s="100">
        <v>0</v>
      </c>
      <c r="P89" s="100">
        <v>0.87</v>
      </c>
      <c r="Q89" s="100">
        <v>12.9</v>
      </c>
      <c r="R89" s="6"/>
      <c r="S89" s="6"/>
      <c r="T89" s="156"/>
      <c r="U89" s="6"/>
    </row>
    <row r="90" spans="1:21" customFormat="1">
      <c r="A90" s="163" t="s">
        <v>2048</v>
      </c>
      <c r="B90" s="100">
        <v>7.68</v>
      </c>
      <c r="C90" s="100">
        <v>25.91</v>
      </c>
      <c r="D90" s="100">
        <v>21.04</v>
      </c>
      <c r="E90" s="100">
        <v>9.9700000000000006</v>
      </c>
      <c r="F90" s="152" t="s">
        <v>15</v>
      </c>
      <c r="G90" s="100">
        <v>102.73</v>
      </c>
      <c r="H90" s="100">
        <v>35.61</v>
      </c>
      <c r="I90" s="100">
        <v>10.94</v>
      </c>
      <c r="J90" s="100">
        <v>0.19</v>
      </c>
      <c r="K90" s="100">
        <v>205.05</v>
      </c>
      <c r="L90" s="100">
        <v>24.25</v>
      </c>
      <c r="M90" s="100">
        <v>57.82</v>
      </c>
      <c r="N90" s="100">
        <v>1.5</v>
      </c>
      <c r="O90" s="100">
        <v>0</v>
      </c>
      <c r="P90" s="100">
        <v>0.86</v>
      </c>
      <c r="Q90" s="100">
        <v>12.91</v>
      </c>
      <c r="R90" s="6"/>
      <c r="S90" s="6"/>
      <c r="T90" s="156"/>
      <c r="U90" s="6"/>
    </row>
    <row r="91" spans="1:21" customFormat="1">
      <c r="A91" s="163" t="s">
        <v>2049</v>
      </c>
      <c r="B91" s="100">
        <v>7.63</v>
      </c>
      <c r="C91" s="100">
        <v>25.4</v>
      </c>
      <c r="D91" s="100">
        <v>20.74</v>
      </c>
      <c r="E91" s="100">
        <v>10.82</v>
      </c>
      <c r="F91" s="152" t="s">
        <v>15</v>
      </c>
      <c r="G91" s="100">
        <v>106.09</v>
      </c>
      <c r="H91" s="100">
        <v>35.619999999999997</v>
      </c>
      <c r="I91" s="100">
        <v>10.96</v>
      </c>
      <c r="J91" s="100">
        <v>0.19</v>
      </c>
      <c r="K91" s="100">
        <v>166.46</v>
      </c>
      <c r="L91" s="100">
        <v>24.18</v>
      </c>
      <c r="M91" s="100">
        <v>57.46</v>
      </c>
      <c r="N91" s="100">
        <v>1.1000000000000001</v>
      </c>
      <c r="O91" s="100">
        <v>0</v>
      </c>
      <c r="P91" s="100">
        <v>0.81</v>
      </c>
      <c r="Q91" s="100">
        <v>12.92</v>
      </c>
      <c r="R91" s="6"/>
      <c r="S91" s="6"/>
      <c r="T91" s="156"/>
      <c r="U91" s="6"/>
    </row>
    <row r="92" spans="1:21" customFormat="1">
      <c r="A92" s="163" t="s">
        <v>2050</v>
      </c>
      <c r="B92" s="100">
        <v>7.42</v>
      </c>
      <c r="C92" s="100">
        <v>25.63</v>
      </c>
      <c r="D92" s="100">
        <v>20.69</v>
      </c>
      <c r="E92" s="100">
        <v>10.45</v>
      </c>
      <c r="F92" s="152" t="s">
        <v>15</v>
      </c>
      <c r="G92" s="100">
        <v>106.09</v>
      </c>
      <c r="H92" s="100">
        <v>35.619999999999997</v>
      </c>
      <c r="I92" s="100">
        <v>10.98</v>
      </c>
      <c r="J92" s="100">
        <v>0.23</v>
      </c>
      <c r="K92" s="100">
        <v>199.15</v>
      </c>
      <c r="L92" s="100">
        <v>23.95</v>
      </c>
      <c r="M92" s="100">
        <v>61.64</v>
      </c>
      <c r="N92" s="100">
        <v>1.3</v>
      </c>
      <c r="O92" s="100">
        <v>0</v>
      </c>
      <c r="P92" s="100">
        <v>0.81</v>
      </c>
      <c r="Q92" s="100">
        <v>12.92</v>
      </c>
      <c r="R92" s="6"/>
      <c r="S92" s="6"/>
      <c r="T92" s="156"/>
      <c r="U92" s="6"/>
    </row>
    <row r="93" spans="1:21" customFormat="1">
      <c r="A93" s="163" t="s">
        <v>2051</v>
      </c>
      <c r="B93" s="100">
        <v>7.35</v>
      </c>
      <c r="C93" s="100">
        <v>25.83</v>
      </c>
      <c r="D93" s="100">
        <v>20.75</v>
      </c>
      <c r="E93" s="100">
        <v>9.9</v>
      </c>
      <c r="F93" s="152" t="s">
        <v>15</v>
      </c>
      <c r="G93" s="100">
        <v>106.09</v>
      </c>
      <c r="H93" s="100">
        <v>35.619999999999997</v>
      </c>
      <c r="I93" s="100">
        <v>11.03</v>
      </c>
      <c r="J93" s="100">
        <v>0.2</v>
      </c>
      <c r="K93" s="100">
        <v>175.49</v>
      </c>
      <c r="L93" s="100">
        <v>23.52</v>
      </c>
      <c r="M93" s="100">
        <v>61.27</v>
      </c>
      <c r="N93" s="100">
        <v>1.2</v>
      </c>
      <c r="O93" s="100">
        <v>0</v>
      </c>
      <c r="P93" s="100">
        <v>0.81</v>
      </c>
      <c r="Q93" s="100">
        <v>12.94</v>
      </c>
      <c r="R93" s="6"/>
      <c r="S93" s="6"/>
      <c r="T93" s="156"/>
      <c r="U93" s="6"/>
    </row>
    <row r="94" spans="1:21" customFormat="1">
      <c r="A94" s="163" t="s">
        <v>2052</v>
      </c>
      <c r="B94" s="100">
        <v>7.31</v>
      </c>
      <c r="C94" s="100">
        <v>25.89</v>
      </c>
      <c r="D94" s="100">
        <v>20.74</v>
      </c>
      <c r="E94" s="100">
        <v>10.35</v>
      </c>
      <c r="F94" s="152" t="s">
        <v>15</v>
      </c>
      <c r="G94" s="100">
        <v>107.21</v>
      </c>
      <c r="H94" s="100">
        <v>35.03</v>
      </c>
      <c r="I94" s="100">
        <v>11.08</v>
      </c>
      <c r="J94" s="100">
        <v>0.23</v>
      </c>
      <c r="K94" s="100">
        <v>181.23</v>
      </c>
      <c r="L94" s="100">
        <v>23.4</v>
      </c>
      <c r="M94" s="100">
        <v>64.37</v>
      </c>
      <c r="N94" s="100">
        <v>1.2</v>
      </c>
      <c r="O94" s="100">
        <v>0</v>
      </c>
      <c r="P94" s="100">
        <v>0.83</v>
      </c>
      <c r="Q94" s="100">
        <v>12.93</v>
      </c>
      <c r="R94" s="6"/>
      <c r="S94" s="6"/>
      <c r="T94" s="156"/>
      <c r="U94" s="6"/>
    </row>
    <row r="95" spans="1:21" customFormat="1">
      <c r="A95" s="163" t="s">
        <v>2053</v>
      </c>
      <c r="B95" s="100">
        <v>7.38</v>
      </c>
      <c r="C95" s="100">
        <v>25.81</v>
      </c>
      <c r="D95" s="100">
        <v>20.75</v>
      </c>
      <c r="E95" s="100">
        <v>10.25</v>
      </c>
      <c r="F95" s="152" t="s">
        <v>15</v>
      </c>
      <c r="G95" s="100">
        <v>107.61</v>
      </c>
      <c r="H95" s="100">
        <v>35.020000000000003</v>
      </c>
      <c r="I95" s="100">
        <v>11.15</v>
      </c>
      <c r="J95" s="100">
        <v>0.24</v>
      </c>
      <c r="K95" s="100">
        <v>170.26</v>
      </c>
      <c r="L95" s="100">
        <v>23.18</v>
      </c>
      <c r="M95" s="100">
        <v>65.55</v>
      </c>
      <c r="N95" s="100">
        <v>1.2</v>
      </c>
      <c r="O95" s="100">
        <v>0</v>
      </c>
      <c r="P95" s="100">
        <v>0.83</v>
      </c>
      <c r="Q95" s="100">
        <v>12.93</v>
      </c>
      <c r="R95" s="6"/>
      <c r="S95" s="6"/>
      <c r="T95" s="156"/>
      <c r="U95" s="6"/>
    </row>
    <row r="96" spans="1:21" customFormat="1">
      <c r="A96" s="163" t="s">
        <v>2054</v>
      </c>
      <c r="B96" s="100">
        <v>7.4</v>
      </c>
      <c r="C96" s="100">
        <v>25.71</v>
      </c>
      <c r="D96" s="100">
        <v>20.72</v>
      </c>
      <c r="E96" s="100">
        <v>10.5</v>
      </c>
      <c r="F96" s="152" t="s">
        <v>15</v>
      </c>
      <c r="G96" s="100">
        <v>107.61</v>
      </c>
      <c r="H96" s="100">
        <v>35.020000000000003</v>
      </c>
      <c r="I96" s="100">
        <v>11.27</v>
      </c>
      <c r="J96" s="100">
        <v>0.21</v>
      </c>
      <c r="K96" s="100">
        <v>204.52</v>
      </c>
      <c r="L96" s="100">
        <v>22.81</v>
      </c>
      <c r="M96" s="100">
        <v>64.03</v>
      </c>
      <c r="N96" s="100">
        <v>1.4</v>
      </c>
      <c r="O96" s="100">
        <v>0</v>
      </c>
      <c r="P96" s="100">
        <v>0.84</v>
      </c>
      <c r="Q96" s="100">
        <v>12.93</v>
      </c>
      <c r="R96" s="6"/>
      <c r="S96" s="6"/>
      <c r="T96" s="156"/>
      <c r="U96" s="6"/>
    </row>
    <row r="97" spans="1:28" customFormat="1">
      <c r="A97" s="163" t="s">
        <v>2055</v>
      </c>
      <c r="B97" s="100">
        <v>7.32</v>
      </c>
      <c r="C97" s="100">
        <v>25.73</v>
      </c>
      <c r="D97" s="100">
        <v>20.66</v>
      </c>
      <c r="E97" s="100">
        <v>10.49</v>
      </c>
      <c r="F97" s="152" t="s">
        <v>15</v>
      </c>
      <c r="G97" s="100">
        <v>107.61</v>
      </c>
      <c r="H97" s="100">
        <v>35.020000000000003</v>
      </c>
      <c r="I97" s="100">
        <v>11.42</v>
      </c>
      <c r="J97" s="100">
        <v>0.19</v>
      </c>
      <c r="K97" s="100">
        <v>186.97</v>
      </c>
      <c r="L97" s="100">
        <v>22.78</v>
      </c>
      <c r="M97" s="100">
        <v>64.22</v>
      </c>
      <c r="N97" s="100">
        <v>1.2</v>
      </c>
      <c r="O97" s="100">
        <v>0</v>
      </c>
      <c r="P97" s="100">
        <v>0.85</v>
      </c>
      <c r="Q97" s="100">
        <v>12.93</v>
      </c>
      <c r="R97" s="6"/>
      <c r="S97" s="6"/>
      <c r="T97" s="156"/>
      <c r="U97" s="6"/>
    </row>
    <row r="98" spans="1:28" customFormat="1">
      <c r="A98" s="163" t="s">
        <v>2056</v>
      </c>
      <c r="B98" s="100">
        <v>7.2</v>
      </c>
      <c r="C98" s="100">
        <v>25.46</v>
      </c>
      <c r="D98" s="100">
        <v>20.43</v>
      </c>
      <c r="E98" s="100">
        <v>10.18</v>
      </c>
      <c r="F98" s="152" t="s">
        <v>15</v>
      </c>
      <c r="G98" s="100">
        <v>102.21</v>
      </c>
      <c r="H98" s="100">
        <v>30.59</v>
      </c>
      <c r="I98" s="100">
        <v>11.51</v>
      </c>
      <c r="J98" s="100">
        <v>0.2</v>
      </c>
      <c r="K98" s="100">
        <v>179.71</v>
      </c>
      <c r="L98" s="100">
        <v>22.69</v>
      </c>
      <c r="M98" s="100">
        <v>62.92</v>
      </c>
      <c r="N98" s="100">
        <v>1.1000000000000001</v>
      </c>
      <c r="O98" s="100">
        <v>0</v>
      </c>
      <c r="P98" s="100">
        <v>0.86</v>
      </c>
      <c r="Q98" s="100">
        <v>12.94</v>
      </c>
      <c r="R98" s="6"/>
      <c r="S98" s="6"/>
      <c r="T98" s="156"/>
      <c r="U98" s="6"/>
    </row>
    <row r="99" spans="1:28" customFormat="1">
      <c r="A99" s="163" t="s">
        <v>2057</v>
      </c>
      <c r="B99" s="100">
        <v>7.12</v>
      </c>
      <c r="C99" s="100">
        <v>25.2</v>
      </c>
      <c r="D99" s="100">
        <v>20.22</v>
      </c>
      <c r="E99" s="100">
        <v>10.67</v>
      </c>
      <c r="F99" s="152" t="s">
        <v>15</v>
      </c>
      <c r="G99" s="100">
        <v>100.25</v>
      </c>
      <c r="H99" s="100">
        <v>30.53</v>
      </c>
      <c r="I99" s="100">
        <v>11.55</v>
      </c>
      <c r="J99" s="100">
        <v>0.22</v>
      </c>
      <c r="K99" s="100">
        <v>180.46</v>
      </c>
      <c r="L99" s="100">
        <v>22.44</v>
      </c>
      <c r="M99" s="100">
        <v>66.64</v>
      </c>
      <c r="N99" s="100">
        <v>1.3</v>
      </c>
      <c r="O99" s="100">
        <v>0</v>
      </c>
      <c r="P99" s="100">
        <v>0.86</v>
      </c>
      <c r="Q99" s="100">
        <v>12.93</v>
      </c>
      <c r="R99" s="6"/>
      <c r="S99" s="6"/>
      <c r="T99" s="156"/>
      <c r="U99" s="6"/>
    </row>
    <row r="100" spans="1:28" customFormat="1">
      <c r="A100" s="163" t="s">
        <v>2058</v>
      </c>
      <c r="B100" s="100">
        <v>7.1</v>
      </c>
      <c r="C100" s="100">
        <v>25.11</v>
      </c>
      <c r="D100" s="100">
        <v>20.170000000000002</v>
      </c>
      <c r="E100" s="100">
        <v>10.199999999999999</v>
      </c>
      <c r="F100" s="152" t="s">
        <v>15</v>
      </c>
      <c r="G100" s="100">
        <v>100.25</v>
      </c>
      <c r="H100" s="100">
        <v>30.53</v>
      </c>
      <c r="I100" s="100">
        <v>11.67</v>
      </c>
      <c r="J100" s="100">
        <v>0.2</v>
      </c>
      <c r="K100" s="100">
        <v>176.79</v>
      </c>
      <c r="L100" s="100">
        <v>22.17</v>
      </c>
      <c r="M100" s="100">
        <v>68.16</v>
      </c>
      <c r="N100" s="100">
        <v>1.1000000000000001</v>
      </c>
      <c r="O100" s="100">
        <v>0</v>
      </c>
      <c r="P100" s="100">
        <v>0.86</v>
      </c>
      <c r="Q100" s="100">
        <v>12.93</v>
      </c>
      <c r="R100" s="6"/>
      <c r="S100" s="6"/>
      <c r="T100" s="156"/>
      <c r="U100" s="6"/>
      <c r="AB100" s="161"/>
    </row>
    <row r="101" spans="1:28" customFormat="1">
      <c r="A101" s="163" t="s">
        <v>2059</v>
      </c>
      <c r="B101" s="100">
        <v>7.13</v>
      </c>
      <c r="C101" s="100">
        <v>25.05</v>
      </c>
      <c r="D101" s="100">
        <v>20.149999999999999</v>
      </c>
      <c r="E101" s="100">
        <v>10.14</v>
      </c>
      <c r="F101" s="152" t="s">
        <v>15</v>
      </c>
      <c r="G101" s="100">
        <v>100.25</v>
      </c>
      <c r="H101" s="100">
        <v>30.53</v>
      </c>
      <c r="I101" s="100">
        <v>11.82</v>
      </c>
      <c r="J101" s="100">
        <v>0.25</v>
      </c>
      <c r="K101" s="100">
        <v>162.6</v>
      </c>
      <c r="L101" s="100">
        <v>22.05</v>
      </c>
      <c r="M101" s="100">
        <v>68.91</v>
      </c>
      <c r="N101" s="100">
        <v>1.2</v>
      </c>
      <c r="O101" s="100">
        <v>0</v>
      </c>
      <c r="P101" s="100">
        <v>0.86</v>
      </c>
      <c r="Q101" s="100">
        <v>12.91</v>
      </c>
      <c r="R101" s="6"/>
      <c r="S101" s="6"/>
      <c r="T101" s="156"/>
      <c r="U101" s="6"/>
    </row>
    <row r="102" spans="1:28" customFormat="1">
      <c r="A102" s="163" t="s">
        <v>2060</v>
      </c>
      <c r="B102" s="100">
        <v>7.2</v>
      </c>
      <c r="C102" s="100">
        <v>24.86</v>
      </c>
      <c r="D102" s="100">
        <v>20.11</v>
      </c>
      <c r="E102" s="100">
        <v>10.41</v>
      </c>
      <c r="F102" s="152" t="s">
        <v>15</v>
      </c>
      <c r="G102" s="100">
        <v>105.79</v>
      </c>
      <c r="H102" s="100">
        <v>31.97</v>
      </c>
      <c r="I102" s="100">
        <v>11.89</v>
      </c>
      <c r="J102" s="100">
        <v>0.2</v>
      </c>
      <c r="K102" s="100">
        <v>174.45</v>
      </c>
      <c r="L102" s="100">
        <v>21.89</v>
      </c>
      <c r="M102" s="100">
        <v>67.709999999999994</v>
      </c>
      <c r="N102" s="100">
        <v>1.2</v>
      </c>
      <c r="O102" s="100">
        <v>0</v>
      </c>
      <c r="P102" s="100">
        <v>0.86</v>
      </c>
      <c r="Q102" s="100">
        <v>12.91</v>
      </c>
      <c r="R102" s="6"/>
      <c r="S102" s="6"/>
      <c r="T102" s="156"/>
      <c r="U102" s="6"/>
    </row>
    <row r="103" spans="1:28" customFormat="1">
      <c r="A103" s="163" t="s">
        <v>2061</v>
      </c>
      <c r="B103" s="100">
        <v>7.22</v>
      </c>
      <c r="C103" s="100">
        <v>24.64</v>
      </c>
      <c r="D103" s="100">
        <v>20.010000000000002</v>
      </c>
      <c r="E103" s="100">
        <v>10.65</v>
      </c>
      <c r="F103" s="152" t="s">
        <v>15</v>
      </c>
      <c r="G103" s="100">
        <v>107.8</v>
      </c>
      <c r="H103" s="100">
        <v>31.99</v>
      </c>
      <c r="I103" s="100">
        <v>11.93</v>
      </c>
      <c r="J103" s="100">
        <v>0.19</v>
      </c>
      <c r="K103" s="100">
        <v>174.01</v>
      </c>
      <c r="L103" s="100">
        <v>21.86</v>
      </c>
      <c r="M103" s="100">
        <v>63.8</v>
      </c>
      <c r="N103" s="100">
        <v>1</v>
      </c>
      <c r="O103" s="100">
        <v>0</v>
      </c>
      <c r="P103" s="100">
        <v>0.86</v>
      </c>
      <c r="Q103" s="100">
        <v>12.91</v>
      </c>
      <c r="R103" s="6"/>
      <c r="S103" s="6"/>
      <c r="T103" s="156"/>
      <c r="U103" s="6"/>
    </row>
    <row r="104" spans="1:28" customFormat="1">
      <c r="A104" s="163" t="s">
        <v>2062</v>
      </c>
      <c r="B104" s="100">
        <v>7.08</v>
      </c>
      <c r="C104" s="100">
        <v>24.57</v>
      </c>
      <c r="D104" s="100">
        <v>19.87</v>
      </c>
      <c r="E104" s="100">
        <v>10.59</v>
      </c>
      <c r="F104" s="152" t="s">
        <v>15</v>
      </c>
      <c r="G104" s="100">
        <v>107.8</v>
      </c>
      <c r="H104" s="100">
        <v>31.99</v>
      </c>
      <c r="I104" s="100">
        <v>11.92</v>
      </c>
      <c r="J104" s="100">
        <v>0.15</v>
      </c>
      <c r="K104" s="100">
        <v>200.21</v>
      </c>
      <c r="L104" s="100">
        <v>21.82</v>
      </c>
      <c r="M104" s="100">
        <v>64.27</v>
      </c>
      <c r="N104" s="100">
        <v>1.1000000000000001</v>
      </c>
      <c r="O104" s="100">
        <v>0</v>
      </c>
      <c r="P104" s="100">
        <v>0.85</v>
      </c>
      <c r="Q104" s="100">
        <v>12.93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3.77</v>
      </c>
      <c r="C106" s="158">
        <f>MIN(C9:C104)</f>
        <v>21.03</v>
      </c>
      <c r="D106" s="158">
        <f t="shared" ref="D106:Q106" si="0">MIN(D9:D104)</f>
        <v>16.66</v>
      </c>
      <c r="E106" s="158">
        <f t="shared" si="0"/>
        <v>8.2899999999999991</v>
      </c>
      <c r="F106" s="158">
        <f t="shared" si="0"/>
        <v>0</v>
      </c>
      <c r="G106" s="158">
        <f t="shared" si="0"/>
        <v>66.95</v>
      </c>
      <c r="H106" s="158">
        <f t="shared" si="0"/>
        <v>17.420000000000002</v>
      </c>
      <c r="I106" s="158">
        <f t="shared" si="0"/>
        <v>8.91</v>
      </c>
      <c r="J106" s="158">
        <f t="shared" si="0"/>
        <v>0.03</v>
      </c>
      <c r="K106" s="158">
        <f t="shared" si="0"/>
        <v>4.47</v>
      </c>
      <c r="L106" s="158">
        <f t="shared" si="0"/>
        <v>17.940000000000001</v>
      </c>
      <c r="M106" s="158">
        <f t="shared" si="0"/>
        <v>27.2</v>
      </c>
      <c r="N106" s="158">
        <f t="shared" si="0"/>
        <v>0</v>
      </c>
      <c r="O106" s="158">
        <f t="shared" si="0"/>
        <v>0</v>
      </c>
      <c r="P106" s="158">
        <f t="shared" si="0"/>
        <v>0.71</v>
      </c>
      <c r="Q106" s="158">
        <f t="shared" si="0"/>
        <v>12.89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43.65</v>
      </c>
      <c r="C107" s="157">
        <f t="shared" ref="C107:Q107" si="1">MAX(C9:C104)</f>
        <v>32.409999999999997</v>
      </c>
      <c r="D107" s="157">
        <f t="shared" si="1"/>
        <v>50.39</v>
      </c>
      <c r="E107" s="157">
        <f t="shared" si="1"/>
        <v>44.16</v>
      </c>
      <c r="F107" s="157">
        <f t="shared" si="1"/>
        <v>0</v>
      </c>
      <c r="G107" s="157">
        <f t="shared" si="1"/>
        <v>137.72</v>
      </c>
      <c r="H107" s="157">
        <f t="shared" si="1"/>
        <v>40.85</v>
      </c>
      <c r="I107" s="157">
        <f t="shared" si="1"/>
        <v>17.16</v>
      </c>
      <c r="J107" s="157">
        <f t="shared" si="1"/>
        <v>1.1499999999999999</v>
      </c>
      <c r="K107" s="157">
        <f t="shared" si="1"/>
        <v>324.25</v>
      </c>
      <c r="L107" s="157">
        <f t="shared" si="1"/>
        <v>33.4</v>
      </c>
      <c r="M107" s="157">
        <f t="shared" si="1"/>
        <v>79.5</v>
      </c>
      <c r="N107" s="157">
        <f t="shared" si="1"/>
        <v>335.9</v>
      </c>
      <c r="O107" s="157">
        <f t="shared" si="1"/>
        <v>0</v>
      </c>
      <c r="P107" s="157">
        <f t="shared" si="1"/>
        <v>1.28</v>
      </c>
      <c r="Q107" s="157">
        <f t="shared" si="1"/>
        <v>14.58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15.995937500000005</v>
      </c>
      <c r="C108" s="158">
        <f t="shared" ref="C108:Q108" si="2">AVERAGE(C9:C104)</f>
        <v>25.836354166666663</v>
      </c>
      <c r="D108" s="158">
        <f t="shared" si="2"/>
        <v>27.677083333333339</v>
      </c>
      <c r="E108" s="158">
        <f t="shared" si="2"/>
        <v>13.8221875</v>
      </c>
      <c r="F108" s="158" t="e">
        <f t="shared" si="2"/>
        <v>#DIV/0!</v>
      </c>
      <c r="G108" s="158">
        <f t="shared" si="2"/>
        <v>99.183020833333273</v>
      </c>
      <c r="H108" s="158">
        <f t="shared" si="2"/>
        <v>32.228541666666672</v>
      </c>
      <c r="I108" s="158">
        <f t="shared" si="2"/>
        <v>12.597187500000002</v>
      </c>
      <c r="J108" s="158">
        <f t="shared" si="2"/>
        <v>0.39729166666666677</v>
      </c>
      <c r="K108" s="158">
        <f t="shared" si="2"/>
        <v>176.00937499999995</v>
      </c>
      <c r="L108" s="158">
        <f t="shared" si="2"/>
        <v>25.470624999999995</v>
      </c>
      <c r="M108" s="158">
        <f t="shared" si="2"/>
        <v>49.935937500000016</v>
      </c>
      <c r="N108" s="158">
        <f t="shared" si="2"/>
        <v>85.529166666666711</v>
      </c>
      <c r="O108" s="158">
        <f t="shared" si="2"/>
        <v>0</v>
      </c>
      <c r="P108" s="158">
        <f t="shared" si="2"/>
        <v>0.90916666666666668</v>
      </c>
      <c r="Q108" s="158">
        <f t="shared" si="2"/>
        <v>13.783437500000014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13.210722405692403</v>
      </c>
      <c r="C109" s="158">
        <f t="shared" ref="C109:Q109" si="3">STDEV(C9:C104)</f>
        <v>2.2374817234380484</v>
      </c>
      <c r="D109" s="158">
        <f t="shared" si="3"/>
        <v>10.709714716006467</v>
      </c>
      <c r="E109" s="158">
        <f t="shared" si="3"/>
        <v>7.6088152758044805</v>
      </c>
      <c r="F109" s="158" t="e">
        <f t="shared" si="3"/>
        <v>#DIV/0!</v>
      </c>
      <c r="G109" s="158">
        <f t="shared" si="3"/>
        <v>19.934434324333083</v>
      </c>
      <c r="H109" s="158">
        <f t="shared" si="3"/>
        <v>6.989475242582011</v>
      </c>
      <c r="I109" s="158">
        <f t="shared" si="3"/>
        <v>2.4639086206248453</v>
      </c>
      <c r="J109" s="158">
        <f t="shared" si="3"/>
        <v>0.28166975499189295</v>
      </c>
      <c r="K109" s="158">
        <f t="shared" si="3"/>
        <v>85.922029425857531</v>
      </c>
      <c r="L109" s="158">
        <f t="shared" si="3"/>
        <v>5.2608099861643618</v>
      </c>
      <c r="M109" s="158">
        <f t="shared" si="3"/>
        <v>17.386657048506088</v>
      </c>
      <c r="N109" s="158">
        <f t="shared" si="3"/>
        <v>124.14297098754334</v>
      </c>
      <c r="O109" s="158">
        <f t="shared" si="3"/>
        <v>0</v>
      </c>
      <c r="P109" s="158">
        <f t="shared" si="3"/>
        <v>0.15974760794958284</v>
      </c>
      <c r="Q109" s="158">
        <f t="shared" si="3"/>
        <v>0.83488143264714365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2063</v>
      </c>
      <c r="B9" s="100">
        <v>6.61</v>
      </c>
      <c r="C9" s="100">
        <v>24.13</v>
      </c>
      <c r="D9" s="100">
        <v>19.260000000000002</v>
      </c>
      <c r="E9" s="100">
        <v>9.93</v>
      </c>
      <c r="F9" s="152" t="s">
        <v>15</v>
      </c>
      <c r="G9" s="100">
        <v>107.8</v>
      </c>
      <c r="H9" s="100">
        <v>31.99</v>
      </c>
      <c r="I9" s="100">
        <v>11.87</v>
      </c>
      <c r="J9" s="100">
        <v>0.12</v>
      </c>
      <c r="K9" s="100">
        <v>158.94999999999999</v>
      </c>
      <c r="L9" s="100">
        <v>21.63</v>
      </c>
      <c r="M9" s="100">
        <v>66.95</v>
      </c>
      <c r="N9" s="100">
        <v>1.2</v>
      </c>
      <c r="O9" s="100">
        <v>0</v>
      </c>
      <c r="P9" s="100">
        <v>0.85</v>
      </c>
      <c r="Q9" s="100">
        <v>12.93</v>
      </c>
      <c r="R9" s="6"/>
      <c r="S9" s="6"/>
      <c r="T9" s="156"/>
      <c r="U9" s="6"/>
    </row>
    <row r="10" spans="1:21" customFormat="1">
      <c r="A10" s="163" t="s">
        <v>2064</v>
      </c>
      <c r="B10" s="100">
        <v>7.05</v>
      </c>
      <c r="C10" s="100">
        <v>24.78</v>
      </c>
      <c r="D10" s="100">
        <v>19.95</v>
      </c>
      <c r="E10" s="100">
        <v>10.4</v>
      </c>
      <c r="F10" s="152" t="s">
        <v>15</v>
      </c>
      <c r="G10" s="100">
        <v>111.03</v>
      </c>
      <c r="H10" s="100">
        <v>31.45</v>
      </c>
      <c r="I10" s="100">
        <v>11.83</v>
      </c>
      <c r="J10" s="100">
        <v>0.35</v>
      </c>
      <c r="K10" s="100">
        <v>49.04</v>
      </c>
      <c r="L10" s="100">
        <v>22.04</v>
      </c>
      <c r="M10" s="100">
        <v>61.88</v>
      </c>
      <c r="N10" s="100">
        <v>0.5</v>
      </c>
      <c r="O10" s="100">
        <v>0</v>
      </c>
      <c r="P10" s="100">
        <v>0.86</v>
      </c>
      <c r="Q10" s="100">
        <v>12.95</v>
      </c>
      <c r="R10" s="6"/>
      <c r="S10" s="6"/>
      <c r="T10" s="156"/>
      <c r="U10" s="6"/>
    </row>
    <row r="11" spans="1:21" customFormat="1">
      <c r="A11" s="163" t="s">
        <v>2065</v>
      </c>
      <c r="B11" s="100">
        <v>8.26</v>
      </c>
      <c r="C11" s="100">
        <v>25.64</v>
      </c>
      <c r="D11" s="100">
        <v>21.37</v>
      </c>
      <c r="E11" s="100">
        <v>10.119999999999999</v>
      </c>
      <c r="F11" s="152" t="s">
        <v>15</v>
      </c>
      <c r="G11" s="100">
        <v>112.2</v>
      </c>
      <c r="H11" s="100">
        <v>31.44</v>
      </c>
      <c r="I11" s="100">
        <v>11.79</v>
      </c>
      <c r="J11" s="100">
        <v>0.32</v>
      </c>
      <c r="K11" s="100">
        <v>39.82</v>
      </c>
      <c r="L11" s="100">
        <v>22.39</v>
      </c>
      <c r="M11" s="100">
        <v>59.8</v>
      </c>
      <c r="N11" s="100">
        <v>0.7</v>
      </c>
      <c r="O11" s="100">
        <v>0</v>
      </c>
      <c r="P11" s="100">
        <v>0.86</v>
      </c>
      <c r="Q11" s="100">
        <v>12.93</v>
      </c>
      <c r="R11" s="6"/>
      <c r="S11" s="6"/>
      <c r="T11" s="156"/>
      <c r="U11" s="6"/>
    </row>
    <row r="12" spans="1:21" customFormat="1">
      <c r="A12" s="163" t="s">
        <v>2066</v>
      </c>
      <c r="B12" s="100">
        <v>9.1</v>
      </c>
      <c r="C12" s="100">
        <v>26.29</v>
      </c>
      <c r="D12" s="100">
        <v>22.38</v>
      </c>
      <c r="E12" s="100">
        <v>9.89</v>
      </c>
      <c r="F12" s="152" t="s">
        <v>15</v>
      </c>
      <c r="G12" s="100">
        <v>112.2</v>
      </c>
      <c r="H12" s="100">
        <v>31.44</v>
      </c>
      <c r="I12" s="100">
        <v>11.83</v>
      </c>
      <c r="J12" s="100">
        <v>0.41</v>
      </c>
      <c r="K12" s="100">
        <v>23.77</v>
      </c>
      <c r="L12" s="100">
        <v>22.74</v>
      </c>
      <c r="M12" s="100">
        <v>56.16</v>
      </c>
      <c r="N12" s="100">
        <v>0.7</v>
      </c>
      <c r="O12" s="100">
        <v>0</v>
      </c>
      <c r="P12" s="100">
        <v>0.87</v>
      </c>
      <c r="Q12" s="100">
        <v>12.94</v>
      </c>
      <c r="R12" s="6"/>
      <c r="S12" s="6"/>
      <c r="T12" s="156"/>
      <c r="U12" s="6"/>
    </row>
    <row r="13" spans="1:21" customFormat="1">
      <c r="A13" s="163" t="s">
        <v>2067</v>
      </c>
      <c r="B13" s="100">
        <v>9.59</v>
      </c>
      <c r="C13" s="100">
        <v>26.8</v>
      </c>
      <c r="D13" s="100">
        <v>23.05</v>
      </c>
      <c r="E13" s="100">
        <v>10.19</v>
      </c>
      <c r="F13" s="152" t="s">
        <v>15</v>
      </c>
      <c r="G13" s="100">
        <v>112.2</v>
      </c>
      <c r="H13" s="100">
        <v>31.44</v>
      </c>
      <c r="I13" s="100">
        <v>11.94</v>
      </c>
      <c r="J13" s="100">
        <v>7.0000000000000007E-2</v>
      </c>
      <c r="K13" s="100">
        <v>210.43</v>
      </c>
      <c r="L13" s="100">
        <v>22.37</v>
      </c>
      <c r="M13" s="100">
        <v>59.76</v>
      </c>
      <c r="N13" s="100">
        <v>1.5</v>
      </c>
      <c r="O13" s="100">
        <v>0</v>
      </c>
      <c r="P13" s="100">
        <v>0.87</v>
      </c>
      <c r="Q13" s="100">
        <v>12.93</v>
      </c>
      <c r="R13" s="6"/>
      <c r="S13" s="6"/>
      <c r="T13" s="156"/>
      <c r="U13" s="6"/>
    </row>
    <row r="14" spans="1:21" customFormat="1">
      <c r="A14" s="163" t="s">
        <v>2068</v>
      </c>
      <c r="B14" s="100">
        <v>10.19</v>
      </c>
      <c r="C14" s="100">
        <v>27.34</v>
      </c>
      <c r="D14" s="100">
        <v>23.81</v>
      </c>
      <c r="E14" s="100">
        <v>10.199999999999999</v>
      </c>
      <c r="F14" s="152" t="s">
        <v>15</v>
      </c>
      <c r="G14" s="100">
        <v>115.97</v>
      </c>
      <c r="H14" s="100">
        <v>30.73</v>
      </c>
      <c r="I14" s="100">
        <v>12.08</v>
      </c>
      <c r="J14" s="100">
        <v>0.11</v>
      </c>
      <c r="K14" s="100">
        <v>160.6</v>
      </c>
      <c r="L14" s="100">
        <v>22.02</v>
      </c>
      <c r="M14" s="100">
        <v>62.2</v>
      </c>
      <c r="N14" s="100">
        <v>1.4</v>
      </c>
      <c r="O14" s="100">
        <v>0</v>
      </c>
      <c r="P14" s="100">
        <v>0.88</v>
      </c>
      <c r="Q14" s="100">
        <v>12.94</v>
      </c>
      <c r="R14" s="6"/>
      <c r="S14" s="6"/>
      <c r="T14" s="156"/>
      <c r="U14" s="6"/>
    </row>
    <row r="15" spans="1:21" customFormat="1">
      <c r="A15" s="163" t="s">
        <v>2069</v>
      </c>
      <c r="B15" s="100">
        <v>10.84</v>
      </c>
      <c r="C15" s="100">
        <v>27.98</v>
      </c>
      <c r="D15" s="100">
        <v>24.66</v>
      </c>
      <c r="E15" s="100">
        <v>9.67</v>
      </c>
      <c r="F15" s="152" t="s">
        <v>15</v>
      </c>
      <c r="G15" s="100">
        <v>117.34</v>
      </c>
      <c r="H15" s="100">
        <v>30.71</v>
      </c>
      <c r="I15" s="100">
        <v>12.23</v>
      </c>
      <c r="J15" s="100">
        <v>0.18</v>
      </c>
      <c r="K15" s="100">
        <v>172.95</v>
      </c>
      <c r="L15" s="100">
        <v>21.11</v>
      </c>
      <c r="M15" s="100">
        <v>69.98</v>
      </c>
      <c r="N15" s="100">
        <v>1.8</v>
      </c>
      <c r="O15" s="100">
        <v>0</v>
      </c>
      <c r="P15" s="100">
        <v>0.93</v>
      </c>
      <c r="Q15" s="100">
        <v>12.93</v>
      </c>
      <c r="R15" s="6"/>
      <c r="S15" s="6"/>
      <c r="T15" s="156"/>
      <c r="U15" s="6"/>
    </row>
    <row r="16" spans="1:21" customFormat="1">
      <c r="A16" s="163" t="s">
        <v>2070</v>
      </c>
      <c r="B16" s="100">
        <v>11.24</v>
      </c>
      <c r="C16" s="100">
        <v>27.9</v>
      </c>
      <c r="D16" s="100">
        <v>24.94</v>
      </c>
      <c r="E16" s="100">
        <v>9.9700000000000006</v>
      </c>
      <c r="F16" s="152" t="s">
        <v>15</v>
      </c>
      <c r="G16" s="100">
        <v>117.34</v>
      </c>
      <c r="H16" s="100">
        <v>30.71</v>
      </c>
      <c r="I16" s="100">
        <v>12.37</v>
      </c>
      <c r="J16" s="100">
        <v>0.18</v>
      </c>
      <c r="K16" s="100">
        <v>176.8</v>
      </c>
      <c r="L16" s="100">
        <v>20.74</v>
      </c>
      <c r="M16" s="100">
        <v>71.27</v>
      </c>
      <c r="N16" s="100">
        <v>1.5</v>
      </c>
      <c r="O16" s="100">
        <v>0</v>
      </c>
      <c r="P16" s="100">
        <v>0.96</v>
      </c>
      <c r="Q16" s="100">
        <v>12.93</v>
      </c>
      <c r="R16" s="6"/>
      <c r="S16" s="6"/>
      <c r="T16" s="156"/>
      <c r="U16" s="6"/>
    </row>
    <row r="17" spans="1:21" customFormat="1">
      <c r="A17" s="163" t="s">
        <v>2071</v>
      </c>
      <c r="B17" s="100">
        <v>11.58</v>
      </c>
      <c r="C17" s="100">
        <v>27.82</v>
      </c>
      <c r="D17" s="100">
        <v>25.17</v>
      </c>
      <c r="E17" s="100">
        <v>8.61</v>
      </c>
      <c r="F17" s="152" t="s">
        <v>15</v>
      </c>
      <c r="G17" s="100">
        <v>117.34</v>
      </c>
      <c r="H17" s="100">
        <v>30.71</v>
      </c>
      <c r="I17" s="100">
        <v>12.51</v>
      </c>
      <c r="J17" s="100">
        <v>0.11</v>
      </c>
      <c r="K17" s="100">
        <v>165.18</v>
      </c>
      <c r="L17" s="100">
        <v>20.65</v>
      </c>
      <c r="M17" s="100">
        <v>70.349999999999994</v>
      </c>
      <c r="N17" s="100">
        <v>1.2</v>
      </c>
      <c r="O17" s="100">
        <v>0</v>
      </c>
      <c r="P17" s="100">
        <v>0.96</v>
      </c>
      <c r="Q17" s="100">
        <v>12.94</v>
      </c>
      <c r="R17" s="6"/>
      <c r="S17" s="6"/>
      <c r="T17" s="156"/>
      <c r="U17" s="6"/>
    </row>
    <row r="18" spans="1:21" customFormat="1">
      <c r="A18" s="163" t="s">
        <v>2072</v>
      </c>
      <c r="B18" s="100">
        <v>12.81</v>
      </c>
      <c r="C18" s="100">
        <v>27.82</v>
      </c>
      <c r="D18" s="100">
        <v>26.16</v>
      </c>
      <c r="E18" s="100">
        <v>10.09</v>
      </c>
      <c r="F18" s="152" t="s">
        <v>15</v>
      </c>
      <c r="G18" s="100">
        <v>115.07</v>
      </c>
      <c r="H18" s="100">
        <v>31.13</v>
      </c>
      <c r="I18" s="100">
        <v>12.61</v>
      </c>
      <c r="J18" s="100">
        <v>0.15</v>
      </c>
      <c r="K18" s="100">
        <v>156.27000000000001</v>
      </c>
      <c r="L18" s="100">
        <v>20.81</v>
      </c>
      <c r="M18" s="100">
        <v>68.86</v>
      </c>
      <c r="N18" s="100">
        <v>1.1000000000000001</v>
      </c>
      <c r="O18" s="100">
        <v>0</v>
      </c>
      <c r="P18" s="100">
        <v>0.98</v>
      </c>
      <c r="Q18" s="100">
        <v>12.95</v>
      </c>
      <c r="R18" s="6"/>
      <c r="S18" s="6"/>
      <c r="T18" s="156"/>
      <c r="U18" s="6"/>
    </row>
    <row r="19" spans="1:21" customFormat="1">
      <c r="A19" s="163" t="s">
        <v>2073</v>
      </c>
      <c r="B19" s="100">
        <v>14.28</v>
      </c>
      <c r="C19" s="100">
        <v>27.66</v>
      </c>
      <c r="D19" s="100">
        <v>27.25</v>
      </c>
      <c r="E19" s="100">
        <v>10.130000000000001</v>
      </c>
      <c r="F19" s="152" t="s">
        <v>15</v>
      </c>
      <c r="G19" s="100">
        <v>114.24</v>
      </c>
      <c r="H19" s="100">
        <v>31.14</v>
      </c>
      <c r="I19" s="100">
        <v>12.71</v>
      </c>
      <c r="J19" s="100">
        <v>0.25</v>
      </c>
      <c r="K19" s="100">
        <v>178.28</v>
      </c>
      <c r="L19" s="100">
        <v>20.52</v>
      </c>
      <c r="M19" s="100">
        <v>73.83</v>
      </c>
      <c r="N19" s="100">
        <v>1.4</v>
      </c>
      <c r="O19" s="100">
        <v>0</v>
      </c>
      <c r="P19" s="100">
        <v>0.98</v>
      </c>
      <c r="Q19" s="100">
        <v>12.94</v>
      </c>
      <c r="R19" s="6"/>
      <c r="S19" s="6"/>
      <c r="T19" s="156"/>
      <c r="U19" s="6"/>
    </row>
    <row r="20" spans="1:21" customFormat="1">
      <c r="A20" s="163" t="s">
        <v>2074</v>
      </c>
      <c r="B20" s="100">
        <v>15.08</v>
      </c>
      <c r="C20" s="100">
        <v>27.53</v>
      </c>
      <c r="D20" s="100">
        <v>27.82</v>
      </c>
      <c r="E20" s="100">
        <v>9.64</v>
      </c>
      <c r="F20" s="152" t="s">
        <v>15</v>
      </c>
      <c r="G20" s="100">
        <v>114.24</v>
      </c>
      <c r="H20" s="100">
        <v>31.14</v>
      </c>
      <c r="I20" s="100">
        <v>12.82</v>
      </c>
      <c r="J20" s="100">
        <v>0.15</v>
      </c>
      <c r="K20" s="100">
        <v>150</v>
      </c>
      <c r="L20" s="100">
        <v>20.14</v>
      </c>
      <c r="M20" s="100">
        <v>74.38</v>
      </c>
      <c r="N20" s="100">
        <v>1.4</v>
      </c>
      <c r="O20" s="100">
        <v>0</v>
      </c>
      <c r="P20" s="100">
        <v>0.99</v>
      </c>
      <c r="Q20" s="100">
        <v>12.95</v>
      </c>
      <c r="R20" s="6"/>
      <c r="S20" s="6"/>
      <c r="T20" s="156"/>
      <c r="U20" s="6"/>
    </row>
    <row r="21" spans="1:21" customFormat="1">
      <c r="A21" s="163" t="s">
        <v>2075</v>
      </c>
      <c r="B21" s="100">
        <v>16.100000000000001</v>
      </c>
      <c r="C21" s="100">
        <v>27.48</v>
      </c>
      <c r="D21" s="100">
        <v>28.62</v>
      </c>
      <c r="E21" s="100">
        <v>9.92</v>
      </c>
      <c r="F21" s="152" t="s">
        <v>15</v>
      </c>
      <c r="G21" s="100">
        <v>114.24</v>
      </c>
      <c r="H21" s="100">
        <v>31.14</v>
      </c>
      <c r="I21" s="100">
        <v>12.93</v>
      </c>
      <c r="J21" s="100">
        <v>0.21</v>
      </c>
      <c r="K21" s="100">
        <v>172.33</v>
      </c>
      <c r="L21" s="100">
        <v>20.29</v>
      </c>
      <c r="M21" s="100">
        <v>73.599999999999994</v>
      </c>
      <c r="N21" s="100">
        <v>1.1000000000000001</v>
      </c>
      <c r="O21" s="100">
        <v>0</v>
      </c>
      <c r="P21" s="100">
        <v>1</v>
      </c>
      <c r="Q21" s="100">
        <v>12.96</v>
      </c>
      <c r="R21" s="6"/>
      <c r="S21" s="6"/>
      <c r="T21" s="156"/>
      <c r="U21" s="6"/>
    </row>
    <row r="22" spans="1:21" customFormat="1">
      <c r="A22" s="163" t="s">
        <v>2076</v>
      </c>
      <c r="B22" s="100">
        <v>17.079999999999998</v>
      </c>
      <c r="C22" s="100">
        <v>27.19</v>
      </c>
      <c r="D22" s="100">
        <v>29.25</v>
      </c>
      <c r="E22" s="100">
        <v>9.93</v>
      </c>
      <c r="F22" s="152" t="s">
        <v>15</v>
      </c>
      <c r="G22" s="100">
        <v>108.85</v>
      </c>
      <c r="H22" s="100">
        <v>32.159999999999997</v>
      </c>
      <c r="I22" s="100">
        <v>13.06</v>
      </c>
      <c r="J22" s="100">
        <v>0.32</v>
      </c>
      <c r="K22" s="100">
        <v>72.42</v>
      </c>
      <c r="L22" s="100">
        <v>20.37</v>
      </c>
      <c r="M22" s="100">
        <v>71.319999999999993</v>
      </c>
      <c r="N22" s="100">
        <v>0.8</v>
      </c>
      <c r="O22" s="100">
        <v>0</v>
      </c>
      <c r="P22" s="100">
        <v>1</v>
      </c>
      <c r="Q22" s="100">
        <v>12.97</v>
      </c>
      <c r="R22" s="6"/>
      <c r="S22" s="6"/>
      <c r="T22" s="156"/>
      <c r="U22" s="6"/>
    </row>
    <row r="23" spans="1:21" customFormat="1">
      <c r="A23" s="163" t="s">
        <v>2077</v>
      </c>
      <c r="B23" s="100">
        <v>17.87</v>
      </c>
      <c r="C23" s="100">
        <v>27.21</v>
      </c>
      <c r="D23" s="100">
        <v>29.89</v>
      </c>
      <c r="E23" s="100">
        <v>10.44</v>
      </c>
      <c r="F23" s="152" t="s">
        <v>15</v>
      </c>
      <c r="G23" s="100">
        <v>106.89</v>
      </c>
      <c r="H23" s="100">
        <v>32.19</v>
      </c>
      <c r="I23" s="100">
        <v>13.17</v>
      </c>
      <c r="J23" s="100">
        <v>0.37</v>
      </c>
      <c r="K23" s="100">
        <v>48.44</v>
      </c>
      <c r="L23" s="100">
        <v>21.31</v>
      </c>
      <c r="M23" s="100">
        <v>62.42</v>
      </c>
      <c r="N23" s="100">
        <v>0.5</v>
      </c>
      <c r="O23" s="100">
        <v>0</v>
      </c>
      <c r="P23" s="100">
        <v>1</v>
      </c>
      <c r="Q23" s="100">
        <v>12.96</v>
      </c>
      <c r="R23" s="6"/>
      <c r="S23" s="6"/>
      <c r="T23" s="156"/>
      <c r="U23" s="6"/>
    </row>
    <row r="24" spans="1:21" customFormat="1">
      <c r="A24" s="163" t="s">
        <v>2078</v>
      </c>
      <c r="B24" s="100">
        <v>18.420000000000002</v>
      </c>
      <c r="C24" s="100">
        <v>27.18</v>
      </c>
      <c r="D24" s="100">
        <v>30.32</v>
      </c>
      <c r="E24" s="100">
        <v>9.74</v>
      </c>
      <c r="F24" s="152" t="s">
        <v>15</v>
      </c>
      <c r="G24" s="100">
        <v>106.89</v>
      </c>
      <c r="H24" s="100">
        <v>32.19</v>
      </c>
      <c r="I24" s="100">
        <v>13.31</v>
      </c>
      <c r="J24" s="100">
        <v>0.4</v>
      </c>
      <c r="K24" s="100">
        <v>41.34</v>
      </c>
      <c r="L24" s="100">
        <v>21.38</v>
      </c>
      <c r="M24" s="100">
        <v>61.24</v>
      </c>
      <c r="N24" s="100">
        <v>0.9</v>
      </c>
      <c r="O24" s="100">
        <v>0</v>
      </c>
      <c r="P24" s="100">
        <v>1.01</v>
      </c>
      <c r="Q24" s="100">
        <v>12.96</v>
      </c>
      <c r="R24" s="6"/>
      <c r="S24" s="6"/>
      <c r="T24" s="156"/>
      <c r="U24" s="6"/>
    </row>
    <row r="25" spans="1:21" customFormat="1">
      <c r="A25" s="163" t="s">
        <v>2079</v>
      </c>
      <c r="B25" s="100">
        <v>18.61</v>
      </c>
      <c r="C25" s="100">
        <v>27.23</v>
      </c>
      <c r="D25" s="100">
        <v>30.5</v>
      </c>
      <c r="E25" s="100">
        <v>9.9600000000000009</v>
      </c>
      <c r="F25" s="152" t="s">
        <v>15</v>
      </c>
      <c r="G25" s="100">
        <v>106.89</v>
      </c>
      <c r="H25" s="100">
        <v>32.19</v>
      </c>
      <c r="I25" s="100">
        <v>13.47</v>
      </c>
      <c r="J25" s="100">
        <v>0.04</v>
      </c>
      <c r="K25" s="100">
        <v>258.10000000000002</v>
      </c>
      <c r="L25" s="100">
        <v>21.13</v>
      </c>
      <c r="M25" s="100">
        <v>63.33</v>
      </c>
      <c r="N25" s="100">
        <v>1.5</v>
      </c>
      <c r="O25" s="100">
        <v>0</v>
      </c>
      <c r="P25" s="100">
        <v>1.02</v>
      </c>
      <c r="Q25" s="100">
        <v>12.97</v>
      </c>
      <c r="R25" s="6"/>
      <c r="S25" s="6"/>
      <c r="T25" s="156"/>
      <c r="U25" s="6"/>
    </row>
    <row r="26" spans="1:21" customFormat="1">
      <c r="A26" s="163" t="s">
        <v>2080</v>
      </c>
      <c r="B26" s="100">
        <v>18.739999999999998</v>
      </c>
      <c r="C26" s="100">
        <v>27.37</v>
      </c>
      <c r="D26" s="100">
        <v>30.68</v>
      </c>
      <c r="E26" s="100">
        <v>10.25</v>
      </c>
      <c r="F26" s="152" t="s">
        <v>15</v>
      </c>
      <c r="G26" s="100">
        <v>109.83</v>
      </c>
      <c r="H26" s="100">
        <v>32.08</v>
      </c>
      <c r="I26" s="100">
        <v>13.6</v>
      </c>
      <c r="J26" s="100">
        <v>0.21</v>
      </c>
      <c r="K26" s="100">
        <v>175.55</v>
      </c>
      <c r="L26" s="100">
        <v>20.56</v>
      </c>
      <c r="M26" s="100">
        <v>68.45</v>
      </c>
      <c r="N26" s="100">
        <v>1.8</v>
      </c>
      <c r="O26" s="100">
        <v>0</v>
      </c>
      <c r="P26" s="100">
        <v>1.04</v>
      </c>
      <c r="Q26" s="100">
        <v>12.97</v>
      </c>
      <c r="R26" s="6"/>
      <c r="S26" s="6"/>
      <c r="T26" s="156"/>
      <c r="U26" s="6"/>
    </row>
    <row r="27" spans="1:21" customFormat="1">
      <c r="A27" s="163" t="s">
        <v>2081</v>
      </c>
      <c r="B27" s="100">
        <v>18.66</v>
      </c>
      <c r="C27" s="100">
        <v>27.19</v>
      </c>
      <c r="D27" s="100">
        <v>30.52</v>
      </c>
      <c r="E27" s="100">
        <v>9.91</v>
      </c>
      <c r="F27" s="152" t="s">
        <v>15</v>
      </c>
      <c r="G27" s="100">
        <v>110.9</v>
      </c>
      <c r="H27" s="100">
        <v>32.07</v>
      </c>
      <c r="I27" s="100">
        <v>13.67</v>
      </c>
      <c r="J27" s="100">
        <v>0.15</v>
      </c>
      <c r="K27" s="100">
        <v>148.35</v>
      </c>
      <c r="L27" s="100">
        <v>19.77</v>
      </c>
      <c r="M27" s="100">
        <v>72.22</v>
      </c>
      <c r="N27" s="100">
        <v>1.7</v>
      </c>
      <c r="O27" s="100">
        <v>0</v>
      </c>
      <c r="P27" s="100">
        <v>1.04</v>
      </c>
      <c r="Q27" s="100">
        <v>12.98</v>
      </c>
      <c r="R27" s="6"/>
      <c r="S27" s="6"/>
      <c r="T27" s="156"/>
      <c r="U27" s="6"/>
    </row>
    <row r="28" spans="1:21" customFormat="1">
      <c r="A28" s="163" t="s">
        <v>2082</v>
      </c>
      <c r="B28" s="100">
        <v>18.79</v>
      </c>
      <c r="C28" s="100">
        <v>26.87</v>
      </c>
      <c r="D28" s="100">
        <v>30.46</v>
      </c>
      <c r="E28" s="100">
        <v>9.64</v>
      </c>
      <c r="F28" s="152" t="s">
        <v>15</v>
      </c>
      <c r="G28" s="100">
        <v>110.9</v>
      </c>
      <c r="H28" s="100">
        <v>32.07</v>
      </c>
      <c r="I28" s="100">
        <v>13.74</v>
      </c>
      <c r="J28" s="100">
        <v>0.18</v>
      </c>
      <c r="K28" s="100">
        <v>78.53</v>
      </c>
      <c r="L28" s="100">
        <v>19.989999999999998</v>
      </c>
      <c r="M28" s="100">
        <v>69.14</v>
      </c>
      <c r="N28" s="100">
        <v>1.1000000000000001</v>
      </c>
      <c r="O28" s="100">
        <v>0</v>
      </c>
      <c r="P28" s="100">
        <v>1.06</v>
      </c>
      <c r="Q28" s="100">
        <v>12.97</v>
      </c>
      <c r="R28" s="6"/>
      <c r="S28" s="6"/>
      <c r="T28" s="156"/>
      <c r="U28" s="6"/>
    </row>
    <row r="29" spans="1:21" customFormat="1">
      <c r="A29" s="163" t="s">
        <v>2083</v>
      </c>
      <c r="B29" s="100">
        <v>19.38</v>
      </c>
      <c r="C29" s="100">
        <v>26.84</v>
      </c>
      <c r="D29" s="100">
        <v>30.91</v>
      </c>
      <c r="E29" s="100">
        <v>10.31</v>
      </c>
      <c r="F29" s="152" t="s">
        <v>15</v>
      </c>
      <c r="G29" s="100">
        <v>110.9</v>
      </c>
      <c r="H29" s="100">
        <v>32.07</v>
      </c>
      <c r="I29" s="100">
        <v>13.77</v>
      </c>
      <c r="J29" s="100">
        <v>0.4</v>
      </c>
      <c r="K29" s="100">
        <v>61.11</v>
      </c>
      <c r="L29" s="100">
        <v>20.6</v>
      </c>
      <c r="M29" s="100">
        <v>64.209999999999994</v>
      </c>
      <c r="N29" s="100">
        <v>0.7</v>
      </c>
      <c r="O29" s="100">
        <v>0</v>
      </c>
      <c r="P29" s="100">
        <v>1.06</v>
      </c>
      <c r="Q29" s="100">
        <v>12.97</v>
      </c>
      <c r="R29" s="6"/>
      <c r="S29" s="6"/>
      <c r="T29" s="156"/>
      <c r="U29" s="6"/>
    </row>
    <row r="30" spans="1:21" customFormat="1">
      <c r="A30" s="163" t="s">
        <v>2084</v>
      </c>
      <c r="B30" s="100">
        <v>20.13</v>
      </c>
      <c r="C30" s="100">
        <v>26.8</v>
      </c>
      <c r="D30" s="100">
        <v>31.5</v>
      </c>
      <c r="E30" s="100">
        <v>10.19</v>
      </c>
      <c r="F30" s="152" t="s">
        <v>15</v>
      </c>
      <c r="G30" s="100">
        <v>107.73</v>
      </c>
      <c r="H30" s="100">
        <v>28.02</v>
      </c>
      <c r="I30" s="100">
        <v>13.8</v>
      </c>
      <c r="J30" s="100">
        <v>0.61</v>
      </c>
      <c r="K30" s="100">
        <v>61.51</v>
      </c>
      <c r="L30" s="100">
        <v>20.88</v>
      </c>
      <c r="M30" s="100">
        <v>62.42</v>
      </c>
      <c r="N30" s="100">
        <v>0.8</v>
      </c>
      <c r="O30" s="100">
        <v>0</v>
      </c>
      <c r="P30" s="100">
        <v>1.07</v>
      </c>
      <c r="Q30" s="100">
        <v>12.98</v>
      </c>
      <c r="R30" s="6"/>
      <c r="S30" s="6"/>
      <c r="T30" s="156"/>
      <c r="U30" s="6"/>
    </row>
    <row r="31" spans="1:21" customFormat="1">
      <c r="A31" s="163" t="s">
        <v>2085</v>
      </c>
      <c r="B31" s="100">
        <v>20.52</v>
      </c>
      <c r="C31" s="100">
        <v>27.11</v>
      </c>
      <c r="D31" s="100">
        <v>31.97</v>
      </c>
      <c r="E31" s="100">
        <v>10.36</v>
      </c>
      <c r="F31" s="152" t="s">
        <v>15</v>
      </c>
      <c r="G31" s="100">
        <v>106.57</v>
      </c>
      <c r="H31" s="100">
        <v>27.96</v>
      </c>
      <c r="I31" s="100">
        <v>13.83</v>
      </c>
      <c r="J31" s="100">
        <v>0.22</v>
      </c>
      <c r="K31" s="100">
        <v>44.04</v>
      </c>
      <c r="L31" s="100">
        <v>21.05</v>
      </c>
      <c r="M31" s="100">
        <v>61.39</v>
      </c>
      <c r="N31" s="100">
        <v>1.1000000000000001</v>
      </c>
      <c r="O31" s="100">
        <v>0</v>
      </c>
      <c r="P31" s="100">
        <v>1.07</v>
      </c>
      <c r="Q31" s="100">
        <v>12.99</v>
      </c>
      <c r="R31" s="6"/>
      <c r="S31" s="6"/>
      <c r="T31" s="156"/>
      <c r="U31" s="6"/>
    </row>
    <row r="32" spans="1:21" customFormat="1">
      <c r="A32" s="163" t="s">
        <v>2086</v>
      </c>
      <c r="B32" s="100">
        <v>20.64</v>
      </c>
      <c r="C32" s="100">
        <v>27.3</v>
      </c>
      <c r="D32" s="100">
        <v>32.17</v>
      </c>
      <c r="E32" s="100">
        <v>9.9700000000000006</v>
      </c>
      <c r="F32" s="152" t="s">
        <v>15</v>
      </c>
      <c r="G32" s="100">
        <v>106.57</v>
      </c>
      <c r="H32" s="100">
        <v>27.96</v>
      </c>
      <c r="I32" s="100">
        <v>13.84</v>
      </c>
      <c r="J32" s="100">
        <v>0.15</v>
      </c>
      <c r="K32" s="100">
        <v>203.1</v>
      </c>
      <c r="L32" s="100">
        <v>20.66</v>
      </c>
      <c r="M32" s="100">
        <v>64.77</v>
      </c>
      <c r="N32" s="100">
        <v>1.7</v>
      </c>
      <c r="O32" s="100">
        <v>0</v>
      </c>
      <c r="P32" s="100">
        <v>1.07</v>
      </c>
      <c r="Q32" s="100">
        <v>12.97</v>
      </c>
      <c r="R32" s="6"/>
      <c r="S32" s="6"/>
      <c r="T32" s="156"/>
      <c r="U32" s="6"/>
    </row>
    <row r="33" spans="1:21" customFormat="1">
      <c r="A33" s="163" t="s">
        <v>2087</v>
      </c>
      <c r="B33" s="100">
        <v>20.59</v>
      </c>
      <c r="C33" s="100">
        <v>27.35</v>
      </c>
      <c r="D33" s="100">
        <v>32.15</v>
      </c>
      <c r="E33" s="100">
        <v>9.5299999999999994</v>
      </c>
      <c r="F33" s="152" t="s">
        <v>15</v>
      </c>
      <c r="G33" s="100">
        <v>106.57</v>
      </c>
      <c r="H33" s="100">
        <v>27.96</v>
      </c>
      <c r="I33" s="100">
        <v>13.85</v>
      </c>
      <c r="J33" s="100">
        <v>0.04</v>
      </c>
      <c r="K33" s="100">
        <v>103.86</v>
      </c>
      <c r="L33" s="100">
        <v>20.46</v>
      </c>
      <c r="M33" s="100">
        <v>66.31</v>
      </c>
      <c r="N33" s="100">
        <v>1.7</v>
      </c>
      <c r="O33" s="100">
        <v>0</v>
      </c>
      <c r="P33" s="100">
        <v>1.07</v>
      </c>
      <c r="Q33" s="100">
        <v>12.98</v>
      </c>
      <c r="R33" s="6"/>
      <c r="S33" s="6"/>
      <c r="T33" s="156"/>
      <c r="U33" s="6"/>
    </row>
    <row r="34" spans="1:21" customFormat="1">
      <c r="A34" s="163" t="s">
        <v>2088</v>
      </c>
      <c r="B34" s="100">
        <v>20.41</v>
      </c>
      <c r="C34" s="100">
        <v>26.89</v>
      </c>
      <c r="D34" s="100">
        <v>31.77</v>
      </c>
      <c r="E34" s="100">
        <v>10.1</v>
      </c>
      <c r="F34" s="152" t="s">
        <v>15</v>
      </c>
      <c r="G34" s="100">
        <v>114.32</v>
      </c>
      <c r="H34" s="100">
        <v>32.090000000000003</v>
      </c>
      <c r="I34" s="100">
        <v>13.84</v>
      </c>
      <c r="J34" s="100">
        <v>0.25</v>
      </c>
      <c r="K34" s="100">
        <v>200.63</v>
      </c>
      <c r="L34" s="100">
        <v>19.98</v>
      </c>
      <c r="M34" s="100">
        <v>72.290000000000006</v>
      </c>
      <c r="N34" s="100">
        <v>2.7</v>
      </c>
      <c r="O34" s="100">
        <v>0</v>
      </c>
      <c r="P34" s="100">
        <v>1.02</v>
      </c>
      <c r="Q34" s="100">
        <v>12.98</v>
      </c>
      <c r="R34" s="6"/>
      <c r="S34" s="6"/>
      <c r="T34" s="156"/>
      <c r="U34" s="6"/>
    </row>
    <row r="35" spans="1:21" customFormat="1">
      <c r="A35" s="163" t="s">
        <v>2089</v>
      </c>
      <c r="B35" s="100">
        <v>19.87</v>
      </c>
      <c r="C35" s="100">
        <v>26.54</v>
      </c>
      <c r="D35" s="100">
        <v>31.15</v>
      </c>
      <c r="E35" s="100">
        <v>10.039999999999999</v>
      </c>
      <c r="F35" s="152" t="s">
        <v>15</v>
      </c>
      <c r="G35" s="100">
        <v>117.14</v>
      </c>
      <c r="H35" s="100">
        <v>32.15</v>
      </c>
      <c r="I35" s="100">
        <v>13.8</v>
      </c>
      <c r="J35" s="100">
        <v>0.17</v>
      </c>
      <c r="K35" s="100">
        <v>165.92</v>
      </c>
      <c r="L35" s="100">
        <v>19.489999999999998</v>
      </c>
      <c r="M35" s="100">
        <v>75.02</v>
      </c>
      <c r="N35" s="100">
        <v>5.5</v>
      </c>
      <c r="O35" s="100">
        <v>0</v>
      </c>
      <c r="P35" s="100">
        <v>0.98</v>
      </c>
      <c r="Q35" s="100">
        <v>12.97</v>
      </c>
      <c r="R35" s="6"/>
      <c r="S35" s="6"/>
      <c r="T35" s="156"/>
      <c r="U35" s="6"/>
    </row>
    <row r="36" spans="1:21" customFormat="1">
      <c r="A36" s="163" t="s">
        <v>2090</v>
      </c>
      <c r="B36" s="100">
        <v>19.28</v>
      </c>
      <c r="C36" s="100">
        <v>26.13</v>
      </c>
      <c r="D36" s="100">
        <v>30.46</v>
      </c>
      <c r="E36" s="100">
        <v>9.6</v>
      </c>
      <c r="F36" s="152" t="s">
        <v>15</v>
      </c>
      <c r="G36" s="100">
        <v>117.14</v>
      </c>
      <c r="H36" s="100">
        <v>32.15</v>
      </c>
      <c r="I36" s="100">
        <v>13.74</v>
      </c>
      <c r="J36" s="100">
        <v>0.22</v>
      </c>
      <c r="K36" s="100">
        <v>191.98</v>
      </c>
      <c r="L36" s="100">
        <v>19.59</v>
      </c>
      <c r="M36" s="100">
        <v>75.11</v>
      </c>
      <c r="N36" s="100">
        <v>10.7</v>
      </c>
      <c r="O36" s="100">
        <v>0</v>
      </c>
      <c r="P36" s="100">
        <v>0.99</v>
      </c>
      <c r="Q36" s="100">
        <v>12.97</v>
      </c>
      <c r="R36" s="6"/>
      <c r="S36" s="6"/>
      <c r="T36" s="156"/>
      <c r="U36" s="6"/>
    </row>
    <row r="37" spans="1:21" customFormat="1">
      <c r="A37" s="163" t="s">
        <v>2091</v>
      </c>
      <c r="B37" s="100">
        <v>18.64</v>
      </c>
      <c r="C37" s="100">
        <v>25.82</v>
      </c>
      <c r="D37" s="100">
        <v>29.79</v>
      </c>
      <c r="E37" s="100">
        <v>9.92</v>
      </c>
      <c r="F37" s="152" t="s">
        <v>15</v>
      </c>
      <c r="G37" s="100">
        <v>117.14</v>
      </c>
      <c r="H37" s="100">
        <v>32.15</v>
      </c>
      <c r="I37" s="100">
        <v>13.7</v>
      </c>
      <c r="J37" s="100">
        <v>0.13</v>
      </c>
      <c r="K37" s="100">
        <v>175.37</v>
      </c>
      <c r="L37" s="100">
        <v>19.66</v>
      </c>
      <c r="M37" s="100">
        <v>75.14</v>
      </c>
      <c r="N37" s="100">
        <v>17.7</v>
      </c>
      <c r="O37" s="100">
        <v>0</v>
      </c>
      <c r="P37" s="100">
        <v>0.99</v>
      </c>
      <c r="Q37" s="100">
        <v>12.97</v>
      </c>
      <c r="R37" s="6"/>
      <c r="S37" s="6"/>
      <c r="T37" s="156"/>
      <c r="U37" s="6"/>
    </row>
    <row r="38" spans="1:21" customFormat="1">
      <c r="A38" s="163" t="s">
        <v>2092</v>
      </c>
      <c r="B38" s="100">
        <v>18.07</v>
      </c>
      <c r="C38" s="100">
        <v>25.87</v>
      </c>
      <c r="D38" s="100">
        <v>29.36</v>
      </c>
      <c r="E38" s="100">
        <v>10.26</v>
      </c>
      <c r="F38" s="152" t="s">
        <v>15</v>
      </c>
      <c r="G38" s="100">
        <v>112.4</v>
      </c>
      <c r="H38" s="100">
        <v>28.74</v>
      </c>
      <c r="I38" s="100">
        <v>13.72</v>
      </c>
      <c r="J38" s="100">
        <v>0.12</v>
      </c>
      <c r="K38" s="100">
        <v>149.33000000000001</v>
      </c>
      <c r="L38" s="100">
        <v>20.28</v>
      </c>
      <c r="M38" s="100">
        <v>71.66</v>
      </c>
      <c r="N38" s="100">
        <v>25.6</v>
      </c>
      <c r="O38" s="100">
        <v>0</v>
      </c>
      <c r="P38" s="100">
        <v>1.01</v>
      </c>
      <c r="Q38" s="100">
        <v>12.97</v>
      </c>
      <c r="R38" s="6"/>
      <c r="S38" s="6"/>
      <c r="T38" s="156"/>
      <c r="U38" s="6"/>
    </row>
    <row r="39" spans="1:21" customFormat="1">
      <c r="A39" s="163" t="s">
        <v>2093</v>
      </c>
      <c r="B39" s="100">
        <v>17.54</v>
      </c>
      <c r="C39" s="100">
        <v>25.65</v>
      </c>
      <c r="D39" s="100">
        <v>28.82</v>
      </c>
      <c r="E39" s="100">
        <v>9.5500000000000007</v>
      </c>
      <c r="F39" s="152" t="s">
        <v>15</v>
      </c>
      <c r="G39" s="100">
        <v>110.67</v>
      </c>
      <c r="H39" s="100">
        <v>28.69</v>
      </c>
      <c r="I39" s="100">
        <v>13.82</v>
      </c>
      <c r="J39" s="100">
        <v>0.14000000000000001</v>
      </c>
      <c r="K39" s="100">
        <v>152.49</v>
      </c>
      <c r="L39" s="100">
        <v>21.16</v>
      </c>
      <c r="M39" s="100">
        <v>70.05</v>
      </c>
      <c r="N39" s="100">
        <v>34.299999999999997</v>
      </c>
      <c r="O39" s="100">
        <v>0</v>
      </c>
      <c r="P39" s="100">
        <v>1.01</v>
      </c>
      <c r="Q39" s="100">
        <v>12.96</v>
      </c>
      <c r="R39" s="6"/>
      <c r="S39" s="6"/>
      <c r="T39" s="156"/>
      <c r="U39" s="6"/>
    </row>
    <row r="40" spans="1:21" customFormat="1">
      <c r="A40" s="163" t="s">
        <v>2094</v>
      </c>
      <c r="B40" s="100">
        <v>16.97</v>
      </c>
      <c r="C40" s="100">
        <v>25.62</v>
      </c>
      <c r="D40" s="100">
        <v>28.34</v>
      </c>
      <c r="E40" s="100">
        <v>9.73</v>
      </c>
      <c r="F40" s="152" t="s">
        <v>15</v>
      </c>
      <c r="G40" s="100">
        <v>110.67</v>
      </c>
      <c r="H40" s="100">
        <v>28.69</v>
      </c>
      <c r="I40" s="100">
        <v>13.94</v>
      </c>
      <c r="J40" s="100">
        <v>0.13</v>
      </c>
      <c r="K40" s="100">
        <v>83.78</v>
      </c>
      <c r="L40" s="100">
        <v>22.18</v>
      </c>
      <c r="M40" s="100">
        <v>63.96</v>
      </c>
      <c r="N40" s="100">
        <v>44.4</v>
      </c>
      <c r="O40" s="100">
        <v>0</v>
      </c>
      <c r="P40" s="100">
        <v>1.02</v>
      </c>
      <c r="Q40" s="100">
        <v>12.96</v>
      </c>
      <c r="R40" s="6"/>
      <c r="S40" s="6"/>
      <c r="T40" s="156"/>
      <c r="U40" s="6"/>
    </row>
    <row r="41" spans="1:21" customFormat="1">
      <c r="A41" s="163" t="s">
        <v>2095</v>
      </c>
      <c r="B41" s="100">
        <v>16.77</v>
      </c>
      <c r="C41" s="100">
        <v>26.17</v>
      </c>
      <c r="D41" s="100">
        <v>28.47</v>
      </c>
      <c r="E41" s="100">
        <v>10.220000000000001</v>
      </c>
      <c r="F41" s="152" t="s">
        <v>15</v>
      </c>
      <c r="G41" s="100">
        <v>110.67</v>
      </c>
      <c r="H41" s="100">
        <v>28.69</v>
      </c>
      <c r="I41" s="100">
        <v>14.01</v>
      </c>
      <c r="J41" s="100">
        <v>0.41</v>
      </c>
      <c r="K41" s="100">
        <v>48.11</v>
      </c>
      <c r="L41" s="100">
        <v>23.08</v>
      </c>
      <c r="M41" s="100">
        <v>57.89</v>
      </c>
      <c r="N41" s="100">
        <v>87.6</v>
      </c>
      <c r="O41" s="100">
        <v>0</v>
      </c>
      <c r="P41" s="100">
        <v>1.05</v>
      </c>
      <c r="Q41" s="100">
        <v>12.95</v>
      </c>
      <c r="R41" s="6"/>
      <c r="S41" s="6"/>
      <c r="T41" s="156"/>
      <c r="U41" s="6"/>
    </row>
    <row r="42" spans="1:21" customFormat="1">
      <c r="A42" s="163" t="s">
        <v>2096</v>
      </c>
      <c r="B42" s="100">
        <v>16.559999999999999</v>
      </c>
      <c r="C42" s="100">
        <v>26.87</v>
      </c>
      <c r="D42" s="100">
        <v>28.67</v>
      </c>
      <c r="E42" s="100">
        <v>10.210000000000001</v>
      </c>
      <c r="F42" s="152" t="s">
        <v>15</v>
      </c>
      <c r="G42" s="100">
        <v>118.88</v>
      </c>
      <c r="H42" s="100">
        <v>37.01</v>
      </c>
      <c r="I42" s="100">
        <v>14.14</v>
      </c>
      <c r="J42" s="100">
        <v>0.4</v>
      </c>
      <c r="K42" s="100">
        <v>48.47</v>
      </c>
      <c r="L42" s="100">
        <v>23.92</v>
      </c>
      <c r="M42" s="100">
        <v>56.49</v>
      </c>
      <c r="N42" s="100">
        <v>110.8</v>
      </c>
      <c r="O42" s="100">
        <v>0</v>
      </c>
      <c r="P42" s="100">
        <v>1.08</v>
      </c>
      <c r="Q42" s="100">
        <v>12.96</v>
      </c>
      <c r="R42" s="6"/>
      <c r="S42" s="6"/>
      <c r="T42" s="156"/>
      <c r="U42" s="6"/>
    </row>
    <row r="43" spans="1:21" customFormat="1">
      <c r="A43" s="163" t="s">
        <v>2097</v>
      </c>
      <c r="B43" s="100">
        <v>16.39</v>
      </c>
      <c r="C43" s="100">
        <v>28.05</v>
      </c>
      <c r="D43" s="100">
        <v>29.15</v>
      </c>
      <c r="E43" s="100">
        <v>10.52</v>
      </c>
      <c r="F43" s="152" t="s">
        <v>15</v>
      </c>
      <c r="G43" s="100">
        <v>121.86</v>
      </c>
      <c r="H43" s="100">
        <v>37.14</v>
      </c>
      <c r="I43" s="100">
        <v>14.43</v>
      </c>
      <c r="J43" s="100">
        <v>0.37</v>
      </c>
      <c r="K43" s="100">
        <v>29.57</v>
      </c>
      <c r="L43" s="100">
        <v>24.91</v>
      </c>
      <c r="M43" s="100">
        <v>52.23</v>
      </c>
      <c r="N43" s="100">
        <v>143.69999999999999</v>
      </c>
      <c r="O43" s="100">
        <v>0</v>
      </c>
      <c r="P43" s="100">
        <v>1.1200000000000001</v>
      </c>
      <c r="Q43" s="100">
        <v>12.95</v>
      </c>
      <c r="R43" s="6"/>
      <c r="S43" s="6"/>
      <c r="T43" s="156"/>
      <c r="U43" s="6"/>
    </row>
    <row r="44" spans="1:21" customFormat="1">
      <c r="A44" s="163" t="s">
        <v>2098</v>
      </c>
      <c r="B44" s="100">
        <v>16.079999999999998</v>
      </c>
      <c r="C44" s="100">
        <v>29.13</v>
      </c>
      <c r="D44" s="100">
        <v>29.47</v>
      </c>
      <c r="E44" s="100">
        <v>11.19</v>
      </c>
      <c r="F44" s="152" t="s">
        <v>15</v>
      </c>
      <c r="G44" s="100">
        <v>121.86</v>
      </c>
      <c r="H44" s="100">
        <v>37.14</v>
      </c>
      <c r="I44" s="100">
        <v>14.84</v>
      </c>
      <c r="J44" s="100">
        <v>0.55000000000000004</v>
      </c>
      <c r="K44" s="100">
        <v>43.21</v>
      </c>
      <c r="L44" s="100">
        <v>25.67</v>
      </c>
      <c r="M44" s="100">
        <v>49.29</v>
      </c>
      <c r="N44" s="100">
        <v>159.30000000000001</v>
      </c>
      <c r="O44" s="100">
        <v>0</v>
      </c>
      <c r="P44" s="100">
        <v>1.1599999999999999</v>
      </c>
      <c r="Q44" s="100">
        <v>12.97</v>
      </c>
      <c r="R44" s="6"/>
      <c r="S44" s="6"/>
      <c r="T44" s="156"/>
      <c r="U44" s="6"/>
    </row>
    <row r="45" spans="1:21" customFormat="1">
      <c r="A45" s="163" t="s">
        <v>2099</v>
      </c>
      <c r="B45" s="100">
        <v>15.55</v>
      </c>
      <c r="C45" s="100">
        <v>30.18</v>
      </c>
      <c r="D45" s="100">
        <v>29.59</v>
      </c>
      <c r="E45" s="100">
        <v>11.21</v>
      </c>
      <c r="F45" s="152" t="s">
        <v>15</v>
      </c>
      <c r="G45" s="100">
        <v>121.86</v>
      </c>
      <c r="H45" s="100">
        <v>37.14</v>
      </c>
      <c r="I45" s="100">
        <v>15.27</v>
      </c>
      <c r="J45" s="100">
        <v>0.9</v>
      </c>
      <c r="K45" s="100">
        <v>48.96</v>
      </c>
      <c r="L45" s="100">
        <v>26</v>
      </c>
      <c r="M45" s="100">
        <v>46.59</v>
      </c>
      <c r="N45" s="100">
        <v>153.4</v>
      </c>
      <c r="O45" s="100">
        <v>0</v>
      </c>
      <c r="P45" s="100">
        <v>1.19</v>
      </c>
      <c r="Q45" s="100">
        <v>12.97</v>
      </c>
      <c r="R45" s="6"/>
      <c r="S45" s="6"/>
      <c r="T45" s="156"/>
      <c r="U45" s="6"/>
    </row>
    <row r="46" spans="1:21" customFormat="1">
      <c r="A46" s="163" t="s">
        <v>2100</v>
      </c>
      <c r="B46" s="100">
        <v>15.03</v>
      </c>
      <c r="C46" s="100">
        <v>31.13</v>
      </c>
      <c r="D46" s="100">
        <v>29.67</v>
      </c>
      <c r="E46" s="100">
        <v>11.55</v>
      </c>
      <c r="F46" s="152" t="s">
        <v>15</v>
      </c>
      <c r="G46" s="100">
        <v>146.74</v>
      </c>
      <c r="H46" s="100">
        <v>46.64</v>
      </c>
      <c r="I46" s="100">
        <v>15.6</v>
      </c>
      <c r="J46" s="100">
        <v>0.4</v>
      </c>
      <c r="K46" s="100">
        <v>88.36</v>
      </c>
      <c r="L46" s="100">
        <v>26.94</v>
      </c>
      <c r="M46" s="100">
        <v>42.6</v>
      </c>
      <c r="N46" s="100">
        <v>206.1</v>
      </c>
      <c r="O46" s="100">
        <v>0</v>
      </c>
      <c r="P46" s="100">
        <v>1.21</v>
      </c>
      <c r="Q46" s="100">
        <v>12.96</v>
      </c>
      <c r="R46" s="6"/>
      <c r="S46" s="6"/>
      <c r="T46" s="156"/>
      <c r="U46" s="6"/>
    </row>
    <row r="47" spans="1:21" customFormat="1">
      <c r="A47" s="163" t="s">
        <v>2101</v>
      </c>
      <c r="B47" s="100">
        <v>14.79</v>
      </c>
      <c r="C47" s="100">
        <v>32.07</v>
      </c>
      <c r="D47" s="100">
        <v>29.96</v>
      </c>
      <c r="E47" s="100">
        <v>10.74</v>
      </c>
      <c r="F47" s="152" t="s">
        <v>15</v>
      </c>
      <c r="G47" s="100">
        <v>155.78</v>
      </c>
      <c r="H47" s="100">
        <v>46.87</v>
      </c>
      <c r="I47" s="100">
        <v>15.83</v>
      </c>
      <c r="J47" s="100">
        <v>0.95</v>
      </c>
      <c r="K47" s="100">
        <v>55.2</v>
      </c>
      <c r="L47" s="100">
        <v>27.45</v>
      </c>
      <c r="M47" s="100">
        <v>39.590000000000003</v>
      </c>
      <c r="N47" s="100">
        <v>226.2</v>
      </c>
      <c r="O47" s="100">
        <v>0</v>
      </c>
      <c r="P47" s="100">
        <v>1.2</v>
      </c>
      <c r="Q47" s="100">
        <v>12.97</v>
      </c>
      <c r="R47" s="6"/>
      <c r="S47" s="6"/>
      <c r="T47" s="156"/>
      <c r="U47" s="6"/>
    </row>
    <row r="48" spans="1:21" customFormat="1">
      <c r="A48" s="163" t="s">
        <v>2102</v>
      </c>
      <c r="B48" s="100">
        <v>15.15</v>
      </c>
      <c r="C48" s="100">
        <v>33.229999999999997</v>
      </c>
      <c r="D48" s="100">
        <v>30.86</v>
      </c>
      <c r="E48" s="100">
        <v>11.47</v>
      </c>
      <c r="F48" s="152" t="s">
        <v>15</v>
      </c>
      <c r="G48" s="100">
        <v>155.78</v>
      </c>
      <c r="H48" s="100">
        <v>46.87</v>
      </c>
      <c r="I48" s="100">
        <v>15.93</v>
      </c>
      <c r="J48" s="100">
        <v>0.95</v>
      </c>
      <c r="K48" s="100">
        <v>53.6</v>
      </c>
      <c r="L48" s="100">
        <v>27.85</v>
      </c>
      <c r="M48" s="100">
        <v>37.950000000000003</v>
      </c>
      <c r="N48" s="100">
        <v>238.5</v>
      </c>
      <c r="O48" s="100">
        <v>0</v>
      </c>
      <c r="P48" s="100">
        <v>1.19</v>
      </c>
      <c r="Q48" s="100">
        <v>12.97</v>
      </c>
      <c r="R48" s="6"/>
      <c r="S48" s="6"/>
      <c r="T48" s="156"/>
      <c r="U48" s="6"/>
    </row>
    <row r="49" spans="1:21" customFormat="1">
      <c r="A49" s="163" t="s">
        <v>2103</v>
      </c>
      <c r="B49" s="100">
        <v>15.34</v>
      </c>
      <c r="C49" s="100">
        <v>34.04</v>
      </c>
      <c r="D49" s="100">
        <v>31.44</v>
      </c>
      <c r="E49" s="100">
        <v>10.15</v>
      </c>
      <c r="F49" s="152" t="s">
        <v>15</v>
      </c>
      <c r="G49" s="100">
        <v>155.78</v>
      </c>
      <c r="H49" s="100">
        <v>46.87</v>
      </c>
      <c r="I49" s="100">
        <v>15.81</v>
      </c>
      <c r="J49" s="100">
        <v>0.78</v>
      </c>
      <c r="K49" s="100">
        <v>44</v>
      </c>
      <c r="L49" s="100">
        <v>28.47</v>
      </c>
      <c r="M49" s="100">
        <v>36.49</v>
      </c>
      <c r="N49" s="100">
        <v>209.2</v>
      </c>
      <c r="O49" s="100">
        <v>0</v>
      </c>
      <c r="P49" s="100">
        <v>1.1599999999999999</v>
      </c>
      <c r="Q49" s="100">
        <v>12.98</v>
      </c>
      <c r="R49" s="6"/>
      <c r="S49" s="6"/>
      <c r="T49" s="156"/>
      <c r="U49" s="6"/>
    </row>
    <row r="50" spans="1:21" customFormat="1">
      <c r="A50" s="163" t="s">
        <v>2104</v>
      </c>
      <c r="B50" s="100">
        <v>15.27</v>
      </c>
      <c r="C50" s="100">
        <v>34.61</v>
      </c>
      <c r="D50" s="100">
        <v>31.68</v>
      </c>
      <c r="E50" s="100">
        <v>12.72</v>
      </c>
      <c r="F50" s="152" t="s">
        <v>15</v>
      </c>
      <c r="G50" s="100">
        <v>147.37</v>
      </c>
      <c r="H50" s="100">
        <v>48.17</v>
      </c>
      <c r="I50" s="100">
        <v>15.59</v>
      </c>
      <c r="J50" s="100">
        <v>0.93</v>
      </c>
      <c r="K50" s="100">
        <v>44.11</v>
      </c>
      <c r="L50" s="100">
        <v>28.98</v>
      </c>
      <c r="M50" s="100">
        <v>34.6</v>
      </c>
      <c r="N50" s="100">
        <v>240</v>
      </c>
      <c r="O50" s="100">
        <v>0</v>
      </c>
      <c r="P50" s="100">
        <v>1.1399999999999999</v>
      </c>
      <c r="Q50" s="100">
        <v>12.99</v>
      </c>
      <c r="R50" s="6"/>
      <c r="S50" s="6"/>
      <c r="T50" s="156"/>
      <c r="U50" s="6"/>
    </row>
    <row r="51" spans="1:21" customFormat="1">
      <c r="A51" s="163" t="s">
        <v>2105</v>
      </c>
      <c r="B51" s="100">
        <v>14.58</v>
      </c>
      <c r="C51" s="100">
        <v>34.950000000000003</v>
      </c>
      <c r="D51" s="100">
        <v>31.3</v>
      </c>
      <c r="E51" s="100">
        <v>12.45</v>
      </c>
      <c r="F51" s="152" t="s">
        <v>15</v>
      </c>
      <c r="G51" s="100">
        <v>144.31</v>
      </c>
      <c r="H51" s="100">
        <v>48.19</v>
      </c>
      <c r="I51" s="100">
        <v>15.27</v>
      </c>
      <c r="J51" s="100">
        <v>0.72</v>
      </c>
      <c r="K51" s="100">
        <v>42.02</v>
      </c>
      <c r="L51" s="100">
        <v>29.6</v>
      </c>
      <c r="M51" s="100">
        <v>33.32</v>
      </c>
      <c r="N51" s="100">
        <v>279.10000000000002</v>
      </c>
      <c r="O51" s="100">
        <v>0</v>
      </c>
      <c r="P51" s="100">
        <v>1.1200000000000001</v>
      </c>
      <c r="Q51" s="100">
        <v>12.98</v>
      </c>
      <c r="R51" s="6"/>
      <c r="S51" s="6"/>
      <c r="T51" s="156"/>
      <c r="U51" s="6"/>
    </row>
    <row r="52" spans="1:21" customFormat="1">
      <c r="A52" s="163" t="s">
        <v>2106</v>
      </c>
      <c r="B52" s="100">
        <v>13.62</v>
      </c>
      <c r="C52" s="100">
        <v>35.26</v>
      </c>
      <c r="D52" s="100">
        <v>30.69</v>
      </c>
      <c r="E52" s="100">
        <v>12.74</v>
      </c>
      <c r="F52" s="152" t="s">
        <v>15</v>
      </c>
      <c r="G52" s="100">
        <v>144.31</v>
      </c>
      <c r="H52" s="100">
        <v>48.19</v>
      </c>
      <c r="I52" s="100">
        <v>15.02</v>
      </c>
      <c r="J52" s="100">
        <v>0.66</v>
      </c>
      <c r="K52" s="100">
        <v>40.97</v>
      </c>
      <c r="L52" s="100">
        <v>29.89</v>
      </c>
      <c r="M52" s="100">
        <v>32.76</v>
      </c>
      <c r="N52" s="100">
        <v>286</v>
      </c>
      <c r="O52" s="100">
        <v>0</v>
      </c>
      <c r="P52" s="100">
        <v>1.0900000000000001</v>
      </c>
      <c r="Q52" s="100">
        <v>12.97</v>
      </c>
      <c r="R52" s="6"/>
      <c r="S52" s="6"/>
      <c r="T52" s="156"/>
      <c r="U52" s="6"/>
    </row>
    <row r="53" spans="1:21" customFormat="1">
      <c r="A53" s="163" t="s">
        <v>2107</v>
      </c>
      <c r="B53" s="100">
        <v>12.69</v>
      </c>
      <c r="C53" s="100">
        <v>35.79</v>
      </c>
      <c r="D53" s="100">
        <v>30.22</v>
      </c>
      <c r="E53" s="100">
        <v>12.9</v>
      </c>
      <c r="F53" s="152" t="s">
        <v>15</v>
      </c>
      <c r="G53" s="100">
        <v>144.31</v>
      </c>
      <c r="H53" s="100">
        <v>48.19</v>
      </c>
      <c r="I53" s="100">
        <v>14.78</v>
      </c>
      <c r="J53" s="100">
        <v>0.5</v>
      </c>
      <c r="K53" s="100">
        <v>63.87</v>
      </c>
      <c r="L53" s="100">
        <v>30.73</v>
      </c>
      <c r="M53" s="100">
        <v>31.72</v>
      </c>
      <c r="N53" s="100">
        <v>287</v>
      </c>
      <c r="O53" s="100">
        <v>0</v>
      </c>
      <c r="P53" s="100">
        <v>1.07</v>
      </c>
      <c r="Q53" s="100">
        <v>12.96</v>
      </c>
      <c r="R53" s="6"/>
      <c r="S53" s="6"/>
      <c r="T53" s="156"/>
      <c r="U53" s="6"/>
    </row>
    <row r="54" spans="1:21" customFormat="1">
      <c r="A54" s="163" t="s">
        <v>2108</v>
      </c>
      <c r="B54" s="100">
        <v>11.77</v>
      </c>
      <c r="C54" s="100">
        <v>36.020000000000003</v>
      </c>
      <c r="D54" s="100">
        <v>29.61</v>
      </c>
      <c r="E54" s="100">
        <v>18.14</v>
      </c>
      <c r="F54" s="152" t="s">
        <v>15</v>
      </c>
      <c r="G54" s="100">
        <v>127.37</v>
      </c>
      <c r="H54" s="100">
        <v>46.39</v>
      </c>
      <c r="I54" s="100">
        <v>14.47</v>
      </c>
      <c r="J54" s="100">
        <v>0.71</v>
      </c>
      <c r="K54" s="100">
        <v>63.73</v>
      </c>
      <c r="L54" s="100">
        <v>31.43</v>
      </c>
      <c r="M54" s="100">
        <v>29.4</v>
      </c>
      <c r="N54" s="100">
        <v>281</v>
      </c>
      <c r="O54" s="100">
        <v>0</v>
      </c>
      <c r="P54" s="100">
        <v>1.06</v>
      </c>
      <c r="Q54" s="100">
        <v>12.96</v>
      </c>
      <c r="R54" s="6"/>
      <c r="S54" s="6"/>
      <c r="T54" s="156"/>
      <c r="U54" s="6"/>
    </row>
    <row r="55" spans="1:21" customFormat="1">
      <c r="A55" s="163" t="s">
        <v>2109</v>
      </c>
      <c r="B55" s="100">
        <v>10.92</v>
      </c>
      <c r="C55" s="100">
        <v>35.76</v>
      </c>
      <c r="D55" s="100">
        <v>28.79</v>
      </c>
      <c r="E55" s="100">
        <v>15.85</v>
      </c>
      <c r="F55" s="152" t="s">
        <v>15</v>
      </c>
      <c r="G55" s="100">
        <v>121.21</v>
      </c>
      <c r="H55" s="100">
        <v>46.36</v>
      </c>
      <c r="I55" s="100">
        <v>14.15</v>
      </c>
      <c r="J55" s="100">
        <v>0.67</v>
      </c>
      <c r="K55" s="100">
        <v>45.66</v>
      </c>
      <c r="L55" s="100">
        <v>31.38</v>
      </c>
      <c r="M55" s="100">
        <v>28.94</v>
      </c>
      <c r="N55" s="100">
        <v>281.7</v>
      </c>
      <c r="O55" s="100">
        <v>0</v>
      </c>
      <c r="P55" s="100">
        <v>1.08</v>
      </c>
      <c r="Q55" s="100">
        <v>12.96</v>
      </c>
      <c r="R55" s="6"/>
      <c r="S55" s="6"/>
      <c r="T55" s="156"/>
      <c r="U55" s="6"/>
    </row>
    <row r="56" spans="1:21" customFormat="1">
      <c r="A56" s="163" t="s">
        <v>2110</v>
      </c>
      <c r="B56" s="100">
        <v>10.02</v>
      </c>
      <c r="C56" s="100">
        <v>34.78</v>
      </c>
      <c r="D56" s="100">
        <v>27.56</v>
      </c>
      <c r="E56" s="100">
        <v>15.27</v>
      </c>
      <c r="F56" s="152" t="s">
        <v>15</v>
      </c>
      <c r="G56" s="100">
        <v>121.21</v>
      </c>
      <c r="H56" s="100">
        <v>46.36</v>
      </c>
      <c r="I56" s="100">
        <v>13.87</v>
      </c>
      <c r="J56" s="100">
        <v>0.47</v>
      </c>
      <c r="K56" s="100">
        <v>108.73</v>
      </c>
      <c r="L56" s="100">
        <v>31.97</v>
      </c>
      <c r="M56" s="100">
        <v>28.39</v>
      </c>
      <c r="N56" s="100">
        <v>310</v>
      </c>
      <c r="O56" s="100">
        <v>0</v>
      </c>
      <c r="P56" s="100">
        <v>1.06</v>
      </c>
      <c r="Q56" s="100">
        <v>12.97</v>
      </c>
      <c r="R56" s="6"/>
      <c r="S56" s="6"/>
      <c r="T56" s="156"/>
      <c r="U56" s="6"/>
    </row>
    <row r="57" spans="1:21" customFormat="1">
      <c r="A57" s="163" t="s">
        <v>2111</v>
      </c>
      <c r="B57" s="100">
        <v>9</v>
      </c>
      <c r="C57" s="100">
        <v>33.96</v>
      </c>
      <c r="D57" s="100">
        <v>26.31</v>
      </c>
      <c r="E57" s="100">
        <v>23.87</v>
      </c>
      <c r="F57" s="152" t="s">
        <v>15</v>
      </c>
      <c r="G57" s="100">
        <v>121.21</v>
      </c>
      <c r="H57" s="100">
        <v>46.36</v>
      </c>
      <c r="I57" s="100">
        <v>13.55</v>
      </c>
      <c r="J57" s="100">
        <v>0.28000000000000003</v>
      </c>
      <c r="K57" s="100">
        <v>26.69</v>
      </c>
      <c r="L57" s="100">
        <v>32.18</v>
      </c>
      <c r="M57" s="100">
        <v>28.25</v>
      </c>
      <c r="N57" s="100">
        <v>317</v>
      </c>
      <c r="O57" s="100">
        <v>0</v>
      </c>
      <c r="P57" s="100">
        <v>1.01</v>
      </c>
      <c r="Q57" s="100">
        <v>12.95</v>
      </c>
      <c r="R57" s="6"/>
      <c r="S57" s="6"/>
      <c r="T57" s="156"/>
      <c r="U57" s="6"/>
    </row>
    <row r="58" spans="1:21" customFormat="1">
      <c r="A58" s="163" t="s">
        <v>2112</v>
      </c>
      <c r="B58" s="100">
        <v>8.19</v>
      </c>
      <c r="C58" s="100">
        <v>32.950000000000003</v>
      </c>
      <c r="D58" s="100">
        <v>25.14</v>
      </c>
      <c r="E58" s="100">
        <v>20.65</v>
      </c>
      <c r="F58" s="152" t="s">
        <v>15</v>
      </c>
      <c r="G58" s="100">
        <v>101.1</v>
      </c>
      <c r="H58" s="100">
        <v>50.5</v>
      </c>
      <c r="I58" s="100">
        <v>13.21</v>
      </c>
      <c r="J58" s="100">
        <v>0.6</v>
      </c>
      <c r="K58" s="100">
        <v>49.65</v>
      </c>
      <c r="L58" s="100">
        <v>32.75</v>
      </c>
      <c r="M58" s="100">
        <v>27.68</v>
      </c>
      <c r="N58" s="100">
        <v>311.8</v>
      </c>
      <c r="O58" s="100">
        <v>0</v>
      </c>
      <c r="P58" s="100">
        <v>0.99</v>
      </c>
      <c r="Q58" s="100">
        <v>12.94</v>
      </c>
      <c r="R58" s="6"/>
      <c r="S58" s="6"/>
      <c r="T58" s="156"/>
      <c r="U58" s="6"/>
    </row>
    <row r="59" spans="1:21" customFormat="1">
      <c r="A59" s="163" t="s">
        <v>2113</v>
      </c>
      <c r="B59" s="100">
        <v>7.42</v>
      </c>
      <c r="C59" s="100">
        <v>32.46</v>
      </c>
      <c r="D59" s="100">
        <v>24.26</v>
      </c>
      <c r="E59" s="100">
        <v>20.61</v>
      </c>
      <c r="F59" s="152" t="s">
        <v>15</v>
      </c>
      <c r="G59" s="100">
        <v>93.78</v>
      </c>
      <c r="H59" s="100">
        <v>50.57</v>
      </c>
      <c r="I59" s="100">
        <v>12.87</v>
      </c>
      <c r="J59" s="100">
        <v>0.54</v>
      </c>
      <c r="K59" s="100">
        <v>304.89</v>
      </c>
      <c r="L59" s="100">
        <v>32.409999999999997</v>
      </c>
      <c r="M59" s="100">
        <v>28.51</v>
      </c>
      <c r="N59" s="100">
        <v>315.8</v>
      </c>
      <c r="O59" s="100">
        <v>0</v>
      </c>
      <c r="P59" s="100">
        <v>0.98</v>
      </c>
      <c r="Q59" s="100">
        <v>12.92</v>
      </c>
      <c r="R59" s="6"/>
      <c r="S59" s="6"/>
      <c r="T59" s="156"/>
      <c r="U59" s="6"/>
    </row>
    <row r="60" spans="1:21" customFormat="1">
      <c r="A60" s="163" t="s">
        <v>2114</v>
      </c>
      <c r="B60" s="100">
        <v>6.63</v>
      </c>
      <c r="C60" s="100">
        <v>31.85</v>
      </c>
      <c r="D60" s="100">
        <v>23.31</v>
      </c>
      <c r="E60" s="100">
        <v>18.87</v>
      </c>
      <c r="F60" s="152" t="s">
        <v>15</v>
      </c>
      <c r="G60" s="100">
        <v>93.78</v>
      </c>
      <c r="H60" s="100">
        <v>50.57</v>
      </c>
      <c r="I60" s="100">
        <v>12.55</v>
      </c>
      <c r="J60" s="100">
        <v>0.73</v>
      </c>
      <c r="K60" s="100">
        <v>7.68</v>
      </c>
      <c r="L60" s="100">
        <v>32.53</v>
      </c>
      <c r="M60" s="100">
        <v>28.15</v>
      </c>
      <c r="N60" s="100">
        <v>308</v>
      </c>
      <c r="O60" s="100">
        <v>0</v>
      </c>
      <c r="P60" s="100">
        <v>0.95</v>
      </c>
      <c r="Q60" s="100">
        <v>12.92</v>
      </c>
      <c r="R60" s="6"/>
      <c r="S60" s="6"/>
      <c r="T60" s="156"/>
      <c r="U60" s="6"/>
    </row>
    <row r="61" spans="1:21" customFormat="1">
      <c r="A61" s="163" t="s">
        <v>2115</v>
      </c>
      <c r="B61" s="100">
        <v>6</v>
      </c>
      <c r="C61" s="100">
        <v>31.15</v>
      </c>
      <c r="D61" s="100">
        <v>22.44</v>
      </c>
      <c r="E61" s="100">
        <v>17.260000000000002</v>
      </c>
      <c r="F61" s="152" t="s">
        <v>15</v>
      </c>
      <c r="G61" s="100">
        <v>93.78</v>
      </c>
      <c r="H61" s="100">
        <v>50.57</v>
      </c>
      <c r="I61" s="100">
        <v>12.39</v>
      </c>
      <c r="J61" s="100">
        <v>0.2</v>
      </c>
      <c r="K61" s="100">
        <v>347.06</v>
      </c>
      <c r="L61" s="100">
        <v>32.770000000000003</v>
      </c>
      <c r="M61" s="100">
        <v>28.11</v>
      </c>
      <c r="N61" s="100">
        <v>317.39999999999998</v>
      </c>
      <c r="O61" s="100">
        <v>0</v>
      </c>
      <c r="P61" s="100">
        <v>0.95</v>
      </c>
      <c r="Q61" s="100">
        <v>12.94</v>
      </c>
      <c r="R61" s="6"/>
      <c r="S61" s="6"/>
      <c r="T61" s="156"/>
      <c r="U61" s="6"/>
    </row>
    <row r="62" spans="1:21" customFormat="1">
      <c r="A62" s="163" t="s">
        <v>2116</v>
      </c>
      <c r="B62" s="100">
        <v>5.32</v>
      </c>
      <c r="C62" s="100">
        <v>30.42</v>
      </c>
      <c r="D62" s="100">
        <v>21.51</v>
      </c>
      <c r="E62" s="100">
        <v>15.34</v>
      </c>
      <c r="F62" s="152" t="s">
        <v>15</v>
      </c>
      <c r="G62" s="100">
        <v>92.18</v>
      </c>
      <c r="H62" s="100">
        <v>48.32</v>
      </c>
      <c r="I62" s="100">
        <v>12.02</v>
      </c>
      <c r="J62" s="100">
        <v>0.51</v>
      </c>
      <c r="K62" s="100">
        <v>276.31</v>
      </c>
      <c r="L62" s="100">
        <v>33.450000000000003</v>
      </c>
      <c r="M62" s="100">
        <v>27.18</v>
      </c>
      <c r="N62" s="100">
        <v>300.89999999999998</v>
      </c>
      <c r="O62" s="100">
        <v>0</v>
      </c>
      <c r="P62" s="100">
        <v>0.91</v>
      </c>
      <c r="Q62" s="100">
        <v>12.93</v>
      </c>
      <c r="R62" s="6"/>
      <c r="S62" s="6"/>
      <c r="T62" s="156"/>
      <c r="U62" s="6"/>
    </row>
    <row r="63" spans="1:21" customFormat="1">
      <c r="A63" s="163" t="s">
        <v>2117</v>
      </c>
      <c r="B63" s="100">
        <v>4.9000000000000004</v>
      </c>
      <c r="C63" s="100">
        <v>29.37</v>
      </c>
      <c r="D63" s="100">
        <v>20.63</v>
      </c>
      <c r="E63" s="100">
        <v>18.86</v>
      </c>
      <c r="F63" s="152" t="s">
        <v>15</v>
      </c>
      <c r="G63" s="100">
        <v>91.6</v>
      </c>
      <c r="H63" s="100">
        <v>48.28</v>
      </c>
      <c r="I63" s="100">
        <v>11.65</v>
      </c>
      <c r="J63" s="100">
        <v>0.22</v>
      </c>
      <c r="K63" s="100">
        <v>294.14</v>
      </c>
      <c r="L63" s="100">
        <v>33.53</v>
      </c>
      <c r="M63" s="100">
        <v>26.98</v>
      </c>
      <c r="N63" s="100">
        <v>285.7</v>
      </c>
      <c r="O63" s="100">
        <v>0</v>
      </c>
      <c r="P63" s="100">
        <v>0.89</v>
      </c>
      <c r="Q63" s="100">
        <v>12.93</v>
      </c>
      <c r="R63" s="6"/>
      <c r="S63" s="6"/>
      <c r="T63" s="156"/>
      <c r="U63" s="6"/>
    </row>
    <row r="64" spans="1:21" customFormat="1">
      <c r="A64" s="163" t="s">
        <v>2118</v>
      </c>
      <c r="B64" s="100">
        <v>4.54</v>
      </c>
      <c r="C64" s="100">
        <v>28.62</v>
      </c>
      <c r="D64" s="100">
        <v>19.95</v>
      </c>
      <c r="E64" s="100">
        <v>15.66</v>
      </c>
      <c r="F64" s="152" t="s">
        <v>15</v>
      </c>
      <c r="G64" s="100">
        <v>91.6</v>
      </c>
      <c r="H64" s="100">
        <v>48.28</v>
      </c>
      <c r="I64" s="100">
        <v>11.44</v>
      </c>
      <c r="J64" s="100">
        <v>0.14000000000000001</v>
      </c>
      <c r="K64" s="100">
        <v>199.56</v>
      </c>
      <c r="L64" s="100">
        <v>33.700000000000003</v>
      </c>
      <c r="M64" s="100">
        <v>26.53</v>
      </c>
      <c r="N64" s="100">
        <v>285.89999999999998</v>
      </c>
      <c r="O64" s="100">
        <v>0</v>
      </c>
      <c r="P64" s="100">
        <v>0.88</v>
      </c>
      <c r="Q64" s="100">
        <v>12.93</v>
      </c>
      <c r="R64" s="6"/>
      <c r="S64" s="6"/>
      <c r="T64" s="156"/>
      <c r="U64" s="6"/>
    </row>
    <row r="65" spans="1:21" customFormat="1">
      <c r="A65" s="163" t="s">
        <v>2119</v>
      </c>
      <c r="B65" s="100">
        <v>4.26</v>
      </c>
      <c r="C65" s="100">
        <v>27.77</v>
      </c>
      <c r="D65" s="100">
        <v>19.27</v>
      </c>
      <c r="E65" s="100">
        <v>17.41</v>
      </c>
      <c r="F65" s="152" t="s">
        <v>15</v>
      </c>
      <c r="G65" s="100">
        <v>91.6</v>
      </c>
      <c r="H65" s="100">
        <v>48.28</v>
      </c>
      <c r="I65" s="100">
        <v>11.29</v>
      </c>
      <c r="J65" s="100">
        <v>0.42</v>
      </c>
      <c r="K65" s="100">
        <v>324.94</v>
      </c>
      <c r="L65" s="100">
        <v>33.64</v>
      </c>
      <c r="M65" s="100">
        <v>26.77</v>
      </c>
      <c r="N65" s="100">
        <v>272.60000000000002</v>
      </c>
      <c r="O65" s="100">
        <v>0</v>
      </c>
      <c r="P65" s="100">
        <v>0.82</v>
      </c>
      <c r="Q65" s="100">
        <v>12.92</v>
      </c>
      <c r="R65" s="6"/>
      <c r="S65" s="6"/>
      <c r="T65" s="156"/>
      <c r="U65" s="6"/>
    </row>
    <row r="66" spans="1:21" customFormat="1">
      <c r="A66" s="163" t="s">
        <v>2120</v>
      </c>
      <c r="B66" s="100">
        <v>4.16</v>
      </c>
      <c r="C66" s="100">
        <v>26.86</v>
      </c>
      <c r="D66" s="100">
        <v>18.72</v>
      </c>
      <c r="E66" s="100">
        <v>20.61</v>
      </c>
      <c r="F66" s="152" t="s">
        <v>15</v>
      </c>
      <c r="G66" s="100">
        <v>82.49</v>
      </c>
      <c r="H66" s="100">
        <v>46.51</v>
      </c>
      <c r="I66" s="100">
        <v>11.03</v>
      </c>
      <c r="J66" s="100">
        <v>0.3</v>
      </c>
      <c r="K66" s="100">
        <v>164.28</v>
      </c>
      <c r="L66" s="100">
        <v>33.99</v>
      </c>
      <c r="M66" s="100">
        <v>26.2</v>
      </c>
      <c r="N66" s="100">
        <v>255.9</v>
      </c>
      <c r="O66" s="100">
        <v>0</v>
      </c>
      <c r="P66" s="100">
        <v>0.83</v>
      </c>
      <c r="Q66" s="100">
        <v>12.91</v>
      </c>
      <c r="R66" s="6"/>
      <c r="S66" s="6"/>
      <c r="T66" s="156"/>
      <c r="U66" s="6"/>
    </row>
    <row r="67" spans="1:21" customFormat="1">
      <c r="A67" s="163" t="s">
        <v>2121</v>
      </c>
      <c r="B67" s="100">
        <v>4.07</v>
      </c>
      <c r="C67" s="100">
        <v>25.96</v>
      </c>
      <c r="D67" s="100">
        <v>18.18</v>
      </c>
      <c r="E67" s="100">
        <v>26.87</v>
      </c>
      <c r="F67" s="152" t="s">
        <v>15</v>
      </c>
      <c r="G67" s="100">
        <v>79.180000000000007</v>
      </c>
      <c r="H67" s="100">
        <v>46.48</v>
      </c>
      <c r="I67" s="100">
        <v>10.65</v>
      </c>
      <c r="J67" s="100">
        <v>0.61</v>
      </c>
      <c r="K67" s="100">
        <v>281.58</v>
      </c>
      <c r="L67" s="100">
        <v>33.299999999999997</v>
      </c>
      <c r="M67" s="100">
        <v>27.71</v>
      </c>
      <c r="N67" s="100">
        <v>207</v>
      </c>
      <c r="O67" s="100">
        <v>0</v>
      </c>
      <c r="P67" s="100">
        <v>0.82</v>
      </c>
      <c r="Q67" s="100">
        <v>12.91</v>
      </c>
      <c r="R67" s="6"/>
      <c r="S67" s="6"/>
      <c r="T67" s="156"/>
      <c r="U67" s="6"/>
    </row>
    <row r="68" spans="1:21" customFormat="1">
      <c r="A68" s="163" t="s">
        <v>2122</v>
      </c>
      <c r="B68" s="100">
        <v>3.93</v>
      </c>
      <c r="C68" s="100">
        <v>25.52</v>
      </c>
      <c r="D68" s="100">
        <v>17.84</v>
      </c>
      <c r="E68" s="100">
        <v>38.33</v>
      </c>
      <c r="F68" s="152" t="s">
        <v>15</v>
      </c>
      <c r="G68" s="100">
        <v>79.180000000000007</v>
      </c>
      <c r="H68" s="100">
        <v>46.48</v>
      </c>
      <c r="I68" s="100">
        <v>10.34</v>
      </c>
      <c r="J68" s="100">
        <v>0.4</v>
      </c>
      <c r="K68" s="100">
        <v>9.15</v>
      </c>
      <c r="L68" s="100">
        <v>33.020000000000003</v>
      </c>
      <c r="M68" s="100">
        <v>26.98</v>
      </c>
      <c r="N68" s="100">
        <v>109.8</v>
      </c>
      <c r="O68" s="100">
        <v>0</v>
      </c>
      <c r="P68" s="100">
        <v>0.8</v>
      </c>
      <c r="Q68" s="100">
        <v>12.91</v>
      </c>
      <c r="R68" s="6"/>
      <c r="S68" s="6"/>
      <c r="T68" s="156"/>
      <c r="U68" s="6"/>
    </row>
    <row r="69" spans="1:21" customFormat="1">
      <c r="A69" s="163" t="s">
        <v>2123</v>
      </c>
      <c r="B69" s="100">
        <v>3.88</v>
      </c>
      <c r="C69" s="100">
        <v>25.18</v>
      </c>
      <c r="D69" s="100">
        <v>17.61</v>
      </c>
      <c r="E69" s="100">
        <v>39.369999999999997</v>
      </c>
      <c r="F69" s="152" t="s">
        <v>15</v>
      </c>
      <c r="G69" s="100">
        <v>79.180000000000007</v>
      </c>
      <c r="H69" s="100">
        <v>46.48</v>
      </c>
      <c r="I69" s="100">
        <v>10.09</v>
      </c>
      <c r="J69" s="100">
        <v>0.06</v>
      </c>
      <c r="K69" s="100">
        <v>85.02</v>
      </c>
      <c r="L69" s="100">
        <v>33.07</v>
      </c>
      <c r="M69" s="100">
        <v>27.33</v>
      </c>
      <c r="N69" s="100">
        <v>77.5</v>
      </c>
      <c r="O69" s="100">
        <v>0</v>
      </c>
      <c r="P69" s="100">
        <v>0.79</v>
      </c>
      <c r="Q69" s="100">
        <v>12.91</v>
      </c>
      <c r="R69" s="6"/>
      <c r="S69" s="6"/>
      <c r="T69" s="156"/>
      <c r="U69" s="6"/>
    </row>
    <row r="70" spans="1:21" customFormat="1">
      <c r="A70" s="163" t="s">
        <v>2124</v>
      </c>
      <c r="B70" s="100">
        <v>3.82</v>
      </c>
      <c r="C70" s="100">
        <v>24.75</v>
      </c>
      <c r="D70" s="100">
        <v>17.350000000000001</v>
      </c>
      <c r="E70" s="100">
        <v>42.29</v>
      </c>
      <c r="F70" s="152" t="s">
        <v>15</v>
      </c>
      <c r="G70" s="100">
        <v>74.959999999999994</v>
      </c>
      <c r="H70" s="100">
        <v>42.77</v>
      </c>
      <c r="I70" s="100">
        <v>9.7899999999999991</v>
      </c>
      <c r="J70" s="100">
        <v>0.22</v>
      </c>
      <c r="K70" s="100">
        <v>251.68</v>
      </c>
      <c r="L70" s="100">
        <v>32.520000000000003</v>
      </c>
      <c r="M70" s="100">
        <v>28.76</v>
      </c>
      <c r="N70" s="100">
        <v>61.8</v>
      </c>
      <c r="O70" s="100">
        <v>0</v>
      </c>
      <c r="P70" s="100">
        <v>0.76</v>
      </c>
      <c r="Q70" s="100">
        <v>12.9</v>
      </c>
      <c r="R70" s="6"/>
      <c r="S70" s="6"/>
      <c r="T70" s="156"/>
      <c r="U70" s="6"/>
    </row>
    <row r="71" spans="1:21" customFormat="1">
      <c r="A71" s="163" t="s">
        <v>2125</v>
      </c>
      <c r="B71" s="100">
        <v>3.86</v>
      </c>
      <c r="C71" s="100">
        <v>24.27</v>
      </c>
      <c r="D71" s="100">
        <v>17.13</v>
      </c>
      <c r="E71" s="100">
        <v>50.06</v>
      </c>
      <c r="F71" s="152" t="s">
        <v>15</v>
      </c>
      <c r="G71" s="100">
        <v>73.430000000000007</v>
      </c>
      <c r="H71" s="100">
        <v>42.68</v>
      </c>
      <c r="I71" s="100">
        <v>9.56</v>
      </c>
      <c r="J71" s="100">
        <v>0.61</v>
      </c>
      <c r="K71" s="100">
        <v>338.27</v>
      </c>
      <c r="L71" s="100">
        <v>32.42</v>
      </c>
      <c r="M71" s="100">
        <v>28.47</v>
      </c>
      <c r="N71" s="100">
        <v>63.2</v>
      </c>
      <c r="O71" s="100">
        <v>0</v>
      </c>
      <c r="P71" s="100">
        <v>0.76</v>
      </c>
      <c r="Q71" s="100">
        <v>12.9</v>
      </c>
      <c r="R71" s="6"/>
      <c r="S71" s="6"/>
      <c r="T71" s="156"/>
      <c r="U71" s="6"/>
    </row>
    <row r="72" spans="1:21" customFormat="1">
      <c r="A72" s="163" t="s">
        <v>2126</v>
      </c>
      <c r="B72" s="100">
        <v>3.83</v>
      </c>
      <c r="C72" s="100">
        <v>24.56</v>
      </c>
      <c r="D72" s="100">
        <v>17.25</v>
      </c>
      <c r="E72" s="100">
        <v>49.27</v>
      </c>
      <c r="F72" s="152" t="s">
        <v>15</v>
      </c>
      <c r="G72" s="100">
        <v>73.430000000000007</v>
      </c>
      <c r="H72" s="100">
        <v>42.68</v>
      </c>
      <c r="I72" s="100">
        <v>9.36</v>
      </c>
      <c r="J72" s="100">
        <v>0.64</v>
      </c>
      <c r="K72" s="100">
        <v>357.49</v>
      </c>
      <c r="L72" s="100">
        <v>32.14</v>
      </c>
      <c r="M72" s="100">
        <v>29.34</v>
      </c>
      <c r="N72" s="100">
        <v>56.7</v>
      </c>
      <c r="O72" s="100">
        <v>0</v>
      </c>
      <c r="P72" s="100">
        <v>0.79</v>
      </c>
      <c r="Q72" s="100">
        <v>12.89</v>
      </c>
      <c r="R72" s="6"/>
      <c r="S72" s="6"/>
      <c r="T72" s="156"/>
      <c r="U72" s="6"/>
    </row>
    <row r="73" spans="1:21" customFormat="1">
      <c r="A73" s="163" t="s">
        <v>2127</v>
      </c>
      <c r="B73" s="100">
        <v>3.91</v>
      </c>
      <c r="C73" s="100">
        <v>24.85</v>
      </c>
      <c r="D73" s="100">
        <v>17.47</v>
      </c>
      <c r="E73" s="100">
        <v>37.42</v>
      </c>
      <c r="F73" s="152" t="s">
        <v>15</v>
      </c>
      <c r="G73" s="100">
        <v>73.430000000000007</v>
      </c>
      <c r="H73" s="100">
        <v>42.68</v>
      </c>
      <c r="I73" s="100">
        <v>9.5</v>
      </c>
      <c r="J73" s="100">
        <v>0.73</v>
      </c>
      <c r="K73" s="100">
        <v>16.64</v>
      </c>
      <c r="L73" s="100">
        <v>32.21</v>
      </c>
      <c r="M73" s="100">
        <v>29.06</v>
      </c>
      <c r="N73" s="100">
        <v>63.7</v>
      </c>
      <c r="O73" s="100">
        <v>0</v>
      </c>
      <c r="P73" s="100">
        <v>0.77</v>
      </c>
      <c r="Q73" s="100">
        <v>12.89</v>
      </c>
      <c r="R73" s="6"/>
      <c r="S73" s="6"/>
      <c r="T73" s="156"/>
      <c r="U73" s="6"/>
    </row>
    <row r="74" spans="1:21" customFormat="1">
      <c r="A74" s="163" t="s">
        <v>2128</v>
      </c>
      <c r="B74" s="100">
        <v>3.91</v>
      </c>
      <c r="C74" s="100">
        <v>25.56</v>
      </c>
      <c r="D74" s="100">
        <v>17.84</v>
      </c>
      <c r="E74" s="100">
        <v>37.14</v>
      </c>
      <c r="F74" s="152" t="s">
        <v>15</v>
      </c>
      <c r="G74" s="100">
        <v>80.680000000000007</v>
      </c>
      <c r="H74" s="100">
        <v>41.29</v>
      </c>
      <c r="I74" s="100">
        <v>9.75</v>
      </c>
      <c r="J74" s="100">
        <v>0.75</v>
      </c>
      <c r="K74" s="100">
        <v>30.97</v>
      </c>
      <c r="L74" s="100">
        <v>32.200000000000003</v>
      </c>
      <c r="M74" s="100">
        <v>29.3</v>
      </c>
      <c r="N74" s="100">
        <v>45.4</v>
      </c>
      <c r="O74" s="100">
        <v>0</v>
      </c>
      <c r="P74" s="100">
        <v>0.72</v>
      </c>
      <c r="Q74" s="100">
        <v>12.91</v>
      </c>
      <c r="R74" s="6"/>
      <c r="S74" s="6"/>
      <c r="T74" s="156"/>
      <c r="U74" s="6"/>
    </row>
    <row r="75" spans="1:21" customFormat="1">
      <c r="A75" s="163" t="s">
        <v>2129</v>
      </c>
      <c r="B75" s="100">
        <v>3.85</v>
      </c>
      <c r="C75" s="100">
        <v>26.53</v>
      </c>
      <c r="D75" s="100">
        <v>18.3</v>
      </c>
      <c r="E75" s="100">
        <v>30.81</v>
      </c>
      <c r="F75" s="152" t="s">
        <v>15</v>
      </c>
      <c r="G75" s="100">
        <v>83.31</v>
      </c>
      <c r="H75" s="100">
        <v>41.27</v>
      </c>
      <c r="I75" s="100">
        <v>9.69</v>
      </c>
      <c r="J75" s="100">
        <v>0.56999999999999995</v>
      </c>
      <c r="K75" s="100">
        <v>9.75</v>
      </c>
      <c r="L75" s="100">
        <v>31.84</v>
      </c>
      <c r="M75" s="100">
        <v>30.26</v>
      </c>
      <c r="N75" s="100">
        <v>36.9</v>
      </c>
      <c r="O75" s="100">
        <v>0</v>
      </c>
      <c r="P75" s="100">
        <v>0.72</v>
      </c>
      <c r="Q75" s="100">
        <v>12.91</v>
      </c>
      <c r="R75" s="6"/>
      <c r="S75" s="6"/>
      <c r="T75" s="156"/>
      <c r="U75" s="6"/>
    </row>
    <row r="76" spans="1:21" customFormat="1">
      <c r="A76" s="163" t="s">
        <v>2130</v>
      </c>
      <c r="B76" s="100">
        <v>3.86</v>
      </c>
      <c r="C76" s="100">
        <v>27.48</v>
      </c>
      <c r="D76" s="100">
        <v>18.8</v>
      </c>
      <c r="E76" s="100">
        <v>31.21</v>
      </c>
      <c r="F76" s="152" t="s">
        <v>15</v>
      </c>
      <c r="G76" s="100">
        <v>83.31</v>
      </c>
      <c r="H76" s="100">
        <v>41.27</v>
      </c>
      <c r="I76" s="100">
        <v>9.67</v>
      </c>
      <c r="J76" s="100">
        <v>0.73</v>
      </c>
      <c r="K76" s="100">
        <v>40.86</v>
      </c>
      <c r="L76" s="100">
        <v>31.66</v>
      </c>
      <c r="M76" s="100">
        <v>30.71</v>
      </c>
      <c r="N76" s="100">
        <v>28.3</v>
      </c>
      <c r="O76" s="100">
        <v>0</v>
      </c>
      <c r="P76" s="100">
        <v>0.73</v>
      </c>
      <c r="Q76" s="100">
        <v>12.91</v>
      </c>
      <c r="R76" s="6"/>
      <c r="S76" s="6"/>
      <c r="T76" s="156"/>
      <c r="U76" s="6"/>
    </row>
    <row r="77" spans="1:21" customFormat="1">
      <c r="A77" s="163" t="s">
        <v>2131</v>
      </c>
      <c r="B77" s="100">
        <v>3.9</v>
      </c>
      <c r="C77" s="100">
        <v>28.53</v>
      </c>
      <c r="D77" s="100">
        <v>19.38</v>
      </c>
      <c r="E77" s="100">
        <v>42.18</v>
      </c>
      <c r="F77" s="152" t="s">
        <v>15</v>
      </c>
      <c r="G77" s="100">
        <v>83.31</v>
      </c>
      <c r="H77" s="100">
        <v>41.27</v>
      </c>
      <c r="I77" s="100">
        <v>9.66</v>
      </c>
      <c r="J77" s="100">
        <v>0.72</v>
      </c>
      <c r="K77" s="100">
        <v>35.93</v>
      </c>
      <c r="L77" s="100">
        <v>31.35</v>
      </c>
      <c r="M77" s="100">
        <v>31.36</v>
      </c>
      <c r="N77" s="100">
        <v>20.6</v>
      </c>
      <c r="O77" s="100">
        <v>0</v>
      </c>
      <c r="P77" s="100">
        <v>0.75</v>
      </c>
      <c r="Q77" s="100">
        <v>12.91</v>
      </c>
      <c r="R77" s="6"/>
      <c r="S77" s="6"/>
      <c r="T77" s="156"/>
      <c r="U77" s="6"/>
    </row>
    <row r="78" spans="1:21" customFormat="1">
      <c r="A78" s="163" t="s">
        <v>2132</v>
      </c>
      <c r="B78" s="100">
        <v>4</v>
      </c>
      <c r="C78" s="100">
        <v>29.37</v>
      </c>
      <c r="D78" s="100">
        <v>19.91</v>
      </c>
      <c r="E78" s="100">
        <v>45.79</v>
      </c>
      <c r="F78" s="152" t="s">
        <v>15</v>
      </c>
      <c r="G78" s="100">
        <v>91.15</v>
      </c>
      <c r="H78" s="100">
        <v>41.87</v>
      </c>
      <c r="I78" s="100">
        <v>9.6199999999999992</v>
      </c>
      <c r="J78" s="100">
        <v>0.61</v>
      </c>
      <c r="K78" s="100">
        <v>53.3</v>
      </c>
      <c r="L78" s="100">
        <v>31.08</v>
      </c>
      <c r="M78" s="100">
        <v>32.18</v>
      </c>
      <c r="N78" s="100">
        <v>14.2</v>
      </c>
      <c r="O78" s="100">
        <v>0</v>
      </c>
      <c r="P78" s="100">
        <v>0.77</v>
      </c>
      <c r="Q78" s="100">
        <v>12.91</v>
      </c>
      <c r="R78" s="6"/>
      <c r="S78" s="6"/>
      <c r="T78" s="156"/>
      <c r="U78" s="6"/>
    </row>
    <row r="79" spans="1:21" customFormat="1">
      <c r="A79" s="163" t="s">
        <v>2133</v>
      </c>
      <c r="B79" s="100">
        <v>4.17</v>
      </c>
      <c r="C79" s="100">
        <v>30.51</v>
      </c>
      <c r="D79" s="100">
        <v>20.64</v>
      </c>
      <c r="E79" s="100">
        <v>34.56</v>
      </c>
      <c r="F79" s="152" t="s">
        <v>15</v>
      </c>
      <c r="G79" s="100">
        <v>94</v>
      </c>
      <c r="H79" s="100">
        <v>41.88</v>
      </c>
      <c r="I79" s="100">
        <v>9.51</v>
      </c>
      <c r="J79" s="100">
        <v>0.48</v>
      </c>
      <c r="K79" s="100">
        <v>52.8</v>
      </c>
      <c r="L79" s="100">
        <v>30.77</v>
      </c>
      <c r="M79" s="100">
        <v>32.78</v>
      </c>
      <c r="N79" s="100">
        <v>8</v>
      </c>
      <c r="O79" s="100">
        <v>0</v>
      </c>
      <c r="P79" s="100">
        <v>0.79</v>
      </c>
      <c r="Q79" s="100">
        <v>12.92</v>
      </c>
      <c r="R79" s="6"/>
      <c r="S79" s="6"/>
      <c r="T79" s="156"/>
      <c r="U79" s="6"/>
    </row>
    <row r="80" spans="1:21" customFormat="1">
      <c r="A80" s="163" t="s">
        <v>2134</v>
      </c>
      <c r="B80" s="100">
        <v>4.34</v>
      </c>
      <c r="C80" s="100">
        <v>31.53</v>
      </c>
      <c r="D80" s="100">
        <v>21.3</v>
      </c>
      <c r="E80" s="100">
        <v>23.96</v>
      </c>
      <c r="F80" s="152" t="s">
        <v>15</v>
      </c>
      <c r="G80" s="100">
        <v>94</v>
      </c>
      <c r="H80" s="100">
        <v>41.88</v>
      </c>
      <c r="I80" s="100">
        <v>9.75</v>
      </c>
      <c r="J80" s="100">
        <v>0.63</v>
      </c>
      <c r="K80" s="100">
        <v>57.98</v>
      </c>
      <c r="L80" s="100">
        <v>30.38</v>
      </c>
      <c r="M80" s="100">
        <v>33.82</v>
      </c>
      <c r="N80" s="100">
        <v>3.6</v>
      </c>
      <c r="O80" s="100">
        <v>0</v>
      </c>
      <c r="P80" s="100">
        <v>0.78</v>
      </c>
      <c r="Q80" s="100">
        <v>12.93</v>
      </c>
      <c r="R80" s="6"/>
      <c r="S80" s="6"/>
      <c r="T80" s="156"/>
      <c r="U80" s="6"/>
    </row>
    <row r="81" spans="1:21" customFormat="1">
      <c r="A81" s="163" t="s">
        <v>2135</v>
      </c>
      <c r="B81" s="100">
        <v>4.7</v>
      </c>
      <c r="C81" s="100">
        <v>32.58</v>
      </c>
      <c r="D81" s="100">
        <v>22.14</v>
      </c>
      <c r="E81" s="100">
        <v>10.65</v>
      </c>
      <c r="F81" s="152" t="s">
        <v>15</v>
      </c>
      <c r="G81" s="100">
        <v>94</v>
      </c>
      <c r="H81" s="100">
        <v>41.88</v>
      </c>
      <c r="I81" s="100">
        <v>10.02</v>
      </c>
      <c r="J81" s="100">
        <v>0.56999999999999995</v>
      </c>
      <c r="K81" s="100">
        <v>57.04</v>
      </c>
      <c r="L81" s="100">
        <v>29.95</v>
      </c>
      <c r="M81" s="100">
        <v>34.96</v>
      </c>
      <c r="N81" s="100">
        <v>1.9</v>
      </c>
      <c r="O81" s="100">
        <v>0</v>
      </c>
      <c r="P81" s="100">
        <v>0.79</v>
      </c>
      <c r="Q81" s="100">
        <v>12.93</v>
      </c>
      <c r="R81" s="6"/>
      <c r="S81" s="6"/>
      <c r="T81" s="156"/>
      <c r="U81" s="6"/>
    </row>
    <row r="82" spans="1:21" customFormat="1">
      <c r="A82" s="163" t="s">
        <v>2136</v>
      </c>
      <c r="B82" s="100">
        <v>5.0599999999999996</v>
      </c>
      <c r="C82" s="100">
        <v>33.200000000000003</v>
      </c>
      <c r="D82" s="100">
        <v>22.75</v>
      </c>
      <c r="E82" s="100">
        <v>15.48</v>
      </c>
      <c r="F82" s="152" t="s">
        <v>15</v>
      </c>
      <c r="G82" s="100">
        <v>99.46</v>
      </c>
      <c r="H82" s="100">
        <v>38.93</v>
      </c>
      <c r="I82" s="100">
        <v>9.9600000000000009</v>
      </c>
      <c r="J82" s="100">
        <v>0.49</v>
      </c>
      <c r="K82" s="100">
        <v>49.12</v>
      </c>
      <c r="L82" s="100">
        <v>29.54</v>
      </c>
      <c r="M82" s="100">
        <v>36.17</v>
      </c>
      <c r="N82" s="100">
        <v>1.6</v>
      </c>
      <c r="O82" s="100">
        <v>0</v>
      </c>
      <c r="P82" s="100">
        <v>0.81</v>
      </c>
      <c r="Q82" s="100">
        <v>12.93</v>
      </c>
      <c r="R82" s="6"/>
      <c r="S82" s="6"/>
      <c r="T82" s="156"/>
      <c r="U82" s="6"/>
    </row>
    <row r="83" spans="1:21" customFormat="1">
      <c r="A83" s="163" t="s">
        <v>2137</v>
      </c>
      <c r="B83" s="100">
        <v>5.4</v>
      </c>
      <c r="C83" s="100">
        <v>33.68</v>
      </c>
      <c r="D83" s="100">
        <v>23.28</v>
      </c>
      <c r="E83" s="100">
        <v>13.63</v>
      </c>
      <c r="F83" s="152" t="s">
        <v>15</v>
      </c>
      <c r="G83" s="100">
        <v>101.44</v>
      </c>
      <c r="H83" s="100">
        <v>38.89</v>
      </c>
      <c r="I83" s="100">
        <v>10.029999999999999</v>
      </c>
      <c r="J83" s="100">
        <v>0.7</v>
      </c>
      <c r="K83" s="100">
        <v>52.79</v>
      </c>
      <c r="L83" s="100">
        <v>29.22</v>
      </c>
      <c r="M83" s="100">
        <v>36.69</v>
      </c>
      <c r="N83" s="100">
        <v>1.4</v>
      </c>
      <c r="O83" s="100">
        <v>0</v>
      </c>
      <c r="P83" s="100">
        <v>0.81</v>
      </c>
      <c r="Q83" s="100">
        <v>12.95</v>
      </c>
      <c r="R83" s="6"/>
      <c r="S83" s="6"/>
      <c r="T83" s="156"/>
      <c r="U83" s="6"/>
    </row>
    <row r="84" spans="1:21" customFormat="1">
      <c r="A84" s="163" t="s">
        <v>2138</v>
      </c>
      <c r="B84" s="100">
        <v>5.73</v>
      </c>
      <c r="C84" s="100">
        <v>33.99</v>
      </c>
      <c r="D84" s="100">
        <v>23.7</v>
      </c>
      <c r="E84" s="100">
        <v>13.05</v>
      </c>
      <c r="F84" s="152" t="s">
        <v>15</v>
      </c>
      <c r="G84" s="100">
        <v>101.44</v>
      </c>
      <c r="H84" s="100">
        <v>38.89</v>
      </c>
      <c r="I84" s="100">
        <v>10.220000000000001</v>
      </c>
      <c r="J84" s="100">
        <v>0.71</v>
      </c>
      <c r="K84" s="100">
        <v>51.47</v>
      </c>
      <c r="L84" s="100">
        <v>28.82</v>
      </c>
      <c r="M84" s="100">
        <v>38.25</v>
      </c>
      <c r="N84" s="100">
        <v>1.6</v>
      </c>
      <c r="O84" s="100">
        <v>0</v>
      </c>
      <c r="P84" s="100">
        <v>0.83</v>
      </c>
      <c r="Q84" s="100">
        <v>12.95</v>
      </c>
      <c r="R84" s="6"/>
      <c r="S84" s="6"/>
      <c r="T84" s="156"/>
      <c r="U84" s="6"/>
    </row>
    <row r="85" spans="1:21" customFormat="1">
      <c r="A85" s="163" t="s">
        <v>2139</v>
      </c>
      <c r="B85" s="100">
        <v>5.88</v>
      </c>
      <c r="C85" s="100">
        <v>34.35</v>
      </c>
      <c r="D85" s="100">
        <v>24.01</v>
      </c>
      <c r="E85" s="100">
        <v>11.63</v>
      </c>
      <c r="F85" s="152" t="s">
        <v>15</v>
      </c>
      <c r="G85" s="100">
        <v>101.44</v>
      </c>
      <c r="H85" s="100">
        <v>38.89</v>
      </c>
      <c r="I85" s="100">
        <v>10.31</v>
      </c>
      <c r="J85" s="100">
        <v>0.56999999999999995</v>
      </c>
      <c r="K85" s="100">
        <v>60.98</v>
      </c>
      <c r="L85" s="100">
        <v>28.44</v>
      </c>
      <c r="M85" s="100">
        <v>39.72</v>
      </c>
      <c r="N85" s="100">
        <v>1.5</v>
      </c>
      <c r="O85" s="100">
        <v>0</v>
      </c>
      <c r="P85" s="100">
        <v>0.84</v>
      </c>
      <c r="Q85" s="100">
        <v>12.94</v>
      </c>
      <c r="R85" s="6"/>
      <c r="S85" s="6"/>
      <c r="T85" s="156"/>
      <c r="U85" s="6"/>
    </row>
    <row r="86" spans="1:21" customFormat="1">
      <c r="A86" s="163" t="s">
        <v>2140</v>
      </c>
      <c r="B86" s="100">
        <v>5.94</v>
      </c>
      <c r="C86" s="100">
        <v>34.39</v>
      </c>
      <c r="D86" s="100">
        <v>24.09</v>
      </c>
      <c r="E86" s="100">
        <v>10.45</v>
      </c>
      <c r="F86" s="152" t="s">
        <v>15</v>
      </c>
      <c r="G86" s="100">
        <v>104.82</v>
      </c>
      <c r="H86" s="100">
        <v>39.07</v>
      </c>
      <c r="I86" s="100">
        <v>10.27</v>
      </c>
      <c r="J86" s="100">
        <v>0.19</v>
      </c>
      <c r="K86" s="100">
        <v>119.77</v>
      </c>
      <c r="L86" s="100">
        <v>27.72</v>
      </c>
      <c r="M86" s="100">
        <v>47.99</v>
      </c>
      <c r="N86" s="100">
        <v>2</v>
      </c>
      <c r="O86" s="100">
        <v>0</v>
      </c>
      <c r="P86" s="100">
        <v>0.84</v>
      </c>
      <c r="Q86" s="100">
        <v>12.94</v>
      </c>
      <c r="R86" s="6"/>
      <c r="S86" s="6"/>
      <c r="T86" s="156"/>
      <c r="U86" s="6"/>
    </row>
    <row r="87" spans="1:21" customFormat="1">
      <c r="A87" s="163" t="s">
        <v>2141</v>
      </c>
      <c r="B87" s="100">
        <v>5.81</v>
      </c>
      <c r="C87" s="100">
        <v>33.83</v>
      </c>
      <c r="D87" s="100">
        <v>23.69</v>
      </c>
      <c r="E87" s="100">
        <v>9.8800000000000008</v>
      </c>
      <c r="F87" s="152" t="s">
        <v>15</v>
      </c>
      <c r="G87" s="100">
        <v>106.04</v>
      </c>
      <c r="H87" s="100">
        <v>39.08</v>
      </c>
      <c r="I87" s="100">
        <v>10.32</v>
      </c>
      <c r="J87" s="100">
        <v>0.15</v>
      </c>
      <c r="K87" s="100">
        <v>160.5</v>
      </c>
      <c r="L87" s="100">
        <v>26.7</v>
      </c>
      <c r="M87" s="100">
        <v>50.2</v>
      </c>
      <c r="N87" s="100">
        <v>1.8</v>
      </c>
      <c r="O87" s="100">
        <v>0</v>
      </c>
      <c r="P87" s="100">
        <v>0.85</v>
      </c>
      <c r="Q87" s="100">
        <v>12.93</v>
      </c>
      <c r="R87" s="6"/>
      <c r="S87" s="6"/>
      <c r="T87" s="156"/>
      <c r="U87" s="6"/>
    </row>
    <row r="88" spans="1:21" customFormat="1">
      <c r="A88" s="163" t="s">
        <v>2142</v>
      </c>
      <c r="B88" s="100">
        <v>5.72</v>
      </c>
      <c r="C88" s="100">
        <v>33.380000000000003</v>
      </c>
      <c r="D88" s="100">
        <v>23.37</v>
      </c>
      <c r="E88" s="100">
        <v>9.17</v>
      </c>
      <c r="F88" s="152" t="s">
        <v>15</v>
      </c>
      <c r="G88" s="100">
        <v>106.04</v>
      </c>
      <c r="H88" s="100">
        <v>39.08</v>
      </c>
      <c r="I88" s="100">
        <v>10.49</v>
      </c>
      <c r="J88" s="100">
        <v>0.25</v>
      </c>
      <c r="K88" s="100">
        <v>162.24</v>
      </c>
      <c r="L88" s="100">
        <v>26.55</v>
      </c>
      <c r="M88" s="100">
        <v>52.07</v>
      </c>
      <c r="N88" s="100">
        <v>1.6</v>
      </c>
      <c r="O88" s="100">
        <v>0</v>
      </c>
      <c r="P88" s="100">
        <v>0.86</v>
      </c>
      <c r="Q88" s="100">
        <v>12.93</v>
      </c>
      <c r="R88" s="6"/>
      <c r="S88" s="6"/>
      <c r="T88" s="156"/>
      <c r="U88" s="6"/>
    </row>
    <row r="89" spans="1:21" customFormat="1">
      <c r="A89" s="163" t="s">
        <v>2143</v>
      </c>
      <c r="B89" s="100">
        <v>5.68</v>
      </c>
      <c r="C89" s="100">
        <v>32.93</v>
      </c>
      <c r="D89" s="100">
        <v>23.11</v>
      </c>
      <c r="E89" s="100">
        <v>9.0299999999999994</v>
      </c>
      <c r="F89" s="152" t="s">
        <v>15</v>
      </c>
      <c r="G89" s="100">
        <v>106.04</v>
      </c>
      <c r="H89" s="100">
        <v>39.08</v>
      </c>
      <c r="I89" s="100">
        <v>10.75</v>
      </c>
      <c r="J89" s="100">
        <v>0.17</v>
      </c>
      <c r="K89" s="100">
        <v>171.23</v>
      </c>
      <c r="L89" s="100">
        <v>26.04</v>
      </c>
      <c r="M89" s="100">
        <v>55.11</v>
      </c>
      <c r="N89" s="100">
        <v>1.6</v>
      </c>
      <c r="O89" s="100">
        <v>0</v>
      </c>
      <c r="P89" s="100">
        <v>0.86</v>
      </c>
      <c r="Q89" s="100">
        <v>12.92</v>
      </c>
      <c r="R89" s="6"/>
      <c r="S89" s="6"/>
      <c r="T89" s="156"/>
      <c r="U89" s="6"/>
    </row>
    <row r="90" spans="1:21" customFormat="1">
      <c r="A90" s="163" t="s">
        <v>2144</v>
      </c>
      <c r="B90" s="100">
        <v>5.68</v>
      </c>
      <c r="C90" s="100">
        <v>32.49</v>
      </c>
      <c r="D90" s="100">
        <v>22.88</v>
      </c>
      <c r="E90" s="100">
        <v>9.24</v>
      </c>
      <c r="F90" s="152" t="s">
        <v>15</v>
      </c>
      <c r="G90" s="100">
        <v>114.45</v>
      </c>
      <c r="H90" s="100">
        <v>39.42</v>
      </c>
      <c r="I90" s="100">
        <v>11.03</v>
      </c>
      <c r="J90" s="100">
        <v>0.19</v>
      </c>
      <c r="K90" s="100">
        <v>192.71</v>
      </c>
      <c r="L90" s="100">
        <v>25.86</v>
      </c>
      <c r="M90" s="100">
        <v>53.73</v>
      </c>
      <c r="N90" s="100">
        <v>1.4</v>
      </c>
      <c r="O90" s="100">
        <v>0</v>
      </c>
      <c r="P90" s="100">
        <v>0.87</v>
      </c>
      <c r="Q90" s="100">
        <v>12.94</v>
      </c>
      <c r="R90" s="6"/>
      <c r="S90" s="6"/>
      <c r="T90" s="156"/>
      <c r="U90" s="6"/>
    </row>
    <row r="91" spans="1:21" customFormat="1">
      <c r="A91" s="163" t="s">
        <v>2145</v>
      </c>
      <c r="B91" s="100">
        <v>5.78</v>
      </c>
      <c r="C91" s="100">
        <v>32.22</v>
      </c>
      <c r="D91" s="100">
        <v>22.82</v>
      </c>
      <c r="E91" s="100">
        <v>8.8000000000000007</v>
      </c>
      <c r="F91" s="152" t="s">
        <v>15</v>
      </c>
      <c r="G91" s="100">
        <v>117.5</v>
      </c>
      <c r="H91" s="100">
        <v>39.43</v>
      </c>
      <c r="I91" s="100">
        <v>11.17</v>
      </c>
      <c r="J91" s="100">
        <v>0.27</v>
      </c>
      <c r="K91" s="100">
        <v>188.59</v>
      </c>
      <c r="L91" s="100">
        <v>25.31</v>
      </c>
      <c r="M91" s="100">
        <v>58.64</v>
      </c>
      <c r="N91" s="100">
        <v>1.8</v>
      </c>
      <c r="O91" s="100">
        <v>0</v>
      </c>
      <c r="P91" s="100">
        <v>0.88</v>
      </c>
      <c r="Q91" s="100">
        <v>12.94</v>
      </c>
      <c r="R91" s="6"/>
      <c r="S91" s="6"/>
      <c r="T91" s="156"/>
      <c r="U91" s="6"/>
    </row>
    <row r="92" spans="1:21" customFormat="1">
      <c r="A92" s="163" t="s">
        <v>2146</v>
      </c>
      <c r="B92" s="100">
        <v>5.85</v>
      </c>
      <c r="C92" s="100">
        <v>31.69</v>
      </c>
      <c r="D92" s="100">
        <v>22.6</v>
      </c>
      <c r="E92" s="100">
        <v>8.7799999999999994</v>
      </c>
      <c r="F92" s="152" t="s">
        <v>15</v>
      </c>
      <c r="G92" s="100">
        <v>117.5</v>
      </c>
      <c r="H92" s="100">
        <v>39.43</v>
      </c>
      <c r="I92" s="100">
        <v>11.27</v>
      </c>
      <c r="J92" s="100">
        <v>0.18</v>
      </c>
      <c r="K92" s="100">
        <v>194.18</v>
      </c>
      <c r="L92" s="100">
        <v>24.79</v>
      </c>
      <c r="M92" s="100">
        <v>56.75</v>
      </c>
      <c r="N92" s="100">
        <v>1.4</v>
      </c>
      <c r="O92" s="100">
        <v>0</v>
      </c>
      <c r="P92" s="100">
        <v>0.89</v>
      </c>
      <c r="Q92" s="100">
        <v>12.92</v>
      </c>
      <c r="R92" s="6"/>
      <c r="S92" s="6"/>
      <c r="T92" s="156"/>
      <c r="U92" s="6"/>
    </row>
    <row r="93" spans="1:21" customFormat="1">
      <c r="A93" s="163" t="s">
        <v>2147</v>
      </c>
      <c r="B93" s="100">
        <v>5.93</v>
      </c>
      <c r="C93" s="100">
        <v>31.32</v>
      </c>
      <c r="D93" s="100">
        <v>22.47</v>
      </c>
      <c r="E93" s="100">
        <v>8.44</v>
      </c>
      <c r="F93" s="152" t="s">
        <v>15</v>
      </c>
      <c r="G93" s="100">
        <v>117.5</v>
      </c>
      <c r="H93" s="100">
        <v>39.43</v>
      </c>
      <c r="I93" s="100">
        <v>11.39</v>
      </c>
      <c r="J93" s="100">
        <v>0.18</v>
      </c>
      <c r="K93" s="100">
        <v>205.61</v>
      </c>
      <c r="L93" s="100">
        <v>24.56</v>
      </c>
      <c r="M93" s="100">
        <v>60.1</v>
      </c>
      <c r="N93" s="100">
        <v>1.7</v>
      </c>
      <c r="O93" s="100">
        <v>0</v>
      </c>
      <c r="P93" s="100">
        <v>0.9</v>
      </c>
      <c r="Q93" s="100">
        <v>12.94</v>
      </c>
      <c r="R93" s="6"/>
      <c r="S93" s="6"/>
      <c r="T93" s="156"/>
      <c r="U93" s="6"/>
    </row>
    <row r="94" spans="1:21" customFormat="1">
      <c r="A94" s="163" t="s">
        <v>2148</v>
      </c>
      <c r="B94" s="100">
        <v>6.19</v>
      </c>
      <c r="C94" s="100">
        <v>30.9</v>
      </c>
      <c r="D94" s="100">
        <v>22.46</v>
      </c>
      <c r="E94" s="100">
        <v>8.66</v>
      </c>
      <c r="F94" s="152" t="s">
        <v>15</v>
      </c>
      <c r="G94" s="100">
        <v>123.54</v>
      </c>
      <c r="H94" s="100">
        <v>40.76</v>
      </c>
      <c r="I94" s="100">
        <v>11.52</v>
      </c>
      <c r="J94" s="100">
        <v>0.17</v>
      </c>
      <c r="K94" s="100">
        <v>148.99</v>
      </c>
      <c r="L94" s="100">
        <v>24.2</v>
      </c>
      <c r="M94" s="100">
        <v>60.68</v>
      </c>
      <c r="N94" s="100">
        <v>1.3</v>
      </c>
      <c r="O94" s="100">
        <v>0</v>
      </c>
      <c r="P94" s="100">
        <v>0.94</v>
      </c>
      <c r="Q94" s="100">
        <v>12.95</v>
      </c>
      <c r="R94" s="6"/>
      <c r="S94" s="6"/>
      <c r="T94" s="156"/>
      <c r="U94" s="6"/>
    </row>
    <row r="95" spans="1:21" customFormat="1">
      <c r="A95" s="163" t="s">
        <v>2149</v>
      </c>
      <c r="B95" s="100">
        <v>6.64</v>
      </c>
      <c r="C95" s="100">
        <v>30.01</v>
      </c>
      <c r="D95" s="100">
        <v>22.36</v>
      </c>
      <c r="E95" s="100">
        <v>8.4</v>
      </c>
      <c r="F95" s="152" t="s">
        <v>15</v>
      </c>
      <c r="G95" s="100">
        <v>125.74</v>
      </c>
      <c r="H95" s="100">
        <v>40.799999999999997</v>
      </c>
      <c r="I95" s="100">
        <v>11.62</v>
      </c>
      <c r="J95" s="100">
        <v>0.23</v>
      </c>
      <c r="K95" s="100">
        <v>185.13</v>
      </c>
      <c r="L95" s="100">
        <v>23.83</v>
      </c>
      <c r="M95" s="100">
        <v>64.14</v>
      </c>
      <c r="N95" s="100">
        <v>1.6</v>
      </c>
      <c r="O95" s="100">
        <v>0</v>
      </c>
      <c r="P95" s="100">
        <v>0.96</v>
      </c>
      <c r="Q95" s="100">
        <v>12.94</v>
      </c>
      <c r="R95" s="6"/>
      <c r="S95" s="6"/>
      <c r="T95" s="156"/>
      <c r="U95" s="6"/>
    </row>
    <row r="96" spans="1:21" customFormat="1">
      <c r="A96" s="163" t="s">
        <v>2150</v>
      </c>
      <c r="B96" s="100">
        <v>7</v>
      </c>
      <c r="C96" s="100">
        <v>29.17</v>
      </c>
      <c r="D96" s="100">
        <v>22.21</v>
      </c>
      <c r="E96" s="100">
        <v>8.2799999999999994</v>
      </c>
      <c r="F96" s="152" t="s">
        <v>15</v>
      </c>
      <c r="G96" s="100">
        <v>125.74</v>
      </c>
      <c r="H96" s="100">
        <v>40.799999999999997</v>
      </c>
      <c r="I96" s="100">
        <v>11.72</v>
      </c>
      <c r="J96" s="100">
        <v>0.2</v>
      </c>
      <c r="K96" s="100">
        <v>173.63</v>
      </c>
      <c r="L96" s="100">
        <v>23.45</v>
      </c>
      <c r="M96" s="100">
        <v>64.44</v>
      </c>
      <c r="N96" s="100">
        <v>1.4</v>
      </c>
      <c r="O96" s="100">
        <v>0</v>
      </c>
      <c r="P96" s="100">
        <v>0.96</v>
      </c>
      <c r="Q96" s="100">
        <v>12.93</v>
      </c>
      <c r="R96" s="6"/>
      <c r="S96" s="6"/>
      <c r="T96" s="156"/>
      <c r="U96" s="6"/>
    </row>
    <row r="97" spans="1:28" customFormat="1">
      <c r="A97" s="163" t="s">
        <v>2151</v>
      </c>
      <c r="B97" s="100">
        <v>7.28</v>
      </c>
      <c r="C97" s="100">
        <v>28.31</v>
      </c>
      <c r="D97" s="100">
        <v>21.98</v>
      </c>
      <c r="E97" s="100">
        <v>8.31</v>
      </c>
      <c r="F97" s="152" t="s">
        <v>15</v>
      </c>
      <c r="G97" s="100">
        <v>125.74</v>
      </c>
      <c r="H97" s="100">
        <v>40.799999999999997</v>
      </c>
      <c r="I97" s="100">
        <v>11.77</v>
      </c>
      <c r="J97" s="100">
        <v>0.17</v>
      </c>
      <c r="K97" s="100">
        <v>194.66</v>
      </c>
      <c r="L97" s="100">
        <v>23.31</v>
      </c>
      <c r="M97" s="100">
        <v>63.09</v>
      </c>
      <c r="N97" s="100">
        <v>1.3</v>
      </c>
      <c r="O97" s="100">
        <v>0</v>
      </c>
      <c r="P97" s="100">
        <v>0.97</v>
      </c>
      <c r="Q97" s="100">
        <v>12.93</v>
      </c>
      <c r="R97" s="6"/>
      <c r="S97" s="6"/>
      <c r="T97" s="156"/>
      <c r="U97" s="6"/>
    </row>
    <row r="98" spans="1:28" customFormat="1">
      <c r="A98" s="163" t="s">
        <v>2152</v>
      </c>
      <c r="B98" s="100">
        <v>7.45</v>
      </c>
      <c r="C98" s="100">
        <v>27.65</v>
      </c>
      <c r="D98" s="100">
        <v>21.78</v>
      </c>
      <c r="E98" s="100">
        <v>8.52</v>
      </c>
      <c r="F98" s="152" t="s">
        <v>15</v>
      </c>
      <c r="G98" s="100">
        <v>120.96</v>
      </c>
      <c r="H98" s="100">
        <v>37.549999999999997</v>
      </c>
      <c r="I98" s="100">
        <v>11.8</v>
      </c>
      <c r="J98" s="100">
        <v>0.2</v>
      </c>
      <c r="K98" s="100">
        <v>192.01</v>
      </c>
      <c r="L98" s="100">
        <v>23.3</v>
      </c>
      <c r="M98" s="100">
        <v>63.48</v>
      </c>
      <c r="N98" s="100">
        <v>1.3</v>
      </c>
      <c r="O98" s="100">
        <v>0</v>
      </c>
      <c r="P98" s="100">
        <v>0.97</v>
      </c>
      <c r="Q98" s="100">
        <v>12.95</v>
      </c>
      <c r="R98" s="6"/>
      <c r="S98" s="6"/>
      <c r="T98" s="156"/>
      <c r="U98" s="6"/>
    </row>
    <row r="99" spans="1:28" customFormat="1">
      <c r="A99" s="163" t="s">
        <v>2153</v>
      </c>
      <c r="B99" s="100">
        <v>7.66</v>
      </c>
      <c r="C99" s="100">
        <v>27.19</v>
      </c>
      <c r="D99" s="100">
        <v>21.7</v>
      </c>
      <c r="E99" s="100">
        <v>7.99</v>
      </c>
      <c r="F99" s="152" t="s">
        <v>15</v>
      </c>
      <c r="G99" s="100">
        <v>119.22</v>
      </c>
      <c r="H99" s="100">
        <v>37.5</v>
      </c>
      <c r="I99" s="100">
        <v>11.85</v>
      </c>
      <c r="J99" s="100">
        <v>0.16</v>
      </c>
      <c r="K99" s="100">
        <v>191.42</v>
      </c>
      <c r="L99" s="100">
        <v>22.89</v>
      </c>
      <c r="M99" s="100">
        <v>67.48</v>
      </c>
      <c r="N99" s="100">
        <v>1.5</v>
      </c>
      <c r="O99" s="100">
        <v>0</v>
      </c>
      <c r="P99" s="100">
        <v>0.96</v>
      </c>
      <c r="Q99" s="100">
        <v>12.96</v>
      </c>
      <c r="R99" s="6"/>
      <c r="S99" s="6"/>
      <c r="T99" s="156"/>
      <c r="U99" s="6"/>
    </row>
    <row r="100" spans="1:28" customFormat="1">
      <c r="A100" s="163" t="s">
        <v>2154</v>
      </c>
      <c r="B100" s="100">
        <v>7.91</v>
      </c>
      <c r="C100" s="100">
        <v>26.72</v>
      </c>
      <c r="D100" s="100">
        <v>21.65</v>
      </c>
      <c r="E100" s="100">
        <v>8.17</v>
      </c>
      <c r="F100" s="152" t="s">
        <v>15</v>
      </c>
      <c r="G100" s="100">
        <v>119.22</v>
      </c>
      <c r="H100" s="100">
        <v>37.5</v>
      </c>
      <c r="I100" s="100">
        <v>11.87</v>
      </c>
      <c r="J100" s="100">
        <v>0.16</v>
      </c>
      <c r="K100" s="100">
        <v>195.56</v>
      </c>
      <c r="L100" s="100">
        <v>22.92</v>
      </c>
      <c r="M100" s="100">
        <v>64.78</v>
      </c>
      <c r="N100" s="100">
        <v>1.2</v>
      </c>
      <c r="O100" s="100">
        <v>0</v>
      </c>
      <c r="P100" s="100">
        <v>0.97</v>
      </c>
      <c r="Q100" s="100">
        <v>12.97</v>
      </c>
      <c r="R100" s="6"/>
      <c r="S100" s="6"/>
      <c r="T100" s="156"/>
      <c r="U100" s="6"/>
      <c r="AB100" s="161"/>
    </row>
    <row r="101" spans="1:28" customFormat="1">
      <c r="A101" s="163" t="s">
        <v>2155</v>
      </c>
      <c r="B101" s="100">
        <v>8.11</v>
      </c>
      <c r="C101" s="100">
        <v>26.22</v>
      </c>
      <c r="D101" s="100">
        <v>21.55</v>
      </c>
      <c r="E101" s="100">
        <v>8.23</v>
      </c>
      <c r="F101" s="152" t="s">
        <v>15</v>
      </c>
      <c r="G101" s="100">
        <v>119.22</v>
      </c>
      <c r="H101" s="100">
        <v>37.5</v>
      </c>
      <c r="I101" s="100">
        <v>11.88</v>
      </c>
      <c r="J101" s="100">
        <v>0.17</v>
      </c>
      <c r="K101" s="100">
        <v>199.43</v>
      </c>
      <c r="L101" s="100">
        <v>22.88</v>
      </c>
      <c r="M101" s="100">
        <v>66.64</v>
      </c>
      <c r="N101" s="100">
        <v>1.3</v>
      </c>
      <c r="O101" s="100">
        <v>0</v>
      </c>
      <c r="P101" s="100">
        <v>0.96</v>
      </c>
      <c r="Q101" s="100">
        <v>12.97</v>
      </c>
      <c r="R101" s="6"/>
      <c r="S101" s="6"/>
      <c r="T101" s="156"/>
      <c r="U101" s="6"/>
    </row>
    <row r="102" spans="1:28" customFormat="1">
      <c r="A102" s="163" t="s">
        <v>2156</v>
      </c>
      <c r="B102" s="100">
        <v>8.31</v>
      </c>
      <c r="C102" s="100">
        <v>25.87</v>
      </c>
      <c r="D102" s="100">
        <v>21.53</v>
      </c>
      <c r="E102" s="100">
        <v>8.27</v>
      </c>
      <c r="F102" s="152" t="s">
        <v>15</v>
      </c>
      <c r="G102" s="100">
        <v>118.79</v>
      </c>
      <c r="H102" s="100">
        <v>35.94</v>
      </c>
      <c r="I102" s="100">
        <v>11.89</v>
      </c>
      <c r="J102" s="100">
        <v>0.16</v>
      </c>
      <c r="K102" s="100">
        <v>188.89</v>
      </c>
      <c r="L102" s="100">
        <v>22.6</v>
      </c>
      <c r="M102" s="100">
        <v>69.53</v>
      </c>
      <c r="N102" s="100">
        <v>1.4</v>
      </c>
      <c r="O102" s="100">
        <v>0</v>
      </c>
      <c r="P102" s="100">
        <v>0.97</v>
      </c>
      <c r="Q102" s="100">
        <v>12.98</v>
      </c>
      <c r="R102" s="6"/>
      <c r="S102" s="6"/>
      <c r="T102" s="156"/>
      <c r="U102" s="6"/>
    </row>
    <row r="103" spans="1:28" customFormat="1">
      <c r="A103" s="163" t="s">
        <v>2157</v>
      </c>
      <c r="B103" s="100">
        <v>8.59</v>
      </c>
      <c r="C103" s="100">
        <v>25.5</v>
      </c>
      <c r="D103" s="100">
        <v>21.56</v>
      </c>
      <c r="E103" s="100">
        <v>8.66</v>
      </c>
      <c r="F103" s="152" t="s">
        <v>15</v>
      </c>
      <c r="G103" s="100">
        <v>118.63</v>
      </c>
      <c r="H103" s="100">
        <v>35.909999999999997</v>
      </c>
      <c r="I103" s="100">
        <v>11.91</v>
      </c>
      <c r="J103" s="100">
        <v>0.17</v>
      </c>
      <c r="K103" s="100">
        <v>187.19</v>
      </c>
      <c r="L103" s="100">
        <v>22.46</v>
      </c>
      <c r="M103" s="100">
        <v>71.64</v>
      </c>
      <c r="N103" s="100">
        <v>1.3</v>
      </c>
      <c r="O103" s="100">
        <v>0</v>
      </c>
      <c r="P103" s="100">
        <v>0.97</v>
      </c>
      <c r="Q103" s="100">
        <v>12.98</v>
      </c>
      <c r="R103" s="6"/>
      <c r="S103" s="6"/>
      <c r="T103" s="156"/>
      <c r="U103" s="6"/>
    </row>
    <row r="104" spans="1:28" customFormat="1">
      <c r="A104" s="163" t="s">
        <v>2158</v>
      </c>
      <c r="B104" s="100">
        <v>8.93</v>
      </c>
      <c r="C104" s="100">
        <v>24.97</v>
      </c>
      <c r="D104" s="100">
        <v>21.56</v>
      </c>
      <c r="E104" s="100">
        <v>8.77</v>
      </c>
      <c r="F104" s="152" t="s">
        <v>15</v>
      </c>
      <c r="G104" s="100">
        <v>118.63</v>
      </c>
      <c r="H104" s="100">
        <v>35.909999999999997</v>
      </c>
      <c r="I104" s="100">
        <v>11.91</v>
      </c>
      <c r="J104" s="100">
        <v>0.15</v>
      </c>
      <c r="K104" s="100">
        <v>180.16</v>
      </c>
      <c r="L104" s="100">
        <v>22.29</v>
      </c>
      <c r="M104" s="100">
        <v>70.58</v>
      </c>
      <c r="N104" s="100">
        <v>1.4</v>
      </c>
      <c r="O104" s="100">
        <v>0</v>
      </c>
      <c r="P104" s="100">
        <v>0.98</v>
      </c>
      <c r="Q104" s="100">
        <v>12.98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3.82</v>
      </c>
      <c r="C106" s="158">
        <f>MIN(C9:C104)</f>
        <v>24.13</v>
      </c>
      <c r="D106" s="158">
        <f t="shared" ref="D106:Q106" si="0">MIN(D9:D104)</f>
        <v>17.13</v>
      </c>
      <c r="E106" s="158">
        <f t="shared" si="0"/>
        <v>7.99</v>
      </c>
      <c r="F106" s="158">
        <f t="shared" si="0"/>
        <v>0</v>
      </c>
      <c r="G106" s="158">
        <f t="shared" si="0"/>
        <v>73.430000000000007</v>
      </c>
      <c r="H106" s="158">
        <f t="shared" si="0"/>
        <v>27.96</v>
      </c>
      <c r="I106" s="158">
        <f t="shared" si="0"/>
        <v>9.36</v>
      </c>
      <c r="J106" s="158">
        <f t="shared" si="0"/>
        <v>0.04</v>
      </c>
      <c r="K106" s="158">
        <f t="shared" si="0"/>
        <v>7.68</v>
      </c>
      <c r="L106" s="158">
        <f t="shared" si="0"/>
        <v>19.489999999999998</v>
      </c>
      <c r="M106" s="158">
        <f t="shared" si="0"/>
        <v>26.2</v>
      </c>
      <c r="N106" s="158">
        <f t="shared" si="0"/>
        <v>0.5</v>
      </c>
      <c r="O106" s="158">
        <f t="shared" si="0"/>
        <v>0</v>
      </c>
      <c r="P106" s="158">
        <f t="shared" si="0"/>
        <v>0.72</v>
      </c>
      <c r="Q106" s="158">
        <f t="shared" si="0"/>
        <v>12.89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20.64</v>
      </c>
      <c r="C107" s="157">
        <f t="shared" ref="C107:Q107" si="1">MAX(C9:C104)</f>
        <v>36.020000000000003</v>
      </c>
      <c r="D107" s="157">
        <f t="shared" si="1"/>
        <v>32.17</v>
      </c>
      <c r="E107" s="157">
        <f t="shared" si="1"/>
        <v>50.06</v>
      </c>
      <c r="F107" s="157">
        <f t="shared" si="1"/>
        <v>0</v>
      </c>
      <c r="G107" s="157">
        <f t="shared" si="1"/>
        <v>155.78</v>
      </c>
      <c r="H107" s="157">
        <f t="shared" si="1"/>
        <v>50.57</v>
      </c>
      <c r="I107" s="157">
        <f t="shared" si="1"/>
        <v>15.93</v>
      </c>
      <c r="J107" s="157">
        <f t="shared" si="1"/>
        <v>0.95</v>
      </c>
      <c r="K107" s="157">
        <f t="shared" si="1"/>
        <v>357.49</v>
      </c>
      <c r="L107" s="157">
        <f t="shared" si="1"/>
        <v>33.99</v>
      </c>
      <c r="M107" s="157">
        <f t="shared" si="1"/>
        <v>75.14</v>
      </c>
      <c r="N107" s="157">
        <f t="shared" si="1"/>
        <v>317.39999999999998</v>
      </c>
      <c r="O107" s="157">
        <f t="shared" si="1"/>
        <v>0</v>
      </c>
      <c r="P107" s="157">
        <f t="shared" si="1"/>
        <v>1.21</v>
      </c>
      <c r="Q107" s="157">
        <f t="shared" si="1"/>
        <v>12.99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10.483854166666664</v>
      </c>
      <c r="C108" s="158">
        <f t="shared" ref="C108:Q108" si="2">AVERAGE(C9:C104)</f>
        <v>29.041041666666644</v>
      </c>
      <c r="D108" s="158">
        <f t="shared" si="2"/>
        <v>24.93093750000001</v>
      </c>
      <c r="E108" s="158">
        <f t="shared" si="2"/>
        <v>15.254270833333342</v>
      </c>
      <c r="F108" s="158" t="e">
        <f t="shared" si="2"/>
        <v>#DIV/0!</v>
      </c>
      <c r="G108" s="158">
        <f t="shared" si="2"/>
        <v>109.98177083333339</v>
      </c>
      <c r="H108" s="158">
        <f t="shared" si="2"/>
        <v>38.611041666666665</v>
      </c>
      <c r="I108" s="158">
        <f t="shared" si="2"/>
        <v>12.334479166666663</v>
      </c>
      <c r="J108" s="158">
        <f t="shared" si="2"/>
        <v>0.36968749999999995</v>
      </c>
      <c r="K108" s="158">
        <f t="shared" si="2"/>
        <v>129.36208333333329</v>
      </c>
      <c r="L108" s="158">
        <f t="shared" si="2"/>
        <v>26.07041666666667</v>
      </c>
      <c r="M108" s="158">
        <f t="shared" si="2"/>
        <v>50.385416666666664</v>
      </c>
      <c r="N108" s="158">
        <f t="shared" si="2"/>
        <v>77.857291666666654</v>
      </c>
      <c r="O108" s="158">
        <f t="shared" si="2"/>
        <v>0</v>
      </c>
      <c r="P108" s="158">
        <f t="shared" si="2"/>
        <v>0.94895833333333302</v>
      </c>
      <c r="Q108" s="158">
        <f t="shared" si="2"/>
        <v>12.946250000000006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5.6500642511096046</v>
      </c>
      <c r="C109" s="158">
        <f t="shared" ref="C109:Q109" si="3">STDEV(C9:C104)</f>
        <v>3.3092557532400115</v>
      </c>
      <c r="D109" s="158">
        <f t="shared" si="3"/>
        <v>4.6113366205072328</v>
      </c>
      <c r="E109" s="158">
        <f t="shared" si="3"/>
        <v>10.307740448174346</v>
      </c>
      <c r="F109" s="158" t="e">
        <f t="shared" si="3"/>
        <v>#DIV/0!</v>
      </c>
      <c r="G109" s="158">
        <f t="shared" si="3"/>
        <v>18.233411667640752</v>
      </c>
      <c r="H109" s="158">
        <f t="shared" si="3"/>
        <v>6.7571969397419069</v>
      </c>
      <c r="I109" s="158">
        <f t="shared" si="3"/>
        <v>1.7767805715848699</v>
      </c>
      <c r="J109" s="158">
        <f t="shared" si="3"/>
        <v>0.24123128506629671</v>
      </c>
      <c r="K109" s="158">
        <f t="shared" si="3"/>
        <v>87.499062947363441</v>
      </c>
      <c r="L109" s="158">
        <f t="shared" si="3"/>
        <v>4.8347491997580665</v>
      </c>
      <c r="M109" s="158">
        <f t="shared" si="3"/>
        <v>17.366596667872521</v>
      </c>
      <c r="N109" s="158">
        <f t="shared" si="3"/>
        <v>113.69302783306846</v>
      </c>
      <c r="O109" s="158">
        <f t="shared" si="3"/>
        <v>0</v>
      </c>
      <c r="P109" s="158">
        <f t="shared" si="3"/>
        <v>0.12080849714509542</v>
      </c>
      <c r="Q109" s="158">
        <f t="shared" si="3"/>
        <v>2.4591397725734768E-2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I102" sqref="I10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2159</v>
      </c>
      <c r="B9" s="100">
        <v>9.4600000000000009</v>
      </c>
      <c r="C9" s="100">
        <v>25.03</v>
      </c>
      <c r="D9" s="100">
        <v>22.01</v>
      </c>
      <c r="E9" s="100">
        <v>8.43</v>
      </c>
      <c r="F9" s="152" t="s">
        <v>15</v>
      </c>
      <c r="G9" s="100">
        <v>118.63</v>
      </c>
      <c r="H9" s="100">
        <v>35.909999999999997</v>
      </c>
      <c r="I9" s="100">
        <v>11.91</v>
      </c>
      <c r="J9" s="100">
        <v>0.14000000000000001</v>
      </c>
      <c r="K9" s="100">
        <v>148.9</v>
      </c>
      <c r="L9" s="100">
        <v>22.25</v>
      </c>
      <c r="M9" s="100">
        <v>69.67</v>
      </c>
      <c r="N9" s="100">
        <v>1.2</v>
      </c>
      <c r="O9" s="100">
        <v>0</v>
      </c>
      <c r="P9" s="100">
        <v>0.98</v>
      </c>
      <c r="Q9" s="100">
        <v>12.97</v>
      </c>
      <c r="R9" s="6"/>
      <c r="S9" s="6"/>
      <c r="T9" s="156"/>
      <c r="U9" s="6"/>
    </row>
    <row r="10" spans="1:21" customFormat="1">
      <c r="A10" s="163" t="s">
        <v>2160</v>
      </c>
      <c r="B10" s="100">
        <v>9.57</v>
      </c>
      <c r="C10" s="100">
        <v>24.53</v>
      </c>
      <c r="D10" s="100">
        <v>21.84</v>
      </c>
      <c r="E10" s="100">
        <v>8.52</v>
      </c>
      <c r="F10" s="152" t="s">
        <v>15</v>
      </c>
      <c r="G10" s="100">
        <v>117.03</v>
      </c>
      <c r="H10" s="100">
        <v>35.21</v>
      </c>
      <c r="I10" s="100">
        <v>11.94</v>
      </c>
      <c r="J10" s="100">
        <v>0.19</v>
      </c>
      <c r="K10" s="100">
        <v>156.61000000000001</v>
      </c>
      <c r="L10" s="100">
        <v>22.33</v>
      </c>
      <c r="M10" s="100">
        <v>68.63</v>
      </c>
      <c r="N10" s="100">
        <v>1.2</v>
      </c>
      <c r="O10" s="100">
        <v>0</v>
      </c>
      <c r="P10" s="100">
        <v>0.99</v>
      </c>
      <c r="Q10" s="100">
        <v>12.99</v>
      </c>
      <c r="R10" s="6"/>
      <c r="S10" s="6"/>
      <c r="T10" s="156"/>
      <c r="U10" s="6"/>
    </row>
    <row r="11" spans="1:21" customFormat="1">
      <c r="A11" s="163" t="s">
        <v>2161</v>
      </c>
      <c r="B11" s="100">
        <v>9.73</v>
      </c>
      <c r="C11" s="100">
        <v>24.48</v>
      </c>
      <c r="D11" s="100">
        <v>21.94</v>
      </c>
      <c r="E11" s="100">
        <v>8.66</v>
      </c>
      <c r="F11" s="152" t="s">
        <v>15</v>
      </c>
      <c r="G11" s="100">
        <v>116.45</v>
      </c>
      <c r="H11" s="100">
        <v>35.200000000000003</v>
      </c>
      <c r="I11" s="100">
        <v>12</v>
      </c>
      <c r="J11" s="100">
        <v>0.16</v>
      </c>
      <c r="K11" s="100">
        <v>177.44</v>
      </c>
      <c r="L11" s="100">
        <v>22.43</v>
      </c>
      <c r="M11" s="100">
        <v>65.16</v>
      </c>
      <c r="N11" s="100">
        <v>1.1000000000000001</v>
      </c>
      <c r="O11" s="100">
        <v>0</v>
      </c>
      <c r="P11" s="100">
        <v>0.99</v>
      </c>
      <c r="Q11" s="100">
        <v>13.01</v>
      </c>
      <c r="R11" s="6"/>
      <c r="S11" s="6"/>
      <c r="T11" s="156"/>
      <c r="U11" s="6"/>
    </row>
    <row r="12" spans="1:21" customFormat="1">
      <c r="A12" s="163" t="s">
        <v>2162</v>
      </c>
      <c r="B12" s="100">
        <v>9.83</v>
      </c>
      <c r="C12" s="100">
        <v>24.28</v>
      </c>
      <c r="D12" s="100">
        <v>21.92</v>
      </c>
      <c r="E12" s="100">
        <v>8.3800000000000008</v>
      </c>
      <c r="F12" s="152" t="s">
        <v>15</v>
      </c>
      <c r="G12" s="100">
        <v>116.45</v>
      </c>
      <c r="H12" s="100">
        <v>35.200000000000003</v>
      </c>
      <c r="I12" s="100">
        <v>12.06</v>
      </c>
      <c r="J12" s="100">
        <v>0.14000000000000001</v>
      </c>
      <c r="K12" s="100">
        <v>198.8</v>
      </c>
      <c r="L12" s="100">
        <v>22.22</v>
      </c>
      <c r="M12" s="100">
        <v>67.61</v>
      </c>
      <c r="N12" s="100">
        <v>1.4</v>
      </c>
      <c r="O12" s="100">
        <v>0</v>
      </c>
      <c r="P12" s="100">
        <v>0.98</v>
      </c>
      <c r="Q12" s="100">
        <v>13.02</v>
      </c>
      <c r="R12" s="6"/>
      <c r="S12" s="6"/>
      <c r="T12" s="156"/>
      <c r="U12" s="6"/>
    </row>
    <row r="13" spans="1:21" customFormat="1">
      <c r="A13" s="163" t="s">
        <v>2163</v>
      </c>
      <c r="B13" s="100">
        <v>9.83</v>
      </c>
      <c r="C13" s="100">
        <v>24.16</v>
      </c>
      <c r="D13" s="100">
        <v>21.86</v>
      </c>
      <c r="E13" s="100">
        <v>8.36</v>
      </c>
      <c r="F13" s="152" t="s">
        <v>15</v>
      </c>
      <c r="G13" s="100">
        <v>116.45</v>
      </c>
      <c r="H13" s="100">
        <v>35.200000000000003</v>
      </c>
      <c r="I13" s="100">
        <v>12.05</v>
      </c>
      <c r="J13" s="100">
        <v>0.18</v>
      </c>
      <c r="K13" s="100">
        <v>194.02</v>
      </c>
      <c r="L13" s="100">
        <v>22.02</v>
      </c>
      <c r="M13" s="100">
        <v>71.13</v>
      </c>
      <c r="N13" s="100">
        <v>1.4</v>
      </c>
      <c r="O13" s="100">
        <v>0</v>
      </c>
      <c r="P13" s="100">
        <v>0.98</v>
      </c>
      <c r="Q13" s="100">
        <v>13.01</v>
      </c>
      <c r="R13" s="6"/>
      <c r="S13" s="6"/>
      <c r="T13" s="156"/>
      <c r="U13" s="6"/>
    </row>
    <row r="14" spans="1:21" customFormat="1">
      <c r="A14" s="163" t="s">
        <v>2164</v>
      </c>
      <c r="B14" s="100">
        <v>9.93</v>
      </c>
      <c r="C14" s="100">
        <v>24.08</v>
      </c>
      <c r="D14" s="100">
        <v>21.89</v>
      </c>
      <c r="E14" s="100">
        <v>8.31</v>
      </c>
      <c r="F14" s="152" t="s">
        <v>15</v>
      </c>
      <c r="G14" s="100">
        <v>108.84</v>
      </c>
      <c r="H14" s="100">
        <v>33.4</v>
      </c>
      <c r="I14" s="100">
        <v>12.03</v>
      </c>
      <c r="J14" s="100">
        <v>0.13</v>
      </c>
      <c r="K14" s="100">
        <v>176.25</v>
      </c>
      <c r="L14" s="100">
        <v>21.83</v>
      </c>
      <c r="M14" s="100">
        <v>71.94</v>
      </c>
      <c r="N14" s="100">
        <v>1.5</v>
      </c>
      <c r="O14" s="100">
        <v>0</v>
      </c>
      <c r="P14" s="100">
        <v>0.99</v>
      </c>
      <c r="Q14" s="100">
        <v>12.99</v>
      </c>
      <c r="R14" s="6"/>
      <c r="S14" s="6"/>
      <c r="T14" s="156"/>
      <c r="U14" s="6"/>
    </row>
    <row r="15" spans="1:21" customFormat="1">
      <c r="A15" s="163" t="s">
        <v>2165</v>
      </c>
      <c r="B15" s="100">
        <v>10.24</v>
      </c>
      <c r="C15" s="100">
        <v>24.14</v>
      </c>
      <c r="D15" s="100">
        <v>22.17</v>
      </c>
      <c r="E15" s="100">
        <v>8.73</v>
      </c>
      <c r="F15" s="152" t="s">
        <v>15</v>
      </c>
      <c r="G15" s="100">
        <v>106.07</v>
      </c>
      <c r="H15" s="100">
        <v>33.380000000000003</v>
      </c>
      <c r="I15" s="100">
        <v>12</v>
      </c>
      <c r="J15" s="100">
        <v>0.19</v>
      </c>
      <c r="K15" s="100">
        <v>157.25</v>
      </c>
      <c r="L15" s="100">
        <v>22.07</v>
      </c>
      <c r="M15" s="100">
        <v>69.38</v>
      </c>
      <c r="N15" s="100">
        <v>1.4</v>
      </c>
      <c r="O15" s="100">
        <v>0</v>
      </c>
      <c r="P15" s="100">
        <v>0.99</v>
      </c>
      <c r="Q15" s="100">
        <v>13</v>
      </c>
      <c r="R15" s="6"/>
      <c r="S15" s="6"/>
      <c r="T15" s="156"/>
      <c r="U15" s="6"/>
    </row>
    <row r="16" spans="1:21" customFormat="1">
      <c r="A16" s="163" t="s">
        <v>2166</v>
      </c>
      <c r="B16" s="100">
        <v>10.71</v>
      </c>
      <c r="C16" s="100">
        <v>24.17</v>
      </c>
      <c r="D16" s="100">
        <v>22.56</v>
      </c>
      <c r="E16" s="100">
        <v>8.74</v>
      </c>
      <c r="F16" s="152" t="s">
        <v>15</v>
      </c>
      <c r="G16" s="100">
        <v>106.07</v>
      </c>
      <c r="H16" s="100">
        <v>33.380000000000003</v>
      </c>
      <c r="I16" s="100">
        <v>11.97</v>
      </c>
      <c r="J16" s="100">
        <v>0.17</v>
      </c>
      <c r="K16" s="100">
        <v>193.57</v>
      </c>
      <c r="L16" s="100">
        <v>22.04</v>
      </c>
      <c r="M16" s="100">
        <v>71.17</v>
      </c>
      <c r="N16" s="100">
        <v>1.6</v>
      </c>
      <c r="O16" s="100">
        <v>0</v>
      </c>
      <c r="P16" s="100">
        <v>0.97</v>
      </c>
      <c r="Q16" s="100">
        <v>13.01</v>
      </c>
      <c r="R16" s="6"/>
      <c r="S16" s="6"/>
      <c r="T16" s="156"/>
      <c r="U16" s="6"/>
    </row>
    <row r="17" spans="1:21" customFormat="1">
      <c r="A17" s="163" t="s">
        <v>2167</v>
      </c>
      <c r="B17" s="100">
        <v>10.71</v>
      </c>
      <c r="C17" s="100">
        <v>23.77</v>
      </c>
      <c r="D17" s="100">
        <v>22.36</v>
      </c>
      <c r="E17" s="100">
        <v>9.02</v>
      </c>
      <c r="F17" s="152" t="s">
        <v>15</v>
      </c>
      <c r="G17" s="100">
        <v>106.07</v>
      </c>
      <c r="H17" s="100">
        <v>33.380000000000003</v>
      </c>
      <c r="I17" s="100">
        <v>11.95</v>
      </c>
      <c r="J17" s="100">
        <v>0.08</v>
      </c>
      <c r="K17" s="100">
        <v>191.87</v>
      </c>
      <c r="L17" s="100">
        <v>22</v>
      </c>
      <c r="M17" s="100">
        <v>69.52</v>
      </c>
      <c r="N17" s="100">
        <v>1.4</v>
      </c>
      <c r="O17" s="100">
        <v>0</v>
      </c>
      <c r="P17" s="100">
        <v>0.92</v>
      </c>
      <c r="Q17" s="100">
        <v>13.02</v>
      </c>
      <c r="R17" s="6"/>
      <c r="S17" s="6"/>
      <c r="T17" s="156"/>
      <c r="U17" s="6"/>
    </row>
    <row r="18" spans="1:21" customFormat="1">
      <c r="A18" s="163" t="s">
        <v>2168</v>
      </c>
      <c r="B18" s="100">
        <v>10.83</v>
      </c>
      <c r="C18" s="100">
        <v>24.08</v>
      </c>
      <c r="D18" s="100">
        <v>22.62</v>
      </c>
      <c r="E18" s="100">
        <v>11.07</v>
      </c>
      <c r="F18" s="152" t="s">
        <v>15</v>
      </c>
      <c r="G18" s="100">
        <v>104.1</v>
      </c>
      <c r="H18" s="100">
        <v>33.6</v>
      </c>
      <c r="I18" s="100">
        <v>11.87</v>
      </c>
      <c r="J18" s="100">
        <v>0.32</v>
      </c>
      <c r="K18" s="100">
        <v>49.99</v>
      </c>
      <c r="L18" s="100">
        <v>22.24</v>
      </c>
      <c r="M18" s="100">
        <v>65.19</v>
      </c>
      <c r="N18" s="100">
        <v>0.9</v>
      </c>
      <c r="O18" s="100">
        <v>0</v>
      </c>
      <c r="P18" s="100">
        <v>0.91</v>
      </c>
      <c r="Q18" s="100">
        <v>13.03</v>
      </c>
      <c r="R18" s="6"/>
      <c r="S18" s="6"/>
      <c r="T18" s="156"/>
      <c r="U18" s="6"/>
    </row>
    <row r="19" spans="1:21" customFormat="1">
      <c r="A19" s="163" t="s">
        <v>2169</v>
      </c>
      <c r="B19" s="100">
        <v>11.56</v>
      </c>
      <c r="C19" s="100">
        <v>25.1</v>
      </c>
      <c r="D19" s="100">
        <v>23.73</v>
      </c>
      <c r="E19" s="100">
        <v>11.45</v>
      </c>
      <c r="F19" s="152" t="s">
        <v>15</v>
      </c>
      <c r="G19" s="100">
        <v>103.38</v>
      </c>
      <c r="H19" s="100">
        <v>33.61</v>
      </c>
      <c r="I19" s="100">
        <v>11.78</v>
      </c>
      <c r="J19" s="100">
        <v>0.26</v>
      </c>
      <c r="K19" s="100">
        <v>33.69</v>
      </c>
      <c r="L19" s="100">
        <v>22.75</v>
      </c>
      <c r="M19" s="100">
        <v>61.48</v>
      </c>
      <c r="N19" s="100">
        <v>0.8</v>
      </c>
      <c r="O19" s="100">
        <v>0</v>
      </c>
      <c r="P19" s="100">
        <v>0.9</v>
      </c>
      <c r="Q19" s="100">
        <v>13.02</v>
      </c>
      <c r="R19" s="6"/>
      <c r="S19" s="6"/>
      <c r="T19" s="156"/>
      <c r="U19" s="6"/>
    </row>
    <row r="20" spans="1:21" customFormat="1">
      <c r="A20" s="163" t="s">
        <v>2170</v>
      </c>
      <c r="B20" s="100">
        <v>12.15</v>
      </c>
      <c r="C20" s="100">
        <v>25.99</v>
      </c>
      <c r="D20" s="100">
        <v>24.68</v>
      </c>
      <c r="E20" s="100">
        <v>11.95</v>
      </c>
      <c r="F20" s="152" t="s">
        <v>15</v>
      </c>
      <c r="G20" s="100">
        <v>103.38</v>
      </c>
      <c r="H20" s="100">
        <v>33.61</v>
      </c>
      <c r="I20" s="100">
        <v>11.73</v>
      </c>
      <c r="J20" s="100">
        <v>0.25</v>
      </c>
      <c r="K20" s="100">
        <v>42.75</v>
      </c>
      <c r="L20" s="100">
        <v>22.76</v>
      </c>
      <c r="M20" s="100">
        <v>62.05</v>
      </c>
      <c r="N20" s="100">
        <v>1.2</v>
      </c>
      <c r="O20" s="100">
        <v>0</v>
      </c>
      <c r="P20" s="100">
        <v>0.9</v>
      </c>
      <c r="Q20" s="100">
        <v>13.01</v>
      </c>
      <c r="R20" s="6"/>
      <c r="S20" s="6"/>
      <c r="T20" s="156"/>
      <c r="U20" s="6"/>
    </row>
    <row r="21" spans="1:21" customFormat="1">
      <c r="A21" s="163" t="s">
        <v>2171</v>
      </c>
      <c r="B21" s="100">
        <v>13.07</v>
      </c>
      <c r="C21" s="100">
        <v>26.65</v>
      </c>
      <c r="D21" s="100">
        <v>25.76</v>
      </c>
      <c r="E21" s="100">
        <v>11.6</v>
      </c>
      <c r="F21" s="152" t="s">
        <v>15</v>
      </c>
      <c r="G21" s="100">
        <v>103.38</v>
      </c>
      <c r="H21" s="100">
        <v>33.61</v>
      </c>
      <c r="I21" s="100">
        <v>11.71</v>
      </c>
      <c r="J21" s="100">
        <v>0.46</v>
      </c>
      <c r="K21" s="100">
        <v>32.770000000000003</v>
      </c>
      <c r="L21" s="100">
        <v>22.75</v>
      </c>
      <c r="M21" s="100">
        <v>61.99</v>
      </c>
      <c r="N21" s="100">
        <v>1.1000000000000001</v>
      </c>
      <c r="O21" s="100">
        <v>0</v>
      </c>
      <c r="P21" s="100">
        <v>0.9</v>
      </c>
      <c r="Q21" s="100">
        <v>13.02</v>
      </c>
      <c r="R21" s="6"/>
      <c r="S21" s="6"/>
      <c r="T21" s="156"/>
      <c r="U21" s="6"/>
    </row>
    <row r="22" spans="1:21" customFormat="1">
      <c r="A22" s="163" t="s">
        <v>2172</v>
      </c>
      <c r="B22" s="100">
        <v>13.68</v>
      </c>
      <c r="C22" s="100">
        <v>27.14</v>
      </c>
      <c r="D22" s="100">
        <v>26.5</v>
      </c>
      <c r="E22" s="100">
        <v>11.74</v>
      </c>
      <c r="F22" s="152" t="s">
        <v>15</v>
      </c>
      <c r="G22" s="100">
        <v>102.11</v>
      </c>
      <c r="H22" s="100">
        <v>33.79</v>
      </c>
      <c r="I22" s="100">
        <v>11.74</v>
      </c>
      <c r="J22" s="100">
        <v>0.66</v>
      </c>
      <c r="K22" s="100">
        <v>38.08</v>
      </c>
      <c r="L22" s="100">
        <v>22.85</v>
      </c>
      <c r="M22" s="100">
        <v>62.56</v>
      </c>
      <c r="N22" s="100">
        <v>1.1000000000000001</v>
      </c>
      <c r="O22" s="100">
        <v>0</v>
      </c>
      <c r="P22" s="100">
        <v>0.91</v>
      </c>
      <c r="Q22" s="100">
        <v>13.02</v>
      </c>
      <c r="R22" s="6"/>
      <c r="S22" s="6"/>
      <c r="T22" s="156"/>
      <c r="U22" s="6"/>
    </row>
    <row r="23" spans="1:21" customFormat="1">
      <c r="A23" s="163" t="s">
        <v>2173</v>
      </c>
      <c r="B23" s="100">
        <v>13.82</v>
      </c>
      <c r="C23" s="100">
        <v>27.36</v>
      </c>
      <c r="D23" s="100">
        <v>26.73</v>
      </c>
      <c r="E23" s="100">
        <v>11.7</v>
      </c>
      <c r="F23" s="152" t="s">
        <v>15</v>
      </c>
      <c r="G23" s="100">
        <v>101.65</v>
      </c>
      <c r="H23" s="100">
        <v>33.799999999999997</v>
      </c>
      <c r="I23" s="100">
        <v>11.86</v>
      </c>
      <c r="J23" s="100">
        <v>0.36</v>
      </c>
      <c r="K23" s="100">
        <v>61.43</v>
      </c>
      <c r="L23" s="100">
        <v>22.73</v>
      </c>
      <c r="M23" s="100">
        <v>64.45</v>
      </c>
      <c r="N23" s="100">
        <v>1.4</v>
      </c>
      <c r="O23" s="100">
        <v>0</v>
      </c>
      <c r="P23" s="100">
        <v>0.95</v>
      </c>
      <c r="Q23" s="100">
        <v>12.98</v>
      </c>
      <c r="R23" s="6"/>
      <c r="S23" s="6"/>
      <c r="T23" s="156"/>
      <c r="U23" s="6"/>
    </row>
    <row r="24" spans="1:21" customFormat="1">
      <c r="A24" s="163" t="s">
        <v>2174</v>
      </c>
      <c r="B24" s="100">
        <v>13.96</v>
      </c>
      <c r="C24" s="100">
        <v>27.54</v>
      </c>
      <c r="D24" s="100">
        <v>26.93</v>
      </c>
      <c r="E24" s="100">
        <v>11.38</v>
      </c>
      <c r="F24" s="152" t="s">
        <v>15</v>
      </c>
      <c r="G24" s="100">
        <v>101.65</v>
      </c>
      <c r="H24" s="100">
        <v>33.799999999999997</v>
      </c>
      <c r="I24" s="100">
        <v>12.07</v>
      </c>
      <c r="J24" s="100">
        <v>0.55000000000000004</v>
      </c>
      <c r="K24" s="100">
        <v>57.32</v>
      </c>
      <c r="L24" s="100">
        <v>22.69</v>
      </c>
      <c r="M24" s="100">
        <v>64.47</v>
      </c>
      <c r="N24" s="100">
        <v>1.3</v>
      </c>
      <c r="O24" s="100">
        <v>0</v>
      </c>
      <c r="P24" s="100">
        <v>0.97</v>
      </c>
      <c r="Q24" s="100">
        <v>13</v>
      </c>
      <c r="R24" s="6"/>
      <c r="S24" s="6"/>
      <c r="T24" s="156"/>
      <c r="U24" s="6"/>
    </row>
    <row r="25" spans="1:21" customFormat="1">
      <c r="A25" s="163" t="s">
        <v>2175</v>
      </c>
      <c r="B25" s="100">
        <v>14.07</v>
      </c>
      <c r="C25" s="100">
        <v>27.61</v>
      </c>
      <c r="D25" s="100">
        <v>27.06</v>
      </c>
      <c r="E25" s="100">
        <v>11.66</v>
      </c>
      <c r="F25" s="152" t="s">
        <v>15</v>
      </c>
      <c r="G25" s="100">
        <v>101.65</v>
      </c>
      <c r="H25" s="100">
        <v>33.799999999999997</v>
      </c>
      <c r="I25" s="100">
        <v>12.4</v>
      </c>
      <c r="J25" s="100">
        <v>0.2</v>
      </c>
      <c r="K25" s="100">
        <v>46.27</v>
      </c>
      <c r="L25" s="100">
        <v>22.59</v>
      </c>
      <c r="M25" s="100">
        <v>64.430000000000007</v>
      </c>
      <c r="N25" s="100">
        <v>1.4</v>
      </c>
      <c r="O25" s="100">
        <v>0</v>
      </c>
      <c r="P25" s="100">
        <v>1.01</v>
      </c>
      <c r="Q25" s="100">
        <v>13.01</v>
      </c>
      <c r="R25" s="6"/>
      <c r="S25" s="6"/>
      <c r="T25" s="156"/>
      <c r="U25" s="6"/>
    </row>
    <row r="26" spans="1:21" customFormat="1">
      <c r="A26" s="163" t="s">
        <v>2176</v>
      </c>
      <c r="B26" s="100">
        <v>14.17</v>
      </c>
      <c r="C26" s="100">
        <v>27.67</v>
      </c>
      <c r="D26" s="100">
        <v>27.17</v>
      </c>
      <c r="E26" s="100">
        <v>11.87</v>
      </c>
      <c r="F26" s="152" t="s">
        <v>15</v>
      </c>
      <c r="G26" s="100">
        <v>118.18</v>
      </c>
      <c r="H26" s="100">
        <v>34.04</v>
      </c>
      <c r="I26" s="100">
        <v>12.78</v>
      </c>
      <c r="J26" s="100">
        <v>0.28000000000000003</v>
      </c>
      <c r="K26" s="100">
        <v>54.96</v>
      </c>
      <c r="L26" s="100">
        <v>22.41</v>
      </c>
      <c r="M26" s="100">
        <v>64.56</v>
      </c>
      <c r="N26" s="100">
        <v>1.4</v>
      </c>
      <c r="O26" s="100">
        <v>0</v>
      </c>
      <c r="P26" s="100">
        <v>1.03</v>
      </c>
      <c r="Q26" s="100">
        <v>13</v>
      </c>
      <c r="R26" s="6"/>
      <c r="S26" s="6"/>
      <c r="T26" s="156"/>
      <c r="U26" s="6"/>
    </row>
    <row r="27" spans="1:21" customFormat="1">
      <c r="A27" s="163" t="s">
        <v>2177</v>
      </c>
      <c r="B27" s="100">
        <v>14.25</v>
      </c>
      <c r="C27" s="100">
        <v>27.67</v>
      </c>
      <c r="D27" s="100">
        <v>27.23</v>
      </c>
      <c r="E27" s="100">
        <v>11.42</v>
      </c>
      <c r="F27" s="152" t="s">
        <v>15</v>
      </c>
      <c r="G27" s="100">
        <v>124.2</v>
      </c>
      <c r="H27" s="100">
        <v>34.04</v>
      </c>
      <c r="I27" s="100">
        <v>13.1</v>
      </c>
      <c r="J27" s="100">
        <v>0.19</v>
      </c>
      <c r="K27" s="100">
        <v>91.51</v>
      </c>
      <c r="L27" s="100">
        <v>22.19</v>
      </c>
      <c r="M27" s="100">
        <v>66.290000000000006</v>
      </c>
      <c r="N27" s="100">
        <v>1.5</v>
      </c>
      <c r="O27" s="100">
        <v>0</v>
      </c>
      <c r="P27" s="100">
        <v>1.03</v>
      </c>
      <c r="Q27" s="100">
        <v>13</v>
      </c>
      <c r="R27" s="6"/>
      <c r="S27" s="6"/>
      <c r="T27" s="156"/>
      <c r="U27" s="6"/>
    </row>
    <row r="28" spans="1:21" customFormat="1">
      <c r="A28" s="163" t="s">
        <v>2178</v>
      </c>
      <c r="B28" s="100">
        <v>14.2</v>
      </c>
      <c r="C28" s="100">
        <v>27.72</v>
      </c>
      <c r="D28" s="100">
        <v>27.22</v>
      </c>
      <c r="E28" s="100">
        <v>11.17</v>
      </c>
      <c r="F28" s="152" t="s">
        <v>15</v>
      </c>
      <c r="G28" s="100">
        <v>124.2</v>
      </c>
      <c r="H28" s="100">
        <v>34.04</v>
      </c>
      <c r="I28" s="100">
        <v>13.35</v>
      </c>
      <c r="J28" s="100">
        <v>0.13</v>
      </c>
      <c r="K28" s="100">
        <v>157.94999999999999</v>
      </c>
      <c r="L28" s="100">
        <v>21.94</v>
      </c>
      <c r="M28" s="100">
        <v>67.12</v>
      </c>
      <c r="N28" s="100">
        <v>1.6</v>
      </c>
      <c r="O28" s="100">
        <v>0</v>
      </c>
      <c r="P28" s="100">
        <v>1.03</v>
      </c>
      <c r="Q28" s="100">
        <v>12.99</v>
      </c>
      <c r="R28" s="6"/>
      <c r="S28" s="6"/>
      <c r="T28" s="156"/>
      <c r="U28" s="6"/>
    </row>
    <row r="29" spans="1:21" customFormat="1">
      <c r="A29" s="163" t="s">
        <v>2179</v>
      </c>
      <c r="B29" s="100">
        <v>14</v>
      </c>
      <c r="C29" s="100">
        <v>27.53</v>
      </c>
      <c r="D29" s="100">
        <v>26.96</v>
      </c>
      <c r="E29" s="100">
        <v>11.22</v>
      </c>
      <c r="F29" s="152" t="s">
        <v>15</v>
      </c>
      <c r="G29" s="100">
        <v>124.2</v>
      </c>
      <c r="H29" s="100">
        <v>34.04</v>
      </c>
      <c r="I29" s="100">
        <v>13.51</v>
      </c>
      <c r="J29" s="100">
        <v>0.21</v>
      </c>
      <c r="K29" s="100">
        <v>177.19</v>
      </c>
      <c r="L29" s="100">
        <v>21.38</v>
      </c>
      <c r="M29" s="100">
        <v>73.5</v>
      </c>
      <c r="N29" s="100">
        <v>1.8</v>
      </c>
      <c r="O29" s="100">
        <v>0</v>
      </c>
      <c r="P29" s="100">
        <v>1.03</v>
      </c>
      <c r="Q29" s="100">
        <v>13</v>
      </c>
      <c r="R29" s="6"/>
      <c r="S29" s="6"/>
      <c r="T29" s="156"/>
      <c r="U29" s="6"/>
    </row>
    <row r="30" spans="1:21" customFormat="1">
      <c r="A30" s="163" t="s">
        <v>2180</v>
      </c>
      <c r="B30" s="100">
        <v>13.72</v>
      </c>
      <c r="C30" s="100">
        <v>27.28</v>
      </c>
      <c r="D30" s="100">
        <v>26.6</v>
      </c>
      <c r="E30" s="100">
        <v>11.39</v>
      </c>
      <c r="F30" s="152" t="s">
        <v>15</v>
      </c>
      <c r="G30" s="100">
        <v>127.54</v>
      </c>
      <c r="H30" s="100">
        <v>35</v>
      </c>
      <c r="I30" s="100">
        <v>13.55</v>
      </c>
      <c r="J30" s="100">
        <v>0.22</v>
      </c>
      <c r="K30" s="100">
        <v>176.46</v>
      </c>
      <c r="L30" s="100">
        <v>21.04</v>
      </c>
      <c r="M30" s="100">
        <v>74.239999999999995</v>
      </c>
      <c r="N30" s="100">
        <v>1.7</v>
      </c>
      <c r="O30" s="100">
        <v>0</v>
      </c>
      <c r="P30" s="100">
        <v>1.03</v>
      </c>
      <c r="Q30" s="100">
        <v>13</v>
      </c>
      <c r="R30" s="6"/>
      <c r="S30" s="6"/>
      <c r="T30" s="156"/>
      <c r="U30" s="6"/>
    </row>
    <row r="31" spans="1:21" customFormat="1">
      <c r="A31" s="163" t="s">
        <v>2181</v>
      </c>
      <c r="B31" s="100">
        <v>13.47</v>
      </c>
      <c r="C31" s="100">
        <v>26.86</v>
      </c>
      <c r="D31" s="100">
        <v>26.18</v>
      </c>
      <c r="E31" s="100">
        <v>11.38</v>
      </c>
      <c r="F31" s="152" t="s">
        <v>15</v>
      </c>
      <c r="G31" s="100">
        <v>128.75</v>
      </c>
      <c r="H31" s="100">
        <v>35.020000000000003</v>
      </c>
      <c r="I31" s="100">
        <v>13.54</v>
      </c>
      <c r="J31" s="100">
        <v>0.18</v>
      </c>
      <c r="K31" s="100">
        <v>199.77</v>
      </c>
      <c r="L31" s="100">
        <v>20.77</v>
      </c>
      <c r="M31" s="100">
        <v>74.38</v>
      </c>
      <c r="N31" s="100">
        <v>1.6</v>
      </c>
      <c r="O31" s="100">
        <v>0</v>
      </c>
      <c r="P31" s="100">
        <v>1.03</v>
      </c>
      <c r="Q31" s="100">
        <v>13</v>
      </c>
      <c r="R31" s="6"/>
      <c r="S31" s="6"/>
      <c r="T31" s="156"/>
      <c r="U31" s="6"/>
    </row>
    <row r="32" spans="1:21" customFormat="1">
      <c r="A32" s="163" t="s">
        <v>2182</v>
      </c>
      <c r="B32" s="100">
        <v>13.02</v>
      </c>
      <c r="C32" s="100">
        <v>26.67</v>
      </c>
      <c r="D32" s="100">
        <v>25.72</v>
      </c>
      <c r="E32" s="100">
        <v>11.39</v>
      </c>
      <c r="F32" s="152" t="s">
        <v>15</v>
      </c>
      <c r="G32" s="100">
        <v>128.75</v>
      </c>
      <c r="H32" s="100">
        <v>35.020000000000003</v>
      </c>
      <c r="I32" s="100">
        <v>13.54</v>
      </c>
      <c r="J32" s="100">
        <v>0.17</v>
      </c>
      <c r="K32" s="100">
        <v>216.2</v>
      </c>
      <c r="L32" s="100">
        <v>20.53</v>
      </c>
      <c r="M32" s="100">
        <v>73.540000000000006</v>
      </c>
      <c r="N32" s="100">
        <v>1.5</v>
      </c>
      <c r="O32" s="100">
        <v>0</v>
      </c>
      <c r="P32" s="100">
        <v>1.03</v>
      </c>
      <c r="Q32" s="100">
        <v>13</v>
      </c>
      <c r="R32" s="6"/>
      <c r="S32" s="6"/>
      <c r="T32" s="156"/>
      <c r="U32" s="6"/>
    </row>
    <row r="33" spans="1:21" customFormat="1">
      <c r="A33" s="163" t="s">
        <v>2183</v>
      </c>
      <c r="B33" s="100">
        <v>12.63</v>
      </c>
      <c r="C33" s="100">
        <v>26.43</v>
      </c>
      <c r="D33" s="100">
        <v>25.29</v>
      </c>
      <c r="E33" s="100">
        <v>10.86</v>
      </c>
      <c r="F33" s="152" t="s">
        <v>15</v>
      </c>
      <c r="G33" s="100">
        <v>128.75</v>
      </c>
      <c r="H33" s="100">
        <v>35.020000000000003</v>
      </c>
      <c r="I33" s="100">
        <v>13.58</v>
      </c>
      <c r="J33" s="100">
        <v>0.18</v>
      </c>
      <c r="K33" s="100">
        <v>202.42</v>
      </c>
      <c r="L33" s="100">
        <v>20.309999999999999</v>
      </c>
      <c r="M33" s="100">
        <v>77.760000000000005</v>
      </c>
      <c r="N33" s="100">
        <v>1.6</v>
      </c>
      <c r="O33" s="100">
        <v>0</v>
      </c>
      <c r="P33" s="100">
        <v>1.02</v>
      </c>
      <c r="Q33" s="100">
        <v>12.99</v>
      </c>
      <c r="R33" s="6"/>
      <c r="S33" s="6"/>
      <c r="T33" s="156"/>
      <c r="U33" s="6"/>
    </row>
    <row r="34" spans="1:21" customFormat="1">
      <c r="A34" s="163" t="s">
        <v>2184</v>
      </c>
      <c r="B34" s="100">
        <v>12.33</v>
      </c>
      <c r="C34" s="100">
        <v>26.29</v>
      </c>
      <c r="D34" s="100">
        <v>24.97</v>
      </c>
      <c r="E34" s="100">
        <v>11.26</v>
      </c>
      <c r="F34" s="152" t="s">
        <v>15</v>
      </c>
      <c r="G34" s="100">
        <v>121.98</v>
      </c>
      <c r="H34" s="100">
        <v>34.99</v>
      </c>
      <c r="I34" s="100">
        <v>13.59</v>
      </c>
      <c r="J34" s="100">
        <v>0.16</v>
      </c>
      <c r="K34" s="100">
        <v>235.8</v>
      </c>
      <c r="L34" s="100">
        <v>20.079999999999998</v>
      </c>
      <c r="M34" s="100">
        <v>78.069999999999993</v>
      </c>
      <c r="N34" s="100">
        <v>2.4</v>
      </c>
      <c r="O34" s="100">
        <v>0</v>
      </c>
      <c r="P34" s="100">
        <v>1.02</v>
      </c>
      <c r="Q34" s="100">
        <v>12.98</v>
      </c>
      <c r="R34" s="6"/>
      <c r="S34" s="6"/>
      <c r="T34" s="156"/>
      <c r="U34" s="6"/>
    </row>
    <row r="35" spans="1:21" customFormat="1">
      <c r="A35" s="163" t="s">
        <v>2185</v>
      </c>
      <c r="B35" s="100">
        <v>12.66</v>
      </c>
      <c r="C35" s="100">
        <v>25.93</v>
      </c>
      <c r="D35" s="100">
        <v>25.05</v>
      </c>
      <c r="E35" s="100">
        <v>11.26</v>
      </c>
      <c r="F35" s="152" t="s">
        <v>15</v>
      </c>
      <c r="G35" s="100">
        <v>119.52</v>
      </c>
      <c r="H35" s="100">
        <v>34.99</v>
      </c>
      <c r="I35" s="100">
        <v>13.58</v>
      </c>
      <c r="J35" s="100">
        <v>0.17</v>
      </c>
      <c r="K35" s="100">
        <v>173.44</v>
      </c>
      <c r="L35" s="100">
        <v>20.350000000000001</v>
      </c>
      <c r="M35" s="100">
        <v>75.02</v>
      </c>
      <c r="N35" s="100">
        <v>5.8</v>
      </c>
      <c r="O35" s="100">
        <v>0</v>
      </c>
      <c r="P35" s="100">
        <v>1.03</v>
      </c>
      <c r="Q35" s="100">
        <v>12.97</v>
      </c>
      <c r="R35" s="6"/>
      <c r="S35" s="6"/>
      <c r="T35" s="156"/>
      <c r="U35" s="6"/>
    </row>
    <row r="36" spans="1:21" customFormat="1">
      <c r="A36" s="163" t="s">
        <v>2186</v>
      </c>
      <c r="B36" s="100">
        <v>13.88</v>
      </c>
      <c r="C36" s="100">
        <v>26.13</v>
      </c>
      <c r="D36" s="100">
        <v>26.13</v>
      </c>
      <c r="E36" s="100">
        <v>11.36</v>
      </c>
      <c r="F36" s="152" t="s">
        <v>15</v>
      </c>
      <c r="G36" s="100">
        <v>119.52</v>
      </c>
      <c r="H36" s="100">
        <v>34.99</v>
      </c>
      <c r="I36" s="100">
        <v>13.58</v>
      </c>
      <c r="J36" s="100">
        <v>0.16</v>
      </c>
      <c r="K36" s="100">
        <v>209.43</v>
      </c>
      <c r="L36" s="100">
        <v>20.56</v>
      </c>
      <c r="M36" s="100">
        <v>77.599999999999994</v>
      </c>
      <c r="N36" s="100">
        <v>11.4</v>
      </c>
      <c r="O36" s="100">
        <v>0</v>
      </c>
      <c r="P36" s="100">
        <v>1.02</v>
      </c>
      <c r="Q36" s="100">
        <v>12.99</v>
      </c>
      <c r="R36" s="6"/>
      <c r="S36" s="6"/>
      <c r="T36" s="156"/>
      <c r="U36" s="6"/>
    </row>
    <row r="37" spans="1:21" customFormat="1">
      <c r="A37" s="163" t="s">
        <v>2187</v>
      </c>
      <c r="B37" s="100">
        <v>14.46</v>
      </c>
      <c r="C37" s="100">
        <v>26.59</v>
      </c>
      <c r="D37" s="100">
        <v>26.84</v>
      </c>
      <c r="E37" s="100">
        <v>11.03</v>
      </c>
      <c r="F37" s="152" t="s">
        <v>15</v>
      </c>
      <c r="G37" s="100">
        <v>119.52</v>
      </c>
      <c r="H37" s="100">
        <v>34.99</v>
      </c>
      <c r="I37" s="100">
        <v>13.64</v>
      </c>
      <c r="J37" s="100">
        <v>0.13</v>
      </c>
      <c r="K37" s="100">
        <v>174.31</v>
      </c>
      <c r="L37" s="100">
        <v>20.76</v>
      </c>
      <c r="M37" s="100">
        <v>77.400000000000006</v>
      </c>
      <c r="N37" s="100">
        <v>17.8</v>
      </c>
      <c r="O37" s="100">
        <v>0</v>
      </c>
      <c r="P37" s="100">
        <v>1.06</v>
      </c>
      <c r="Q37" s="100">
        <v>13</v>
      </c>
      <c r="R37" s="6"/>
      <c r="S37" s="6"/>
      <c r="T37" s="156"/>
      <c r="U37" s="6"/>
    </row>
    <row r="38" spans="1:21" customFormat="1">
      <c r="A38" s="163" t="s">
        <v>2188</v>
      </c>
      <c r="B38" s="100">
        <v>14.73</v>
      </c>
      <c r="C38" s="100">
        <v>26.57</v>
      </c>
      <c r="D38" s="100">
        <v>27.04</v>
      </c>
      <c r="E38" s="100">
        <v>11.22</v>
      </c>
      <c r="F38" s="152" t="s">
        <v>15</v>
      </c>
      <c r="G38" s="100">
        <v>115.19</v>
      </c>
      <c r="H38" s="100">
        <v>36.22</v>
      </c>
      <c r="I38" s="100">
        <v>13.76</v>
      </c>
      <c r="J38" s="100">
        <v>0.2</v>
      </c>
      <c r="K38" s="100">
        <v>165.82</v>
      </c>
      <c r="L38" s="100">
        <v>21.19</v>
      </c>
      <c r="M38" s="100">
        <v>77.33</v>
      </c>
      <c r="N38" s="100">
        <v>25.7</v>
      </c>
      <c r="O38" s="100">
        <v>0</v>
      </c>
      <c r="P38" s="100">
        <v>1.0900000000000001</v>
      </c>
      <c r="Q38" s="100">
        <v>12.99</v>
      </c>
      <c r="R38" s="6"/>
      <c r="S38" s="6"/>
      <c r="T38" s="156"/>
      <c r="U38" s="6"/>
    </row>
    <row r="39" spans="1:21" customFormat="1">
      <c r="A39" s="163" t="s">
        <v>2189</v>
      </c>
      <c r="B39" s="100">
        <v>14.86</v>
      </c>
      <c r="C39" s="100">
        <v>26.3</v>
      </c>
      <c r="D39" s="100">
        <v>27.01</v>
      </c>
      <c r="E39" s="100">
        <v>10.75</v>
      </c>
      <c r="F39" s="152" t="s">
        <v>15</v>
      </c>
      <c r="G39" s="100">
        <v>113.61</v>
      </c>
      <c r="H39" s="100">
        <v>36.24</v>
      </c>
      <c r="I39" s="100">
        <v>13.86</v>
      </c>
      <c r="J39" s="100">
        <v>0.36</v>
      </c>
      <c r="K39" s="100">
        <v>157.72</v>
      </c>
      <c r="L39" s="100">
        <v>21.85</v>
      </c>
      <c r="M39" s="100">
        <v>74.5</v>
      </c>
      <c r="N39" s="100">
        <v>34</v>
      </c>
      <c r="O39" s="100">
        <v>0</v>
      </c>
      <c r="P39" s="100">
        <v>1.1000000000000001</v>
      </c>
      <c r="Q39" s="100">
        <v>13</v>
      </c>
      <c r="R39" s="6"/>
      <c r="S39" s="6"/>
      <c r="T39" s="156"/>
      <c r="U39" s="6"/>
    </row>
    <row r="40" spans="1:21" customFormat="1">
      <c r="A40" s="163" t="s">
        <v>2190</v>
      </c>
      <c r="B40" s="100">
        <v>14.91</v>
      </c>
      <c r="C40" s="100">
        <v>26.07</v>
      </c>
      <c r="D40" s="100">
        <v>26.93</v>
      </c>
      <c r="E40" s="100">
        <v>10.96</v>
      </c>
      <c r="F40" s="152" t="s">
        <v>15</v>
      </c>
      <c r="G40" s="100">
        <v>113.61</v>
      </c>
      <c r="H40" s="100">
        <v>36.24</v>
      </c>
      <c r="I40" s="100">
        <v>13.92</v>
      </c>
      <c r="J40" s="100">
        <v>7.0000000000000007E-2</v>
      </c>
      <c r="K40" s="100">
        <v>154.24</v>
      </c>
      <c r="L40" s="100">
        <v>22.76</v>
      </c>
      <c r="M40" s="100">
        <v>65.38</v>
      </c>
      <c r="N40" s="100">
        <v>44.4</v>
      </c>
      <c r="O40" s="100">
        <v>0</v>
      </c>
      <c r="P40" s="100">
        <v>1.1000000000000001</v>
      </c>
      <c r="Q40" s="100">
        <v>13.02</v>
      </c>
      <c r="R40" s="6"/>
      <c r="S40" s="6"/>
      <c r="T40" s="156"/>
      <c r="U40" s="6"/>
    </row>
    <row r="41" spans="1:21" customFormat="1">
      <c r="A41" s="163" t="s">
        <v>2191</v>
      </c>
      <c r="B41" s="100">
        <v>14.78</v>
      </c>
      <c r="C41" s="100">
        <v>26</v>
      </c>
      <c r="D41" s="100">
        <v>26.79</v>
      </c>
      <c r="E41" s="100">
        <v>10.71</v>
      </c>
      <c r="F41" s="152" t="s">
        <v>15</v>
      </c>
      <c r="G41" s="100">
        <v>113.61</v>
      </c>
      <c r="H41" s="100">
        <v>36.24</v>
      </c>
      <c r="I41" s="100">
        <v>14.01</v>
      </c>
      <c r="J41" s="100">
        <v>0.15</v>
      </c>
      <c r="K41" s="100">
        <v>280.41000000000003</v>
      </c>
      <c r="L41" s="100">
        <v>23.58</v>
      </c>
      <c r="M41" s="100">
        <v>57.84</v>
      </c>
      <c r="N41" s="100">
        <v>97.2</v>
      </c>
      <c r="O41" s="100">
        <v>0</v>
      </c>
      <c r="P41" s="100">
        <v>1.1000000000000001</v>
      </c>
      <c r="Q41" s="100">
        <v>13.01</v>
      </c>
      <c r="R41" s="6"/>
      <c r="S41" s="6"/>
      <c r="T41" s="156"/>
      <c r="U41" s="6"/>
    </row>
    <row r="42" spans="1:21" customFormat="1">
      <c r="A42" s="163" t="s">
        <v>2192</v>
      </c>
      <c r="B42" s="100">
        <v>14.66</v>
      </c>
      <c r="C42" s="100">
        <v>25.85</v>
      </c>
      <c r="D42" s="100">
        <v>26.61</v>
      </c>
      <c r="E42" s="100">
        <v>10.42</v>
      </c>
      <c r="F42" s="152" t="s">
        <v>15</v>
      </c>
      <c r="G42" s="100">
        <v>109.4</v>
      </c>
      <c r="H42" s="100">
        <v>35.28</v>
      </c>
      <c r="I42" s="100">
        <v>14.07</v>
      </c>
      <c r="J42" s="100">
        <v>0.34</v>
      </c>
      <c r="K42" s="100">
        <v>60.77</v>
      </c>
      <c r="L42" s="100">
        <v>24.57</v>
      </c>
      <c r="M42" s="100">
        <v>53.91</v>
      </c>
      <c r="N42" s="100">
        <v>124.3</v>
      </c>
      <c r="O42" s="100">
        <v>0</v>
      </c>
      <c r="P42" s="100">
        <v>1.1000000000000001</v>
      </c>
      <c r="Q42" s="100">
        <v>13.01</v>
      </c>
      <c r="R42" s="6"/>
      <c r="S42" s="6"/>
      <c r="T42" s="156"/>
      <c r="U42" s="6"/>
    </row>
    <row r="43" spans="1:21" customFormat="1">
      <c r="A43" s="163" t="s">
        <v>2193</v>
      </c>
      <c r="B43" s="100">
        <v>14.44</v>
      </c>
      <c r="C43" s="100">
        <v>25.89</v>
      </c>
      <c r="D43" s="100">
        <v>26.46</v>
      </c>
      <c r="E43" s="100">
        <v>11.2</v>
      </c>
      <c r="F43" s="152" t="s">
        <v>15</v>
      </c>
      <c r="G43" s="100">
        <v>107.86</v>
      </c>
      <c r="H43" s="100">
        <v>35.26</v>
      </c>
      <c r="I43" s="100">
        <v>14.04</v>
      </c>
      <c r="J43" s="100">
        <v>0.6</v>
      </c>
      <c r="K43" s="100">
        <v>49.78</v>
      </c>
      <c r="L43" s="100">
        <v>25.2</v>
      </c>
      <c r="M43" s="100">
        <v>52.07</v>
      </c>
      <c r="N43" s="100">
        <v>169.5</v>
      </c>
      <c r="O43" s="100">
        <v>0</v>
      </c>
      <c r="P43" s="100">
        <v>1.0900000000000001</v>
      </c>
      <c r="Q43" s="100">
        <v>13.01</v>
      </c>
      <c r="R43" s="6"/>
      <c r="S43" s="6"/>
      <c r="T43" s="156"/>
      <c r="U43" s="6"/>
    </row>
    <row r="44" spans="1:21" customFormat="1">
      <c r="A44" s="163" t="s">
        <v>2194</v>
      </c>
      <c r="B44" s="100">
        <v>14.11</v>
      </c>
      <c r="C44" s="100">
        <v>26.01</v>
      </c>
      <c r="D44" s="100">
        <v>26.26</v>
      </c>
      <c r="E44" s="100">
        <v>11.57</v>
      </c>
      <c r="F44" s="152" t="s">
        <v>15</v>
      </c>
      <c r="G44" s="100">
        <v>107.86</v>
      </c>
      <c r="H44" s="100">
        <v>35.26</v>
      </c>
      <c r="I44" s="100">
        <v>13.99</v>
      </c>
      <c r="J44" s="100">
        <v>0.08</v>
      </c>
      <c r="K44" s="100">
        <v>199.51</v>
      </c>
      <c r="L44" s="100">
        <v>26.07</v>
      </c>
      <c r="M44" s="100">
        <v>50.21</v>
      </c>
      <c r="N44" s="100">
        <v>184.7</v>
      </c>
      <c r="O44" s="100">
        <v>0</v>
      </c>
      <c r="P44" s="100">
        <v>1.0900000000000001</v>
      </c>
      <c r="Q44" s="100">
        <v>13.03</v>
      </c>
      <c r="R44" s="6"/>
      <c r="S44" s="6"/>
      <c r="T44" s="156"/>
      <c r="U44" s="6"/>
    </row>
    <row r="45" spans="1:21" customFormat="1">
      <c r="A45" s="163" t="s">
        <v>2195</v>
      </c>
      <c r="B45" s="100">
        <v>13.62</v>
      </c>
      <c r="C45" s="100">
        <v>25.72</v>
      </c>
      <c r="D45" s="100">
        <v>25.71</v>
      </c>
      <c r="E45" s="100">
        <v>11.18</v>
      </c>
      <c r="F45" s="152" t="s">
        <v>15</v>
      </c>
      <c r="G45" s="100">
        <v>107.86</v>
      </c>
      <c r="H45" s="100">
        <v>35.26</v>
      </c>
      <c r="I45" s="100">
        <v>13.93</v>
      </c>
      <c r="J45" s="100">
        <v>0.44</v>
      </c>
      <c r="K45" s="100">
        <v>284.35000000000002</v>
      </c>
      <c r="L45" s="100">
        <v>26.51</v>
      </c>
      <c r="M45" s="100">
        <v>50.32</v>
      </c>
      <c r="N45" s="100">
        <v>169.8</v>
      </c>
      <c r="O45" s="100">
        <v>0</v>
      </c>
      <c r="P45" s="100">
        <v>1.0900000000000001</v>
      </c>
      <c r="Q45" s="100">
        <v>13.02</v>
      </c>
      <c r="R45" s="6"/>
      <c r="S45" s="6"/>
      <c r="T45" s="156"/>
      <c r="U45" s="6"/>
    </row>
    <row r="46" spans="1:21" customFormat="1">
      <c r="A46" s="163" t="s">
        <v>2196</v>
      </c>
      <c r="B46" s="100">
        <v>12.95</v>
      </c>
      <c r="C46" s="100">
        <v>26.07</v>
      </c>
      <c r="D46" s="100">
        <v>25.36</v>
      </c>
      <c r="E46" s="100">
        <v>11.36</v>
      </c>
      <c r="F46" s="152" t="s">
        <v>15</v>
      </c>
      <c r="G46" s="100">
        <v>107.27</v>
      </c>
      <c r="H46" s="100">
        <v>35.630000000000003</v>
      </c>
      <c r="I46" s="100">
        <v>13.85</v>
      </c>
      <c r="J46" s="100">
        <v>0.28999999999999998</v>
      </c>
      <c r="K46" s="100">
        <v>240.99</v>
      </c>
      <c r="L46" s="100">
        <v>27.25</v>
      </c>
      <c r="M46" s="100">
        <v>48.9</v>
      </c>
      <c r="N46" s="100">
        <v>227.1</v>
      </c>
      <c r="O46" s="100">
        <v>0</v>
      </c>
      <c r="P46" s="100">
        <v>1.07</v>
      </c>
      <c r="Q46" s="100">
        <v>13.03</v>
      </c>
      <c r="R46" s="6"/>
      <c r="S46" s="6"/>
      <c r="T46" s="156"/>
      <c r="U46" s="6"/>
    </row>
    <row r="47" spans="1:21" customFormat="1">
      <c r="A47" s="163" t="s">
        <v>2197</v>
      </c>
      <c r="B47" s="100">
        <v>12.09</v>
      </c>
      <c r="C47" s="100">
        <v>26.29</v>
      </c>
      <c r="D47" s="100">
        <v>24.79</v>
      </c>
      <c r="E47" s="100">
        <v>11.78</v>
      </c>
      <c r="F47" s="152" t="s">
        <v>15</v>
      </c>
      <c r="G47" s="100">
        <v>107.06</v>
      </c>
      <c r="H47" s="100">
        <v>35.64</v>
      </c>
      <c r="I47" s="100">
        <v>13.73</v>
      </c>
      <c r="J47" s="100">
        <v>0.46</v>
      </c>
      <c r="K47" s="100">
        <v>261.41000000000003</v>
      </c>
      <c r="L47" s="100">
        <v>27.88</v>
      </c>
      <c r="M47" s="100">
        <v>47.5</v>
      </c>
      <c r="N47" s="100">
        <v>240</v>
      </c>
      <c r="O47" s="100">
        <v>0</v>
      </c>
      <c r="P47" s="100">
        <v>1.0900000000000001</v>
      </c>
      <c r="Q47" s="100">
        <v>13.03</v>
      </c>
      <c r="R47" s="6"/>
      <c r="S47" s="6"/>
      <c r="T47" s="156"/>
      <c r="U47" s="6"/>
    </row>
    <row r="48" spans="1:21" customFormat="1">
      <c r="A48" s="163" t="s">
        <v>2198</v>
      </c>
      <c r="B48" s="100">
        <v>11.44</v>
      </c>
      <c r="C48" s="100">
        <v>26.89</v>
      </c>
      <c r="D48" s="100">
        <v>24.58</v>
      </c>
      <c r="E48" s="100">
        <v>13.74</v>
      </c>
      <c r="F48" s="152" t="s">
        <v>15</v>
      </c>
      <c r="G48" s="100">
        <v>107.06</v>
      </c>
      <c r="H48" s="100">
        <v>35.64</v>
      </c>
      <c r="I48" s="100">
        <v>13.64</v>
      </c>
      <c r="J48" s="100">
        <v>0.65</v>
      </c>
      <c r="K48" s="100">
        <v>274.94</v>
      </c>
      <c r="L48" s="100">
        <v>28.62</v>
      </c>
      <c r="M48" s="100">
        <v>46.13</v>
      </c>
      <c r="N48" s="100">
        <v>250.5</v>
      </c>
      <c r="O48" s="100">
        <v>0</v>
      </c>
      <c r="P48" s="100">
        <v>1.27</v>
      </c>
      <c r="Q48" s="100">
        <v>13.01</v>
      </c>
      <c r="R48" s="6"/>
      <c r="S48" s="6"/>
      <c r="T48" s="156"/>
      <c r="U48" s="6"/>
    </row>
    <row r="49" spans="1:21" customFormat="1">
      <c r="A49" s="163" t="s">
        <v>2199</v>
      </c>
      <c r="B49" s="100">
        <v>10.83</v>
      </c>
      <c r="C49" s="100">
        <v>27.78</v>
      </c>
      <c r="D49" s="100">
        <v>24.55</v>
      </c>
      <c r="E49" s="100">
        <v>10.59</v>
      </c>
      <c r="F49" s="152" t="s">
        <v>15</v>
      </c>
      <c r="G49" s="100">
        <v>107.06</v>
      </c>
      <c r="H49" s="100">
        <v>35.64</v>
      </c>
      <c r="I49" s="100">
        <v>15.66</v>
      </c>
      <c r="J49" s="100">
        <v>0.81</v>
      </c>
      <c r="K49" s="100">
        <v>286.08999999999997</v>
      </c>
      <c r="L49" s="100">
        <v>29.24</v>
      </c>
      <c r="M49" s="100">
        <v>45.18</v>
      </c>
      <c r="N49" s="100">
        <v>218.6</v>
      </c>
      <c r="O49" s="100">
        <v>0</v>
      </c>
      <c r="P49" s="100">
        <v>1.33</v>
      </c>
      <c r="Q49" s="100">
        <v>13.02</v>
      </c>
      <c r="R49" s="6"/>
      <c r="S49" s="6"/>
      <c r="T49" s="156"/>
      <c r="U49" s="6"/>
    </row>
    <row r="50" spans="1:21" customFormat="1">
      <c r="A50" s="163" t="s">
        <v>2200</v>
      </c>
      <c r="B50" s="100">
        <v>9.68</v>
      </c>
      <c r="C50" s="100">
        <v>28.27</v>
      </c>
      <c r="D50" s="100">
        <v>23.88</v>
      </c>
      <c r="E50" s="100">
        <v>12.58</v>
      </c>
      <c r="F50" s="152" t="s">
        <v>15</v>
      </c>
      <c r="G50" s="100">
        <v>107.06</v>
      </c>
      <c r="H50" s="100">
        <v>148.08000000000001</v>
      </c>
      <c r="I50" s="100">
        <v>18.29</v>
      </c>
      <c r="J50" s="100">
        <v>0.92</v>
      </c>
      <c r="K50" s="100">
        <v>263.38</v>
      </c>
      <c r="L50" s="100">
        <v>29.17</v>
      </c>
      <c r="M50" s="100">
        <v>46.31</v>
      </c>
      <c r="N50" s="100">
        <v>249.2</v>
      </c>
      <c r="O50" s="100">
        <v>0</v>
      </c>
      <c r="P50" s="100">
        <v>1.31</v>
      </c>
      <c r="Q50" s="100">
        <v>13.01</v>
      </c>
      <c r="R50" s="6"/>
      <c r="S50" s="6"/>
      <c r="T50" s="156"/>
      <c r="U50" s="6"/>
    </row>
    <row r="51" spans="1:21" customFormat="1">
      <c r="A51" s="163" t="s">
        <v>2201</v>
      </c>
      <c r="B51" s="100">
        <v>8.27</v>
      </c>
      <c r="C51" s="100">
        <v>28.17</v>
      </c>
      <c r="D51" s="100">
        <v>22.7</v>
      </c>
      <c r="E51" s="100">
        <v>12.43</v>
      </c>
      <c r="F51" s="152" t="s">
        <v>15</v>
      </c>
      <c r="G51" s="100">
        <v>273.98</v>
      </c>
      <c r="H51" s="100">
        <v>149.81</v>
      </c>
      <c r="I51" s="100">
        <v>18.559999999999999</v>
      </c>
      <c r="J51" s="100">
        <v>0.85</v>
      </c>
      <c r="K51" s="100">
        <v>272.95</v>
      </c>
      <c r="L51" s="100">
        <v>29.75</v>
      </c>
      <c r="M51" s="100">
        <v>44.72</v>
      </c>
      <c r="N51" s="100">
        <v>293.89999999999998</v>
      </c>
      <c r="O51" s="100">
        <v>0</v>
      </c>
      <c r="P51" s="100">
        <v>1.29</v>
      </c>
      <c r="Q51" s="100">
        <v>13.01</v>
      </c>
      <c r="R51" s="6"/>
      <c r="S51" s="6"/>
      <c r="T51" s="156"/>
      <c r="U51" s="6"/>
    </row>
    <row r="52" spans="1:21" customFormat="1">
      <c r="A52" s="163" t="s">
        <v>2202</v>
      </c>
      <c r="B52" s="100">
        <v>6.97</v>
      </c>
      <c r="C52" s="100">
        <v>28.13</v>
      </c>
      <c r="D52" s="100">
        <v>21.64</v>
      </c>
      <c r="E52" s="100">
        <v>12.73</v>
      </c>
      <c r="F52" s="152" t="s">
        <v>15</v>
      </c>
      <c r="G52" s="100">
        <v>273.98</v>
      </c>
      <c r="H52" s="100">
        <v>149.81</v>
      </c>
      <c r="I52" s="100">
        <v>18</v>
      </c>
      <c r="J52" s="100">
        <v>0.89</v>
      </c>
      <c r="K52" s="100">
        <v>276.55</v>
      </c>
      <c r="L52" s="100">
        <v>30.12</v>
      </c>
      <c r="M52" s="100">
        <v>44.11</v>
      </c>
      <c r="N52" s="100">
        <v>301.89999999999998</v>
      </c>
      <c r="O52" s="100">
        <v>0</v>
      </c>
      <c r="P52" s="100">
        <v>1.28</v>
      </c>
      <c r="Q52" s="100">
        <v>13.02</v>
      </c>
      <c r="R52" s="6"/>
      <c r="S52" s="6"/>
      <c r="T52" s="156"/>
      <c r="U52" s="6"/>
    </row>
    <row r="53" spans="1:21" customFormat="1">
      <c r="A53" s="163" t="s">
        <v>2203</v>
      </c>
      <c r="B53" s="100">
        <v>5.92</v>
      </c>
      <c r="C53" s="100">
        <v>28.2</v>
      </c>
      <c r="D53" s="100">
        <v>20.83</v>
      </c>
      <c r="E53" s="100">
        <v>12.36</v>
      </c>
      <c r="F53" s="152" t="s">
        <v>15</v>
      </c>
      <c r="G53" s="100">
        <v>273.98</v>
      </c>
      <c r="H53" s="100">
        <v>149.81</v>
      </c>
      <c r="I53" s="100">
        <v>17.66</v>
      </c>
      <c r="J53" s="100">
        <v>1.0900000000000001</v>
      </c>
      <c r="K53" s="100">
        <v>297</v>
      </c>
      <c r="L53" s="100">
        <v>30.6</v>
      </c>
      <c r="M53" s="100">
        <v>42.77</v>
      </c>
      <c r="N53" s="100">
        <v>314.2</v>
      </c>
      <c r="O53" s="100">
        <v>0</v>
      </c>
      <c r="P53" s="100">
        <v>1.25</v>
      </c>
      <c r="Q53" s="100">
        <v>12.99</v>
      </c>
      <c r="R53" s="6"/>
      <c r="S53" s="6"/>
      <c r="T53" s="156"/>
      <c r="U53" s="6"/>
    </row>
    <row r="54" spans="1:21" customFormat="1">
      <c r="A54" s="163" t="s">
        <v>2204</v>
      </c>
      <c r="B54" s="100">
        <v>5.23</v>
      </c>
      <c r="C54" s="100">
        <v>27.82</v>
      </c>
      <c r="D54" s="100">
        <v>20.079999999999998</v>
      </c>
      <c r="E54" s="100">
        <v>14.61</v>
      </c>
      <c r="F54" s="152" t="s">
        <v>15</v>
      </c>
      <c r="G54" s="100">
        <v>75.94</v>
      </c>
      <c r="H54" s="100">
        <v>41.65</v>
      </c>
      <c r="I54" s="100">
        <v>17.37</v>
      </c>
      <c r="J54" s="100">
        <v>0.79</v>
      </c>
      <c r="K54" s="100">
        <v>292.2</v>
      </c>
      <c r="L54" s="100">
        <v>31.17</v>
      </c>
      <c r="M54" s="100">
        <v>40.72</v>
      </c>
      <c r="N54" s="100">
        <v>293.60000000000002</v>
      </c>
      <c r="O54" s="100">
        <v>0</v>
      </c>
      <c r="P54" s="100">
        <v>1.2</v>
      </c>
      <c r="Q54" s="100">
        <v>12.98</v>
      </c>
      <c r="R54" s="6"/>
      <c r="S54" s="6"/>
      <c r="T54" s="156"/>
      <c r="U54" s="6"/>
    </row>
    <row r="55" spans="1:21" customFormat="1">
      <c r="A55" s="163" t="s">
        <v>2205</v>
      </c>
      <c r="B55" s="100">
        <v>4.6900000000000004</v>
      </c>
      <c r="C55" s="100">
        <v>27.45</v>
      </c>
      <c r="D55" s="100">
        <v>19.45</v>
      </c>
      <c r="E55" s="100">
        <v>14.61</v>
      </c>
      <c r="F55" s="152" t="s">
        <v>15</v>
      </c>
      <c r="G55" s="100">
        <v>75.94</v>
      </c>
      <c r="H55" s="100">
        <v>40.01</v>
      </c>
      <c r="I55" s="100">
        <v>16.899999999999999</v>
      </c>
      <c r="J55" s="100">
        <v>1.08</v>
      </c>
      <c r="K55" s="100">
        <v>300.14999999999998</v>
      </c>
      <c r="L55" s="100">
        <v>31.33</v>
      </c>
      <c r="M55" s="100">
        <v>38.909999999999997</v>
      </c>
      <c r="N55" s="100">
        <v>290.39999999999998</v>
      </c>
      <c r="O55" s="100">
        <v>0</v>
      </c>
      <c r="P55" s="100">
        <v>1.2</v>
      </c>
      <c r="Q55" s="100">
        <v>12.97</v>
      </c>
      <c r="R55" s="6"/>
      <c r="S55" s="6"/>
      <c r="T55" s="156"/>
      <c r="U55" s="6"/>
    </row>
    <row r="56" spans="1:21" customFormat="1">
      <c r="A56" s="163" t="s">
        <v>2206</v>
      </c>
      <c r="B56" s="100">
        <v>4.29</v>
      </c>
      <c r="C56" s="100">
        <v>27.03</v>
      </c>
      <c r="D56" s="100">
        <v>18.91</v>
      </c>
      <c r="E56" s="100">
        <v>14.43</v>
      </c>
      <c r="F56" s="152" t="s">
        <v>15</v>
      </c>
      <c r="G56" s="100">
        <v>75.94</v>
      </c>
      <c r="H56" s="100">
        <v>40.01</v>
      </c>
      <c r="I56" s="100">
        <v>16.489999999999998</v>
      </c>
      <c r="J56" s="100">
        <v>1.03</v>
      </c>
      <c r="K56" s="100">
        <v>294.27999999999997</v>
      </c>
      <c r="L56" s="100">
        <v>31.77</v>
      </c>
      <c r="M56" s="100">
        <v>37.82</v>
      </c>
      <c r="N56" s="100">
        <v>318.7</v>
      </c>
      <c r="O56" s="100">
        <v>0</v>
      </c>
      <c r="P56" s="100">
        <v>1.1499999999999999</v>
      </c>
      <c r="Q56" s="100">
        <v>12.98</v>
      </c>
      <c r="R56" s="6"/>
      <c r="S56" s="6"/>
      <c r="T56" s="156"/>
      <c r="U56" s="6"/>
    </row>
    <row r="57" spans="1:21" customFormat="1">
      <c r="A57" s="163" t="s">
        <v>2207</v>
      </c>
      <c r="B57" s="100">
        <v>3.95</v>
      </c>
      <c r="C57" s="100">
        <v>26.86</v>
      </c>
      <c r="D57" s="100">
        <v>18.55</v>
      </c>
      <c r="E57" s="100">
        <v>15.3</v>
      </c>
      <c r="F57" s="152" t="s">
        <v>15</v>
      </c>
      <c r="G57" s="100">
        <v>75.94</v>
      </c>
      <c r="H57" s="100">
        <v>40.01</v>
      </c>
      <c r="I57" s="100">
        <v>16.399999999999999</v>
      </c>
      <c r="J57" s="100">
        <v>0.9</v>
      </c>
      <c r="K57" s="100">
        <v>299.22000000000003</v>
      </c>
      <c r="L57" s="100">
        <v>32.11</v>
      </c>
      <c r="M57" s="100">
        <v>36.99</v>
      </c>
      <c r="N57" s="100">
        <v>320.8</v>
      </c>
      <c r="O57" s="100">
        <v>0</v>
      </c>
      <c r="P57" s="100">
        <v>1.1000000000000001</v>
      </c>
      <c r="Q57" s="100">
        <v>12.96</v>
      </c>
      <c r="R57" s="6"/>
      <c r="S57" s="6"/>
      <c r="T57" s="156"/>
      <c r="U57" s="6"/>
    </row>
    <row r="58" spans="1:21" customFormat="1">
      <c r="A58" s="163" t="s">
        <v>2208</v>
      </c>
      <c r="B58" s="100">
        <v>3.81</v>
      </c>
      <c r="C58" s="100">
        <v>27.22</v>
      </c>
      <c r="D58" s="100">
        <v>18.62</v>
      </c>
      <c r="E58" s="100">
        <v>18.47</v>
      </c>
      <c r="F58" s="152" t="s">
        <v>15</v>
      </c>
      <c r="G58" s="100">
        <v>91.85</v>
      </c>
      <c r="H58" s="100">
        <v>38.72</v>
      </c>
      <c r="I58" s="100">
        <v>16.28</v>
      </c>
      <c r="J58" s="100">
        <v>0.71</v>
      </c>
      <c r="K58" s="100">
        <v>300.27999999999997</v>
      </c>
      <c r="L58" s="100">
        <v>32.72</v>
      </c>
      <c r="M58" s="100">
        <v>35.78</v>
      </c>
      <c r="N58" s="100">
        <v>307</v>
      </c>
      <c r="O58" s="100">
        <v>0</v>
      </c>
      <c r="P58" s="100">
        <v>1.1100000000000001</v>
      </c>
      <c r="Q58" s="100">
        <v>12.98</v>
      </c>
      <c r="R58" s="6"/>
      <c r="S58" s="6"/>
      <c r="T58" s="156"/>
      <c r="U58" s="6"/>
    </row>
    <row r="59" spans="1:21" customFormat="1">
      <c r="A59" s="163" t="s">
        <v>2209</v>
      </c>
      <c r="B59" s="100">
        <v>3.78</v>
      </c>
      <c r="C59" s="100">
        <v>27.37</v>
      </c>
      <c r="D59" s="100">
        <v>18.68</v>
      </c>
      <c r="E59" s="100">
        <v>15.86</v>
      </c>
      <c r="F59" s="152" t="s">
        <v>15</v>
      </c>
      <c r="G59" s="100">
        <v>97.63</v>
      </c>
      <c r="H59" s="100">
        <v>38.71</v>
      </c>
      <c r="I59" s="100">
        <v>16.170000000000002</v>
      </c>
      <c r="J59" s="100">
        <v>1.34</v>
      </c>
      <c r="K59" s="100">
        <v>310.86</v>
      </c>
      <c r="L59" s="100">
        <v>32.68</v>
      </c>
      <c r="M59" s="100">
        <v>34.07</v>
      </c>
      <c r="N59" s="100">
        <v>307.2</v>
      </c>
      <c r="O59" s="100">
        <v>0</v>
      </c>
      <c r="P59" s="100">
        <v>1.0900000000000001</v>
      </c>
      <c r="Q59" s="100">
        <v>12.99</v>
      </c>
      <c r="R59" s="6"/>
      <c r="S59" s="6"/>
      <c r="T59" s="156"/>
      <c r="U59" s="6"/>
    </row>
    <row r="60" spans="1:21" customFormat="1">
      <c r="A60" s="163" t="s">
        <v>2210</v>
      </c>
      <c r="B60" s="100">
        <v>3.8</v>
      </c>
      <c r="C60" s="100">
        <v>27.49</v>
      </c>
      <c r="D60" s="100">
        <v>18.760000000000002</v>
      </c>
      <c r="E60" s="100">
        <v>16.27</v>
      </c>
      <c r="F60" s="152" t="s">
        <v>15</v>
      </c>
      <c r="G60" s="100">
        <v>97.63</v>
      </c>
      <c r="H60" s="100">
        <v>38.71</v>
      </c>
      <c r="I60" s="100">
        <v>16.170000000000002</v>
      </c>
      <c r="J60" s="100">
        <v>1.1000000000000001</v>
      </c>
      <c r="K60" s="100">
        <v>330.59</v>
      </c>
      <c r="L60" s="100">
        <v>32.68</v>
      </c>
      <c r="M60" s="100">
        <v>33.1</v>
      </c>
      <c r="N60" s="100">
        <v>313.39999999999998</v>
      </c>
      <c r="O60" s="100">
        <v>0</v>
      </c>
      <c r="P60" s="100">
        <v>1.06</v>
      </c>
      <c r="Q60" s="100">
        <v>12.99</v>
      </c>
      <c r="R60" s="6"/>
      <c r="S60" s="6"/>
      <c r="T60" s="156"/>
      <c r="U60" s="6"/>
    </row>
    <row r="61" spans="1:21" customFormat="1">
      <c r="A61" s="163" t="s">
        <v>2211</v>
      </c>
      <c r="B61" s="100">
        <v>3.81</v>
      </c>
      <c r="C61" s="100">
        <v>27.69</v>
      </c>
      <c r="D61" s="100">
        <v>18.88</v>
      </c>
      <c r="E61" s="100">
        <v>15.52</v>
      </c>
      <c r="F61" s="152" t="s">
        <v>15</v>
      </c>
      <c r="G61" s="100">
        <v>97.63</v>
      </c>
      <c r="H61" s="100">
        <v>38.71</v>
      </c>
      <c r="I61" s="100">
        <v>16.12</v>
      </c>
      <c r="J61" s="100">
        <v>0.75</v>
      </c>
      <c r="K61" s="100">
        <v>333.89</v>
      </c>
      <c r="L61" s="100">
        <v>33.07</v>
      </c>
      <c r="M61" s="100">
        <v>30.76</v>
      </c>
      <c r="N61" s="100">
        <v>314.39999999999998</v>
      </c>
      <c r="O61" s="100">
        <v>0</v>
      </c>
      <c r="P61" s="100">
        <v>1.03</v>
      </c>
      <c r="Q61" s="100">
        <v>13</v>
      </c>
      <c r="R61" s="6"/>
      <c r="S61" s="6"/>
      <c r="T61" s="156"/>
      <c r="U61" s="6"/>
    </row>
    <row r="62" spans="1:21" customFormat="1">
      <c r="A62" s="163" t="s">
        <v>2212</v>
      </c>
      <c r="B62" s="100">
        <v>3.74</v>
      </c>
      <c r="C62" s="100">
        <v>27.53</v>
      </c>
      <c r="D62" s="100">
        <v>18.739999999999998</v>
      </c>
      <c r="E62" s="100">
        <v>18.329999999999998</v>
      </c>
      <c r="F62" s="152" t="s">
        <v>15</v>
      </c>
      <c r="G62" s="100">
        <v>102.7</v>
      </c>
      <c r="H62" s="100">
        <v>52.85</v>
      </c>
      <c r="I62" s="100">
        <v>15.8</v>
      </c>
      <c r="J62" s="100">
        <v>0.87</v>
      </c>
      <c r="K62" s="100">
        <v>305.61</v>
      </c>
      <c r="L62" s="100">
        <v>33.380000000000003</v>
      </c>
      <c r="M62" s="100">
        <v>30.96</v>
      </c>
      <c r="N62" s="100">
        <v>297.60000000000002</v>
      </c>
      <c r="O62" s="100">
        <v>0</v>
      </c>
      <c r="P62" s="100">
        <v>1.02</v>
      </c>
      <c r="Q62" s="100">
        <v>12.97</v>
      </c>
      <c r="R62" s="6"/>
      <c r="S62" s="6"/>
      <c r="T62" s="156"/>
      <c r="U62" s="6"/>
    </row>
    <row r="63" spans="1:21" customFormat="1">
      <c r="A63" s="163" t="s">
        <v>2213</v>
      </c>
      <c r="B63" s="100">
        <v>3.73</v>
      </c>
      <c r="C63" s="100">
        <v>27.25</v>
      </c>
      <c r="D63" s="100">
        <v>18.579999999999998</v>
      </c>
      <c r="E63" s="100">
        <v>17.399999999999999</v>
      </c>
      <c r="F63" s="152" t="s">
        <v>15</v>
      </c>
      <c r="G63" s="100">
        <v>104.06</v>
      </c>
      <c r="H63" s="100">
        <v>52.85</v>
      </c>
      <c r="I63" s="100">
        <v>15.29</v>
      </c>
      <c r="J63" s="100">
        <v>1.1499999999999999</v>
      </c>
      <c r="K63" s="100">
        <v>323.05</v>
      </c>
      <c r="L63" s="100">
        <v>33.75</v>
      </c>
      <c r="M63" s="100">
        <v>28.81</v>
      </c>
      <c r="N63" s="100">
        <v>299.60000000000002</v>
      </c>
      <c r="O63" s="100">
        <v>0</v>
      </c>
      <c r="P63" s="100">
        <v>1.01</v>
      </c>
      <c r="Q63" s="100">
        <v>12.98</v>
      </c>
      <c r="R63" s="6"/>
      <c r="S63" s="6"/>
      <c r="T63" s="156"/>
      <c r="U63" s="6"/>
    </row>
    <row r="64" spans="1:21" customFormat="1">
      <c r="A64" s="163" t="s">
        <v>2214</v>
      </c>
      <c r="B64" s="100">
        <v>3.73</v>
      </c>
      <c r="C64" s="100">
        <v>27.28</v>
      </c>
      <c r="D64" s="100">
        <v>18.600000000000001</v>
      </c>
      <c r="E64" s="100">
        <v>18.059999999999999</v>
      </c>
      <c r="F64" s="152" t="s">
        <v>15</v>
      </c>
      <c r="G64" s="100">
        <v>104.06</v>
      </c>
      <c r="H64" s="100">
        <v>52.85</v>
      </c>
      <c r="I64" s="100">
        <v>14.95</v>
      </c>
      <c r="J64" s="100">
        <v>0.55000000000000004</v>
      </c>
      <c r="K64" s="100">
        <v>303.02</v>
      </c>
      <c r="L64" s="100">
        <v>33.82</v>
      </c>
      <c r="M64" s="100">
        <v>28.17</v>
      </c>
      <c r="N64" s="100">
        <v>304.5</v>
      </c>
      <c r="O64" s="100">
        <v>0</v>
      </c>
      <c r="P64" s="100">
        <v>0.99</v>
      </c>
      <c r="Q64" s="100">
        <v>13</v>
      </c>
      <c r="R64" s="6"/>
      <c r="S64" s="6"/>
      <c r="T64" s="156"/>
      <c r="U64" s="6"/>
    </row>
    <row r="65" spans="1:21" customFormat="1">
      <c r="A65" s="163" t="s">
        <v>2215</v>
      </c>
      <c r="B65" s="100">
        <v>3.71</v>
      </c>
      <c r="C65" s="100">
        <v>26.95</v>
      </c>
      <c r="D65" s="100">
        <v>18.399999999999999</v>
      </c>
      <c r="E65" s="100">
        <v>15.31</v>
      </c>
      <c r="F65" s="152" t="s">
        <v>15</v>
      </c>
      <c r="G65" s="100">
        <v>104.06</v>
      </c>
      <c r="H65" s="100">
        <v>52.85</v>
      </c>
      <c r="I65" s="100">
        <v>14.62</v>
      </c>
      <c r="J65" s="100">
        <v>1.05</v>
      </c>
      <c r="K65" s="100">
        <v>311.38</v>
      </c>
      <c r="L65" s="100">
        <v>33.5</v>
      </c>
      <c r="M65" s="100">
        <v>27.63</v>
      </c>
      <c r="N65" s="100">
        <v>305.3</v>
      </c>
      <c r="O65" s="100">
        <v>0</v>
      </c>
      <c r="P65" s="100">
        <v>0.95</v>
      </c>
      <c r="Q65" s="100">
        <v>12.97</v>
      </c>
      <c r="R65" s="6"/>
      <c r="S65" s="6"/>
      <c r="T65" s="156"/>
      <c r="U65" s="6"/>
    </row>
    <row r="66" spans="1:21" customFormat="1">
      <c r="A66" s="163" t="s">
        <v>2216</v>
      </c>
      <c r="B66" s="100">
        <v>3.74</v>
      </c>
      <c r="C66" s="100">
        <v>26.4</v>
      </c>
      <c r="D66" s="100">
        <v>18.14</v>
      </c>
      <c r="E66" s="100">
        <v>16.79</v>
      </c>
      <c r="F66" s="152" t="s">
        <v>15</v>
      </c>
      <c r="G66" s="100">
        <v>89.41</v>
      </c>
      <c r="H66" s="100">
        <v>67.72</v>
      </c>
      <c r="I66" s="100">
        <v>14.31</v>
      </c>
      <c r="J66" s="100">
        <v>0.65</v>
      </c>
      <c r="K66" s="100">
        <v>296.54000000000002</v>
      </c>
      <c r="L66" s="100">
        <v>33.700000000000003</v>
      </c>
      <c r="M66" s="100">
        <v>25.65</v>
      </c>
      <c r="N66" s="100">
        <v>297</v>
      </c>
      <c r="O66" s="100">
        <v>0</v>
      </c>
      <c r="P66" s="100">
        <v>0.94</v>
      </c>
      <c r="Q66" s="100">
        <v>12.97</v>
      </c>
      <c r="R66" s="6"/>
      <c r="S66" s="6"/>
      <c r="T66" s="156"/>
      <c r="U66" s="6"/>
    </row>
    <row r="67" spans="1:21" customFormat="1">
      <c r="A67" s="163" t="s">
        <v>2217</v>
      </c>
      <c r="B67" s="100">
        <v>3.76</v>
      </c>
      <c r="C67" s="100">
        <v>25.92</v>
      </c>
      <c r="D67" s="100">
        <v>17.91</v>
      </c>
      <c r="E67" s="100">
        <v>15.25</v>
      </c>
      <c r="F67" s="152" t="s">
        <v>15</v>
      </c>
      <c r="G67" s="100">
        <v>85.23</v>
      </c>
      <c r="H67" s="100">
        <v>67.72</v>
      </c>
      <c r="I67" s="100">
        <v>13.77</v>
      </c>
      <c r="J67" s="100">
        <v>0.52</v>
      </c>
      <c r="K67" s="100">
        <v>285.2</v>
      </c>
      <c r="L67" s="100">
        <v>33.83</v>
      </c>
      <c r="M67" s="100">
        <v>23.95</v>
      </c>
      <c r="N67" s="100">
        <v>238.2</v>
      </c>
      <c r="O67" s="100">
        <v>0</v>
      </c>
      <c r="P67" s="100">
        <v>0.92</v>
      </c>
      <c r="Q67" s="100">
        <v>12.97</v>
      </c>
      <c r="R67" s="6"/>
      <c r="S67" s="6"/>
      <c r="T67" s="156"/>
      <c r="U67" s="6"/>
    </row>
    <row r="68" spans="1:21" customFormat="1">
      <c r="A68" s="163" t="s">
        <v>2218</v>
      </c>
      <c r="B68" s="100">
        <v>3.82</v>
      </c>
      <c r="C68" s="100">
        <v>25.48</v>
      </c>
      <c r="D68" s="100">
        <v>17.73</v>
      </c>
      <c r="E68" s="100">
        <v>14.53</v>
      </c>
      <c r="F68" s="152" t="s">
        <v>15</v>
      </c>
      <c r="G68" s="100">
        <v>85.23</v>
      </c>
      <c r="H68" s="100">
        <v>67.72</v>
      </c>
      <c r="I68" s="100">
        <v>13.21</v>
      </c>
      <c r="J68" s="100">
        <v>1.45</v>
      </c>
      <c r="K68" s="100">
        <v>309.39</v>
      </c>
      <c r="L68" s="100">
        <v>33.47</v>
      </c>
      <c r="M68" s="100">
        <v>21.97</v>
      </c>
      <c r="N68" s="100">
        <v>90.2</v>
      </c>
      <c r="O68" s="100">
        <v>0</v>
      </c>
      <c r="P68" s="100">
        <v>0.88</v>
      </c>
      <c r="Q68" s="100">
        <v>12.95</v>
      </c>
      <c r="R68" s="6"/>
      <c r="S68" s="6"/>
      <c r="T68" s="156"/>
      <c r="U68" s="6"/>
    </row>
    <row r="69" spans="1:21" customFormat="1">
      <c r="A69" s="163" t="s">
        <v>2219</v>
      </c>
      <c r="B69" s="100">
        <v>3.94</v>
      </c>
      <c r="C69" s="100">
        <v>25.53</v>
      </c>
      <c r="D69" s="100">
        <v>17.850000000000001</v>
      </c>
      <c r="E69" s="100">
        <v>14.84</v>
      </c>
      <c r="F69" s="152" t="s">
        <v>15</v>
      </c>
      <c r="G69" s="100">
        <v>85.23</v>
      </c>
      <c r="H69" s="100">
        <v>67.72</v>
      </c>
      <c r="I69" s="100">
        <v>12.78</v>
      </c>
      <c r="J69" s="100">
        <v>1.1200000000000001</v>
      </c>
      <c r="K69" s="100">
        <v>297.33999999999997</v>
      </c>
      <c r="L69" s="100">
        <v>33.07</v>
      </c>
      <c r="M69" s="100">
        <v>23.36</v>
      </c>
      <c r="N69" s="100">
        <v>67.8</v>
      </c>
      <c r="O69" s="100">
        <v>0</v>
      </c>
      <c r="P69" s="100">
        <v>0.85</v>
      </c>
      <c r="Q69" s="100">
        <v>12.97</v>
      </c>
      <c r="R69" s="6"/>
      <c r="S69" s="6"/>
      <c r="T69" s="156"/>
      <c r="U69" s="6"/>
    </row>
    <row r="70" spans="1:21" customFormat="1">
      <c r="A70" s="163" t="s">
        <v>2220</v>
      </c>
      <c r="B70" s="100">
        <v>3.96</v>
      </c>
      <c r="C70" s="100">
        <v>25.32</v>
      </c>
      <c r="D70" s="100">
        <v>17.760000000000002</v>
      </c>
      <c r="E70" s="100">
        <v>15.59</v>
      </c>
      <c r="F70" s="152" t="s">
        <v>15</v>
      </c>
      <c r="G70" s="100">
        <v>55.34</v>
      </c>
      <c r="H70" s="100">
        <v>45.44</v>
      </c>
      <c r="I70" s="100">
        <v>12.23</v>
      </c>
      <c r="J70" s="100">
        <v>1.03</v>
      </c>
      <c r="K70" s="100">
        <v>311.97000000000003</v>
      </c>
      <c r="L70" s="100">
        <v>32.979999999999997</v>
      </c>
      <c r="M70" s="100">
        <v>24.39</v>
      </c>
      <c r="N70" s="100">
        <v>68.3</v>
      </c>
      <c r="O70" s="100">
        <v>0</v>
      </c>
      <c r="P70" s="100">
        <v>0.8</v>
      </c>
      <c r="Q70" s="100">
        <v>12.97</v>
      </c>
      <c r="R70" s="6"/>
      <c r="S70" s="6"/>
      <c r="T70" s="156"/>
      <c r="U70" s="6"/>
    </row>
    <row r="71" spans="1:21" customFormat="1">
      <c r="A71" s="163" t="s">
        <v>2221</v>
      </c>
      <c r="B71" s="100">
        <v>3.97</v>
      </c>
      <c r="C71" s="100">
        <v>25.16</v>
      </c>
      <c r="D71" s="100">
        <v>17.670000000000002</v>
      </c>
      <c r="E71" s="100">
        <v>15.36</v>
      </c>
      <c r="F71" s="152" t="s">
        <v>15</v>
      </c>
      <c r="G71" s="100">
        <v>47.34</v>
      </c>
      <c r="H71" s="100">
        <v>45.44</v>
      </c>
      <c r="I71" s="100">
        <v>11.67</v>
      </c>
      <c r="J71" s="100">
        <v>1.17</v>
      </c>
      <c r="K71" s="100">
        <v>320.45</v>
      </c>
      <c r="L71" s="100">
        <v>33.04</v>
      </c>
      <c r="M71" s="100">
        <v>23.9</v>
      </c>
      <c r="N71" s="100">
        <v>62.2</v>
      </c>
      <c r="O71" s="100">
        <v>0</v>
      </c>
      <c r="P71" s="100">
        <v>0.79</v>
      </c>
      <c r="Q71" s="100">
        <v>12.97</v>
      </c>
      <c r="R71" s="6"/>
      <c r="S71" s="6"/>
      <c r="T71" s="156"/>
      <c r="U71" s="6"/>
    </row>
    <row r="72" spans="1:21" customFormat="1">
      <c r="A72" s="163" t="s">
        <v>2222</v>
      </c>
      <c r="B72" s="100">
        <v>3.99</v>
      </c>
      <c r="C72" s="100">
        <v>25.21</v>
      </c>
      <c r="D72" s="100">
        <v>17.72</v>
      </c>
      <c r="E72" s="100">
        <v>14.91</v>
      </c>
      <c r="F72" s="152" t="s">
        <v>15</v>
      </c>
      <c r="G72" s="100">
        <v>47.34</v>
      </c>
      <c r="H72" s="100">
        <v>45.44</v>
      </c>
      <c r="I72" s="100">
        <v>11.07</v>
      </c>
      <c r="J72" s="100">
        <v>0.65</v>
      </c>
      <c r="K72" s="100">
        <v>321.37</v>
      </c>
      <c r="L72" s="100">
        <v>32.950000000000003</v>
      </c>
      <c r="M72" s="100">
        <v>24.6</v>
      </c>
      <c r="N72" s="100">
        <v>55.9</v>
      </c>
      <c r="O72" s="100">
        <v>0</v>
      </c>
      <c r="P72" s="100">
        <v>0.77</v>
      </c>
      <c r="Q72" s="100">
        <v>12.95</v>
      </c>
      <c r="R72" s="6"/>
      <c r="S72" s="6"/>
      <c r="T72" s="156"/>
      <c r="U72" s="6"/>
    </row>
    <row r="73" spans="1:21" customFormat="1">
      <c r="A73" s="163" t="s">
        <v>2223</v>
      </c>
      <c r="B73" s="100">
        <v>4</v>
      </c>
      <c r="C73" s="100">
        <v>25.27</v>
      </c>
      <c r="D73" s="100">
        <v>17.77</v>
      </c>
      <c r="E73" s="100">
        <v>14.86</v>
      </c>
      <c r="F73" s="152" t="s">
        <v>15</v>
      </c>
      <c r="G73" s="100">
        <v>47.34</v>
      </c>
      <c r="H73" s="100">
        <v>45.44</v>
      </c>
      <c r="I73" s="100">
        <v>10.73</v>
      </c>
      <c r="J73" s="100">
        <v>1.1499999999999999</v>
      </c>
      <c r="K73" s="100">
        <v>304.3</v>
      </c>
      <c r="L73" s="100">
        <v>32.72</v>
      </c>
      <c r="M73" s="100">
        <v>25.75</v>
      </c>
      <c r="N73" s="100">
        <v>70.7</v>
      </c>
      <c r="O73" s="100">
        <v>0</v>
      </c>
      <c r="P73" s="100">
        <v>0.76</v>
      </c>
      <c r="Q73" s="100">
        <v>12.95</v>
      </c>
      <c r="R73" s="6"/>
      <c r="S73" s="6"/>
      <c r="T73" s="156"/>
      <c r="U73" s="6"/>
    </row>
    <row r="74" spans="1:21" customFormat="1">
      <c r="A74" s="163" t="s">
        <v>2224</v>
      </c>
      <c r="B74" s="100">
        <v>4.01</v>
      </c>
      <c r="C74" s="100">
        <v>25.54</v>
      </c>
      <c r="D74" s="100">
        <v>17.91</v>
      </c>
      <c r="E74" s="100">
        <v>15.09</v>
      </c>
      <c r="F74" s="152" t="s">
        <v>15</v>
      </c>
      <c r="G74" s="100">
        <v>50.47</v>
      </c>
      <c r="H74" s="100">
        <v>47.68</v>
      </c>
      <c r="I74" s="100">
        <v>10.48</v>
      </c>
      <c r="J74" s="100">
        <v>0.91</v>
      </c>
      <c r="K74" s="100">
        <v>321.51</v>
      </c>
      <c r="L74" s="100">
        <v>32.68</v>
      </c>
      <c r="M74" s="100">
        <v>25.46</v>
      </c>
      <c r="N74" s="100">
        <v>43.2</v>
      </c>
      <c r="O74" s="100">
        <v>0</v>
      </c>
      <c r="P74" s="100">
        <v>0.74</v>
      </c>
      <c r="Q74" s="100">
        <v>12.96</v>
      </c>
      <c r="R74" s="6"/>
      <c r="S74" s="6"/>
      <c r="T74" s="156"/>
      <c r="U74" s="6"/>
    </row>
    <row r="75" spans="1:21" customFormat="1">
      <c r="A75" s="163" t="s">
        <v>2225</v>
      </c>
      <c r="B75" s="100">
        <v>4.04</v>
      </c>
      <c r="C75" s="100">
        <v>25.6</v>
      </c>
      <c r="D75" s="100">
        <v>17.97</v>
      </c>
      <c r="E75" s="100">
        <v>15.91</v>
      </c>
      <c r="F75" s="152" t="s">
        <v>15</v>
      </c>
      <c r="G75" s="100">
        <v>51.31</v>
      </c>
      <c r="H75" s="100">
        <v>47.68</v>
      </c>
      <c r="I75" s="100">
        <v>10.119999999999999</v>
      </c>
      <c r="J75" s="100">
        <v>0.81</v>
      </c>
      <c r="K75" s="100">
        <v>11.92</v>
      </c>
      <c r="L75" s="100">
        <v>32.35</v>
      </c>
      <c r="M75" s="100">
        <v>25.64</v>
      </c>
      <c r="N75" s="100">
        <v>36.6</v>
      </c>
      <c r="O75" s="100">
        <v>0</v>
      </c>
      <c r="P75" s="100">
        <v>0.71</v>
      </c>
      <c r="Q75" s="100">
        <v>12.96</v>
      </c>
      <c r="R75" s="6"/>
      <c r="S75" s="6"/>
      <c r="T75" s="156"/>
      <c r="U75" s="6"/>
    </row>
    <row r="76" spans="1:21" customFormat="1">
      <c r="A76" s="163" t="s">
        <v>2226</v>
      </c>
      <c r="B76" s="100">
        <v>4.09</v>
      </c>
      <c r="C76" s="100">
        <v>25.59</v>
      </c>
      <c r="D76" s="100">
        <v>18</v>
      </c>
      <c r="E76" s="100">
        <v>20.29</v>
      </c>
      <c r="F76" s="152" t="s">
        <v>15</v>
      </c>
      <c r="G76" s="100">
        <v>51.31</v>
      </c>
      <c r="H76" s="100">
        <v>47.68</v>
      </c>
      <c r="I76" s="100">
        <v>9.84</v>
      </c>
      <c r="J76" s="100">
        <v>0.62</v>
      </c>
      <c r="K76" s="100">
        <v>330.67</v>
      </c>
      <c r="L76" s="100">
        <v>32.17</v>
      </c>
      <c r="M76" s="100">
        <v>25.89</v>
      </c>
      <c r="N76" s="100">
        <v>31.5</v>
      </c>
      <c r="O76" s="100">
        <v>0</v>
      </c>
      <c r="P76" s="100">
        <v>0.71</v>
      </c>
      <c r="Q76" s="100">
        <v>12.96</v>
      </c>
      <c r="R76" s="6"/>
      <c r="S76" s="6"/>
      <c r="T76" s="156"/>
      <c r="U76" s="6"/>
    </row>
    <row r="77" spans="1:21" customFormat="1">
      <c r="A77" s="163" t="s">
        <v>2227</v>
      </c>
      <c r="B77" s="100">
        <v>4.1900000000000004</v>
      </c>
      <c r="C77" s="100">
        <v>25.59</v>
      </c>
      <c r="D77" s="100">
        <v>18.09</v>
      </c>
      <c r="E77" s="100">
        <v>24.92</v>
      </c>
      <c r="F77" s="152" t="s">
        <v>15</v>
      </c>
      <c r="G77" s="100">
        <v>51.31</v>
      </c>
      <c r="H77" s="100">
        <v>47.68</v>
      </c>
      <c r="I77" s="100">
        <v>9.59</v>
      </c>
      <c r="J77" s="100">
        <v>0.35</v>
      </c>
      <c r="K77" s="100">
        <v>350.91</v>
      </c>
      <c r="L77" s="100">
        <v>31.94</v>
      </c>
      <c r="M77" s="100">
        <v>26.19</v>
      </c>
      <c r="N77" s="100">
        <v>22.6</v>
      </c>
      <c r="O77" s="100">
        <v>0</v>
      </c>
      <c r="P77" s="100">
        <v>0.74</v>
      </c>
      <c r="Q77" s="100">
        <v>12.95</v>
      </c>
      <c r="R77" s="6"/>
      <c r="S77" s="6"/>
      <c r="T77" s="156"/>
      <c r="U77" s="6"/>
    </row>
    <row r="78" spans="1:21" customFormat="1">
      <c r="A78" s="163" t="s">
        <v>2228</v>
      </c>
      <c r="B78" s="100">
        <v>4.3</v>
      </c>
      <c r="C78" s="100">
        <v>25.28</v>
      </c>
      <c r="D78" s="100">
        <v>18.010000000000002</v>
      </c>
      <c r="E78" s="100">
        <v>25.82</v>
      </c>
      <c r="F78" s="152" t="s">
        <v>15</v>
      </c>
      <c r="G78" s="100">
        <v>57.26</v>
      </c>
      <c r="H78" s="100">
        <v>40.229999999999997</v>
      </c>
      <c r="I78" s="100">
        <v>8.92</v>
      </c>
      <c r="J78" s="100">
        <v>-0.24</v>
      </c>
      <c r="K78" s="100">
        <v>311.37</v>
      </c>
      <c r="L78" s="100">
        <v>31.49</v>
      </c>
      <c r="M78" s="100">
        <v>27.87</v>
      </c>
      <c r="N78" s="100">
        <v>15.2</v>
      </c>
      <c r="O78" s="100">
        <v>0</v>
      </c>
      <c r="P78" s="100">
        <v>0.75</v>
      </c>
      <c r="Q78" s="100">
        <v>12.94</v>
      </c>
      <c r="R78" s="6"/>
      <c r="S78" s="6"/>
      <c r="T78" s="156"/>
      <c r="U78" s="6"/>
    </row>
    <row r="79" spans="1:21" customFormat="1">
      <c r="A79" s="163" t="s">
        <v>2229</v>
      </c>
      <c r="B79" s="100">
        <v>4.41</v>
      </c>
      <c r="C79" s="100">
        <v>25.44</v>
      </c>
      <c r="D79" s="100">
        <v>18.18</v>
      </c>
      <c r="E79" s="100">
        <v>25.06</v>
      </c>
      <c r="F79" s="152" t="s">
        <v>15</v>
      </c>
      <c r="G79" s="100">
        <v>58.85</v>
      </c>
      <c r="H79" s="100">
        <v>39.6</v>
      </c>
      <c r="I79" s="100">
        <v>8.27</v>
      </c>
      <c r="J79" s="100">
        <v>0.27</v>
      </c>
      <c r="K79" s="100">
        <v>29</v>
      </c>
      <c r="L79" s="100">
        <v>31.01</v>
      </c>
      <c r="M79" s="100">
        <v>29.3</v>
      </c>
      <c r="N79" s="100">
        <v>7.9</v>
      </c>
      <c r="O79" s="100">
        <v>0</v>
      </c>
      <c r="P79" s="100">
        <v>0.81</v>
      </c>
      <c r="Q79" s="100">
        <v>12.94</v>
      </c>
      <c r="R79" s="6"/>
      <c r="S79" s="6"/>
      <c r="T79" s="156"/>
      <c r="U79" s="6"/>
    </row>
    <row r="80" spans="1:21" customFormat="1">
      <c r="A80" s="163" t="s">
        <v>2230</v>
      </c>
      <c r="B80" s="100">
        <v>4.8499999999999996</v>
      </c>
      <c r="C80" s="100">
        <v>25.76</v>
      </c>
      <c r="D80" s="100">
        <v>18.7</v>
      </c>
      <c r="E80" s="100">
        <v>22.76</v>
      </c>
      <c r="F80" s="152" t="s">
        <v>15</v>
      </c>
      <c r="G80" s="100">
        <v>58.85</v>
      </c>
      <c r="H80" s="100">
        <v>39.6</v>
      </c>
      <c r="I80" s="100">
        <v>8.8800000000000008</v>
      </c>
      <c r="J80" s="100">
        <v>0.18</v>
      </c>
      <c r="K80" s="100">
        <v>93.31</v>
      </c>
      <c r="L80" s="100">
        <v>30.25</v>
      </c>
      <c r="M80" s="100">
        <v>32.840000000000003</v>
      </c>
      <c r="N80" s="100">
        <v>4</v>
      </c>
      <c r="O80" s="100">
        <v>0</v>
      </c>
      <c r="P80" s="100">
        <v>0.82</v>
      </c>
      <c r="Q80" s="100">
        <v>12.95</v>
      </c>
      <c r="R80" s="6"/>
      <c r="S80" s="6"/>
      <c r="T80" s="156"/>
      <c r="U80" s="6"/>
    </row>
    <row r="81" spans="1:21" customFormat="1">
      <c r="A81" s="163" t="s">
        <v>2231</v>
      </c>
      <c r="B81" s="100">
        <v>5.27</v>
      </c>
      <c r="C81" s="100">
        <v>26.19</v>
      </c>
      <c r="D81" s="100">
        <v>19.260000000000002</v>
      </c>
      <c r="E81" s="100">
        <v>11.13</v>
      </c>
      <c r="F81" s="152" t="s">
        <v>15</v>
      </c>
      <c r="G81" s="100">
        <v>58.85</v>
      </c>
      <c r="H81" s="100">
        <v>39.6</v>
      </c>
      <c r="I81" s="100">
        <v>9.82</v>
      </c>
      <c r="J81" s="100">
        <v>0.26</v>
      </c>
      <c r="K81" s="100">
        <v>151.51</v>
      </c>
      <c r="L81" s="100">
        <v>28.92</v>
      </c>
      <c r="M81" s="100">
        <v>37.299999999999997</v>
      </c>
      <c r="N81" s="100">
        <v>2.4</v>
      </c>
      <c r="O81" s="100">
        <v>0</v>
      </c>
      <c r="P81" s="100">
        <v>0.81</v>
      </c>
      <c r="Q81" s="100">
        <v>12.94</v>
      </c>
      <c r="R81" s="6"/>
      <c r="S81" s="6"/>
      <c r="T81" s="156"/>
      <c r="U81" s="6"/>
    </row>
    <row r="82" spans="1:21" customFormat="1">
      <c r="A82" s="163" t="s">
        <v>2232</v>
      </c>
      <c r="B82" s="100">
        <v>5.51</v>
      </c>
      <c r="C82" s="100">
        <v>26.45</v>
      </c>
      <c r="D82" s="100">
        <v>19.59</v>
      </c>
      <c r="E82" s="100">
        <v>14.74</v>
      </c>
      <c r="F82" s="152" t="s">
        <v>15</v>
      </c>
      <c r="G82" s="100">
        <v>83.12</v>
      </c>
      <c r="H82" s="100">
        <v>37.07</v>
      </c>
      <c r="I82" s="100">
        <v>9.75</v>
      </c>
      <c r="J82" s="100">
        <v>0.31</v>
      </c>
      <c r="K82" s="100">
        <v>162.29</v>
      </c>
      <c r="L82" s="100">
        <v>28.08</v>
      </c>
      <c r="M82" s="100">
        <v>41.25</v>
      </c>
      <c r="N82" s="100">
        <v>1.8</v>
      </c>
      <c r="O82" s="100">
        <v>0</v>
      </c>
      <c r="P82" s="100">
        <v>0.82</v>
      </c>
      <c r="Q82" s="100">
        <v>12.94</v>
      </c>
      <c r="R82" s="6"/>
      <c r="S82" s="6"/>
      <c r="T82" s="156"/>
      <c r="U82" s="6"/>
    </row>
    <row r="83" spans="1:21" customFormat="1">
      <c r="A83" s="163" t="s">
        <v>2233</v>
      </c>
      <c r="B83" s="100">
        <v>5.79</v>
      </c>
      <c r="C83" s="100">
        <v>26.22</v>
      </c>
      <c r="D83" s="100">
        <v>19.690000000000001</v>
      </c>
      <c r="E83" s="100">
        <v>12.84</v>
      </c>
      <c r="F83" s="152" t="s">
        <v>15</v>
      </c>
      <c r="G83" s="100">
        <v>91.94</v>
      </c>
      <c r="H83" s="100">
        <v>36.92</v>
      </c>
      <c r="I83" s="100">
        <v>9.6300000000000008</v>
      </c>
      <c r="J83" s="100">
        <v>0.28000000000000003</v>
      </c>
      <c r="K83" s="100">
        <v>166.19</v>
      </c>
      <c r="L83" s="100">
        <v>27.45</v>
      </c>
      <c r="M83" s="100">
        <v>46.66</v>
      </c>
      <c r="N83" s="100">
        <v>1.6</v>
      </c>
      <c r="O83" s="100">
        <v>0</v>
      </c>
      <c r="P83" s="100">
        <v>0.84</v>
      </c>
      <c r="Q83" s="100">
        <v>12.96</v>
      </c>
      <c r="R83" s="6"/>
      <c r="S83" s="6"/>
      <c r="T83" s="156"/>
      <c r="U83" s="6"/>
    </row>
    <row r="84" spans="1:21" customFormat="1">
      <c r="A84" s="163" t="s">
        <v>2234</v>
      </c>
      <c r="B84" s="100">
        <v>6.04</v>
      </c>
      <c r="C84" s="100">
        <v>26.25</v>
      </c>
      <c r="D84" s="100">
        <v>19.91</v>
      </c>
      <c r="E84" s="100">
        <v>11.23</v>
      </c>
      <c r="F84" s="152" t="s">
        <v>15</v>
      </c>
      <c r="G84" s="100">
        <v>91.94</v>
      </c>
      <c r="H84" s="100">
        <v>36.92</v>
      </c>
      <c r="I84" s="100">
        <v>10.33</v>
      </c>
      <c r="J84" s="100">
        <v>0.27</v>
      </c>
      <c r="K84" s="100">
        <v>178.28</v>
      </c>
      <c r="L84" s="100">
        <v>26.41</v>
      </c>
      <c r="M84" s="100">
        <v>52.74</v>
      </c>
      <c r="N84" s="100">
        <v>2.1</v>
      </c>
      <c r="O84" s="100">
        <v>0</v>
      </c>
      <c r="P84" s="100">
        <v>0.83</v>
      </c>
      <c r="Q84" s="100">
        <v>12.94</v>
      </c>
      <c r="R84" s="6"/>
      <c r="S84" s="6"/>
      <c r="T84" s="156"/>
      <c r="U84" s="6"/>
    </row>
    <row r="85" spans="1:21" customFormat="1">
      <c r="A85" s="163" t="s">
        <v>2235</v>
      </c>
      <c r="B85" s="100">
        <v>6.34</v>
      </c>
      <c r="C85" s="100">
        <v>25.93</v>
      </c>
      <c r="D85" s="100">
        <v>19.98</v>
      </c>
      <c r="E85" s="100">
        <v>10.61</v>
      </c>
      <c r="F85" s="152" t="s">
        <v>15</v>
      </c>
      <c r="G85" s="100">
        <v>91.94</v>
      </c>
      <c r="H85" s="100">
        <v>36.92</v>
      </c>
      <c r="I85" s="100">
        <v>11.01</v>
      </c>
      <c r="J85" s="100">
        <v>0.19</v>
      </c>
      <c r="K85" s="100">
        <v>203.9</v>
      </c>
      <c r="L85" s="100">
        <v>25.9</v>
      </c>
      <c r="M85" s="100">
        <v>49.12</v>
      </c>
      <c r="N85" s="100">
        <v>1.4</v>
      </c>
      <c r="O85" s="100">
        <v>0</v>
      </c>
      <c r="P85" s="100">
        <v>0.83</v>
      </c>
      <c r="Q85" s="100">
        <v>12.94</v>
      </c>
      <c r="R85" s="6"/>
      <c r="S85" s="6"/>
      <c r="T85" s="156"/>
      <c r="U85" s="6"/>
    </row>
    <row r="86" spans="1:21" customFormat="1">
      <c r="A86" s="163" t="s">
        <v>2236</v>
      </c>
      <c r="B86" s="100">
        <v>6.53</v>
      </c>
      <c r="C86" s="100">
        <v>25.56</v>
      </c>
      <c r="D86" s="100">
        <v>19.940000000000001</v>
      </c>
      <c r="E86" s="100">
        <v>10.58</v>
      </c>
      <c r="F86" s="152" t="s">
        <v>15</v>
      </c>
      <c r="G86" s="100">
        <v>103.5</v>
      </c>
      <c r="H86" s="100">
        <v>43.03</v>
      </c>
      <c r="I86" s="100">
        <v>10.89</v>
      </c>
      <c r="J86" s="100">
        <v>0.16</v>
      </c>
      <c r="K86" s="100">
        <v>168.96</v>
      </c>
      <c r="L86" s="100">
        <v>25.75</v>
      </c>
      <c r="M86" s="100">
        <v>50.3</v>
      </c>
      <c r="N86" s="100">
        <v>1.1000000000000001</v>
      </c>
      <c r="O86" s="100">
        <v>0</v>
      </c>
      <c r="P86" s="100">
        <v>0.84</v>
      </c>
      <c r="Q86" s="100">
        <v>12.98</v>
      </c>
      <c r="R86" s="6"/>
      <c r="S86" s="6"/>
      <c r="T86" s="156"/>
      <c r="U86" s="6"/>
    </row>
    <row r="87" spans="1:21" customFormat="1">
      <c r="A87" s="163" t="s">
        <v>2237</v>
      </c>
      <c r="B87" s="100">
        <v>6.69</v>
      </c>
      <c r="C87" s="100">
        <v>25.07</v>
      </c>
      <c r="D87" s="100">
        <v>19.809999999999999</v>
      </c>
      <c r="E87" s="100">
        <v>10.78</v>
      </c>
      <c r="F87" s="152" t="s">
        <v>15</v>
      </c>
      <c r="G87" s="100">
        <v>107.7</v>
      </c>
      <c r="H87" s="100">
        <v>43.13</v>
      </c>
      <c r="I87" s="100">
        <v>10.7</v>
      </c>
      <c r="J87" s="100">
        <v>0.16</v>
      </c>
      <c r="K87" s="100">
        <v>168.3</v>
      </c>
      <c r="L87" s="100">
        <v>25.64</v>
      </c>
      <c r="M87" s="100">
        <v>49.56</v>
      </c>
      <c r="N87" s="100">
        <v>1</v>
      </c>
      <c r="O87" s="100">
        <v>0</v>
      </c>
      <c r="P87" s="100">
        <v>0.84</v>
      </c>
      <c r="Q87" s="100">
        <v>12.96</v>
      </c>
      <c r="R87" s="6"/>
      <c r="S87" s="6"/>
      <c r="T87" s="156"/>
      <c r="U87" s="6"/>
    </row>
    <row r="88" spans="1:21" customFormat="1">
      <c r="A88" s="163" t="s">
        <v>2238</v>
      </c>
      <c r="B88" s="100">
        <v>6.8</v>
      </c>
      <c r="C88" s="100">
        <v>24.76</v>
      </c>
      <c r="D88" s="100">
        <v>19.739999999999998</v>
      </c>
      <c r="E88" s="100">
        <v>10.68</v>
      </c>
      <c r="F88" s="152" t="s">
        <v>15</v>
      </c>
      <c r="G88" s="100">
        <v>107.7</v>
      </c>
      <c r="H88" s="100">
        <v>43.13</v>
      </c>
      <c r="I88" s="100">
        <v>10.72</v>
      </c>
      <c r="J88" s="100">
        <v>0.2</v>
      </c>
      <c r="K88" s="100">
        <v>177.79</v>
      </c>
      <c r="L88" s="100">
        <v>25.32</v>
      </c>
      <c r="M88" s="100">
        <v>50.97</v>
      </c>
      <c r="N88" s="100">
        <v>1.2</v>
      </c>
      <c r="O88" s="100">
        <v>0</v>
      </c>
      <c r="P88" s="100">
        <v>0.84</v>
      </c>
      <c r="Q88" s="100">
        <v>12.95</v>
      </c>
      <c r="R88" s="6"/>
      <c r="S88" s="6"/>
      <c r="T88" s="156"/>
      <c r="U88" s="6"/>
    </row>
    <row r="89" spans="1:21" customFormat="1">
      <c r="A89" s="163" t="s">
        <v>2239</v>
      </c>
      <c r="B89" s="100">
        <v>6.93</v>
      </c>
      <c r="C89" s="100">
        <v>24.4</v>
      </c>
      <c r="D89" s="100">
        <v>19.66</v>
      </c>
      <c r="E89" s="100">
        <v>10.58</v>
      </c>
      <c r="F89" s="152" t="s">
        <v>15</v>
      </c>
      <c r="G89" s="100">
        <v>107.7</v>
      </c>
      <c r="H89" s="100">
        <v>43.13</v>
      </c>
      <c r="I89" s="100">
        <v>10.7</v>
      </c>
      <c r="J89" s="100">
        <v>0.17</v>
      </c>
      <c r="K89" s="100">
        <v>175.33</v>
      </c>
      <c r="L89" s="100">
        <v>24.7</v>
      </c>
      <c r="M89" s="100">
        <v>55.74</v>
      </c>
      <c r="N89" s="100">
        <v>1.4</v>
      </c>
      <c r="O89" s="100">
        <v>0</v>
      </c>
      <c r="P89" s="100">
        <v>0.85</v>
      </c>
      <c r="Q89" s="100">
        <v>12.95</v>
      </c>
      <c r="R89" s="6"/>
      <c r="S89" s="6"/>
      <c r="T89" s="156"/>
      <c r="U89" s="6"/>
    </row>
    <row r="90" spans="1:21" customFormat="1">
      <c r="A90" s="163" t="s">
        <v>2240</v>
      </c>
      <c r="B90" s="100">
        <v>7.1</v>
      </c>
      <c r="C90" s="100">
        <v>23.98</v>
      </c>
      <c r="D90" s="100">
        <v>19.57</v>
      </c>
      <c r="E90" s="100">
        <v>10.49</v>
      </c>
      <c r="F90" s="152" t="s">
        <v>15</v>
      </c>
      <c r="G90" s="100">
        <v>104.8</v>
      </c>
      <c r="H90" s="100">
        <v>31.26</v>
      </c>
      <c r="I90" s="100">
        <v>10.66</v>
      </c>
      <c r="J90" s="100">
        <v>0.21</v>
      </c>
      <c r="K90" s="100">
        <v>189.86</v>
      </c>
      <c r="L90" s="100">
        <v>24.35</v>
      </c>
      <c r="M90" s="100">
        <v>56.36</v>
      </c>
      <c r="N90" s="100">
        <v>1.2</v>
      </c>
      <c r="O90" s="100">
        <v>0</v>
      </c>
      <c r="P90" s="100">
        <v>0.85</v>
      </c>
      <c r="Q90" s="100">
        <v>12.96</v>
      </c>
      <c r="R90" s="6"/>
      <c r="S90" s="6"/>
      <c r="T90" s="156"/>
      <c r="U90" s="6"/>
    </row>
    <row r="91" spans="1:21" customFormat="1">
      <c r="A91" s="163" t="s">
        <v>2241</v>
      </c>
      <c r="B91" s="100">
        <v>7.35</v>
      </c>
      <c r="C91" s="100">
        <v>23.64</v>
      </c>
      <c r="D91" s="100">
        <v>19.59</v>
      </c>
      <c r="E91" s="100">
        <v>10.25</v>
      </c>
      <c r="F91" s="152" t="s">
        <v>15</v>
      </c>
      <c r="G91" s="100">
        <v>103.75</v>
      </c>
      <c r="H91" s="100">
        <v>31.07</v>
      </c>
      <c r="I91" s="100">
        <v>10.67</v>
      </c>
      <c r="J91" s="100">
        <v>0.17</v>
      </c>
      <c r="K91" s="100">
        <v>170.46</v>
      </c>
      <c r="L91" s="100">
        <v>24.07</v>
      </c>
      <c r="M91" s="100">
        <v>57.41</v>
      </c>
      <c r="N91" s="100">
        <v>1.2</v>
      </c>
      <c r="O91" s="100">
        <v>0</v>
      </c>
      <c r="P91" s="100">
        <v>0.85</v>
      </c>
      <c r="Q91" s="100">
        <v>12.96</v>
      </c>
      <c r="R91" s="6"/>
      <c r="S91" s="6"/>
      <c r="T91" s="156"/>
      <c r="U91" s="6"/>
    </row>
    <row r="92" spans="1:21" customFormat="1">
      <c r="A92" s="163" t="s">
        <v>2242</v>
      </c>
      <c r="B92" s="100">
        <v>7.57</v>
      </c>
      <c r="C92" s="100">
        <v>23.45</v>
      </c>
      <c r="D92" s="100">
        <v>19.670000000000002</v>
      </c>
      <c r="E92" s="100">
        <v>10.58</v>
      </c>
      <c r="F92" s="152" t="s">
        <v>15</v>
      </c>
      <c r="G92" s="100">
        <v>103.75</v>
      </c>
      <c r="H92" s="100">
        <v>31.07</v>
      </c>
      <c r="I92" s="100">
        <v>10.69</v>
      </c>
      <c r="J92" s="100">
        <v>0.21</v>
      </c>
      <c r="K92" s="100">
        <v>180.95</v>
      </c>
      <c r="L92" s="100">
        <v>23.8</v>
      </c>
      <c r="M92" s="100">
        <v>59.03</v>
      </c>
      <c r="N92" s="100">
        <v>1</v>
      </c>
      <c r="O92" s="100">
        <v>0</v>
      </c>
      <c r="P92" s="100">
        <v>0.86</v>
      </c>
      <c r="Q92" s="100">
        <v>12.95</v>
      </c>
      <c r="R92" s="6"/>
      <c r="S92" s="6"/>
      <c r="T92" s="156"/>
      <c r="U92" s="6"/>
    </row>
    <row r="93" spans="1:21" customFormat="1">
      <c r="A93" s="163" t="s">
        <v>2243</v>
      </c>
      <c r="B93" s="100">
        <v>7.77</v>
      </c>
      <c r="C93" s="100">
        <v>23.19</v>
      </c>
      <c r="D93" s="100">
        <v>19.7</v>
      </c>
      <c r="E93" s="100">
        <v>9.6999999999999993</v>
      </c>
      <c r="F93" s="152" t="s">
        <v>15</v>
      </c>
      <c r="G93" s="100">
        <v>103.75</v>
      </c>
      <c r="H93" s="100">
        <v>31.07</v>
      </c>
      <c r="I93" s="100">
        <v>10.72</v>
      </c>
      <c r="J93" s="100">
        <v>0.14000000000000001</v>
      </c>
      <c r="K93" s="100">
        <v>211.14</v>
      </c>
      <c r="L93" s="100">
        <v>23.55</v>
      </c>
      <c r="M93" s="100">
        <v>60.53</v>
      </c>
      <c r="N93" s="100">
        <v>1.1000000000000001</v>
      </c>
      <c r="O93" s="100">
        <v>0</v>
      </c>
      <c r="P93" s="100">
        <v>0.86</v>
      </c>
      <c r="Q93" s="100">
        <v>12.95</v>
      </c>
      <c r="R93" s="6"/>
      <c r="S93" s="6"/>
      <c r="T93" s="156"/>
      <c r="U93" s="6"/>
    </row>
    <row r="94" spans="1:21" customFormat="1">
      <c r="A94" s="163" t="s">
        <v>2244</v>
      </c>
      <c r="B94" s="100">
        <v>7.96</v>
      </c>
      <c r="C94" s="100">
        <v>23.15</v>
      </c>
      <c r="D94" s="100">
        <v>19.829999999999998</v>
      </c>
      <c r="E94" s="100">
        <v>10.59</v>
      </c>
      <c r="F94" s="152" t="s">
        <v>15</v>
      </c>
      <c r="G94" s="100">
        <v>93.33</v>
      </c>
      <c r="H94" s="100">
        <v>25.25</v>
      </c>
      <c r="I94" s="100">
        <v>10.73</v>
      </c>
      <c r="J94" s="100">
        <v>0.14000000000000001</v>
      </c>
      <c r="K94" s="100">
        <v>207.11</v>
      </c>
      <c r="L94" s="100">
        <v>23.45</v>
      </c>
      <c r="M94" s="100">
        <v>59.06</v>
      </c>
      <c r="N94" s="100">
        <v>1</v>
      </c>
      <c r="O94" s="100">
        <v>0</v>
      </c>
      <c r="P94" s="100">
        <v>0.86</v>
      </c>
      <c r="Q94" s="100">
        <v>12.95</v>
      </c>
      <c r="R94" s="6"/>
      <c r="S94" s="6"/>
      <c r="T94" s="156"/>
      <c r="U94" s="6"/>
    </row>
    <row r="95" spans="1:21" customFormat="1">
      <c r="A95" s="163" t="s">
        <v>2245</v>
      </c>
      <c r="B95" s="100">
        <v>8.2899999999999991</v>
      </c>
      <c r="C95" s="100">
        <v>23.19</v>
      </c>
      <c r="D95" s="100">
        <v>20.12</v>
      </c>
      <c r="E95" s="100">
        <v>10.8</v>
      </c>
      <c r="F95" s="152" t="s">
        <v>15</v>
      </c>
      <c r="G95" s="100">
        <v>89.55</v>
      </c>
      <c r="H95" s="100">
        <v>25.1</v>
      </c>
      <c r="I95" s="100">
        <v>10.72</v>
      </c>
      <c r="J95" s="100">
        <v>0.23</v>
      </c>
      <c r="K95" s="100">
        <v>200.12</v>
      </c>
      <c r="L95" s="100">
        <v>23.26</v>
      </c>
      <c r="M95" s="100">
        <v>63.89</v>
      </c>
      <c r="N95" s="100">
        <v>1.2</v>
      </c>
      <c r="O95" s="100">
        <v>0</v>
      </c>
      <c r="P95" s="100">
        <v>0.85</v>
      </c>
      <c r="Q95" s="100">
        <v>12.93</v>
      </c>
      <c r="R95" s="6"/>
      <c r="S95" s="6"/>
      <c r="T95" s="156"/>
      <c r="U95" s="6"/>
    </row>
    <row r="96" spans="1:21" customFormat="1">
      <c r="A96" s="163" t="s">
        <v>2246</v>
      </c>
      <c r="B96" s="100">
        <v>8.42</v>
      </c>
      <c r="C96" s="100">
        <v>22.72</v>
      </c>
      <c r="D96" s="100">
        <v>19.97</v>
      </c>
      <c r="E96" s="100">
        <v>10.53</v>
      </c>
      <c r="F96" s="152" t="s">
        <v>15</v>
      </c>
      <c r="G96" s="100">
        <v>89.55</v>
      </c>
      <c r="H96" s="100">
        <v>25.1</v>
      </c>
      <c r="I96" s="100">
        <v>10.74</v>
      </c>
      <c r="J96" s="100">
        <v>0.25</v>
      </c>
      <c r="K96" s="100">
        <v>165.54</v>
      </c>
      <c r="L96" s="100">
        <v>22.99</v>
      </c>
      <c r="M96" s="100">
        <v>63.34</v>
      </c>
      <c r="N96" s="100">
        <v>1.1000000000000001</v>
      </c>
      <c r="O96" s="100">
        <v>0</v>
      </c>
      <c r="P96" s="100">
        <v>0.81</v>
      </c>
      <c r="Q96" s="100">
        <v>12.96</v>
      </c>
      <c r="R96" s="6"/>
      <c r="S96" s="6"/>
      <c r="T96" s="156"/>
      <c r="U96" s="6"/>
    </row>
    <row r="97" spans="1:28" customFormat="1">
      <c r="A97" s="163" t="s">
        <v>2247</v>
      </c>
      <c r="B97" s="100">
        <v>8.4</v>
      </c>
      <c r="C97" s="100">
        <v>22.81</v>
      </c>
      <c r="D97" s="100">
        <v>20.010000000000002</v>
      </c>
      <c r="E97" s="100">
        <v>10.61</v>
      </c>
      <c r="F97" s="152" t="s">
        <v>15</v>
      </c>
      <c r="G97" s="100">
        <v>89.55</v>
      </c>
      <c r="H97" s="100">
        <v>25.1</v>
      </c>
      <c r="I97" s="100">
        <v>10.74</v>
      </c>
      <c r="J97" s="100">
        <v>0.22</v>
      </c>
      <c r="K97" s="100">
        <v>203.62</v>
      </c>
      <c r="L97" s="100">
        <v>22.79</v>
      </c>
      <c r="M97" s="100">
        <v>63.63</v>
      </c>
      <c r="N97" s="100">
        <v>1</v>
      </c>
      <c r="O97" s="100">
        <v>0</v>
      </c>
      <c r="P97" s="100">
        <v>0.81</v>
      </c>
      <c r="Q97" s="100">
        <v>12.96</v>
      </c>
      <c r="R97" s="6"/>
      <c r="S97" s="6"/>
      <c r="T97" s="156"/>
      <c r="U97" s="6"/>
    </row>
    <row r="98" spans="1:28" customFormat="1">
      <c r="A98" s="163" t="s">
        <v>2248</v>
      </c>
      <c r="B98" s="100">
        <v>8.36</v>
      </c>
      <c r="C98" s="100">
        <v>22.99</v>
      </c>
      <c r="D98" s="100">
        <v>20.07</v>
      </c>
      <c r="E98" s="100">
        <v>10.09</v>
      </c>
      <c r="F98" s="152" t="s">
        <v>15</v>
      </c>
      <c r="G98" s="100">
        <v>92.05</v>
      </c>
      <c r="H98" s="100">
        <v>20.93</v>
      </c>
      <c r="I98" s="100">
        <v>10.77</v>
      </c>
      <c r="J98" s="100">
        <v>0.16</v>
      </c>
      <c r="K98" s="100">
        <v>215.38</v>
      </c>
      <c r="L98" s="100">
        <v>22.67</v>
      </c>
      <c r="M98" s="100">
        <v>62.16</v>
      </c>
      <c r="N98" s="100">
        <v>1</v>
      </c>
      <c r="O98" s="100">
        <v>0</v>
      </c>
      <c r="P98" s="100">
        <v>0.82</v>
      </c>
      <c r="Q98" s="100">
        <v>12.96</v>
      </c>
      <c r="R98" s="6"/>
      <c r="S98" s="6"/>
      <c r="T98" s="156"/>
      <c r="U98" s="6"/>
    </row>
    <row r="99" spans="1:28" customFormat="1">
      <c r="A99" s="163" t="s">
        <v>2249</v>
      </c>
      <c r="B99" s="100">
        <v>8.2799999999999994</v>
      </c>
      <c r="C99" s="100">
        <v>23.18</v>
      </c>
      <c r="D99" s="100">
        <v>20.100000000000001</v>
      </c>
      <c r="E99" s="100">
        <v>10.82</v>
      </c>
      <c r="F99" s="152" t="s">
        <v>15</v>
      </c>
      <c r="G99" s="100">
        <v>92.96</v>
      </c>
      <c r="H99" s="100">
        <v>20.86</v>
      </c>
      <c r="I99" s="100">
        <v>10.83</v>
      </c>
      <c r="J99" s="100">
        <v>0.19</v>
      </c>
      <c r="K99" s="100">
        <v>187.09</v>
      </c>
      <c r="L99" s="100">
        <v>22.67</v>
      </c>
      <c r="M99" s="100">
        <v>62.65</v>
      </c>
      <c r="N99" s="100">
        <v>1</v>
      </c>
      <c r="O99" s="100">
        <v>0</v>
      </c>
      <c r="P99" s="100">
        <v>0.83</v>
      </c>
      <c r="Q99" s="100">
        <v>12.97</v>
      </c>
      <c r="R99" s="6"/>
      <c r="S99" s="6"/>
      <c r="T99" s="156"/>
      <c r="U99" s="6"/>
    </row>
    <row r="100" spans="1:28" customFormat="1">
      <c r="A100" s="163" t="s">
        <v>2250</v>
      </c>
      <c r="B100" s="100">
        <v>8.33</v>
      </c>
      <c r="C100" s="100">
        <v>23.4</v>
      </c>
      <c r="D100" s="100">
        <v>20.25</v>
      </c>
      <c r="E100" s="100">
        <v>11.05</v>
      </c>
      <c r="F100" s="152" t="s">
        <v>15</v>
      </c>
      <c r="G100" s="100">
        <v>92.96</v>
      </c>
      <c r="H100" s="100">
        <v>20.86</v>
      </c>
      <c r="I100" s="100">
        <v>10.91</v>
      </c>
      <c r="J100" s="100">
        <v>0.25</v>
      </c>
      <c r="K100" s="100">
        <v>197.84</v>
      </c>
      <c r="L100" s="100">
        <v>22.39</v>
      </c>
      <c r="M100" s="100">
        <v>67.19</v>
      </c>
      <c r="N100" s="100">
        <v>1.2</v>
      </c>
      <c r="O100" s="100">
        <v>0</v>
      </c>
      <c r="P100" s="100">
        <v>0.84</v>
      </c>
      <c r="Q100" s="100">
        <v>12.96</v>
      </c>
      <c r="R100" s="6"/>
      <c r="S100" s="6"/>
      <c r="T100" s="156"/>
      <c r="U100" s="6"/>
      <c r="AB100" s="161"/>
    </row>
    <row r="101" spans="1:28" customFormat="1">
      <c r="A101" s="163" t="s">
        <v>2251</v>
      </c>
      <c r="B101" s="100">
        <v>8.31</v>
      </c>
      <c r="C101" s="100">
        <v>23.29</v>
      </c>
      <c r="D101" s="100">
        <v>20.18</v>
      </c>
      <c r="E101" s="100">
        <v>11.17</v>
      </c>
      <c r="F101" s="152" t="s">
        <v>15</v>
      </c>
      <c r="G101" s="100">
        <v>92.96</v>
      </c>
      <c r="H101" s="100">
        <v>20.86</v>
      </c>
      <c r="I101" s="100">
        <v>11.03</v>
      </c>
      <c r="J101" s="100">
        <v>0.19</v>
      </c>
      <c r="K101" s="100">
        <v>185.22</v>
      </c>
      <c r="L101" s="100">
        <v>21.96</v>
      </c>
      <c r="M101" s="100">
        <v>69.400000000000006</v>
      </c>
      <c r="N101" s="100">
        <v>1.2</v>
      </c>
      <c r="O101" s="100">
        <v>0</v>
      </c>
      <c r="P101" s="100">
        <v>0.84</v>
      </c>
      <c r="Q101" s="100">
        <v>12.96</v>
      </c>
      <c r="R101" s="6"/>
      <c r="S101" s="6"/>
      <c r="T101" s="156"/>
      <c r="U101" s="6"/>
    </row>
    <row r="102" spans="1:28" customFormat="1">
      <c r="A102" s="163" t="s">
        <v>2252</v>
      </c>
      <c r="B102" s="100">
        <v>8.3699999999999992</v>
      </c>
      <c r="C102" s="100">
        <v>23.42</v>
      </c>
      <c r="D102" s="100">
        <v>20.3</v>
      </c>
      <c r="E102" s="100">
        <v>11.57</v>
      </c>
      <c r="F102" s="152" t="s">
        <v>15</v>
      </c>
      <c r="G102" s="100">
        <v>90.44</v>
      </c>
      <c r="H102" s="100">
        <v>26.3</v>
      </c>
      <c r="I102" s="100">
        <v>11.17</v>
      </c>
      <c r="J102" s="100">
        <v>0.19</v>
      </c>
      <c r="K102" s="100">
        <v>180.67</v>
      </c>
      <c r="L102" s="100">
        <v>21.76</v>
      </c>
      <c r="M102" s="100">
        <v>70.81</v>
      </c>
      <c r="N102" s="100">
        <v>1.1000000000000001</v>
      </c>
      <c r="O102" s="100">
        <v>0</v>
      </c>
      <c r="P102" s="100">
        <v>0.86</v>
      </c>
      <c r="Q102" s="100">
        <v>12.97</v>
      </c>
      <c r="R102" s="6"/>
      <c r="S102" s="6"/>
      <c r="T102" s="156"/>
      <c r="U102" s="6"/>
    </row>
    <row r="103" spans="1:28" customFormat="1">
      <c r="A103" s="163" t="s">
        <v>2253</v>
      </c>
      <c r="B103" s="100">
        <v>8.6</v>
      </c>
      <c r="C103" s="100">
        <v>23.37</v>
      </c>
      <c r="D103" s="100">
        <v>20.46</v>
      </c>
      <c r="E103" s="100">
        <v>11.35</v>
      </c>
      <c r="F103" s="152" t="s">
        <v>15</v>
      </c>
      <c r="G103" s="100">
        <v>89.53</v>
      </c>
      <c r="H103" s="100">
        <v>26.38</v>
      </c>
      <c r="I103" s="100">
        <v>11.29</v>
      </c>
      <c r="J103" s="100">
        <v>0.89</v>
      </c>
      <c r="K103" s="100">
        <v>54.58</v>
      </c>
      <c r="L103" s="100">
        <v>22.42</v>
      </c>
      <c r="M103" s="100">
        <v>61.5</v>
      </c>
      <c r="N103" s="100">
        <v>0.4</v>
      </c>
      <c r="O103" s="100">
        <v>0</v>
      </c>
      <c r="P103" s="100">
        <v>0.86</v>
      </c>
      <c r="Q103" s="100">
        <v>12.96</v>
      </c>
      <c r="R103" s="6"/>
      <c r="S103" s="6"/>
      <c r="T103" s="156"/>
      <c r="U103" s="6"/>
    </row>
    <row r="104" spans="1:28" customFormat="1">
      <c r="A104" s="163" t="s">
        <v>2254</v>
      </c>
      <c r="B104" s="100">
        <v>9.4</v>
      </c>
      <c r="C104" s="100">
        <v>24.3</v>
      </c>
      <c r="D104" s="100">
        <v>21.58</v>
      </c>
      <c r="E104" s="100">
        <v>11.29</v>
      </c>
      <c r="F104" s="152" t="s">
        <v>15</v>
      </c>
      <c r="G104" s="100">
        <v>89.53</v>
      </c>
      <c r="H104" s="100">
        <v>26.38</v>
      </c>
      <c r="I104" s="100">
        <v>11.38</v>
      </c>
      <c r="J104" s="100">
        <v>0.82</v>
      </c>
      <c r="K104" s="100">
        <v>56.85</v>
      </c>
      <c r="L104" s="100">
        <v>23.94</v>
      </c>
      <c r="M104" s="100">
        <v>53</v>
      </c>
      <c r="N104" s="100">
        <v>0.1</v>
      </c>
      <c r="O104" s="100">
        <v>0</v>
      </c>
      <c r="P104" s="100">
        <v>0.89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3.71</v>
      </c>
      <c r="C106" s="158">
        <f>MIN(C9:C104)</f>
        <v>22.72</v>
      </c>
      <c r="D106" s="158">
        <f t="shared" ref="D106:Q106" si="0">MIN(D9:D104)</f>
        <v>17.670000000000002</v>
      </c>
      <c r="E106" s="158">
        <f t="shared" si="0"/>
        <v>8.31</v>
      </c>
      <c r="F106" s="158">
        <f t="shared" si="0"/>
        <v>0</v>
      </c>
      <c r="G106" s="158">
        <f t="shared" si="0"/>
        <v>47.34</v>
      </c>
      <c r="H106" s="158">
        <f t="shared" si="0"/>
        <v>20.86</v>
      </c>
      <c r="I106" s="158">
        <f t="shared" si="0"/>
        <v>8.27</v>
      </c>
      <c r="J106" s="158">
        <f t="shared" si="0"/>
        <v>-0.24</v>
      </c>
      <c r="K106" s="158">
        <f t="shared" si="0"/>
        <v>11.92</v>
      </c>
      <c r="L106" s="158">
        <f t="shared" si="0"/>
        <v>20.079999999999998</v>
      </c>
      <c r="M106" s="158">
        <f t="shared" si="0"/>
        <v>21.97</v>
      </c>
      <c r="N106" s="158">
        <f t="shared" si="0"/>
        <v>0.1</v>
      </c>
      <c r="O106" s="158">
        <f t="shared" si="0"/>
        <v>0</v>
      </c>
      <c r="P106" s="158">
        <f t="shared" si="0"/>
        <v>0.71</v>
      </c>
      <c r="Q106" s="158">
        <f t="shared" si="0"/>
        <v>12.93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14.91</v>
      </c>
      <c r="C107" s="157">
        <f t="shared" ref="C107:Q107" si="1">MAX(C9:C104)</f>
        <v>28.27</v>
      </c>
      <c r="D107" s="157">
        <f t="shared" si="1"/>
        <v>27.23</v>
      </c>
      <c r="E107" s="157">
        <f t="shared" si="1"/>
        <v>25.82</v>
      </c>
      <c r="F107" s="157">
        <f t="shared" si="1"/>
        <v>0</v>
      </c>
      <c r="G107" s="157">
        <f t="shared" si="1"/>
        <v>273.98</v>
      </c>
      <c r="H107" s="157">
        <f t="shared" si="1"/>
        <v>149.81</v>
      </c>
      <c r="I107" s="157">
        <f t="shared" si="1"/>
        <v>18.559999999999999</v>
      </c>
      <c r="J107" s="157">
        <f t="shared" si="1"/>
        <v>1.45</v>
      </c>
      <c r="K107" s="157">
        <f t="shared" si="1"/>
        <v>350.91</v>
      </c>
      <c r="L107" s="157">
        <f t="shared" si="1"/>
        <v>33.83</v>
      </c>
      <c r="M107" s="157">
        <f t="shared" si="1"/>
        <v>78.069999999999993</v>
      </c>
      <c r="N107" s="157">
        <f t="shared" si="1"/>
        <v>320.8</v>
      </c>
      <c r="O107" s="157">
        <f t="shared" si="1"/>
        <v>0</v>
      </c>
      <c r="P107" s="157">
        <f t="shared" si="1"/>
        <v>1.33</v>
      </c>
      <c r="Q107" s="157">
        <f t="shared" si="1"/>
        <v>13.03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8.7286458333333332</v>
      </c>
      <c r="C108" s="158">
        <f t="shared" ref="C108:Q108" si="2">AVERAGE(C9:C104)</f>
        <v>25.760729166666668</v>
      </c>
      <c r="D108" s="158">
        <f t="shared" si="2"/>
        <v>21.809375000000003</v>
      </c>
      <c r="E108" s="158">
        <f t="shared" si="2"/>
        <v>12.719791666666657</v>
      </c>
      <c r="F108" s="158" t="e">
        <f t="shared" si="2"/>
        <v>#DIV/0!</v>
      </c>
      <c r="G108" s="158">
        <f t="shared" si="2"/>
        <v>102.63510416666666</v>
      </c>
      <c r="H108" s="158">
        <f t="shared" si="2"/>
        <v>42.294583333333343</v>
      </c>
      <c r="I108" s="158">
        <f t="shared" si="2"/>
        <v>12.71260416666667</v>
      </c>
      <c r="J108" s="158">
        <f t="shared" si="2"/>
        <v>0.44833333333333325</v>
      </c>
      <c r="K108" s="158">
        <f t="shared" si="2"/>
        <v>201.15750000000003</v>
      </c>
      <c r="L108" s="158">
        <f t="shared" si="2"/>
        <v>26.261458333333341</v>
      </c>
      <c r="M108" s="158">
        <f t="shared" si="2"/>
        <v>52.203854166666652</v>
      </c>
      <c r="N108" s="158">
        <f t="shared" si="2"/>
        <v>81.55312499999998</v>
      </c>
      <c r="O108" s="158">
        <f t="shared" si="2"/>
        <v>0</v>
      </c>
      <c r="P108" s="158">
        <f t="shared" si="2"/>
        <v>0.96187500000000015</v>
      </c>
      <c r="Q108" s="158">
        <f t="shared" si="2"/>
        <v>12.982291666666683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3.8906253373141566</v>
      </c>
      <c r="C109" s="158">
        <f t="shared" ref="C109:Q109" si="3">STDEV(C9:C104)</f>
        <v>1.4998148972047161</v>
      </c>
      <c r="D109" s="158">
        <f t="shared" si="3"/>
        <v>3.2801539798580999</v>
      </c>
      <c r="E109" s="158">
        <f t="shared" si="3"/>
        <v>3.5370618134166145</v>
      </c>
      <c r="F109" s="158" t="e">
        <f t="shared" si="3"/>
        <v>#DIV/0!</v>
      </c>
      <c r="G109" s="158">
        <f t="shared" si="3"/>
        <v>37.239436170608457</v>
      </c>
      <c r="H109" s="158">
        <f t="shared" si="3"/>
        <v>24.259689932355599</v>
      </c>
      <c r="I109" s="158">
        <f t="shared" si="3"/>
        <v>2.2765552207766642</v>
      </c>
      <c r="J109" s="158">
        <f t="shared" si="3"/>
        <v>0.36326781962063459</v>
      </c>
      <c r="K109" s="158">
        <f t="shared" si="3"/>
        <v>90.228793490419932</v>
      </c>
      <c r="L109" s="158">
        <f t="shared" si="3"/>
        <v>4.6017248434785269</v>
      </c>
      <c r="M109" s="158">
        <f t="shared" si="3"/>
        <v>17.187379296864908</v>
      </c>
      <c r="N109" s="158">
        <f t="shared" si="3"/>
        <v>118.97882425755654</v>
      </c>
      <c r="O109" s="158">
        <f t="shared" si="3"/>
        <v>0</v>
      </c>
      <c r="P109" s="158">
        <f t="shared" si="3"/>
        <v>0.14323563581881524</v>
      </c>
      <c r="Q109" s="158">
        <f t="shared" si="3"/>
        <v>2.6654876779687885E-2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B9" sqref="B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431</v>
      </c>
      <c r="B9" s="100">
        <v>10.16</v>
      </c>
      <c r="C9" s="100">
        <v>25.67</v>
      </c>
      <c r="D9" s="100">
        <v>22.91</v>
      </c>
      <c r="E9" s="100">
        <v>11.28</v>
      </c>
      <c r="F9" s="152" t="s">
        <v>15</v>
      </c>
      <c r="G9" s="100">
        <v>89.53</v>
      </c>
      <c r="H9" s="100">
        <v>26.38</v>
      </c>
      <c r="I9" s="100">
        <v>11.52</v>
      </c>
      <c r="J9" s="100">
        <v>0.09</v>
      </c>
      <c r="K9" s="100">
        <v>94.97</v>
      </c>
      <c r="L9" s="100">
        <v>23.86</v>
      </c>
      <c r="M9" s="100">
        <v>54.71</v>
      </c>
      <c r="N9" s="100">
        <v>1.2</v>
      </c>
      <c r="O9" s="100">
        <v>0</v>
      </c>
      <c r="P9" s="100">
        <v>0.9</v>
      </c>
      <c r="Q9" s="100">
        <v>12.96</v>
      </c>
      <c r="R9" s="6"/>
      <c r="S9" s="6"/>
      <c r="T9" s="156"/>
      <c r="U9" s="6"/>
    </row>
    <row r="10" spans="1:21" customFormat="1">
      <c r="A10" s="163" t="s">
        <v>432</v>
      </c>
      <c r="B10" s="100">
        <v>10.42</v>
      </c>
      <c r="C10" s="100">
        <v>26.32</v>
      </c>
      <c r="D10" s="100">
        <v>23.46</v>
      </c>
      <c r="E10" s="100">
        <v>11.03</v>
      </c>
      <c r="F10" s="152" t="s">
        <v>15</v>
      </c>
      <c r="G10" s="100">
        <v>102.25</v>
      </c>
      <c r="H10" s="100">
        <v>35.299999999999997</v>
      </c>
      <c r="I10" s="100">
        <v>11.72</v>
      </c>
      <c r="J10" s="100">
        <v>0.08</v>
      </c>
      <c r="K10" s="100">
        <v>133.61000000000001</v>
      </c>
      <c r="L10" s="100">
        <v>22.84</v>
      </c>
      <c r="M10" s="100">
        <v>60.18</v>
      </c>
      <c r="N10" s="100">
        <v>1.8</v>
      </c>
      <c r="O10" s="100">
        <v>0</v>
      </c>
      <c r="P10" s="100">
        <v>0.91</v>
      </c>
      <c r="Q10" s="100">
        <v>12.98</v>
      </c>
      <c r="R10" s="6"/>
      <c r="S10" s="6"/>
      <c r="T10" s="156"/>
      <c r="U10" s="6"/>
    </row>
    <row r="11" spans="1:21" customFormat="1">
      <c r="A11" s="163" t="s">
        <v>433</v>
      </c>
      <c r="B11" s="100">
        <v>11.09</v>
      </c>
      <c r="C11" s="100">
        <v>27.03</v>
      </c>
      <c r="D11" s="100">
        <v>24.36</v>
      </c>
      <c r="E11" s="100">
        <v>10.84</v>
      </c>
      <c r="F11" s="152" t="s">
        <v>15</v>
      </c>
      <c r="G11" s="100">
        <v>106.88</v>
      </c>
      <c r="H11" s="100">
        <v>35.44</v>
      </c>
      <c r="I11" s="100">
        <v>11.85</v>
      </c>
      <c r="J11" s="100">
        <v>0.33</v>
      </c>
      <c r="K11" s="100">
        <v>83.5</v>
      </c>
      <c r="L11" s="100">
        <v>23.2</v>
      </c>
      <c r="M11" s="100">
        <v>56.69</v>
      </c>
      <c r="N11" s="100">
        <v>0.8</v>
      </c>
      <c r="O11" s="100">
        <v>0</v>
      </c>
      <c r="P11" s="100">
        <v>0.92</v>
      </c>
      <c r="Q11" s="100">
        <v>12.97</v>
      </c>
      <c r="R11" s="6"/>
      <c r="S11" s="6"/>
      <c r="T11" s="156"/>
      <c r="U11" s="6"/>
    </row>
    <row r="12" spans="1:21" customFormat="1">
      <c r="A12" s="163" t="s">
        <v>434</v>
      </c>
      <c r="B12" s="100">
        <v>12.16</v>
      </c>
      <c r="C12" s="100">
        <v>27.86</v>
      </c>
      <c r="D12" s="100">
        <v>25.66</v>
      </c>
      <c r="E12" s="100">
        <v>11.05</v>
      </c>
      <c r="F12" s="152" t="s">
        <v>15</v>
      </c>
      <c r="G12" s="100">
        <v>106.88</v>
      </c>
      <c r="H12" s="100">
        <v>35.44</v>
      </c>
      <c r="I12" s="100">
        <v>11.96</v>
      </c>
      <c r="J12" s="100">
        <v>0.28000000000000003</v>
      </c>
      <c r="K12" s="100">
        <v>184.61</v>
      </c>
      <c r="L12" s="100">
        <v>22.45</v>
      </c>
      <c r="M12" s="100">
        <v>63.58</v>
      </c>
      <c r="N12" s="100">
        <v>1.9</v>
      </c>
      <c r="O12" s="100">
        <v>0</v>
      </c>
      <c r="P12" s="100">
        <v>0.93</v>
      </c>
      <c r="Q12" s="100">
        <v>12.99</v>
      </c>
      <c r="R12" s="6"/>
      <c r="S12" s="6"/>
      <c r="T12" s="156"/>
      <c r="U12" s="6"/>
    </row>
    <row r="13" spans="1:21" customFormat="1">
      <c r="A13" s="163" t="s">
        <v>435</v>
      </c>
      <c r="B13" s="100">
        <v>12.48</v>
      </c>
      <c r="C13" s="100">
        <v>28.21</v>
      </c>
      <c r="D13" s="100">
        <v>26.1</v>
      </c>
      <c r="E13" s="100">
        <v>11.18</v>
      </c>
      <c r="F13" s="152" t="s">
        <v>15</v>
      </c>
      <c r="G13" s="100">
        <v>106.88</v>
      </c>
      <c r="H13" s="100">
        <v>35.44</v>
      </c>
      <c r="I13" s="100">
        <v>12.17</v>
      </c>
      <c r="J13" s="100">
        <v>0.21</v>
      </c>
      <c r="K13" s="100">
        <v>163.54</v>
      </c>
      <c r="L13" s="100">
        <v>21.67</v>
      </c>
      <c r="M13" s="100">
        <v>66.459999999999994</v>
      </c>
      <c r="N13" s="100">
        <v>1.5</v>
      </c>
      <c r="O13" s="100">
        <v>0</v>
      </c>
      <c r="P13" s="100">
        <v>0.94</v>
      </c>
      <c r="Q13" s="100">
        <v>12.99</v>
      </c>
      <c r="R13" s="6"/>
      <c r="S13" s="6"/>
      <c r="T13" s="156"/>
      <c r="U13" s="6"/>
    </row>
    <row r="14" spans="1:21" customFormat="1">
      <c r="A14" s="163" t="s">
        <v>436</v>
      </c>
      <c r="B14" s="100">
        <v>12.38</v>
      </c>
      <c r="C14" s="100">
        <v>28.19</v>
      </c>
      <c r="D14" s="100">
        <v>26.01</v>
      </c>
      <c r="E14" s="100">
        <v>11.18</v>
      </c>
      <c r="F14" s="152" t="s">
        <v>15</v>
      </c>
      <c r="G14" s="100">
        <v>113.17</v>
      </c>
      <c r="H14" s="100">
        <v>35.28</v>
      </c>
      <c r="I14" s="100">
        <v>12.37</v>
      </c>
      <c r="J14" s="100">
        <v>0.15</v>
      </c>
      <c r="K14" s="100">
        <v>226.79</v>
      </c>
      <c r="L14" s="100">
        <v>21.29</v>
      </c>
      <c r="M14" s="100">
        <v>68.55</v>
      </c>
      <c r="N14" s="100">
        <v>1.4</v>
      </c>
      <c r="O14" s="100">
        <v>0</v>
      </c>
      <c r="P14" s="100">
        <v>0.95</v>
      </c>
      <c r="Q14" s="100">
        <v>12.99</v>
      </c>
      <c r="R14" s="6"/>
      <c r="S14" s="6"/>
      <c r="T14" s="156"/>
      <c r="U14" s="6"/>
    </row>
    <row r="15" spans="1:21" customFormat="1">
      <c r="A15" s="163" t="s">
        <v>437</v>
      </c>
      <c r="B15" s="100">
        <v>12.67</v>
      </c>
      <c r="C15" s="100">
        <v>28.13</v>
      </c>
      <c r="D15" s="100">
        <v>26.21</v>
      </c>
      <c r="E15" s="100">
        <v>10.84</v>
      </c>
      <c r="F15" s="152" t="s">
        <v>15</v>
      </c>
      <c r="G15" s="100">
        <v>115.46</v>
      </c>
      <c r="H15" s="100">
        <v>35.28</v>
      </c>
      <c r="I15" s="100">
        <v>12.47</v>
      </c>
      <c r="J15" s="100">
        <v>7.0000000000000007E-2</v>
      </c>
      <c r="K15" s="100">
        <v>142.25</v>
      </c>
      <c r="L15" s="100">
        <v>21.34</v>
      </c>
      <c r="M15" s="100">
        <v>66.62</v>
      </c>
      <c r="N15" s="100">
        <v>1.1000000000000001</v>
      </c>
      <c r="O15" s="100">
        <v>0</v>
      </c>
      <c r="P15" s="100">
        <v>0.96</v>
      </c>
      <c r="Q15" s="100">
        <v>12.99</v>
      </c>
      <c r="R15" s="6"/>
      <c r="S15" s="6"/>
      <c r="T15" s="156"/>
      <c r="U15" s="6"/>
    </row>
    <row r="16" spans="1:21" customFormat="1">
      <c r="A16" s="163" t="s">
        <v>438</v>
      </c>
      <c r="B16" s="100">
        <v>13.21</v>
      </c>
      <c r="C16" s="100">
        <v>28.24</v>
      </c>
      <c r="D16" s="100">
        <v>26.7</v>
      </c>
      <c r="E16" s="100">
        <v>10.75</v>
      </c>
      <c r="F16" s="152" t="s">
        <v>15</v>
      </c>
      <c r="G16" s="100">
        <v>115.46</v>
      </c>
      <c r="H16" s="100">
        <v>35.28</v>
      </c>
      <c r="I16" s="100">
        <v>12.56</v>
      </c>
      <c r="J16" s="100">
        <v>0.26</v>
      </c>
      <c r="K16" s="100">
        <v>198.74</v>
      </c>
      <c r="L16" s="100">
        <v>21.43</v>
      </c>
      <c r="M16" s="100">
        <v>67.83</v>
      </c>
      <c r="N16" s="100">
        <v>1.1000000000000001</v>
      </c>
      <c r="O16" s="100">
        <v>0</v>
      </c>
      <c r="P16" s="100">
        <v>0.97</v>
      </c>
      <c r="Q16" s="100">
        <v>13</v>
      </c>
      <c r="R16" s="6"/>
      <c r="S16" s="6"/>
      <c r="T16" s="156"/>
      <c r="U16" s="6"/>
    </row>
    <row r="17" spans="1:21" customFormat="1">
      <c r="A17" s="163" t="s">
        <v>439</v>
      </c>
      <c r="B17" s="100">
        <v>13.44</v>
      </c>
      <c r="C17" s="100">
        <v>28.33</v>
      </c>
      <c r="D17" s="100">
        <v>26.93</v>
      </c>
      <c r="E17" s="100">
        <v>9.1</v>
      </c>
      <c r="F17" s="152" t="s">
        <v>15</v>
      </c>
      <c r="G17" s="100">
        <v>115.46</v>
      </c>
      <c r="H17" s="100">
        <v>35.28</v>
      </c>
      <c r="I17" s="100">
        <v>12.65</v>
      </c>
      <c r="J17" s="100">
        <v>0.08</v>
      </c>
      <c r="K17" s="100">
        <v>218.1</v>
      </c>
      <c r="L17" s="100">
        <v>21.06</v>
      </c>
      <c r="M17" s="100">
        <v>68.53</v>
      </c>
      <c r="N17" s="100">
        <v>1.3</v>
      </c>
      <c r="O17" s="100">
        <v>0</v>
      </c>
      <c r="P17" s="100">
        <v>0.98</v>
      </c>
      <c r="Q17" s="100">
        <v>13</v>
      </c>
      <c r="R17" s="6"/>
      <c r="S17" s="6"/>
      <c r="T17" s="156"/>
      <c r="U17" s="6"/>
    </row>
    <row r="18" spans="1:21" customFormat="1">
      <c r="A18" s="163" t="s">
        <v>440</v>
      </c>
      <c r="B18" s="100">
        <v>13.89</v>
      </c>
      <c r="C18" s="100">
        <v>28.62</v>
      </c>
      <c r="D18" s="100">
        <v>27.44</v>
      </c>
      <c r="E18" s="100">
        <v>10.65</v>
      </c>
      <c r="F18" s="152" t="s">
        <v>15</v>
      </c>
      <c r="G18" s="100">
        <v>108.31</v>
      </c>
      <c r="H18" s="100">
        <v>35.42</v>
      </c>
      <c r="I18" s="100">
        <v>12.74</v>
      </c>
      <c r="J18" s="100">
        <v>0.21</v>
      </c>
      <c r="K18" s="100">
        <v>103.22</v>
      </c>
      <c r="L18" s="100">
        <v>21.52</v>
      </c>
      <c r="M18" s="100">
        <v>66.16</v>
      </c>
      <c r="N18" s="100">
        <v>0.8</v>
      </c>
      <c r="O18" s="100">
        <v>0</v>
      </c>
      <c r="P18" s="100">
        <v>0.99</v>
      </c>
      <c r="Q18" s="100">
        <v>13</v>
      </c>
      <c r="R18" s="6"/>
      <c r="S18" s="6"/>
      <c r="T18" s="156"/>
      <c r="U18" s="6"/>
    </row>
    <row r="19" spans="1:21" customFormat="1">
      <c r="A19" s="163" t="s">
        <v>441</v>
      </c>
      <c r="B19" s="100">
        <v>14.82</v>
      </c>
      <c r="C19" s="100">
        <v>28.84</v>
      </c>
      <c r="D19" s="100">
        <v>28.3</v>
      </c>
      <c r="E19" s="100">
        <v>11.03</v>
      </c>
      <c r="F19" s="152" t="s">
        <v>15</v>
      </c>
      <c r="G19" s="100">
        <v>105.72</v>
      </c>
      <c r="H19" s="100">
        <v>35.42</v>
      </c>
      <c r="I19" s="100">
        <v>12.81</v>
      </c>
      <c r="J19" s="100">
        <v>0.01</v>
      </c>
      <c r="K19" s="100">
        <v>349.69</v>
      </c>
      <c r="L19" s="100">
        <v>21.15</v>
      </c>
      <c r="M19" s="100">
        <v>70.05</v>
      </c>
      <c r="N19" s="100">
        <v>1.4</v>
      </c>
      <c r="O19" s="100">
        <v>0</v>
      </c>
      <c r="P19" s="100">
        <v>1</v>
      </c>
      <c r="Q19" s="100">
        <v>13</v>
      </c>
      <c r="R19" s="6"/>
      <c r="S19" s="6"/>
      <c r="T19" s="156"/>
      <c r="U19" s="6"/>
    </row>
    <row r="20" spans="1:21" customFormat="1">
      <c r="A20" s="163" t="s">
        <v>442</v>
      </c>
      <c r="B20" s="100">
        <v>15.34</v>
      </c>
      <c r="C20" s="100">
        <v>29.46</v>
      </c>
      <c r="D20" s="100">
        <v>29.05</v>
      </c>
      <c r="E20" s="100">
        <v>11.34</v>
      </c>
      <c r="F20" s="152" t="s">
        <v>15</v>
      </c>
      <c r="G20" s="100">
        <v>105.72</v>
      </c>
      <c r="H20" s="100">
        <v>35.42</v>
      </c>
      <c r="I20" s="100">
        <v>12.88</v>
      </c>
      <c r="J20" s="100">
        <v>0.49</v>
      </c>
      <c r="K20" s="100">
        <v>63.8</v>
      </c>
      <c r="L20" s="100">
        <v>21.83</v>
      </c>
      <c r="M20" s="100">
        <v>65.39</v>
      </c>
      <c r="N20" s="100">
        <v>0.4</v>
      </c>
      <c r="O20" s="100">
        <v>0</v>
      </c>
      <c r="P20" s="100">
        <v>1.04</v>
      </c>
      <c r="Q20" s="100">
        <v>12.99</v>
      </c>
      <c r="R20" s="6"/>
      <c r="S20" s="6"/>
      <c r="T20" s="156"/>
      <c r="U20" s="6"/>
    </row>
    <row r="21" spans="1:21" customFormat="1">
      <c r="A21" s="163" t="s">
        <v>443</v>
      </c>
      <c r="B21" s="100">
        <v>15.36</v>
      </c>
      <c r="C21" s="100">
        <v>29.15</v>
      </c>
      <c r="D21" s="100">
        <v>28.9</v>
      </c>
      <c r="E21" s="100">
        <v>11.29</v>
      </c>
      <c r="F21" s="152" t="s">
        <v>15</v>
      </c>
      <c r="G21" s="100">
        <v>105.72</v>
      </c>
      <c r="H21" s="100">
        <v>35.42</v>
      </c>
      <c r="I21" s="100">
        <v>12.93</v>
      </c>
      <c r="J21" s="100">
        <v>0.62</v>
      </c>
      <c r="K21" s="100">
        <v>46.6</v>
      </c>
      <c r="L21" s="100">
        <v>22.25</v>
      </c>
      <c r="M21" s="100">
        <v>65.25</v>
      </c>
      <c r="N21" s="100">
        <v>0.7</v>
      </c>
      <c r="O21" s="100">
        <v>0</v>
      </c>
      <c r="P21" s="100">
        <v>1.06</v>
      </c>
      <c r="Q21" s="100">
        <v>13</v>
      </c>
      <c r="R21" s="6"/>
      <c r="S21" s="6"/>
      <c r="T21" s="156"/>
      <c r="U21" s="6"/>
    </row>
    <row r="22" spans="1:21" customFormat="1">
      <c r="A22" s="163" t="s">
        <v>444</v>
      </c>
      <c r="B22" s="100">
        <v>15.26</v>
      </c>
      <c r="C22" s="100">
        <v>28.88</v>
      </c>
      <c r="D22" s="100">
        <v>28.67</v>
      </c>
      <c r="E22" s="100">
        <v>11.28</v>
      </c>
      <c r="F22" s="152" t="s">
        <v>15</v>
      </c>
      <c r="G22" s="100">
        <v>101.14</v>
      </c>
      <c r="H22" s="100">
        <v>25.94</v>
      </c>
      <c r="I22" s="100">
        <v>12.92</v>
      </c>
      <c r="J22" s="100">
        <v>0.28999999999999998</v>
      </c>
      <c r="K22" s="100">
        <v>70.95</v>
      </c>
      <c r="L22" s="100">
        <v>22.11</v>
      </c>
      <c r="M22" s="100">
        <v>66.260000000000005</v>
      </c>
      <c r="N22" s="100">
        <v>1.4</v>
      </c>
      <c r="O22" s="100">
        <v>0</v>
      </c>
      <c r="P22" s="100">
        <v>1.05</v>
      </c>
      <c r="Q22" s="100">
        <v>12.99</v>
      </c>
      <c r="R22" s="6"/>
      <c r="S22" s="6"/>
      <c r="T22" s="156"/>
      <c r="U22" s="6"/>
    </row>
    <row r="23" spans="1:21" customFormat="1">
      <c r="A23" s="163" t="s">
        <v>445</v>
      </c>
      <c r="B23" s="100">
        <v>14.78</v>
      </c>
      <c r="C23" s="100">
        <v>28.48</v>
      </c>
      <c r="D23" s="100">
        <v>28.08</v>
      </c>
      <c r="E23" s="100">
        <v>10.95</v>
      </c>
      <c r="F23" s="152" t="s">
        <v>15</v>
      </c>
      <c r="G23" s="100">
        <v>99.47</v>
      </c>
      <c r="H23" s="100">
        <v>25.7</v>
      </c>
      <c r="I23" s="100">
        <v>12.86</v>
      </c>
      <c r="J23" s="100">
        <v>0.19</v>
      </c>
      <c r="K23" s="100">
        <v>224.59</v>
      </c>
      <c r="L23" s="100">
        <v>21.63</v>
      </c>
      <c r="M23" s="100">
        <v>69.75</v>
      </c>
      <c r="N23" s="100">
        <v>1.7</v>
      </c>
      <c r="O23" s="100">
        <v>0</v>
      </c>
      <c r="P23" s="100">
        <v>1.04</v>
      </c>
      <c r="Q23" s="100">
        <v>12.97</v>
      </c>
      <c r="R23" s="6"/>
      <c r="S23" s="6"/>
      <c r="T23" s="156"/>
      <c r="U23" s="6"/>
    </row>
    <row r="24" spans="1:21" customFormat="1">
      <c r="A24" s="163" t="s">
        <v>446</v>
      </c>
      <c r="B24" s="100">
        <v>14.42</v>
      </c>
      <c r="C24" s="100">
        <v>27.99</v>
      </c>
      <c r="D24" s="100">
        <v>27.54</v>
      </c>
      <c r="E24" s="100">
        <v>10.98</v>
      </c>
      <c r="F24" s="152" t="s">
        <v>15</v>
      </c>
      <c r="G24" s="100">
        <v>99.47</v>
      </c>
      <c r="H24" s="100">
        <v>25.7</v>
      </c>
      <c r="I24" s="100">
        <v>12.75</v>
      </c>
      <c r="J24" s="100">
        <v>0.05</v>
      </c>
      <c r="K24" s="100">
        <v>117.92</v>
      </c>
      <c r="L24" s="100">
        <v>21.23</v>
      </c>
      <c r="M24" s="100">
        <v>71.91</v>
      </c>
      <c r="N24" s="100">
        <v>1.6</v>
      </c>
      <c r="O24" s="100">
        <v>0</v>
      </c>
      <c r="P24" s="100">
        <v>1.03</v>
      </c>
      <c r="Q24" s="100">
        <v>12.99</v>
      </c>
      <c r="R24" s="6"/>
      <c r="S24" s="6"/>
      <c r="T24" s="156"/>
      <c r="U24" s="6"/>
    </row>
    <row r="25" spans="1:21" customFormat="1">
      <c r="A25" s="163" t="s">
        <v>447</v>
      </c>
      <c r="B25" s="100">
        <v>14.28</v>
      </c>
      <c r="C25" s="100">
        <v>27.76</v>
      </c>
      <c r="D25" s="100">
        <v>27.31</v>
      </c>
      <c r="E25" s="100">
        <v>10.62</v>
      </c>
      <c r="F25" s="152" t="s">
        <v>15</v>
      </c>
      <c r="G25" s="100">
        <v>99.47</v>
      </c>
      <c r="H25" s="100">
        <v>25.7</v>
      </c>
      <c r="I25" s="100">
        <v>12.62</v>
      </c>
      <c r="J25" s="100">
        <v>0.17</v>
      </c>
      <c r="K25" s="100">
        <v>49.78</v>
      </c>
      <c r="L25" s="100">
        <v>21.06</v>
      </c>
      <c r="M25" s="100">
        <v>72.58</v>
      </c>
      <c r="N25" s="100">
        <v>1.3</v>
      </c>
      <c r="O25" s="100">
        <v>0</v>
      </c>
      <c r="P25" s="100">
        <v>1.02</v>
      </c>
      <c r="Q25" s="100">
        <v>12.99</v>
      </c>
      <c r="R25" s="6"/>
      <c r="S25" s="6"/>
      <c r="T25" s="156"/>
      <c r="U25" s="6"/>
    </row>
    <row r="26" spans="1:21" customFormat="1">
      <c r="A26" s="163" t="s">
        <v>448</v>
      </c>
      <c r="B26" s="100">
        <v>14.48</v>
      </c>
      <c r="C26" s="100">
        <v>27.79</v>
      </c>
      <c r="D26" s="100">
        <v>27.48</v>
      </c>
      <c r="E26" s="100">
        <v>10.91</v>
      </c>
      <c r="F26" s="152" t="s">
        <v>15</v>
      </c>
      <c r="G26" s="100">
        <v>86.3</v>
      </c>
      <c r="H26" s="100">
        <v>22.16</v>
      </c>
      <c r="I26" s="100">
        <v>12.49</v>
      </c>
      <c r="J26" s="100">
        <v>0.16</v>
      </c>
      <c r="K26" s="100">
        <v>115.31</v>
      </c>
      <c r="L26" s="100">
        <v>21.38</v>
      </c>
      <c r="M26" s="100">
        <v>70.599999999999994</v>
      </c>
      <c r="N26" s="100">
        <v>1.2</v>
      </c>
      <c r="O26" s="100">
        <v>0</v>
      </c>
      <c r="P26" s="100">
        <v>1.01</v>
      </c>
      <c r="Q26" s="100">
        <v>12.99</v>
      </c>
      <c r="R26" s="6"/>
      <c r="S26" s="6"/>
      <c r="T26" s="156"/>
      <c r="U26" s="6"/>
    </row>
    <row r="27" spans="1:21" customFormat="1">
      <c r="A27" s="163" t="s">
        <v>449</v>
      </c>
      <c r="B27" s="100">
        <v>14.51</v>
      </c>
      <c r="C27" s="100">
        <v>27.83</v>
      </c>
      <c r="D27" s="100">
        <v>27.53</v>
      </c>
      <c r="E27" s="100">
        <v>10.54</v>
      </c>
      <c r="F27" s="152" t="s">
        <v>15</v>
      </c>
      <c r="G27" s="100">
        <v>81.510000000000005</v>
      </c>
      <c r="H27" s="100">
        <v>22.1</v>
      </c>
      <c r="I27" s="100">
        <v>12.35</v>
      </c>
      <c r="J27" s="100">
        <v>0.12</v>
      </c>
      <c r="K27" s="100">
        <v>205.99</v>
      </c>
      <c r="L27" s="100">
        <v>20.87</v>
      </c>
      <c r="M27" s="100">
        <v>75.42</v>
      </c>
      <c r="N27" s="100">
        <v>1.6</v>
      </c>
      <c r="O27" s="100">
        <v>0</v>
      </c>
      <c r="P27" s="100">
        <v>1</v>
      </c>
      <c r="Q27" s="100">
        <v>12.99</v>
      </c>
      <c r="R27" s="6"/>
      <c r="S27" s="6"/>
      <c r="T27" s="156"/>
      <c r="U27" s="6"/>
    </row>
    <row r="28" spans="1:21" customFormat="1">
      <c r="A28" s="163" t="s">
        <v>450</v>
      </c>
      <c r="B28" s="100">
        <v>14.61</v>
      </c>
      <c r="C28" s="100">
        <v>27.38</v>
      </c>
      <c r="D28" s="100">
        <v>27.38</v>
      </c>
      <c r="E28" s="100">
        <v>10.49</v>
      </c>
      <c r="F28" s="152" t="s">
        <v>15</v>
      </c>
      <c r="G28" s="100">
        <v>81.510000000000005</v>
      </c>
      <c r="H28" s="100">
        <v>22.1</v>
      </c>
      <c r="I28" s="100">
        <v>12.22</v>
      </c>
      <c r="J28" s="100">
        <v>0.15</v>
      </c>
      <c r="K28" s="100">
        <v>4.08</v>
      </c>
      <c r="L28" s="100">
        <v>21.03</v>
      </c>
      <c r="M28" s="100">
        <v>72.72</v>
      </c>
      <c r="N28" s="100">
        <v>0.8</v>
      </c>
      <c r="O28" s="100">
        <v>0</v>
      </c>
      <c r="P28" s="100">
        <v>1</v>
      </c>
      <c r="Q28" s="100">
        <v>12.98</v>
      </c>
      <c r="R28" s="6"/>
      <c r="S28" s="6"/>
      <c r="T28" s="156"/>
      <c r="U28" s="6"/>
    </row>
    <row r="29" spans="1:21" customFormat="1">
      <c r="A29" s="163" t="s">
        <v>451</v>
      </c>
      <c r="B29" s="100">
        <v>14.83</v>
      </c>
      <c r="C29" s="100">
        <v>27.16</v>
      </c>
      <c r="D29" s="100">
        <v>27.44</v>
      </c>
      <c r="E29" s="100">
        <v>10.25</v>
      </c>
      <c r="F29" s="152" t="s">
        <v>15</v>
      </c>
      <c r="G29" s="100">
        <v>81.510000000000005</v>
      </c>
      <c r="H29" s="100">
        <v>22.1</v>
      </c>
      <c r="I29" s="100">
        <v>12.08</v>
      </c>
      <c r="J29" s="100">
        <v>0.14000000000000001</v>
      </c>
      <c r="K29" s="100">
        <v>72.16</v>
      </c>
      <c r="L29" s="100">
        <v>21.13</v>
      </c>
      <c r="M29" s="100">
        <v>71.900000000000006</v>
      </c>
      <c r="N29" s="100">
        <v>1.1000000000000001</v>
      </c>
      <c r="O29" s="100">
        <v>0</v>
      </c>
      <c r="P29" s="100">
        <v>0.99</v>
      </c>
      <c r="Q29" s="100">
        <v>12.99</v>
      </c>
      <c r="R29" s="6"/>
      <c r="S29" s="6"/>
      <c r="T29" s="156"/>
      <c r="U29" s="6"/>
    </row>
    <row r="30" spans="1:21" customFormat="1">
      <c r="A30" s="163" t="s">
        <v>452</v>
      </c>
      <c r="B30" s="100">
        <v>14.99</v>
      </c>
      <c r="C30" s="100">
        <v>27.23</v>
      </c>
      <c r="D30" s="100">
        <v>27.59</v>
      </c>
      <c r="E30" s="100">
        <v>10.64</v>
      </c>
      <c r="F30" s="152" t="s">
        <v>15</v>
      </c>
      <c r="G30" s="100">
        <v>87.59</v>
      </c>
      <c r="H30" s="100">
        <v>34.07</v>
      </c>
      <c r="I30" s="100">
        <v>11.98</v>
      </c>
      <c r="J30" s="100">
        <v>0.25</v>
      </c>
      <c r="K30" s="100">
        <v>29.31</v>
      </c>
      <c r="L30" s="100">
        <v>20.97</v>
      </c>
      <c r="M30" s="100">
        <v>73.180000000000007</v>
      </c>
      <c r="N30" s="100">
        <v>1.2</v>
      </c>
      <c r="O30" s="100">
        <v>0</v>
      </c>
      <c r="P30" s="100">
        <v>0.98</v>
      </c>
      <c r="Q30" s="100">
        <v>12.99</v>
      </c>
      <c r="R30" s="6"/>
      <c r="S30" s="6"/>
      <c r="T30" s="156"/>
      <c r="U30" s="6"/>
    </row>
    <row r="31" spans="1:21" customFormat="1">
      <c r="A31" s="163" t="s">
        <v>453</v>
      </c>
      <c r="B31" s="100">
        <v>15.14</v>
      </c>
      <c r="C31" s="100">
        <v>27.16</v>
      </c>
      <c r="D31" s="100">
        <v>27.68</v>
      </c>
      <c r="E31" s="100">
        <v>10.17</v>
      </c>
      <c r="F31" s="152" t="s">
        <v>15</v>
      </c>
      <c r="G31" s="100">
        <v>89.8</v>
      </c>
      <c r="H31" s="100">
        <v>34.25</v>
      </c>
      <c r="I31" s="100">
        <v>11.92</v>
      </c>
      <c r="J31" s="100">
        <v>0.2</v>
      </c>
      <c r="K31" s="100">
        <v>43.94</v>
      </c>
      <c r="L31" s="100">
        <v>21.02</v>
      </c>
      <c r="M31" s="100">
        <v>73.38</v>
      </c>
      <c r="N31" s="100">
        <v>1.2</v>
      </c>
      <c r="O31" s="100">
        <v>0</v>
      </c>
      <c r="P31" s="100">
        <v>0.98</v>
      </c>
      <c r="Q31" s="100">
        <v>12.98</v>
      </c>
      <c r="R31" s="6"/>
      <c r="S31" s="6"/>
      <c r="T31" s="156"/>
      <c r="U31" s="6"/>
    </row>
    <row r="32" spans="1:21" customFormat="1">
      <c r="A32" s="163" t="s">
        <v>454</v>
      </c>
      <c r="B32" s="100">
        <v>15.23</v>
      </c>
      <c r="C32" s="100">
        <v>26.75</v>
      </c>
      <c r="D32" s="100">
        <v>27.54</v>
      </c>
      <c r="E32" s="100">
        <v>10.37</v>
      </c>
      <c r="F32" s="152" t="s">
        <v>15</v>
      </c>
      <c r="G32" s="100">
        <v>89.8</v>
      </c>
      <c r="H32" s="100">
        <v>34.25</v>
      </c>
      <c r="I32" s="100">
        <v>11.84</v>
      </c>
      <c r="J32" s="100">
        <v>0.33</v>
      </c>
      <c r="K32" s="100">
        <v>39</v>
      </c>
      <c r="L32" s="100">
        <v>20.72</v>
      </c>
      <c r="M32" s="100">
        <v>75.33</v>
      </c>
      <c r="N32" s="100">
        <v>1.4</v>
      </c>
      <c r="O32" s="100">
        <v>0</v>
      </c>
      <c r="P32" s="100">
        <v>0.98</v>
      </c>
      <c r="Q32" s="100">
        <v>12.98</v>
      </c>
      <c r="R32" s="6"/>
      <c r="S32" s="6"/>
      <c r="T32" s="156"/>
      <c r="U32" s="6"/>
    </row>
    <row r="33" spans="1:21" customFormat="1">
      <c r="A33" s="163" t="s">
        <v>455</v>
      </c>
      <c r="B33" s="100">
        <v>15.31</v>
      </c>
      <c r="C33" s="100">
        <v>26.61</v>
      </c>
      <c r="D33" s="100">
        <v>27.53</v>
      </c>
      <c r="E33" s="100">
        <v>10.02</v>
      </c>
      <c r="F33" s="152" t="s">
        <v>15</v>
      </c>
      <c r="G33" s="100">
        <v>89.8</v>
      </c>
      <c r="H33" s="100">
        <v>34.25</v>
      </c>
      <c r="I33" s="100">
        <v>11.78</v>
      </c>
      <c r="J33" s="100">
        <v>0.09</v>
      </c>
      <c r="K33" s="100">
        <v>17.04</v>
      </c>
      <c r="L33" s="100">
        <v>20.75</v>
      </c>
      <c r="M33" s="100">
        <v>75.7</v>
      </c>
      <c r="N33" s="100">
        <v>1.3</v>
      </c>
      <c r="O33" s="100">
        <v>0</v>
      </c>
      <c r="P33" s="100">
        <v>0.99</v>
      </c>
      <c r="Q33" s="100">
        <v>12.96</v>
      </c>
      <c r="R33" s="6"/>
      <c r="S33" s="6"/>
      <c r="T33" s="156"/>
      <c r="U33" s="6"/>
    </row>
    <row r="34" spans="1:21" customFormat="1">
      <c r="A34" s="163" t="s">
        <v>456</v>
      </c>
      <c r="B34" s="100">
        <v>15.35</v>
      </c>
      <c r="C34" s="100">
        <v>26.6</v>
      </c>
      <c r="D34" s="100">
        <v>27.56</v>
      </c>
      <c r="E34" s="100">
        <v>10.35</v>
      </c>
      <c r="F34" s="152" t="s">
        <v>15</v>
      </c>
      <c r="G34" s="100">
        <v>96.18</v>
      </c>
      <c r="H34" s="100">
        <v>32.520000000000003</v>
      </c>
      <c r="I34" s="100">
        <v>11.77</v>
      </c>
      <c r="J34" s="100">
        <v>0.51</v>
      </c>
      <c r="K34" s="100">
        <v>29.6</v>
      </c>
      <c r="L34" s="100">
        <v>20.72</v>
      </c>
      <c r="M34" s="100">
        <v>76.77</v>
      </c>
      <c r="N34" s="100">
        <v>2.2000000000000002</v>
      </c>
      <c r="O34" s="100">
        <v>0</v>
      </c>
      <c r="P34" s="100">
        <v>1</v>
      </c>
      <c r="Q34" s="100">
        <v>12.98</v>
      </c>
      <c r="R34" s="6"/>
      <c r="S34" s="6"/>
      <c r="T34" s="156"/>
      <c r="U34" s="6"/>
    </row>
    <row r="35" spans="1:21" customFormat="1">
      <c r="A35" s="163" t="s">
        <v>457</v>
      </c>
      <c r="B35" s="100">
        <v>15.64</v>
      </c>
      <c r="C35" s="100">
        <v>26.44</v>
      </c>
      <c r="D35" s="100">
        <v>27.7</v>
      </c>
      <c r="E35" s="100">
        <v>10.96</v>
      </c>
      <c r="F35" s="152" t="s">
        <v>15</v>
      </c>
      <c r="G35" s="100">
        <v>98.5</v>
      </c>
      <c r="H35" s="100">
        <v>32.49</v>
      </c>
      <c r="I35" s="100">
        <v>11.78</v>
      </c>
      <c r="J35" s="100">
        <v>0.38</v>
      </c>
      <c r="K35" s="100">
        <v>41.39</v>
      </c>
      <c r="L35" s="100">
        <v>20.72</v>
      </c>
      <c r="M35" s="100">
        <v>77.400000000000006</v>
      </c>
      <c r="N35" s="100">
        <v>5.9</v>
      </c>
      <c r="O35" s="100">
        <v>0</v>
      </c>
      <c r="P35" s="100">
        <v>1</v>
      </c>
      <c r="Q35" s="100">
        <v>12.97</v>
      </c>
      <c r="R35" s="6"/>
      <c r="S35" s="6"/>
      <c r="T35" s="156"/>
      <c r="U35" s="6"/>
    </row>
    <row r="36" spans="1:21" customFormat="1">
      <c r="A36" s="163" t="s">
        <v>458</v>
      </c>
      <c r="B36" s="100">
        <v>16.07</v>
      </c>
      <c r="C36" s="100">
        <v>26.45</v>
      </c>
      <c r="D36" s="100">
        <v>28.06</v>
      </c>
      <c r="E36" s="100">
        <v>10.56</v>
      </c>
      <c r="F36" s="152" t="s">
        <v>15</v>
      </c>
      <c r="G36" s="100">
        <v>98.5</v>
      </c>
      <c r="H36" s="100">
        <v>32.49</v>
      </c>
      <c r="I36" s="100">
        <v>11.78</v>
      </c>
      <c r="J36" s="100">
        <v>0.56000000000000005</v>
      </c>
      <c r="K36" s="100">
        <v>44.5</v>
      </c>
      <c r="L36" s="100">
        <v>20.79</v>
      </c>
      <c r="M36" s="100">
        <v>77.36</v>
      </c>
      <c r="N36" s="100">
        <v>12</v>
      </c>
      <c r="O36" s="100">
        <v>0</v>
      </c>
      <c r="P36" s="100">
        <v>1.02</v>
      </c>
      <c r="Q36" s="100">
        <v>12.99</v>
      </c>
      <c r="R36" s="6"/>
      <c r="S36" s="6"/>
      <c r="T36" s="156"/>
      <c r="U36" s="6"/>
    </row>
    <row r="37" spans="1:21" customFormat="1">
      <c r="A37" s="163" t="s">
        <v>459</v>
      </c>
      <c r="B37" s="100">
        <v>16.489999999999998</v>
      </c>
      <c r="C37" s="100">
        <v>26.36</v>
      </c>
      <c r="D37" s="100">
        <v>28.35</v>
      </c>
      <c r="E37" s="100">
        <v>10.5</v>
      </c>
      <c r="F37" s="152" t="s">
        <v>15</v>
      </c>
      <c r="G37" s="100">
        <v>98.5</v>
      </c>
      <c r="H37" s="100">
        <v>32.49</v>
      </c>
      <c r="I37" s="100">
        <v>11.81</v>
      </c>
      <c r="J37" s="100">
        <v>0.57999999999999996</v>
      </c>
      <c r="K37" s="100">
        <v>50.06</v>
      </c>
      <c r="L37" s="100">
        <v>20.91</v>
      </c>
      <c r="M37" s="100">
        <v>76.87</v>
      </c>
      <c r="N37" s="100">
        <v>19.8</v>
      </c>
      <c r="O37" s="100">
        <v>0</v>
      </c>
      <c r="P37" s="100">
        <v>1.02</v>
      </c>
      <c r="Q37" s="100">
        <v>12.99</v>
      </c>
      <c r="R37" s="6"/>
      <c r="S37" s="6"/>
      <c r="T37" s="156"/>
      <c r="U37" s="6"/>
    </row>
    <row r="38" spans="1:21" customFormat="1">
      <c r="A38" s="163" t="s">
        <v>460</v>
      </c>
      <c r="B38" s="100">
        <v>16.670000000000002</v>
      </c>
      <c r="C38" s="100">
        <v>26.29</v>
      </c>
      <c r="D38" s="100">
        <v>28.46</v>
      </c>
      <c r="E38" s="100">
        <v>10.77</v>
      </c>
      <c r="F38" s="152" t="s">
        <v>15</v>
      </c>
      <c r="G38" s="100">
        <v>102.96</v>
      </c>
      <c r="H38" s="100">
        <v>32.79</v>
      </c>
      <c r="I38" s="100">
        <v>11.85</v>
      </c>
      <c r="J38" s="100">
        <v>0.96</v>
      </c>
      <c r="K38" s="100">
        <v>55.24</v>
      </c>
      <c r="L38" s="100">
        <v>21.18</v>
      </c>
      <c r="M38" s="100">
        <v>75.08</v>
      </c>
      <c r="N38" s="100">
        <v>28.6</v>
      </c>
      <c r="O38" s="100">
        <v>0</v>
      </c>
      <c r="P38" s="100">
        <v>1.02</v>
      </c>
      <c r="Q38" s="100">
        <v>12.99</v>
      </c>
      <c r="R38" s="6"/>
      <c r="S38" s="6"/>
      <c r="T38" s="156"/>
      <c r="U38" s="6"/>
    </row>
    <row r="39" spans="1:21" customFormat="1">
      <c r="A39" s="163" t="s">
        <v>461</v>
      </c>
      <c r="B39" s="100">
        <v>16.82</v>
      </c>
      <c r="C39" s="100">
        <v>25.37</v>
      </c>
      <c r="D39" s="100">
        <v>28.09</v>
      </c>
      <c r="E39" s="100">
        <v>10.73</v>
      </c>
      <c r="F39" s="152" t="s">
        <v>15</v>
      </c>
      <c r="G39" s="100">
        <v>104.59</v>
      </c>
      <c r="H39" s="100">
        <v>32.799999999999997</v>
      </c>
      <c r="I39" s="100">
        <v>11.88</v>
      </c>
      <c r="J39" s="100">
        <v>1.1000000000000001</v>
      </c>
      <c r="K39" s="100">
        <v>50.51</v>
      </c>
      <c r="L39" s="100">
        <v>21.56</v>
      </c>
      <c r="M39" s="100">
        <v>73.59</v>
      </c>
      <c r="N39" s="100">
        <v>37.1</v>
      </c>
      <c r="O39" s="100">
        <v>0</v>
      </c>
      <c r="P39" s="100">
        <v>0.97</v>
      </c>
      <c r="Q39" s="100">
        <v>12.98</v>
      </c>
      <c r="R39" s="6"/>
      <c r="S39" s="6"/>
      <c r="T39" s="156"/>
      <c r="U39" s="6"/>
    </row>
    <row r="40" spans="1:21" customFormat="1">
      <c r="A40" s="163" t="s">
        <v>462</v>
      </c>
      <c r="B40" s="100">
        <v>16.61</v>
      </c>
      <c r="C40" s="100">
        <v>25.44</v>
      </c>
      <c r="D40" s="100">
        <v>27.97</v>
      </c>
      <c r="E40" s="100">
        <v>10.7</v>
      </c>
      <c r="F40" s="152" t="s">
        <v>15</v>
      </c>
      <c r="G40" s="100">
        <v>104.59</v>
      </c>
      <c r="H40" s="100">
        <v>32.799999999999997</v>
      </c>
      <c r="I40" s="100">
        <v>11.89</v>
      </c>
      <c r="J40" s="100">
        <v>1.19</v>
      </c>
      <c r="K40" s="100">
        <v>51.74</v>
      </c>
      <c r="L40" s="100">
        <v>21.83</v>
      </c>
      <c r="M40" s="100">
        <v>72.72</v>
      </c>
      <c r="N40" s="100">
        <v>49.9</v>
      </c>
      <c r="O40" s="100">
        <v>0</v>
      </c>
      <c r="P40" s="100">
        <v>0.94</v>
      </c>
      <c r="Q40" s="100">
        <v>12.99</v>
      </c>
      <c r="R40" s="6"/>
      <c r="S40" s="6"/>
      <c r="T40" s="156"/>
      <c r="U40" s="6"/>
    </row>
    <row r="41" spans="1:21" customFormat="1">
      <c r="A41" s="163" t="s">
        <v>463</v>
      </c>
      <c r="B41" s="100">
        <v>16.079999999999998</v>
      </c>
      <c r="C41" s="100">
        <v>25.63</v>
      </c>
      <c r="D41" s="100">
        <v>27.64</v>
      </c>
      <c r="E41" s="100">
        <v>10.35</v>
      </c>
      <c r="F41" s="152" t="s">
        <v>15</v>
      </c>
      <c r="G41" s="100">
        <v>104.59</v>
      </c>
      <c r="H41" s="100">
        <v>32.799999999999997</v>
      </c>
      <c r="I41" s="100">
        <v>11.82</v>
      </c>
      <c r="J41" s="100">
        <v>1.53</v>
      </c>
      <c r="K41" s="100">
        <v>51.27</v>
      </c>
      <c r="L41" s="100">
        <v>22.17</v>
      </c>
      <c r="M41" s="100">
        <v>71.69</v>
      </c>
      <c r="N41" s="100">
        <v>100.9</v>
      </c>
      <c r="O41" s="100">
        <v>0</v>
      </c>
      <c r="P41" s="100">
        <v>0.93</v>
      </c>
      <c r="Q41" s="100">
        <v>13</v>
      </c>
      <c r="R41" s="6"/>
      <c r="S41" s="6"/>
      <c r="T41" s="156"/>
      <c r="U41" s="6"/>
    </row>
    <row r="42" spans="1:21" customFormat="1">
      <c r="A42" s="163" t="s">
        <v>464</v>
      </c>
      <c r="B42" s="100">
        <v>15.4</v>
      </c>
      <c r="C42" s="100">
        <v>25.77</v>
      </c>
      <c r="D42" s="100">
        <v>27.17</v>
      </c>
      <c r="E42" s="100">
        <v>10.7</v>
      </c>
      <c r="F42" s="152" t="s">
        <v>15</v>
      </c>
      <c r="G42" s="100">
        <v>100.39</v>
      </c>
      <c r="H42" s="100">
        <v>25.38</v>
      </c>
      <c r="I42" s="100">
        <v>11.72</v>
      </c>
      <c r="J42" s="100">
        <v>1.1000000000000001</v>
      </c>
      <c r="K42" s="100">
        <v>58.96</v>
      </c>
      <c r="L42" s="100">
        <v>23.05</v>
      </c>
      <c r="M42" s="100">
        <v>68.819999999999993</v>
      </c>
      <c r="N42" s="100">
        <v>127.2</v>
      </c>
      <c r="O42" s="100">
        <v>0</v>
      </c>
      <c r="P42" s="100">
        <v>0.93</v>
      </c>
      <c r="Q42" s="100">
        <v>12.97</v>
      </c>
      <c r="R42" s="6"/>
      <c r="S42" s="6"/>
      <c r="T42" s="156"/>
      <c r="U42" s="6"/>
    </row>
    <row r="43" spans="1:21" customFormat="1">
      <c r="A43" s="163" t="s">
        <v>465</v>
      </c>
      <c r="B43" s="100">
        <v>14.55</v>
      </c>
      <c r="C43" s="100">
        <v>25.97</v>
      </c>
      <c r="D43" s="100">
        <v>26.59</v>
      </c>
      <c r="E43" s="100">
        <v>10.92</v>
      </c>
      <c r="F43" s="152" t="s">
        <v>15</v>
      </c>
      <c r="G43" s="100">
        <v>98.86</v>
      </c>
      <c r="H43" s="100">
        <v>25.27</v>
      </c>
      <c r="I43" s="100">
        <v>11.58</v>
      </c>
      <c r="J43" s="100">
        <v>1.1100000000000001</v>
      </c>
      <c r="K43" s="100">
        <v>55.34</v>
      </c>
      <c r="L43" s="100">
        <v>23.86</v>
      </c>
      <c r="M43" s="100">
        <v>66.67</v>
      </c>
      <c r="N43" s="100">
        <v>167.8</v>
      </c>
      <c r="O43" s="100">
        <v>0</v>
      </c>
      <c r="P43" s="100">
        <v>0.91</v>
      </c>
      <c r="Q43" s="100">
        <v>12.98</v>
      </c>
      <c r="R43" s="6"/>
      <c r="S43" s="6"/>
      <c r="T43" s="156"/>
      <c r="U43" s="6"/>
    </row>
    <row r="44" spans="1:21" customFormat="1">
      <c r="A44" s="163" t="s">
        <v>466</v>
      </c>
      <c r="B44" s="100">
        <v>13.65</v>
      </c>
      <c r="C44" s="100">
        <v>26.33</v>
      </c>
      <c r="D44" s="100">
        <v>26.06</v>
      </c>
      <c r="E44" s="100">
        <v>10.62</v>
      </c>
      <c r="F44" s="152" t="s">
        <v>15</v>
      </c>
      <c r="G44" s="100">
        <v>98.86</v>
      </c>
      <c r="H44" s="100">
        <v>25.27</v>
      </c>
      <c r="I44" s="100">
        <v>11.41</v>
      </c>
      <c r="J44" s="100">
        <v>0.88</v>
      </c>
      <c r="K44" s="100">
        <v>60.81</v>
      </c>
      <c r="L44" s="100">
        <v>24.73</v>
      </c>
      <c r="M44" s="100">
        <v>64.75</v>
      </c>
      <c r="N44" s="100">
        <v>178.1</v>
      </c>
      <c r="O44" s="100">
        <v>0</v>
      </c>
      <c r="P44" s="100">
        <v>0.89</v>
      </c>
      <c r="Q44" s="100">
        <v>12.97</v>
      </c>
      <c r="R44" s="6"/>
      <c r="S44" s="6"/>
      <c r="T44" s="156"/>
      <c r="U44" s="6"/>
    </row>
    <row r="45" spans="1:21" customFormat="1">
      <c r="A45" s="163" t="s">
        <v>467</v>
      </c>
      <c r="B45" s="100">
        <v>12.65</v>
      </c>
      <c r="C45" s="100">
        <v>26.56</v>
      </c>
      <c r="D45" s="100">
        <v>25.37</v>
      </c>
      <c r="E45" s="100">
        <v>10.45</v>
      </c>
      <c r="F45" s="152" t="s">
        <v>15</v>
      </c>
      <c r="G45" s="100">
        <v>98.86</v>
      </c>
      <c r="H45" s="100">
        <v>25.27</v>
      </c>
      <c r="I45" s="100">
        <v>11.26</v>
      </c>
      <c r="J45" s="100">
        <v>0.92</v>
      </c>
      <c r="K45" s="100">
        <v>64.510000000000005</v>
      </c>
      <c r="L45" s="100">
        <v>25.37</v>
      </c>
      <c r="M45" s="100">
        <v>63.38</v>
      </c>
      <c r="N45" s="100">
        <v>168.9</v>
      </c>
      <c r="O45" s="100">
        <v>0</v>
      </c>
      <c r="P45" s="100">
        <v>0.88</v>
      </c>
      <c r="Q45" s="100">
        <v>12.98</v>
      </c>
      <c r="R45" s="6"/>
      <c r="S45" s="6"/>
      <c r="T45" s="156"/>
      <c r="U45" s="6"/>
    </row>
    <row r="46" spans="1:21" customFormat="1">
      <c r="A46" s="163" t="s">
        <v>468</v>
      </c>
      <c r="B46" s="100">
        <v>11.55</v>
      </c>
      <c r="C46" s="100">
        <v>26.9</v>
      </c>
      <c r="D46" s="100">
        <v>24.66</v>
      </c>
      <c r="E46" s="100">
        <v>10.53</v>
      </c>
      <c r="F46" s="152" t="s">
        <v>15</v>
      </c>
      <c r="G46" s="100">
        <v>90.46</v>
      </c>
      <c r="H46" s="100">
        <v>31.37</v>
      </c>
      <c r="I46" s="100">
        <v>11.09</v>
      </c>
      <c r="J46" s="100">
        <v>1.41</v>
      </c>
      <c r="K46" s="100">
        <v>54.6</v>
      </c>
      <c r="L46" s="100">
        <v>25.62</v>
      </c>
      <c r="M46" s="100">
        <v>62.81</v>
      </c>
      <c r="N46" s="100">
        <v>226</v>
      </c>
      <c r="O46" s="100">
        <v>0</v>
      </c>
      <c r="P46" s="100">
        <v>0.87</v>
      </c>
      <c r="Q46" s="100">
        <v>12.97</v>
      </c>
      <c r="R46" s="6"/>
      <c r="S46" s="6"/>
      <c r="T46" s="156"/>
      <c r="U46" s="6"/>
    </row>
    <row r="47" spans="1:21" customFormat="1">
      <c r="A47" s="163" t="s">
        <v>469</v>
      </c>
      <c r="B47" s="100">
        <v>10.76</v>
      </c>
      <c r="C47" s="100">
        <v>27.18</v>
      </c>
      <c r="D47" s="100">
        <v>24.18</v>
      </c>
      <c r="E47" s="100">
        <v>10.45</v>
      </c>
      <c r="F47" s="152" t="s">
        <v>15</v>
      </c>
      <c r="G47" s="100">
        <v>87.41</v>
      </c>
      <c r="H47" s="100">
        <v>31.52</v>
      </c>
      <c r="I47" s="100">
        <v>10.94</v>
      </c>
      <c r="J47" s="100">
        <v>1.28</v>
      </c>
      <c r="K47" s="100">
        <v>54.18</v>
      </c>
      <c r="L47" s="100">
        <v>26.21</v>
      </c>
      <c r="M47" s="100">
        <v>60.81</v>
      </c>
      <c r="N47" s="100">
        <v>244.5</v>
      </c>
      <c r="O47" s="100">
        <v>0</v>
      </c>
      <c r="P47" s="100">
        <v>0.85</v>
      </c>
      <c r="Q47" s="100">
        <v>12.96</v>
      </c>
      <c r="R47" s="6"/>
      <c r="S47" s="6"/>
      <c r="T47" s="156"/>
      <c r="U47" s="6"/>
    </row>
    <row r="48" spans="1:21" customFormat="1">
      <c r="A48" s="163" t="s">
        <v>470</v>
      </c>
      <c r="B48" s="100">
        <v>10.119999999999999</v>
      </c>
      <c r="C48" s="100">
        <v>27.6</v>
      </c>
      <c r="D48" s="100">
        <v>23.89</v>
      </c>
      <c r="E48" s="100">
        <v>10.73</v>
      </c>
      <c r="F48" s="152" t="s">
        <v>15</v>
      </c>
      <c r="G48" s="100">
        <v>87.41</v>
      </c>
      <c r="H48" s="100">
        <v>31.52</v>
      </c>
      <c r="I48" s="100">
        <v>10.77</v>
      </c>
      <c r="J48" s="100">
        <v>1.23</v>
      </c>
      <c r="K48" s="100">
        <v>51.4</v>
      </c>
      <c r="L48" s="100">
        <v>26.74</v>
      </c>
      <c r="M48" s="100">
        <v>59.4</v>
      </c>
      <c r="N48" s="100">
        <v>257.5</v>
      </c>
      <c r="O48" s="100">
        <v>0</v>
      </c>
      <c r="P48" s="100">
        <v>0.84</v>
      </c>
      <c r="Q48" s="100">
        <v>12.97</v>
      </c>
      <c r="R48" s="6"/>
      <c r="S48" s="6"/>
      <c r="T48" s="156"/>
      <c r="U48" s="6"/>
    </row>
    <row r="49" spans="1:21" customFormat="1">
      <c r="A49" s="163" t="s">
        <v>471</v>
      </c>
      <c r="B49" s="100">
        <v>9.41</v>
      </c>
      <c r="C49" s="100">
        <v>27.99</v>
      </c>
      <c r="D49" s="100">
        <v>23.52</v>
      </c>
      <c r="E49" s="100">
        <v>8.0299999999999994</v>
      </c>
      <c r="F49" s="152" t="s">
        <v>15</v>
      </c>
      <c r="G49" s="100">
        <v>87.41</v>
      </c>
      <c r="H49" s="100">
        <v>31.52</v>
      </c>
      <c r="I49" s="100">
        <v>10.58</v>
      </c>
      <c r="J49" s="100">
        <v>1.25</v>
      </c>
      <c r="K49" s="100">
        <v>39.61</v>
      </c>
      <c r="L49" s="100">
        <v>27.26</v>
      </c>
      <c r="M49" s="100">
        <v>58.28</v>
      </c>
      <c r="N49" s="100">
        <v>219</v>
      </c>
      <c r="O49" s="100">
        <v>0</v>
      </c>
      <c r="P49" s="100">
        <v>0.83</v>
      </c>
      <c r="Q49" s="100">
        <v>12.96</v>
      </c>
      <c r="R49" s="6"/>
      <c r="S49" s="6"/>
      <c r="T49" s="156"/>
      <c r="U49" s="6"/>
    </row>
    <row r="50" spans="1:21" customFormat="1">
      <c r="A50" s="163" t="s">
        <v>472</v>
      </c>
      <c r="B50" s="100">
        <v>8.5</v>
      </c>
      <c r="C50" s="100">
        <v>28.35</v>
      </c>
      <c r="D50" s="100">
        <v>22.98</v>
      </c>
      <c r="E50" s="100">
        <v>9.83</v>
      </c>
      <c r="F50" s="152" t="s">
        <v>15</v>
      </c>
      <c r="G50" s="100">
        <v>84.78</v>
      </c>
      <c r="H50" s="100">
        <v>26.51</v>
      </c>
      <c r="I50" s="100">
        <v>10.4</v>
      </c>
      <c r="J50" s="100">
        <v>0.7</v>
      </c>
      <c r="K50" s="100">
        <v>39.08</v>
      </c>
      <c r="L50" s="100">
        <v>28.23</v>
      </c>
      <c r="M50" s="100">
        <v>55.31</v>
      </c>
      <c r="N50" s="100">
        <v>244</v>
      </c>
      <c r="O50" s="100">
        <v>0</v>
      </c>
      <c r="P50" s="100">
        <v>0.81</v>
      </c>
      <c r="Q50" s="100">
        <v>12.98</v>
      </c>
      <c r="R50" s="6"/>
      <c r="S50" s="6"/>
      <c r="T50" s="156"/>
      <c r="U50" s="6"/>
    </row>
    <row r="51" spans="1:21" customFormat="1">
      <c r="A51" s="163" t="s">
        <v>473</v>
      </c>
      <c r="B51" s="100">
        <v>7.61</v>
      </c>
      <c r="C51" s="100">
        <v>28.34</v>
      </c>
      <c r="D51" s="100">
        <v>22.26</v>
      </c>
      <c r="E51" s="100">
        <v>10.38</v>
      </c>
      <c r="F51" s="152" t="s">
        <v>15</v>
      </c>
      <c r="G51" s="100">
        <v>83.82</v>
      </c>
      <c r="H51" s="100">
        <v>26.43</v>
      </c>
      <c r="I51" s="100">
        <v>10.24</v>
      </c>
      <c r="J51" s="100">
        <v>0.61</v>
      </c>
      <c r="K51" s="100">
        <v>0.89</v>
      </c>
      <c r="L51" s="100">
        <v>28.43</v>
      </c>
      <c r="M51" s="100">
        <v>54.97</v>
      </c>
      <c r="N51" s="100">
        <v>285.8</v>
      </c>
      <c r="O51" s="100">
        <v>0</v>
      </c>
      <c r="P51" s="100">
        <v>0.8</v>
      </c>
      <c r="Q51" s="100">
        <v>12.96</v>
      </c>
      <c r="R51" s="6"/>
      <c r="S51" s="6"/>
      <c r="T51" s="156"/>
      <c r="U51" s="6"/>
    </row>
    <row r="52" spans="1:21" customFormat="1">
      <c r="A52" s="163" t="s">
        <v>474</v>
      </c>
      <c r="B52" s="100">
        <v>6.84</v>
      </c>
      <c r="C52" s="100">
        <v>28.42</v>
      </c>
      <c r="D52" s="100">
        <v>21.68</v>
      </c>
      <c r="E52" s="100">
        <v>9.76</v>
      </c>
      <c r="F52" s="152" t="s">
        <v>15</v>
      </c>
      <c r="G52" s="100">
        <v>83.82</v>
      </c>
      <c r="H52" s="100">
        <v>26.43</v>
      </c>
      <c r="I52" s="100">
        <v>10.130000000000001</v>
      </c>
      <c r="J52" s="100">
        <v>0.32</v>
      </c>
      <c r="K52" s="100">
        <v>58.04</v>
      </c>
      <c r="L52" s="100">
        <v>29.78</v>
      </c>
      <c r="M52" s="100">
        <v>50.14</v>
      </c>
      <c r="N52" s="100">
        <v>289.39999999999998</v>
      </c>
      <c r="O52" s="100">
        <v>0</v>
      </c>
      <c r="P52" s="100">
        <v>0.78</v>
      </c>
      <c r="Q52" s="100">
        <v>12.95</v>
      </c>
      <c r="R52" s="6"/>
      <c r="S52" s="6"/>
      <c r="T52" s="156"/>
      <c r="U52" s="6"/>
    </row>
    <row r="53" spans="1:21" customFormat="1">
      <c r="A53" s="163" t="s">
        <v>475</v>
      </c>
      <c r="B53" s="100">
        <v>6.02</v>
      </c>
      <c r="C53" s="100">
        <v>28.42</v>
      </c>
      <c r="D53" s="100">
        <v>21.03</v>
      </c>
      <c r="E53" s="100">
        <v>10.56</v>
      </c>
      <c r="F53" s="152" t="s">
        <v>15</v>
      </c>
      <c r="G53" s="100">
        <v>83.82</v>
      </c>
      <c r="H53" s="100">
        <v>26.43</v>
      </c>
      <c r="I53" s="100">
        <v>9.99</v>
      </c>
      <c r="J53" s="100">
        <v>0.4</v>
      </c>
      <c r="K53" s="100">
        <v>69.17</v>
      </c>
      <c r="L53" s="100">
        <v>29.95</v>
      </c>
      <c r="M53" s="100">
        <v>49.24</v>
      </c>
      <c r="N53" s="100">
        <v>308.39999999999998</v>
      </c>
      <c r="O53" s="100">
        <v>0</v>
      </c>
      <c r="P53" s="100">
        <v>0.77</v>
      </c>
      <c r="Q53" s="100">
        <v>12.93</v>
      </c>
      <c r="R53" s="6"/>
      <c r="S53" s="6"/>
      <c r="T53" s="156"/>
      <c r="U53" s="6"/>
    </row>
    <row r="54" spans="1:21" customFormat="1">
      <c r="A54" s="163" t="s">
        <v>476</v>
      </c>
      <c r="B54" s="100">
        <v>5.34</v>
      </c>
      <c r="C54" s="100">
        <v>28.12</v>
      </c>
      <c r="D54" s="100">
        <v>20.329999999999998</v>
      </c>
      <c r="E54" s="100">
        <v>10.37</v>
      </c>
      <c r="F54" s="152" t="s">
        <v>15</v>
      </c>
      <c r="G54" s="100">
        <v>76.45</v>
      </c>
      <c r="H54" s="100">
        <v>32.9</v>
      </c>
      <c r="I54" s="100">
        <v>9.81</v>
      </c>
      <c r="J54" s="100">
        <v>0.35</v>
      </c>
      <c r="K54" s="100">
        <v>346.07</v>
      </c>
      <c r="L54" s="100">
        <v>30.51</v>
      </c>
      <c r="M54" s="100">
        <v>47.07</v>
      </c>
      <c r="N54" s="100">
        <v>287.39999999999998</v>
      </c>
      <c r="O54" s="100">
        <v>0</v>
      </c>
      <c r="P54" s="100">
        <v>0.75</v>
      </c>
      <c r="Q54" s="100">
        <v>12.94</v>
      </c>
      <c r="R54" s="6"/>
      <c r="S54" s="6"/>
      <c r="T54" s="156"/>
      <c r="U54" s="6"/>
    </row>
    <row r="55" spans="1:21" customFormat="1">
      <c r="A55" s="163" t="s">
        <v>477</v>
      </c>
      <c r="B55" s="100">
        <v>4.82</v>
      </c>
      <c r="C55" s="100">
        <v>27.8</v>
      </c>
      <c r="D55" s="100">
        <v>19.739999999999998</v>
      </c>
      <c r="E55" s="100">
        <v>10.75</v>
      </c>
      <c r="F55" s="152" t="s">
        <v>15</v>
      </c>
      <c r="G55" s="100">
        <v>73.77</v>
      </c>
      <c r="H55" s="100">
        <v>33</v>
      </c>
      <c r="I55" s="100">
        <v>9.6300000000000008</v>
      </c>
      <c r="J55" s="100">
        <v>0.79</v>
      </c>
      <c r="K55" s="100">
        <v>2.5299999999999998</v>
      </c>
      <c r="L55" s="100">
        <v>30.23</v>
      </c>
      <c r="M55" s="100">
        <v>46.45</v>
      </c>
      <c r="N55" s="100">
        <v>289</v>
      </c>
      <c r="O55" s="100">
        <v>0</v>
      </c>
      <c r="P55" s="100">
        <v>0.74</v>
      </c>
      <c r="Q55" s="100">
        <v>12.94</v>
      </c>
      <c r="R55" s="6"/>
      <c r="S55" s="6"/>
      <c r="T55" s="156"/>
      <c r="U55" s="6"/>
    </row>
    <row r="56" spans="1:21" customFormat="1">
      <c r="A56" s="163" t="s">
        <v>478</v>
      </c>
      <c r="B56" s="100">
        <v>4.53</v>
      </c>
      <c r="C56" s="100">
        <v>27.4</v>
      </c>
      <c r="D56" s="100">
        <v>19.3</v>
      </c>
      <c r="E56" s="100">
        <v>10.51</v>
      </c>
      <c r="F56" s="152" t="s">
        <v>15</v>
      </c>
      <c r="G56" s="100">
        <v>73.77</v>
      </c>
      <c r="H56" s="100">
        <v>33</v>
      </c>
      <c r="I56" s="100">
        <v>9.44</v>
      </c>
      <c r="J56" s="100">
        <v>0.53</v>
      </c>
      <c r="K56" s="100">
        <v>277.55</v>
      </c>
      <c r="L56" s="100">
        <v>30.92</v>
      </c>
      <c r="M56" s="100">
        <v>45.1</v>
      </c>
      <c r="N56" s="100">
        <v>323.8</v>
      </c>
      <c r="O56" s="100">
        <v>0</v>
      </c>
      <c r="P56" s="100">
        <v>0.73</v>
      </c>
      <c r="Q56" s="100">
        <v>12.93</v>
      </c>
      <c r="R56" s="6"/>
      <c r="S56" s="6"/>
      <c r="T56" s="156"/>
      <c r="U56" s="6"/>
    </row>
    <row r="57" spans="1:21" customFormat="1">
      <c r="A57" s="163" t="s">
        <v>479</v>
      </c>
      <c r="B57" s="100">
        <v>4.26</v>
      </c>
      <c r="C57" s="100">
        <v>26.88</v>
      </c>
      <c r="D57" s="100">
        <v>18.809999999999999</v>
      </c>
      <c r="E57" s="100">
        <v>10.61</v>
      </c>
      <c r="F57" s="152" t="s">
        <v>15</v>
      </c>
      <c r="G57" s="100">
        <v>73.77</v>
      </c>
      <c r="H57" s="100">
        <v>33</v>
      </c>
      <c r="I57" s="100">
        <v>9.24</v>
      </c>
      <c r="J57" s="100">
        <v>0.49</v>
      </c>
      <c r="K57" s="100">
        <v>331.6</v>
      </c>
      <c r="L57" s="100">
        <v>31.57</v>
      </c>
      <c r="M57" s="100">
        <v>42.86</v>
      </c>
      <c r="N57" s="100">
        <v>322.5</v>
      </c>
      <c r="O57" s="100">
        <v>0</v>
      </c>
      <c r="P57" s="100">
        <v>0.71</v>
      </c>
      <c r="Q57" s="100">
        <v>12.93</v>
      </c>
      <c r="R57" s="6"/>
      <c r="S57" s="6"/>
      <c r="T57" s="156"/>
      <c r="U57" s="6"/>
    </row>
    <row r="58" spans="1:21" customFormat="1">
      <c r="A58" s="163" t="s">
        <v>480</v>
      </c>
      <c r="B58" s="100">
        <v>4.1100000000000003</v>
      </c>
      <c r="C58" s="100">
        <v>26.55</v>
      </c>
      <c r="D58" s="100">
        <v>18.52</v>
      </c>
      <c r="E58" s="100">
        <v>11.71</v>
      </c>
      <c r="F58" s="152" t="s">
        <v>15</v>
      </c>
      <c r="G58" s="100">
        <v>70.77</v>
      </c>
      <c r="H58" s="100">
        <v>36.450000000000003</v>
      </c>
      <c r="I58" s="100">
        <v>9.07</v>
      </c>
      <c r="J58" s="100">
        <v>0.42</v>
      </c>
      <c r="K58" s="100">
        <v>326.74</v>
      </c>
      <c r="L58" s="100">
        <v>31.99</v>
      </c>
      <c r="M58" s="100">
        <v>40.42</v>
      </c>
      <c r="N58" s="100">
        <v>332.1</v>
      </c>
      <c r="O58" s="100">
        <v>0</v>
      </c>
      <c r="P58" s="100">
        <v>0.7</v>
      </c>
      <c r="Q58" s="100">
        <v>12.93</v>
      </c>
      <c r="R58" s="6"/>
      <c r="S58" s="6"/>
      <c r="T58" s="156"/>
      <c r="U58" s="6"/>
    </row>
    <row r="59" spans="1:21" customFormat="1">
      <c r="A59" s="163" t="s">
        <v>481</v>
      </c>
      <c r="B59" s="100">
        <v>4.03</v>
      </c>
      <c r="C59" s="100">
        <v>27.07</v>
      </c>
      <c r="D59" s="100">
        <v>18.73</v>
      </c>
      <c r="E59" s="100">
        <v>12.69</v>
      </c>
      <c r="F59" s="152" t="s">
        <v>15</v>
      </c>
      <c r="G59" s="100">
        <v>69.680000000000007</v>
      </c>
      <c r="H59" s="100">
        <v>36.51</v>
      </c>
      <c r="I59" s="100">
        <v>8.89</v>
      </c>
      <c r="J59" s="100">
        <v>0.72</v>
      </c>
      <c r="K59" s="100">
        <v>286.77999999999997</v>
      </c>
      <c r="L59" s="100">
        <v>32.35</v>
      </c>
      <c r="M59" s="100">
        <v>39.76</v>
      </c>
      <c r="N59" s="100">
        <v>327.10000000000002</v>
      </c>
      <c r="O59" s="100">
        <v>0</v>
      </c>
      <c r="P59" s="100">
        <v>0.73</v>
      </c>
      <c r="Q59" s="100">
        <v>12.93</v>
      </c>
      <c r="R59" s="6"/>
      <c r="S59" s="6"/>
      <c r="T59" s="156"/>
      <c r="U59" s="6"/>
    </row>
    <row r="60" spans="1:21" customFormat="1">
      <c r="A60" s="163" t="s">
        <v>482</v>
      </c>
      <c r="B60" s="100">
        <v>4.09</v>
      </c>
      <c r="C60" s="100">
        <v>27.36</v>
      </c>
      <c r="D60" s="100">
        <v>18.920000000000002</v>
      </c>
      <c r="E60" s="100">
        <v>12.17</v>
      </c>
      <c r="F60" s="152" t="s">
        <v>15</v>
      </c>
      <c r="G60" s="100">
        <v>69.680000000000007</v>
      </c>
      <c r="H60" s="100">
        <v>36.51</v>
      </c>
      <c r="I60" s="100">
        <v>8.73</v>
      </c>
      <c r="J60" s="100">
        <v>0.41</v>
      </c>
      <c r="K60" s="100">
        <v>232.67</v>
      </c>
      <c r="L60" s="100">
        <v>32.99</v>
      </c>
      <c r="M60" s="100">
        <v>37.159999999999997</v>
      </c>
      <c r="N60" s="100">
        <v>342.5</v>
      </c>
      <c r="O60" s="100">
        <v>0</v>
      </c>
      <c r="P60" s="100">
        <v>0.78</v>
      </c>
      <c r="Q60" s="100">
        <v>12.91</v>
      </c>
      <c r="R60" s="6"/>
      <c r="S60" s="6"/>
      <c r="T60" s="156"/>
      <c r="U60" s="6"/>
    </row>
    <row r="61" spans="1:21" customFormat="1">
      <c r="A61" s="163" t="s">
        <v>483</v>
      </c>
      <c r="B61" s="100">
        <v>4.08</v>
      </c>
      <c r="C61" s="100">
        <v>26.61</v>
      </c>
      <c r="D61" s="100">
        <v>18.53</v>
      </c>
      <c r="E61" s="100">
        <v>15.89</v>
      </c>
      <c r="F61" s="152" t="s">
        <v>15</v>
      </c>
      <c r="G61" s="100">
        <v>69.680000000000007</v>
      </c>
      <c r="H61" s="100">
        <v>36.51</v>
      </c>
      <c r="I61" s="100">
        <v>8.67</v>
      </c>
      <c r="J61" s="100">
        <v>0.41</v>
      </c>
      <c r="K61" s="100">
        <v>353.57</v>
      </c>
      <c r="L61" s="100">
        <v>32.909999999999997</v>
      </c>
      <c r="M61" s="100">
        <v>34.130000000000003</v>
      </c>
      <c r="N61" s="100">
        <v>258.3</v>
      </c>
      <c r="O61" s="100">
        <v>0</v>
      </c>
      <c r="P61" s="100">
        <v>0.77</v>
      </c>
      <c r="Q61" s="100">
        <v>12.93</v>
      </c>
      <c r="R61" s="6"/>
      <c r="S61" s="6"/>
      <c r="T61" s="156"/>
      <c r="U61" s="6"/>
    </row>
    <row r="62" spans="1:21" customFormat="1">
      <c r="A62" s="163" t="s">
        <v>484</v>
      </c>
      <c r="B62" s="100">
        <v>4.12</v>
      </c>
      <c r="C62" s="100">
        <v>25.67</v>
      </c>
      <c r="D62" s="100">
        <v>18.07</v>
      </c>
      <c r="E62" s="100">
        <v>18.440000000000001</v>
      </c>
      <c r="F62" s="152" t="s">
        <v>15</v>
      </c>
      <c r="G62" s="100">
        <v>66.33</v>
      </c>
      <c r="H62" s="100">
        <v>37.82</v>
      </c>
      <c r="I62" s="100">
        <v>8.59</v>
      </c>
      <c r="J62" s="100">
        <v>0.59</v>
      </c>
      <c r="K62" s="100">
        <v>1.35</v>
      </c>
      <c r="L62" s="100">
        <v>32.85</v>
      </c>
      <c r="M62" s="100">
        <v>32.119999999999997</v>
      </c>
      <c r="N62" s="100">
        <v>250.7</v>
      </c>
      <c r="O62" s="100">
        <v>0</v>
      </c>
      <c r="P62" s="100">
        <v>0.75</v>
      </c>
      <c r="Q62" s="100">
        <v>12.93</v>
      </c>
      <c r="R62" s="6"/>
      <c r="S62" s="6"/>
      <c r="T62" s="156"/>
      <c r="U62" s="6"/>
    </row>
    <row r="63" spans="1:21" customFormat="1">
      <c r="A63" s="163" t="s">
        <v>485</v>
      </c>
      <c r="B63" s="100">
        <v>4.22</v>
      </c>
      <c r="C63" s="100">
        <v>24.85</v>
      </c>
      <c r="D63" s="100">
        <v>17.72</v>
      </c>
      <c r="E63" s="100">
        <v>19.55</v>
      </c>
      <c r="F63" s="152" t="s">
        <v>15</v>
      </c>
      <c r="G63" s="100">
        <v>65.12</v>
      </c>
      <c r="H63" s="100">
        <v>37.840000000000003</v>
      </c>
      <c r="I63" s="100">
        <v>8.24</v>
      </c>
      <c r="J63" s="100">
        <v>0.63</v>
      </c>
      <c r="K63" s="100">
        <v>29.61</v>
      </c>
      <c r="L63" s="100">
        <v>32.130000000000003</v>
      </c>
      <c r="M63" s="100">
        <v>33.97</v>
      </c>
      <c r="N63" s="100">
        <v>202.3</v>
      </c>
      <c r="O63" s="100">
        <v>0</v>
      </c>
      <c r="P63" s="100">
        <v>0.75</v>
      </c>
      <c r="Q63" s="100">
        <v>12.93</v>
      </c>
      <c r="R63" s="6"/>
      <c r="S63" s="6"/>
      <c r="T63" s="156"/>
      <c r="U63" s="6"/>
    </row>
    <row r="64" spans="1:21" customFormat="1">
      <c r="A64" s="163" t="s">
        <v>486</v>
      </c>
      <c r="B64" s="100">
        <v>4.22</v>
      </c>
      <c r="C64" s="100">
        <v>24.38</v>
      </c>
      <c r="D64" s="100">
        <v>17.47</v>
      </c>
      <c r="E64" s="100">
        <v>21.85</v>
      </c>
      <c r="F64" s="152" t="s">
        <v>15</v>
      </c>
      <c r="G64" s="100">
        <v>65.12</v>
      </c>
      <c r="H64" s="100">
        <v>37.840000000000003</v>
      </c>
      <c r="I64" s="100">
        <v>8.08</v>
      </c>
      <c r="J64" s="100">
        <v>1.04</v>
      </c>
      <c r="K64" s="100">
        <v>24.67</v>
      </c>
      <c r="L64" s="100">
        <v>32.94</v>
      </c>
      <c r="M64" s="100">
        <v>30.39</v>
      </c>
      <c r="N64" s="100">
        <v>305.60000000000002</v>
      </c>
      <c r="O64" s="100">
        <v>0</v>
      </c>
      <c r="P64" s="100">
        <v>0.74</v>
      </c>
      <c r="Q64" s="100">
        <v>12.93</v>
      </c>
      <c r="R64" s="6"/>
      <c r="S64" s="6"/>
      <c r="T64" s="156"/>
      <c r="U64" s="6"/>
    </row>
    <row r="65" spans="1:21" customFormat="1">
      <c r="A65" s="163" t="s">
        <v>487</v>
      </c>
      <c r="B65" s="100">
        <v>4.34</v>
      </c>
      <c r="C65" s="100">
        <v>24.57</v>
      </c>
      <c r="D65" s="100">
        <v>17.670000000000002</v>
      </c>
      <c r="E65" s="100">
        <v>24.56</v>
      </c>
      <c r="F65" s="152" t="s">
        <v>15</v>
      </c>
      <c r="G65" s="100">
        <v>65.12</v>
      </c>
      <c r="H65" s="100">
        <v>37.840000000000003</v>
      </c>
      <c r="I65" s="100">
        <v>8.08</v>
      </c>
      <c r="J65" s="100">
        <v>0.94</v>
      </c>
      <c r="K65" s="100">
        <v>339.11</v>
      </c>
      <c r="L65" s="100">
        <v>33.130000000000003</v>
      </c>
      <c r="M65" s="100">
        <v>28.34</v>
      </c>
      <c r="N65" s="100">
        <v>293.39999999999998</v>
      </c>
      <c r="O65" s="100">
        <v>0</v>
      </c>
      <c r="P65" s="100">
        <v>0.64</v>
      </c>
      <c r="Q65" s="100">
        <v>12.92</v>
      </c>
      <c r="R65" s="6"/>
      <c r="S65" s="6"/>
      <c r="T65" s="156"/>
      <c r="U65" s="6"/>
    </row>
    <row r="66" spans="1:21" customFormat="1">
      <c r="A66" s="163" t="s">
        <v>488</v>
      </c>
      <c r="B66" s="100">
        <v>4.4000000000000004</v>
      </c>
      <c r="C66" s="100">
        <v>25.11</v>
      </c>
      <c r="D66" s="100">
        <v>18</v>
      </c>
      <c r="E66" s="100">
        <v>21.23</v>
      </c>
      <c r="F66" s="152" t="s">
        <v>15</v>
      </c>
      <c r="G66" s="100">
        <v>62.78</v>
      </c>
      <c r="H66" s="100">
        <v>44.21</v>
      </c>
      <c r="I66" s="100">
        <v>8</v>
      </c>
      <c r="J66" s="100">
        <v>1.06</v>
      </c>
      <c r="K66" s="100">
        <v>15.71</v>
      </c>
      <c r="L66" s="100">
        <v>32.979999999999997</v>
      </c>
      <c r="M66" s="100">
        <v>26.13</v>
      </c>
      <c r="N66" s="100">
        <v>305.89999999999998</v>
      </c>
      <c r="O66" s="100">
        <v>0</v>
      </c>
      <c r="P66" s="100">
        <v>0.65</v>
      </c>
      <c r="Q66" s="100">
        <v>12.92</v>
      </c>
      <c r="R66" s="6"/>
      <c r="S66" s="6"/>
      <c r="T66" s="156"/>
      <c r="U66" s="6"/>
    </row>
    <row r="67" spans="1:21" customFormat="1">
      <c r="A67" s="163" t="s">
        <v>489</v>
      </c>
      <c r="B67" s="100">
        <v>4.47</v>
      </c>
      <c r="C67" s="100">
        <v>26.05</v>
      </c>
      <c r="D67" s="100">
        <v>18.55</v>
      </c>
      <c r="E67" s="100">
        <v>18.170000000000002</v>
      </c>
      <c r="F67" s="152" t="s">
        <v>15</v>
      </c>
      <c r="G67" s="100">
        <v>61.93</v>
      </c>
      <c r="H67" s="100">
        <v>44.31</v>
      </c>
      <c r="I67" s="100">
        <v>7.95</v>
      </c>
      <c r="J67" s="100">
        <v>0.83</v>
      </c>
      <c r="K67" s="100">
        <v>29.68</v>
      </c>
      <c r="L67" s="100">
        <v>33.299999999999997</v>
      </c>
      <c r="M67" s="100">
        <v>24.84</v>
      </c>
      <c r="N67" s="100">
        <v>251.1</v>
      </c>
      <c r="O67" s="100">
        <v>0</v>
      </c>
      <c r="P67" s="100">
        <v>0.64</v>
      </c>
      <c r="Q67" s="100">
        <v>12.91</v>
      </c>
      <c r="R67" s="6"/>
      <c r="S67" s="6"/>
      <c r="T67" s="156"/>
      <c r="U67" s="6"/>
    </row>
    <row r="68" spans="1:21" customFormat="1">
      <c r="A68" s="163" t="s">
        <v>490</v>
      </c>
      <c r="B68" s="100">
        <v>4.4800000000000004</v>
      </c>
      <c r="C68" s="100">
        <v>25.95</v>
      </c>
      <c r="D68" s="100">
        <v>18.5</v>
      </c>
      <c r="E68" s="100">
        <v>17.260000000000002</v>
      </c>
      <c r="F68" s="152" t="s">
        <v>15</v>
      </c>
      <c r="G68" s="100">
        <v>61.93</v>
      </c>
      <c r="H68" s="100">
        <v>44.31</v>
      </c>
      <c r="I68" s="100">
        <v>7.83</v>
      </c>
      <c r="J68" s="100">
        <v>0.86</v>
      </c>
      <c r="K68" s="100">
        <v>318.58999999999997</v>
      </c>
      <c r="L68" s="100">
        <v>33.19</v>
      </c>
      <c r="M68" s="100">
        <v>24.05</v>
      </c>
      <c r="N68" s="100">
        <v>96.1</v>
      </c>
      <c r="O68" s="100">
        <v>0</v>
      </c>
      <c r="P68" s="100">
        <v>0.63</v>
      </c>
      <c r="Q68" s="100">
        <v>12.92</v>
      </c>
      <c r="R68" s="6"/>
      <c r="S68" s="6"/>
      <c r="T68" s="156"/>
      <c r="U68" s="6"/>
    </row>
    <row r="69" spans="1:21" customFormat="1">
      <c r="A69" s="163" t="s">
        <v>491</v>
      </c>
      <c r="B69" s="100">
        <v>4.4800000000000004</v>
      </c>
      <c r="C69" s="100">
        <v>25.45</v>
      </c>
      <c r="D69" s="100">
        <v>18.23</v>
      </c>
      <c r="E69" s="100">
        <v>14.51</v>
      </c>
      <c r="F69" s="152" t="s">
        <v>15</v>
      </c>
      <c r="G69" s="100">
        <v>61.93</v>
      </c>
      <c r="H69" s="100">
        <v>44.31</v>
      </c>
      <c r="I69" s="100">
        <v>7.58</v>
      </c>
      <c r="J69" s="100">
        <v>0.3</v>
      </c>
      <c r="K69" s="100">
        <v>250.66</v>
      </c>
      <c r="L69" s="100">
        <v>33.03</v>
      </c>
      <c r="M69" s="100">
        <v>23.83</v>
      </c>
      <c r="N69" s="100">
        <v>72</v>
      </c>
      <c r="O69" s="100">
        <v>0</v>
      </c>
      <c r="P69" s="100">
        <v>0.61</v>
      </c>
      <c r="Q69" s="100">
        <v>12.92</v>
      </c>
      <c r="R69" s="6"/>
      <c r="S69" s="6"/>
      <c r="T69" s="156"/>
      <c r="U69" s="6"/>
    </row>
    <row r="70" spans="1:21" customFormat="1">
      <c r="A70" s="163" t="s">
        <v>492</v>
      </c>
      <c r="B70" s="100">
        <v>4.4800000000000004</v>
      </c>
      <c r="C70" s="100">
        <v>24.68</v>
      </c>
      <c r="D70" s="100">
        <v>17.84</v>
      </c>
      <c r="E70" s="100">
        <v>16.43</v>
      </c>
      <c r="F70" s="152" t="s">
        <v>15</v>
      </c>
      <c r="G70" s="100">
        <v>62.99</v>
      </c>
      <c r="H70" s="100">
        <v>50.76</v>
      </c>
      <c r="I70" s="100">
        <v>7.34</v>
      </c>
      <c r="J70" s="100">
        <v>0.2</v>
      </c>
      <c r="K70" s="100">
        <v>281.41000000000003</v>
      </c>
      <c r="L70" s="100">
        <v>32.799999999999997</v>
      </c>
      <c r="M70" s="100">
        <v>25.39</v>
      </c>
      <c r="N70" s="100">
        <v>78.7</v>
      </c>
      <c r="O70" s="100">
        <v>0</v>
      </c>
      <c r="P70" s="100">
        <v>0.56999999999999995</v>
      </c>
      <c r="Q70" s="100">
        <v>12.93</v>
      </c>
      <c r="R70" s="6"/>
      <c r="S70" s="6"/>
      <c r="T70" s="156"/>
      <c r="U70" s="6"/>
    </row>
    <row r="71" spans="1:21" customFormat="1">
      <c r="A71" s="163" t="s">
        <v>493</v>
      </c>
      <c r="B71" s="100">
        <v>4.33</v>
      </c>
      <c r="C71" s="100">
        <v>24.48</v>
      </c>
      <c r="D71" s="100">
        <v>17.61</v>
      </c>
      <c r="E71" s="100">
        <v>14.29</v>
      </c>
      <c r="F71" s="152" t="s">
        <v>15</v>
      </c>
      <c r="G71" s="100">
        <v>63.37</v>
      </c>
      <c r="H71" s="100">
        <v>50.92</v>
      </c>
      <c r="I71" s="100">
        <v>7.23</v>
      </c>
      <c r="J71" s="100">
        <v>0.67</v>
      </c>
      <c r="K71" s="100">
        <v>285.38</v>
      </c>
      <c r="L71" s="100">
        <v>32.4</v>
      </c>
      <c r="M71" s="100">
        <v>24.81</v>
      </c>
      <c r="N71" s="100">
        <v>65.099999999999994</v>
      </c>
      <c r="O71" s="100">
        <v>0</v>
      </c>
      <c r="P71" s="100">
        <v>0.59</v>
      </c>
      <c r="Q71" s="100">
        <v>12.92</v>
      </c>
      <c r="R71" s="6"/>
      <c r="S71" s="6"/>
      <c r="T71" s="156"/>
      <c r="U71" s="6"/>
    </row>
    <row r="72" spans="1:21" customFormat="1">
      <c r="A72" s="163" t="s">
        <v>494</v>
      </c>
      <c r="B72" s="100">
        <v>4.2699999999999996</v>
      </c>
      <c r="C72" s="100">
        <v>24.02</v>
      </c>
      <c r="D72" s="100">
        <v>17.329999999999998</v>
      </c>
      <c r="E72" s="100">
        <v>14.32</v>
      </c>
      <c r="F72" s="152" t="s">
        <v>15</v>
      </c>
      <c r="G72" s="100">
        <v>63.37</v>
      </c>
      <c r="H72" s="100">
        <v>50.92</v>
      </c>
      <c r="I72" s="100">
        <v>7.24</v>
      </c>
      <c r="J72" s="100">
        <v>0.35</v>
      </c>
      <c r="K72" s="100">
        <v>294.17</v>
      </c>
      <c r="L72" s="100">
        <v>32.340000000000003</v>
      </c>
      <c r="M72" s="100">
        <v>25.05</v>
      </c>
      <c r="N72" s="100">
        <v>69.5</v>
      </c>
      <c r="O72" s="100">
        <v>0</v>
      </c>
      <c r="P72" s="100">
        <v>0.57999999999999996</v>
      </c>
      <c r="Q72" s="100">
        <v>12.91</v>
      </c>
      <c r="R72" s="6"/>
      <c r="S72" s="6"/>
      <c r="T72" s="156"/>
      <c r="U72" s="6"/>
    </row>
    <row r="73" spans="1:21" customFormat="1">
      <c r="A73" s="163" t="s">
        <v>495</v>
      </c>
      <c r="B73" s="100">
        <v>4.37</v>
      </c>
      <c r="C73" s="100">
        <v>23.54</v>
      </c>
      <c r="D73" s="100">
        <v>17.149999999999999</v>
      </c>
      <c r="E73" s="100">
        <v>12.91</v>
      </c>
      <c r="F73" s="152" t="s">
        <v>15</v>
      </c>
      <c r="G73" s="100">
        <v>63.37</v>
      </c>
      <c r="H73" s="100">
        <v>50.92</v>
      </c>
      <c r="I73" s="100">
        <v>7.19</v>
      </c>
      <c r="J73" s="100">
        <v>0.83</v>
      </c>
      <c r="K73" s="100">
        <v>294.97000000000003</v>
      </c>
      <c r="L73" s="100">
        <v>32.299999999999997</v>
      </c>
      <c r="M73" s="100">
        <v>22.74</v>
      </c>
      <c r="N73" s="100">
        <v>70.2</v>
      </c>
      <c r="O73" s="100">
        <v>0</v>
      </c>
      <c r="P73" s="100">
        <v>0.59</v>
      </c>
      <c r="Q73" s="100">
        <v>12.93</v>
      </c>
      <c r="R73" s="6"/>
      <c r="S73" s="6"/>
      <c r="T73" s="156"/>
      <c r="U73" s="6"/>
    </row>
    <row r="74" spans="1:21" customFormat="1">
      <c r="A74" s="163" t="s">
        <v>496</v>
      </c>
      <c r="B74" s="100">
        <v>4.46</v>
      </c>
      <c r="C74" s="100">
        <v>23.05</v>
      </c>
      <c r="D74" s="100">
        <v>16.97</v>
      </c>
      <c r="E74" s="100">
        <v>14.9</v>
      </c>
      <c r="F74" s="152" t="s">
        <v>15</v>
      </c>
      <c r="G74" s="100">
        <v>54.42</v>
      </c>
      <c r="H74" s="100">
        <v>42.54</v>
      </c>
      <c r="I74" s="100">
        <v>7.1</v>
      </c>
      <c r="J74" s="100">
        <v>0.44</v>
      </c>
      <c r="K74" s="100">
        <v>256.52</v>
      </c>
      <c r="L74" s="100">
        <v>32.270000000000003</v>
      </c>
      <c r="M74" s="100">
        <v>23.59</v>
      </c>
      <c r="N74" s="100">
        <v>44.2</v>
      </c>
      <c r="O74" s="100">
        <v>0</v>
      </c>
      <c r="P74" s="100">
        <v>0.56000000000000005</v>
      </c>
      <c r="Q74" s="100">
        <v>12.92</v>
      </c>
      <c r="R74" s="6"/>
      <c r="S74" s="6"/>
      <c r="T74" s="156"/>
      <c r="U74" s="6"/>
    </row>
    <row r="75" spans="1:21" customFormat="1">
      <c r="A75" s="163" t="s">
        <v>497</v>
      </c>
      <c r="B75" s="100">
        <v>4.53</v>
      </c>
      <c r="C75" s="100">
        <v>22.87</v>
      </c>
      <c r="D75" s="100">
        <v>16.93</v>
      </c>
      <c r="E75" s="100">
        <v>14.06</v>
      </c>
      <c r="F75" s="152" t="s">
        <v>15</v>
      </c>
      <c r="G75" s="100">
        <v>51.17</v>
      </c>
      <c r="H75" s="100">
        <v>42.41</v>
      </c>
      <c r="I75" s="100">
        <v>6.96</v>
      </c>
      <c r="J75" s="100">
        <v>0.21</v>
      </c>
      <c r="K75" s="100">
        <v>284.97000000000003</v>
      </c>
      <c r="L75" s="100">
        <v>32.119999999999997</v>
      </c>
      <c r="M75" s="100">
        <v>23.75</v>
      </c>
      <c r="N75" s="100">
        <v>37.5</v>
      </c>
      <c r="O75" s="100">
        <v>0</v>
      </c>
      <c r="P75" s="100">
        <v>0.56000000000000005</v>
      </c>
      <c r="Q75" s="100">
        <v>12.92</v>
      </c>
      <c r="R75" s="6"/>
      <c r="S75" s="6"/>
      <c r="T75" s="156"/>
      <c r="U75" s="6"/>
    </row>
    <row r="76" spans="1:21" customFormat="1">
      <c r="A76" s="163" t="s">
        <v>498</v>
      </c>
      <c r="B76" s="100">
        <v>4.67</v>
      </c>
      <c r="C76" s="100">
        <v>22.4</v>
      </c>
      <c r="D76" s="100">
        <v>16.8</v>
      </c>
      <c r="E76" s="100">
        <v>14.21</v>
      </c>
      <c r="F76" s="152" t="s">
        <v>15</v>
      </c>
      <c r="G76" s="100">
        <v>51.17</v>
      </c>
      <c r="H76" s="100">
        <v>42.41</v>
      </c>
      <c r="I76" s="100">
        <v>6.91</v>
      </c>
      <c r="J76" s="100">
        <v>0.68</v>
      </c>
      <c r="K76" s="100">
        <v>289.33999999999997</v>
      </c>
      <c r="L76" s="100">
        <v>31.86</v>
      </c>
      <c r="M76" s="100">
        <v>21.79</v>
      </c>
      <c r="N76" s="100">
        <v>31.2</v>
      </c>
      <c r="O76" s="100">
        <v>0</v>
      </c>
      <c r="P76" s="100">
        <v>0.55000000000000004</v>
      </c>
      <c r="Q76" s="100">
        <v>12.92</v>
      </c>
      <c r="R76" s="6"/>
      <c r="S76" s="6"/>
      <c r="T76" s="156"/>
      <c r="U76" s="6"/>
    </row>
    <row r="77" spans="1:21" customFormat="1">
      <c r="A77" s="163" t="s">
        <v>499</v>
      </c>
      <c r="B77" s="100">
        <v>4.79</v>
      </c>
      <c r="C77" s="100">
        <v>22.27</v>
      </c>
      <c r="D77" s="100">
        <v>16.82</v>
      </c>
      <c r="E77" s="100">
        <v>13.43</v>
      </c>
      <c r="F77" s="152" t="s">
        <v>15</v>
      </c>
      <c r="G77" s="100">
        <v>51.17</v>
      </c>
      <c r="H77" s="100">
        <v>42.41</v>
      </c>
      <c r="I77" s="100">
        <v>6.83</v>
      </c>
      <c r="J77" s="100">
        <v>0.7</v>
      </c>
      <c r="K77" s="100">
        <v>324.73</v>
      </c>
      <c r="L77" s="100">
        <v>31.66</v>
      </c>
      <c r="M77" s="100">
        <v>20.48</v>
      </c>
      <c r="N77" s="100">
        <v>21.9</v>
      </c>
      <c r="O77" s="100">
        <v>0</v>
      </c>
      <c r="P77" s="100">
        <v>0.56000000000000005</v>
      </c>
      <c r="Q77" s="100">
        <v>12.9</v>
      </c>
      <c r="R77" s="6"/>
      <c r="S77" s="6"/>
      <c r="T77" s="156"/>
      <c r="U77" s="6"/>
    </row>
    <row r="78" spans="1:21" customFormat="1">
      <c r="A78" s="163" t="s">
        <v>500</v>
      </c>
      <c r="B78" s="100">
        <v>5.09</v>
      </c>
      <c r="C78" s="100">
        <v>22.38</v>
      </c>
      <c r="D78" s="100">
        <v>17.13</v>
      </c>
      <c r="E78" s="100">
        <v>13.05</v>
      </c>
      <c r="F78" s="152" t="s">
        <v>15</v>
      </c>
      <c r="G78" s="100">
        <v>47.17</v>
      </c>
      <c r="H78" s="100">
        <v>36.090000000000003</v>
      </c>
      <c r="I78" s="100">
        <v>6.78</v>
      </c>
      <c r="J78" s="100">
        <v>0.1</v>
      </c>
      <c r="K78" s="100">
        <v>293.07</v>
      </c>
      <c r="L78" s="100">
        <v>31.19</v>
      </c>
      <c r="M78" s="100">
        <v>22.31</v>
      </c>
      <c r="N78" s="100">
        <v>14.8</v>
      </c>
      <c r="O78" s="100">
        <v>0</v>
      </c>
      <c r="P78" s="100">
        <v>0.54</v>
      </c>
      <c r="Q78" s="100">
        <v>12.91</v>
      </c>
      <c r="R78" s="6"/>
      <c r="S78" s="6"/>
      <c r="T78" s="156"/>
      <c r="U78" s="6"/>
    </row>
    <row r="79" spans="1:21" customFormat="1">
      <c r="A79" s="163" t="s">
        <v>501</v>
      </c>
      <c r="B79" s="100">
        <v>5.12</v>
      </c>
      <c r="C79" s="100">
        <v>22.8</v>
      </c>
      <c r="D79" s="100">
        <v>17.37</v>
      </c>
      <c r="E79" s="100">
        <v>11.75</v>
      </c>
      <c r="F79" s="152" t="s">
        <v>15</v>
      </c>
      <c r="G79" s="100">
        <v>45.71</v>
      </c>
      <c r="H79" s="100">
        <v>35.99</v>
      </c>
      <c r="I79" s="100">
        <v>7.27</v>
      </c>
      <c r="J79" s="100">
        <v>0.25</v>
      </c>
      <c r="K79" s="100">
        <v>178.9</v>
      </c>
      <c r="L79" s="100">
        <v>30.04</v>
      </c>
      <c r="M79" s="100">
        <v>26.49</v>
      </c>
      <c r="N79" s="100">
        <v>9.1</v>
      </c>
      <c r="O79" s="100">
        <v>0</v>
      </c>
      <c r="P79" s="100">
        <v>0.51</v>
      </c>
      <c r="Q79" s="100">
        <v>12.92</v>
      </c>
      <c r="R79" s="6"/>
      <c r="S79" s="6"/>
      <c r="T79" s="156"/>
      <c r="U79" s="6"/>
    </row>
    <row r="80" spans="1:21" customFormat="1">
      <c r="A80" s="163" t="s">
        <v>502</v>
      </c>
      <c r="B80" s="100">
        <v>4.8499999999999996</v>
      </c>
      <c r="C80" s="100">
        <v>23.22</v>
      </c>
      <c r="D80" s="100">
        <v>17.37</v>
      </c>
      <c r="E80" s="100">
        <v>10.33</v>
      </c>
      <c r="F80" s="152" t="s">
        <v>15</v>
      </c>
      <c r="G80" s="100">
        <v>45.71</v>
      </c>
      <c r="H80" s="100">
        <v>35.99</v>
      </c>
      <c r="I80" s="100">
        <v>7.37</v>
      </c>
      <c r="J80" s="100">
        <v>0.21</v>
      </c>
      <c r="K80" s="100">
        <v>174.43</v>
      </c>
      <c r="L80" s="100">
        <v>28.89</v>
      </c>
      <c r="M80" s="100">
        <v>34.03</v>
      </c>
      <c r="N80" s="100">
        <v>4.4000000000000004</v>
      </c>
      <c r="O80" s="100">
        <v>0</v>
      </c>
      <c r="P80" s="100">
        <v>0.5</v>
      </c>
      <c r="Q80" s="100">
        <v>12.92</v>
      </c>
      <c r="R80" s="6"/>
      <c r="S80" s="6"/>
      <c r="T80" s="156"/>
      <c r="U80" s="6"/>
    </row>
    <row r="81" spans="1:21" customFormat="1">
      <c r="A81" s="163" t="s">
        <v>503</v>
      </c>
      <c r="B81" s="100">
        <v>4.59</v>
      </c>
      <c r="C81" s="100">
        <v>23.2</v>
      </c>
      <c r="D81" s="100">
        <v>17.16</v>
      </c>
      <c r="E81" s="100">
        <v>8.16</v>
      </c>
      <c r="F81" s="152" t="s">
        <v>15</v>
      </c>
      <c r="G81" s="100">
        <v>45.71</v>
      </c>
      <c r="H81" s="100">
        <v>35.99</v>
      </c>
      <c r="I81" s="100">
        <v>7.09</v>
      </c>
      <c r="J81" s="100">
        <v>0.31</v>
      </c>
      <c r="K81" s="100">
        <v>163.25</v>
      </c>
      <c r="L81" s="100">
        <v>28.09</v>
      </c>
      <c r="M81" s="100">
        <v>34.630000000000003</v>
      </c>
      <c r="N81" s="100">
        <v>1.9</v>
      </c>
      <c r="O81" s="100">
        <v>0</v>
      </c>
      <c r="P81" s="100">
        <v>0.49</v>
      </c>
      <c r="Q81" s="100">
        <v>12.91</v>
      </c>
      <c r="R81" s="6"/>
      <c r="S81" s="6"/>
      <c r="T81" s="156"/>
      <c r="U81" s="6"/>
    </row>
    <row r="82" spans="1:21" customFormat="1">
      <c r="A82" s="163" t="s">
        <v>504</v>
      </c>
      <c r="B82" s="100">
        <v>4.62</v>
      </c>
      <c r="C82" s="100">
        <v>22.92</v>
      </c>
      <c r="D82" s="100">
        <v>17.03</v>
      </c>
      <c r="E82" s="100">
        <v>9.4700000000000006</v>
      </c>
      <c r="F82" s="152" t="s">
        <v>15</v>
      </c>
      <c r="G82" s="100">
        <v>51.09</v>
      </c>
      <c r="H82" s="100">
        <v>34.07</v>
      </c>
      <c r="I82" s="100">
        <v>7.06</v>
      </c>
      <c r="J82" s="100">
        <v>0.33</v>
      </c>
      <c r="K82" s="100">
        <v>165.33</v>
      </c>
      <c r="L82" s="100">
        <v>27.36</v>
      </c>
      <c r="M82" s="100">
        <v>39.64</v>
      </c>
      <c r="N82" s="100">
        <v>1.6</v>
      </c>
      <c r="O82" s="100">
        <v>0</v>
      </c>
      <c r="P82" s="100">
        <v>0.49</v>
      </c>
      <c r="Q82" s="100">
        <v>12.91</v>
      </c>
      <c r="R82" s="6"/>
      <c r="S82" s="6"/>
      <c r="T82" s="156"/>
      <c r="U82" s="6"/>
    </row>
    <row r="83" spans="1:21" customFormat="1">
      <c r="A83" s="163" t="s">
        <v>505</v>
      </c>
      <c r="B83" s="100">
        <v>4.51</v>
      </c>
      <c r="C83" s="100">
        <v>22.96</v>
      </c>
      <c r="D83" s="100">
        <v>16.96</v>
      </c>
      <c r="E83" s="100">
        <v>9.6199999999999992</v>
      </c>
      <c r="F83" s="152" t="s">
        <v>15</v>
      </c>
      <c r="G83" s="100">
        <v>53.05</v>
      </c>
      <c r="H83" s="100">
        <v>34.04</v>
      </c>
      <c r="I83" s="100">
        <v>7.1</v>
      </c>
      <c r="J83" s="100">
        <v>0.32</v>
      </c>
      <c r="K83" s="100">
        <v>164.95</v>
      </c>
      <c r="L83" s="100">
        <v>26.74</v>
      </c>
      <c r="M83" s="100">
        <v>44.4</v>
      </c>
      <c r="N83" s="100">
        <v>1.6</v>
      </c>
      <c r="O83" s="100">
        <v>0</v>
      </c>
      <c r="P83" s="100">
        <v>0.5</v>
      </c>
      <c r="Q83" s="100">
        <v>12.92</v>
      </c>
      <c r="R83" s="6"/>
      <c r="S83" s="6"/>
      <c r="T83" s="156"/>
      <c r="U83" s="6"/>
    </row>
    <row r="84" spans="1:21" customFormat="1">
      <c r="A84" s="163" t="s">
        <v>506</v>
      </c>
      <c r="B84" s="100">
        <v>4.5</v>
      </c>
      <c r="C84" s="100">
        <v>23.08</v>
      </c>
      <c r="D84" s="100">
        <v>17.02</v>
      </c>
      <c r="E84" s="100">
        <v>9.58</v>
      </c>
      <c r="F84" s="152" t="s">
        <v>15</v>
      </c>
      <c r="G84" s="100">
        <v>53.05</v>
      </c>
      <c r="H84" s="100">
        <v>34.04</v>
      </c>
      <c r="I84" s="100">
        <v>7.3</v>
      </c>
      <c r="J84" s="100">
        <v>0.2</v>
      </c>
      <c r="K84" s="100">
        <v>201.24</v>
      </c>
      <c r="L84" s="100">
        <v>25.89</v>
      </c>
      <c r="M84" s="100">
        <v>48.31</v>
      </c>
      <c r="N84" s="100">
        <v>1.6</v>
      </c>
      <c r="O84" s="100">
        <v>0</v>
      </c>
      <c r="P84" s="100">
        <v>0.51</v>
      </c>
      <c r="Q84" s="100">
        <v>12.91</v>
      </c>
      <c r="R84" s="6"/>
      <c r="S84" s="6"/>
      <c r="T84" s="156"/>
      <c r="U84" s="6"/>
    </row>
    <row r="85" spans="1:21" customFormat="1">
      <c r="A85" s="163" t="s">
        <v>507</v>
      </c>
      <c r="B85" s="100">
        <v>4.5999999999999996</v>
      </c>
      <c r="C85" s="100">
        <v>23.07</v>
      </c>
      <c r="D85" s="100">
        <v>17.09</v>
      </c>
      <c r="E85" s="100">
        <v>9.73</v>
      </c>
      <c r="F85" s="152" t="s">
        <v>15</v>
      </c>
      <c r="G85" s="100">
        <v>53.05</v>
      </c>
      <c r="H85" s="100">
        <v>34.04</v>
      </c>
      <c r="I85" s="100">
        <v>7.65</v>
      </c>
      <c r="J85" s="100">
        <v>0.19</v>
      </c>
      <c r="K85" s="100">
        <v>182.78</v>
      </c>
      <c r="L85" s="100">
        <v>25.36</v>
      </c>
      <c r="M85" s="100">
        <v>46.47</v>
      </c>
      <c r="N85" s="100">
        <v>1.3</v>
      </c>
      <c r="O85" s="100">
        <v>0</v>
      </c>
      <c r="P85" s="100">
        <v>0.53</v>
      </c>
      <c r="Q85" s="100">
        <v>12.91</v>
      </c>
      <c r="R85" s="6"/>
      <c r="S85" s="6"/>
      <c r="T85" s="156"/>
      <c r="U85" s="6"/>
    </row>
    <row r="86" spans="1:21" customFormat="1">
      <c r="A86" s="163" t="s">
        <v>508</v>
      </c>
      <c r="B86" s="100">
        <v>4.8499999999999996</v>
      </c>
      <c r="C86" s="100">
        <v>22.89</v>
      </c>
      <c r="D86" s="100">
        <v>17.2</v>
      </c>
      <c r="E86" s="100">
        <v>9.76</v>
      </c>
      <c r="F86" s="152" t="s">
        <v>15</v>
      </c>
      <c r="G86" s="100">
        <v>69.52</v>
      </c>
      <c r="H86" s="100">
        <v>39.229999999999997</v>
      </c>
      <c r="I86" s="100">
        <v>7.94</v>
      </c>
      <c r="J86" s="100">
        <v>0.24</v>
      </c>
      <c r="K86" s="100">
        <v>187.46</v>
      </c>
      <c r="L86" s="100">
        <v>25.32</v>
      </c>
      <c r="M86" s="100">
        <v>49.06</v>
      </c>
      <c r="N86" s="100">
        <v>1.2</v>
      </c>
      <c r="O86" s="100">
        <v>0</v>
      </c>
      <c r="P86" s="100">
        <v>0.55000000000000004</v>
      </c>
      <c r="Q86" s="100">
        <v>12.9</v>
      </c>
      <c r="R86" s="6"/>
      <c r="S86" s="6"/>
      <c r="T86" s="156"/>
      <c r="U86" s="6"/>
    </row>
    <row r="87" spans="1:21" customFormat="1">
      <c r="A87" s="163" t="s">
        <v>509</v>
      </c>
      <c r="B87" s="100">
        <v>4.9400000000000004</v>
      </c>
      <c r="C87" s="100">
        <v>22.88</v>
      </c>
      <c r="D87" s="100">
        <v>17.27</v>
      </c>
      <c r="E87" s="100">
        <v>9.93</v>
      </c>
      <c r="F87" s="152" t="s">
        <v>15</v>
      </c>
      <c r="G87" s="100">
        <v>75.5</v>
      </c>
      <c r="H87" s="100">
        <v>39.31</v>
      </c>
      <c r="I87" s="100">
        <v>8.25</v>
      </c>
      <c r="J87" s="100">
        <v>0.25</v>
      </c>
      <c r="K87" s="100">
        <v>240.33</v>
      </c>
      <c r="L87" s="100">
        <v>24.77</v>
      </c>
      <c r="M87" s="100">
        <v>45.79</v>
      </c>
      <c r="N87" s="100">
        <v>1.2</v>
      </c>
      <c r="O87" s="100">
        <v>0</v>
      </c>
      <c r="P87" s="100">
        <v>0.55000000000000004</v>
      </c>
      <c r="Q87" s="100">
        <v>12.91</v>
      </c>
      <c r="R87" s="6"/>
      <c r="S87" s="6"/>
      <c r="T87" s="156"/>
      <c r="U87" s="6"/>
    </row>
    <row r="88" spans="1:21" customFormat="1">
      <c r="A88" s="163" t="s">
        <v>510</v>
      </c>
      <c r="B88" s="100">
        <v>4.9800000000000004</v>
      </c>
      <c r="C88" s="100">
        <v>22.82</v>
      </c>
      <c r="D88" s="100">
        <v>17.27</v>
      </c>
      <c r="E88" s="100">
        <v>9.24</v>
      </c>
      <c r="F88" s="152" t="s">
        <v>15</v>
      </c>
      <c r="G88" s="100">
        <v>75.5</v>
      </c>
      <c r="H88" s="100">
        <v>39.31</v>
      </c>
      <c r="I88" s="100">
        <v>8.57</v>
      </c>
      <c r="J88" s="100">
        <v>7.0000000000000007E-2</v>
      </c>
      <c r="K88" s="100">
        <v>150.91999999999999</v>
      </c>
      <c r="L88" s="100">
        <v>24.82</v>
      </c>
      <c r="M88" s="100">
        <v>45.27</v>
      </c>
      <c r="N88" s="100">
        <v>0.8</v>
      </c>
      <c r="O88" s="100">
        <v>0</v>
      </c>
      <c r="P88" s="100">
        <v>0.56000000000000005</v>
      </c>
      <c r="Q88" s="100">
        <v>12.91</v>
      </c>
      <c r="R88" s="6"/>
      <c r="S88" s="6"/>
      <c r="T88" s="156"/>
      <c r="U88" s="6"/>
    </row>
    <row r="89" spans="1:21" customFormat="1">
      <c r="A89" s="163" t="s">
        <v>511</v>
      </c>
      <c r="B89" s="100">
        <v>5.5</v>
      </c>
      <c r="C89" s="100">
        <v>23.16</v>
      </c>
      <c r="D89" s="100">
        <v>17.86</v>
      </c>
      <c r="E89" s="100">
        <v>9.5299999999999994</v>
      </c>
      <c r="F89" s="152" t="s">
        <v>15</v>
      </c>
      <c r="G89" s="100">
        <v>75.5</v>
      </c>
      <c r="H89" s="100">
        <v>39.31</v>
      </c>
      <c r="I89" s="100">
        <v>8.6999999999999993</v>
      </c>
      <c r="J89" s="100">
        <v>0.28000000000000003</v>
      </c>
      <c r="K89" s="100">
        <v>180.24</v>
      </c>
      <c r="L89" s="100">
        <v>24.6</v>
      </c>
      <c r="M89" s="100">
        <v>51.87</v>
      </c>
      <c r="N89" s="100">
        <v>1.3</v>
      </c>
      <c r="O89" s="100">
        <v>0</v>
      </c>
      <c r="P89" s="100">
        <v>0.57999999999999996</v>
      </c>
      <c r="Q89" s="100">
        <v>12.92</v>
      </c>
      <c r="R89" s="6"/>
      <c r="S89" s="6"/>
      <c r="T89" s="156"/>
      <c r="U89" s="6"/>
    </row>
    <row r="90" spans="1:21" customFormat="1">
      <c r="A90" s="163" t="s">
        <v>512</v>
      </c>
      <c r="B90" s="100">
        <v>6.12</v>
      </c>
      <c r="C90" s="100">
        <v>23.64</v>
      </c>
      <c r="D90" s="100">
        <v>18.61</v>
      </c>
      <c r="E90" s="100">
        <v>9.51</v>
      </c>
      <c r="F90" s="152" t="s">
        <v>15</v>
      </c>
      <c r="G90" s="100">
        <v>70.28</v>
      </c>
      <c r="H90" s="100">
        <v>29.54</v>
      </c>
      <c r="I90" s="100">
        <v>8.7799999999999994</v>
      </c>
      <c r="J90" s="100">
        <v>0.24</v>
      </c>
      <c r="K90" s="100">
        <v>128.97999999999999</v>
      </c>
      <c r="L90" s="100">
        <v>24.27</v>
      </c>
      <c r="M90" s="100">
        <v>49.59</v>
      </c>
      <c r="N90" s="100">
        <v>0.9</v>
      </c>
      <c r="O90" s="100">
        <v>0</v>
      </c>
      <c r="P90" s="100">
        <v>0.6</v>
      </c>
      <c r="Q90" s="100">
        <v>12.92</v>
      </c>
      <c r="R90" s="6"/>
      <c r="S90" s="6"/>
      <c r="T90" s="156"/>
      <c r="U90" s="6"/>
    </row>
    <row r="91" spans="1:21" customFormat="1">
      <c r="A91" s="163" t="s">
        <v>513</v>
      </c>
      <c r="B91" s="100">
        <v>7.47</v>
      </c>
      <c r="C91" s="100">
        <v>24.36</v>
      </c>
      <c r="D91" s="100">
        <v>20.07</v>
      </c>
      <c r="E91" s="100">
        <v>9.2899999999999991</v>
      </c>
      <c r="F91" s="152" t="s">
        <v>15</v>
      </c>
      <c r="G91" s="100">
        <v>68.38</v>
      </c>
      <c r="H91" s="100">
        <v>29.38</v>
      </c>
      <c r="I91" s="100">
        <v>8.93</v>
      </c>
      <c r="J91" s="100">
        <v>0.31</v>
      </c>
      <c r="K91" s="100">
        <v>159.19</v>
      </c>
      <c r="L91" s="100">
        <v>24.25</v>
      </c>
      <c r="M91" s="100">
        <v>51.97</v>
      </c>
      <c r="N91" s="100">
        <v>1</v>
      </c>
      <c r="O91" s="100">
        <v>0</v>
      </c>
      <c r="P91" s="100">
        <v>0.64</v>
      </c>
      <c r="Q91" s="100">
        <v>12.93</v>
      </c>
      <c r="R91" s="6"/>
      <c r="S91" s="6"/>
      <c r="T91" s="156"/>
      <c r="U91" s="6"/>
    </row>
    <row r="92" spans="1:21" customFormat="1">
      <c r="A92" s="163" t="s">
        <v>514</v>
      </c>
      <c r="B92" s="100">
        <v>9.2100000000000009</v>
      </c>
      <c r="C92" s="100">
        <v>25.21</v>
      </c>
      <c r="D92" s="100">
        <v>21.91</v>
      </c>
      <c r="E92" s="100">
        <v>9.49</v>
      </c>
      <c r="F92" s="152" t="s">
        <v>15</v>
      </c>
      <c r="G92" s="100">
        <v>68.38</v>
      </c>
      <c r="H92" s="100">
        <v>29.38</v>
      </c>
      <c r="I92" s="100">
        <v>9.16</v>
      </c>
      <c r="J92" s="100">
        <v>0.28000000000000003</v>
      </c>
      <c r="K92" s="100">
        <v>162.87</v>
      </c>
      <c r="L92" s="100">
        <v>23.77</v>
      </c>
      <c r="M92" s="100">
        <v>54.05</v>
      </c>
      <c r="N92" s="100">
        <v>1.1000000000000001</v>
      </c>
      <c r="O92" s="100">
        <v>0</v>
      </c>
      <c r="P92" s="100">
        <v>0.66</v>
      </c>
      <c r="Q92" s="100">
        <v>12.93</v>
      </c>
      <c r="R92" s="6"/>
      <c r="S92" s="6"/>
      <c r="T92" s="156"/>
      <c r="U92" s="6"/>
    </row>
    <row r="93" spans="1:21" customFormat="1">
      <c r="A93" s="163" t="s">
        <v>515</v>
      </c>
      <c r="B93" s="100">
        <v>10.76</v>
      </c>
      <c r="C93" s="100">
        <v>25.71</v>
      </c>
      <c r="D93" s="100">
        <v>23.41</v>
      </c>
      <c r="E93" s="100">
        <v>9.41</v>
      </c>
      <c r="F93" s="152" t="s">
        <v>15</v>
      </c>
      <c r="G93" s="100">
        <v>68.38</v>
      </c>
      <c r="H93" s="100">
        <v>29.38</v>
      </c>
      <c r="I93" s="100">
        <v>9.49</v>
      </c>
      <c r="J93" s="100">
        <v>0.24</v>
      </c>
      <c r="K93" s="100">
        <v>173.32</v>
      </c>
      <c r="L93" s="100">
        <v>23.31</v>
      </c>
      <c r="M93" s="100">
        <v>58.86</v>
      </c>
      <c r="N93" s="100">
        <v>1.1000000000000001</v>
      </c>
      <c r="O93" s="100">
        <v>0</v>
      </c>
      <c r="P93" s="100">
        <v>0.69</v>
      </c>
      <c r="Q93" s="100">
        <v>12.94</v>
      </c>
      <c r="R93" s="6"/>
      <c r="S93" s="6"/>
      <c r="T93" s="156"/>
      <c r="U93" s="6"/>
    </row>
    <row r="94" spans="1:21" customFormat="1">
      <c r="A94" s="163" t="s">
        <v>516</v>
      </c>
      <c r="B94" s="100">
        <v>12.23</v>
      </c>
      <c r="C94" s="100">
        <v>26.28</v>
      </c>
      <c r="D94" s="100">
        <v>24.89</v>
      </c>
      <c r="E94" s="100">
        <v>9.68</v>
      </c>
      <c r="F94" s="152" t="s">
        <v>15</v>
      </c>
      <c r="G94" s="100">
        <v>81.87</v>
      </c>
      <c r="H94" s="100">
        <v>29.82</v>
      </c>
      <c r="I94" s="100">
        <v>9.92</v>
      </c>
      <c r="J94" s="100">
        <v>0.24</v>
      </c>
      <c r="K94" s="100">
        <v>208.23</v>
      </c>
      <c r="L94" s="100">
        <v>22.6</v>
      </c>
      <c r="M94" s="100">
        <v>60.46</v>
      </c>
      <c r="N94" s="100">
        <v>1.4</v>
      </c>
      <c r="O94" s="100">
        <v>0</v>
      </c>
      <c r="P94" s="100">
        <v>0.73</v>
      </c>
      <c r="Q94" s="100">
        <v>12.93</v>
      </c>
      <c r="R94" s="6"/>
      <c r="S94" s="6"/>
      <c r="T94" s="156"/>
      <c r="U94" s="6"/>
    </row>
    <row r="95" spans="1:21" customFormat="1">
      <c r="A95" s="163" t="s">
        <v>517</v>
      </c>
      <c r="B95" s="100">
        <v>13.54</v>
      </c>
      <c r="C95" s="100">
        <v>26.53</v>
      </c>
      <c r="D95" s="100">
        <v>26.07</v>
      </c>
      <c r="E95" s="100">
        <v>9.91</v>
      </c>
      <c r="F95" s="152" t="s">
        <v>15</v>
      </c>
      <c r="G95" s="100">
        <v>86.78</v>
      </c>
      <c r="H95" s="100">
        <v>29.83</v>
      </c>
      <c r="I95" s="100">
        <v>10.36</v>
      </c>
      <c r="J95" s="100">
        <v>0.17</v>
      </c>
      <c r="K95" s="100">
        <v>169.26</v>
      </c>
      <c r="L95" s="100">
        <v>22.3</v>
      </c>
      <c r="M95" s="100">
        <v>55.46</v>
      </c>
      <c r="N95" s="100">
        <v>0.9</v>
      </c>
      <c r="O95" s="100">
        <v>0</v>
      </c>
      <c r="P95" s="100">
        <v>0.75</v>
      </c>
      <c r="Q95" s="100">
        <v>12.96</v>
      </c>
      <c r="R95" s="6"/>
      <c r="S95" s="6"/>
      <c r="T95" s="156"/>
      <c r="U95" s="6"/>
    </row>
    <row r="96" spans="1:21" customFormat="1">
      <c r="A96" s="163" t="s">
        <v>518</v>
      </c>
      <c r="B96" s="100">
        <v>14.39</v>
      </c>
      <c r="C96" s="100">
        <v>26.72</v>
      </c>
      <c r="D96" s="100">
        <v>26.85</v>
      </c>
      <c r="E96" s="100">
        <v>9.57</v>
      </c>
      <c r="F96" s="152" t="s">
        <v>15</v>
      </c>
      <c r="G96" s="100">
        <v>86.78</v>
      </c>
      <c r="H96" s="100">
        <v>29.83</v>
      </c>
      <c r="I96" s="100">
        <v>10.71</v>
      </c>
      <c r="J96" s="100">
        <v>0.26</v>
      </c>
      <c r="K96" s="100">
        <v>182.9</v>
      </c>
      <c r="L96" s="100">
        <v>22.27</v>
      </c>
      <c r="M96" s="100">
        <v>62.75</v>
      </c>
      <c r="N96" s="100">
        <v>1.1000000000000001</v>
      </c>
      <c r="O96" s="100">
        <v>0</v>
      </c>
      <c r="P96" s="100">
        <v>0.76</v>
      </c>
      <c r="Q96" s="100">
        <v>12.96</v>
      </c>
      <c r="R96" s="6"/>
      <c r="S96" s="6"/>
      <c r="T96" s="156"/>
      <c r="U96" s="6"/>
    </row>
    <row r="97" spans="1:28" customFormat="1">
      <c r="A97" s="163" t="s">
        <v>519</v>
      </c>
      <c r="B97" s="100">
        <v>14.99</v>
      </c>
      <c r="C97" s="100">
        <v>26.75</v>
      </c>
      <c r="D97" s="100">
        <v>27.35</v>
      </c>
      <c r="E97" s="100">
        <v>9.93</v>
      </c>
      <c r="F97" s="152" t="s">
        <v>15</v>
      </c>
      <c r="G97" s="100">
        <v>86.78</v>
      </c>
      <c r="H97" s="100">
        <v>29.83</v>
      </c>
      <c r="I97" s="100">
        <v>11</v>
      </c>
      <c r="J97" s="100">
        <v>0.17</v>
      </c>
      <c r="K97" s="100">
        <v>194.17</v>
      </c>
      <c r="L97" s="100">
        <v>21.71</v>
      </c>
      <c r="M97" s="100">
        <v>63.63</v>
      </c>
      <c r="N97" s="100">
        <v>1.2</v>
      </c>
      <c r="O97" s="100">
        <v>0</v>
      </c>
      <c r="P97" s="100">
        <v>0.77</v>
      </c>
      <c r="Q97" s="100">
        <v>12.97</v>
      </c>
      <c r="R97" s="6"/>
      <c r="S97" s="6"/>
      <c r="T97" s="156"/>
      <c r="U97" s="6"/>
    </row>
    <row r="98" spans="1:28" customFormat="1">
      <c r="A98" s="163" t="s">
        <v>520</v>
      </c>
      <c r="B98" s="100">
        <v>15.44</v>
      </c>
      <c r="C98" s="100">
        <v>26.89</v>
      </c>
      <c r="D98" s="100">
        <v>27.78</v>
      </c>
      <c r="E98" s="100">
        <v>9.44</v>
      </c>
      <c r="F98" s="152" t="s">
        <v>15</v>
      </c>
      <c r="G98" s="100">
        <v>90.27</v>
      </c>
      <c r="H98" s="100">
        <v>29.51</v>
      </c>
      <c r="I98" s="100">
        <v>11.24</v>
      </c>
      <c r="J98" s="100">
        <v>0.18</v>
      </c>
      <c r="K98" s="100">
        <v>157.13999999999999</v>
      </c>
      <c r="L98" s="100">
        <v>21.86</v>
      </c>
      <c r="M98" s="100">
        <v>60.27</v>
      </c>
      <c r="N98" s="100">
        <v>0.7</v>
      </c>
      <c r="O98" s="100">
        <v>0</v>
      </c>
      <c r="P98" s="100">
        <v>0.79</v>
      </c>
      <c r="Q98" s="100">
        <v>12.98</v>
      </c>
      <c r="R98" s="6"/>
      <c r="S98" s="6"/>
      <c r="T98" s="156"/>
      <c r="U98" s="6"/>
    </row>
    <row r="99" spans="1:28" customFormat="1">
      <c r="A99" s="163" t="s">
        <v>521</v>
      </c>
      <c r="B99" s="100">
        <v>16.73</v>
      </c>
      <c r="C99" s="100">
        <v>27.37</v>
      </c>
      <c r="D99" s="100">
        <v>29.07</v>
      </c>
      <c r="E99" s="100">
        <v>9.5</v>
      </c>
      <c r="F99" s="152" t="s">
        <v>15</v>
      </c>
      <c r="G99" s="100">
        <v>91.54</v>
      </c>
      <c r="H99" s="100">
        <v>29.51</v>
      </c>
      <c r="I99" s="100">
        <v>11.48</v>
      </c>
      <c r="J99" s="100">
        <v>0.18</v>
      </c>
      <c r="K99" s="100">
        <v>169.39</v>
      </c>
      <c r="L99" s="100">
        <v>21.98</v>
      </c>
      <c r="M99" s="100">
        <v>59.67</v>
      </c>
      <c r="N99" s="100">
        <v>0.8</v>
      </c>
      <c r="O99" s="100">
        <v>0</v>
      </c>
      <c r="P99" s="100">
        <v>0.85</v>
      </c>
      <c r="Q99" s="100">
        <v>12.97</v>
      </c>
      <c r="R99" s="6"/>
      <c r="S99" s="6"/>
      <c r="T99" s="156"/>
      <c r="U99" s="6"/>
    </row>
    <row r="100" spans="1:28" customFormat="1">
      <c r="A100" s="163" t="s">
        <v>522</v>
      </c>
      <c r="B100" s="100">
        <v>18.84</v>
      </c>
      <c r="C100" s="100">
        <v>27.31</v>
      </c>
      <c r="D100" s="100">
        <v>30.72</v>
      </c>
      <c r="E100" s="100">
        <v>9.3000000000000007</v>
      </c>
      <c r="F100" s="152" t="s">
        <v>15</v>
      </c>
      <c r="G100" s="100">
        <v>91.54</v>
      </c>
      <c r="H100" s="100">
        <v>29.51</v>
      </c>
      <c r="I100" s="100">
        <v>11.72</v>
      </c>
      <c r="J100" s="100">
        <v>0.23</v>
      </c>
      <c r="K100" s="100">
        <v>165.54</v>
      </c>
      <c r="L100" s="100">
        <v>21.68</v>
      </c>
      <c r="M100" s="100">
        <v>65.709999999999994</v>
      </c>
      <c r="N100" s="100">
        <v>1</v>
      </c>
      <c r="O100" s="100">
        <v>0</v>
      </c>
      <c r="P100" s="100">
        <v>0.87</v>
      </c>
      <c r="Q100" s="100">
        <v>12.97</v>
      </c>
      <c r="R100" s="6"/>
      <c r="S100" s="6"/>
      <c r="T100" s="156"/>
      <c r="U100" s="6"/>
      <c r="AB100" s="161"/>
    </row>
    <row r="101" spans="1:28" customFormat="1">
      <c r="A101" s="163" t="s">
        <v>523</v>
      </c>
      <c r="B101" s="100">
        <v>21.03</v>
      </c>
      <c r="C101" s="100">
        <v>27.24</v>
      </c>
      <c r="D101" s="100">
        <v>32.450000000000003</v>
      </c>
      <c r="E101" s="100">
        <v>9.43</v>
      </c>
      <c r="F101" s="152" t="s">
        <v>15</v>
      </c>
      <c r="G101" s="100">
        <v>91.54</v>
      </c>
      <c r="H101" s="100">
        <v>29.51</v>
      </c>
      <c r="I101" s="100">
        <v>11.91</v>
      </c>
      <c r="J101" s="100">
        <v>0.18</v>
      </c>
      <c r="K101" s="100">
        <v>183.34</v>
      </c>
      <c r="L101" s="100">
        <v>21.43</v>
      </c>
      <c r="M101" s="100">
        <v>64.78</v>
      </c>
      <c r="N101" s="100">
        <v>1</v>
      </c>
      <c r="O101" s="100">
        <v>0</v>
      </c>
      <c r="P101" s="100">
        <v>0.89</v>
      </c>
      <c r="Q101" s="100">
        <v>12.98</v>
      </c>
      <c r="R101" s="6"/>
      <c r="S101" s="6"/>
      <c r="T101" s="156"/>
      <c r="U101" s="6"/>
    </row>
    <row r="102" spans="1:28" customFormat="1">
      <c r="A102" s="163" t="s">
        <v>524</v>
      </c>
      <c r="B102" s="100">
        <v>23.35</v>
      </c>
      <c r="C102" s="100">
        <v>27.28</v>
      </c>
      <c r="D102" s="100">
        <v>34.33</v>
      </c>
      <c r="E102" s="100">
        <v>9.75</v>
      </c>
      <c r="F102" s="152" t="s">
        <v>15</v>
      </c>
      <c r="G102" s="100">
        <v>103.11</v>
      </c>
      <c r="H102" s="100">
        <v>29.45</v>
      </c>
      <c r="I102" s="100">
        <v>12.07</v>
      </c>
      <c r="J102" s="100">
        <v>0.23</v>
      </c>
      <c r="K102" s="100">
        <v>197.65</v>
      </c>
      <c r="L102" s="100">
        <v>20.86</v>
      </c>
      <c r="M102" s="100">
        <v>67.400000000000006</v>
      </c>
      <c r="N102" s="100">
        <v>1.3</v>
      </c>
      <c r="O102" s="100">
        <v>0</v>
      </c>
      <c r="P102" s="100">
        <v>0.92</v>
      </c>
      <c r="Q102" s="100">
        <v>12.99</v>
      </c>
      <c r="R102" s="6"/>
      <c r="S102" s="6"/>
      <c r="T102" s="156"/>
      <c r="U102" s="6"/>
    </row>
    <row r="103" spans="1:28" customFormat="1">
      <c r="A103" s="163" t="s">
        <v>525</v>
      </c>
      <c r="B103" s="100">
        <v>24.46</v>
      </c>
      <c r="C103" s="100">
        <v>27.08</v>
      </c>
      <c r="D103" s="100">
        <v>35.119999999999997</v>
      </c>
      <c r="E103" s="100">
        <v>9.6300000000000008</v>
      </c>
      <c r="F103" s="152" t="s">
        <v>15</v>
      </c>
      <c r="G103" s="100">
        <v>107.32</v>
      </c>
      <c r="H103" s="100">
        <v>29.45</v>
      </c>
      <c r="I103" s="100">
        <v>12.24</v>
      </c>
      <c r="J103" s="100">
        <v>0.16</v>
      </c>
      <c r="K103" s="100">
        <v>171.91</v>
      </c>
      <c r="L103" s="100">
        <v>20.63</v>
      </c>
      <c r="M103" s="100">
        <v>67.88</v>
      </c>
      <c r="N103" s="100">
        <v>1.1000000000000001</v>
      </c>
      <c r="O103" s="100">
        <v>0</v>
      </c>
      <c r="P103" s="100">
        <v>0.92</v>
      </c>
      <c r="Q103" s="100">
        <v>12.99</v>
      </c>
      <c r="R103" s="6"/>
      <c r="S103" s="6"/>
      <c r="T103" s="156"/>
      <c r="U103" s="6"/>
    </row>
    <row r="104" spans="1:28" customFormat="1">
      <c r="A104" s="163" t="s">
        <v>526</v>
      </c>
      <c r="B104" s="100">
        <v>24.66</v>
      </c>
      <c r="C104" s="100">
        <v>26.62</v>
      </c>
      <c r="D104" s="100">
        <v>35.04</v>
      </c>
      <c r="E104" s="100">
        <v>9.2899999999999991</v>
      </c>
      <c r="F104" s="152" t="s">
        <v>15</v>
      </c>
      <c r="G104" s="100">
        <v>107.32</v>
      </c>
      <c r="H104" s="100">
        <v>29.45</v>
      </c>
      <c r="I104" s="100">
        <v>12.39</v>
      </c>
      <c r="J104" s="100">
        <v>0.19</v>
      </c>
      <c r="K104" s="100">
        <v>203.37</v>
      </c>
      <c r="L104" s="100">
        <v>20.58</v>
      </c>
      <c r="M104" s="100">
        <v>66.760000000000005</v>
      </c>
      <c r="N104" s="100">
        <v>0.9</v>
      </c>
      <c r="O104" s="100">
        <v>0</v>
      </c>
      <c r="P104" s="100">
        <v>0.93</v>
      </c>
      <c r="Q104" s="100">
        <v>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4.03</v>
      </c>
      <c r="C106" s="158">
        <f>MIN(C9:C104)</f>
        <v>22.27</v>
      </c>
      <c r="D106" s="158">
        <f t="shared" ref="D106:Q106" si="0">MIN(D9:D104)</f>
        <v>16.8</v>
      </c>
      <c r="E106" s="158">
        <f t="shared" si="0"/>
        <v>8.0299999999999994</v>
      </c>
      <c r="F106" s="158">
        <f t="shared" si="0"/>
        <v>0</v>
      </c>
      <c r="G106" s="158">
        <f t="shared" si="0"/>
        <v>45.71</v>
      </c>
      <c r="H106" s="158">
        <f t="shared" si="0"/>
        <v>22.1</v>
      </c>
      <c r="I106" s="158">
        <f t="shared" si="0"/>
        <v>6.78</v>
      </c>
      <c r="J106" s="158">
        <f t="shared" si="0"/>
        <v>0.01</v>
      </c>
      <c r="K106" s="158">
        <f t="shared" si="0"/>
        <v>0.89</v>
      </c>
      <c r="L106" s="158">
        <f t="shared" si="0"/>
        <v>20.58</v>
      </c>
      <c r="M106" s="158">
        <f t="shared" si="0"/>
        <v>20.48</v>
      </c>
      <c r="N106" s="158">
        <f t="shared" si="0"/>
        <v>0.4</v>
      </c>
      <c r="O106" s="158">
        <f t="shared" si="0"/>
        <v>0</v>
      </c>
      <c r="P106" s="158">
        <f t="shared" si="0"/>
        <v>0.49</v>
      </c>
      <c r="Q106" s="158">
        <f t="shared" si="0"/>
        <v>12.9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24.66</v>
      </c>
      <c r="C107" s="157">
        <f t="shared" ref="C107:Q107" si="1">MAX(C9:C104)</f>
        <v>29.46</v>
      </c>
      <c r="D107" s="157">
        <f t="shared" si="1"/>
        <v>35.119999999999997</v>
      </c>
      <c r="E107" s="157">
        <f t="shared" si="1"/>
        <v>24.56</v>
      </c>
      <c r="F107" s="157">
        <f t="shared" si="1"/>
        <v>0</v>
      </c>
      <c r="G107" s="157">
        <f t="shared" si="1"/>
        <v>115.46</v>
      </c>
      <c r="H107" s="157">
        <f t="shared" si="1"/>
        <v>50.92</v>
      </c>
      <c r="I107" s="157">
        <f t="shared" si="1"/>
        <v>12.93</v>
      </c>
      <c r="J107" s="157">
        <f t="shared" si="1"/>
        <v>1.53</v>
      </c>
      <c r="K107" s="157">
        <f t="shared" si="1"/>
        <v>353.57</v>
      </c>
      <c r="L107" s="157">
        <f t="shared" si="1"/>
        <v>33.299999999999997</v>
      </c>
      <c r="M107" s="157">
        <f t="shared" si="1"/>
        <v>77.400000000000006</v>
      </c>
      <c r="N107" s="157">
        <f t="shared" si="1"/>
        <v>342.5</v>
      </c>
      <c r="O107" s="157">
        <f t="shared" si="1"/>
        <v>0</v>
      </c>
      <c r="P107" s="157">
        <f t="shared" si="1"/>
        <v>1.06</v>
      </c>
      <c r="Q107" s="157">
        <f t="shared" si="1"/>
        <v>13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10.409479166666673</v>
      </c>
      <c r="C108" s="158">
        <f t="shared" ref="C108:Q108" si="2">AVERAGE(C9:C104)</f>
        <v>26.135208333333328</v>
      </c>
      <c r="D108" s="158">
        <f t="shared" si="2"/>
        <v>23.353749999999991</v>
      </c>
      <c r="E108" s="158">
        <f t="shared" si="2"/>
        <v>11.507916666666665</v>
      </c>
      <c r="F108" s="158" t="e">
        <f t="shared" si="2"/>
        <v>#DIV/0!</v>
      </c>
      <c r="G108" s="158">
        <f t="shared" si="2"/>
        <v>82.487604166666685</v>
      </c>
      <c r="H108" s="158">
        <f t="shared" si="2"/>
        <v>33.683958333333329</v>
      </c>
      <c r="I108" s="158">
        <f t="shared" si="2"/>
        <v>10.210833333333335</v>
      </c>
      <c r="J108" s="158">
        <f t="shared" si="2"/>
        <v>0.453125</v>
      </c>
      <c r="K108" s="158">
        <f t="shared" si="2"/>
        <v>149.67635416666664</v>
      </c>
      <c r="L108" s="158">
        <f t="shared" si="2"/>
        <v>25.627499999999998</v>
      </c>
      <c r="M108" s="158">
        <f t="shared" si="2"/>
        <v>53.817916666666669</v>
      </c>
      <c r="N108" s="158">
        <f t="shared" si="2"/>
        <v>80.610416666666694</v>
      </c>
      <c r="O108" s="158">
        <f t="shared" si="2"/>
        <v>0</v>
      </c>
      <c r="P108" s="158">
        <f t="shared" si="2"/>
        <v>0.79833333333333367</v>
      </c>
      <c r="Q108" s="158">
        <f t="shared" si="2"/>
        <v>12.954895833333332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5.4845849758624459</v>
      </c>
      <c r="C109" s="158">
        <f t="shared" ref="C109:Q109" si="3">STDEV(C9:C104)</f>
        <v>1.908102931774283</v>
      </c>
      <c r="D109" s="158">
        <f t="shared" si="3"/>
        <v>5.0167689853761486</v>
      </c>
      <c r="E109" s="158">
        <f t="shared" si="3"/>
        <v>2.9420161066741173</v>
      </c>
      <c r="F109" s="158" t="e">
        <f t="shared" si="3"/>
        <v>#DIV/0!</v>
      </c>
      <c r="G109" s="158">
        <f t="shared" si="3"/>
        <v>19.232298532186274</v>
      </c>
      <c r="H109" s="158">
        <f t="shared" si="3"/>
        <v>6.3572969229592466</v>
      </c>
      <c r="I109" s="158">
        <f t="shared" si="3"/>
        <v>2.0148332393665034</v>
      </c>
      <c r="J109" s="158">
        <f t="shared" si="3"/>
        <v>0.35796004628567418</v>
      </c>
      <c r="K109" s="158">
        <f t="shared" si="3"/>
        <v>101.37857643630728</v>
      </c>
      <c r="L109" s="158">
        <f t="shared" si="3"/>
        <v>4.5773343196323797</v>
      </c>
      <c r="M109" s="158">
        <f t="shared" si="3"/>
        <v>17.43906249995085</v>
      </c>
      <c r="N109" s="158">
        <f t="shared" si="3"/>
        <v>116.86230356968849</v>
      </c>
      <c r="O109" s="158">
        <f t="shared" si="3"/>
        <v>0</v>
      </c>
      <c r="P109" s="158">
        <f t="shared" si="3"/>
        <v>0.17566515196257543</v>
      </c>
      <c r="Q109" s="158">
        <f t="shared" si="3"/>
        <v>3.1986668001287195E-2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J103" sqref="J10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527</v>
      </c>
      <c r="B9" s="100">
        <v>24.63</v>
      </c>
      <c r="C9" s="100">
        <v>26.21</v>
      </c>
      <c r="D9" s="100">
        <v>34.799999999999997</v>
      </c>
      <c r="E9" s="100">
        <v>9.57</v>
      </c>
      <c r="F9" s="152" t="s">
        <v>15</v>
      </c>
      <c r="G9" s="100">
        <v>107.32</v>
      </c>
      <c r="H9" s="100">
        <v>29.45</v>
      </c>
      <c r="I9" s="100">
        <v>12.46</v>
      </c>
      <c r="J9" s="100">
        <v>0.15</v>
      </c>
      <c r="K9" s="100">
        <v>163.76</v>
      </c>
      <c r="L9" s="100">
        <v>20.67</v>
      </c>
      <c r="M9" s="100">
        <v>64.150000000000006</v>
      </c>
      <c r="N9" s="100">
        <v>0.9</v>
      </c>
      <c r="O9" s="100">
        <v>0</v>
      </c>
      <c r="P9" s="100">
        <v>0.94</v>
      </c>
      <c r="Q9" s="100">
        <v>13</v>
      </c>
      <c r="R9" s="6"/>
      <c r="S9" s="6"/>
      <c r="T9" s="156"/>
      <c r="U9" s="6"/>
    </row>
    <row r="10" spans="1:21" customFormat="1">
      <c r="A10" s="163" t="s">
        <v>528</v>
      </c>
      <c r="B10" s="100">
        <v>24.41</v>
      </c>
      <c r="C10" s="100">
        <v>26.01</v>
      </c>
      <c r="D10" s="100">
        <v>34.51</v>
      </c>
      <c r="E10" s="100">
        <v>9.68</v>
      </c>
      <c r="F10" s="152" t="s">
        <v>15</v>
      </c>
      <c r="G10" s="100">
        <v>102.06</v>
      </c>
      <c r="H10" s="100">
        <v>25.56</v>
      </c>
      <c r="I10" s="100">
        <v>12.52</v>
      </c>
      <c r="J10" s="100">
        <v>0.16</v>
      </c>
      <c r="K10" s="100">
        <v>153.65</v>
      </c>
      <c r="L10" s="100">
        <v>20.57</v>
      </c>
      <c r="M10" s="100">
        <v>66.510000000000005</v>
      </c>
      <c r="N10" s="100">
        <v>0.9</v>
      </c>
      <c r="O10" s="100">
        <v>0</v>
      </c>
      <c r="P10" s="100">
        <v>0.95</v>
      </c>
      <c r="Q10" s="100">
        <v>12.98</v>
      </c>
      <c r="R10" s="6"/>
      <c r="S10" s="6"/>
      <c r="T10" s="156"/>
      <c r="U10" s="6"/>
    </row>
    <row r="11" spans="1:21" customFormat="1">
      <c r="A11" s="163" t="s">
        <v>529</v>
      </c>
      <c r="B11" s="100">
        <v>24.07</v>
      </c>
      <c r="C11" s="100">
        <v>25.68</v>
      </c>
      <c r="D11" s="100">
        <v>34.07</v>
      </c>
      <c r="E11" s="100">
        <v>9.4499999999999993</v>
      </c>
      <c r="F11" s="152" t="s">
        <v>15</v>
      </c>
      <c r="G11" s="100">
        <v>100.15</v>
      </c>
      <c r="H11" s="100">
        <v>25.5</v>
      </c>
      <c r="I11" s="100">
        <v>12.59</v>
      </c>
      <c r="J11" s="100">
        <v>0.12</v>
      </c>
      <c r="K11" s="100">
        <v>178.72</v>
      </c>
      <c r="L11" s="100">
        <v>20.09</v>
      </c>
      <c r="M11" s="100">
        <v>64.72</v>
      </c>
      <c r="N11" s="100">
        <v>1</v>
      </c>
      <c r="O11" s="100">
        <v>0</v>
      </c>
      <c r="P11" s="100">
        <v>0.96</v>
      </c>
      <c r="Q11" s="100">
        <v>12.97</v>
      </c>
      <c r="R11" s="6"/>
      <c r="S11" s="6"/>
      <c r="T11" s="156"/>
      <c r="U11" s="6"/>
    </row>
    <row r="12" spans="1:21" customFormat="1">
      <c r="A12" s="163" t="s">
        <v>530</v>
      </c>
      <c r="B12" s="100">
        <v>23.78</v>
      </c>
      <c r="C12" s="100">
        <v>25.42</v>
      </c>
      <c r="D12" s="100">
        <v>33.71</v>
      </c>
      <c r="E12" s="100">
        <v>9.2799999999999994</v>
      </c>
      <c r="F12" s="152" t="s">
        <v>15</v>
      </c>
      <c r="G12" s="100">
        <v>100.15</v>
      </c>
      <c r="H12" s="100">
        <v>25.5</v>
      </c>
      <c r="I12" s="100">
        <v>12.67</v>
      </c>
      <c r="J12" s="100">
        <v>0.14000000000000001</v>
      </c>
      <c r="K12" s="100">
        <v>221.3</v>
      </c>
      <c r="L12" s="100">
        <v>20.11</v>
      </c>
      <c r="M12" s="100">
        <v>63.11</v>
      </c>
      <c r="N12" s="100">
        <v>0.9</v>
      </c>
      <c r="O12" s="100">
        <v>0</v>
      </c>
      <c r="P12" s="100">
        <v>0.97</v>
      </c>
      <c r="Q12" s="100">
        <v>12.98</v>
      </c>
      <c r="R12" s="6"/>
      <c r="S12" s="6"/>
      <c r="T12" s="156"/>
      <c r="U12" s="6"/>
    </row>
    <row r="13" spans="1:21" customFormat="1">
      <c r="A13" s="163" t="s">
        <v>531</v>
      </c>
      <c r="B13" s="100">
        <v>23.43</v>
      </c>
      <c r="C13" s="100">
        <v>25.33</v>
      </c>
      <c r="D13" s="100">
        <v>33.369999999999997</v>
      </c>
      <c r="E13" s="100">
        <v>9.1999999999999993</v>
      </c>
      <c r="F13" s="152" t="s">
        <v>15</v>
      </c>
      <c r="G13" s="100">
        <v>100.15</v>
      </c>
      <c r="H13" s="100">
        <v>25.5</v>
      </c>
      <c r="I13" s="100">
        <v>12.78</v>
      </c>
      <c r="J13" s="100">
        <v>0.3</v>
      </c>
      <c r="K13" s="100">
        <v>183.07</v>
      </c>
      <c r="L13" s="100">
        <v>20.07</v>
      </c>
      <c r="M13" s="100">
        <v>65.12</v>
      </c>
      <c r="N13" s="100">
        <v>1</v>
      </c>
      <c r="O13" s="100">
        <v>0</v>
      </c>
      <c r="P13" s="100">
        <v>0.97</v>
      </c>
      <c r="Q13" s="100">
        <v>12.98</v>
      </c>
      <c r="R13" s="6"/>
      <c r="S13" s="6"/>
      <c r="T13" s="156"/>
      <c r="U13" s="6"/>
    </row>
    <row r="14" spans="1:21" customFormat="1">
      <c r="A14" s="163" t="s">
        <v>532</v>
      </c>
      <c r="B14" s="100">
        <v>23.13</v>
      </c>
      <c r="C14" s="100">
        <v>25.37</v>
      </c>
      <c r="D14" s="100">
        <v>33.159999999999997</v>
      </c>
      <c r="E14" s="100">
        <v>8.9</v>
      </c>
      <c r="F14" s="152" t="s">
        <v>15</v>
      </c>
      <c r="G14" s="100">
        <v>96.03</v>
      </c>
      <c r="H14" s="100">
        <v>24.11</v>
      </c>
      <c r="I14" s="100">
        <v>12.87</v>
      </c>
      <c r="J14" s="100">
        <v>0.14000000000000001</v>
      </c>
      <c r="K14" s="100">
        <v>185.81</v>
      </c>
      <c r="L14" s="100">
        <v>19.77</v>
      </c>
      <c r="M14" s="100">
        <v>64.25</v>
      </c>
      <c r="N14" s="100">
        <v>1.1000000000000001</v>
      </c>
      <c r="O14" s="100">
        <v>0</v>
      </c>
      <c r="P14" s="100">
        <v>0.98</v>
      </c>
      <c r="Q14" s="100">
        <v>12.99</v>
      </c>
      <c r="R14" s="6"/>
      <c r="S14" s="6"/>
      <c r="T14" s="156"/>
      <c r="U14" s="6"/>
    </row>
    <row r="15" spans="1:21" customFormat="1">
      <c r="A15" s="163" t="s">
        <v>533</v>
      </c>
      <c r="B15" s="100">
        <v>22.89</v>
      </c>
      <c r="C15" s="100">
        <v>25.44</v>
      </c>
      <c r="D15" s="100">
        <v>33</v>
      </c>
      <c r="E15" s="100">
        <v>9.0500000000000007</v>
      </c>
      <c r="F15" s="152" t="s">
        <v>15</v>
      </c>
      <c r="G15" s="100">
        <v>94.54</v>
      </c>
      <c r="H15" s="100">
        <v>24.09</v>
      </c>
      <c r="I15" s="100">
        <v>12.9</v>
      </c>
      <c r="J15" s="100">
        <v>0.15</v>
      </c>
      <c r="K15" s="100">
        <v>165.48</v>
      </c>
      <c r="L15" s="100">
        <v>20.12</v>
      </c>
      <c r="M15" s="100">
        <v>61.02</v>
      </c>
      <c r="N15" s="100">
        <v>0.8</v>
      </c>
      <c r="O15" s="100">
        <v>0</v>
      </c>
      <c r="P15" s="100">
        <v>0.98</v>
      </c>
      <c r="Q15" s="100">
        <v>12.98</v>
      </c>
      <c r="R15" s="6"/>
      <c r="S15" s="6"/>
      <c r="T15" s="156"/>
      <c r="U15" s="6"/>
    </row>
    <row r="16" spans="1:21" customFormat="1">
      <c r="A16" s="163" t="s">
        <v>534</v>
      </c>
      <c r="B16" s="100">
        <v>22.55</v>
      </c>
      <c r="C16" s="100">
        <v>25.22</v>
      </c>
      <c r="D16" s="100">
        <v>32.619999999999997</v>
      </c>
      <c r="E16" s="100">
        <v>9.16</v>
      </c>
      <c r="F16" s="152" t="s">
        <v>15</v>
      </c>
      <c r="G16" s="100">
        <v>94.54</v>
      </c>
      <c r="H16" s="100">
        <v>24.09</v>
      </c>
      <c r="I16" s="100">
        <v>12.9</v>
      </c>
      <c r="J16" s="100">
        <v>0.13</v>
      </c>
      <c r="K16" s="100">
        <v>168.77</v>
      </c>
      <c r="L16" s="100">
        <v>19.86</v>
      </c>
      <c r="M16" s="100">
        <v>67.680000000000007</v>
      </c>
      <c r="N16" s="100">
        <v>1.2</v>
      </c>
      <c r="O16" s="100">
        <v>0</v>
      </c>
      <c r="P16" s="100">
        <v>1</v>
      </c>
      <c r="Q16" s="100">
        <v>12.98</v>
      </c>
      <c r="R16" s="6"/>
      <c r="S16" s="6"/>
      <c r="T16" s="156"/>
      <c r="U16" s="6"/>
    </row>
    <row r="17" spans="1:21" customFormat="1">
      <c r="A17" s="163" t="s">
        <v>535</v>
      </c>
      <c r="B17" s="100">
        <v>22.3</v>
      </c>
      <c r="C17" s="100">
        <v>25.02</v>
      </c>
      <c r="D17" s="100">
        <v>32.299999999999997</v>
      </c>
      <c r="E17" s="100">
        <v>9.41</v>
      </c>
      <c r="F17" s="152" t="s">
        <v>15</v>
      </c>
      <c r="G17" s="100">
        <v>94.54</v>
      </c>
      <c r="H17" s="100">
        <v>24.09</v>
      </c>
      <c r="I17" s="100">
        <v>12.94</v>
      </c>
      <c r="J17" s="100">
        <v>0.17</v>
      </c>
      <c r="K17" s="100">
        <v>183.32</v>
      </c>
      <c r="L17" s="100">
        <v>19.72</v>
      </c>
      <c r="M17" s="100">
        <v>66.17</v>
      </c>
      <c r="N17" s="100">
        <v>1</v>
      </c>
      <c r="O17" s="100">
        <v>0</v>
      </c>
      <c r="P17" s="100">
        <v>0.99</v>
      </c>
      <c r="Q17" s="100">
        <v>12.97</v>
      </c>
      <c r="R17" s="6"/>
      <c r="S17" s="6"/>
      <c r="T17" s="156"/>
      <c r="U17" s="6"/>
    </row>
    <row r="18" spans="1:21" customFormat="1">
      <c r="A18" s="163" t="s">
        <v>536</v>
      </c>
      <c r="B18" s="100">
        <v>22.07</v>
      </c>
      <c r="C18" s="100">
        <v>24.68</v>
      </c>
      <c r="D18" s="100">
        <v>31.94</v>
      </c>
      <c r="E18" s="100">
        <v>11</v>
      </c>
      <c r="F18" s="152" t="s">
        <v>15</v>
      </c>
      <c r="G18" s="100">
        <v>88</v>
      </c>
      <c r="H18" s="100">
        <v>24.42</v>
      </c>
      <c r="I18" s="100">
        <v>13.02</v>
      </c>
      <c r="J18" s="100">
        <v>0.2</v>
      </c>
      <c r="K18" s="100">
        <v>171.98</v>
      </c>
      <c r="L18" s="100">
        <v>19.25</v>
      </c>
      <c r="M18" s="100">
        <v>71.849999999999994</v>
      </c>
      <c r="N18" s="100">
        <v>1.2</v>
      </c>
      <c r="O18" s="100">
        <v>0</v>
      </c>
      <c r="P18" s="100">
        <v>1</v>
      </c>
      <c r="Q18" s="100">
        <v>12.98</v>
      </c>
      <c r="R18" s="6"/>
      <c r="S18" s="6"/>
      <c r="T18" s="156"/>
      <c r="U18" s="6"/>
    </row>
    <row r="19" spans="1:21" customFormat="1">
      <c r="A19" s="163" t="s">
        <v>537</v>
      </c>
      <c r="B19" s="100">
        <v>21.66</v>
      </c>
      <c r="C19" s="100">
        <v>24.44</v>
      </c>
      <c r="D19" s="100">
        <v>31.49</v>
      </c>
      <c r="E19" s="100">
        <v>10.9</v>
      </c>
      <c r="F19" s="152" t="s">
        <v>15</v>
      </c>
      <c r="G19" s="100">
        <v>85.63</v>
      </c>
      <c r="H19" s="100">
        <v>24.42</v>
      </c>
      <c r="I19" s="100">
        <v>13.1</v>
      </c>
      <c r="J19" s="100">
        <v>0.2</v>
      </c>
      <c r="K19" s="100">
        <v>195.87</v>
      </c>
      <c r="L19" s="100">
        <v>18.84</v>
      </c>
      <c r="M19" s="100">
        <v>73.150000000000006</v>
      </c>
      <c r="N19" s="100">
        <v>1.4</v>
      </c>
      <c r="O19" s="100">
        <v>0</v>
      </c>
      <c r="P19" s="100">
        <v>1</v>
      </c>
      <c r="Q19" s="100">
        <v>12.97</v>
      </c>
      <c r="R19" s="6"/>
      <c r="S19" s="6"/>
      <c r="T19" s="156"/>
      <c r="U19" s="6"/>
    </row>
    <row r="20" spans="1:21" customFormat="1">
      <c r="A20" s="163" t="s">
        <v>538</v>
      </c>
      <c r="B20" s="100">
        <v>21.28</v>
      </c>
      <c r="C20" s="100">
        <v>24.32</v>
      </c>
      <c r="D20" s="100">
        <v>31.12</v>
      </c>
      <c r="E20" s="100">
        <v>11.09</v>
      </c>
      <c r="F20" s="152" t="s">
        <v>15</v>
      </c>
      <c r="G20" s="100">
        <v>85.63</v>
      </c>
      <c r="H20" s="100">
        <v>24.42</v>
      </c>
      <c r="I20" s="100">
        <v>13.16</v>
      </c>
      <c r="J20" s="100">
        <v>0.16</v>
      </c>
      <c r="K20" s="100">
        <v>181.22</v>
      </c>
      <c r="L20" s="100">
        <v>18.68</v>
      </c>
      <c r="M20" s="100">
        <v>71.92</v>
      </c>
      <c r="N20" s="100">
        <v>1.1000000000000001</v>
      </c>
      <c r="O20" s="100">
        <v>0</v>
      </c>
      <c r="P20" s="100">
        <v>1</v>
      </c>
      <c r="Q20" s="100">
        <v>12.96</v>
      </c>
      <c r="R20" s="6"/>
      <c r="S20" s="6"/>
      <c r="T20" s="156"/>
      <c r="U20" s="6"/>
    </row>
    <row r="21" spans="1:21" customFormat="1">
      <c r="A21" s="163" t="s">
        <v>539</v>
      </c>
      <c r="B21" s="100">
        <v>20.93</v>
      </c>
      <c r="C21" s="100">
        <v>24.01</v>
      </c>
      <c r="D21" s="100">
        <v>30.68</v>
      </c>
      <c r="E21" s="100">
        <v>10.55</v>
      </c>
      <c r="F21" s="152" t="s">
        <v>15</v>
      </c>
      <c r="G21" s="100">
        <v>85.63</v>
      </c>
      <c r="H21" s="100">
        <v>24.42</v>
      </c>
      <c r="I21" s="100">
        <v>13.22</v>
      </c>
      <c r="J21" s="100">
        <v>0.13</v>
      </c>
      <c r="K21" s="100">
        <v>167.73</v>
      </c>
      <c r="L21" s="100">
        <v>18.71</v>
      </c>
      <c r="M21" s="100">
        <v>70.55</v>
      </c>
      <c r="N21" s="100">
        <v>0.9</v>
      </c>
      <c r="O21" s="100">
        <v>0</v>
      </c>
      <c r="P21" s="100">
        <v>0.99</v>
      </c>
      <c r="Q21" s="100">
        <v>12.97</v>
      </c>
      <c r="R21" s="6"/>
      <c r="S21" s="6"/>
      <c r="T21" s="156"/>
      <c r="U21" s="6"/>
    </row>
    <row r="22" spans="1:21" customFormat="1">
      <c r="A22" s="163" t="s">
        <v>540</v>
      </c>
      <c r="B22" s="100">
        <v>20.62</v>
      </c>
      <c r="C22" s="100">
        <v>23.42</v>
      </c>
      <c r="D22" s="100">
        <v>30.12</v>
      </c>
      <c r="E22" s="100">
        <v>10.68</v>
      </c>
      <c r="F22" s="152" t="s">
        <v>15</v>
      </c>
      <c r="G22" s="100">
        <v>75.13</v>
      </c>
      <c r="H22" s="100">
        <v>22.11</v>
      </c>
      <c r="I22" s="100">
        <v>13.28</v>
      </c>
      <c r="J22" s="100">
        <v>0.16</v>
      </c>
      <c r="K22" s="100">
        <v>144.12</v>
      </c>
      <c r="L22" s="100">
        <v>19.13</v>
      </c>
      <c r="M22" s="100">
        <v>67.98</v>
      </c>
      <c r="N22" s="100">
        <v>0.6</v>
      </c>
      <c r="O22" s="100">
        <v>0</v>
      </c>
      <c r="P22" s="100">
        <v>0.94</v>
      </c>
      <c r="Q22" s="100">
        <v>12.97</v>
      </c>
      <c r="R22" s="6"/>
      <c r="S22" s="6"/>
      <c r="T22" s="156"/>
      <c r="U22" s="6"/>
    </row>
    <row r="23" spans="1:21" customFormat="1">
      <c r="A23" s="163" t="s">
        <v>541</v>
      </c>
      <c r="B23" s="100">
        <v>21.34</v>
      </c>
      <c r="C23" s="100">
        <v>23.44</v>
      </c>
      <c r="D23" s="100">
        <v>30.71</v>
      </c>
      <c r="E23" s="100">
        <v>10.66</v>
      </c>
      <c r="F23" s="152" t="s">
        <v>15</v>
      </c>
      <c r="G23" s="100">
        <v>71.319999999999993</v>
      </c>
      <c r="H23" s="100">
        <v>22.06</v>
      </c>
      <c r="I23" s="100">
        <v>13.34</v>
      </c>
      <c r="J23" s="100">
        <v>0.31</v>
      </c>
      <c r="K23" s="100">
        <v>180.58</v>
      </c>
      <c r="L23" s="100">
        <v>19.28</v>
      </c>
      <c r="M23" s="100">
        <v>70.78</v>
      </c>
      <c r="N23" s="100">
        <v>0.9</v>
      </c>
      <c r="O23" s="100">
        <v>0</v>
      </c>
      <c r="P23" s="100">
        <v>0.92</v>
      </c>
      <c r="Q23" s="100">
        <v>12.98</v>
      </c>
      <c r="R23" s="6"/>
      <c r="S23" s="6"/>
      <c r="T23" s="156"/>
      <c r="U23" s="6"/>
    </row>
    <row r="24" spans="1:21" customFormat="1">
      <c r="A24" s="163" t="s">
        <v>542</v>
      </c>
      <c r="B24" s="100">
        <v>21.53</v>
      </c>
      <c r="C24" s="100">
        <v>23.49</v>
      </c>
      <c r="D24" s="100">
        <v>30.89</v>
      </c>
      <c r="E24" s="100">
        <v>10.56</v>
      </c>
      <c r="F24" s="152" t="s">
        <v>15</v>
      </c>
      <c r="G24" s="100">
        <v>71.319999999999993</v>
      </c>
      <c r="H24" s="100">
        <v>22.06</v>
      </c>
      <c r="I24" s="100">
        <v>13.4</v>
      </c>
      <c r="J24" s="100">
        <v>0.31</v>
      </c>
      <c r="K24" s="100">
        <v>201.54</v>
      </c>
      <c r="L24" s="100">
        <v>18.52</v>
      </c>
      <c r="M24" s="100">
        <v>72.63</v>
      </c>
      <c r="N24" s="100">
        <v>1.5</v>
      </c>
      <c r="O24" s="100">
        <v>0</v>
      </c>
      <c r="P24" s="100">
        <v>0.92</v>
      </c>
      <c r="Q24" s="100">
        <v>12.97</v>
      </c>
      <c r="R24" s="6"/>
      <c r="S24" s="6"/>
      <c r="T24" s="156"/>
      <c r="U24" s="6"/>
    </row>
    <row r="25" spans="1:21" customFormat="1">
      <c r="A25" s="163" t="s">
        <v>543</v>
      </c>
      <c r="B25" s="100">
        <v>21.07</v>
      </c>
      <c r="C25" s="100">
        <v>23.3</v>
      </c>
      <c r="D25" s="100">
        <v>30.42</v>
      </c>
      <c r="E25" s="100">
        <v>11.16</v>
      </c>
      <c r="F25" s="152" t="s">
        <v>15</v>
      </c>
      <c r="G25" s="100">
        <v>71.319999999999993</v>
      </c>
      <c r="H25" s="100">
        <v>22.06</v>
      </c>
      <c r="I25" s="100">
        <v>13.46</v>
      </c>
      <c r="J25" s="100">
        <v>0.17</v>
      </c>
      <c r="K25" s="100">
        <v>159.99</v>
      </c>
      <c r="L25" s="100">
        <v>18.32</v>
      </c>
      <c r="M25" s="100">
        <v>73.34</v>
      </c>
      <c r="N25" s="100">
        <v>1.2</v>
      </c>
      <c r="O25" s="100">
        <v>0</v>
      </c>
      <c r="P25" s="100">
        <v>0.92</v>
      </c>
      <c r="Q25" s="100">
        <v>12.96</v>
      </c>
      <c r="R25" s="6"/>
      <c r="S25" s="6"/>
      <c r="T25" s="156"/>
      <c r="U25" s="6"/>
    </row>
    <row r="26" spans="1:21" customFormat="1">
      <c r="A26" s="163" t="s">
        <v>544</v>
      </c>
      <c r="B26" s="100">
        <v>20.5</v>
      </c>
      <c r="C26" s="100">
        <v>23.14</v>
      </c>
      <c r="D26" s="100">
        <v>29.88</v>
      </c>
      <c r="E26" s="100">
        <v>10.57</v>
      </c>
      <c r="F26" s="152" t="s">
        <v>15</v>
      </c>
      <c r="G26" s="100">
        <v>66.47</v>
      </c>
      <c r="H26" s="100">
        <v>17.989999999999998</v>
      </c>
      <c r="I26" s="100">
        <v>13.47</v>
      </c>
      <c r="J26" s="100">
        <v>0.19</v>
      </c>
      <c r="K26" s="100">
        <v>210.1</v>
      </c>
      <c r="L26" s="100">
        <v>18.22</v>
      </c>
      <c r="M26" s="100">
        <v>76.89</v>
      </c>
      <c r="N26" s="100">
        <v>1</v>
      </c>
      <c r="O26" s="100">
        <v>0</v>
      </c>
      <c r="P26" s="100">
        <v>0.91</v>
      </c>
      <c r="Q26" s="100">
        <v>12.97</v>
      </c>
      <c r="R26" s="6"/>
      <c r="S26" s="6"/>
      <c r="T26" s="156"/>
      <c r="U26" s="6"/>
    </row>
    <row r="27" spans="1:21" customFormat="1">
      <c r="A27" s="163" t="s">
        <v>545</v>
      </c>
      <c r="B27" s="100">
        <v>19.899999999999999</v>
      </c>
      <c r="C27" s="100">
        <v>22.8</v>
      </c>
      <c r="D27" s="100">
        <v>29.22</v>
      </c>
      <c r="E27" s="100">
        <v>10.1</v>
      </c>
      <c r="F27" s="152" t="s">
        <v>15</v>
      </c>
      <c r="G27" s="100">
        <v>64.709999999999994</v>
      </c>
      <c r="H27" s="100">
        <v>17.93</v>
      </c>
      <c r="I27" s="100">
        <v>13.46</v>
      </c>
      <c r="J27" s="100">
        <v>0.13</v>
      </c>
      <c r="K27" s="100">
        <v>222.94</v>
      </c>
      <c r="L27" s="100">
        <v>18.02</v>
      </c>
      <c r="M27" s="100">
        <v>75.45</v>
      </c>
      <c r="N27" s="100">
        <v>1.1000000000000001</v>
      </c>
      <c r="O27" s="100">
        <v>0</v>
      </c>
      <c r="P27" s="100">
        <v>0.91</v>
      </c>
      <c r="Q27" s="100">
        <v>12.97</v>
      </c>
      <c r="R27" s="6"/>
      <c r="S27" s="6"/>
      <c r="T27" s="156"/>
      <c r="U27" s="6"/>
    </row>
    <row r="28" spans="1:21" customFormat="1">
      <c r="A28" s="163" t="s">
        <v>546</v>
      </c>
      <c r="B28" s="100">
        <v>19.239999999999998</v>
      </c>
      <c r="C28" s="100">
        <v>22.47</v>
      </c>
      <c r="D28" s="100">
        <v>28.52</v>
      </c>
      <c r="E28" s="100">
        <v>10.58</v>
      </c>
      <c r="F28" s="152" t="s">
        <v>15</v>
      </c>
      <c r="G28" s="100">
        <v>64.709999999999994</v>
      </c>
      <c r="H28" s="100">
        <v>17.93</v>
      </c>
      <c r="I28" s="100">
        <v>13.46</v>
      </c>
      <c r="J28" s="100">
        <v>0.13</v>
      </c>
      <c r="K28" s="100">
        <v>209.25</v>
      </c>
      <c r="L28" s="100">
        <v>18.09</v>
      </c>
      <c r="M28" s="100">
        <v>75.75</v>
      </c>
      <c r="N28" s="100">
        <v>1</v>
      </c>
      <c r="O28" s="100">
        <v>0</v>
      </c>
      <c r="P28" s="100">
        <v>0.91</v>
      </c>
      <c r="Q28" s="100">
        <v>12.96</v>
      </c>
      <c r="R28" s="6"/>
      <c r="S28" s="6"/>
      <c r="T28" s="156"/>
      <c r="U28" s="6"/>
    </row>
    <row r="29" spans="1:21" customFormat="1">
      <c r="A29" s="163" t="s">
        <v>547</v>
      </c>
      <c r="B29" s="100">
        <v>18.5</v>
      </c>
      <c r="C29" s="100">
        <v>22.05</v>
      </c>
      <c r="D29" s="100">
        <v>27.71</v>
      </c>
      <c r="E29" s="100">
        <v>10.92</v>
      </c>
      <c r="F29" s="152" t="s">
        <v>15</v>
      </c>
      <c r="G29" s="100">
        <v>64.709999999999994</v>
      </c>
      <c r="H29" s="100">
        <v>17.93</v>
      </c>
      <c r="I29" s="100">
        <v>13.47</v>
      </c>
      <c r="J29" s="100">
        <v>0.28000000000000003</v>
      </c>
      <c r="K29" s="100">
        <v>161.76</v>
      </c>
      <c r="L29" s="100">
        <v>18.11</v>
      </c>
      <c r="M29" s="100">
        <v>76.45</v>
      </c>
      <c r="N29" s="100">
        <v>0.9</v>
      </c>
      <c r="O29" s="100">
        <v>0</v>
      </c>
      <c r="P29" s="100">
        <v>0.91</v>
      </c>
      <c r="Q29" s="100">
        <v>12.95</v>
      </c>
      <c r="R29" s="6"/>
      <c r="S29" s="6"/>
      <c r="T29" s="156"/>
      <c r="U29" s="6"/>
    </row>
    <row r="30" spans="1:21" customFormat="1">
      <c r="A30" s="163" t="s">
        <v>548</v>
      </c>
      <c r="B30" s="100">
        <v>17.93</v>
      </c>
      <c r="C30" s="100">
        <v>21.93</v>
      </c>
      <c r="D30" s="100">
        <v>27.19</v>
      </c>
      <c r="E30" s="100">
        <v>10.53</v>
      </c>
      <c r="F30" s="152" t="s">
        <v>15</v>
      </c>
      <c r="G30" s="100">
        <v>62.13</v>
      </c>
      <c r="H30" s="100">
        <v>17.079999999999998</v>
      </c>
      <c r="I30" s="100">
        <v>13.44</v>
      </c>
      <c r="J30" s="100">
        <v>0.2</v>
      </c>
      <c r="K30" s="100">
        <v>170.92</v>
      </c>
      <c r="L30" s="100">
        <v>18.010000000000002</v>
      </c>
      <c r="M30" s="100">
        <v>76.58</v>
      </c>
      <c r="N30" s="100">
        <v>1</v>
      </c>
      <c r="O30" s="100">
        <v>0</v>
      </c>
      <c r="P30" s="100">
        <v>0.91</v>
      </c>
      <c r="Q30" s="100">
        <v>12.95</v>
      </c>
      <c r="R30" s="6"/>
      <c r="S30" s="6"/>
      <c r="T30" s="156"/>
      <c r="U30" s="6"/>
    </row>
    <row r="31" spans="1:21" customFormat="1">
      <c r="A31" s="163" t="s">
        <v>549</v>
      </c>
      <c r="B31" s="100">
        <v>17.43</v>
      </c>
      <c r="C31" s="100">
        <v>21.69</v>
      </c>
      <c r="D31" s="100">
        <v>26.66</v>
      </c>
      <c r="E31" s="100">
        <v>10.48</v>
      </c>
      <c r="F31" s="152" t="s">
        <v>15</v>
      </c>
      <c r="G31" s="100">
        <v>61.19</v>
      </c>
      <c r="H31" s="100">
        <v>17.07</v>
      </c>
      <c r="I31" s="100">
        <v>13.46</v>
      </c>
      <c r="J31" s="100">
        <v>0.2</v>
      </c>
      <c r="K31" s="100">
        <v>169.67</v>
      </c>
      <c r="L31" s="100">
        <v>18.03</v>
      </c>
      <c r="M31" s="100">
        <v>76.540000000000006</v>
      </c>
      <c r="N31" s="100">
        <v>1</v>
      </c>
      <c r="O31" s="100">
        <v>0</v>
      </c>
      <c r="P31" s="100">
        <v>0.9</v>
      </c>
      <c r="Q31" s="100">
        <v>12.96</v>
      </c>
      <c r="R31" s="6"/>
      <c r="S31" s="6"/>
      <c r="T31" s="156"/>
      <c r="U31" s="6"/>
    </row>
    <row r="32" spans="1:21" customFormat="1">
      <c r="A32" s="163" t="s">
        <v>550</v>
      </c>
      <c r="B32" s="100">
        <v>16.95</v>
      </c>
      <c r="C32" s="100">
        <v>21.85</v>
      </c>
      <c r="D32" s="100">
        <v>26.36</v>
      </c>
      <c r="E32" s="100">
        <v>10.71</v>
      </c>
      <c r="F32" s="152" t="s">
        <v>15</v>
      </c>
      <c r="G32" s="100">
        <v>61.19</v>
      </c>
      <c r="H32" s="100">
        <v>17.07</v>
      </c>
      <c r="I32" s="100">
        <v>13.48</v>
      </c>
      <c r="J32" s="100">
        <v>0.12</v>
      </c>
      <c r="K32" s="100">
        <v>172.28</v>
      </c>
      <c r="L32" s="100">
        <v>17.850000000000001</v>
      </c>
      <c r="M32" s="100">
        <v>76.64</v>
      </c>
      <c r="N32" s="100">
        <v>1</v>
      </c>
      <c r="O32" s="100">
        <v>0</v>
      </c>
      <c r="P32" s="100">
        <v>0.9</v>
      </c>
      <c r="Q32" s="100">
        <v>12.96</v>
      </c>
      <c r="R32" s="6"/>
      <c r="S32" s="6"/>
      <c r="T32" s="156"/>
      <c r="U32" s="6"/>
    </row>
    <row r="33" spans="1:21" customFormat="1">
      <c r="A33" s="163" t="s">
        <v>551</v>
      </c>
      <c r="B33" s="100">
        <v>16.5</v>
      </c>
      <c r="C33" s="100">
        <v>21.73</v>
      </c>
      <c r="D33" s="100">
        <v>25.94</v>
      </c>
      <c r="E33" s="100">
        <v>10.53</v>
      </c>
      <c r="F33" s="152" t="s">
        <v>15</v>
      </c>
      <c r="G33" s="100">
        <v>61.19</v>
      </c>
      <c r="H33" s="100">
        <v>17.07</v>
      </c>
      <c r="I33" s="100">
        <v>13.42</v>
      </c>
      <c r="J33" s="100">
        <v>0.16</v>
      </c>
      <c r="K33" s="100">
        <v>164.39</v>
      </c>
      <c r="L33" s="100">
        <v>17.84</v>
      </c>
      <c r="M33" s="100">
        <v>77.5</v>
      </c>
      <c r="N33" s="100">
        <v>1.2</v>
      </c>
      <c r="O33" s="100">
        <v>0</v>
      </c>
      <c r="P33" s="100">
        <v>0.9</v>
      </c>
      <c r="Q33" s="100">
        <v>12.96</v>
      </c>
      <c r="R33" s="6"/>
      <c r="S33" s="6"/>
      <c r="T33" s="156"/>
      <c r="U33" s="6"/>
    </row>
    <row r="34" spans="1:21" customFormat="1">
      <c r="A34" s="163" t="s">
        <v>552</v>
      </c>
      <c r="B34" s="100">
        <v>16.190000000000001</v>
      </c>
      <c r="C34" s="100">
        <v>21.66</v>
      </c>
      <c r="D34" s="100">
        <v>25.65</v>
      </c>
      <c r="E34" s="100">
        <v>10.210000000000001</v>
      </c>
      <c r="F34" s="152" t="s">
        <v>15</v>
      </c>
      <c r="G34" s="100">
        <v>61.51</v>
      </c>
      <c r="H34" s="100">
        <v>18.72</v>
      </c>
      <c r="I34" s="100">
        <v>13.43</v>
      </c>
      <c r="J34" s="100">
        <v>0.17</v>
      </c>
      <c r="K34" s="100">
        <v>186.27</v>
      </c>
      <c r="L34" s="100">
        <v>17.72</v>
      </c>
      <c r="M34" s="100">
        <v>80.45</v>
      </c>
      <c r="N34" s="100">
        <v>2.2999999999999998</v>
      </c>
      <c r="O34" s="100">
        <v>0</v>
      </c>
      <c r="P34" s="100">
        <v>0.9</v>
      </c>
      <c r="Q34" s="100">
        <v>12.93</v>
      </c>
      <c r="R34" s="6"/>
      <c r="S34" s="6"/>
      <c r="T34" s="156"/>
      <c r="U34" s="6"/>
    </row>
    <row r="35" spans="1:21" customFormat="1">
      <c r="A35" s="163" t="s">
        <v>553</v>
      </c>
      <c r="B35" s="100">
        <v>15.81</v>
      </c>
      <c r="C35" s="100">
        <v>21.44</v>
      </c>
      <c r="D35" s="100">
        <v>25.23</v>
      </c>
      <c r="E35" s="100">
        <v>10.16</v>
      </c>
      <c r="F35" s="152" t="s">
        <v>15</v>
      </c>
      <c r="G35" s="100">
        <v>61.63</v>
      </c>
      <c r="H35" s="100">
        <v>18.75</v>
      </c>
      <c r="I35" s="100">
        <v>13.46</v>
      </c>
      <c r="J35" s="100">
        <v>0.13</v>
      </c>
      <c r="K35" s="100">
        <v>190.62</v>
      </c>
      <c r="L35" s="100">
        <v>17.440000000000001</v>
      </c>
      <c r="M35" s="100">
        <v>80.78</v>
      </c>
      <c r="N35" s="100">
        <v>6.1</v>
      </c>
      <c r="O35" s="100">
        <v>0</v>
      </c>
      <c r="P35" s="100">
        <v>0.88</v>
      </c>
      <c r="Q35" s="100">
        <v>12.95</v>
      </c>
      <c r="R35" s="6"/>
      <c r="S35" s="6"/>
      <c r="T35" s="156"/>
      <c r="U35" s="6"/>
    </row>
    <row r="36" spans="1:21" customFormat="1">
      <c r="A36" s="163" t="s">
        <v>554</v>
      </c>
      <c r="B36" s="100">
        <v>15.46</v>
      </c>
      <c r="C36" s="100">
        <v>21.38</v>
      </c>
      <c r="D36" s="100">
        <v>24.92</v>
      </c>
      <c r="E36" s="100">
        <v>9.9600000000000009</v>
      </c>
      <c r="F36" s="152" t="s">
        <v>15</v>
      </c>
      <c r="G36" s="100">
        <v>61.63</v>
      </c>
      <c r="H36" s="100">
        <v>18.75</v>
      </c>
      <c r="I36" s="100">
        <v>13.45</v>
      </c>
      <c r="J36" s="100">
        <v>0.18</v>
      </c>
      <c r="K36" s="100">
        <v>182.88</v>
      </c>
      <c r="L36" s="100">
        <v>17.760000000000002</v>
      </c>
      <c r="M36" s="100">
        <v>80.319999999999993</v>
      </c>
      <c r="N36" s="100">
        <v>11.7</v>
      </c>
      <c r="O36" s="100">
        <v>0</v>
      </c>
      <c r="P36" s="100">
        <v>0.88</v>
      </c>
      <c r="Q36" s="100">
        <v>12.94</v>
      </c>
      <c r="R36" s="6"/>
      <c r="S36" s="6"/>
      <c r="T36" s="156"/>
      <c r="U36" s="6"/>
    </row>
    <row r="37" spans="1:21" customFormat="1">
      <c r="A37" s="163" t="s">
        <v>555</v>
      </c>
      <c r="B37" s="100">
        <v>15.12</v>
      </c>
      <c r="C37" s="100">
        <v>21.3</v>
      </c>
      <c r="D37" s="100">
        <v>24.6</v>
      </c>
      <c r="E37" s="100">
        <v>10.43</v>
      </c>
      <c r="F37" s="152" t="s">
        <v>15</v>
      </c>
      <c r="G37" s="100">
        <v>61.63</v>
      </c>
      <c r="H37" s="100">
        <v>18.75</v>
      </c>
      <c r="I37" s="100">
        <v>13.42</v>
      </c>
      <c r="J37" s="100">
        <v>0.3</v>
      </c>
      <c r="K37" s="100">
        <v>158.24</v>
      </c>
      <c r="L37" s="100">
        <v>18.47</v>
      </c>
      <c r="M37" s="100">
        <v>76.94</v>
      </c>
      <c r="N37" s="100">
        <v>18.3</v>
      </c>
      <c r="O37" s="100">
        <v>0</v>
      </c>
      <c r="P37" s="100">
        <v>0.88</v>
      </c>
      <c r="Q37" s="100">
        <v>12.94</v>
      </c>
      <c r="R37" s="6"/>
      <c r="S37" s="6"/>
      <c r="T37" s="156"/>
      <c r="U37" s="6"/>
    </row>
    <row r="38" spans="1:21" customFormat="1">
      <c r="A38" s="163" t="s">
        <v>556</v>
      </c>
      <c r="B38" s="100">
        <v>14.71</v>
      </c>
      <c r="C38" s="100">
        <v>21.4</v>
      </c>
      <c r="D38" s="100">
        <v>24.33</v>
      </c>
      <c r="E38" s="100">
        <v>10.83</v>
      </c>
      <c r="F38" s="152" t="s">
        <v>15</v>
      </c>
      <c r="G38" s="100">
        <v>62.11</v>
      </c>
      <c r="H38" s="100">
        <v>17.36</v>
      </c>
      <c r="I38" s="100">
        <v>13.4</v>
      </c>
      <c r="J38" s="100">
        <v>0.2</v>
      </c>
      <c r="K38" s="100">
        <v>143.03</v>
      </c>
      <c r="L38" s="100">
        <v>18.989999999999998</v>
      </c>
      <c r="M38" s="100">
        <v>73.95</v>
      </c>
      <c r="N38" s="100">
        <v>25.3</v>
      </c>
      <c r="O38" s="100">
        <v>0</v>
      </c>
      <c r="P38" s="100">
        <v>0.88</v>
      </c>
      <c r="Q38" s="100">
        <v>12.93</v>
      </c>
      <c r="R38" s="6"/>
      <c r="S38" s="6"/>
      <c r="T38" s="156"/>
      <c r="U38" s="6"/>
    </row>
    <row r="39" spans="1:21" customFormat="1">
      <c r="A39" s="163" t="s">
        <v>557</v>
      </c>
      <c r="B39" s="100">
        <v>14.35</v>
      </c>
      <c r="C39" s="100">
        <v>21.47</v>
      </c>
      <c r="D39" s="100">
        <v>24.07</v>
      </c>
      <c r="E39" s="100">
        <v>10.26</v>
      </c>
      <c r="F39" s="152" t="s">
        <v>15</v>
      </c>
      <c r="G39" s="100">
        <v>62.29</v>
      </c>
      <c r="H39" s="100">
        <v>17.34</v>
      </c>
      <c r="I39" s="100">
        <v>13.39</v>
      </c>
      <c r="J39" s="100">
        <v>0.09</v>
      </c>
      <c r="K39" s="100">
        <v>145.76</v>
      </c>
      <c r="L39" s="100">
        <v>19.75</v>
      </c>
      <c r="M39" s="100">
        <v>71.34</v>
      </c>
      <c r="N39" s="100">
        <v>32.1</v>
      </c>
      <c r="O39" s="100">
        <v>0</v>
      </c>
      <c r="P39" s="100">
        <v>0.87</v>
      </c>
      <c r="Q39" s="100">
        <v>12.93</v>
      </c>
      <c r="R39" s="6"/>
      <c r="S39" s="6"/>
      <c r="T39" s="156"/>
      <c r="U39" s="6"/>
    </row>
    <row r="40" spans="1:21" customFormat="1">
      <c r="A40" s="163" t="s">
        <v>558</v>
      </c>
      <c r="B40" s="100">
        <v>14</v>
      </c>
      <c r="C40" s="100">
        <v>21.68</v>
      </c>
      <c r="D40" s="100">
        <v>23.9</v>
      </c>
      <c r="E40" s="100">
        <v>10.55</v>
      </c>
      <c r="F40" s="152" t="s">
        <v>15</v>
      </c>
      <c r="G40" s="100">
        <v>62.29</v>
      </c>
      <c r="H40" s="100">
        <v>17.34</v>
      </c>
      <c r="I40" s="100">
        <v>13.38</v>
      </c>
      <c r="J40" s="100">
        <v>0.16</v>
      </c>
      <c r="K40" s="100">
        <v>206.23</v>
      </c>
      <c r="L40" s="100">
        <v>20.94</v>
      </c>
      <c r="M40" s="100">
        <v>66.11</v>
      </c>
      <c r="N40" s="100">
        <v>44.4</v>
      </c>
      <c r="O40" s="100">
        <v>0</v>
      </c>
      <c r="P40" s="100">
        <v>0.88</v>
      </c>
      <c r="Q40" s="100">
        <v>12.95</v>
      </c>
      <c r="R40" s="6"/>
      <c r="S40" s="6"/>
      <c r="T40" s="156"/>
      <c r="U40" s="6"/>
    </row>
    <row r="41" spans="1:21" customFormat="1">
      <c r="A41" s="163" t="s">
        <v>559</v>
      </c>
      <c r="B41" s="100">
        <v>13.47</v>
      </c>
      <c r="C41" s="100">
        <v>21.93</v>
      </c>
      <c r="D41" s="100">
        <v>23.61</v>
      </c>
      <c r="E41" s="100">
        <v>10.19</v>
      </c>
      <c r="F41" s="152" t="s">
        <v>15</v>
      </c>
      <c r="G41" s="100">
        <v>62.29</v>
      </c>
      <c r="H41" s="100">
        <v>17.34</v>
      </c>
      <c r="I41" s="100">
        <v>13.42</v>
      </c>
      <c r="J41" s="100">
        <v>0.27</v>
      </c>
      <c r="K41" s="100">
        <v>243.6</v>
      </c>
      <c r="L41" s="100">
        <v>22.09</v>
      </c>
      <c r="M41" s="100">
        <v>61.24</v>
      </c>
      <c r="N41" s="100">
        <v>111.2</v>
      </c>
      <c r="O41" s="100">
        <v>0</v>
      </c>
      <c r="P41" s="100">
        <v>0.89</v>
      </c>
      <c r="Q41" s="100">
        <v>12.95</v>
      </c>
      <c r="R41" s="6"/>
      <c r="S41" s="6"/>
      <c r="T41" s="156"/>
      <c r="U41" s="6"/>
    </row>
    <row r="42" spans="1:21" customFormat="1">
      <c r="A42" s="163" t="s">
        <v>560</v>
      </c>
      <c r="B42" s="100">
        <v>12.99</v>
      </c>
      <c r="C42" s="100">
        <v>22.6</v>
      </c>
      <c r="D42" s="100">
        <v>23.58</v>
      </c>
      <c r="E42" s="100">
        <v>10.77</v>
      </c>
      <c r="F42" s="152" t="s">
        <v>15</v>
      </c>
      <c r="G42" s="100">
        <v>61.99</v>
      </c>
      <c r="H42" s="100">
        <v>20.29</v>
      </c>
      <c r="I42" s="100">
        <v>13.51</v>
      </c>
      <c r="J42" s="100">
        <v>0.2</v>
      </c>
      <c r="K42" s="100">
        <v>245.83</v>
      </c>
      <c r="L42" s="100">
        <v>23.23</v>
      </c>
      <c r="M42" s="100">
        <v>54.45</v>
      </c>
      <c r="N42" s="100">
        <v>146.5</v>
      </c>
      <c r="O42" s="100">
        <v>0</v>
      </c>
      <c r="P42" s="100">
        <v>0.92</v>
      </c>
      <c r="Q42" s="100">
        <v>12.93</v>
      </c>
      <c r="R42" s="6"/>
      <c r="S42" s="6"/>
      <c r="T42" s="156"/>
      <c r="U42" s="6"/>
    </row>
    <row r="43" spans="1:21" customFormat="1">
      <c r="A43" s="163" t="s">
        <v>561</v>
      </c>
      <c r="B43" s="100">
        <v>12.71</v>
      </c>
      <c r="C43" s="100">
        <v>23.25</v>
      </c>
      <c r="D43" s="100">
        <v>23.69</v>
      </c>
      <c r="E43" s="100">
        <v>10.82</v>
      </c>
      <c r="F43" s="152" t="s">
        <v>15</v>
      </c>
      <c r="G43" s="100">
        <v>61.88</v>
      </c>
      <c r="H43" s="100">
        <v>20.34</v>
      </c>
      <c r="I43" s="100">
        <v>13.63</v>
      </c>
      <c r="J43" s="100">
        <v>0.23</v>
      </c>
      <c r="K43" s="100">
        <v>236.07</v>
      </c>
      <c r="L43" s="100">
        <v>24.3</v>
      </c>
      <c r="M43" s="100">
        <v>48.74</v>
      </c>
      <c r="N43" s="100">
        <v>200.4</v>
      </c>
      <c r="O43" s="100">
        <v>0</v>
      </c>
      <c r="P43" s="100">
        <v>0.95</v>
      </c>
      <c r="Q43" s="100">
        <v>12.93</v>
      </c>
      <c r="R43" s="6"/>
      <c r="S43" s="6"/>
      <c r="T43" s="156"/>
      <c r="U43" s="6"/>
    </row>
    <row r="44" spans="1:21" customFormat="1">
      <c r="A44" s="163" t="s">
        <v>562</v>
      </c>
      <c r="B44" s="100">
        <v>12.35</v>
      </c>
      <c r="C44" s="100">
        <v>23.42</v>
      </c>
      <c r="D44" s="100">
        <v>23.49</v>
      </c>
      <c r="E44" s="100">
        <v>10.52</v>
      </c>
      <c r="F44" s="152" t="s">
        <v>15</v>
      </c>
      <c r="G44" s="100">
        <v>61.88</v>
      </c>
      <c r="H44" s="100">
        <v>20.34</v>
      </c>
      <c r="I44" s="100">
        <v>13.78</v>
      </c>
      <c r="J44" s="100">
        <v>0.28000000000000003</v>
      </c>
      <c r="K44" s="100">
        <v>199.7</v>
      </c>
      <c r="L44" s="100">
        <v>25.27</v>
      </c>
      <c r="M44" s="100">
        <v>43.97</v>
      </c>
      <c r="N44" s="100">
        <v>223.9</v>
      </c>
      <c r="O44" s="100">
        <v>0</v>
      </c>
      <c r="P44" s="100">
        <v>0.94</v>
      </c>
      <c r="Q44" s="100">
        <v>12.95</v>
      </c>
      <c r="R44" s="6"/>
      <c r="S44" s="6"/>
      <c r="T44" s="156"/>
      <c r="U44" s="6"/>
    </row>
    <row r="45" spans="1:21" customFormat="1">
      <c r="A45" s="163" t="s">
        <v>563</v>
      </c>
      <c r="B45" s="100">
        <v>11.9</v>
      </c>
      <c r="C45" s="100">
        <v>23.6</v>
      </c>
      <c r="D45" s="100">
        <v>23.23</v>
      </c>
      <c r="E45" s="100">
        <v>10.37</v>
      </c>
      <c r="F45" s="152" t="s">
        <v>15</v>
      </c>
      <c r="G45" s="100">
        <v>61.88</v>
      </c>
      <c r="H45" s="100">
        <v>20.34</v>
      </c>
      <c r="I45" s="100">
        <v>13.92</v>
      </c>
      <c r="J45" s="100">
        <v>0.38</v>
      </c>
      <c r="K45" s="100">
        <v>236.17</v>
      </c>
      <c r="L45" s="100">
        <v>26.18</v>
      </c>
      <c r="M45" s="100">
        <v>42</v>
      </c>
      <c r="N45" s="100">
        <v>198</v>
      </c>
      <c r="O45" s="100">
        <v>0</v>
      </c>
      <c r="P45" s="100">
        <v>0.95</v>
      </c>
      <c r="Q45" s="100">
        <v>12.94</v>
      </c>
      <c r="R45" s="6"/>
      <c r="S45" s="6"/>
      <c r="T45" s="156"/>
      <c r="U45" s="6"/>
    </row>
    <row r="46" spans="1:21" customFormat="1">
      <c r="A46" s="163" t="s">
        <v>564</v>
      </c>
      <c r="B46" s="100">
        <v>11.37</v>
      </c>
      <c r="C46" s="100">
        <v>23.69</v>
      </c>
      <c r="D46" s="100">
        <v>22.85</v>
      </c>
      <c r="E46" s="100">
        <v>11.5</v>
      </c>
      <c r="F46" s="152" t="s">
        <v>15</v>
      </c>
      <c r="G46" s="100">
        <v>66.260000000000005</v>
      </c>
      <c r="H46" s="100">
        <v>24.67</v>
      </c>
      <c r="I46" s="100">
        <v>13.99</v>
      </c>
      <c r="J46" s="100">
        <v>0.56999999999999995</v>
      </c>
      <c r="K46" s="100">
        <v>280.08999999999997</v>
      </c>
      <c r="L46" s="100">
        <v>26.82</v>
      </c>
      <c r="M46" s="100">
        <v>40.98</v>
      </c>
      <c r="N46" s="100">
        <v>276.39999999999998</v>
      </c>
      <c r="O46" s="100">
        <v>0</v>
      </c>
      <c r="P46" s="100">
        <v>0.94</v>
      </c>
      <c r="Q46" s="100">
        <v>12.94</v>
      </c>
      <c r="R46" s="6"/>
      <c r="S46" s="6"/>
      <c r="T46" s="156"/>
      <c r="U46" s="6"/>
    </row>
    <row r="47" spans="1:21" customFormat="1">
      <c r="A47" s="163" t="s">
        <v>565</v>
      </c>
      <c r="B47" s="100">
        <v>10.73</v>
      </c>
      <c r="C47" s="100">
        <v>23.86</v>
      </c>
      <c r="D47" s="100">
        <v>22.42</v>
      </c>
      <c r="E47" s="100">
        <v>10.87</v>
      </c>
      <c r="F47" s="152" t="s">
        <v>15</v>
      </c>
      <c r="G47" s="100">
        <v>67.849999999999994</v>
      </c>
      <c r="H47" s="100">
        <v>24.77</v>
      </c>
      <c r="I47" s="100">
        <v>14.03</v>
      </c>
      <c r="J47" s="100">
        <v>0.3</v>
      </c>
      <c r="K47" s="100">
        <v>266.39999999999998</v>
      </c>
      <c r="L47" s="100">
        <v>27.75</v>
      </c>
      <c r="M47" s="100">
        <v>38.32</v>
      </c>
      <c r="N47" s="100">
        <v>284.39999999999998</v>
      </c>
      <c r="O47" s="100">
        <v>0</v>
      </c>
      <c r="P47" s="100">
        <v>0.94</v>
      </c>
      <c r="Q47" s="100">
        <v>12.93</v>
      </c>
      <c r="R47" s="6"/>
      <c r="S47" s="6"/>
      <c r="T47" s="156"/>
      <c r="U47" s="6"/>
    </row>
    <row r="48" spans="1:21" customFormat="1">
      <c r="A48" s="163" t="s">
        <v>566</v>
      </c>
      <c r="B48" s="100">
        <v>9.9499999999999993</v>
      </c>
      <c r="C48" s="100">
        <v>23.91</v>
      </c>
      <c r="D48" s="100">
        <v>21.82</v>
      </c>
      <c r="E48" s="100">
        <v>11.65</v>
      </c>
      <c r="F48" s="152" t="s">
        <v>15</v>
      </c>
      <c r="G48" s="100">
        <v>67.849999999999994</v>
      </c>
      <c r="H48" s="100">
        <v>24.77</v>
      </c>
      <c r="I48" s="100">
        <v>14</v>
      </c>
      <c r="J48" s="100">
        <v>0.17</v>
      </c>
      <c r="K48" s="100">
        <v>274.70999999999998</v>
      </c>
      <c r="L48" s="100">
        <v>28.79</v>
      </c>
      <c r="M48" s="100">
        <v>36.07</v>
      </c>
      <c r="N48" s="100">
        <v>293.5</v>
      </c>
      <c r="O48" s="100">
        <v>0</v>
      </c>
      <c r="P48" s="100">
        <v>0.92</v>
      </c>
      <c r="Q48" s="100">
        <v>12.93</v>
      </c>
      <c r="R48" s="6"/>
      <c r="S48" s="6"/>
      <c r="T48" s="156"/>
      <c r="U48" s="6"/>
    </row>
    <row r="49" spans="1:21" customFormat="1">
      <c r="A49" s="163" t="s">
        <v>567</v>
      </c>
      <c r="B49" s="100">
        <v>9.26</v>
      </c>
      <c r="C49" s="100">
        <v>24.03</v>
      </c>
      <c r="D49" s="100">
        <v>21.33</v>
      </c>
      <c r="E49" s="100">
        <v>9.19</v>
      </c>
      <c r="F49" s="152" t="s">
        <v>15</v>
      </c>
      <c r="G49" s="100">
        <v>67.849999999999994</v>
      </c>
      <c r="H49" s="100">
        <v>24.77</v>
      </c>
      <c r="I49" s="100">
        <v>13.89</v>
      </c>
      <c r="J49" s="100">
        <v>0.36</v>
      </c>
      <c r="K49" s="100">
        <v>263.41000000000003</v>
      </c>
      <c r="L49" s="100">
        <v>29.59</v>
      </c>
      <c r="M49" s="100">
        <v>34.35</v>
      </c>
      <c r="N49" s="100">
        <v>238.4</v>
      </c>
      <c r="O49" s="100">
        <v>0</v>
      </c>
      <c r="P49" s="100">
        <v>0.91</v>
      </c>
      <c r="Q49" s="100">
        <v>12.92</v>
      </c>
      <c r="R49" s="6"/>
      <c r="S49" s="6"/>
      <c r="T49" s="156"/>
      <c r="U49" s="6"/>
    </row>
    <row r="50" spans="1:21" customFormat="1">
      <c r="A50" s="163" t="s">
        <v>568</v>
      </c>
      <c r="B50" s="100">
        <v>8.5500000000000007</v>
      </c>
      <c r="C50" s="100">
        <v>24.36</v>
      </c>
      <c r="D50" s="100">
        <v>20.93</v>
      </c>
      <c r="E50" s="100">
        <v>12.21</v>
      </c>
      <c r="F50" s="152" t="s">
        <v>15</v>
      </c>
      <c r="G50" s="100">
        <v>67.98</v>
      </c>
      <c r="H50" s="100">
        <v>25.37</v>
      </c>
      <c r="I50" s="100">
        <v>13.74</v>
      </c>
      <c r="J50" s="100">
        <v>0.38</v>
      </c>
      <c r="K50" s="100">
        <v>262.48</v>
      </c>
      <c r="L50" s="100">
        <v>30.03</v>
      </c>
      <c r="M50" s="100">
        <v>32.31</v>
      </c>
      <c r="N50" s="100">
        <v>266.8</v>
      </c>
      <c r="O50" s="100">
        <v>0</v>
      </c>
      <c r="P50" s="100">
        <v>0.9</v>
      </c>
      <c r="Q50" s="100">
        <v>12.91</v>
      </c>
      <c r="R50" s="6"/>
      <c r="S50" s="6"/>
      <c r="T50" s="156"/>
      <c r="U50" s="6"/>
    </row>
    <row r="51" spans="1:21" customFormat="1">
      <c r="A51" s="163" t="s">
        <v>569</v>
      </c>
      <c r="B51" s="100">
        <v>7.81</v>
      </c>
      <c r="C51" s="100">
        <v>24.48</v>
      </c>
      <c r="D51" s="100">
        <v>20.399999999999999</v>
      </c>
      <c r="E51" s="100">
        <v>12.2</v>
      </c>
      <c r="F51" s="152" t="s">
        <v>15</v>
      </c>
      <c r="G51" s="100">
        <v>68.02</v>
      </c>
      <c r="H51" s="100">
        <v>25.37</v>
      </c>
      <c r="I51" s="100">
        <v>13.58</v>
      </c>
      <c r="J51" s="100">
        <v>0.14000000000000001</v>
      </c>
      <c r="K51" s="100">
        <v>310.74</v>
      </c>
      <c r="L51" s="100">
        <v>30.91</v>
      </c>
      <c r="M51" s="100">
        <v>29.26</v>
      </c>
      <c r="N51" s="100">
        <v>322.10000000000002</v>
      </c>
      <c r="O51" s="100">
        <v>0</v>
      </c>
      <c r="P51" s="100">
        <v>0.9</v>
      </c>
      <c r="Q51" s="100">
        <v>12.91</v>
      </c>
      <c r="R51" s="6"/>
      <c r="S51" s="6"/>
      <c r="T51" s="156"/>
      <c r="U51" s="6"/>
    </row>
    <row r="52" spans="1:21" customFormat="1">
      <c r="A52" s="163" t="s">
        <v>570</v>
      </c>
      <c r="B52" s="100">
        <v>7.15</v>
      </c>
      <c r="C52" s="100">
        <v>24.67</v>
      </c>
      <c r="D52" s="100">
        <v>19.97</v>
      </c>
      <c r="E52" s="100">
        <v>14.99</v>
      </c>
      <c r="F52" s="152" t="s">
        <v>15</v>
      </c>
      <c r="G52" s="100">
        <v>68.02</v>
      </c>
      <c r="H52" s="100">
        <v>25.37</v>
      </c>
      <c r="I52" s="100">
        <v>13.44</v>
      </c>
      <c r="J52" s="100">
        <v>0.53</v>
      </c>
      <c r="K52" s="100">
        <v>333.85</v>
      </c>
      <c r="L52" s="100">
        <v>30.91</v>
      </c>
      <c r="M52" s="100">
        <v>26.06</v>
      </c>
      <c r="N52" s="100">
        <v>335.7</v>
      </c>
      <c r="O52" s="100">
        <v>0</v>
      </c>
      <c r="P52" s="100">
        <v>0.88</v>
      </c>
      <c r="Q52" s="100">
        <v>12.92</v>
      </c>
      <c r="R52" s="6"/>
      <c r="S52" s="6"/>
      <c r="T52" s="156"/>
      <c r="U52" s="6"/>
    </row>
    <row r="53" spans="1:21" customFormat="1">
      <c r="A53" s="163" t="s">
        <v>571</v>
      </c>
      <c r="B53" s="100">
        <v>6.57</v>
      </c>
      <c r="C53" s="100">
        <v>24.69</v>
      </c>
      <c r="D53" s="100">
        <v>19.510000000000002</v>
      </c>
      <c r="E53" s="100">
        <v>12.53</v>
      </c>
      <c r="F53" s="152" t="s">
        <v>15</v>
      </c>
      <c r="G53" s="100">
        <v>68.02</v>
      </c>
      <c r="H53" s="100">
        <v>25.37</v>
      </c>
      <c r="I53" s="100">
        <v>13.26</v>
      </c>
      <c r="J53" s="100">
        <v>0.45</v>
      </c>
      <c r="K53" s="100">
        <v>316.29000000000002</v>
      </c>
      <c r="L53" s="100">
        <v>31.05</v>
      </c>
      <c r="M53" s="100">
        <v>24.47</v>
      </c>
      <c r="N53" s="100">
        <v>344.8</v>
      </c>
      <c r="O53" s="100">
        <v>0</v>
      </c>
      <c r="P53" s="100">
        <v>0.86</v>
      </c>
      <c r="Q53" s="100">
        <v>12.91</v>
      </c>
      <c r="R53" s="6"/>
      <c r="S53" s="6"/>
      <c r="T53" s="156"/>
      <c r="U53" s="6"/>
    </row>
    <row r="54" spans="1:21" customFormat="1">
      <c r="A54" s="163" t="s">
        <v>572</v>
      </c>
      <c r="B54" s="100">
        <v>5.97</v>
      </c>
      <c r="C54" s="100">
        <v>24.75</v>
      </c>
      <c r="D54" s="100">
        <v>19.07</v>
      </c>
      <c r="E54" s="100">
        <v>16.3</v>
      </c>
      <c r="F54" s="152" t="s">
        <v>15</v>
      </c>
      <c r="G54" s="100">
        <v>65.58</v>
      </c>
      <c r="H54" s="100">
        <v>27.01</v>
      </c>
      <c r="I54" s="100">
        <v>13.03</v>
      </c>
      <c r="J54" s="100">
        <v>0.36</v>
      </c>
      <c r="K54" s="100">
        <v>304.3</v>
      </c>
      <c r="L54" s="100">
        <v>31.73</v>
      </c>
      <c r="M54" s="100">
        <v>23.27</v>
      </c>
      <c r="N54" s="100">
        <v>318.60000000000002</v>
      </c>
      <c r="O54" s="100">
        <v>0</v>
      </c>
      <c r="P54" s="100">
        <v>0.85</v>
      </c>
      <c r="Q54" s="100">
        <v>12.9</v>
      </c>
      <c r="R54" s="6"/>
      <c r="S54" s="6"/>
      <c r="T54" s="156"/>
      <c r="U54" s="6"/>
    </row>
    <row r="55" spans="1:21" customFormat="1">
      <c r="A55" s="163" t="s">
        <v>573</v>
      </c>
      <c r="B55" s="100">
        <v>5.49</v>
      </c>
      <c r="C55" s="100">
        <v>24.66</v>
      </c>
      <c r="D55" s="100">
        <v>18.64</v>
      </c>
      <c r="E55" s="100">
        <v>14.26</v>
      </c>
      <c r="F55" s="152" t="s">
        <v>15</v>
      </c>
      <c r="G55" s="100">
        <v>64.69</v>
      </c>
      <c r="H55" s="100">
        <v>27.04</v>
      </c>
      <c r="I55" s="100">
        <v>12.75</v>
      </c>
      <c r="J55" s="100">
        <v>0.81</v>
      </c>
      <c r="K55" s="100">
        <v>325.32</v>
      </c>
      <c r="L55" s="100">
        <v>31.97</v>
      </c>
      <c r="M55" s="100">
        <v>20.98</v>
      </c>
      <c r="N55" s="100">
        <v>313</v>
      </c>
      <c r="O55" s="100">
        <v>0</v>
      </c>
      <c r="P55" s="100">
        <v>0.83</v>
      </c>
      <c r="Q55" s="100">
        <v>12.92</v>
      </c>
      <c r="R55" s="6"/>
      <c r="S55" s="6"/>
      <c r="T55" s="156"/>
      <c r="U55" s="6"/>
    </row>
    <row r="56" spans="1:21" customFormat="1">
      <c r="A56" s="163" t="s">
        <v>574</v>
      </c>
      <c r="B56" s="100">
        <v>5.26</v>
      </c>
      <c r="C56" s="100">
        <v>24.51</v>
      </c>
      <c r="D56" s="100">
        <v>18.38</v>
      </c>
      <c r="E56" s="100">
        <v>16.149999999999999</v>
      </c>
      <c r="F56" s="152" t="s">
        <v>15</v>
      </c>
      <c r="G56" s="100">
        <v>64.69</v>
      </c>
      <c r="H56" s="100">
        <v>27.04</v>
      </c>
      <c r="I56" s="100">
        <v>12.54</v>
      </c>
      <c r="J56" s="100">
        <v>0.48</v>
      </c>
      <c r="K56" s="100">
        <v>4.88</v>
      </c>
      <c r="L56" s="100">
        <v>31.99</v>
      </c>
      <c r="M56" s="100">
        <v>20.91</v>
      </c>
      <c r="N56" s="100">
        <v>332.5</v>
      </c>
      <c r="O56" s="100">
        <v>0</v>
      </c>
      <c r="P56" s="100">
        <v>0.82</v>
      </c>
      <c r="Q56" s="100">
        <v>12.9</v>
      </c>
      <c r="R56" s="6"/>
      <c r="S56" s="6"/>
      <c r="T56" s="156"/>
      <c r="U56" s="6"/>
    </row>
    <row r="57" spans="1:21" customFormat="1">
      <c r="A57" s="163" t="s">
        <v>575</v>
      </c>
      <c r="B57" s="100">
        <v>5.18</v>
      </c>
      <c r="C57" s="100">
        <v>24.33</v>
      </c>
      <c r="D57" s="100">
        <v>18.22</v>
      </c>
      <c r="E57" s="100">
        <v>16</v>
      </c>
      <c r="F57" s="152" t="s">
        <v>15</v>
      </c>
      <c r="G57" s="100">
        <v>64.69</v>
      </c>
      <c r="H57" s="100">
        <v>27.04</v>
      </c>
      <c r="I57" s="100">
        <v>12.26</v>
      </c>
      <c r="J57" s="100">
        <v>0.97</v>
      </c>
      <c r="K57" s="100">
        <v>311.44</v>
      </c>
      <c r="L57" s="100">
        <v>32.21</v>
      </c>
      <c r="M57" s="100">
        <v>19.32</v>
      </c>
      <c r="N57" s="100">
        <v>351.7</v>
      </c>
      <c r="O57" s="100">
        <v>0</v>
      </c>
      <c r="P57" s="100">
        <v>0.79</v>
      </c>
      <c r="Q57" s="100">
        <v>12.9</v>
      </c>
      <c r="R57" s="6"/>
      <c r="S57" s="6"/>
      <c r="T57" s="156"/>
      <c r="U57" s="6"/>
    </row>
    <row r="58" spans="1:21" customFormat="1">
      <c r="A58" s="163" t="s">
        <v>576</v>
      </c>
      <c r="B58" s="100">
        <v>5.14</v>
      </c>
      <c r="C58" s="100">
        <v>23.87</v>
      </c>
      <c r="D58" s="100">
        <v>17.940000000000001</v>
      </c>
      <c r="E58" s="100">
        <v>13.7</v>
      </c>
      <c r="F58" s="152" t="s">
        <v>15</v>
      </c>
      <c r="G58" s="100">
        <v>64.09</v>
      </c>
      <c r="H58" s="100">
        <v>29.42</v>
      </c>
      <c r="I58" s="100">
        <v>11.86</v>
      </c>
      <c r="J58" s="100">
        <v>0.95</v>
      </c>
      <c r="K58" s="100">
        <v>314.75</v>
      </c>
      <c r="L58" s="100">
        <v>32.51</v>
      </c>
      <c r="M58" s="100">
        <v>18.11</v>
      </c>
      <c r="N58" s="100">
        <v>365.1</v>
      </c>
      <c r="O58" s="100">
        <v>0</v>
      </c>
      <c r="P58" s="100">
        <v>0.76</v>
      </c>
      <c r="Q58" s="100">
        <v>12.91</v>
      </c>
      <c r="R58" s="6"/>
      <c r="S58" s="6"/>
      <c r="T58" s="156"/>
      <c r="U58" s="6"/>
    </row>
    <row r="59" spans="1:21" customFormat="1">
      <c r="A59" s="163" t="s">
        <v>577</v>
      </c>
      <c r="B59" s="100">
        <v>5.05</v>
      </c>
      <c r="C59" s="100">
        <v>23.46</v>
      </c>
      <c r="D59" s="100">
        <v>17.66</v>
      </c>
      <c r="E59" s="100">
        <v>12.14</v>
      </c>
      <c r="F59" s="152" t="s">
        <v>15</v>
      </c>
      <c r="G59" s="100">
        <v>63.86</v>
      </c>
      <c r="H59" s="100">
        <v>29.45</v>
      </c>
      <c r="I59" s="100">
        <v>11.46</v>
      </c>
      <c r="J59" s="100">
        <v>0.57999999999999996</v>
      </c>
      <c r="K59" s="100">
        <v>329.73</v>
      </c>
      <c r="L59" s="100">
        <v>32.64</v>
      </c>
      <c r="M59" s="100">
        <v>18.149999999999999</v>
      </c>
      <c r="N59" s="100">
        <v>365.8</v>
      </c>
      <c r="O59" s="100">
        <v>0</v>
      </c>
      <c r="P59" s="100">
        <v>0.73</v>
      </c>
      <c r="Q59" s="100">
        <v>12.9</v>
      </c>
      <c r="R59" s="6"/>
      <c r="S59" s="6"/>
      <c r="T59" s="156"/>
      <c r="U59" s="6"/>
    </row>
    <row r="60" spans="1:21" customFormat="1">
      <c r="A60" s="163" t="s">
        <v>578</v>
      </c>
      <c r="B60" s="100">
        <v>4.9400000000000004</v>
      </c>
      <c r="C60" s="100">
        <v>22.94</v>
      </c>
      <c r="D60" s="100">
        <v>17.3</v>
      </c>
      <c r="E60" s="100">
        <v>11.57</v>
      </c>
      <c r="F60" s="152" t="s">
        <v>15</v>
      </c>
      <c r="G60" s="100">
        <v>63.86</v>
      </c>
      <c r="H60" s="100">
        <v>29.45</v>
      </c>
      <c r="I60" s="100">
        <v>11.06</v>
      </c>
      <c r="J60" s="100">
        <v>0.76</v>
      </c>
      <c r="K60" s="100">
        <v>341.12</v>
      </c>
      <c r="L60" s="100">
        <v>32.64</v>
      </c>
      <c r="M60" s="100">
        <v>18.23</v>
      </c>
      <c r="N60" s="100">
        <v>361.1</v>
      </c>
      <c r="O60" s="100">
        <v>0</v>
      </c>
      <c r="P60" s="100">
        <v>0.72</v>
      </c>
      <c r="Q60" s="100">
        <v>12.89</v>
      </c>
      <c r="R60" s="6"/>
      <c r="S60" s="6"/>
      <c r="T60" s="156"/>
      <c r="U60" s="6"/>
    </row>
    <row r="61" spans="1:21" customFormat="1">
      <c r="A61" s="163" t="s">
        <v>579</v>
      </c>
      <c r="B61" s="100">
        <v>4.83</v>
      </c>
      <c r="C61" s="100">
        <v>22.57</v>
      </c>
      <c r="D61" s="100">
        <v>17.02</v>
      </c>
      <c r="E61" s="100">
        <v>10.52</v>
      </c>
      <c r="F61" s="152" t="s">
        <v>15</v>
      </c>
      <c r="G61" s="100">
        <v>63.86</v>
      </c>
      <c r="H61" s="100">
        <v>29.45</v>
      </c>
      <c r="I61" s="100">
        <v>10.84</v>
      </c>
      <c r="J61" s="100">
        <v>0.98</v>
      </c>
      <c r="K61" s="100">
        <v>330.11</v>
      </c>
      <c r="L61" s="100">
        <v>32.68</v>
      </c>
      <c r="M61" s="100">
        <v>17.98</v>
      </c>
      <c r="N61" s="100">
        <v>358.9</v>
      </c>
      <c r="O61" s="100">
        <v>0</v>
      </c>
      <c r="P61" s="100">
        <v>0.67</v>
      </c>
      <c r="Q61" s="100">
        <v>12.9</v>
      </c>
      <c r="R61" s="6"/>
      <c r="S61" s="6"/>
      <c r="T61" s="156"/>
      <c r="U61" s="6"/>
    </row>
    <row r="62" spans="1:21" customFormat="1">
      <c r="A62" s="163" t="s">
        <v>580</v>
      </c>
      <c r="B62" s="100">
        <v>4.59</v>
      </c>
      <c r="C62" s="100">
        <v>22.15</v>
      </c>
      <c r="D62" s="100">
        <v>16.61</v>
      </c>
      <c r="E62" s="100">
        <v>10.4</v>
      </c>
      <c r="F62" s="152" t="s">
        <v>15</v>
      </c>
      <c r="G62" s="100">
        <v>57.81</v>
      </c>
      <c r="H62" s="100">
        <v>34.229999999999997</v>
      </c>
      <c r="I62" s="100">
        <v>10.57</v>
      </c>
      <c r="J62" s="100">
        <v>1.22</v>
      </c>
      <c r="K62" s="100">
        <v>318.12</v>
      </c>
      <c r="L62" s="100">
        <v>32.69</v>
      </c>
      <c r="M62" s="100">
        <v>17.899999999999999</v>
      </c>
      <c r="N62" s="100">
        <v>352.6</v>
      </c>
      <c r="O62" s="100">
        <v>0</v>
      </c>
      <c r="P62" s="100">
        <v>0.61</v>
      </c>
      <c r="Q62" s="100">
        <v>12.91</v>
      </c>
      <c r="R62" s="6"/>
      <c r="S62" s="6"/>
      <c r="T62" s="156"/>
      <c r="U62" s="6"/>
    </row>
    <row r="63" spans="1:21" customFormat="1">
      <c r="A63" s="163" t="s">
        <v>581</v>
      </c>
      <c r="B63" s="100">
        <v>4.3899999999999997</v>
      </c>
      <c r="C63" s="100">
        <v>21.89</v>
      </c>
      <c r="D63" s="100">
        <v>16.3</v>
      </c>
      <c r="E63" s="100">
        <v>9.7899999999999991</v>
      </c>
      <c r="F63" s="152" t="s">
        <v>15</v>
      </c>
      <c r="G63" s="100">
        <v>55.61</v>
      </c>
      <c r="H63" s="100">
        <v>34.299999999999997</v>
      </c>
      <c r="I63" s="100">
        <v>10.32</v>
      </c>
      <c r="J63" s="100">
        <v>0.71</v>
      </c>
      <c r="K63" s="100">
        <v>274.70999999999998</v>
      </c>
      <c r="L63" s="100">
        <v>33.36</v>
      </c>
      <c r="M63" s="100">
        <v>17.989999999999998</v>
      </c>
      <c r="N63" s="100">
        <v>333.9</v>
      </c>
      <c r="O63" s="100">
        <v>0</v>
      </c>
      <c r="P63" s="100">
        <v>0.56999999999999995</v>
      </c>
      <c r="Q63" s="100">
        <v>12.91</v>
      </c>
      <c r="R63" s="6"/>
      <c r="S63" s="6"/>
      <c r="T63" s="156"/>
      <c r="U63" s="6"/>
    </row>
    <row r="64" spans="1:21" customFormat="1">
      <c r="A64" s="163" t="s">
        <v>582</v>
      </c>
      <c r="B64" s="100">
        <v>4.2300000000000004</v>
      </c>
      <c r="C64" s="100">
        <v>21.55</v>
      </c>
      <c r="D64" s="100">
        <v>16</v>
      </c>
      <c r="E64" s="100">
        <v>9.7100000000000009</v>
      </c>
      <c r="F64" s="152" t="s">
        <v>15</v>
      </c>
      <c r="G64" s="100">
        <v>55.61</v>
      </c>
      <c r="H64" s="100">
        <v>34.299999999999997</v>
      </c>
      <c r="I64" s="100">
        <v>10.07</v>
      </c>
      <c r="J64" s="100">
        <v>0.99</v>
      </c>
      <c r="K64" s="100">
        <v>308.07</v>
      </c>
      <c r="L64" s="100">
        <v>32.96</v>
      </c>
      <c r="M64" s="100">
        <v>17.350000000000001</v>
      </c>
      <c r="N64" s="100">
        <v>356.6</v>
      </c>
      <c r="O64" s="100">
        <v>0</v>
      </c>
      <c r="P64" s="100">
        <v>0.54</v>
      </c>
      <c r="Q64" s="100">
        <v>12.91</v>
      </c>
      <c r="R64" s="6"/>
      <c r="S64" s="6"/>
      <c r="T64" s="156"/>
      <c r="U64" s="6"/>
    </row>
    <row r="65" spans="1:21" customFormat="1">
      <c r="A65" s="163" t="s">
        <v>583</v>
      </c>
      <c r="B65" s="100">
        <v>4.2300000000000004</v>
      </c>
      <c r="C65" s="100">
        <v>21.38</v>
      </c>
      <c r="D65" s="100">
        <v>15.91</v>
      </c>
      <c r="E65" s="100">
        <v>9.57</v>
      </c>
      <c r="F65" s="152" t="s">
        <v>15</v>
      </c>
      <c r="G65" s="100">
        <v>55.61</v>
      </c>
      <c r="H65" s="100">
        <v>34.299999999999997</v>
      </c>
      <c r="I65" s="100">
        <v>9.68</v>
      </c>
      <c r="J65" s="100">
        <v>1.77</v>
      </c>
      <c r="K65" s="100">
        <v>311.32</v>
      </c>
      <c r="L65" s="100">
        <v>32.85</v>
      </c>
      <c r="M65" s="100">
        <v>16.3</v>
      </c>
      <c r="N65" s="100">
        <v>357.6</v>
      </c>
      <c r="O65" s="100">
        <v>0</v>
      </c>
      <c r="P65" s="100">
        <v>0.56999999999999995</v>
      </c>
      <c r="Q65" s="100">
        <v>12.9</v>
      </c>
      <c r="R65" s="6"/>
      <c r="S65" s="6"/>
      <c r="T65" s="156"/>
      <c r="U65" s="6"/>
    </row>
    <row r="66" spans="1:21" customFormat="1">
      <c r="A66" s="163" t="s">
        <v>584</v>
      </c>
      <c r="B66" s="100">
        <v>4.24</v>
      </c>
      <c r="C66" s="100">
        <v>21.11</v>
      </c>
      <c r="D66" s="100">
        <v>15.78</v>
      </c>
      <c r="E66" s="100">
        <v>9.66</v>
      </c>
      <c r="F66" s="152" t="s">
        <v>15</v>
      </c>
      <c r="G66" s="100">
        <v>54.96</v>
      </c>
      <c r="H66" s="100">
        <v>31.53</v>
      </c>
      <c r="I66" s="100">
        <v>9.3000000000000007</v>
      </c>
      <c r="J66" s="100">
        <v>1.42</v>
      </c>
      <c r="K66" s="100">
        <v>311.77999999999997</v>
      </c>
      <c r="L66" s="100">
        <v>32.82</v>
      </c>
      <c r="M66" s="100">
        <v>16.440000000000001</v>
      </c>
      <c r="N66" s="100">
        <v>344.7</v>
      </c>
      <c r="O66" s="100">
        <v>0</v>
      </c>
      <c r="P66" s="100">
        <v>0.56999999999999995</v>
      </c>
      <c r="Q66" s="100">
        <v>12.89</v>
      </c>
      <c r="R66" s="6"/>
      <c r="S66" s="6"/>
      <c r="T66" s="156"/>
      <c r="U66" s="6"/>
    </row>
    <row r="67" spans="1:21" customFormat="1">
      <c r="A67" s="163" t="s">
        <v>585</v>
      </c>
      <c r="B67" s="100">
        <v>4.29</v>
      </c>
      <c r="C67" s="100">
        <v>20.91</v>
      </c>
      <c r="D67" s="100">
        <v>15.71</v>
      </c>
      <c r="E67" s="100">
        <v>9.42</v>
      </c>
      <c r="F67" s="152" t="s">
        <v>15</v>
      </c>
      <c r="G67" s="100">
        <v>54.73</v>
      </c>
      <c r="H67" s="100">
        <v>31.49</v>
      </c>
      <c r="I67" s="100">
        <v>8.8800000000000008</v>
      </c>
      <c r="J67" s="100">
        <v>1.46</v>
      </c>
      <c r="K67" s="100">
        <v>316.83</v>
      </c>
      <c r="L67" s="100">
        <v>32.75</v>
      </c>
      <c r="M67" s="100">
        <v>17.72</v>
      </c>
      <c r="N67" s="100">
        <v>282.2</v>
      </c>
      <c r="O67" s="100">
        <v>0</v>
      </c>
      <c r="P67" s="100">
        <v>0.55000000000000004</v>
      </c>
      <c r="Q67" s="100">
        <v>12.91</v>
      </c>
      <c r="R67" s="6"/>
      <c r="S67" s="6"/>
      <c r="T67" s="156"/>
      <c r="U67" s="6"/>
    </row>
    <row r="68" spans="1:21" customFormat="1">
      <c r="A68" s="163" t="s">
        <v>586</v>
      </c>
      <c r="B68" s="100">
        <v>4.3600000000000003</v>
      </c>
      <c r="C68" s="100">
        <v>20.78</v>
      </c>
      <c r="D68" s="100">
        <v>15.7</v>
      </c>
      <c r="E68" s="100">
        <v>9.3699999999999992</v>
      </c>
      <c r="F68" s="152" t="s">
        <v>15</v>
      </c>
      <c r="G68" s="100">
        <v>54.73</v>
      </c>
      <c r="H68" s="100">
        <v>31.49</v>
      </c>
      <c r="I68" s="100">
        <v>8.4600000000000009</v>
      </c>
      <c r="J68" s="100">
        <v>1.48</v>
      </c>
      <c r="K68" s="100">
        <v>318.66000000000003</v>
      </c>
      <c r="L68" s="100">
        <v>32.39</v>
      </c>
      <c r="M68" s="100">
        <v>18.3</v>
      </c>
      <c r="N68" s="100">
        <v>80</v>
      </c>
      <c r="O68" s="100">
        <v>0</v>
      </c>
      <c r="P68" s="100">
        <v>0.53</v>
      </c>
      <c r="Q68" s="100">
        <v>12.91</v>
      </c>
      <c r="R68" s="6"/>
      <c r="S68" s="6"/>
      <c r="T68" s="156"/>
      <c r="U68" s="6"/>
    </row>
    <row r="69" spans="1:21" customFormat="1">
      <c r="A69" s="163" t="s">
        <v>587</v>
      </c>
      <c r="B69" s="100">
        <v>4.4000000000000004</v>
      </c>
      <c r="C69" s="100">
        <v>20.78</v>
      </c>
      <c r="D69" s="100">
        <v>15.74</v>
      </c>
      <c r="E69" s="100">
        <v>9.31</v>
      </c>
      <c r="F69" s="152" t="s">
        <v>15</v>
      </c>
      <c r="G69" s="100">
        <v>54.73</v>
      </c>
      <c r="H69" s="100">
        <v>31.49</v>
      </c>
      <c r="I69" s="100">
        <v>8.06</v>
      </c>
      <c r="J69" s="100">
        <v>1.07</v>
      </c>
      <c r="K69" s="100">
        <v>323.72000000000003</v>
      </c>
      <c r="L69" s="100">
        <v>32.51</v>
      </c>
      <c r="M69" s="100">
        <v>18.96</v>
      </c>
      <c r="N69" s="100">
        <v>56.5</v>
      </c>
      <c r="O69" s="100">
        <v>0</v>
      </c>
      <c r="P69" s="100">
        <v>0.51</v>
      </c>
      <c r="Q69" s="100">
        <v>12.9</v>
      </c>
      <c r="R69" s="6"/>
      <c r="S69" s="6"/>
      <c r="T69" s="156"/>
      <c r="U69" s="6"/>
    </row>
    <row r="70" spans="1:21" customFormat="1">
      <c r="A70" s="163" t="s">
        <v>588</v>
      </c>
      <c r="B70" s="100">
        <v>4.43</v>
      </c>
      <c r="C70" s="100">
        <v>20.73</v>
      </c>
      <c r="D70" s="100">
        <v>15.73</v>
      </c>
      <c r="E70" s="100">
        <v>9.7200000000000006</v>
      </c>
      <c r="F70" s="152" t="s">
        <v>15</v>
      </c>
      <c r="G70" s="100">
        <v>49.92</v>
      </c>
      <c r="H70" s="100">
        <v>37.659999999999997</v>
      </c>
      <c r="I70" s="100">
        <v>7.74</v>
      </c>
      <c r="J70" s="100">
        <v>1.04</v>
      </c>
      <c r="K70" s="100">
        <v>341</v>
      </c>
      <c r="L70" s="100">
        <v>32.18</v>
      </c>
      <c r="M70" s="100">
        <v>19.88</v>
      </c>
      <c r="N70" s="100">
        <v>61.6</v>
      </c>
      <c r="O70" s="100">
        <v>0</v>
      </c>
      <c r="P70" s="100">
        <v>0.5</v>
      </c>
      <c r="Q70" s="100">
        <v>12.9</v>
      </c>
      <c r="R70" s="6"/>
      <c r="S70" s="6"/>
      <c r="T70" s="156"/>
      <c r="U70" s="6"/>
    </row>
    <row r="71" spans="1:21" customFormat="1">
      <c r="A71" s="163" t="s">
        <v>589</v>
      </c>
      <c r="B71" s="100">
        <v>4.4000000000000004</v>
      </c>
      <c r="C71" s="100">
        <v>20.64</v>
      </c>
      <c r="D71" s="100">
        <v>15.66</v>
      </c>
      <c r="E71" s="100">
        <v>9.5</v>
      </c>
      <c r="F71" s="152" t="s">
        <v>15</v>
      </c>
      <c r="G71" s="100">
        <v>48.17</v>
      </c>
      <c r="H71" s="100">
        <v>37.81</v>
      </c>
      <c r="I71" s="100">
        <v>7.36</v>
      </c>
      <c r="J71" s="100">
        <v>1.28</v>
      </c>
      <c r="K71" s="100">
        <v>300.82</v>
      </c>
      <c r="L71" s="100">
        <v>32.08</v>
      </c>
      <c r="M71" s="100">
        <v>20.45</v>
      </c>
      <c r="N71" s="100">
        <v>56.4</v>
      </c>
      <c r="O71" s="100">
        <v>0</v>
      </c>
      <c r="P71" s="100">
        <v>0.5</v>
      </c>
      <c r="Q71" s="100">
        <v>12.9</v>
      </c>
      <c r="R71" s="6"/>
      <c r="S71" s="6"/>
      <c r="T71" s="156"/>
      <c r="U71" s="6"/>
    </row>
    <row r="72" spans="1:21" customFormat="1">
      <c r="A72" s="163" t="s">
        <v>590</v>
      </c>
      <c r="B72" s="100">
        <v>4.38</v>
      </c>
      <c r="C72" s="100">
        <v>20.66</v>
      </c>
      <c r="D72" s="100">
        <v>15.66</v>
      </c>
      <c r="E72" s="100">
        <v>9.2799999999999994</v>
      </c>
      <c r="F72" s="152" t="s">
        <v>15</v>
      </c>
      <c r="G72" s="100">
        <v>48.17</v>
      </c>
      <c r="H72" s="100">
        <v>37.81</v>
      </c>
      <c r="I72" s="100">
        <v>7.07</v>
      </c>
      <c r="J72" s="100">
        <v>1.18</v>
      </c>
      <c r="K72" s="100">
        <v>319.37</v>
      </c>
      <c r="L72" s="100">
        <v>32.020000000000003</v>
      </c>
      <c r="M72" s="100">
        <v>20.350000000000001</v>
      </c>
      <c r="N72" s="100">
        <v>57.5</v>
      </c>
      <c r="O72" s="100">
        <v>0</v>
      </c>
      <c r="P72" s="100">
        <v>0.48</v>
      </c>
      <c r="Q72" s="100">
        <v>12.89</v>
      </c>
      <c r="R72" s="6"/>
      <c r="S72" s="6"/>
      <c r="T72" s="156"/>
      <c r="U72" s="6"/>
    </row>
    <row r="73" spans="1:21" customFormat="1">
      <c r="A73" s="163" t="s">
        <v>591</v>
      </c>
      <c r="B73" s="100">
        <v>4.37</v>
      </c>
      <c r="C73" s="100">
        <v>20.6</v>
      </c>
      <c r="D73" s="100">
        <v>15.62</v>
      </c>
      <c r="E73" s="100">
        <v>8.9700000000000006</v>
      </c>
      <c r="F73" s="152" t="s">
        <v>15</v>
      </c>
      <c r="G73" s="100">
        <v>48.17</v>
      </c>
      <c r="H73" s="100">
        <v>37.81</v>
      </c>
      <c r="I73" s="100">
        <v>6.9</v>
      </c>
      <c r="J73" s="100">
        <v>0.67</v>
      </c>
      <c r="K73" s="100">
        <v>315.54000000000002</v>
      </c>
      <c r="L73" s="100">
        <v>32.01</v>
      </c>
      <c r="M73" s="100">
        <v>20.51</v>
      </c>
      <c r="N73" s="100">
        <v>64.400000000000006</v>
      </c>
      <c r="O73" s="100">
        <v>0</v>
      </c>
      <c r="P73" s="100">
        <v>0.47</v>
      </c>
      <c r="Q73" s="100">
        <v>12.89</v>
      </c>
      <c r="R73" s="6"/>
      <c r="S73" s="6"/>
      <c r="T73" s="156"/>
      <c r="U73" s="6"/>
    </row>
    <row r="74" spans="1:21" customFormat="1">
      <c r="A74" s="163" t="s">
        <v>592</v>
      </c>
      <c r="B74" s="100">
        <v>4.32</v>
      </c>
      <c r="C74" s="100">
        <v>20.7</v>
      </c>
      <c r="D74" s="100">
        <v>15.63</v>
      </c>
      <c r="E74" s="100">
        <v>9.83</v>
      </c>
      <c r="F74" s="152" t="s">
        <v>15</v>
      </c>
      <c r="G74" s="100">
        <v>39.979999999999997</v>
      </c>
      <c r="H74" s="100">
        <v>33.119999999999997</v>
      </c>
      <c r="I74" s="100">
        <v>6.74</v>
      </c>
      <c r="J74" s="100">
        <v>0.7</v>
      </c>
      <c r="K74" s="100">
        <v>311.83999999999997</v>
      </c>
      <c r="L74" s="100">
        <v>31.98</v>
      </c>
      <c r="M74" s="100">
        <v>21.47</v>
      </c>
      <c r="N74" s="100">
        <v>40.6</v>
      </c>
      <c r="O74" s="100">
        <v>0</v>
      </c>
      <c r="P74" s="100">
        <v>0.47</v>
      </c>
      <c r="Q74" s="100">
        <v>12.89</v>
      </c>
      <c r="R74" s="6"/>
      <c r="S74" s="6"/>
      <c r="T74" s="156"/>
      <c r="U74" s="6"/>
    </row>
    <row r="75" spans="1:21" customFormat="1">
      <c r="A75" s="163" t="s">
        <v>593</v>
      </c>
      <c r="B75" s="100">
        <v>4.3099999999999996</v>
      </c>
      <c r="C75" s="100">
        <v>20.72</v>
      </c>
      <c r="D75" s="100">
        <v>15.63</v>
      </c>
      <c r="E75" s="100">
        <v>9.41</v>
      </c>
      <c r="F75" s="152" t="s">
        <v>15</v>
      </c>
      <c r="G75" s="100">
        <v>37</v>
      </c>
      <c r="H75" s="100">
        <v>33.049999999999997</v>
      </c>
      <c r="I75" s="100">
        <v>6.55</v>
      </c>
      <c r="J75" s="100">
        <v>1.06</v>
      </c>
      <c r="K75" s="100">
        <v>299.31</v>
      </c>
      <c r="L75" s="100">
        <v>31.81</v>
      </c>
      <c r="M75" s="100">
        <v>21.44</v>
      </c>
      <c r="N75" s="100">
        <v>34.1</v>
      </c>
      <c r="O75" s="100">
        <v>0</v>
      </c>
      <c r="P75" s="100">
        <v>0.47</v>
      </c>
      <c r="Q75" s="100">
        <v>12.89</v>
      </c>
      <c r="R75" s="6"/>
      <c r="S75" s="6"/>
      <c r="T75" s="156"/>
      <c r="U75" s="6"/>
    </row>
    <row r="76" spans="1:21" customFormat="1">
      <c r="A76" s="163" t="s">
        <v>594</v>
      </c>
      <c r="B76" s="100">
        <v>4.3099999999999996</v>
      </c>
      <c r="C76" s="100">
        <v>20.74</v>
      </c>
      <c r="D76" s="100">
        <v>15.64</v>
      </c>
      <c r="E76" s="100">
        <v>9.43</v>
      </c>
      <c r="F76" s="152" t="s">
        <v>15</v>
      </c>
      <c r="G76" s="100">
        <v>37</v>
      </c>
      <c r="H76" s="100">
        <v>33.049999999999997</v>
      </c>
      <c r="I76" s="100">
        <v>6.41</v>
      </c>
      <c r="J76" s="100">
        <v>0.92</v>
      </c>
      <c r="K76" s="100">
        <v>294.64999999999998</v>
      </c>
      <c r="L76" s="100">
        <v>31.6</v>
      </c>
      <c r="M76" s="100">
        <v>21.62</v>
      </c>
      <c r="N76" s="100">
        <v>30.5</v>
      </c>
      <c r="O76" s="100">
        <v>0</v>
      </c>
      <c r="P76" s="100">
        <v>0.46</v>
      </c>
      <c r="Q76" s="100">
        <v>12.9</v>
      </c>
      <c r="R76" s="6"/>
      <c r="S76" s="6"/>
      <c r="T76" s="156"/>
      <c r="U76" s="6"/>
    </row>
    <row r="77" spans="1:21" customFormat="1">
      <c r="A77" s="163" t="s">
        <v>595</v>
      </c>
      <c r="B77" s="100">
        <v>4.37</v>
      </c>
      <c r="C77" s="100">
        <v>20.77</v>
      </c>
      <c r="D77" s="100">
        <v>15.7</v>
      </c>
      <c r="E77" s="100">
        <v>10.06</v>
      </c>
      <c r="F77" s="152" t="s">
        <v>15</v>
      </c>
      <c r="G77" s="100">
        <v>37</v>
      </c>
      <c r="H77" s="100">
        <v>33.049999999999997</v>
      </c>
      <c r="I77" s="100">
        <v>6.34</v>
      </c>
      <c r="J77" s="100">
        <v>0.59</v>
      </c>
      <c r="K77" s="100">
        <v>353.18</v>
      </c>
      <c r="L77" s="100">
        <v>31.28</v>
      </c>
      <c r="M77" s="100">
        <v>22.18</v>
      </c>
      <c r="N77" s="100">
        <v>23.1</v>
      </c>
      <c r="O77" s="100">
        <v>0</v>
      </c>
      <c r="P77" s="100">
        <v>0.46</v>
      </c>
      <c r="Q77" s="100">
        <v>12.89</v>
      </c>
      <c r="R77" s="6"/>
      <c r="S77" s="6"/>
      <c r="T77" s="156"/>
      <c r="U77" s="6"/>
    </row>
    <row r="78" spans="1:21" customFormat="1">
      <c r="A78" s="163" t="s">
        <v>596</v>
      </c>
      <c r="B78" s="100">
        <v>4.62</v>
      </c>
      <c r="C78" s="100">
        <v>21.28</v>
      </c>
      <c r="D78" s="100">
        <v>16.18</v>
      </c>
      <c r="E78" s="100">
        <v>10.71</v>
      </c>
      <c r="F78" s="152" t="s">
        <v>15</v>
      </c>
      <c r="G78" s="100">
        <v>37.130000000000003</v>
      </c>
      <c r="H78" s="100">
        <v>27.88</v>
      </c>
      <c r="I78" s="100">
        <v>6.19</v>
      </c>
      <c r="J78" s="100">
        <v>0.63</v>
      </c>
      <c r="K78" s="100">
        <v>27.54</v>
      </c>
      <c r="L78" s="100">
        <v>31</v>
      </c>
      <c r="M78" s="100">
        <v>22.75</v>
      </c>
      <c r="N78" s="100">
        <v>16.399999999999999</v>
      </c>
      <c r="O78" s="100">
        <v>0</v>
      </c>
      <c r="P78" s="100">
        <v>0.47</v>
      </c>
      <c r="Q78" s="100">
        <v>12.9</v>
      </c>
      <c r="R78" s="6"/>
      <c r="S78" s="6"/>
      <c r="T78" s="156"/>
      <c r="U78" s="6"/>
    </row>
    <row r="79" spans="1:21" customFormat="1">
      <c r="A79" s="163" t="s">
        <v>597</v>
      </c>
      <c r="B79" s="100">
        <v>4.96</v>
      </c>
      <c r="C79" s="100">
        <v>22.04</v>
      </c>
      <c r="D79" s="100">
        <v>16.84</v>
      </c>
      <c r="E79" s="100">
        <v>9.4</v>
      </c>
      <c r="F79" s="152" t="s">
        <v>15</v>
      </c>
      <c r="G79" s="100">
        <v>37.18</v>
      </c>
      <c r="H79" s="100">
        <v>27.8</v>
      </c>
      <c r="I79" s="100">
        <v>6.04</v>
      </c>
      <c r="J79" s="100">
        <v>0.63</v>
      </c>
      <c r="K79" s="100">
        <v>50.18</v>
      </c>
      <c r="L79" s="100">
        <v>30.69</v>
      </c>
      <c r="M79" s="100">
        <v>23.41</v>
      </c>
      <c r="N79" s="100">
        <v>9.8000000000000007</v>
      </c>
      <c r="O79" s="100">
        <v>0</v>
      </c>
      <c r="P79" s="100">
        <v>0.48</v>
      </c>
      <c r="Q79" s="100">
        <v>12.89</v>
      </c>
      <c r="R79" s="6"/>
      <c r="S79" s="6"/>
      <c r="T79" s="156"/>
      <c r="U79" s="6"/>
    </row>
    <row r="80" spans="1:21" customFormat="1">
      <c r="A80" s="163" t="s">
        <v>598</v>
      </c>
      <c r="B80" s="100">
        <v>5.36</v>
      </c>
      <c r="C80" s="100">
        <v>22.98</v>
      </c>
      <c r="D80" s="100">
        <v>17.66</v>
      </c>
      <c r="E80" s="100">
        <v>10.34</v>
      </c>
      <c r="F80" s="152" t="s">
        <v>15</v>
      </c>
      <c r="G80" s="100">
        <v>37.18</v>
      </c>
      <c r="H80" s="100">
        <v>27.8</v>
      </c>
      <c r="I80" s="100">
        <v>6.03</v>
      </c>
      <c r="J80" s="100">
        <v>0.46</v>
      </c>
      <c r="K80" s="100">
        <v>58.68</v>
      </c>
      <c r="L80" s="100">
        <v>30.07</v>
      </c>
      <c r="M80" s="100">
        <v>25.72</v>
      </c>
      <c r="N80" s="100">
        <v>4.3</v>
      </c>
      <c r="O80" s="100">
        <v>0</v>
      </c>
      <c r="P80" s="100">
        <v>0.52</v>
      </c>
      <c r="Q80" s="100">
        <v>12.91</v>
      </c>
      <c r="R80" s="6"/>
      <c r="S80" s="6"/>
      <c r="T80" s="156"/>
      <c r="U80" s="6"/>
    </row>
    <row r="81" spans="1:21" customFormat="1">
      <c r="A81" s="163" t="s">
        <v>599</v>
      </c>
      <c r="B81" s="100">
        <v>5.95</v>
      </c>
      <c r="C81" s="100">
        <v>23.91</v>
      </c>
      <c r="D81" s="100">
        <v>18.62</v>
      </c>
      <c r="E81" s="100">
        <v>9.5500000000000007</v>
      </c>
      <c r="F81" s="152" t="s">
        <v>15</v>
      </c>
      <c r="G81" s="100">
        <v>37.18</v>
      </c>
      <c r="H81" s="100">
        <v>27.8</v>
      </c>
      <c r="I81" s="100">
        <v>6.29</v>
      </c>
      <c r="J81" s="100">
        <v>0.5</v>
      </c>
      <c r="K81" s="100">
        <v>66.42</v>
      </c>
      <c r="L81" s="100">
        <v>29.59</v>
      </c>
      <c r="M81" s="100">
        <v>27.15</v>
      </c>
      <c r="N81" s="100">
        <v>1.8</v>
      </c>
      <c r="O81" s="100">
        <v>0</v>
      </c>
      <c r="P81" s="100">
        <v>0.56999999999999995</v>
      </c>
      <c r="Q81" s="100">
        <v>12.9</v>
      </c>
      <c r="R81" s="6"/>
      <c r="S81" s="6"/>
      <c r="T81" s="156"/>
      <c r="U81" s="6"/>
    </row>
    <row r="82" spans="1:21" customFormat="1">
      <c r="A82" s="163" t="s">
        <v>600</v>
      </c>
      <c r="B82" s="100">
        <v>6.61</v>
      </c>
      <c r="C82" s="100">
        <v>24.31</v>
      </c>
      <c r="D82" s="100">
        <v>19.350000000000001</v>
      </c>
      <c r="E82" s="100">
        <v>11.14</v>
      </c>
      <c r="F82" s="152" t="s">
        <v>15</v>
      </c>
      <c r="G82" s="100">
        <v>42.1</v>
      </c>
      <c r="H82" s="100">
        <v>26.35</v>
      </c>
      <c r="I82" s="100">
        <v>6.52</v>
      </c>
      <c r="J82" s="100">
        <v>0.14000000000000001</v>
      </c>
      <c r="K82" s="100">
        <v>140.07</v>
      </c>
      <c r="L82" s="100">
        <v>28.09</v>
      </c>
      <c r="M82" s="100">
        <v>36.18</v>
      </c>
      <c r="N82" s="100">
        <v>2.1</v>
      </c>
      <c r="O82" s="100">
        <v>0</v>
      </c>
      <c r="P82" s="100">
        <v>0.59</v>
      </c>
      <c r="Q82" s="100">
        <v>12.89</v>
      </c>
      <c r="R82" s="6"/>
      <c r="S82" s="6"/>
      <c r="T82" s="156"/>
      <c r="U82" s="6"/>
    </row>
    <row r="83" spans="1:21" customFormat="1">
      <c r="A83" s="163" t="s">
        <v>601</v>
      </c>
      <c r="B83" s="100">
        <v>7.08</v>
      </c>
      <c r="C83" s="100">
        <v>24.12</v>
      </c>
      <c r="D83" s="100">
        <v>19.63</v>
      </c>
      <c r="E83" s="100">
        <v>10.130000000000001</v>
      </c>
      <c r="F83" s="152" t="s">
        <v>15</v>
      </c>
      <c r="G83" s="100">
        <v>43.89</v>
      </c>
      <c r="H83" s="100">
        <v>26.33</v>
      </c>
      <c r="I83" s="100">
        <v>7.09</v>
      </c>
      <c r="J83" s="100">
        <v>0.12</v>
      </c>
      <c r="K83" s="100">
        <v>140.47</v>
      </c>
      <c r="L83" s="100">
        <v>27.26</v>
      </c>
      <c r="M83" s="100">
        <v>36.76</v>
      </c>
      <c r="N83" s="100">
        <v>1.4</v>
      </c>
      <c r="O83" s="100">
        <v>0</v>
      </c>
      <c r="P83" s="100">
        <v>0.61</v>
      </c>
      <c r="Q83" s="100">
        <v>12.9</v>
      </c>
      <c r="R83" s="6"/>
      <c r="S83" s="6"/>
      <c r="T83" s="156"/>
      <c r="U83" s="6"/>
    </row>
    <row r="84" spans="1:21" customFormat="1">
      <c r="A84" s="163" t="s">
        <v>602</v>
      </c>
      <c r="B84" s="100">
        <v>7.51</v>
      </c>
      <c r="C84" s="100">
        <v>23.94</v>
      </c>
      <c r="D84" s="100">
        <v>19.88</v>
      </c>
      <c r="E84" s="100">
        <v>9.34</v>
      </c>
      <c r="F84" s="152" t="s">
        <v>15</v>
      </c>
      <c r="G84" s="100">
        <v>43.89</v>
      </c>
      <c r="H84" s="100">
        <v>26.33</v>
      </c>
      <c r="I84" s="100">
        <v>7.34</v>
      </c>
      <c r="J84" s="100">
        <v>0.27</v>
      </c>
      <c r="K84" s="100">
        <v>168.38</v>
      </c>
      <c r="L84" s="100">
        <v>26.42</v>
      </c>
      <c r="M84" s="100">
        <v>43.69</v>
      </c>
      <c r="N84" s="100">
        <v>1.7</v>
      </c>
      <c r="O84" s="100">
        <v>0</v>
      </c>
      <c r="P84" s="100">
        <v>0.62</v>
      </c>
      <c r="Q84" s="100">
        <v>12.9</v>
      </c>
      <c r="R84" s="6"/>
      <c r="S84" s="6"/>
      <c r="T84" s="156"/>
      <c r="U84" s="6"/>
    </row>
    <row r="85" spans="1:21" customFormat="1">
      <c r="A85" s="163" t="s">
        <v>603</v>
      </c>
      <c r="B85" s="100">
        <v>7.83</v>
      </c>
      <c r="C85" s="100">
        <v>23.54</v>
      </c>
      <c r="D85" s="100">
        <v>19.93</v>
      </c>
      <c r="E85" s="100">
        <v>9</v>
      </c>
      <c r="F85" s="152" t="s">
        <v>15</v>
      </c>
      <c r="G85" s="100">
        <v>43.89</v>
      </c>
      <c r="H85" s="100">
        <v>26.33</v>
      </c>
      <c r="I85" s="100">
        <v>7.16</v>
      </c>
      <c r="J85" s="100">
        <v>0.19</v>
      </c>
      <c r="K85" s="100">
        <v>171.93</v>
      </c>
      <c r="L85" s="100">
        <v>25.75</v>
      </c>
      <c r="M85" s="100">
        <v>42.59</v>
      </c>
      <c r="N85" s="100">
        <v>1.4</v>
      </c>
      <c r="O85" s="100">
        <v>0</v>
      </c>
      <c r="P85" s="100">
        <v>0.63</v>
      </c>
      <c r="Q85" s="100">
        <v>12.9</v>
      </c>
      <c r="R85" s="6"/>
      <c r="S85" s="6"/>
      <c r="T85" s="156"/>
      <c r="U85" s="6"/>
    </row>
    <row r="86" spans="1:21" customFormat="1">
      <c r="A86" s="163" t="s">
        <v>604</v>
      </c>
      <c r="B86" s="100">
        <v>8.35</v>
      </c>
      <c r="C86" s="100">
        <v>23.25</v>
      </c>
      <c r="D86" s="100">
        <v>20.190000000000001</v>
      </c>
      <c r="E86" s="100">
        <v>8.42</v>
      </c>
      <c r="F86" s="152" t="s">
        <v>15</v>
      </c>
      <c r="G86" s="100">
        <v>57.98</v>
      </c>
      <c r="H86" s="100">
        <v>26.46</v>
      </c>
      <c r="I86" s="100">
        <v>7.29</v>
      </c>
      <c r="J86" s="100">
        <v>0.22</v>
      </c>
      <c r="K86" s="100">
        <v>170.8</v>
      </c>
      <c r="L86" s="100">
        <v>25.54</v>
      </c>
      <c r="M86" s="100">
        <v>42.13</v>
      </c>
      <c r="N86" s="100">
        <v>1</v>
      </c>
      <c r="O86" s="100">
        <v>0</v>
      </c>
      <c r="P86" s="100">
        <v>0.64</v>
      </c>
      <c r="Q86" s="100">
        <v>12.91</v>
      </c>
      <c r="R86" s="6"/>
      <c r="S86" s="6"/>
      <c r="T86" s="156"/>
      <c r="U86" s="6"/>
    </row>
    <row r="87" spans="1:21" customFormat="1">
      <c r="A87" s="163" t="s">
        <v>605</v>
      </c>
      <c r="B87" s="100">
        <v>9.31</v>
      </c>
      <c r="C87" s="100">
        <v>23.27</v>
      </c>
      <c r="D87" s="100">
        <v>20.98</v>
      </c>
      <c r="E87" s="100">
        <v>8.65</v>
      </c>
      <c r="F87" s="152" t="s">
        <v>15</v>
      </c>
      <c r="G87" s="100">
        <v>63.11</v>
      </c>
      <c r="H87" s="100">
        <v>26.46</v>
      </c>
      <c r="I87" s="100">
        <v>7.41</v>
      </c>
      <c r="J87" s="100">
        <v>0.18</v>
      </c>
      <c r="K87" s="100">
        <v>177.62</v>
      </c>
      <c r="L87" s="100">
        <v>25.12</v>
      </c>
      <c r="M87" s="100">
        <v>44.86</v>
      </c>
      <c r="N87" s="100">
        <v>1.1000000000000001</v>
      </c>
      <c r="O87" s="100">
        <v>0</v>
      </c>
      <c r="P87" s="100">
        <v>0.66</v>
      </c>
      <c r="Q87" s="100">
        <v>12.9</v>
      </c>
      <c r="R87" s="6"/>
      <c r="S87" s="6"/>
      <c r="T87" s="156"/>
      <c r="U87" s="6"/>
    </row>
    <row r="88" spans="1:21" customFormat="1">
      <c r="A88" s="163" t="s">
        <v>606</v>
      </c>
      <c r="B88" s="100">
        <v>10.52</v>
      </c>
      <c r="C88" s="100">
        <v>23.25</v>
      </c>
      <c r="D88" s="100">
        <v>21.93</v>
      </c>
      <c r="E88" s="100">
        <v>8.6999999999999993</v>
      </c>
      <c r="F88" s="152" t="s">
        <v>15</v>
      </c>
      <c r="G88" s="100">
        <v>63.11</v>
      </c>
      <c r="H88" s="100">
        <v>26.46</v>
      </c>
      <c r="I88" s="100">
        <v>7.57</v>
      </c>
      <c r="J88" s="100">
        <v>0.26</v>
      </c>
      <c r="K88" s="100">
        <v>167</v>
      </c>
      <c r="L88" s="100">
        <v>24.74</v>
      </c>
      <c r="M88" s="100">
        <v>48.05</v>
      </c>
      <c r="N88" s="100">
        <v>1</v>
      </c>
      <c r="O88" s="100">
        <v>0</v>
      </c>
      <c r="P88" s="100">
        <v>0.71</v>
      </c>
      <c r="Q88" s="100">
        <v>12.91</v>
      </c>
      <c r="R88" s="6"/>
      <c r="S88" s="6"/>
      <c r="T88" s="156"/>
      <c r="U88" s="6"/>
    </row>
    <row r="89" spans="1:21" customFormat="1">
      <c r="A89" s="163" t="s">
        <v>607</v>
      </c>
      <c r="B89" s="100">
        <v>11.75</v>
      </c>
      <c r="C89" s="100">
        <v>23.17</v>
      </c>
      <c r="D89" s="100">
        <v>22.88</v>
      </c>
      <c r="E89" s="100">
        <v>8.93</v>
      </c>
      <c r="F89" s="152" t="s">
        <v>15</v>
      </c>
      <c r="G89" s="100">
        <v>63.11</v>
      </c>
      <c r="H89" s="100">
        <v>26.46</v>
      </c>
      <c r="I89" s="100">
        <v>7.95</v>
      </c>
      <c r="J89" s="100">
        <v>0.24</v>
      </c>
      <c r="K89" s="100">
        <v>168.43</v>
      </c>
      <c r="L89" s="100">
        <v>24.53</v>
      </c>
      <c r="M89" s="100">
        <v>52.2</v>
      </c>
      <c r="N89" s="100">
        <v>1.1000000000000001</v>
      </c>
      <c r="O89" s="100">
        <v>0</v>
      </c>
      <c r="P89" s="100">
        <v>0.72</v>
      </c>
      <c r="Q89" s="100">
        <v>12.92</v>
      </c>
      <c r="R89" s="6"/>
      <c r="S89" s="6"/>
      <c r="T89" s="156"/>
      <c r="U89" s="6"/>
    </row>
    <row r="90" spans="1:21" customFormat="1">
      <c r="A90" s="163" t="s">
        <v>608</v>
      </c>
      <c r="B90" s="100">
        <v>12.94</v>
      </c>
      <c r="C90" s="100">
        <v>23.01</v>
      </c>
      <c r="D90" s="100">
        <v>23.75</v>
      </c>
      <c r="E90" s="100">
        <v>9.5500000000000007</v>
      </c>
      <c r="F90" s="152" t="s">
        <v>15</v>
      </c>
      <c r="G90" s="100">
        <v>82.07</v>
      </c>
      <c r="H90" s="100">
        <v>27.21</v>
      </c>
      <c r="I90" s="100">
        <v>8.43</v>
      </c>
      <c r="J90" s="100">
        <v>0.09</v>
      </c>
      <c r="K90" s="100">
        <v>217.63</v>
      </c>
      <c r="L90" s="100">
        <v>24.36</v>
      </c>
      <c r="M90" s="100">
        <v>49.01</v>
      </c>
      <c r="N90" s="100">
        <v>0.8</v>
      </c>
      <c r="O90" s="100">
        <v>0</v>
      </c>
      <c r="P90" s="100">
        <v>0.76</v>
      </c>
      <c r="Q90" s="100">
        <v>12.92</v>
      </c>
      <c r="R90" s="6"/>
      <c r="S90" s="6"/>
      <c r="T90" s="156"/>
      <c r="U90" s="6"/>
    </row>
    <row r="91" spans="1:21" customFormat="1">
      <c r="A91" s="163" t="s">
        <v>609</v>
      </c>
      <c r="B91" s="100">
        <v>14.62</v>
      </c>
      <c r="C91" s="100">
        <v>23.12</v>
      </c>
      <c r="D91" s="100">
        <v>25.15</v>
      </c>
      <c r="E91" s="100">
        <v>10.45</v>
      </c>
      <c r="F91" s="152" t="s">
        <v>15</v>
      </c>
      <c r="G91" s="100">
        <v>88.97</v>
      </c>
      <c r="H91" s="100">
        <v>27.22</v>
      </c>
      <c r="I91" s="100">
        <v>8.77</v>
      </c>
      <c r="J91" s="100">
        <v>0.21</v>
      </c>
      <c r="K91" s="100">
        <v>311.95999999999998</v>
      </c>
      <c r="L91" s="100">
        <v>25.46</v>
      </c>
      <c r="M91" s="100">
        <v>38.630000000000003</v>
      </c>
      <c r="N91" s="100">
        <v>0.3</v>
      </c>
      <c r="O91" s="100">
        <v>0</v>
      </c>
      <c r="P91" s="100">
        <v>0.81</v>
      </c>
      <c r="Q91" s="100">
        <v>12.92</v>
      </c>
      <c r="R91" s="6"/>
      <c r="S91" s="6"/>
      <c r="T91" s="156"/>
      <c r="U91" s="6"/>
    </row>
    <row r="92" spans="1:21" customFormat="1">
      <c r="A92" s="163" t="s">
        <v>610</v>
      </c>
      <c r="B92" s="100">
        <v>15.65</v>
      </c>
      <c r="C92" s="100">
        <v>23.45</v>
      </c>
      <c r="D92" s="100">
        <v>26.15</v>
      </c>
      <c r="E92" s="100">
        <v>11.16</v>
      </c>
      <c r="F92" s="152" t="s">
        <v>15</v>
      </c>
      <c r="G92" s="100">
        <v>88.97</v>
      </c>
      <c r="H92" s="100">
        <v>27.22</v>
      </c>
      <c r="I92" s="100">
        <v>9.27</v>
      </c>
      <c r="J92" s="100">
        <v>0.41</v>
      </c>
      <c r="K92" s="100">
        <v>298.66000000000003</v>
      </c>
      <c r="L92" s="100">
        <v>26.02</v>
      </c>
      <c r="M92" s="100">
        <v>36.5</v>
      </c>
      <c r="N92" s="100">
        <v>0.2</v>
      </c>
      <c r="O92" s="100">
        <v>0</v>
      </c>
      <c r="P92" s="100">
        <v>0.81</v>
      </c>
      <c r="Q92" s="100">
        <v>12.94</v>
      </c>
      <c r="R92" s="6"/>
      <c r="S92" s="6"/>
      <c r="T92" s="156"/>
      <c r="U92" s="6"/>
    </row>
    <row r="93" spans="1:21" customFormat="1">
      <c r="A93" s="163" t="s">
        <v>611</v>
      </c>
      <c r="B93" s="100">
        <v>16.3</v>
      </c>
      <c r="C93" s="100">
        <v>23.56</v>
      </c>
      <c r="D93" s="100">
        <v>26.73</v>
      </c>
      <c r="E93" s="100">
        <v>11.97</v>
      </c>
      <c r="F93" s="152" t="s">
        <v>15</v>
      </c>
      <c r="G93" s="100">
        <v>88.97</v>
      </c>
      <c r="H93" s="100">
        <v>27.22</v>
      </c>
      <c r="I93" s="100">
        <v>9.6999999999999993</v>
      </c>
      <c r="J93" s="100">
        <v>0.19</v>
      </c>
      <c r="K93" s="100">
        <v>4.95</v>
      </c>
      <c r="L93" s="100">
        <v>26.24</v>
      </c>
      <c r="M93" s="100">
        <v>35.869999999999997</v>
      </c>
      <c r="N93" s="100">
        <v>0.7</v>
      </c>
      <c r="O93" s="100">
        <v>0</v>
      </c>
      <c r="P93" s="100">
        <v>0.82</v>
      </c>
      <c r="Q93" s="100">
        <v>12.94</v>
      </c>
      <c r="R93" s="6"/>
      <c r="S93" s="6"/>
      <c r="T93" s="156"/>
      <c r="U93" s="6"/>
    </row>
    <row r="94" spans="1:21" customFormat="1">
      <c r="A94" s="163" t="s">
        <v>612</v>
      </c>
      <c r="B94" s="100">
        <v>16.7</v>
      </c>
      <c r="C94" s="100">
        <v>23.43</v>
      </c>
      <c r="D94" s="100">
        <v>26.98</v>
      </c>
      <c r="E94" s="100">
        <v>11.17</v>
      </c>
      <c r="F94" s="152" t="s">
        <v>15</v>
      </c>
      <c r="G94" s="100">
        <v>90.42</v>
      </c>
      <c r="H94" s="100">
        <v>27.94</v>
      </c>
      <c r="I94" s="100">
        <v>9.7899999999999991</v>
      </c>
      <c r="J94" s="100">
        <v>0.41</v>
      </c>
      <c r="K94" s="100">
        <v>22.56</v>
      </c>
      <c r="L94" s="100">
        <v>26.19</v>
      </c>
      <c r="M94" s="100">
        <v>35.4</v>
      </c>
      <c r="N94" s="100">
        <v>0.5</v>
      </c>
      <c r="O94" s="100">
        <v>0</v>
      </c>
      <c r="P94" s="100">
        <v>0.81</v>
      </c>
      <c r="Q94" s="100">
        <v>12.95</v>
      </c>
      <c r="R94" s="6"/>
      <c r="S94" s="6"/>
      <c r="T94" s="156"/>
      <c r="U94" s="6"/>
    </row>
    <row r="95" spans="1:21" customFormat="1">
      <c r="A95" s="163" t="s">
        <v>613</v>
      </c>
      <c r="B95" s="100">
        <v>16.78</v>
      </c>
      <c r="C95" s="100">
        <v>23.34</v>
      </c>
      <c r="D95" s="100">
        <v>27</v>
      </c>
      <c r="E95" s="100">
        <v>10.64</v>
      </c>
      <c r="F95" s="152" t="s">
        <v>15</v>
      </c>
      <c r="G95" s="100">
        <v>90.95</v>
      </c>
      <c r="H95" s="100">
        <v>27.95</v>
      </c>
      <c r="I95" s="100">
        <v>9.8699999999999992</v>
      </c>
      <c r="J95" s="100">
        <v>0.55000000000000004</v>
      </c>
      <c r="K95" s="100">
        <v>30.02</v>
      </c>
      <c r="L95" s="100">
        <v>26.1</v>
      </c>
      <c r="M95" s="100">
        <v>35.69</v>
      </c>
      <c r="N95" s="100">
        <v>0.8</v>
      </c>
      <c r="O95" s="100">
        <v>0</v>
      </c>
      <c r="P95" s="100">
        <v>0.81</v>
      </c>
      <c r="Q95" s="100">
        <v>12.95</v>
      </c>
      <c r="R95" s="6"/>
      <c r="S95" s="6"/>
      <c r="T95" s="156"/>
      <c r="U95" s="6"/>
    </row>
    <row r="96" spans="1:21" customFormat="1">
      <c r="A96" s="163" t="s">
        <v>614</v>
      </c>
      <c r="B96" s="100">
        <v>16.88</v>
      </c>
      <c r="C96" s="100">
        <v>23.31</v>
      </c>
      <c r="D96" s="100">
        <v>27.06</v>
      </c>
      <c r="E96" s="100">
        <v>10.53</v>
      </c>
      <c r="F96" s="152" t="s">
        <v>15</v>
      </c>
      <c r="G96" s="100">
        <v>90.95</v>
      </c>
      <c r="H96" s="100">
        <v>27.95</v>
      </c>
      <c r="I96" s="100">
        <v>9.81</v>
      </c>
      <c r="J96" s="100">
        <v>0.28000000000000003</v>
      </c>
      <c r="K96" s="100">
        <v>3.66</v>
      </c>
      <c r="L96" s="100">
        <v>25.73</v>
      </c>
      <c r="M96" s="100">
        <v>36.86</v>
      </c>
      <c r="N96" s="100">
        <v>1.2</v>
      </c>
      <c r="O96" s="100">
        <v>0</v>
      </c>
      <c r="P96" s="100">
        <v>0.81</v>
      </c>
      <c r="Q96" s="100">
        <v>12.94</v>
      </c>
      <c r="R96" s="6"/>
      <c r="S96" s="6"/>
      <c r="T96" s="156"/>
      <c r="U96" s="6"/>
    </row>
    <row r="97" spans="1:28" customFormat="1">
      <c r="A97" s="163" t="s">
        <v>615</v>
      </c>
      <c r="B97" s="100">
        <v>16.809999999999999</v>
      </c>
      <c r="C97" s="100">
        <v>23.18</v>
      </c>
      <c r="D97" s="100">
        <v>26.95</v>
      </c>
      <c r="E97" s="100">
        <v>10.48</v>
      </c>
      <c r="F97" s="152" t="s">
        <v>15</v>
      </c>
      <c r="G97" s="100">
        <v>90.95</v>
      </c>
      <c r="H97" s="100">
        <v>27.95</v>
      </c>
      <c r="I97" s="100">
        <v>9.6300000000000008</v>
      </c>
      <c r="J97" s="100">
        <v>0.2</v>
      </c>
      <c r="K97" s="100">
        <v>306.76</v>
      </c>
      <c r="L97" s="100">
        <v>25.18</v>
      </c>
      <c r="M97" s="100">
        <v>39.07</v>
      </c>
      <c r="N97" s="100">
        <v>1.4</v>
      </c>
      <c r="O97" s="100">
        <v>0</v>
      </c>
      <c r="P97" s="100">
        <v>0.81</v>
      </c>
      <c r="Q97" s="100">
        <v>12.95</v>
      </c>
      <c r="R97" s="6"/>
      <c r="S97" s="6"/>
      <c r="T97" s="156"/>
      <c r="U97" s="6"/>
    </row>
    <row r="98" spans="1:28" customFormat="1">
      <c r="A98" s="163" t="s">
        <v>616</v>
      </c>
      <c r="B98" s="100">
        <v>16.79</v>
      </c>
      <c r="C98" s="100">
        <v>22.88</v>
      </c>
      <c r="D98" s="100">
        <v>26.77</v>
      </c>
      <c r="E98" s="100">
        <v>10.5</v>
      </c>
      <c r="F98" s="152" t="s">
        <v>15</v>
      </c>
      <c r="G98" s="100">
        <v>84.23</v>
      </c>
      <c r="H98" s="100">
        <v>25.71</v>
      </c>
      <c r="I98" s="100">
        <v>9.59</v>
      </c>
      <c r="J98" s="100">
        <v>0.09</v>
      </c>
      <c r="K98" s="100">
        <v>310</v>
      </c>
      <c r="L98" s="100">
        <v>24.68</v>
      </c>
      <c r="M98" s="100">
        <v>40.65</v>
      </c>
      <c r="N98" s="100">
        <v>1.2</v>
      </c>
      <c r="O98" s="100">
        <v>0</v>
      </c>
      <c r="P98" s="100">
        <v>0.82</v>
      </c>
      <c r="Q98" s="100">
        <v>12.93</v>
      </c>
      <c r="R98" s="6"/>
      <c r="S98" s="6"/>
      <c r="T98" s="156"/>
      <c r="U98" s="6"/>
    </row>
    <row r="99" spans="1:28" customFormat="1">
      <c r="A99" s="163" t="s">
        <v>617</v>
      </c>
      <c r="B99" s="100">
        <v>16.940000000000001</v>
      </c>
      <c r="C99" s="100">
        <v>22.89</v>
      </c>
      <c r="D99" s="100">
        <v>26.9</v>
      </c>
      <c r="E99" s="100">
        <v>10.039999999999999</v>
      </c>
      <c r="F99" s="152" t="s">
        <v>15</v>
      </c>
      <c r="G99" s="100">
        <v>81.790000000000006</v>
      </c>
      <c r="H99" s="100">
        <v>25.68</v>
      </c>
      <c r="I99" s="100">
        <v>9.6</v>
      </c>
      <c r="J99" s="100">
        <v>0.08</v>
      </c>
      <c r="K99" s="100">
        <v>244.97</v>
      </c>
      <c r="L99" s="100">
        <v>24.21</v>
      </c>
      <c r="M99" s="100">
        <v>42.63</v>
      </c>
      <c r="N99" s="100">
        <v>1.3</v>
      </c>
      <c r="O99" s="100">
        <v>0</v>
      </c>
      <c r="P99" s="100">
        <v>0.82</v>
      </c>
      <c r="Q99" s="100">
        <v>12.92</v>
      </c>
      <c r="R99" s="6"/>
      <c r="S99" s="6"/>
      <c r="T99" s="156"/>
      <c r="U99" s="6"/>
    </row>
    <row r="100" spans="1:28" customFormat="1">
      <c r="A100" s="163" t="s">
        <v>618</v>
      </c>
      <c r="B100" s="100">
        <v>16.96</v>
      </c>
      <c r="C100" s="100">
        <v>22.8</v>
      </c>
      <c r="D100" s="100">
        <v>26.87</v>
      </c>
      <c r="E100" s="100">
        <v>10.17</v>
      </c>
      <c r="F100" s="152" t="s">
        <v>15</v>
      </c>
      <c r="G100" s="100">
        <v>81.790000000000006</v>
      </c>
      <c r="H100" s="100">
        <v>25.68</v>
      </c>
      <c r="I100" s="100">
        <v>9.57</v>
      </c>
      <c r="J100" s="100">
        <v>7.0000000000000007E-2</v>
      </c>
      <c r="K100" s="100">
        <v>99.98</v>
      </c>
      <c r="L100" s="100">
        <v>23.78</v>
      </c>
      <c r="M100" s="100">
        <v>44.53</v>
      </c>
      <c r="N100" s="100">
        <v>1.1000000000000001</v>
      </c>
      <c r="O100" s="100">
        <v>0</v>
      </c>
      <c r="P100" s="100">
        <v>0.82</v>
      </c>
      <c r="Q100" s="100">
        <v>12.93</v>
      </c>
      <c r="R100" s="6"/>
      <c r="S100" s="6"/>
      <c r="T100" s="156"/>
      <c r="U100" s="6"/>
      <c r="AB100" s="161"/>
    </row>
    <row r="101" spans="1:28" customFormat="1">
      <c r="A101" s="163" t="s">
        <v>619</v>
      </c>
      <c r="B101" s="100">
        <v>16.809999999999999</v>
      </c>
      <c r="C101" s="100">
        <v>23.05</v>
      </c>
      <c r="D101" s="100">
        <v>26.87</v>
      </c>
      <c r="E101" s="100">
        <v>10.43</v>
      </c>
      <c r="F101" s="152" t="s">
        <v>15</v>
      </c>
      <c r="G101" s="100">
        <v>81.790000000000006</v>
      </c>
      <c r="H101" s="100">
        <v>25.68</v>
      </c>
      <c r="I101" s="100">
        <v>9.58</v>
      </c>
      <c r="J101" s="100">
        <v>0.52</v>
      </c>
      <c r="K101" s="100">
        <v>64.03</v>
      </c>
      <c r="L101" s="100">
        <v>24.05</v>
      </c>
      <c r="M101" s="100">
        <v>42.67</v>
      </c>
      <c r="N101" s="100">
        <v>0.6</v>
      </c>
      <c r="O101" s="100">
        <v>0</v>
      </c>
      <c r="P101" s="100">
        <v>0.75</v>
      </c>
      <c r="Q101" s="100">
        <v>12.93</v>
      </c>
      <c r="R101" s="6"/>
      <c r="S101" s="6"/>
      <c r="T101" s="156"/>
      <c r="U101" s="6"/>
    </row>
    <row r="102" spans="1:28" customFormat="1">
      <c r="A102" s="163" t="s">
        <v>620</v>
      </c>
      <c r="B102" s="100">
        <v>16.440000000000001</v>
      </c>
      <c r="C102" s="100">
        <v>23.37</v>
      </c>
      <c r="D102" s="100">
        <v>26.74</v>
      </c>
      <c r="E102" s="100">
        <v>10.08</v>
      </c>
      <c r="F102" s="152" t="s">
        <v>15</v>
      </c>
      <c r="G102" s="100">
        <v>82.68</v>
      </c>
      <c r="H102" s="100">
        <v>26.22</v>
      </c>
      <c r="I102" s="100">
        <v>9.56</v>
      </c>
      <c r="J102" s="100">
        <v>0.15</v>
      </c>
      <c r="K102" s="100">
        <v>75.099999999999994</v>
      </c>
      <c r="L102" s="100">
        <v>23.54</v>
      </c>
      <c r="M102" s="100">
        <v>47.49</v>
      </c>
      <c r="N102" s="100">
        <v>1.3</v>
      </c>
      <c r="O102" s="100">
        <v>0</v>
      </c>
      <c r="P102" s="100">
        <v>0.74</v>
      </c>
      <c r="Q102" s="100">
        <v>12.93</v>
      </c>
      <c r="R102" s="6"/>
      <c r="S102" s="6"/>
      <c r="T102" s="156"/>
      <c r="U102" s="6"/>
    </row>
    <row r="103" spans="1:28" customFormat="1">
      <c r="A103" s="163" t="s">
        <v>621</v>
      </c>
      <c r="B103" s="100">
        <v>16.350000000000001</v>
      </c>
      <c r="C103" s="100">
        <v>23.63</v>
      </c>
      <c r="D103" s="100">
        <v>26.81</v>
      </c>
      <c r="E103" s="100">
        <v>10.35</v>
      </c>
      <c r="F103" s="152" t="s">
        <v>15</v>
      </c>
      <c r="G103" s="100">
        <v>83</v>
      </c>
      <c r="H103" s="100">
        <v>26.23</v>
      </c>
      <c r="I103" s="100">
        <v>9.4499999999999993</v>
      </c>
      <c r="J103" s="100">
        <v>0.5</v>
      </c>
      <c r="K103" s="100">
        <v>49.85</v>
      </c>
      <c r="L103" s="100">
        <v>23.47</v>
      </c>
      <c r="M103" s="100">
        <v>45.26</v>
      </c>
      <c r="N103" s="100">
        <v>0.7</v>
      </c>
      <c r="O103" s="100">
        <v>0</v>
      </c>
      <c r="P103" s="100">
        <v>0.73</v>
      </c>
      <c r="Q103" s="100">
        <v>12.94</v>
      </c>
      <c r="R103" s="6"/>
      <c r="S103" s="6"/>
      <c r="T103" s="156"/>
      <c r="U103" s="6"/>
    </row>
    <row r="104" spans="1:28" customFormat="1">
      <c r="A104" s="163" t="s">
        <v>622</v>
      </c>
      <c r="B104" s="100">
        <v>16.489999999999998</v>
      </c>
      <c r="C104" s="100">
        <v>23.98</v>
      </c>
      <c r="D104" s="100">
        <v>27.1</v>
      </c>
      <c r="E104" s="100">
        <v>10.17</v>
      </c>
      <c r="F104" s="152" t="s">
        <v>15</v>
      </c>
      <c r="G104" s="100">
        <v>83</v>
      </c>
      <c r="H104" s="100">
        <v>26.23</v>
      </c>
      <c r="I104" s="100">
        <v>9.33</v>
      </c>
      <c r="J104" s="100">
        <v>0.14000000000000001</v>
      </c>
      <c r="K104" s="100">
        <v>18.059999999999999</v>
      </c>
      <c r="L104" s="100">
        <v>23.11</v>
      </c>
      <c r="M104" s="100">
        <v>48.77</v>
      </c>
      <c r="N104" s="100">
        <v>1.2</v>
      </c>
      <c r="O104" s="100">
        <v>0</v>
      </c>
      <c r="P104" s="100">
        <v>0.73</v>
      </c>
      <c r="Q104" s="100">
        <v>12.97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4.2300000000000004</v>
      </c>
      <c r="C106" s="158">
        <f>MIN(C9:C104)</f>
        <v>20.6</v>
      </c>
      <c r="D106" s="158">
        <f t="shared" ref="D106:Q106" si="0">MIN(D9:D104)</f>
        <v>15.62</v>
      </c>
      <c r="E106" s="158">
        <f t="shared" si="0"/>
        <v>8.42</v>
      </c>
      <c r="F106" s="158">
        <f t="shared" si="0"/>
        <v>0</v>
      </c>
      <c r="G106" s="158">
        <f t="shared" si="0"/>
        <v>37</v>
      </c>
      <c r="H106" s="158">
        <f t="shared" si="0"/>
        <v>17.07</v>
      </c>
      <c r="I106" s="158">
        <f t="shared" si="0"/>
        <v>6.03</v>
      </c>
      <c r="J106" s="158">
        <f t="shared" si="0"/>
        <v>7.0000000000000007E-2</v>
      </c>
      <c r="K106" s="158">
        <f t="shared" si="0"/>
        <v>3.66</v>
      </c>
      <c r="L106" s="158">
        <f t="shared" si="0"/>
        <v>17.440000000000001</v>
      </c>
      <c r="M106" s="158">
        <f t="shared" si="0"/>
        <v>16.3</v>
      </c>
      <c r="N106" s="158">
        <f t="shared" si="0"/>
        <v>0.2</v>
      </c>
      <c r="O106" s="158">
        <f t="shared" si="0"/>
        <v>0</v>
      </c>
      <c r="P106" s="158">
        <f t="shared" si="0"/>
        <v>0.46</v>
      </c>
      <c r="Q106" s="158">
        <f t="shared" si="0"/>
        <v>12.89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24.63</v>
      </c>
      <c r="C107" s="157">
        <f t="shared" ref="C107:Q107" si="1">MAX(C9:C104)</f>
        <v>26.21</v>
      </c>
      <c r="D107" s="157">
        <f t="shared" si="1"/>
        <v>34.799999999999997</v>
      </c>
      <c r="E107" s="157">
        <f t="shared" si="1"/>
        <v>16.3</v>
      </c>
      <c r="F107" s="157">
        <f t="shared" si="1"/>
        <v>0</v>
      </c>
      <c r="G107" s="157">
        <f t="shared" si="1"/>
        <v>107.32</v>
      </c>
      <c r="H107" s="157">
        <f t="shared" si="1"/>
        <v>37.81</v>
      </c>
      <c r="I107" s="157">
        <f t="shared" si="1"/>
        <v>14.03</v>
      </c>
      <c r="J107" s="157">
        <f t="shared" si="1"/>
        <v>1.77</v>
      </c>
      <c r="K107" s="157">
        <f t="shared" si="1"/>
        <v>353.18</v>
      </c>
      <c r="L107" s="157">
        <f t="shared" si="1"/>
        <v>33.36</v>
      </c>
      <c r="M107" s="157">
        <f t="shared" si="1"/>
        <v>80.78</v>
      </c>
      <c r="N107" s="157">
        <f t="shared" si="1"/>
        <v>365.8</v>
      </c>
      <c r="O107" s="157">
        <f t="shared" si="1"/>
        <v>0</v>
      </c>
      <c r="P107" s="157">
        <f t="shared" si="1"/>
        <v>1</v>
      </c>
      <c r="Q107" s="157">
        <f t="shared" si="1"/>
        <v>13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12.644583333333337</v>
      </c>
      <c r="C108" s="158">
        <f t="shared" ref="C108:Q108" si="2">AVERAGE(C9:C104)</f>
        <v>23.04729166666667</v>
      </c>
      <c r="D108" s="158">
        <f t="shared" si="2"/>
        <v>23.531979166666677</v>
      </c>
      <c r="E108" s="158">
        <f t="shared" si="2"/>
        <v>10.531249999999995</v>
      </c>
      <c r="F108" s="158" t="e">
        <f t="shared" si="2"/>
        <v>#DIV/0!</v>
      </c>
      <c r="G108" s="158">
        <f t="shared" si="2"/>
        <v>67.493958333333339</v>
      </c>
      <c r="H108" s="158">
        <f t="shared" si="2"/>
        <v>25.801979166666644</v>
      </c>
      <c r="I108" s="158">
        <f t="shared" si="2"/>
        <v>10.9528125</v>
      </c>
      <c r="J108" s="158">
        <f t="shared" si="2"/>
        <v>0.42895833333333339</v>
      </c>
      <c r="K108" s="158">
        <f t="shared" si="2"/>
        <v>208.5090625</v>
      </c>
      <c r="L108" s="158">
        <f t="shared" si="2"/>
        <v>25.421354166666664</v>
      </c>
      <c r="M108" s="158">
        <f t="shared" si="2"/>
        <v>45.199687500000003</v>
      </c>
      <c r="N108" s="158">
        <f t="shared" si="2"/>
        <v>91.286458333333357</v>
      </c>
      <c r="O108" s="158">
        <f t="shared" si="2"/>
        <v>0</v>
      </c>
      <c r="P108" s="158">
        <f t="shared" si="2"/>
        <v>0.78385416666666619</v>
      </c>
      <c r="Q108" s="158">
        <f t="shared" si="2"/>
        <v>12.931354166666665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6.6809110498599082</v>
      </c>
      <c r="C109" s="158">
        <f t="shared" ref="C109:Q109" si="3">STDEV(C9:C104)</f>
        <v>1.4301575026744924</v>
      </c>
      <c r="D109" s="158">
        <f t="shared" si="3"/>
        <v>5.7501722847949699</v>
      </c>
      <c r="E109" s="158">
        <f t="shared" si="3"/>
        <v>1.4995994201961911</v>
      </c>
      <c r="F109" s="158" t="e">
        <f t="shared" si="3"/>
        <v>#DIV/0!</v>
      </c>
      <c r="G109" s="158">
        <f t="shared" si="3"/>
        <v>17.407042765813923</v>
      </c>
      <c r="H109" s="158">
        <f t="shared" si="3"/>
        <v>5.1890629150555183</v>
      </c>
      <c r="I109" s="158">
        <f t="shared" si="3"/>
        <v>2.6580438803256738</v>
      </c>
      <c r="J109" s="158">
        <f t="shared" si="3"/>
        <v>0.38124582252528655</v>
      </c>
      <c r="K109" s="158">
        <f t="shared" si="3"/>
        <v>94.003133341709542</v>
      </c>
      <c r="L109" s="158">
        <f t="shared" si="3"/>
        <v>5.4405519495131074</v>
      </c>
      <c r="M109" s="158">
        <f t="shared" si="3"/>
        <v>21.505122496408298</v>
      </c>
      <c r="N109" s="158">
        <f t="shared" si="3"/>
        <v>135.81512714738884</v>
      </c>
      <c r="O109" s="158">
        <f t="shared" si="3"/>
        <v>0</v>
      </c>
      <c r="P109" s="158">
        <f t="shared" si="3"/>
        <v>0.16858151107756164</v>
      </c>
      <c r="Q109" s="158">
        <f t="shared" si="3"/>
        <v>2.9792962491754442E-2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B9" sqref="B9:Q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623</v>
      </c>
      <c r="B9" s="100">
        <v>16.62</v>
      </c>
      <c r="C9" s="100">
        <v>24.1</v>
      </c>
      <c r="D9" s="100">
        <v>27.27</v>
      </c>
      <c r="E9" s="100">
        <v>10.29</v>
      </c>
      <c r="F9" s="152" t="s">
        <v>15</v>
      </c>
      <c r="G9" s="100">
        <v>83</v>
      </c>
      <c r="H9" s="100">
        <v>26.23</v>
      </c>
      <c r="I9" s="100">
        <v>9.27</v>
      </c>
      <c r="J9" s="100">
        <v>0.17</v>
      </c>
      <c r="K9" s="100">
        <v>268.10000000000002</v>
      </c>
      <c r="L9" s="100">
        <v>22.59</v>
      </c>
      <c r="M9" s="100">
        <v>49.78</v>
      </c>
      <c r="N9" s="100">
        <v>1.1000000000000001</v>
      </c>
      <c r="O9" s="100">
        <v>0</v>
      </c>
      <c r="P9" s="100">
        <v>0.73</v>
      </c>
      <c r="Q9" s="100">
        <v>12.96</v>
      </c>
      <c r="R9" s="6"/>
      <c r="S9" s="6"/>
      <c r="T9" s="156"/>
      <c r="U9" s="6"/>
    </row>
    <row r="10" spans="1:21" customFormat="1">
      <c r="A10" s="163" t="s">
        <v>624</v>
      </c>
      <c r="B10" s="100">
        <v>16.850000000000001</v>
      </c>
      <c r="C10" s="100">
        <v>24.31</v>
      </c>
      <c r="D10" s="100">
        <v>27.56</v>
      </c>
      <c r="E10" s="100">
        <v>10.56</v>
      </c>
      <c r="F10" s="152" t="s">
        <v>15</v>
      </c>
      <c r="G10" s="100">
        <v>81.489999999999995</v>
      </c>
      <c r="H10" s="100">
        <v>24.04</v>
      </c>
      <c r="I10" s="100">
        <v>9.24</v>
      </c>
      <c r="J10" s="100">
        <v>0.15</v>
      </c>
      <c r="K10" s="100">
        <v>201.14</v>
      </c>
      <c r="L10" s="100">
        <v>22.36</v>
      </c>
      <c r="M10" s="100">
        <v>50.9</v>
      </c>
      <c r="N10" s="100">
        <v>1.1000000000000001</v>
      </c>
      <c r="O10" s="100">
        <v>0</v>
      </c>
      <c r="P10" s="100">
        <v>0.74</v>
      </c>
      <c r="Q10" s="100">
        <v>12.96</v>
      </c>
      <c r="R10" s="6"/>
      <c r="S10" s="6"/>
      <c r="T10" s="156"/>
      <c r="U10" s="6"/>
    </row>
    <row r="11" spans="1:21" customFormat="1">
      <c r="A11" s="163" t="s">
        <v>625</v>
      </c>
      <c r="B11" s="100">
        <v>16.91</v>
      </c>
      <c r="C11" s="100">
        <v>24.57</v>
      </c>
      <c r="D11" s="100">
        <v>27.75</v>
      </c>
      <c r="E11" s="100">
        <v>10.53</v>
      </c>
      <c r="F11" s="152" t="s">
        <v>15</v>
      </c>
      <c r="G11" s="100">
        <v>80.94</v>
      </c>
      <c r="H11" s="100">
        <v>24</v>
      </c>
      <c r="I11" s="100">
        <v>9.19</v>
      </c>
      <c r="J11" s="100">
        <v>0.24</v>
      </c>
      <c r="K11" s="100">
        <v>181.22</v>
      </c>
      <c r="L11" s="100">
        <v>21.89</v>
      </c>
      <c r="M11" s="100">
        <v>56.52</v>
      </c>
      <c r="N11" s="100">
        <v>1.4</v>
      </c>
      <c r="O11" s="100">
        <v>0</v>
      </c>
      <c r="P11" s="100">
        <v>0.74</v>
      </c>
      <c r="Q11" s="100">
        <v>12.95</v>
      </c>
      <c r="R11" s="6"/>
      <c r="S11" s="6"/>
      <c r="T11" s="156"/>
      <c r="U11" s="6"/>
    </row>
    <row r="12" spans="1:21" customFormat="1">
      <c r="A12" s="163" t="s">
        <v>626</v>
      </c>
      <c r="B12" s="100">
        <v>16.84</v>
      </c>
      <c r="C12" s="100">
        <v>24.55</v>
      </c>
      <c r="D12" s="100">
        <v>27.68</v>
      </c>
      <c r="E12" s="100">
        <v>10.06</v>
      </c>
      <c r="F12" s="152" t="s">
        <v>15</v>
      </c>
      <c r="G12" s="100">
        <v>80.94</v>
      </c>
      <c r="H12" s="100">
        <v>24</v>
      </c>
      <c r="I12" s="100">
        <v>9.18</v>
      </c>
      <c r="J12" s="100">
        <v>0.24</v>
      </c>
      <c r="K12" s="100">
        <v>163.07</v>
      </c>
      <c r="L12" s="100">
        <v>21.11</v>
      </c>
      <c r="M12" s="100">
        <v>59.58</v>
      </c>
      <c r="N12" s="100">
        <v>1.3</v>
      </c>
      <c r="O12" s="100">
        <v>0</v>
      </c>
      <c r="P12" s="100">
        <v>0.74</v>
      </c>
      <c r="Q12" s="100">
        <v>12.96</v>
      </c>
      <c r="R12" s="6"/>
      <c r="S12" s="6"/>
      <c r="T12" s="156"/>
      <c r="U12" s="6"/>
    </row>
    <row r="13" spans="1:21" customFormat="1">
      <c r="A13" s="163" t="s">
        <v>627</v>
      </c>
      <c r="B13" s="100">
        <v>16.940000000000001</v>
      </c>
      <c r="C13" s="100">
        <v>24.49</v>
      </c>
      <c r="D13" s="100">
        <v>27.73</v>
      </c>
      <c r="E13" s="100">
        <v>9.99</v>
      </c>
      <c r="F13" s="152" t="s">
        <v>15</v>
      </c>
      <c r="G13" s="100">
        <v>80.94</v>
      </c>
      <c r="H13" s="100">
        <v>24</v>
      </c>
      <c r="I13" s="100">
        <v>9.17</v>
      </c>
      <c r="J13" s="100">
        <v>0.17</v>
      </c>
      <c r="K13" s="100">
        <v>217.9</v>
      </c>
      <c r="L13" s="100">
        <v>21.19</v>
      </c>
      <c r="M13" s="100">
        <v>56.19</v>
      </c>
      <c r="N13" s="100">
        <v>0.8</v>
      </c>
      <c r="O13" s="100">
        <v>0</v>
      </c>
      <c r="P13" s="100">
        <v>0.75</v>
      </c>
      <c r="Q13" s="100">
        <v>12.96</v>
      </c>
      <c r="R13" s="6"/>
      <c r="S13" s="6"/>
      <c r="T13" s="156"/>
      <c r="U13" s="6"/>
    </row>
    <row r="14" spans="1:21" customFormat="1">
      <c r="A14" s="163" t="s">
        <v>628</v>
      </c>
      <c r="B14" s="100">
        <v>17.149999999999999</v>
      </c>
      <c r="C14" s="100">
        <v>24.63</v>
      </c>
      <c r="D14" s="100">
        <v>27.97</v>
      </c>
      <c r="E14" s="100">
        <v>10.57</v>
      </c>
      <c r="F14" s="152" t="s">
        <v>15</v>
      </c>
      <c r="G14" s="100">
        <v>82.75</v>
      </c>
      <c r="H14" s="100">
        <v>23.67</v>
      </c>
      <c r="I14" s="100">
        <v>9.16</v>
      </c>
      <c r="J14" s="100">
        <v>0.13</v>
      </c>
      <c r="K14" s="100">
        <v>137.99</v>
      </c>
      <c r="L14" s="100">
        <v>21.22</v>
      </c>
      <c r="M14" s="100">
        <v>56.04</v>
      </c>
      <c r="N14" s="100">
        <v>0.8</v>
      </c>
      <c r="O14" s="100">
        <v>0</v>
      </c>
      <c r="P14" s="100">
        <v>0.75</v>
      </c>
      <c r="Q14" s="100">
        <v>12.97</v>
      </c>
      <c r="R14" s="6"/>
      <c r="S14" s="6"/>
      <c r="T14" s="156"/>
      <c r="U14" s="6"/>
    </row>
    <row r="15" spans="1:21" customFormat="1">
      <c r="A15" s="163" t="s">
        <v>629</v>
      </c>
      <c r="B15" s="100">
        <v>17.27</v>
      </c>
      <c r="C15" s="100">
        <v>24.63</v>
      </c>
      <c r="D15" s="100">
        <v>28.07</v>
      </c>
      <c r="E15" s="100">
        <v>10.48</v>
      </c>
      <c r="F15" s="152" t="s">
        <v>15</v>
      </c>
      <c r="G15" s="100">
        <v>83.41</v>
      </c>
      <c r="H15" s="100">
        <v>23.67</v>
      </c>
      <c r="I15" s="100">
        <v>9.1999999999999993</v>
      </c>
      <c r="J15" s="100">
        <v>0.04</v>
      </c>
      <c r="K15" s="100">
        <v>165.27</v>
      </c>
      <c r="L15" s="100">
        <v>21.45</v>
      </c>
      <c r="M15" s="100">
        <v>54.06</v>
      </c>
      <c r="N15" s="100">
        <v>0.7</v>
      </c>
      <c r="O15" s="100">
        <v>0</v>
      </c>
      <c r="P15" s="100">
        <v>0.76</v>
      </c>
      <c r="Q15" s="100">
        <v>12.95</v>
      </c>
      <c r="R15" s="6"/>
      <c r="S15" s="6"/>
      <c r="T15" s="156"/>
      <c r="U15" s="6"/>
    </row>
    <row r="16" spans="1:21" customFormat="1">
      <c r="A16" s="163" t="s">
        <v>630</v>
      </c>
      <c r="B16" s="100">
        <v>17.18</v>
      </c>
      <c r="C16" s="100">
        <v>24.57</v>
      </c>
      <c r="D16" s="100">
        <v>27.97</v>
      </c>
      <c r="E16" s="100">
        <v>9.93</v>
      </c>
      <c r="F16" s="152" t="s">
        <v>15</v>
      </c>
      <c r="G16" s="100">
        <v>83.41</v>
      </c>
      <c r="H16" s="100">
        <v>23.67</v>
      </c>
      <c r="I16" s="100">
        <v>9.23</v>
      </c>
      <c r="J16" s="100">
        <v>0.06</v>
      </c>
      <c r="K16" s="100">
        <v>189.16</v>
      </c>
      <c r="L16" s="100">
        <v>21.55</v>
      </c>
      <c r="M16" s="100">
        <v>51.61</v>
      </c>
      <c r="N16" s="100">
        <v>0.8</v>
      </c>
      <c r="O16" s="100">
        <v>0</v>
      </c>
      <c r="P16" s="100">
        <v>0.75</v>
      </c>
      <c r="Q16" s="100">
        <v>12.94</v>
      </c>
      <c r="R16" s="6"/>
      <c r="S16" s="6"/>
      <c r="T16" s="156"/>
      <c r="U16" s="6"/>
    </row>
    <row r="17" spans="1:21" customFormat="1">
      <c r="A17" s="163" t="s">
        <v>631</v>
      </c>
      <c r="B17" s="100">
        <v>16.97</v>
      </c>
      <c r="C17" s="100">
        <v>24.44</v>
      </c>
      <c r="D17" s="100">
        <v>27.73</v>
      </c>
      <c r="E17" s="100">
        <v>7.28</v>
      </c>
      <c r="F17" s="152" t="s">
        <v>15</v>
      </c>
      <c r="G17" s="100">
        <v>83.41</v>
      </c>
      <c r="H17" s="100">
        <v>23.67</v>
      </c>
      <c r="I17" s="100">
        <v>9.27</v>
      </c>
      <c r="J17" s="100">
        <v>0.37</v>
      </c>
      <c r="K17" s="100">
        <v>58.84</v>
      </c>
      <c r="L17" s="100">
        <v>21.53</v>
      </c>
      <c r="M17" s="100">
        <v>50.24</v>
      </c>
      <c r="N17" s="100">
        <v>0.6</v>
      </c>
      <c r="O17" s="100">
        <v>0</v>
      </c>
      <c r="P17" s="100">
        <v>0.74</v>
      </c>
      <c r="Q17" s="100">
        <v>12.94</v>
      </c>
      <c r="R17" s="6"/>
      <c r="S17" s="6"/>
      <c r="T17" s="156"/>
      <c r="U17" s="6"/>
    </row>
    <row r="18" spans="1:21" customFormat="1">
      <c r="A18" s="163" t="s">
        <v>632</v>
      </c>
      <c r="B18" s="100">
        <v>17.11</v>
      </c>
      <c r="C18" s="100">
        <v>24.4</v>
      </c>
      <c r="D18" s="100">
        <v>27.82</v>
      </c>
      <c r="E18" s="100">
        <v>8.57</v>
      </c>
      <c r="F18" s="152" t="s">
        <v>15</v>
      </c>
      <c r="G18" s="100">
        <v>81.709999999999994</v>
      </c>
      <c r="H18" s="100">
        <v>24.01</v>
      </c>
      <c r="I18" s="100">
        <v>9.27</v>
      </c>
      <c r="J18" s="100">
        <v>0.34</v>
      </c>
      <c r="K18" s="100">
        <v>43.74</v>
      </c>
      <c r="L18" s="100">
        <v>21.73</v>
      </c>
      <c r="M18" s="100">
        <v>48.24</v>
      </c>
      <c r="N18" s="100">
        <v>0.7</v>
      </c>
      <c r="O18" s="100">
        <v>0</v>
      </c>
      <c r="P18" s="100">
        <v>0.74</v>
      </c>
      <c r="Q18" s="100">
        <v>12.96</v>
      </c>
      <c r="R18" s="6"/>
      <c r="S18" s="6"/>
      <c r="T18" s="156"/>
      <c r="U18" s="6"/>
    </row>
    <row r="19" spans="1:21" customFormat="1">
      <c r="A19" s="163" t="s">
        <v>633</v>
      </c>
      <c r="B19" s="100">
        <v>17.149999999999999</v>
      </c>
      <c r="C19" s="100">
        <v>24.6</v>
      </c>
      <c r="D19" s="100">
        <v>27.96</v>
      </c>
      <c r="E19" s="100">
        <v>9.49</v>
      </c>
      <c r="F19" s="152" t="s">
        <v>15</v>
      </c>
      <c r="G19" s="100">
        <v>81.099999999999994</v>
      </c>
      <c r="H19" s="100">
        <v>24.02</v>
      </c>
      <c r="I19" s="100">
        <v>9.24</v>
      </c>
      <c r="J19" s="100">
        <v>0.45</v>
      </c>
      <c r="K19" s="100">
        <v>46.22</v>
      </c>
      <c r="L19" s="100">
        <v>21.76</v>
      </c>
      <c r="M19" s="100">
        <v>46.92</v>
      </c>
      <c r="N19" s="100">
        <v>0.8</v>
      </c>
      <c r="O19" s="100">
        <v>0</v>
      </c>
      <c r="P19" s="100">
        <v>0.74</v>
      </c>
      <c r="Q19" s="100">
        <v>12.96</v>
      </c>
      <c r="R19" s="6"/>
      <c r="S19" s="6"/>
      <c r="T19" s="156"/>
      <c r="U19" s="6"/>
    </row>
    <row r="20" spans="1:21" customFormat="1">
      <c r="A20" s="163" t="s">
        <v>634</v>
      </c>
      <c r="B20" s="100">
        <v>17.11</v>
      </c>
      <c r="C20" s="100">
        <v>24.61</v>
      </c>
      <c r="D20" s="100">
        <v>27.93</v>
      </c>
      <c r="E20" s="100">
        <v>9.1199999999999992</v>
      </c>
      <c r="F20" s="152" t="s">
        <v>15</v>
      </c>
      <c r="G20" s="100">
        <v>81.099999999999994</v>
      </c>
      <c r="H20" s="100">
        <v>24.02</v>
      </c>
      <c r="I20" s="100">
        <v>9.26</v>
      </c>
      <c r="J20" s="100">
        <v>0.37</v>
      </c>
      <c r="K20" s="100">
        <v>38.619999999999997</v>
      </c>
      <c r="L20" s="100">
        <v>21.39</v>
      </c>
      <c r="M20" s="100">
        <v>49.05</v>
      </c>
      <c r="N20" s="100">
        <v>1.1000000000000001</v>
      </c>
      <c r="O20" s="100">
        <v>0</v>
      </c>
      <c r="P20" s="100">
        <v>0.73</v>
      </c>
      <c r="Q20" s="100">
        <v>12.97</v>
      </c>
      <c r="R20" s="6"/>
      <c r="S20" s="6"/>
      <c r="T20" s="156"/>
      <c r="U20" s="6"/>
    </row>
    <row r="21" spans="1:21" customFormat="1">
      <c r="A21" s="163" t="s">
        <v>635</v>
      </c>
      <c r="B21" s="100">
        <v>17.07</v>
      </c>
      <c r="C21" s="100">
        <v>24.67</v>
      </c>
      <c r="D21" s="100">
        <v>27.93</v>
      </c>
      <c r="E21" s="100">
        <v>9.24</v>
      </c>
      <c r="F21" s="152" t="s">
        <v>15</v>
      </c>
      <c r="G21" s="100">
        <v>81.099999999999994</v>
      </c>
      <c r="H21" s="100">
        <v>24.02</v>
      </c>
      <c r="I21" s="100">
        <v>9.31</v>
      </c>
      <c r="J21" s="100">
        <v>0.56000000000000005</v>
      </c>
      <c r="K21" s="100">
        <v>44.83</v>
      </c>
      <c r="L21" s="100">
        <v>21.2</v>
      </c>
      <c r="M21" s="100">
        <v>49.76</v>
      </c>
      <c r="N21" s="100">
        <v>0.9</v>
      </c>
      <c r="O21" s="100">
        <v>0</v>
      </c>
      <c r="P21" s="100">
        <v>0.74</v>
      </c>
      <c r="Q21" s="100">
        <v>12.94</v>
      </c>
      <c r="R21" s="6"/>
      <c r="S21" s="6"/>
      <c r="T21" s="156"/>
      <c r="U21" s="6"/>
    </row>
    <row r="22" spans="1:21" customFormat="1">
      <c r="A22" s="163" t="s">
        <v>636</v>
      </c>
      <c r="B22" s="100">
        <v>16.97</v>
      </c>
      <c r="C22" s="100">
        <v>24.7</v>
      </c>
      <c r="D22" s="100">
        <v>27.86</v>
      </c>
      <c r="E22" s="100">
        <v>8.52</v>
      </c>
      <c r="F22" s="152" t="s">
        <v>15</v>
      </c>
      <c r="G22" s="100">
        <v>83.51</v>
      </c>
      <c r="H22" s="100">
        <v>23.72</v>
      </c>
      <c r="I22" s="100">
        <v>9.33</v>
      </c>
      <c r="J22" s="100">
        <v>0.53</v>
      </c>
      <c r="K22" s="100">
        <v>57.99</v>
      </c>
      <c r="L22" s="100">
        <v>21.09</v>
      </c>
      <c r="M22" s="100">
        <v>49.86</v>
      </c>
      <c r="N22" s="100">
        <v>0.9</v>
      </c>
      <c r="O22" s="100">
        <v>0</v>
      </c>
      <c r="P22" s="100">
        <v>0.74</v>
      </c>
      <c r="Q22" s="100">
        <v>12.95</v>
      </c>
      <c r="R22" s="6"/>
      <c r="S22" s="6"/>
      <c r="T22" s="156"/>
      <c r="U22" s="6"/>
    </row>
    <row r="23" spans="1:21" customFormat="1">
      <c r="A23" s="163" t="s">
        <v>637</v>
      </c>
      <c r="B23" s="100">
        <v>16.649999999999999</v>
      </c>
      <c r="C23" s="100">
        <v>24.59</v>
      </c>
      <c r="D23" s="100">
        <v>27.55</v>
      </c>
      <c r="E23" s="100">
        <v>9.16</v>
      </c>
      <c r="F23" s="152" t="s">
        <v>15</v>
      </c>
      <c r="G23" s="100">
        <v>84.38</v>
      </c>
      <c r="H23" s="100">
        <v>23.72</v>
      </c>
      <c r="I23" s="100">
        <v>9.36</v>
      </c>
      <c r="J23" s="100">
        <v>0.43</v>
      </c>
      <c r="K23" s="100">
        <v>61.47</v>
      </c>
      <c r="L23" s="100">
        <v>20.83</v>
      </c>
      <c r="M23" s="100">
        <v>51.25</v>
      </c>
      <c r="N23" s="100">
        <v>1.1000000000000001</v>
      </c>
      <c r="O23" s="100">
        <v>0</v>
      </c>
      <c r="P23" s="100">
        <v>0.73</v>
      </c>
      <c r="Q23" s="100">
        <v>12.95</v>
      </c>
      <c r="R23" s="6"/>
      <c r="S23" s="6"/>
      <c r="T23" s="156"/>
      <c r="U23" s="6"/>
    </row>
    <row r="24" spans="1:21" customFormat="1">
      <c r="A24" s="163" t="s">
        <v>638</v>
      </c>
      <c r="B24" s="100">
        <v>16.23</v>
      </c>
      <c r="C24" s="100">
        <v>24.26</v>
      </c>
      <c r="D24" s="100">
        <v>27.04</v>
      </c>
      <c r="E24" s="100">
        <v>8.35</v>
      </c>
      <c r="F24" s="152" t="s">
        <v>15</v>
      </c>
      <c r="G24" s="100">
        <v>84.38</v>
      </c>
      <c r="H24" s="100">
        <v>23.72</v>
      </c>
      <c r="I24" s="100">
        <v>9.23</v>
      </c>
      <c r="J24" s="100">
        <v>0.53</v>
      </c>
      <c r="K24" s="100">
        <v>42.43</v>
      </c>
      <c r="L24" s="100">
        <v>20.63</v>
      </c>
      <c r="M24" s="100">
        <v>51.89</v>
      </c>
      <c r="N24" s="100">
        <v>0.8</v>
      </c>
      <c r="O24" s="100">
        <v>0</v>
      </c>
      <c r="P24" s="100">
        <v>0.73</v>
      </c>
      <c r="Q24" s="100">
        <v>12.94</v>
      </c>
      <c r="R24" s="6"/>
      <c r="S24" s="6"/>
      <c r="T24" s="156"/>
      <c r="U24" s="6"/>
    </row>
    <row r="25" spans="1:21" customFormat="1">
      <c r="A25" s="163" t="s">
        <v>639</v>
      </c>
      <c r="B25" s="100">
        <v>15.99</v>
      </c>
      <c r="C25" s="100">
        <v>24.5</v>
      </c>
      <c r="D25" s="100">
        <v>26.97</v>
      </c>
      <c r="E25" s="100">
        <v>8.67</v>
      </c>
      <c r="F25" s="152" t="s">
        <v>15</v>
      </c>
      <c r="G25" s="100">
        <v>84.38</v>
      </c>
      <c r="H25" s="100">
        <v>23.72</v>
      </c>
      <c r="I25" s="100">
        <v>9.2899999999999991</v>
      </c>
      <c r="J25" s="100">
        <v>0.71</v>
      </c>
      <c r="K25" s="100">
        <v>54.89</v>
      </c>
      <c r="L25" s="100">
        <v>20.84</v>
      </c>
      <c r="M25" s="100">
        <v>50.44</v>
      </c>
      <c r="N25" s="100">
        <v>0.6</v>
      </c>
      <c r="O25" s="100">
        <v>0</v>
      </c>
      <c r="P25" s="100">
        <v>0.76</v>
      </c>
      <c r="Q25" s="100">
        <v>12.93</v>
      </c>
      <c r="R25" s="6"/>
      <c r="S25" s="6"/>
      <c r="T25" s="156"/>
      <c r="U25" s="6"/>
    </row>
    <row r="26" spans="1:21" customFormat="1">
      <c r="A26" s="163" t="s">
        <v>640</v>
      </c>
      <c r="B26" s="100">
        <v>15.69</v>
      </c>
      <c r="C26" s="100">
        <v>24.67</v>
      </c>
      <c r="D26" s="100">
        <v>26.82</v>
      </c>
      <c r="E26" s="100">
        <v>8.27</v>
      </c>
      <c r="F26" s="152" t="s">
        <v>15</v>
      </c>
      <c r="G26" s="100">
        <v>77.88</v>
      </c>
      <c r="H26" s="100">
        <v>21.2</v>
      </c>
      <c r="I26" s="100">
        <v>9.41</v>
      </c>
      <c r="J26" s="100">
        <v>1.22</v>
      </c>
      <c r="K26" s="100">
        <v>51.23</v>
      </c>
      <c r="L26" s="100">
        <v>20.81</v>
      </c>
      <c r="M26" s="100">
        <v>50.06</v>
      </c>
      <c r="N26" s="100">
        <v>0.8</v>
      </c>
      <c r="O26" s="100">
        <v>0</v>
      </c>
      <c r="P26" s="100">
        <v>0.78</v>
      </c>
      <c r="Q26" s="100">
        <v>12.94</v>
      </c>
      <c r="R26" s="6"/>
      <c r="S26" s="6"/>
      <c r="T26" s="156"/>
      <c r="U26" s="6"/>
    </row>
    <row r="27" spans="1:21" customFormat="1">
      <c r="A27" s="163" t="s">
        <v>641</v>
      </c>
      <c r="B27" s="100">
        <v>15.24</v>
      </c>
      <c r="C27" s="100">
        <v>24.65</v>
      </c>
      <c r="D27" s="100">
        <v>26.45</v>
      </c>
      <c r="E27" s="100">
        <v>7.97</v>
      </c>
      <c r="F27" s="152" t="s">
        <v>15</v>
      </c>
      <c r="G27" s="100">
        <v>75.510000000000005</v>
      </c>
      <c r="H27" s="100">
        <v>21.16</v>
      </c>
      <c r="I27" s="100">
        <v>9.3800000000000008</v>
      </c>
      <c r="J27" s="100">
        <v>1.07</v>
      </c>
      <c r="K27" s="100">
        <v>52.35</v>
      </c>
      <c r="L27" s="100">
        <v>20.58</v>
      </c>
      <c r="M27" s="100">
        <v>51.09</v>
      </c>
      <c r="N27" s="100">
        <v>1.2</v>
      </c>
      <c r="O27" s="100">
        <v>0</v>
      </c>
      <c r="P27" s="100">
        <v>0.78</v>
      </c>
      <c r="Q27" s="100">
        <v>12.93</v>
      </c>
      <c r="R27" s="6"/>
      <c r="S27" s="6"/>
      <c r="T27" s="156"/>
      <c r="U27" s="6"/>
    </row>
    <row r="28" spans="1:21" customFormat="1">
      <c r="A28" s="163" t="s">
        <v>642</v>
      </c>
      <c r="B28" s="100">
        <v>14.88</v>
      </c>
      <c r="C28" s="100">
        <v>24.42</v>
      </c>
      <c r="D28" s="100">
        <v>26.04</v>
      </c>
      <c r="E28" s="100">
        <v>8.01</v>
      </c>
      <c r="F28" s="152" t="s">
        <v>15</v>
      </c>
      <c r="G28" s="100">
        <v>75.510000000000005</v>
      </c>
      <c r="H28" s="100">
        <v>21.16</v>
      </c>
      <c r="I28" s="100">
        <v>9.39</v>
      </c>
      <c r="J28" s="100">
        <v>0.68</v>
      </c>
      <c r="K28" s="100">
        <v>58.68</v>
      </c>
      <c r="L28" s="100">
        <v>20.32</v>
      </c>
      <c r="M28" s="100">
        <v>52.04</v>
      </c>
      <c r="N28" s="100">
        <v>1.2</v>
      </c>
      <c r="O28" s="100">
        <v>0</v>
      </c>
      <c r="P28" s="100">
        <v>0.78</v>
      </c>
      <c r="Q28" s="100">
        <v>12.92</v>
      </c>
      <c r="R28" s="6"/>
      <c r="S28" s="6"/>
      <c r="T28" s="156"/>
      <c r="U28" s="6"/>
    </row>
    <row r="29" spans="1:21" customFormat="1">
      <c r="A29" s="163" t="s">
        <v>643</v>
      </c>
      <c r="B29" s="100">
        <v>14.43</v>
      </c>
      <c r="C29" s="100">
        <v>24.46</v>
      </c>
      <c r="D29" s="100">
        <v>25.7</v>
      </c>
      <c r="E29" s="100">
        <v>7.64</v>
      </c>
      <c r="F29" s="152" t="s">
        <v>15</v>
      </c>
      <c r="G29" s="100">
        <v>75.510000000000005</v>
      </c>
      <c r="H29" s="100">
        <v>21.16</v>
      </c>
      <c r="I29" s="100">
        <v>9.3000000000000007</v>
      </c>
      <c r="J29" s="100">
        <v>0.73</v>
      </c>
      <c r="K29" s="100">
        <v>57.69</v>
      </c>
      <c r="L29" s="100">
        <v>20.18</v>
      </c>
      <c r="M29" s="100">
        <v>52.3</v>
      </c>
      <c r="N29" s="100">
        <v>1</v>
      </c>
      <c r="O29" s="100">
        <v>0</v>
      </c>
      <c r="P29" s="100">
        <v>0.77</v>
      </c>
      <c r="Q29" s="100">
        <v>12.93</v>
      </c>
      <c r="R29" s="6"/>
      <c r="S29" s="6"/>
      <c r="T29" s="156"/>
      <c r="U29" s="6"/>
    </row>
    <row r="30" spans="1:21" customFormat="1">
      <c r="A30" s="163" t="s">
        <v>644</v>
      </c>
      <c r="B30" s="100">
        <v>14.24</v>
      </c>
      <c r="C30" s="100">
        <v>24.57</v>
      </c>
      <c r="D30" s="100">
        <v>25.61</v>
      </c>
      <c r="E30" s="100">
        <v>7.72</v>
      </c>
      <c r="F30" s="152" t="s">
        <v>15</v>
      </c>
      <c r="G30" s="100">
        <v>70.28</v>
      </c>
      <c r="H30" s="100">
        <v>20.63</v>
      </c>
      <c r="I30" s="100">
        <v>9.2100000000000009</v>
      </c>
      <c r="J30" s="100">
        <v>0.59</v>
      </c>
      <c r="K30" s="100">
        <v>46.29</v>
      </c>
      <c r="L30" s="100">
        <v>19.87</v>
      </c>
      <c r="M30" s="100">
        <v>53.75</v>
      </c>
      <c r="N30" s="100">
        <v>1</v>
      </c>
      <c r="O30" s="100">
        <v>0</v>
      </c>
      <c r="P30" s="100">
        <v>0.77</v>
      </c>
      <c r="Q30" s="100">
        <v>12.94</v>
      </c>
      <c r="R30" s="6"/>
      <c r="S30" s="6"/>
      <c r="T30" s="156"/>
      <c r="U30" s="6"/>
    </row>
    <row r="31" spans="1:21" customFormat="1">
      <c r="A31" s="163" t="s">
        <v>645</v>
      </c>
      <c r="B31" s="100">
        <v>14.51</v>
      </c>
      <c r="C31" s="100">
        <v>24.83</v>
      </c>
      <c r="D31" s="100">
        <v>25.96</v>
      </c>
      <c r="E31" s="100">
        <v>8.3000000000000007</v>
      </c>
      <c r="F31" s="152" t="s">
        <v>15</v>
      </c>
      <c r="G31" s="100">
        <v>68.38</v>
      </c>
      <c r="H31" s="100">
        <v>20.62</v>
      </c>
      <c r="I31" s="100">
        <v>9.1</v>
      </c>
      <c r="J31" s="100">
        <v>0.41</v>
      </c>
      <c r="K31" s="100">
        <v>42.43</v>
      </c>
      <c r="L31" s="100">
        <v>19.7</v>
      </c>
      <c r="M31" s="100">
        <v>54.36</v>
      </c>
      <c r="N31" s="100">
        <v>0.9</v>
      </c>
      <c r="O31" s="100">
        <v>0</v>
      </c>
      <c r="P31" s="100">
        <v>0.76</v>
      </c>
      <c r="Q31" s="100">
        <v>12.94</v>
      </c>
      <c r="R31" s="6"/>
      <c r="S31" s="6"/>
      <c r="T31" s="156"/>
      <c r="U31" s="6"/>
    </row>
    <row r="32" spans="1:21" customFormat="1">
      <c r="A32" s="163" t="s">
        <v>646</v>
      </c>
      <c r="B32" s="100">
        <v>14.83</v>
      </c>
      <c r="C32" s="100">
        <v>25.07</v>
      </c>
      <c r="D32" s="100">
        <v>26.34</v>
      </c>
      <c r="E32" s="100">
        <v>7.92</v>
      </c>
      <c r="F32" s="152" t="s">
        <v>15</v>
      </c>
      <c r="G32" s="100">
        <v>68.38</v>
      </c>
      <c r="H32" s="100">
        <v>20.62</v>
      </c>
      <c r="I32" s="100">
        <v>9.01</v>
      </c>
      <c r="J32" s="100">
        <v>0.22</v>
      </c>
      <c r="K32" s="100">
        <v>54.53</v>
      </c>
      <c r="L32" s="100">
        <v>19.510000000000002</v>
      </c>
      <c r="M32" s="100">
        <v>55.01</v>
      </c>
      <c r="N32" s="100">
        <v>1</v>
      </c>
      <c r="O32" s="100">
        <v>0</v>
      </c>
      <c r="P32" s="100">
        <v>0.76</v>
      </c>
      <c r="Q32" s="100">
        <v>12.94</v>
      </c>
      <c r="R32" s="6"/>
      <c r="S32" s="6"/>
      <c r="T32" s="156"/>
      <c r="U32" s="6"/>
    </row>
    <row r="33" spans="1:21" customFormat="1">
      <c r="A33" s="163" t="s">
        <v>647</v>
      </c>
      <c r="B33" s="100">
        <v>15.02</v>
      </c>
      <c r="C33" s="100">
        <v>25.11</v>
      </c>
      <c r="D33" s="100">
        <v>26.52</v>
      </c>
      <c r="E33" s="100">
        <v>7.7</v>
      </c>
      <c r="F33" s="152" t="s">
        <v>15</v>
      </c>
      <c r="G33" s="100">
        <v>68.38</v>
      </c>
      <c r="H33" s="100">
        <v>20.62</v>
      </c>
      <c r="I33" s="100">
        <v>8.9600000000000009</v>
      </c>
      <c r="J33" s="100">
        <v>0.1</v>
      </c>
      <c r="K33" s="100">
        <v>71.930000000000007</v>
      </c>
      <c r="L33" s="100">
        <v>19.190000000000001</v>
      </c>
      <c r="M33" s="100">
        <v>57.33</v>
      </c>
      <c r="N33" s="100">
        <v>1.3</v>
      </c>
      <c r="O33" s="100">
        <v>0</v>
      </c>
      <c r="P33" s="100">
        <v>0.77</v>
      </c>
      <c r="Q33" s="100">
        <v>12.93</v>
      </c>
      <c r="R33" s="6"/>
      <c r="S33" s="6"/>
      <c r="T33" s="156"/>
      <c r="U33" s="6"/>
    </row>
    <row r="34" spans="1:21" customFormat="1">
      <c r="A34" s="163" t="s">
        <v>648</v>
      </c>
      <c r="B34" s="100">
        <v>15.15</v>
      </c>
      <c r="C34" s="100">
        <v>25.32</v>
      </c>
      <c r="D34" s="100">
        <v>26.73</v>
      </c>
      <c r="E34" s="100">
        <v>7.59</v>
      </c>
      <c r="F34" s="152" t="s">
        <v>15</v>
      </c>
      <c r="G34" s="100">
        <v>69.12</v>
      </c>
      <c r="H34" s="100">
        <v>16.940000000000001</v>
      </c>
      <c r="I34" s="100">
        <v>8.94</v>
      </c>
      <c r="J34" s="100">
        <v>0.04</v>
      </c>
      <c r="K34" s="100">
        <v>43.64</v>
      </c>
      <c r="L34" s="100">
        <v>18.96</v>
      </c>
      <c r="M34" s="100">
        <v>58.07</v>
      </c>
      <c r="N34" s="100">
        <v>2.5</v>
      </c>
      <c r="O34" s="100">
        <v>0</v>
      </c>
      <c r="P34" s="100">
        <v>0.76</v>
      </c>
      <c r="Q34" s="100">
        <v>12.95</v>
      </c>
      <c r="R34" s="6"/>
      <c r="S34" s="6"/>
      <c r="T34" s="156"/>
      <c r="U34" s="6"/>
    </row>
    <row r="35" spans="1:21" customFormat="1">
      <c r="A35" s="163" t="s">
        <v>649</v>
      </c>
      <c r="B35" s="100">
        <v>15.29</v>
      </c>
      <c r="C35" s="100">
        <v>25.54</v>
      </c>
      <c r="D35" s="100">
        <v>26.95</v>
      </c>
      <c r="E35" s="100">
        <v>7.6</v>
      </c>
      <c r="F35" s="152" t="s">
        <v>15</v>
      </c>
      <c r="G35" s="100">
        <v>69.39</v>
      </c>
      <c r="H35" s="100">
        <v>16.88</v>
      </c>
      <c r="I35" s="100">
        <v>8.9</v>
      </c>
      <c r="J35" s="100">
        <v>0.17</v>
      </c>
      <c r="K35" s="100">
        <v>181.97</v>
      </c>
      <c r="L35" s="100">
        <v>18.54</v>
      </c>
      <c r="M35" s="100">
        <v>61.57</v>
      </c>
      <c r="N35" s="100">
        <v>6.8</v>
      </c>
      <c r="O35" s="100">
        <v>0</v>
      </c>
      <c r="P35" s="100">
        <v>0.75</v>
      </c>
      <c r="Q35" s="100">
        <v>12.94</v>
      </c>
      <c r="R35" s="6"/>
      <c r="S35" s="6"/>
      <c r="T35" s="156"/>
      <c r="U35" s="6"/>
    </row>
    <row r="36" spans="1:21" customFormat="1">
      <c r="A36" s="163" t="s">
        <v>650</v>
      </c>
      <c r="B36" s="100">
        <v>15.24</v>
      </c>
      <c r="C36" s="100">
        <v>25.57</v>
      </c>
      <c r="D36" s="100">
        <v>26.93</v>
      </c>
      <c r="E36" s="100">
        <v>7.58</v>
      </c>
      <c r="F36" s="152" t="s">
        <v>15</v>
      </c>
      <c r="G36" s="100">
        <v>69.39</v>
      </c>
      <c r="H36" s="100">
        <v>16.88</v>
      </c>
      <c r="I36" s="100">
        <v>8.84</v>
      </c>
      <c r="J36" s="100">
        <v>0.17</v>
      </c>
      <c r="K36" s="100">
        <v>169.49</v>
      </c>
      <c r="L36" s="100">
        <v>18.329999999999998</v>
      </c>
      <c r="M36" s="100">
        <v>66.83</v>
      </c>
      <c r="N36" s="100">
        <v>12.7</v>
      </c>
      <c r="O36" s="100">
        <v>0</v>
      </c>
      <c r="P36" s="100">
        <v>0.76</v>
      </c>
      <c r="Q36" s="100">
        <v>12.94</v>
      </c>
      <c r="R36" s="6"/>
      <c r="S36" s="6"/>
      <c r="T36" s="156"/>
      <c r="U36" s="6"/>
    </row>
    <row r="37" spans="1:21" customFormat="1">
      <c r="A37" s="163" t="s">
        <v>651</v>
      </c>
      <c r="B37" s="100">
        <v>15.29</v>
      </c>
      <c r="C37" s="100">
        <v>25.23</v>
      </c>
      <c r="D37" s="100">
        <v>26.8</v>
      </c>
      <c r="E37" s="100">
        <v>7.39</v>
      </c>
      <c r="F37" s="152" t="s">
        <v>15</v>
      </c>
      <c r="G37" s="100">
        <v>69.39</v>
      </c>
      <c r="H37" s="100">
        <v>16.88</v>
      </c>
      <c r="I37" s="100">
        <v>8.8000000000000007</v>
      </c>
      <c r="J37" s="100">
        <v>0.09</v>
      </c>
      <c r="K37" s="100">
        <v>138.72</v>
      </c>
      <c r="L37" s="100">
        <v>18.7</v>
      </c>
      <c r="M37" s="100">
        <v>66.92</v>
      </c>
      <c r="N37" s="100">
        <v>19.2</v>
      </c>
      <c r="O37" s="100">
        <v>0</v>
      </c>
      <c r="P37" s="100">
        <v>0.75</v>
      </c>
      <c r="Q37" s="100">
        <v>12.95</v>
      </c>
      <c r="R37" s="6"/>
      <c r="S37" s="6"/>
      <c r="T37" s="156"/>
      <c r="U37" s="6"/>
    </row>
    <row r="38" spans="1:21" customFormat="1">
      <c r="A38" s="163" t="s">
        <v>652</v>
      </c>
      <c r="B38" s="100">
        <v>15.38</v>
      </c>
      <c r="C38" s="100">
        <v>25.04</v>
      </c>
      <c r="D38" s="100">
        <v>26.77</v>
      </c>
      <c r="E38" s="100">
        <v>7.4</v>
      </c>
      <c r="F38" s="152" t="s">
        <v>15</v>
      </c>
      <c r="G38" s="100">
        <v>68.05</v>
      </c>
      <c r="H38" s="100">
        <v>19.149999999999999</v>
      </c>
      <c r="I38" s="100">
        <v>8.77</v>
      </c>
      <c r="J38" s="100">
        <v>0.72</v>
      </c>
      <c r="K38" s="100">
        <v>54.04</v>
      </c>
      <c r="L38" s="100">
        <v>19.97</v>
      </c>
      <c r="M38" s="100">
        <v>51.77</v>
      </c>
      <c r="N38" s="100">
        <v>25</v>
      </c>
      <c r="O38" s="100">
        <v>0</v>
      </c>
      <c r="P38" s="100">
        <v>0.75</v>
      </c>
      <c r="Q38" s="100">
        <v>12.93</v>
      </c>
      <c r="R38" s="6"/>
      <c r="S38" s="6"/>
      <c r="T38" s="156"/>
      <c r="U38" s="6"/>
    </row>
    <row r="39" spans="1:21" customFormat="1">
      <c r="A39" s="163" t="s">
        <v>653</v>
      </c>
      <c r="B39" s="100">
        <v>15.57</v>
      </c>
      <c r="C39" s="100">
        <v>25.32</v>
      </c>
      <c r="D39" s="100">
        <v>27.07</v>
      </c>
      <c r="E39" s="100">
        <v>7.68</v>
      </c>
      <c r="F39" s="152" t="s">
        <v>15</v>
      </c>
      <c r="G39" s="100">
        <v>67.56</v>
      </c>
      <c r="H39" s="100">
        <v>19.18</v>
      </c>
      <c r="I39" s="100">
        <v>8.73</v>
      </c>
      <c r="J39" s="100">
        <v>0.9</v>
      </c>
      <c r="K39" s="100">
        <v>55.01</v>
      </c>
      <c r="L39" s="100">
        <v>20.87</v>
      </c>
      <c r="M39" s="100">
        <v>48.43</v>
      </c>
      <c r="N39" s="100">
        <v>32.700000000000003</v>
      </c>
      <c r="O39" s="100">
        <v>0</v>
      </c>
      <c r="P39" s="100">
        <v>0.75</v>
      </c>
      <c r="Q39" s="100">
        <v>12.94</v>
      </c>
      <c r="R39" s="6"/>
      <c r="S39" s="6"/>
      <c r="T39" s="156"/>
      <c r="U39" s="6"/>
    </row>
    <row r="40" spans="1:21" customFormat="1">
      <c r="A40" s="163" t="s">
        <v>654</v>
      </c>
      <c r="B40" s="100">
        <v>15.63</v>
      </c>
      <c r="C40" s="100">
        <v>25.9</v>
      </c>
      <c r="D40" s="100">
        <v>27.42</v>
      </c>
      <c r="E40" s="100">
        <v>7.5</v>
      </c>
      <c r="F40" s="152" t="s">
        <v>15</v>
      </c>
      <c r="G40" s="100">
        <v>67.56</v>
      </c>
      <c r="H40" s="100">
        <v>19.18</v>
      </c>
      <c r="I40" s="100">
        <v>8.69</v>
      </c>
      <c r="J40" s="100">
        <v>0.84</v>
      </c>
      <c r="K40" s="100">
        <v>57.45</v>
      </c>
      <c r="L40" s="100">
        <v>21.52</v>
      </c>
      <c r="M40" s="100">
        <v>47.77</v>
      </c>
      <c r="N40" s="100">
        <v>47.6</v>
      </c>
      <c r="O40" s="100">
        <v>0</v>
      </c>
      <c r="P40" s="100">
        <v>0.76</v>
      </c>
      <c r="Q40" s="100">
        <v>12.94</v>
      </c>
      <c r="R40" s="6"/>
      <c r="S40" s="6"/>
      <c r="T40" s="156"/>
      <c r="U40" s="6"/>
    </row>
    <row r="41" spans="1:21" customFormat="1">
      <c r="A41" s="163" t="s">
        <v>655</v>
      </c>
      <c r="B41" s="100">
        <v>15.81</v>
      </c>
      <c r="C41" s="100">
        <v>26.42</v>
      </c>
      <c r="D41" s="100">
        <v>27.83</v>
      </c>
      <c r="E41" s="100">
        <v>7.78</v>
      </c>
      <c r="F41" s="152" t="s">
        <v>15</v>
      </c>
      <c r="G41" s="100">
        <v>67.56</v>
      </c>
      <c r="H41" s="100">
        <v>19.18</v>
      </c>
      <c r="I41" s="100">
        <v>8.68</v>
      </c>
      <c r="J41" s="100">
        <v>0.86</v>
      </c>
      <c r="K41" s="100">
        <v>54.48</v>
      </c>
      <c r="L41" s="100">
        <v>22.37</v>
      </c>
      <c r="M41" s="100">
        <v>46.67</v>
      </c>
      <c r="N41" s="100">
        <v>128.30000000000001</v>
      </c>
      <c r="O41" s="100">
        <v>0</v>
      </c>
      <c r="P41" s="100">
        <v>0.76</v>
      </c>
      <c r="Q41" s="100">
        <v>12.94</v>
      </c>
      <c r="R41" s="6"/>
      <c r="S41" s="6"/>
      <c r="T41" s="156"/>
      <c r="U41" s="6"/>
    </row>
    <row r="42" spans="1:21" customFormat="1">
      <c r="A42" s="163" t="s">
        <v>656</v>
      </c>
      <c r="B42" s="100">
        <v>15.94</v>
      </c>
      <c r="C42" s="100">
        <v>26.83</v>
      </c>
      <c r="D42" s="100">
        <v>28.16</v>
      </c>
      <c r="E42" s="100">
        <v>7.7</v>
      </c>
      <c r="F42" s="152" t="s">
        <v>15</v>
      </c>
      <c r="G42" s="100">
        <v>69.09</v>
      </c>
      <c r="H42" s="100">
        <v>18.850000000000001</v>
      </c>
      <c r="I42" s="100">
        <v>8.6999999999999993</v>
      </c>
      <c r="J42" s="100">
        <v>0.71</v>
      </c>
      <c r="K42" s="100">
        <v>65.209999999999994</v>
      </c>
      <c r="L42" s="100">
        <v>23.63</v>
      </c>
      <c r="M42" s="100">
        <v>43.82</v>
      </c>
      <c r="N42" s="100">
        <v>175</v>
      </c>
      <c r="O42" s="100">
        <v>0</v>
      </c>
      <c r="P42" s="100">
        <v>0.75</v>
      </c>
      <c r="Q42" s="100">
        <v>12.96</v>
      </c>
      <c r="R42" s="6"/>
      <c r="S42" s="6"/>
      <c r="T42" s="156"/>
      <c r="U42" s="6"/>
    </row>
    <row r="43" spans="1:21" customFormat="1">
      <c r="A43" s="163" t="s">
        <v>657</v>
      </c>
      <c r="B43" s="100">
        <v>16.45</v>
      </c>
      <c r="C43" s="100">
        <v>27.14</v>
      </c>
      <c r="D43" s="100">
        <v>28.73</v>
      </c>
      <c r="E43" s="100">
        <v>9.23</v>
      </c>
      <c r="F43" s="152" t="s">
        <v>15</v>
      </c>
      <c r="G43" s="100">
        <v>69.650000000000006</v>
      </c>
      <c r="H43" s="100">
        <v>18.850000000000001</v>
      </c>
      <c r="I43" s="100">
        <v>8.73</v>
      </c>
      <c r="J43" s="100">
        <v>1.44</v>
      </c>
      <c r="K43" s="100">
        <v>49.07</v>
      </c>
      <c r="L43" s="100">
        <v>24.27</v>
      </c>
      <c r="M43" s="100">
        <v>42.24</v>
      </c>
      <c r="N43" s="100">
        <v>239.8</v>
      </c>
      <c r="O43" s="100">
        <v>0</v>
      </c>
      <c r="P43" s="100">
        <v>0.75</v>
      </c>
      <c r="Q43" s="100">
        <v>12.96</v>
      </c>
      <c r="R43" s="6"/>
      <c r="S43" s="6"/>
      <c r="T43" s="156"/>
      <c r="U43" s="6"/>
    </row>
    <row r="44" spans="1:21" customFormat="1">
      <c r="A44" s="163" t="s">
        <v>658</v>
      </c>
      <c r="B44" s="100">
        <v>16.14</v>
      </c>
      <c r="C44" s="100">
        <v>27.2</v>
      </c>
      <c r="D44" s="100">
        <v>28.51</v>
      </c>
      <c r="E44" s="100">
        <v>9.2200000000000006</v>
      </c>
      <c r="F44" s="152" t="s">
        <v>15</v>
      </c>
      <c r="G44" s="100">
        <v>69.650000000000006</v>
      </c>
      <c r="H44" s="100">
        <v>18.850000000000001</v>
      </c>
      <c r="I44" s="100">
        <v>8.74</v>
      </c>
      <c r="J44" s="100">
        <v>1.88</v>
      </c>
      <c r="K44" s="100">
        <v>47.94</v>
      </c>
      <c r="L44" s="100">
        <v>24.98</v>
      </c>
      <c r="M44" s="100">
        <v>38.369999999999997</v>
      </c>
      <c r="N44" s="100">
        <v>260.7</v>
      </c>
      <c r="O44" s="100">
        <v>0</v>
      </c>
      <c r="P44" s="100">
        <v>0.7</v>
      </c>
      <c r="Q44" s="100">
        <v>12.97</v>
      </c>
      <c r="R44" s="6"/>
      <c r="S44" s="6"/>
      <c r="T44" s="156"/>
      <c r="U44" s="6"/>
    </row>
    <row r="45" spans="1:21" customFormat="1">
      <c r="A45" s="163" t="s">
        <v>659</v>
      </c>
      <c r="B45" s="100">
        <v>14.89</v>
      </c>
      <c r="C45" s="100">
        <v>27.37</v>
      </c>
      <c r="D45" s="100">
        <v>27.59</v>
      </c>
      <c r="E45" s="100">
        <v>9.41</v>
      </c>
      <c r="F45" s="152" t="s">
        <v>15</v>
      </c>
      <c r="G45" s="100">
        <v>69.650000000000006</v>
      </c>
      <c r="H45" s="100">
        <v>18.850000000000001</v>
      </c>
      <c r="I45" s="100">
        <v>8.68</v>
      </c>
      <c r="J45" s="100">
        <v>1.95</v>
      </c>
      <c r="K45" s="100">
        <v>48.9</v>
      </c>
      <c r="L45" s="100">
        <v>25.56</v>
      </c>
      <c r="M45" s="100">
        <v>35.56</v>
      </c>
      <c r="N45" s="100">
        <v>211.2</v>
      </c>
      <c r="O45" s="100">
        <v>0</v>
      </c>
      <c r="P45" s="100">
        <v>0.66</v>
      </c>
      <c r="Q45" s="100">
        <v>12.96</v>
      </c>
      <c r="R45" s="6"/>
      <c r="S45" s="6"/>
      <c r="T45" s="156"/>
      <c r="U45" s="6"/>
    </row>
    <row r="46" spans="1:21" customFormat="1">
      <c r="A46" s="163" t="s">
        <v>660</v>
      </c>
      <c r="B46" s="100">
        <v>13.54</v>
      </c>
      <c r="C46" s="100">
        <v>27.88</v>
      </c>
      <c r="D46" s="100">
        <v>26.77</v>
      </c>
      <c r="E46" s="100">
        <v>9.8800000000000008</v>
      </c>
      <c r="F46" s="152" t="s">
        <v>15</v>
      </c>
      <c r="G46" s="100">
        <v>73.599999999999994</v>
      </c>
      <c r="H46" s="100">
        <v>28.71</v>
      </c>
      <c r="I46" s="100">
        <v>8.56</v>
      </c>
      <c r="J46" s="100">
        <v>1.64</v>
      </c>
      <c r="K46" s="100">
        <v>51.75</v>
      </c>
      <c r="L46" s="100">
        <v>26.52</v>
      </c>
      <c r="M46" s="100">
        <v>31.35</v>
      </c>
      <c r="N46" s="100">
        <v>299.89999999999998</v>
      </c>
      <c r="O46" s="100">
        <v>0</v>
      </c>
      <c r="P46" s="100">
        <v>0.64</v>
      </c>
      <c r="Q46" s="100">
        <v>12.96</v>
      </c>
      <c r="R46" s="6"/>
      <c r="S46" s="6"/>
      <c r="T46" s="156"/>
      <c r="U46" s="6"/>
    </row>
    <row r="47" spans="1:21" customFormat="1">
      <c r="A47" s="163" t="s">
        <v>661</v>
      </c>
      <c r="B47" s="100">
        <v>13.16</v>
      </c>
      <c r="C47" s="100">
        <v>28.9</v>
      </c>
      <c r="D47" s="100">
        <v>27</v>
      </c>
      <c r="E47" s="100">
        <v>12.71</v>
      </c>
      <c r="F47" s="152" t="s">
        <v>15</v>
      </c>
      <c r="G47" s="100">
        <v>75.040000000000006</v>
      </c>
      <c r="H47" s="100">
        <v>28.96</v>
      </c>
      <c r="I47" s="100">
        <v>8.4</v>
      </c>
      <c r="J47" s="100">
        <v>1.84</v>
      </c>
      <c r="K47" s="100">
        <v>37.83</v>
      </c>
      <c r="L47" s="100">
        <v>27.13</v>
      </c>
      <c r="M47" s="100">
        <v>27.1</v>
      </c>
      <c r="N47" s="100">
        <v>311.89999999999998</v>
      </c>
      <c r="O47" s="100">
        <v>0</v>
      </c>
      <c r="P47" s="100">
        <v>0.62</v>
      </c>
      <c r="Q47" s="100">
        <v>12.96</v>
      </c>
      <c r="R47" s="6"/>
      <c r="S47" s="6"/>
      <c r="T47" s="156"/>
      <c r="U47" s="6"/>
    </row>
    <row r="48" spans="1:21" customFormat="1">
      <c r="A48" s="163" t="s">
        <v>662</v>
      </c>
      <c r="B48" s="100">
        <v>13.77</v>
      </c>
      <c r="C48" s="100">
        <v>29.89</v>
      </c>
      <c r="D48" s="100">
        <v>28.01</v>
      </c>
      <c r="E48" s="100">
        <v>12.67</v>
      </c>
      <c r="F48" s="152" t="s">
        <v>15</v>
      </c>
      <c r="G48" s="100">
        <v>75.040000000000006</v>
      </c>
      <c r="H48" s="100">
        <v>28.96</v>
      </c>
      <c r="I48" s="100">
        <v>8.1999999999999993</v>
      </c>
      <c r="J48" s="100">
        <v>1.71</v>
      </c>
      <c r="K48" s="100">
        <v>54.79</v>
      </c>
      <c r="L48" s="100">
        <v>27.83</v>
      </c>
      <c r="M48" s="100">
        <v>25.95</v>
      </c>
      <c r="N48" s="100">
        <v>324.7</v>
      </c>
      <c r="O48" s="100">
        <v>0</v>
      </c>
      <c r="P48" s="100">
        <v>0.6</v>
      </c>
      <c r="Q48" s="100">
        <v>12.96</v>
      </c>
      <c r="R48" s="6"/>
      <c r="S48" s="6"/>
      <c r="T48" s="156"/>
      <c r="U48" s="6"/>
    </row>
    <row r="49" spans="1:21" customFormat="1">
      <c r="A49" s="163" t="s">
        <v>663</v>
      </c>
      <c r="B49" s="100">
        <v>13.97</v>
      </c>
      <c r="C49" s="100">
        <v>30.3</v>
      </c>
      <c r="D49" s="100">
        <v>28.39</v>
      </c>
      <c r="E49" s="100">
        <v>10.62</v>
      </c>
      <c r="F49" s="152" t="s">
        <v>15</v>
      </c>
      <c r="G49" s="100">
        <v>75.040000000000006</v>
      </c>
      <c r="H49" s="100">
        <v>28.96</v>
      </c>
      <c r="I49" s="100">
        <v>7.97</v>
      </c>
      <c r="J49" s="100">
        <v>1.77</v>
      </c>
      <c r="K49" s="100">
        <v>51.53</v>
      </c>
      <c r="L49" s="100">
        <v>27.93</v>
      </c>
      <c r="M49" s="100">
        <v>24.46</v>
      </c>
      <c r="N49" s="100">
        <v>261.7</v>
      </c>
      <c r="O49" s="100">
        <v>0</v>
      </c>
      <c r="P49" s="100">
        <v>0.59</v>
      </c>
      <c r="Q49" s="100">
        <v>12.97</v>
      </c>
      <c r="R49" s="6"/>
      <c r="S49" s="6"/>
      <c r="T49" s="156"/>
      <c r="U49" s="6"/>
    </row>
    <row r="50" spans="1:21" customFormat="1">
      <c r="A50" s="163" t="s">
        <v>664</v>
      </c>
      <c r="B50" s="100">
        <v>13.42</v>
      </c>
      <c r="C50" s="100">
        <v>30.51</v>
      </c>
      <c r="D50" s="100">
        <v>28.05</v>
      </c>
      <c r="E50" s="100">
        <v>11.56</v>
      </c>
      <c r="F50" s="152" t="s">
        <v>15</v>
      </c>
      <c r="G50" s="100">
        <v>71.290000000000006</v>
      </c>
      <c r="H50" s="100">
        <v>102.47</v>
      </c>
      <c r="I50" s="100">
        <v>7.75</v>
      </c>
      <c r="J50" s="100">
        <v>1.32</v>
      </c>
      <c r="K50" s="100">
        <v>59.45</v>
      </c>
      <c r="L50" s="100">
        <v>28.82</v>
      </c>
      <c r="M50" s="100">
        <v>22.88</v>
      </c>
      <c r="N50" s="100">
        <v>289.8</v>
      </c>
      <c r="O50" s="100">
        <v>0</v>
      </c>
      <c r="P50" s="100">
        <v>0.56999999999999995</v>
      </c>
      <c r="Q50" s="100">
        <v>12.95</v>
      </c>
      <c r="R50" s="6"/>
      <c r="S50" s="6"/>
      <c r="T50" s="156"/>
      <c r="U50" s="6"/>
    </row>
    <row r="51" spans="1:21" customFormat="1">
      <c r="A51" s="163" t="s">
        <v>665</v>
      </c>
      <c r="B51" s="100">
        <v>12.89</v>
      </c>
      <c r="C51" s="100">
        <v>30.6</v>
      </c>
      <c r="D51" s="100">
        <v>27.68</v>
      </c>
      <c r="E51" s="100">
        <v>10.99</v>
      </c>
      <c r="F51" s="152" t="s">
        <v>15</v>
      </c>
      <c r="G51" s="100">
        <v>69.92</v>
      </c>
      <c r="H51" s="100">
        <v>103.62</v>
      </c>
      <c r="I51" s="100">
        <v>7.56</v>
      </c>
      <c r="J51" s="100">
        <v>1.86</v>
      </c>
      <c r="K51" s="100">
        <v>55.31</v>
      </c>
      <c r="L51" s="100">
        <v>28.9</v>
      </c>
      <c r="M51" s="100">
        <v>23.03</v>
      </c>
      <c r="N51" s="100">
        <v>365.1</v>
      </c>
      <c r="O51" s="100">
        <v>0</v>
      </c>
      <c r="P51" s="100">
        <v>0.56000000000000005</v>
      </c>
      <c r="Q51" s="100">
        <v>12.95</v>
      </c>
      <c r="R51" s="6"/>
      <c r="S51" s="6"/>
      <c r="T51" s="156"/>
      <c r="U51" s="6"/>
    </row>
    <row r="52" spans="1:21" customFormat="1">
      <c r="A52" s="163" t="s">
        <v>666</v>
      </c>
      <c r="B52" s="100">
        <v>12.27</v>
      </c>
      <c r="C52" s="100">
        <v>30.45</v>
      </c>
      <c r="D52" s="100">
        <v>27.1</v>
      </c>
      <c r="E52" s="100">
        <v>10.58</v>
      </c>
      <c r="F52" s="152" t="s">
        <v>15</v>
      </c>
      <c r="G52" s="100">
        <v>69.92</v>
      </c>
      <c r="H52" s="100">
        <v>103.62</v>
      </c>
      <c r="I52" s="100">
        <v>7.37</v>
      </c>
      <c r="J52" s="100">
        <v>1.87</v>
      </c>
      <c r="K52" s="100">
        <v>50.06</v>
      </c>
      <c r="L52" s="100">
        <v>29.05</v>
      </c>
      <c r="M52" s="100">
        <v>22.46</v>
      </c>
      <c r="N52" s="100">
        <v>369.9</v>
      </c>
      <c r="O52" s="100">
        <v>0</v>
      </c>
      <c r="P52" s="100">
        <v>0.53</v>
      </c>
      <c r="Q52" s="100">
        <v>12.96</v>
      </c>
      <c r="R52" s="6"/>
      <c r="S52" s="6"/>
      <c r="T52" s="156"/>
      <c r="U52" s="6"/>
    </row>
    <row r="53" spans="1:21" customFormat="1">
      <c r="A53" s="163" t="s">
        <v>667</v>
      </c>
      <c r="B53" s="100">
        <v>11.46</v>
      </c>
      <c r="C53" s="100">
        <v>30.09</v>
      </c>
      <c r="D53" s="100">
        <v>26.26</v>
      </c>
      <c r="E53" s="100">
        <v>10.210000000000001</v>
      </c>
      <c r="F53" s="152" t="s">
        <v>15</v>
      </c>
      <c r="G53" s="100">
        <v>69.92</v>
      </c>
      <c r="H53" s="100">
        <v>103.62</v>
      </c>
      <c r="I53" s="100">
        <v>7.14</v>
      </c>
      <c r="J53" s="100">
        <v>1.4</v>
      </c>
      <c r="K53" s="100">
        <v>57.97</v>
      </c>
      <c r="L53" s="100">
        <v>29.29</v>
      </c>
      <c r="M53" s="100">
        <v>23.34</v>
      </c>
      <c r="N53" s="100">
        <v>368.3</v>
      </c>
      <c r="O53" s="100">
        <v>0</v>
      </c>
      <c r="P53" s="100">
        <v>0.52</v>
      </c>
      <c r="Q53" s="100">
        <v>12.95</v>
      </c>
      <c r="R53" s="6"/>
      <c r="S53" s="6"/>
      <c r="T53" s="156"/>
      <c r="U53" s="6"/>
    </row>
    <row r="54" spans="1:21" customFormat="1">
      <c r="A54" s="163" t="s">
        <v>668</v>
      </c>
      <c r="B54" s="100">
        <v>10.66</v>
      </c>
      <c r="C54" s="100">
        <v>29.67</v>
      </c>
      <c r="D54" s="100">
        <v>25.4</v>
      </c>
      <c r="E54" s="100">
        <v>10.1</v>
      </c>
      <c r="F54" s="152" t="s">
        <v>15</v>
      </c>
      <c r="G54" s="100">
        <v>62.36</v>
      </c>
      <c r="H54" s="100">
        <v>57.63</v>
      </c>
      <c r="I54" s="100">
        <v>6.92</v>
      </c>
      <c r="J54" s="100">
        <v>0.87</v>
      </c>
      <c r="K54" s="100">
        <v>69.95</v>
      </c>
      <c r="L54" s="100">
        <v>30.39</v>
      </c>
      <c r="M54" s="100">
        <v>22.97</v>
      </c>
      <c r="N54" s="100">
        <v>332.3</v>
      </c>
      <c r="O54" s="100">
        <v>0</v>
      </c>
      <c r="P54" s="100">
        <v>0.51</v>
      </c>
      <c r="Q54" s="100">
        <v>12.96</v>
      </c>
      <c r="R54" s="6"/>
      <c r="S54" s="6"/>
      <c r="T54" s="156"/>
      <c r="U54" s="6"/>
    </row>
    <row r="55" spans="1:21" customFormat="1">
      <c r="A55" s="163" t="s">
        <v>669</v>
      </c>
      <c r="B55" s="100">
        <v>9.89</v>
      </c>
      <c r="C55" s="100">
        <v>29.3</v>
      </c>
      <c r="D55" s="100">
        <v>24.59</v>
      </c>
      <c r="E55" s="100">
        <v>10.6</v>
      </c>
      <c r="F55" s="152" t="s">
        <v>15</v>
      </c>
      <c r="G55" s="100">
        <v>59.61</v>
      </c>
      <c r="H55" s="100">
        <v>56.92</v>
      </c>
      <c r="I55" s="100">
        <v>6.73</v>
      </c>
      <c r="J55" s="100">
        <v>1.1299999999999999</v>
      </c>
      <c r="K55" s="100">
        <v>49.87</v>
      </c>
      <c r="L55" s="100">
        <v>30.56</v>
      </c>
      <c r="M55" s="100">
        <v>22.63</v>
      </c>
      <c r="N55" s="100">
        <v>312.10000000000002</v>
      </c>
      <c r="O55" s="100">
        <v>0</v>
      </c>
      <c r="P55" s="100">
        <v>0.49</v>
      </c>
      <c r="Q55" s="100">
        <v>12.92</v>
      </c>
      <c r="R55" s="6"/>
      <c r="S55" s="6"/>
      <c r="T55" s="156"/>
      <c r="U55" s="6"/>
    </row>
    <row r="56" spans="1:21" customFormat="1">
      <c r="A56" s="163" t="s">
        <v>670</v>
      </c>
      <c r="B56" s="100">
        <v>9.39</v>
      </c>
      <c r="C56" s="100">
        <v>29.24</v>
      </c>
      <c r="D56" s="100">
        <v>24.16</v>
      </c>
      <c r="E56" s="100">
        <v>11.46</v>
      </c>
      <c r="F56" s="152" t="s">
        <v>15</v>
      </c>
      <c r="G56" s="100">
        <v>59.61</v>
      </c>
      <c r="H56" s="100">
        <v>56.92</v>
      </c>
      <c r="I56" s="100">
        <v>6.58</v>
      </c>
      <c r="J56" s="100">
        <v>1.06</v>
      </c>
      <c r="K56" s="100">
        <v>52.97</v>
      </c>
      <c r="L56" s="100">
        <v>30.39</v>
      </c>
      <c r="M56" s="100">
        <v>22.34</v>
      </c>
      <c r="N56" s="100">
        <v>367.4</v>
      </c>
      <c r="O56" s="100">
        <v>0</v>
      </c>
      <c r="P56" s="100">
        <v>0.48</v>
      </c>
      <c r="Q56" s="100">
        <v>12.92</v>
      </c>
      <c r="R56" s="6"/>
      <c r="S56" s="6"/>
      <c r="T56" s="156"/>
      <c r="U56" s="6"/>
    </row>
    <row r="57" spans="1:21" customFormat="1">
      <c r="A57" s="163" t="s">
        <v>671</v>
      </c>
      <c r="B57" s="100">
        <v>8.98</v>
      </c>
      <c r="C57" s="100">
        <v>29.08</v>
      </c>
      <c r="D57" s="100">
        <v>23.74</v>
      </c>
      <c r="E57" s="100">
        <v>11.79</v>
      </c>
      <c r="F57" s="152" t="s">
        <v>15</v>
      </c>
      <c r="G57" s="100">
        <v>59.61</v>
      </c>
      <c r="H57" s="100">
        <v>56.92</v>
      </c>
      <c r="I57" s="100">
        <v>6.43</v>
      </c>
      <c r="J57" s="100">
        <v>1.68</v>
      </c>
      <c r="K57" s="100">
        <v>47.5</v>
      </c>
      <c r="L57" s="100">
        <v>30.45</v>
      </c>
      <c r="M57" s="100">
        <v>22.1</v>
      </c>
      <c r="N57" s="100">
        <v>382.1</v>
      </c>
      <c r="O57" s="100">
        <v>0</v>
      </c>
      <c r="P57" s="100">
        <v>0.47</v>
      </c>
      <c r="Q57" s="100">
        <v>12.94</v>
      </c>
      <c r="R57" s="6"/>
      <c r="S57" s="6"/>
      <c r="T57" s="156"/>
      <c r="U57" s="6"/>
    </row>
    <row r="58" spans="1:21" customFormat="1">
      <c r="A58" s="163" t="s">
        <v>672</v>
      </c>
      <c r="B58" s="100">
        <v>8.59</v>
      </c>
      <c r="C58" s="100">
        <v>29.02</v>
      </c>
      <c r="D58" s="100">
        <v>23.4</v>
      </c>
      <c r="E58" s="100">
        <v>11.62</v>
      </c>
      <c r="F58" s="152" t="s">
        <v>15</v>
      </c>
      <c r="G58" s="100">
        <v>56.71</v>
      </c>
      <c r="H58" s="100">
        <v>64.16</v>
      </c>
      <c r="I58" s="100">
        <v>6.25</v>
      </c>
      <c r="J58" s="100">
        <v>1.24</v>
      </c>
      <c r="K58" s="100">
        <v>45.56</v>
      </c>
      <c r="L58" s="100">
        <v>30.49</v>
      </c>
      <c r="M58" s="100">
        <v>22.06</v>
      </c>
      <c r="N58" s="100">
        <v>381.8</v>
      </c>
      <c r="O58" s="100">
        <v>0</v>
      </c>
      <c r="P58" s="100">
        <v>0.46</v>
      </c>
      <c r="Q58" s="100">
        <v>12.95</v>
      </c>
      <c r="R58" s="6"/>
      <c r="S58" s="6"/>
      <c r="T58" s="156"/>
      <c r="U58" s="6"/>
    </row>
    <row r="59" spans="1:21" customFormat="1">
      <c r="A59" s="163" t="s">
        <v>673</v>
      </c>
      <c r="B59" s="100">
        <v>8.06</v>
      </c>
      <c r="C59" s="100">
        <v>28.73</v>
      </c>
      <c r="D59" s="100">
        <v>22.83</v>
      </c>
      <c r="E59" s="100">
        <v>12.65</v>
      </c>
      <c r="F59" s="152" t="s">
        <v>15</v>
      </c>
      <c r="G59" s="100">
        <v>55.65</v>
      </c>
      <c r="H59" s="100">
        <v>64.27</v>
      </c>
      <c r="I59" s="100">
        <v>6.1</v>
      </c>
      <c r="J59" s="100">
        <v>1.19</v>
      </c>
      <c r="K59" s="100">
        <v>29.34</v>
      </c>
      <c r="L59" s="100">
        <v>30.58</v>
      </c>
      <c r="M59" s="100">
        <v>21.38</v>
      </c>
      <c r="N59" s="100">
        <v>378</v>
      </c>
      <c r="O59" s="100">
        <v>0</v>
      </c>
      <c r="P59" s="100">
        <v>0.45</v>
      </c>
      <c r="Q59" s="100">
        <v>12.95</v>
      </c>
      <c r="R59" s="6"/>
      <c r="S59" s="6"/>
      <c r="T59" s="156"/>
      <c r="U59" s="6"/>
    </row>
    <row r="60" spans="1:21" customFormat="1">
      <c r="A60" s="163" t="s">
        <v>674</v>
      </c>
      <c r="B60" s="100">
        <v>7.46</v>
      </c>
      <c r="C60" s="100">
        <v>28.4</v>
      </c>
      <c r="D60" s="100">
        <v>22.17</v>
      </c>
      <c r="E60" s="100">
        <v>12.25</v>
      </c>
      <c r="F60" s="152" t="s">
        <v>15</v>
      </c>
      <c r="G60" s="100">
        <v>55.65</v>
      </c>
      <c r="H60" s="100">
        <v>64.27</v>
      </c>
      <c r="I60" s="100">
        <v>5.99</v>
      </c>
      <c r="J60" s="100">
        <v>1.53</v>
      </c>
      <c r="K60" s="100">
        <v>32.799999999999997</v>
      </c>
      <c r="L60" s="100">
        <v>30.78</v>
      </c>
      <c r="M60" s="100">
        <v>20.440000000000001</v>
      </c>
      <c r="N60" s="100">
        <v>374.7</v>
      </c>
      <c r="O60" s="100">
        <v>0</v>
      </c>
      <c r="P60" s="100">
        <v>0.45</v>
      </c>
      <c r="Q60" s="100">
        <v>12.94</v>
      </c>
      <c r="R60" s="6"/>
      <c r="S60" s="6"/>
      <c r="T60" s="156"/>
      <c r="U60" s="6"/>
    </row>
    <row r="61" spans="1:21" customFormat="1">
      <c r="A61" s="163" t="s">
        <v>675</v>
      </c>
      <c r="B61" s="100">
        <v>6.84</v>
      </c>
      <c r="C61" s="100">
        <v>28.08</v>
      </c>
      <c r="D61" s="100">
        <v>21.51</v>
      </c>
      <c r="E61" s="100">
        <v>11.08</v>
      </c>
      <c r="F61" s="152" t="s">
        <v>15</v>
      </c>
      <c r="G61" s="100">
        <v>55.65</v>
      </c>
      <c r="H61" s="100">
        <v>64.27</v>
      </c>
      <c r="I61" s="100">
        <v>5.87</v>
      </c>
      <c r="J61" s="100">
        <v>1.1299999999999999</v>
      </c>
      <c r="K61" s="100">
        <v>13.05</v>
      </c>
      <c r="L61" s="100">
        <v>30.82</v>
      </c>
      <c r="M61" s="100">
        <v>20.260000000000002</v>
      </c>
      <c r="N61" s="100">
        <v>360.1</v>
      </c>
      <c r="O61" s="100">
        <v>0</v>
      </c>
      <c r="P61" s="100">
        <v>0.44</v>
      </c>
      <c r="Q61" s="100">
        <v>12.94</v>
      </c>
      <c r="R61" s="6"/>
      <c r="S61" s="6"/>
      <c r="T61" s="156"/>
      <c r="U61" s="6"/>
    </row>
    <row r="62" spans="1:21" customFormat="1">
      <c r="A62" s="163" t="s">
        <v>676</v>
      </c>
      <c r="B62" s="100">
        <v>6.08</v>
      </c>
      <c r="C62" s="100">
        <v>27.68</v>
      </c>
      <c r="D62" s="100">
        <v>20.69</v>
      </c>
      <c r="E62" s="100">
        <v>11.44</v>
      </c>
      <c r="F62" s="152" t="s">
        <v>15</v>
      </c>
      <c r="G62" s="100">
        <v>54.39</v>
      </c>
      <c r="H62" s="100">
        <v>97.45</v>
      </c>
      <c r="I62" s="100">
        <v>5.74</v>
      </c>
      <c r="J62" s="100">
        <v>0.78</v>
      </c>
      <c r="K62" s="100">
        <v>335.44</v>
      </c>
      <c r="L62" s="100">
        <v>31.17</v>
      </c>
      <c r="M62" s="100">
        <v>20.440000000000001</v>
      </c>
      <c r="N62" s="100">
        <v>343.4</v>
      </c>
      <c r="O62" s="100">
        <v>0</v>
      </c>
      <c r="P62" s="100">
        <v>0.44</v>
      </c>
      <c r="Q62" s="100">
        <v>12.92</v>
      </c>
      <c r="R62" s="6"/>
      <c r="S62" s="6"/>
      <c r="T62" s="156"/>
      <c r="U62" s="6"/>
    </row>
    <row r="63" spans="1:21" customFormat="1">
      <c r="A63" s="163" t="s">
        <v>677</v>
      </c>
      <c r="B63" s="100">
        <v>5.28</v>
      </c>
      <c r="C63" s="100">
        <v>26.99</v>
      </c>
      <c r="D63" s="100">
        <v>19.690000000000001</v>
      </c>
      <c r="E63" s="100">
        <v>11.12</v>
      </c>
      <c r="F63" s="152" t="s">
        <v>15</v>
      </c>
      <c r="G63" s="100">
        <v>53.93</v>
      </c>
      <c r="H63" s="100">
        <v>97.96</v>
      </c>
      <c r="I63" s="100">
        <v>5.65</v>
      </c>
      <c r="J63" s="100">
        <v>1.18</v>
      </c>
      <c r="K63" s="100">
        <v>23.96</v>
      </c>
      <c r="L63" s="100">
        <v>31.42</v>
      </c>
      <c r="M63" s="100">
        <v>20.190000000000001</v>
      </c>
      <c r="N63" s="100">
        <v>326.7</v>
      </c>
      <c r="O63" s="100">
        <v>0</v>
      </c>
      <c r="P63" s="100">
        <v>0.42</v>
      </c>
      <c r="Q63" s="100">
        <v>12.91</v>
      </c>
      <c r="R63" s="6"/>
      <c r="S63" s="6"/>
      <c r="T63" s="156"/>
      <c r="U63" s="6"/>
    </row>
    <row r="64" spans="1:21" customFormat="1">
      <c r="A64" s="163" t="s">
        <v>678</v>
      </c>
      <c r="B64" s="100">
        <v>4.74</v>
      </c>
      <c r="C64" s="100">
        <v>26.51</v>
      </c>
      <c r="D64" s="100">
        <v>19</v>
      </c>
      <c r="E64" s="100">
        <v>11.45</v>
      </c>
      <c r="F64" s="152" t="s">
        <v>15</v>
      </c>
      <c r="G64" s="100">
        <v>53.93</v>
      </c>
      <c r="H64" s="100">
        <v>97.96</v>
      </c>
      <c r="I64" s="100">
        <v>5.58</v>
      </c>
      <c r="J64" s="100">
        <v>0.81</v>
      </c>
      <c r="K64" s="100">
        <v>23.48</v>
      </c>
      <c r="L64" s="100">
        <v>31.41</v>
      </c>
      <c r="M64" s="100">
        <v>18.59</v>
      </c>
      <c r="N64" s="100">
        <v>351.5</v>
      </c>
      <c r="O64" s="100">
        <v>0</v>
      </c>
      <c r="P64" s="100">
        <v>0.45</v>
      </c>
      <c r="Q64" s="100">
        <v>12.92</v>
      </c>
      <c r="R64" s="6"/>
      <c r="S64" s="6"/>
      <c r="T64" s="156"/>
      <c r="U64" s="6"/>
    </row>
    <row r="65" spans="1:21" customFormat="1">
      <c r="A65" s="163" t="s">
        <v>679</v>
      </c>
      <c r="B65" s="100">
        <v>4.71</v>
      </c>
      <c r="C65" s="100">
        <v>25.88</v>
      </c>
      <c r="D65" s="100">
        <v>18.649999999999999</v>
      </c>
      <c r="E65" s="100">
        <v>12.33</v>
      </c>
      <c r="F65" s="152" t="s">
        <v>15</v>
      </c>
      <c r="G65" s="100">
        <v>53.93</v>
      </c>
      <c r="H65" s="100">
        <v>97.96</v>
      </c>
      <c r="I65" s="100">
        <v>5.47</v>
      </c>
      <c r="J65" s="100">
        <v>1.52</v>
      </c>
      <c r="K65" s="100">
        <v>25.78</v>
      </c>
      <c r="L65" s="100">
        <v>31.28</v>
      </c>
      <c r="M65" s="100">
        <v>17.670000000000002</v>
      </c>
      <c r="N65" s="100">
        <v>376.1</v>
      </c>
      <c r="O65" s="100">
        <v>0</v>
      </c>
      <c r="P65" s="100">
        <v>0.42</v>
      </c>
      <c r="Q65" s="100">
        <v>12.9</v>
      </c>
      <c r="R65" s="6"/>
      <c r="S65" s="6"/>
      <c r="T65" s="156"/>
      <c r="U65" s="6"/>
    </row>
    <row r="66" spans="1:21" customFormat="1">
      <c r="A66" s="163" t="s">
        <v>680</v>
      </c>
      <c r="B66" s="100">
        <v>4.7699999999999996</v>
      </c>
      <c r="C66" s="100">
        <v>24.98</v>
      </c>
      <c r="D66" s="100">
        <v>18.23</v>
      </c>
      <c r="E66" s="100">
        <v>12.24</v>
      </c>
      <c r="F66" s="152" t="s">
        <v>15</v>
      </c>
      <c r="G66" s="100">
        <v>50.4</v>
      </c>
      <c r="H66" s="100">
        <v>69.849999999999994</v>
      </c>
      <c r="I66" s="100">
        <v>5.36</v>
      </c>
      <c r="J66" s="100">
        <v>1.0900000000000001</v>
      </c>
      <c r="K66" s="100">
        <v>326.88</v>
      </c>
      <c r="L66" s="100">
        <v>31.7</v>
      </c>
      <c r="M66" s="100">
        <v>14.91</v>
      </c>
      <c r="N66" s="100">
        <v>387.1</v>
      </c>
      <c r="O66" s="100">
        <v>0</v>
      </c>
      <c r="P66" s="100">
        <v>0.44</v>
      </c>
      <c r="Q66" s="100">
        <v>12.91</v>
      </c>
      <c r="R66" s="6"/>
      <c r="S66" s="6"/>
      <c r="T66" s="156"/>
      <c r="U66" s="6"/>
    </row>
    <row r="67" spans="1:21" customFormat="1">
      <c r="A67" s="163" t="s">
        <v>681</v>
      </c>
      <c r="B67" s="100">
        <v>4.75</v>
      </c>
      <c r="C67" s="100">
        <v>24.09</v>
      </c>
      <c r="D67" s="100">
        <v>17.75</v>
      </c>
      <c r="E67" s="100">
        <v>8.84</v>
      </c>
      <c r="F67" s="152" t="s">
        <v>15</v>
      </c>
      <c r="G67" s="100">
        <v>49.12</v>
      </c>
      <c r="H67" s="100">
        <v>69.41</v>
      </c>
      <c r="I67" s="100">
        <v>5.27</v>
      </c>
      <c r="J67" s="100">
        <v>1.08</v>
      </c>
      <c r="K67" s="100">
        <v>311.24</v>
      </c>
      <c r="L67" s="100">
        <v>31.66</v>
      </c>
      <c r="M67" s="100">
        <v>13.51</v>
      </c>
      <c r="N67" s="100">
        <v>340.7</v>
      </c>
      <c r="O67" s="100">
        <v>0</v>
      </c>
      <c r="P67" s="100">
        <v>0.43</v>
      </c>
      <c r="Q67" s="100">
        <v>12.9</v>
      </c>
      <c r="R67" s="6"/>
      <c r="S67" s="6"/>
      <c r="T67" s="156"/>
      <c r="U67" s="6"/>
    </row>
    <row r="68" spans="1:21" customFormat="1">
      <c r="A68" s="163" t="s">
        <v>682</v>
      </c>
      <c r="B68" s="100">
        <v>4.8499999999999996</v>
      </c>
      <c r="C68" s="100">
        <v>23.1</v>
      </c>
      <c r="D68" s="100">
        <v>17.309999999999999</v>
      </c>
      <c r="E68" s="100">
        <v>8.35</v>
      </c>
      <c r="F68" s="152" t="s">
        <v>15</v>
      </c>
      <c r="G68" s="100">
        <v>49.12</v>
      </c>
      <c r="H68" s="100">
        <v>69.41</v>
      </c>
      <c r="I68" s="100">
        <v>5.24</v>
      </c>
      <c r="J68" s="100">
        <v>0.98</v>
      </c>
      <c r="K68" s="100">
        <v>322.14999999999998</v>
      </c>
      <c r="L68" s="100">
        <v>31.21</v>
      </c>
      <c r="M68" s="100">
        <v>13.67</v>
      </c>
      <c r="N68" s="100">
        <v>73.599999999999994</v>
      </c>
      <c r="O68" s="100">
        <v>0</v>
      </c>
      <c r="P68" s="100">
        <v>0.42</v>
      </c>
      <c r="Q68" s="100">
        <v>12.89</v>
      </c>
      <c r="R68" s="6"/>
      <c r="S68" s="6"/>
      <c r="T68" s="156"/>
      <c r="U68" s="6"/>
    </row>
    <row r="69" spans="1:21" customFormat="1">
      <c r="A69" s="163" t="s">
        <v>683</v>
      </c>
      <c r="B69" s="100">
        <v>4.9800000000000004</v>
      </c>
      <c r="C69" s="100">
        <v>22.17</v>
      </c>
      <c r="D69" s="100">
        <v>16.93</v>
      </c>
      <c r="E69" s="100">
        <v>8.1999999999999993</v>
      </c>
      <c r="F69" s="152" t="s">
        <v>15</v>
      </c>
      <c r="G69" s="100">
        <v>49.12</v>
      </c>
      <c r="H69" s="100">
        <v>69.41</v>
      </c>
      <c r="I69" s="100">
        <v>5.17</v>
      </c>
      <c r="J69" s="100">
        <v>0.88</v>
      </c>
      <c r="K69" s="100">
        <v>337.79</v>
      </c>
      <c r="L69" s="100">
        <v>30.68</v>
      </c>
      <c r="M69" s="100">
        <v>15.38</v>
      </c>
      <c r="N69" s="100">
        <v>46.4</v>
      </c>
      <c r="O69" s="100">
        <v>0</v>
      </c>
      <c r="P69" s="100">
        <v>0.41</v>
      </c>
      <c r="Q69" s="100">
        <v>12.89</v>
      </c>
      <c r="R69" s="6"/>
      <c r="S69" s="6"/>
      <c r="T69" s="156"/>
      <c r="U69" s="6"/>
    </row>
    <row r="70" spans="1:21" customFormat="1">
      <c r="A70" s="163" t="s">
        <v>684</v>
      </c>
      <c r="B70" s="100">
        <v>5.0199999999999996</v>
      </c>
      <c r="C70" s="100">
        <v>21.43</v>
      </c>
      <c r="D70" s="100">
        <v>16.579999999999998</v>
      </c>
      <c r="E70" s="100">
        <v>9.67</v>
      </c>
      <c r="F70" s="152" t="s">
        <v>15</v>
      </c>
      <c r="G70" s="100">
        <v>45.32</v>
      </c>
      <c r="H70" s="100">
        <v>50.75</v>
      </c>
      <c r="I70" s="100">
        <v>4.99</v>
      </c>
      <c r="J70" s="100">
        <v>0.62</v>
      </c>
      <c r="K70" s="100">
        <v>5.21</v>
      </c>
      <c r="L70" s="100">
        <v>30.83</v>
      </c>
      <c r="M70" s="100">
        <v>13.93</v>
      </c>
      <c r="N70" s="100">
        <v>51.3</v>
      </c>
      <c r="O70" s="100">
        <v>0</v>
      </c>
      <c r="P70" s="100">
        <v>0.4</v>
      </c>
      <c r="Q70" s="100">
        <v>12.88</v>
      </c>
      <c r="R70" s="6"/>
      <c r="S70" s="6"/>
      <c r="T70" s="156"/>
      <c r="U70" s="6"/>
    </row>
    <row r="71" spans="1:21" customFormat="1">
      <c r="A71" s="163" t="s">
        <v>685</v>
      </c>
      <c r="B71" s="100">
        <v>5.16</v>
      </c>
      <c r="C71" s="100">
        <v>20.74</v>
      </c>
      <c r="D71" s="100">
        <v>16.32</v>
      </c>
      <c r="E71" s="100">
        <v>11.21</v>
      </c>
      <c r="F71" s="152" t="s">
        <v>15</v>
      </c>
      <c r="G71" s="100">
        <v>43.94</v>
      </c>
      <c r="H71" s="100">
        <v>50.29</v>
      </c>
      <c r="I71" s="100">
        <v>4.8899999999999997</v>
      </c>
      <c r="J71" s="100">
        <v>0.6</v>
      </c>
      <c r="K71" s="100">
        <v>325.08999999999997</v>
      </c>
      <c r="L71" s="100">
        <v>30.68</v>
      </c>
      <c r="M71" s="100">
        <v>13.97</v>
      </c>
      <c r="N71" s="100">
        <v>49.9</v>
      </c>
      <c r="O71" s="100">
        <v>0</v>
      </c>
      <c r="P71" s="100">
        <v>0.39</v>
      </c>
      <c r="Q71" s="100">
        <v>12.88</v>
      </c>
      <c r="R71" s="6"/>
      <c r="S71" s="6"/>
      <c r="T71" s="156"/>
      <c r="U71" s="6"/>
    </row>
    <row r="72" spans="1:21" customFormat="1">
      <c r="A72" s="163" t="s">
        <v>686</v>
      </c>
      <c r="B72" s="100">
        <v>5.18</v>
      </c>
      <c r="C72" s="100">
        <v>20.28</v>
      </c>
      <c r="D72" s="100">
        <v>16.100000000000001</v>
      </c>
      <c r="E72" s="100">
        <v>13.33</v>
      </c>
      <c r="F72" s="152" t="s">
        <v>15</v>
      </c>
      <c r="G72" s="100">
        <v>43.94</v>
      </c>
      <c r="H72" s="100">
        <v>50.29</v>
      </c>
      <c r="I72" s="100">
        <v>4.87</v>
      </c>
      <c r="J72" s="100">
        <v>0.93</v>
      </c>
      <c r="K72" s="100">
        <v>358.81</v>
      </c>
      <c r="L72" s="100">
        <v>30.66</v>
      </c>
      <c r="M72" s="100">
        <v>13.98</v>
      </c>
      <c r="N72" s="100">
        <v>58.7</v>
      </c>
      <c r="O72" s="100">
        <v>0</v>
      </c>
      <c r="P72" s="100">
        <v>0.4</v>
      </c>
      <c r="Q72" s="100">
        <v>12.89</v>
      </c>
      <c r="R72" s="6"/>
      <c r="S72" s="6"/>
      <c r="T72" s="156"/>
      <c r="U72" s="6"/>
    </row>
    <row r="73" spans="1:21" customFormat="1">
      <c r="A73" s="163" t="s">
        <v>687</v>
      </c>
      <c r="B73" s="100">
        <v>5.28</v>
      </c>
      <c r="C73" s="100">
        <v>19.84</v>
      </c>
      <c r="D73" s="100">
        <v>15.95</v>
      </c>
      <c r="E73" s="100">
        <v>9.7899999999999991</v>
      </c>
      <c r="F73" s="152" t="s">
        <v>15</v>
      </c>
      <c r="G73" s="100">
        <v>43.94</v>
      </c>
      <c r="H73" s="100">
        <v>50.29</v>
      </c>
      <c r="I73" s="100">
        <v>4.79</v>
      </c>
      <c r="J73" s="100">
        <v>1.27</v>
      </c>
      <c r="K73" s="100">
        <v>33.44</v>
      </c>
      <c r="L73" s="100">
        <v>30.49</v>
      </c>
      <c r="M73" s="100">
        <v>14.59</v>
      </c>
      <c r="N73" s="100">
        <v>60.3</v>
      </c>
      <c r="O73" s="100">
        <v>0</v>
      </c>
      <c r="P73" s="100">
        <v>0.39</v>
      </c>
      <c r="Q73" s="100">
        <v>12.89</v>
      </c>
      <c r="R73" s="6"/>
      <c r="S73" s="6"/>
      <c r="T73" s="156"/>
      <c r="U73" s="6"/>
    </row>
    <row r="74" spans="1:21" customFormat="1">
      <c r="A74" s="163" t="s">
        <v>688</v>
      </c>
      <c r="B74" s="100">
        <v>5.4</v>
      </c>
      <c r="C74" s="100">
        <v>19.62</v>
      </c>
      <c r="D74" s="100">
        <v>15.93</v>
      </c>
      <c r="E74" s="100">
        <v>10.48</v>
      </c>
      <c r="F74" s="152" t="s">
        <v>15</v>
      </c>
      <c r="G74" s="100">
        <v>37.74</v>
      </c>
      <c r="H74" s="100">
        <v>43.37</v>
      </c>
      <c r="I74" s="100">
        <v>4.75</v>
      </c>
      <c r="J74" s="100">
        <v>0.84</v>
      </c>
      <c r="K74" s="100">
        <v>52.19</v>
      </c>
      <c r="L74" s="100">
        <v>30.36</v>
      </c>
      <c r="M74" s="100">
        <v>15.46</v>
      </c>
      <c r="N74" s="100">
        <v>39.200000000000003</v>
      </c>
      <c r="O74" s="100">
        <v>0</v>
      </c>
      <c r="P74" s="100">
        <v>0.4</v>
      </c>
      <c r="Q74" s="100">
        <v>12.89</v>
      </c>
      <c r="R74" s="6"/>
      <c r="S74" s="6"/>
      <c r="T74" s="156"/>
      <c r="U74" s="6"/>
    </row>
    <row r="75" spans="1:21" customFormat="1">
      <c r="A75" s="163" t="s">
        <v>689</v>
      </c>
      <c r="B75" s="100">
        <v>5.55</v>
      </c>
      <c r="C75" s="100">
        <v>19.3</v>
      </c>
      <c r="D75" s="100">
        <v>15.89</v>
      </c>
      <c r="E75" s="100">
        <v>9.93</v>
      </c>
      <c r="F75" s="152" t="s">
        <v>15</v>
      </c>
      <c r="G75" s="100">
        <v>35.479999999999997</v>
      </c>
      <c r="H75" s="100">
        <v>43.26</v>
      </c>
      <c r="I75" s="100">
        <v>4.75</v>
      </c>
      <c r="J75" s="100">
        <v>0.68</v>
      </c>
      <c r="K75" s="100">
        <v>54.85</v>
      </c>
      <c r="L75" s="100">
        <v>30.33</v>
      </c>
      <c r="M75" s="100">
        <v>15.42</v>
      </c>
      <c r="N75" s="100">
        <v>31.7</v>
      </c>
      <c r="O75" s="100">
        <v>0</v>
      </c>
      <c r="P75" s="100">
        <v>0.4</v>
      </c>
      <c r="Q75" s="100">
        <v>12.87</v>
      </c>
      <c r="R75" s="6"/>
      <c r="S75" s="6"/>
      <c r="T75" s="156"/>
      <c r="U75" s="6"/>
    </row>
    <row r="76" spans="1:21" customFormat="1">
      <c r="A76" s="163" t="s">
        <v>690</v>
      </c>
      <c r="B76" s="100">
        <v>5.65</v>
      </c>
      <c r="C76" s="100">
        <v>19.2</v>
      </c>
      <c r="D76" s="100">
        <v>15.91</v>
      </c>
      <c r="E76" s="100">
        <v>8.6199999999999992</v>
      </c>
      <c r="F76" s="152" t="s">
        <v>15</v>
      </c>
      <c r="G76" s="100">
        <v>35.479999999999997</v>
      </c>
      <c r="H76" s="100">
        <v>43.26</v>
      </c>
      <c r="I76" s="100">
        <v>4.75</v>
      </c>
      <c r="J76" s="100">
        <v>1.1499999999999999</v>
      </c>
      <c r="K76" s="100">
        <v>45.19</v>
      </c>
      <c r="L76" s="100">
        <v>30.06</v>
      </c>
      <c r="M76" s="100">
        <v>15.58</v>
      </c>
      <c r="N76" s="100">
        <v>27.5</v>
      </c>
      <c r="O76" s="100">
        <v>0</v>
      </c>
      <c r="P76" s="100">
        <v>0.39</v>
      </c>
      <c r="Q76" s="100">
        <v>12.9</v>
      </c>
      <c r="R76" s="6"/>
      <c r="S76" s="6"/>
      <c r="T76" s="156"/>
      <c r="U76" s="6"/>
    </row>
    <row r="77" spans="1:21" customFormat="1">
      <c r="A77" s="163" t="s">
        <v>691</v>
      </c>
      <c r="B77" s="100">
        <v>5.81</v>
      </c>
      <c r="C77" s="100">
        <v>19.010000000000002</v>
      </c>
      <c r="D77" s="100">
        <v>15.94</v>
      </c>
      <c r="E77" s="100">
        <v>8.08</v>
      </c>
      <c r="F77" s="152" t="s">
        <v>15</v>
      </c>
      <c r="G77" s="100">
        <v>35.479999999999997</v>
      </c>
      <c r="H77" s="100">
        <v>43.26</v>
      </c>
      <c r="I77" s="100">
        <v>4.7</v>
      </c>
      <c r="J77" s="100">
        <v>0.78</v>
      </c>
      <c r="K77" s="100">
        <v>62.31</v>
      </c>
      <c r="L77" s="100">
        <v>29.84</v>
      </c>
      <c r="M77" s="100">
        <v>15.82</v>
      </c>
      <c r="N77" s="100">
        <v>22.9</v>
      </c>
      <c r="O77" s="100">
        <v>0</v>
      </c>
      <c r="P77" s="100">
        <v>0.4</v>
      </c>
      <c r="Q77" s="100">
        <v>12.89</v>
      </c>
      <c r="R77" s="6"/>
      <c r="S77" s="6"/>
      <c r="T77" s="156"/>
      <c r="U77" s="6"/>
    </row>
    <row r="78" spans="1:21" customFormat="1">
      <c r="A78" s="163" t="s">
        <v>692</v>
      </c>
      <c r="B78" s="100">
        <v>5.89</v>
      </c>
      <c r="C78" s="100">
        <v>19</v>
      </c>
      <c r="D78" s="100">
        <v>16</v>
      </c>
      <c r="E78" s="100">
        <v>7.45</v>
      </c>
      <c r="F78" s="152" t="s">
        <v>15</v>
      </c>
      <c r="G78" s="100">
        <v>32.82</v>
      </c>
      <c r="H78" s="100">
        <v>42.8</v>
      </c>
      <c r="I78" s="100">
        <v>4.62</v>
      </c>
      <c r="J78" s="100">
        <v>0.86</v>
      </c>
      <c r="K78" s="100">
        <v>52.26</v>
      </c>
      <c r="L78" s="100">
        <v>29.54</v>
      </c>
      <c r="M78" s="100">
        <v>16.760000000000002</v>
      </c>
      <c r="N78" s="100">
        <v>15.6</v>
      </c>
      <c r="O78" s="100">
        <v>0</v>
      </c>
      <c r="P78" s="100">
        <v>0.41</v>
      </c>
      <c r="Q78" s="100">
        <v>12.9</v>
      </c>
      <c r="R78" s="6"/>
      <c r="S78" s="6"/>
      <c r="T78" s="156"/>
      <c r="U78" s="6"/>
    </row>
    <row r="79" spans="1:21" customFormat="1">
      <c r="A79" s="163" t="s">
        <v>693</v>
      </c>
      <c r="B79" s="100">
        <v>6.28</v>
      </c>
      <c r="C79" s="100">
        <v>19.059999999999999</v>
      </c>
      <c r="D79" s="100">
        <v>16.350000000000001</v>
      </c>
      <c r="E79" s="100">
        <v>7.98</v>
      </c>
      <c r="F79" s="152" t="s">
        <v>15</v>
      </c>
      <c r="G79" s="100">
        <v>31.85</v>
      </c>
      <c r="H79" s="100">
        <v>42.79</v>
      </c>
      <c r="I79" s="100">
        <v>4.67</v>
      </c>
      <c r="J79" s="100">
        <v>0.55000000000000004</v>
      </c>
      <c r="K79" s="100">
        <v>48.57</v>
      </c>
      <c r="L79" s="100">
        <v>29.2</v>
      </c>
      <c r="M79" s="100">
        <v>18.29</v>
      </c>
      <c r="N79" s="100">
        <v>9.9</v>
      </c>
      <c r="O79" s="100">
        <v>0</v>
      </c>
      <c r="P79" s="100">
        <v>0.44</v>
      </c>
      <c r="Q79" s="100">
        <v>12.9</v>
      </c>
      <c r="R79" s="6"/>
      <c r="S79" s="6"/>
      <c r="T79" s="156"/>
      <c r="U79" s="6"/>
    </row>
    <row r="80" spans="1:21" customFormat="1">
      <c r="A80" s="163" t="s">
        <v>694</v>
      </c>
      <c r="B80" s="100">
        <v>6.79</v>
      </c>
      <c r="C80" s="100">
        <v>19.21</v>
      </c>
      <c r="D80" s="100">
        <v>16.84</v>
      </c>
      <c r="E80" s="100">
        <v>7.82</v>
      </c>
      <c r="F80" s="152" t="s">
        <v>15</v>
      </c>
      <c r="G80" s="100">
        <v>31.85</v>
      </c>
      <c r="H80" s="100">
        <v>42.79</v>
      </c>
      <c r="I80" s="100">
        <v>4.8</v>
      </c>
      <c r="J80" s="100">
        <v>0.16</v>
      </c>
      <c r="K80" s="100">
        <v>60.14</v>
      </c>
      <c r="L80" s="100">
        <v>28.15</v>
      </c>
      <c r="M80" s="100">
        <v>21.68</v>
      </c>
      <c r="N80" s="100">
        <v>4.8</v>
      </c>
      <c r="O80" s="100">
        <v>0</v>
      </c>
      <c r="P80" s="100">
        <v>0.43</v>
      </c>
      <c r="Q80" s="100">
        <v>12.9</v>
      </c>
      <c r="R80" s="6"/>
      <c r="S80" s="6"/>
      <c r="T80" s="156"/>
      <c r="U80" s="6"/>
    </row>
    <row r="81" spans="1:21" customFormat="1">
      <c r="A81" s="163" t="s">
        <v>695</v>
      </c>
      <c r="B81" s="100">
        <v>7.24</v>
      </c>
      <c r="C81" s="100">
        <v>19.27</v>
      </c>
      <c r="D81" s="100">
        <v>17.22</v>
      </c>
      <c r="E81" s="100">
        <v>9.83</v>
      </c>
      <c r="F81" s="152" t="s">
        <v>15</v>
      </c>
      <c r="G81" s="100">
        <v>31.85</v>
      </c>
      <c r="H81" s="100">
        <v>42.79</v>
      </c>
      <c r="I81" s="100">
        <v>4.83</v>
      </c>
      <c r="J81" s="100">
        <v>0.2</v>
      </c>
      <c r="K81" s="100">
        <v>58.59</v>
      </c>
      <c r="L81" s="100">
        <v>27.24</v>
      </c>
      <c r="M81" s="100">
        <v>25.63</v>
      </c>
      <c r="N81" s="100">
        <v>1.9</v>
      </c>
      <c r="O81" s="100">
        <v>0</v>
      </c>
      <c r="P81" s="100">
        <v>0.44</v>
      </c>
      <c r="Q81" s="100">
        <v>12.9</v>
      </c>
      <c r="R81" s="6"/>
      <c r="S81" s="6"/>
      <c r="T81" s="156"/>
      <c r="U81" s="6"/>
    </row>
    <row r="82" spans="1:21" customFormat="1">
      <c r="A82" s="163" t="s">
        <v>696</v>
      </c>
      <c r="B82" s="100">
        <v>7.58</v>
      </c>
      <c r="C82" s="100">
        <v>19.22</v>
      </c>
      <c r="D82" s="100">
        <v>17.48</v>
      </c>
      <c r="E82" s="100">
        <v>11.45</v>
      </c>
      <c r="F82" s="152" t="s">
        <v>15</v>
      </c>
      <c r="G82" s="100">
        <v>31.48</v>
      </c>
      <c r="H82" s="100">
        <v>31.72</v>
      </c>
      <c r="I82" s="100">
        <v>4.87</v>
      </c>
      <c r="J82" s="100">
        <v>0.28999999999999998</v>
      </c>
      <c r="K82" s="100">
        <v>173.22</v>
      </c>
      <c r="L82" s="100">
        <v>26</v>
      </c>
      <c r="M82" s="100">
        <v>32.270000000000003</v>
      </c>
      <c r="N82" s="100">
        <v>1.8</v>
      </c>
      <c r="O82" s="100">
        <v>0</v>
      </c>
      <c r="P82" s="100">
        <v>0.45</v>
      </c>
      <c r="Q82" s="100">
        <v>12.9</v>
      </c>
      <c r="R82" s="6"/>
      <c r="S82" s="6"/>
      <c r="T82" s="156"/>
      <c r="U82" s="6"/>
    </row>
    <row r="83" spans="1:21" customFormat="1">
      <c r="A83" s="163" t="s">
        <v>697</v>
      </c>
      <c r="B83" s="100">
        <v>7.82</v>
      </c>
      <c r="C83" s="100">
        <v>18.989999999999998</v>
      </c>
      <c r="D83" s="100">
        <v>17.55</v>
      </c>
      <c r="E83" s="100">
        <v>12.08</v>
      </c>
      <c r="F83" s="152" t="s">
        <v>15</v>
      </c>
      <c r="G83" s="100">
        <v>31.35</v>
      </c>
      <c r="H83" s="100">
        <v>31.55</v>
      </c>
      <c r="I83" s="100">
        <v>5.04</v>
      </c>
      <c r="J83" s="100">
        <v>0.22</v>
      </c>
      <c r="K83" s="100">
        <v>184.33</v>
      </c>
      <c r="L83" s="100">
        <v>25</v>
      </c>
      <c r="M83" s="100">
        <v>37.96</v>
      </c>
      <c r="N83" s="100">
        <v>1.5</v>
      </c>
      <c r="O83" s="100">
        <v>0</v>
      </c>
      <c r="P83" s="100">
        <v>0.43</v>
      </c>
      <c r="Q83" s="100">
        <v>12.9</v>
      </c>
      <c r="R83" s="6"/>
      <c r="S83" s="6"/>
      <c r="T83" s="156"/>
      <c r="U83" s="6"/>
    </row>
    <row r="84" spans="1:21" customFormat="1">
      <c r="A84" s="163" t="s">
        <v>698</v>
      </c>
      <c r="B84" s="100">
        <v>7.6</v>
      </c>
      <c r="C84" s="100">
        <v>19.239999999999998</v>
      </c>
      <c r="D84" s="100">
        <v>17.5</v>
      </c>
      <c r="E84" s="100">
        <v>12.14</v>
      </c>
      <c r="F84" s="152" t="s">
        <v>15</v>
      </c>
      <c r="G84" s="100">
        <v>31.35</v>
      </c>
      <c r="H84" s="100">
        <v>31.55</v>
      </c>
      <c r="I84" s="100">
        <v>5.16</v>
      </c>
      <c r="J84" s="100">
        <v>0.19</v>
      </c>
      <c r="K84" s="100">
        <v>194.11</v>
      </c>
      <c r="L84" s="100">
        <v>24.33</v>
      </c>
      <c r="M84" s="100">
        <v>38.76</v>
      </c>
      <c r="N84" s="100">
        <v>1.2</v>
      </c>
      <c r="O84" s="100">
        <v>0</v>
      </c>
      <c r="P84" s="100">
        <v>0.39</v>
      </c>
      <c r="Q84" s="100">
        <v>12.91</v>
      </c>
      <c r="R84" s="6"/>
      <c r="S84" s="6"/>
      <c r="T84" s="156"/>
      <c r="U84" s="6"/>
    </row>
    <row r="85" spans="1:21" customFormat="1">
      <c r="A85" s="163" t="s">
        <v>699</v>
      </c>
      <c r="B85" s="100">
        <v>7.37</v>
      </c>
      <c r="C85" s="100">
        <v>19.39</v>
      </c>
      <c r="D85" s="100">
        <v>17.399999999999999</v>
      </c>
      <c r="E85" s="100">
        <v>11.66</v>
      </c>
      <c r="F85" s="152" t="s">
        <v>15</v>
      </c>
      <c r="G85" s="100">
        <v>31.35</v>
      </c>
      <c r="H85" s="100">
        <v>31.55</v>
      </c>
      <c r="I85" s="100">
        <v>5.19</v>
      </c>
      <c r="J85" s="100">
        <v>0.3</v>
      </c>
      <c r="K85" s="100">
        <v>164.79</v>
      </c>
      <c r="L85" s="100">
        <v>23.97</v>
      </c>
      <c r="M85" s="100">
        <v>41.63</v>
      </c>
      <c r="N85" s="100">
        <v>0.9</v>
      </c>
      <c r="O85" s="100">
        <v>0</v>
      </c>
      <c r="P85" s="100">
        <v>0.39</v>
      </c>
      <c r="Q85" s="100">
        <v>12.91</v>
      </c>
      <c r="R85" s="6"/>
      <c r="S85" s="6"/>
      <c r="T85" s="156"/>
      <c r="U85" s="6"/>
    </row>
    <row r="86" spans="1:21" customFormat="1">
      <c r="A86" s="163" t="s">
        <v>700</v>
      </c>
      <c r="B86" s="100">
        <v>7.24</v>
      </c>
      <c r="C86" s="100">
        <v>19.260000000000002</v>
      </c>
      <c r="D86" s="100">
        <v>17.22</v>
      </c>
      <c r="E86" s="100">
        <v>12.01</v>
      </c>
      <c r="F86" s="152" t="s">
        <v>15</v>
      </c>
      <c r="G86" s="100">
        <v>42.67</v>
      </c>
      <c r="H86" s="100">
        <v>35.68</v>
      </c>
      <c r="I86" s="100">
        <v>5.12</v>
      </c>
      <c r="J86" s="100">
        <v>0.26</v>
      </c>
      <c r="K86" s="100">
        <v>173.09</v>
      </c>
      <c r="L86" s="100">
        <v>23.37</v>
      </c>
      <c r="M86" s="100">
        <v>47.23</v>
      </c>
      <c r="N86" s="100">
        <v>1</v>
      </c>
      <c r="O86" s="100">
        <v>0</v>
      </c>
      <c r="P86" s="100">
        <v>0.4</v>
      </c>
      <c r="Q86" s="100">
        <v>12.91</v>
      </c>
      <c r="R86" s="6"/>
      <c r="S86" s="6"/>
      <c r="T86" s="156"/>
      <c r="U86" s="6"/>
    </row>
    <row r="87" spans="1:21" customFormat="1">
      <c r="A87" s="163" t="s">
        <v>701</v>
      </c>
      <c r="B87" s="100">
        <v>7.17</v>
      </c>
      <c r="C87" s="100">
        <v>19.45</v>
      </c>
      <c r="D87" s="100">
        <v>17.27</v>
      </c>
      <c r="E87" s="100">
        <v>12.07</v>
      </c>
      <c r="F87" s="152" t="s">
        <v>15</v>
      </c>
      <c r="G87" s="100">
        <v>46.79</v>
      </c>
      <c r="H87" s="100">
        <v>35.74</v>
      </c>
      <c r="I87" s="100">
        <v>5.0999999999999996</v>
      </c>
      <c r="J87" s="100">
        <v>0.25</v>
      </c>
      <c r="K87" s="100">
        <v>147.72</v>
      </c>
      <c r="L87" s="100">
        <v>23.31</v>
      </c>
      <c r="M87" s="100">
        <v>42.43</v>
      </c>
      <c r="N87" s="100">
        <v>0.7</v>
      </c>
      <c r="O87" s="100">
        <v>0</v>
      </c>
      <c r="P87" s="100">
        <v>0.41</v>
      </c>
      <c r="Q87" s="100">
        <v>12.9</v>
      </c>
      <c r="R87" s="6"/>
      <c r="S87" s="6"/>
      <c r="T87" s="156"/>
      <c r="U87" s="6"/>
    </row>
    <row r="88" spans="1:21" customFormat="1">
      <c r="A88" s="163" t="s">
        <v>702</v>
      </c>
      <c r="B88" s="100">
        <v>7.41</v>
      </c>
      <c r="C88" s="100">
        <v>19.64</v>
      </c>
      <c r="D88" s="100">
        <v>17.55</v>
      </c>
      <c r="E88" s="100">
        <v>11.95</v>
      </c>
      <c r="F88" s="152" t="s">
        <v>15</v>
      </c>
      <c r="G88" s="100">
        <v>46.79</v>
      </c>
      <c r="H88" s="100">
        <v>35.74</v>
      </c>
      <c r="I88" s="100">
        <v>5.22</v>
      </c>
      <c r="J88" s="100">
        <v>0.31</v>
      </c>
      <c r="K88" s="100">
        <v>171.96</v>
      </c>
      <c r="L88" s="100">
        <v>23.12</v>
      </c>
      <c r="M88" s="100">
        <v>45.21</v>
      </c>
      <c r="N88" s="100">
        <v>0.9</v>
      </c>
      <c r="O88" s="100">
        <v>0</v>
      </c>
      <c r="P88" s="100">
        <v>0.42</v>
      </c>
      <c r="Q88" s="100">
        <v>12.89</v>
      </c>
      <c r="R88" s="6"/>
      <c r="S88" s="6"/>
      <c r="T88" s="156"/>
      <c r="U88" s="6"/>
    </row>
    <row r="89" spans="1:21" customFormat="1">
      <c r="A89" s="163" t="s">
        <v>703</v>
      </c>
      <c r="B89" s="100">
        <v>7.7</v>
      </c>
      <c r="C89" s="100">
        <v>19.86</v>
      </c>
      <c r="D89" s="100">
        <v>17.899999999999999</v>
      </c>
      <c r="E89" s="100">
        <v>12.27</v>
      </c>
      <c r="F89" s="152" t="s">
        <v>15</v>
      </c>
      <c r="G89" s="100">
        <v>46.79</v>
      </c>
      <c r="H89" s="100">
        <v>35.74</v>
      </c>
      <c r="I89" s="100">
        <v>5.4</v>
      </c>
      <c r="J89" s="100">
        <v>0.21</v>
      </c>
      <c r="K89" s="100">
        <v>177.42</v>
      </c>
      <c r="L89" s="100">
        <v>22.55</v>
      </c>
      <c r="M89" s="100">
        <v>41.41</v>
      </c>
      <c r="N89" s="100">
        <v>0.8</v>
      </c>
      <c r="O89" s="100">
        <v>0</v>
      </c>
      <c r="P89" s="100">
        <v>0.43</v>
      </c>
      <c r="Q89" s="100">
        <v>12.91</v>
      </c>
      <c r="R89" s="6"/>
      <c r="S89" s="6"/>
      <c r="T89" s="156"/>
      <c r="U89" s="6"/>
    </row>
    <row r="90" spans="1:21" customFormat="1">
      <c r="A90" s="163" t="s">
        <v>704</v>
      </c>
      <c r="B90" s="100">
        <v>7.82</v>
      </c>
      <c r="C90" s="100">
        <v>20.18</v>
      </c>
      <c r="D90" s="100">
        <v>18.170000000000002</v>
      </c>
      <c r="E90" s="100">
        <v>12.24</v>
      </c>
      <c r="F90" s="152" t="s">
        <v>15</v>
      </c>
      <c r="G90" s="100">
        <v>48.65</v>
      </c>
      <c r="H90" s="100">
        <v>25.83</v>
      </c>
      <c r="I90" s="100">
        <v>5.71</v>
      </c>
      <c r="J90" s="100">
        <v>0.19</v>
      </c>
      <c r="K90" s="100">
        <v>176.4</v>
      </c>
      <c r="L90" s="100">
        <v>22.4</v>
      </c>
      <c r="M90" s="100">
        <v>43.16</v>
      </c>
      <c r="N90" s="100">
        <v>0.7</v>
      </c>
      <c r="O90" s="100">
        <v>0</v>
      </c>
      <c r="P90" s="100">
        <v>0.45</v>
      </c>
      <c r="Q90" s="100">
        <v>12.9</v>
      </c>
      <c r="R90" s="6"/>
      <c r="S90" s="6"/>
      <c r="T90" s="156"/>
      <c r="U90" s="6"/>
    </row>
    <row r="91" spans="1:21" customFormat="1">
      <c r="A91" s="163" t="s">
        <v>705</v>
      </c>
      <c r="B91" s="100">
        <v>8.16</v>
      </c>
      <c r="C91" s="100">
        <v>20.53</v>
      </c>
      <c r="D91" s="100">
        <v>18.62</v>
      </c>
      <c r="E91" s="100">
        <v>12.35</v>
      </c>
      <c r="F91" s="152" t="s">
        <v>15</v>
      </c>
      <c r="G91" s="100">
        <v>49.32</v>
      </c>
      <c r="H91" s="100">
        <v>25.67</v>
      </c>
      <c r="I91" s="100">
        <v>6.22</v>
      </c>
      <c r="J91" s="100">
        <v>0.24</v>
      </c>
      <c r="K91" s="100">
        <v>194.61</v>
      </c>
      <c r="L91" s="100">
        <v>22.04</v>
      </c>
      <c r="M91" s="100">
        <v>49.64</v>
      </c>
      <c r="N91" s="100">
        <v>0.9</v>
      </c>
      <c r="O91" s="100">
        <v>0</v>
      </c>
      <c r="P91" s="100">
        <v>0.46</v>
      </c>
      <c r="Q91" s="100">
        <v>12.9</v>
      </c>
      <c r="R91" s="6"/>
      <c r="S91" s="6"/>
      <c r="T91" s="156"/>
      <c r="U91" s="6"/>
    </row>
    <row r="92" spans="1:21" customFormat="1">
      <c r="A92" s="163" t="s">
        <v>706</v>
      </c>
      <c r="B92" s="100">
        <v>8.26</v>
      </c>
      <c r="C92" s="100">
        <v>20.79</v>
      </c>
      <c r="D92" s="100">
        <v>18.829999999999998</v>
      </c>
      <c r="E92" s="100">
        <v>12.17</v>
      </c>
      <c r="F92" s="152" t="s">
        <v>15</v>
      </c>
      <c r="G92" s="100">
        <v>49.32</v>
      </c>
      <c r="H92" s="100">
        <v>25.67</v>
      </c>
      <c r="I92" s="100">
        <v>6.93</v>
      </c>
      <c r="J92" s="100">
        <v>0.19</v>
      </c>
      <c r="K92" s="100">
        <v>193.27</v>
      </c>
      <c r="L92" s="100">
        <v>21.55</v>
      </c>
      <c r="M92" s="100">
        <v>45.76</v>
      </c>
      <c r="N92" s="100">
        <v>0.9</v>
      </c>
      <c r="O92" s="100">
        <v>0</v>
      </c>
      <c r="P92" s="100">
        <v>0.46</v>
      </c>
      <c r="Q92" s="100">
        <v>12.9</v>
      </c>
      <c r="R92" s="6"/>
      <c r="S92" s="6"/>
      <c r="T92" s="156"/>
      <c r="U92" s="6"/>
    </row>
    <row r="93" spans="1:21" customFormat="1">
      <c r="A93" s="163" t="s">
        <v>707</v>
      </c>
      <c r="B93" s="100">
        <v>8.33</v>
      </c>
      <c r="C93" s="100">
        <v>20.89</v>
      </c>
      <c r="D93" s="100">
        <v>18.95</v>
      </c>
      <c r="E93" s="100">
        <v>12.2</v>
      </c>
      <c r="F93" s="152" t="s">
        <v>15</v>
      </c>
      <c r="G93" s="100">
        <v>49.32</v>
      </c>
      <c r="H93" s="100">
        <v>25.67</v>
      </c>
      <c r="I93" s="100">
        <v>7.55</v>
      </c>
      <c r="J93" s="100">
        <v>0.17</v>
      </c>
      <c r="K93" s="100">
        <v>181.89</v>
      </c>
      <c r="L93" s="100">
        <v>20.97</v>
      </c>
      <c r="M93" s="100">
        <v>52.05</v>
      </c>
      <c r="N93" s="100">
        <v>1.3</v>
      </c>
      <c r="O93" s="100">
        <v>0</v>
      </c>
      <c r="P93" s="100">
        <v>0.48</v>
      </c>
      <c r="Q93" s="100">
        <v>12.92</v>
      </c>
      <c r="R93" s="6"/>
      <c r="S93" s="6"/>
      <c r="T93" s="156"/>
      <c r="U93" s="6"/>
    </row>
    <row r="94" spans="1:21" customFormat="1">
      <c r="A94" s="163" t="s">
        <v>708</v>
      </c>
      <c r="B94" s="100">
        <v>8.65</v>
      </c>
      <c r="C94" s="100">
        <v>20.97</v>
      </c>
      <c r="D94" s="100">
        <v>19.239999999999998</v>
      </c>
      <c r="E94" s="100">
        <v>12</v>
      </c>
      <c r="F94" s="152" t="s">
        <v>15</v>
      </c>
      <c r="G94" s="100">
        <v>56.4</v>
      </c>
      <c r="H94" s="100">
        <v>22.65</v>
      </c>
      <c r="I94" s="100">
        <v>7.93</v>
      </c>
      <c r="J94" s="100">
        <v>0.23</v>
      </c>
      <c r="K94" s="100">
        <v>184.22</v>
      </c>
      <c r="L94" s="100">
        <v>21.02</v>
      </c>
      <c r="M94" s="100">
        <v>49.71</v>
      </c>
      <c r="N94" s="100">
        <v>0.7</v>
      </c>
      <c r="O94" s="100">
        <v>0</v>
      </c>
      <c r="P94" s="100">
        <v>0.5</v>
      </c>
      <c r="Q94" s="100">
        <v>12.92</v>
      </c>
      <c r="R94" s="6"/>
      <c r="S94" s="6"/>
      <c r="T94" s="156"/>
      <c r="U94" s="6"/>
    </row>
    <row r="95" spans="1:21" customFormat="1">
      <c r="A95" s="163" t="s">
        <v>709</v>
      </c>
      <c r="B95" s="100">
        <v>9.07</v>
      </c>
      <c r="C95" s="100">
        <v>20.82</v>
      </c>
      <c r="D95" s="100">
        <v>19.5</v>
      </c>
      <c r="E95" s="100">
        <v>12.23</v>
      </c>
      <c r="F95" s="152" t="s">
        <v>15</v>
      </c>
      <c r="G95" s="100">
        <v>58.98</v>
      </c>
      <c r="H95" s="100">
        <v>22.57</v>
      </c>
      <c r="I95" s="100">
        <v>8.2799999999999994</v>
      </c>
      <c r="J95" s="100">
        <v>0.2</v>
      </c>
      <c r="K95" s="100">
        <v>202.37</v>
      </c>
      <c r="L95" s="100">
        <v>20.83</v>
      </c>
      <c r="M95" s="100">
        <v>50.97</v>
      </c>
      <c r="N95" s="100">
        <v>0.7</v>
      </c>
      <c r="O95" s="100">
        <v>0</v>
      </c>
      <c r="P95" s="100">
        <v>0.51</v>
      </c>
      <c r="Q95" s="100">
        <v>12.92</v>
      </c>
      <c r="R95" s="6"/>
      <c r="S95" s="6"/>
      <c r="T95" s="156"/>
      <c r="U95" s="6"/>
    </row>
    <row r="96" spans="1:21" customFormat="1">
      <c r="A96" s="163" t="s">
        <v>710</v>
      </c>
      <c r="B96" s="100">
        <v>9.2100000000000009</v>
      </c>
      <c r="C96" s="100">
        <v>20.95</v>
      </c>
      <c r="D96" s="100">
        <v>19.68</v>
      </c>
      <c r="E96" s="100">
        <v>12.47</v>
      </c>
      <c r="F96" s="152" t="s">
        <v>15</v>
      </c>
      <c r="G96" s="100">
        <v>58.98</v>
      </c>
      <c r="H96" s="100">
        <v>22.57</v>
      </c>
      <c r="I96" s="100">
        <v>8.7200000000000006</v>
      </c>
      <c r="J96" s="100">
        <v>0.25</v>
      </c>
      <c r="K96" s="100">
        <v>190.93</v>
      </c>
      <c r="L96" s="100">
        <v>20.81</v>
      </c>
      <c r="M96" s="100">
        <v>52.35</v>
      </c>
      <c r="N96" s="100">
        <v>0.8</v>
      </c>
      <c r="O96" s="100">
        <v>0</v>
      </c>
      <c r="P96" s="100">
        <v>0.52</v>
      </c>
      <c r="Q96" s="100">
        <v>12.91</v>
      </c>
      <c r="R96" s="6"/>
      <c r="S96" s="6"/>
      <c r="T96" s="156"/>
      <c r="U96" s="6"/>
    </row>
    <row r="97" spans="1:28" customFormat="1">
      <c r="A97" s="163" t="s">
        <v>711</v>
      </c>
      <c r="B97" s="100">
        <v>9.2899999999999991</v>
      </c>
      <c r="C97" s="100">
        <v>20.92</v>
      </c>
      <c r="D97" s="100">
        <v>19.739999999999998</v>
      </c>
      <c r="E97" s="100">
        <v>12.68</v>
      </c>
      <c r="F97" s="152" t="s">
        <v>15</v>
      </c>
      <c r="G97" s="100">
        <v>58.98</v>
      </c>
      <c r="H97" s="100">
        <v>22.57</v>
      </c>
      <c r="I97" s="100">
        <v>9.25</v>
      </c>
      <c r="J97" s="100">
        <v>0.18</v>
      </c>
      <c r="K97" s="100">
        <v>159.87</v>
      </c>
      <c r="L97" s="100">
        <v>20.77</v>
      </c>
      <c r="M97" s="100">
        <v>47.93</v>
      </c>
      <c r="N97" s="100">
        <v>0.6</v>
      </c>
      <c r="O97" s="100">
        <v>0</v>
      </c>
      <c r="P97" s="100">
        <v>0.53</v>
      </c>
      <c r="Q97" s="100">
        <v>12.9</v>
      </c>
      <c r="R97" s="6"/>
      <c r="S97" s="6"/>
      <c r="T97" s="156"/>
      <c r="U97" s="6"/>
    </row>
    <row r="98" spans="1:28" customFormat="1">
      <c r="A98" s="163" t="s">
        <v>712</v>
      </c>
      <c r="B98" s="100">
        <v>9.52</v>
      </c>
      <c r="C98" s="100">
        <v>21.13</v>
      </c>
      <c r="D98" s="100">
        <v>20.02</v>
      </c>
      <c r="E98" s="100">
        <v>12.58</v>
      </c>
      <c r="F98" s="152" t="s">
        <v>15</v>
      </c>
      <c r="G98" s="100">
        <v>61.28</v>
      </c>
      <c r="H98" s="100">
        <v>5.84</v>
      </c>
      <c r="I98" s="100">
        <v>9.7200000000000006</v>
      </c>
      <c r="J98" s="100">
        <v>0.23</v>
      </c>
      <c r="K98" s="100">
        <v>160.25</v>
      </c>
      <c r="L98" s="100">
        <v>20.88</v>
      </c>
      <c r="M98" s="100">
        <v>49.35</v>
      </c>
      <c r="N98" s="100">
        <v>0.7</v>
      </c>
      <c r="O98" s="100">
        <v>0</v>
      </c>
      <c r="P98" s="100">
        <v>0.55000000000000004</v>
      </c>
      <c r="Q98" s="100">
        <v>12.91</v>
      </c>
      <c r="R98" s="6"/>
      <c r="S98" s="6"/>
      <c r="T98" s="156"/>
      <c r="U98" s="6"/>
    </row>
    <row r="99" spans="1:28" customFormat="1">
      <c r="A99" s="163" t="s">
        <v>713</v>
      </c>
      <c r="B99" s="100">
        <v>9.64</v>
      </c>
      <c r="C99" s="100">
        <v>21.11</v>
      </c>
      <c r="D99" s="100">
        <v>20.11</v>
      </c>
      <c r="E99" s="100">
        <v>11.81</v>
      </c>
      <c r="F99" s="152" t="s">
        <v>15</v>
      </c>
      <c r="G99" s="100">
        <v>62.12</v>
      </c>
      <c r="H99" s="100">
        <v>5.58</v>
      </c>
      <c r="I99" s="100">
        <v>10.1</v>
      </c>
      <c r="J99" s="100">
        <v>0.2</v>
      </c>
      <c r="K99" s="100">
        <v>196.7</v>
      </c>
      <c r="L99" s="100">
        <v>20.43</v>
      </c>
      <c r="M99" s="100">
        <v>51.49</v>
      </c>
      <c r="N99" s="100">
        <v>0.9</v>
      </c>
      <c r="O99" s="100">
        <v>0</v>
      </c>
      <c r="P99" s="100">
        <v>0.56000000000000005</v>
      </c>
      <c r="Q99" s="100">
        <v>12.91</v>
      </c>
      <c r="R99" s="6"/>
      <c r="S99" s="6"/>
      <c r="T99" s="156"/>
      <c r="U99" s="6"/>
    </row>
    <row r="100" spans="1:28" customFormat="1">
      <c r="A100" s="163" t="s">
        <v>714</v>
      </c>
      <c r="B100" s="100">
        <v>9.6999999999999993</v>
      </c>
      <c r="C100" s="100">
        <v>20.87</v>
      </c>
      <c r="D100" s="100">
        <v>20.03</v>
      </c>
      <c r="E100" s="100">
        <v>12.15</v>
      </c>
      <c r="F100" s="152" t="s">
        <v>15</v>
      </c>
      <c r="G100" s="100">
        <v>62.12</v>
      </c>
      <c r="H100" s="100">
        <v>5.58</v>
      </c>
      <c r="I100" s="100">
        <v>10.41</v>
      </c>
      <c r="J100" s="100">
        <v>0.26</v>
      </c>
      <c r="K100" s="100">
        <v>174.88</v>
      </c>
      <c r="L100" s="100">
        <v>20.32</v>
      </c>
      <c r="M100" s="100">
        <v>52.74</v>
      </c>
      <c r="N100" s="100">
        <v>0.8</v>
      </c>
      <c r="O100" s="100">
        <v>0</v>
      </c>
      <c r="P100" s="100">
        <v>0.56999999999999995</v>
      </c>
      <c r="Q100" s="100">
        <v>12.92</v>
      </c>
      <c r="R100" s="6"/>
      <c r="S100" s="6"/>
      <c r="T100" s="156"/>
      <c r="U100" s="6"/>
      <c r="AB100" s="161"/>
    </row>
    <row r="101" spans="1:28" customFormat="1">
      <c r="A101" s="163" t="s">
        <v>715</v>
      </c>
      <c r="B101" s="100">
        <v>9.8000000000000007</v>
      </c>
      <c r="C101" s="100">
        <v>20.98</v>
      </c>
      <c r="D101" s="100">
        <v>20.170000000000002</v>
      </c>
      <c r="E101" s="100">
        <v>12.03</v>
      </c>
      <c r="F101" s="152" t="s">
        <v>15</v>
      </c>
      <c r="G101" s="100">
        <v>62.12</v>
      </c>
      <c r="H101" s="100">
        <v>5.58</v>
      </c>
      <c r="I101" s="100">
        <v>10.64</v>
      </c>
      <c r="J101" s="100">
        <v>0.14000000000000001</v>
      </c>
      <c r="K101" s="100">
        <v>203.07</v>
      </c>
      <c r="L101" s="100">
        <v>20.07</v>
      </c>
      <c r="M101" s="100">
        <v>52.3</v>
      </c>
      <c r="N101" s="100">
        <v>0.8</v>
      </c>
      <c r="O101" s="100">
        <v>0</v>
      </c>
      <c r="P101" s="100">
        <v>0.57999999999999996</v>
      </c>
      <c r="Q101" s="100">
        <v>12.93</v>
      </c>
      <c r="R101" s="6"/>
      <c r="S101" s="6"/>
      <c r="T101" s="156"/>
      <c r="U101" s="6"/>
    </row>
    <row r="102" spans="1:28" customFormat="1">
      <c r="A102" s="163" t="s">
        <v>716</v>
      </c>
      <c r="B102" s="100">
        <v>10.78</v>
      </c>
      <c r="C102" s="100">
        <v>21.31</v>
      </c>
      <c r="D102" s="100">
        <v>21.13</v>
      </c>
      <c r="E102" s="100">
        <v>12.37</v>
      </c>
      <c r="F102" s="152" t="s">
        <v>15</v>
      </c>
      <c r="G102" s="100">
        <v>62.58</v>
      </c>
      <c r="H102" s="100">
        <v>17.14</v>
      </c>
      <c r="I102" s="100">
        <v>10.85</v>
      </c>
      <c r="J102" s="100">
        <v>0.28000000000000003</v>
      </c>
      <c r="K102" s="100">
        <v>96.1</v>
      </c>
      <c r="L102" s="100">
        <v>20.45</v>
      </c>
      <c r="M102" s="100">
        <v>48.67</v>
      </c>
      <c r="N102" s="100">
        <v>0.5</v>
      </c>
      <c r="O102" s="100">
        <v>0</v>
      </c>
      <c r="P102" s="100">
        <v>0.61</v>
      </c>
      <c r="Q102" s="100">
        <v>12.92</v>
      </c>
      <c r="R102" s="6"/>
      <c r="S102" s="6"/>
      <c r="T102" s="156"/>
      <c r="U102" s="6"/>
    </row>
    <row r="103" spans="1:28" customFormat="1">
      <c r="A103" s="163" t="s">
        <v>717</v>
      </c>
      <c r="B103" s="100">
        <v>12.72</v>
      </c>
      <c r="C103" s="100">
        <v>21.74</v>
      </c>
      <c r="D103" s="100">
        <v>22.91</v>
      </c>
      <c r="E103" s="100">
        <v>12.13</v>
      </c>
      <c r="F103" s="152" t="s">
        <v>15</v>
      </c>
      <c r="G103" s="100">
        <v>62.74</v>
      </c>
      <c r="H103" s="100">
        <v>17.309999999999999</v>
      </c>
      <c r="I103" s="100">
        <v>11.06</v>
      </c>
      <c r="J103" s="100">
        <v>0.25</v>
      </c>
      <c r="K103" s="100">
        <v>130.88</v>
      </c>
      <c r="L103" s="100">
        <v>20.46</v>
      </c>
      <c r="M103" s="100">
        <v>50.88</v>
      </c>
      <c r="N103" s="100">
        <v>0.9</v>
      </c>
      <c r="O103" s="100">
        <v>0</v>
      </c>
      <c r="P103" s="100">
        <v>0.63</v>
      </c>
      <c r="Q103" s="100">
        <v>12.93</v>
      </c>
      <c r="R103" s="6"/>
      <c r="S103" s="6"/>
      <c r="T103" s="156"/>
      <c r="U103" s="6"/>
    </row>
    <row r="104" spans="1:28" customFormat="1">
      <c r="A104" s="163" t="s">
        <v>718</v>
      </c>
      <c r="B104" s="100">
        <v>14.69</v>
      </c>
      <c r="C104" s="100">
        <v>22.28</v>
      </c>
      <c r="D104" s="100">
        <v>24.77</v>
      </c>
      <c r="E104" s="100">
        <v>12.41</v>
      </c>
      <c r="F104" s="152" t="s">
        <v>15</v>
      </c>
      <c r="G104" s="100">
        <v>62.74</v>
      </c>
      <c r="H104" s="100">
        <v>17.309999999999999</v>
      </c>
      <c r="I104" s="100">
        <v>11.28</v>
      </c>
      <c r="J104" s="100">
        <v>0.11</v>
      </c>
      <c r="K104" s="100">
        <v>203.66</v>
      </c>
      <c r="L104" s="100">
        <v>20.239999999999998</v>
      </c>
      <c r="M104" s="100">
        <v>47.41</v>
      </c>
      <c r="N104" s="100">
        <v>0.6</v>
      </c>
      <c r="O104" s="100">
        <v>0</v>
      </c>
      <c r="P104" s="100">
        <v>0.69</v>
      </c>
      <c r="Q104" s="100">
        <v>12.92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4.71</v>
      </c>
      <c r="C106" s="158">
        <f>MIN(C9:C104)</f>
        <v>18.989999999999998</v>
      </c>
      <c r="D106" s="158">
        <f t="shared" ref="D106:Q106" si="0">MIN(D9:D104)</f>
        <v>15.89</v>
      </c>
      <c r="E106" s="158">
        <f t="shared" si="0"/>
        <v>7.28</v>
      </c>
      <c r="F106" s="158">
        <f t="shared" si="0"/>
        <v>0</v>
      </c>
      <c r="G106" s="158">
        <f t="shared" si="0"/>
        <v>31.35</v>
      </c>
      <c r="H106" s="158">
        <f t="shared" si="0"/>
        <v>5.58</v>
      </c>
      <c r="I106" s="158">
        <f t="shared" si="0"/>
        <v>4.62</v>
      </c>
      <c r="J106" s="158">
        <f t="shared" si="0"/>
        <v>0.04</v>
      </c>
      <c r="K106" s="158">
        <f t="shared" si="0"/>
        <v>5.21</v>
      </c>
      <c r="L106" s="158">
        <f t="shared" si="0"/>
        <v>18.329999999999998</v>
      </c>
      <c r="M106" s="158">
        <f t="shared" si="0"/>
        <v>13.51</v>
      </c>
      <c r="N106" s="158">
        <f t="shared" si="0"/>
        <v>0.5</v>
      </c>
      <c r="O106" s="158">
        <f t="shared" si="0"/>
        <v>0</v>
      </c>
      <c r="P106" s="158">
        <f t="shared" si="0"/>
        <v>0.39</v>
      </c>
      <c r="Q106" s="158">
        <f t="shared" si="0"/>
        <v>12.87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17.27</v>
      </c>
      <c r="C107" s="157">
        <f t="shared" ref="C107:Q107" si="1">MAX(C9:C104)</f>
        <v>30.6</v>
      </c>
      <c r="D107" s="157">
        <f t="shared" si="1"/>
        <v>28.73</v>
      </c>
      <c r="E107" s="157">
        <f t="shared" si="1"/>
        <v>13.33</v>
      </c>
      <c r="F107" s="157">
        <f t="shared" si="1"/>
        <v>0</v>
      </c>
      <c r="G107" s="157">
        <f t="shared" si="1"/>
        <v>84.38</v>
      </c>
      <c r="H107" s="157">
        <f t="shared" si="1"/>
        <v>103.62</v>
      </c>
      <c r="I107" s="157">
        <f t="shared" si="1"/>
        <v>11.28</v>
      </c>
      <c r="J107" s="157">
        <f t="shared" si="1"/>
        <v>1.95</v>
      </c>
      <c r="K107" s="157">
        <f t="shared" si="1"/>
        <v>358.81</v>
      </c>
      <c r="L107" s="157">
        <f t="shared" si="1"/>
        <v>31.7</v>
      </c>
      <c r="M107" s="157">
        <f t="shared" si="1"/>
        <v>66.92</v>
      </c>
      <c r="N107" s="157">
        <f t="shared" si="1"/>
        <v>387.1</v>
      </c>
      <c r="O107" s="157">
        <f t="shared" si="1"/>
        <v>0</v>
      </c>
      <c r="P107" s="157">
        <f t="shared" si="1"/>
        <v>0.78</v>
      </c>
      <c r="Q107" s="157">
        <f t="shared" si="1"/>
        <v>12.97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11.269999999999998</v>
      </c>
      <c r="C108" s="158">
        <f t="shared" ref="C108:Q108" si="2">AVERAGE(C9:C104)</f>
        <v>24.013541666666669</v>
      </c>
      <c r="D108" s="158">
        <f t="shared" si="2"/>
        <v>22.935416666666672</v>
      </c>
      <c r="E108" s="158">
        <f t="shared" si="2"/>
        <v>10.195833333333338</v>
      </c>
      <c r="F108" s="158" t="e">
        <f t="shared" si="2"/>
        <v>#DIV/0!</v>
      </c>
      <c r="G108" s="158">
        <f t="shared" si="2"/>
        <v>61.357395833333278</v>
      </c>
      <c r="H108" s="158">
        <f t="shared" si="2"/>
        <v>37.095625000000005</v>
      </c>
      <c r="I108" s="158">
        <f t="shared" si="2"/>
        <v>7.5689583333333337</v>
      </c>
      <c r="J108" s="158">
        <f t="shared" si="2"/>
        <v>0.68364583333333362</v>
      </c>
      <c r="K108" s="158">
        <f t="shared" si="2"/>
        <v>114.92468749999999</v>
      </c>
      <c r="L108" s="158">
        <f t="shared" si="2"/>
        <v>24.634895833333331</v>
      </c>
      <c r="M108" s="158">
        <f t="shared" si="2"/>
        <v>38.518958333333337</v>
      </c>
      <c r="N108" s="158">
        <f t="shared" si="2"/>
        <v>96.927083333333314</v>
      </c>
      <c r="O108" s="158">
        <f t="shared" si="2"/>
        <v>0</v>
      </c>
      <c r="P108" s="158">
        <f t="shared" si="2"/>
        <v>0.58124999999999993</v>
      </c>
      <c r="Q108" s="158">
        <f t="shared" si="2"/>
        <v>12.928020833333344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4.4000265549437909</v>
      </c>
      <c r="C109" s="158">
        <f t="shared" ref="C109:Q109" si="3">STDEV(C9:C104)</f>
        <v>3.4348924687579077</v>
      </c>
      <c r="D109" s="158">
        <f t="shared" si="3"/>
        <v>4.5909083877334753</v>
      </c>
      <c r="E109" s="158">
        <f t="shared" si="3"/>
        <v>1.8067275836172545</v>
      </c>
      <c r="F109" s="158" t="e">
        <f t="shared" si="3"/>
        <v>#DIV/0!</v>
      </c>
      <c r="G109" s="158">
        <f t="shared" si="3"/>
        <v>15.799656708115707</v>
      </c>
      <c r="H109" s="158">
        <f t="shared" si="3"/>
        <v>24.755725624271424</v>
      </c>
      <c r="I109" s="158">
        <f t="shared" si="3"/>
        <v>1.9344889052567344</v>
      </c>
      <c r="J109" s="158">
        <f t="shared" si="3"/>
        <v>0.538041516284398</v>
      </c>
      <c r="K109" s="158">
        <f t="shared" si="3"/>
        <v>88.456931880978416</v>
      </c>
      <c r="L109" s="158">
        <f t="shared" si="3"/>
        <v>4.4198692514101925</v>
      </c>
      <c r="M109" s="158">
        <f t="shared" si="3"/>
        <v>15.748391228056583</v>
      </c>
      <c r="N109" s="158">
        <f t="shared" si="3"/>
        <v>145.01609673206465</v>
      </c>
      <c r="O109" s="158">
        <f t="shared" si="3"/>
        <v>0</v>
      </c>
      <c r="P109" s="158">
        <f t="shared" si="3"/>
        <v>0.14633954748424938</v>
      </c>
      <c r="Q109" s="158">
        <f t="shared" si="3"/>
        <v>2.5489721010497145E-2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N114" sqref="N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2255</v>
      </c>
      <c r="B9" s="100">
        <v>17.53</v>
      </c>
      <c r="C9" s="100">
        <v>23.45</v>
      </c>
      <c r="D9" s="100">
        <v>27.66</v>
      </c>
      <c r="E9" s="100">
        <v>12.35</v>
      </c>
      <c r="F9" s="152" t="s">
        <v>15</v>
      </c>
      <c r="G9" s="100">
        <v>62.74</v>
      </c>
      <c r="H9" s="100">
        <v>17.309999999999999</v>
      </c>
      <c r="I9" s="100">
        <v>11.5</v>
      </c>
      <c r="J9" s="100">
        <v>0.62</v>
      </c>
      <c r="K9" s="100">
        <v>37.479999999999997</v>
      </c>
      <c r="L9" s="100">
        <v>20.260000000000002</v>
      </c>
      <c r="M9" s="100">
        <v>47.38</v>
      </c>
      <c r="N9" s="100">
        <v>0.5</v>
      </c>
      <c r="O9" s="100">
        <v>0</v>
      </c>
      <c r="P9" s="100">
        <v>0.72</v>
      </c>
      <c r="Q9" s="100">
        <v>12.94</v>
      </c>
      <c r="R9" s="6"/>
      <c r="S9" s="6"/>
      <c r="T9" s="156"/>
      <c r="U9" s="6"/>
    </row>
    <row r="10" spans="1:21" customFormat="1">
      <c r="A10" s="163" t="s">
        <v>2256</v>
      </c>
      <c r="B10" s="100">
        <v>18.600000000000001</v>
      </c>
      <c r="C10" s="100">
        <v>23.39</v>
      </c>
      <c r="D10" s="100">
        <v>28.49</v>
      </c>
      <c r="E10" s="100">
        <v>12.17</v>
      </c>
      <c r="F10" s="152" t="s">
        <v>15</v>
      </c>
      <c r="G10" s="100">
        <v>67.33</v>
      </c>
      <c r="H10" s="100">
        <v>21.43</v>
      </c>
      <c r="I10" s="100">
        <v>11.67</v>
      </c>
      <c r="J10" s="100">
        <v>0.67</v>
      </c>
      <c r="K10" s="100">
        <v>53.89</v>
      </c>
      <c r="L10" s="100">
        <v>21.15</v>
      </c>
      <c r="M10" s="100">
        <v>41.36</v>
      </c>
      <c r="N10" s="100">
        <v>0.3</v>
      </c>
      <c r="O10" s="100">
        <v>0</v>
      </c>
      <c r="P10" s="100">
        <v>0.74</v>
      </c>
      <c r="Q10" s="100">
        <v>12.95</v>
      </c>
      <c r="R10" s="6"/>
      <c r="S10" s="6"/>
      <c r="T10" s="156"/>
      <c r="U10" s="6"/>
    </row>
    <row r="11" spans="1:21" customFormat="1">
      <c r="A11" s="163" t="s">
        <v>2257</v>
      </c>
      <c r="B11" s="100">
        <v>19.45</v>
      </c>
      <c r="C11" s="100">
        <v>23.59</v>
      </c>
      <c r="D11" s="100">
        <v>29.27</v>
      </c>
      <c r="E11" s="100">
        <v>12.42</v>
      </c>
      <c r="F11" s="152" t="s">
        <v>15</v>
      </c>
      <c r="G11" s="100">
        <v>68.989999999999995</v>
      </c>
      <c r="H11" s="100">
        <v>21.5</v>
      </c>
      <c r="I11" s="100">
        <v>11.76</v>
      </c>
      <c r="J11" s="100">
        <v>0.32</v>
      </c>
      <c r="K11" s="100">
        <v>91.37</v>
      </c>
      <c r="L11" s="100">
        <v>21.1</v>
      </c>
      <c r="M11" s="100">
        <v>41.88</v>
      </c>
      <c r="N11" s="100">
        <v>0.9</v>
      </c>
      <c r="O11" s="100">
        <v>0</v>
      </c>
      <c r="P11" s="100">
        <v>0.75</v>
      </c>
      <c r="Q11" s="100">
        <v>12.95</v>
      </c>
      <c r="R11" s="6"/>
      <c r="S11" s="6"/>
      <c r="T11" s="156"/>
      <c r="U11" s="6"/>
    </row>
    <row r="12" spans="1:21" customFormat="1">
      <c r="A12" s="163" t="s">
        <v>2258</v>
      </c>
      <c r="B12" s="100">
        <v>20.03</v>
      </c>
      <c r="C12" s="100">
        <v>23.59</v>
      </c>
      <c r="D12" s="100">
        <v>29.74</v>
      </c>
      <c r="E12" s="100">
        <v>11.62</v>
      </c>
      <c r="F12" s="152" t="s">
        <v>15</v>
      </c>
      <c r="G12" s="100">
        <v>68.989999999999995</v>
      </c>
      <c r="H12" s="100">
        <v>21.5</v>
      </c>
      <c r="I12" s="100">
        <v>11.81</v>
      </c>
      <c r="J12" s="100">
        <v>0.28000000000000003</v>
      </c>
      <c r="K12" s="100">
        <v>90.54</v>
      </c>
      <c r="L12" s="100">
        <v>20.57</v>
      </c>
      <c r="M12" s="100">
        <v>43.57</v>
      </c>
      <c r="N12" s="100">
        <v>1.1000000000000001</v>
      </c>
      <c r="O12" s="100">
        <v>0</v>
      </c>
      <c r="P12" s="100">
        <v>0.75</v>
      </c>
      <c r="Q12" s="100">
        <v>12.97</v>
      </c>
      <c r="R12" s="6"/>
      <c r="S12" s="6"/>
      <c r="T12" s="156"/>
      <c r="U12" s="6"/>
    </row>
    <row r="13" spans="1:21" customFormat="1">
      <c r="A13" s="163" t="s">
        <v>2259</v>
      </c>
      <c r="B13" s="100">
        <v>20.3</v>
      </c>
      <c r="C13" s="100">
        <v>23.67</v>
      </c>
      <c r="D13" s="100">
        <v>29.99</v>
      </c>
      <c r="E13" s="100">
        <v>11.8</v>
      </c>
      <c r="F13" s="152" t="s">
        <v>15</v>
      </c>
      <c r="G13" s="100">
        <v>68.989999999999995</v>
      </c>
      <c r="H13" s="100">
        <v>21.5</v>
      </c>
      <c r="I13" s="100">
        <v>11.81</v>
      </c>
      <c r="J13" s="100">
        <v>0.34</v>
      </c>
      <c r="K13" s="100">
        <v>89.37</v>
      </c>
      <c r="L13" s="100">
        <v>20.84</v>
      </c>
      <c r="M13" s="100">
        <v>41.1</v>
      </c>
      <c r="N13" s="100">
        <v>0.6</v>
      </c>
      <c r="O13" s="100">
        <v>0</v>
      </c>
      <c r="P13" s="100">
        <v>0.76</v>
      </c>
      <c r="Q13" s="100">
        <v>12.97</v>
      </c>
      <c r="R13" s="6"/>
      <c r="S13" s="6"/>
      <c r="T13" s="156"/>
      <c r="U13" s="6"/>
    </row>
    <row r="14" spans="1:21" customFormat="1">
      <c r="A14" s="163" t="s">
        <v>2260</v>
      </c>
      <c r="B14" s="100">
        <v>20.5</v>
      </c>
      <c r="C14" s="100">
        <v>23.52</v>
      </c>
      <c r="D14" s="100">
        <v>30.08</v>
      </c>
      <c r="E14" s="100">
        <v>12.24</v>
      </c>
      <c r="F14" s="152" t="s">
        <v>15</v>
      </c>
      <c r="G14" s="100">
        <v>68.03</v>
      </c>
      <c r="H14" s="100">
        <v>22.26</v>
      </c>
      <c r="I14" s="100">
        <v>11.76</v>
      </c>
      <c r="J14" s="100">
        <v>0.4</v>
      </c>
      <c r="K14" s="100">
        <v>79.72</v>
      </c>
      <c r="L14" s="100">
        <v>20.98</v>
      </c>
      <c r="M14" s="100">
        <v>40.76</v>
      </c>
      <c r="N14" s="100">
        <v>0.4</v>
      </c>
      <c r="O14" s="100">
        <v>0</v>
      </c>
      <c r="P14" s="100">
        <v>0.77</v>
      </c>
      <c r="Q14" s="100">
        <v>12.94</v>
      </c>
      <c r="R14" s="6"/>
      <c r="S14" s="6"/>
      <c r="T14" s="156"/>
      <c r="U14" s="6"/>
    </row>
    <row r="15" spans="1:21" customFormat="1">
      <c r="A15" s="163" t="s">
        <v>2261</v>
      </c>
      <c r="B15" s="100">
        <v>20.46</v>
      </c>
      <c r="C15" s="100">
        <v>23.61</v>
      </c>
      <c r="D15" s="100">
        <v>30.1</v>
      </c>
      <c r="E15" s="100">
        <v>12.14</v>
      </c>
      <c r="F15" s="152" t="s">
        <v>15</v>
      </c>
      <c r="G15" s="100">
        <v>67.69</v>
      </c>
      <c r="H15" s="100">
        <v>22.27</v>
      </c>
      <c r="I15" s="100">
        <v>11.47</v>
      </c>
      <c r="J15" s="100">
        <v>0.68</v>
      </c>
      <c r="K15" s="100">
        <v>59.72</v>
      </c>
      <c r="L15" s="100">
        <v>21.72</v>
      </c>
      <c r="M15" s="100">
        <v>38.409999999999997</v>
      </c>
      <c r="N15" s="100">
        <v>0.1</v>
      </c>
      <c r="O15" s="100">
        <v>0</v>
      </c>
      <c r="P15" s="100">
        <v>0.77</v>
      </c>
      <c r="Q15" s="100">
        <v>12.95</v>
      </c>
      <c r="R15" s="6"/>
      <c r="S15" s="6"/>
      <c r="T15" s="156"/>
      <c r="U15" s="6"/>
    </row>
    <row r="16" spans="1:21" customFormat="1">
      <c r="A16" s="163" t="s">
        <v>2262</v>
      </c>
      <c r="B16" s="100">
        <v>20.41</v>
      </c>
      <c r="C16" s="100">
        <v>23.72</v>
      </c>
      <c r="D16" s="100">
        <v>30.11</v>
      </c>
      <c r="E16" s="100">
        <v>12.28</v>
      </c>
      <c r="F16" s="152" t="s">
        <v>15</v>
      </c>
      <c r="G16" s="100">
        <v>67.69</v>
      </c>
      <c r="H16" s="100">
        <v>22.27</v>
      </c>
      <c r="I16" s="100">
        <v>11.15</v>
      </c>
      <c r="J16" s="100">
        <v>0.32</v>
      </c>
      <c r="K16" s="100">
        <v>82.71</v>
      </c>
      <c r="L16" s="100">
        <v>21.53</v>
      </c>
      <c r="M16" s="100">
        <v>41.17</v>
      </c>
      <c r="N16" s="100">
        <v>1.1000000000000001</v>
      </c>
      <c r="O16" s="100">
        <v>0</v>
      </c>
      <c r="P16" s="100">
        <v>0.76</v>
      </c>
      <c r="Q16" s="100">
        <v>12.97</v>
      </c>
      <c r="R16" s="6"/>
      <c r="S16" s="6"/>
      <c r="T16" s="156"/>
      <c r="U16" s="6"/>
    </row>
    <row r="17" spans="1:21" customFormat="1">
      <c r="A17" s="163" t="s">
        <v>2263</v>
      </c>
      <c r="B17" s="100">
        <v>20.25</v>
      </c>
      <c r="C17" s="100">
        <v>23.67</v>
      </c>
      <c r="D17" s="100">
        <v>29.96</v>
      </c>
      <c r="E17" s="100">
        <v>8.1999999999999993</v>
      </c>
      <c r="F17" s="152" t="s">
        <v>15</v>
      </c>
      <c r="G17" s="100">
        <v>67.69</v>
      </c>
      <c r="H17" s="100">
        <v>22.27</v>
      </c>
      <c r="I17" s="100">
        <v>11.03</v>
      </c>
      <c r="J17" s="100">
        <v>0.21</v>
      </c>
      <c r="K17" s="100">
        <v>109.88</v>
      </c>
      <c r="L17" s="100">
        <v>20.67</v>
      </c>
      <c r="M17" s="100">
        <v>46.38</v>
      </c>
      <c r="N17" s="100">
        <v>1.4</v>
      </c>
      <c r="O17" s="100">
        <v>0</v>
      </c>
      <c r="P17" s="100">
        <v>0.76</v>
      </c>
      <c r="Q17" s="100">
        <v>12.97</v>
      </c>
      <c r="R17" s="6"/>
      <c r="S17" s="6"/>
      <c r="T17" s="156"/>
      <c r="U17" s="6"/>
    </row>
    <row r="18" spans="1:21" customFormat="1">
      <c r="A18" s="163" t="s">
        <v>2264</v>
      </c>
      <c r="B18" s="100">
        <v>19.97</v>
      </c>
      <c r="C18" s="100">
        <v>23.69</v>
      </c>
      <c r="D18" s="100">
        <v>29.74</v>
      </c>
      <c r="E18" s="100">
        <v>9.85</v>
      </c>
      <c r="F18" s="152" t="s">
        <v>15</v>
      </c>
      <c r="G18" s="100">
        <v>70.150000000000006</v>
      </c>
      <c r="H18" s="100">
        <v>26.16</v>
      </c>
      <c r="I18" s="100">
        <v>10.9</v>
      </c>
      <c r="J18" s="100">
        <v>0.26</v>
      </c>
      <c r="K18" s="100">
        <v>61.23</v>
      </c>
      <c r="L18" s="100">
        <v>20.37</v>
      </c>
      <c r="M18" s="100">
        <v>45.22</v>
      </c>
      <c r="N18" s="100">
        <v>0.9</v>
      </c>
      <c r="O18" s="100">
        <v>0</v>
      </c>
      <c r="P18" s="100">
        <v>0.76</v>
      </c>
      <c r="Q18" s="100">
        <v>12.95</v>
      </c>
      <c r="R18" s="6"/>
      <c r="S18" s="6"/>
      <c r="T18" s="156"/>
      <c r="U18" s="6"/>
    </row>
    <row r="19" spans="1:21" customFormat="1">
      <c r="A19" s="163" t="s">
        <v>2265</v>
      </c>
      <c r="B19" s="100">
        <v>19.809999999999999</v>
      </c>
      <c r="C19" s="100">
        <v>23.72</v>
      </c>
      <c r="D19" s="100">
        <v>29.63</v>
      </c>
      <c r="E19" s="100">
        <v>9.67</v>
      </c>
      <c r="F19" s="152" t="s">
        <v>15</v>
      </c>
      <c r="G19" s="100">
        <v>71.05</v>
      </c>
      <c r="H19" s="100">
        <v>26.22</v>
      </c>
      <c r="I19" s="100">
        <v>10.78</v>
      </c>
      <c r="J19" s="100">
        <v>0.08</v>
      </c>
      <c r="K19" s="100">
        <v>144.18</v>
      </c>
      <c r="L19" s="100">
        <v>20.14</v>
      </c>
      <c r="M19" s="100">
        <v>47.2</v>
      </c>
      <c r="N19" s="100">
        <v>1.2</v>
      </c>
      <c r="O19" s="100">
        <v>0</v>
      </c>
      <c r="P19" s="100">
        <v>0.77</v>
      </c>
      <c r="Q19" s="100">
        <v>12.96</v>
      </c>
      <c r="R19" s="6"/>
      <c r="S19" s="6"/>
      <c r="T19" s="156"/>
      <c r="U19" s="6"/>
    </row>
    <row r="20" spans="1:21" customFormat="1">
      <c r="A20" s="163" t="s">
        <v>2266</v>
      </c>
      <c r="B20" s="100">
        <v>19.52</v>
      </c>
      <c r="C20" s="100">
        <v>23.43</v>
      </c>
      <c r="D20" s="100">
        <v>29.24</v>
      </c>
      <c r="E20" s="100">
        <v>9.9</v>
      </c>
      <c r="F20" s="152" t="s">
        <v>15</v>
      </c>
      <c r="G20" s="100">
        <v>71.05</v>
      </c>
      <c r="H20" s="100">
        <v>26.22</v>
      </c>
      <c r="I20" s="100">
        <v>10.7</v>
      </c>
      <c r="J20" s="100">
        <v>0.21</v>
      </c>
      <c r="K20" s="100">
        <v>210.16</v>
      </c>
      <c r="L20" s="100">
        <v>19.05</v>
      </c>
      <c r="M20" s="100">
        <v>53.88</v>
      </c>
      <c r="N20" s="100">
        <v>1.6</v>
      </c>
      <c r="O20" s="100">
        <v>0</v>
      </c>
      <c r="P20" s="100">
        <v>0.75</v>
      </c>
      <c r="Q20" s="100">
        <v>12.96</v>
      </c>
      <c r="R20" s="6"/>
      <c r="S20" s="6"/>
      <c r="T20" s="156"/>
      <c r="U20" s="6"/>
    </row>
    <row r="21" spans="1:21" customFormat="1">
      <c r="A21" s="163" t="s">
        <v>2267</v>
      </c>
      <c r="B21" s="100">
        <v>18.989999999999998</v>
      </c>
      <c r="C21" s="100">
        <v>23.24</v>
      </c>
      <c r="D21" s="100">
        <v>28.72</v>
      </c>
      <c r="E21" s="100">
        <v>9.6300000000000008</v>
      </c>
      <c r="F21" s="152" t="s">
        <v>15</v>
      </c>
      <c r="G21" s="100">
        <v>71.05</v>
      </c>
      <c r="H21" s="100">
        <v>26.22</v>
      </c>
      <c r="I21" s="100">
        <v>10.62</v>
      </c>
      <c r="J21" s="100">
        <v>0.14000000000000001</v>
      </c>
      <c r="K21" s="100">
        <v>233.21</v>
      </c>
      <c r="L21" s="100">
        <v>18.28</v>
      </c>
      <c r="M21" s="100">
        <v>56.98</v>
      </c>
      <c r="N21" s="100">
        <v>1.4</v>
      </c>
      <c r="O21" s="100">
        <v>0</v>
      </c>
      <c r="P21" s="100">
        <v>0.74</v>
      </c>
      <c r="Q21" s="100">
        <v>12.97</v>
      </c>
      <c r="R21" s="6"/>
      <c r="S21" s="6"/>
      <c r="T21" s="156"/>
      <c r="U21" s="6"/>
    </row>
    <row r="22" spans="1:21" customFormat="1">
      <c r="A22" s="163" t="s">
        <v>2268</v>
      </c>
      <c r="B22" s="100">
        <v>18.59</v>
      </c>
      <c r="C22" s="100">
        <v>22.96</v>
      </c>
      <c r="D22" s="100">
        <v>28.25</v>
      </c>
      <c r="E22" s="100">
        <v>9.26</v>
      </c>
      <c r="F22" s="152" t="s">
        <v>15</v>
      </c>
      <c r="G22" s="100">
        <v>67.989999999999995</v>
      </c>
      <c r="H22" s="100">
        <v>21.71</v>
      </c>
      <c r="I22" s="100">
        <v>10.55</v>
      </c>
      <c r="J22" s="100">
        <v>0.18</v>
      </c>
      <c r="K22" s="100">
        <v>200.79</v>
      </c>
      <c r="L22" s="100">
        <v>18.11</v>
      </c>
      <c r="M22" s="100">
        <v>58.3</v>
      </c>
      <c r="N22" s="100">
        <v>1.1000000000000001</v>
      </c>
      <c r="O22" s="100">
        <v>0</v>
      </c>
      <c r="P22" s="100">
        <v>0.75</v>
      </c>
      <c r="Q22" s="100">
        <v>12.96</v>
      </c>
      <c r="R22" s="6"/>
      <c r="S22" s="6"/>
      <c r="T22" s="156"/>
      <c r="U22" s="6"/>
    </row>
    <row r="23" spans="1:21" customFormat="1">
      <c r="A23" s="163" t="s">
        <v>2269</v>
      </c>
      <c r="B23" s="100">
        <v>18.21</v>
      </c>
      <c r="C23" s="100">
        <v>22.81</v>
      </c>
      <c r="D23" s="100">
        <v>27.87</v>
      </c>
      <c r="E23" s="100">
        <v>9.7200000000000006</v>
      </c>
      <c r="F23" s="152" t="s">
        <v>15</v>
      </c>
      <c r="G23" s="100">
        <v>66.87</v>
      </c>
      <c r="H23" s="100">
        <v>21.59</v>
      </c>
      <c r="I23" s="100">
        <v>10.47</v>
      </c>
      <c r="J23" s="100">
        <v>0.22</v>
      </c>
      <c r="K23" s="100">
        <v>199.13</v>
      </c>
      <c r="L23" s="100">
        <v>17.350000000000001</v>
      </c>
      <c r="M23" s="100">
        <v>64.45</v>
      </c>
      <c r="N23" s="100">
        <v>1.4</v>
      </c>
      <c r="O23" s="100">
        <v>0</v>
      </c>
      <c r="P23" s="100">
        <v>0.74</v>
      </c>
      <c r="Q23" s="100">
        <v>12.96</v>
      </c>
      <c r="R23" s="6"/>
      <c r="S23" s="6"/>
      <c r="T23" s="156"/>
      <c r="U23" s="6"/>
    </row>
    <row r="24" spans="1:21" customFormat="1">
      <c r="A24" s="163" t="s">
        <v>2270</v>
      </c>
      <c r="B24" s="100">
        <v>17.82</v>
      </c>
      <c r="C24" s="100">
        <v>22.51</v>
      </c>
      <c r="D24" s="100">
        <v>27.4</v>
      </c>
      <c r="E24" s="100">
        <v>9.48</v>
      </c>
      <c r="F24" s="152" t="s">
        <v>15</v>
      </c>
      <c r="G24" s="100">
        <v>66.87</v>
      </c>
      <c r="H24" s="100">
        <v>21.59</v>
      </c>
      <c r="I24" s="100">
        <v>10.38</v>
      </c>
      <c r="J24" s="100">
        <v>0.19</v>
      </c>
      <c r="K24" s="100">
        <v>177.1</v>
      </c>
      <c r="L24" s="100">
        <v>17.329999999999998</v>
      </c>
      <c r="M24" s="100">
        <v>63.95</v>
      </c>
      <c r="N24" s="100">
        <v>0.8</v>
      </c>
      <c r="O24" s="100">
        <v>0</v>
      </c>
      <c r="P24" s="100">
        <v>0.74</v>
      </c>
      <c r="Q24" s="100">
        <v>12.95</v>
      </c>
      <c r="R24" s="6"/>
      <c r="S24" s="6"/>
      <c r="T24" s="156"/>
      <c r="U24" s="6"/>
    </row>
    <row r="25" spans="1:21" customFormat="1">
      <c r="A25" s="163" t="s">
        <v>2271</v>
      </c>
      <c r="B25" s="100">
        <v>17.34</v>
      </c>
      <c r="C25" s="100">
        <v>22.22</v>
      </c>
      <c r="D25" s="100">
        <v>26.86</v>
      </c>
      <c r="E25" s="100">
        <v>9.4499999999999993</v>
      </c>
      <c r="F25" s="152" t="s">
        <v>15</v>
      </c>
      <c r="G25" s="100">
        <v>66.87</v>
      </c>
      <c r="H25" s="100">
        <v>21.59</v>
      </c>
      <c r="I25" s="100">
        <v>10.31</v>
      </c>
      <c r="J25" s="100">
        <v>0.24</v>
      </c>
      <c r="K25" s="100">
        <v>190.36</v>
      </c>
      <c r="L25" s="100">
        <v>18.3</v>
      </c>
      <c r="M25" s="100">
        <v>54.97</v>
      </c>
      <c r="N25" s="100">
        <v>0.3</v>
      </c>
      <c r="O25" s="100">
        <v>0</v>
      </c>
      <c r="P25" s="100">
        <v>0.73</v>
      </c>
      <c r="Q25" s="100">
        <v>12.94</v>
      </c>
      <c r="R25" s="6"/>
      <c r="S25" s="6"/>
      <c r="T25" s="156"/>
      <c r="U25" s="6"/>
    </row>
    <row r="26" spans="1:21" customFormat="1">
      <c r="A26" s="163" t="s">
        <v>2272</v>
      </c>
      <c r="B26" s="100">
        <v>16.77</v>
      </c>
      <c r="C26" s="100">
        <v>22.22</v>
      </c>
      <c r="D26" s="100">
        <v>26.41</v>
      </c>
      <c r="E26" s="100">
        <v>9.08</v>
      </c>
      <c r="F26" s="152" t="s">
        <v>15</v>
      </c>
      <c r="G26" s="100">
        <v>55.2</v>
      </c>
      <c r="H26" s="100">
        <v>8.19</v>
      </c>
      <c r="I26" s="100">
        <v>10.24</v>
      </c>
      <c r="J26" s="100">
        <v>0.25</v>
      </c>
      <c r="K26" s="100">
        <v>213.22</v>
      </c>
      <c r="L26" s="100">
        <v>17.95</v>
      </c>
      <c r="M26" s="100">
        <v>56.59</v>
      </c>
      <c r="N26" s="100">
        <v>1.1000000000000001</v>
      </c>
      <c r="O26" s="100">
        <v>0</v>
      </c>
      <c r="P26" s="100">
        <v>0.71</v>
      </c>
      <c r="Q26" s="100">
        <v>12.94</v>
      </c>
      <c r="R26" s="6"/>
      <c r="S26" s="6"/>
      <c r="T26" s="156"/>
      <c r="U26" s="6"/>
    </row>
    <row r="27" spans="1:21" customFormat="1">
      <c r="A27" s="163" t="s">
        <v>2273</v>
      </c>
      <c r="B27" s="100">
        <v>16.14</v>
      </c>
      <c r="C27" s="100">
        <v>22.16</v>
      </c>
      <c r="D27" s="100">
        <v>25.87</v>
      </c>
      <c r="E27" s="100">
        <v>9.1199999999999992</v>
      </c>
      <c r="F27" s="152" t="s">
        <v>15</v>
      </c>
      <c r="G27" s="100">
        <v>50.96</v>
      </c>
      <c r="H27" s="100">
        <v>7.98</v>
      </c>
      <c r="I27" s="100">
        <v>10.14</v>
      </c>
      <c r="J27" s="100">
        <v>0.12</v>
      </c>
      <c r="K27" s="100">
        <v>238.12</v>
      </c>
      <c r="L27" s="100">
        <v>17.690000000000001</v>
      </c>
      <c r="M27" s="100">
        <v>57.07</v>
      </c>
      <c r="N27" s="100">
        <v>0.9</v>
      </c>
      <c r="O27" s="100">
        <v>0</v>
      </c>
      <c r="P27" s="100">
        <v>0.66</v>
      </c>
      <c r="Q27" s="100">
        <v>12.94</v>
      </c>
      <c r="R27" s="6"/>
      <c r="S27" s="6"/>
      <c r="T27" s="156"/>
      <c r="U27" s="6"/>
    </row>
    <row r="28" spans="1:21" customFormat="1">
      <c r="A28" s="163" t="s">
        <v>2274</v>
      </c>
      <c r="B28" s="100">
        <v>16.739999999999998</v>
      </c>
      <c r="C28" s="100">
        <v>22.27</v>
      </c>
      <c r="D28" s="100">
        <v>26.41</v>
      </c>
      <c r="E28" s="100">
        <v>9.2799999999999994</v>
      </c>
      <c r="F28" s="152" t="s">
        <v>15</v>
      </c>
      <c r="G28" s="100">
        <v>50.96</v>
      </c>
      <c r="H28" s="100">
        <v>7.98</v>
      </c>
      <c r="I28" s="100">
        <v>9.99</v>
      </c>
      <c r="J28" s="100">
        <v>0.12</v>
      </c>
      <c r="K28" s="100">
        <v>38.270000000000003</v>
      </c>
      <c r="L28" s="100">
        <v>18.14</v>
      </c>
      <c r="M28" s="100">
        <v>53.15</v>
      </c>
      <c r="N28" s="100">
        <v>0.6</v>
      </c>
      <c r="O28" s="100">
        <v>0</v>
      </c>
      <c r="P28" s="100">
        <v>0.63</v>
      </c>
      <c r="Q28" s="100">
        <v>12.95</v>
      </c>
      <c r="R28" s="6"/>
      <c r="S28" s="6"/>
      <c r="T28" s="156"/>
      <c r="U28" s="6"/>
    </row>
    <row r="29" spans="1:21" customFormat="1">
      <c r="A29" s="163" t="s">
        <v>2275</v>
      </c>
      <c r="B29" s="100">
        <v>17.989999999999998</v>
      </c>
      <c r="C29" s="100">
        <v>22.7</v>
      </c>
      <c r="D29" s="100">
        <v>27.64</v>
      </c>
      <c r="E29" s="100">
        <v>9.7100000000000009</v>
      </c>
      <c r="F29" s="152" t="s">
        <v>15</v>
      </c>
      <c r="G29" s="100">
        <v>50.96</v>
      </c>
      <c r="H29" s="100">
        <v>7.98</v>
      </c>
      <c r="I29" s="100">
        <v>9.8800000000000008</v>
      </c>
      <c r="J29" s="100">
        <v>0.36</v>
      </c>
      <c r="K29" s="100">
        <v>14.79</v>
      </c>
      <c r="L29" s="100">
        <v>18.34</v>
      </c>
      <c r="M29" s="100">
        <v>50.79</v>
      </c>
      <c r="N29" s="100">
        <v>0.4</v>
      </c>
      <c r="O29" s="100">
        <v>0</v>
      </c>
      <c r="P29" s="100">
        <v>0.62</v>
      </c>
      <c r="Q29" s="100">
        <v>12.95</v>
      </c>
      <c r="R29" s="6"/>
      <c r="S29" s="6"/>
      <c r="T29" s="156"/>
      <c r="U29" s="6"/>
    </row>
    <row r="30" spans="1:21" customFormat="1">
      <c r="A30" s="163" t="s">
        <v>2276</v>
      </c>
      <c r="B30" s="100">
        <v>18.75</v>
      </c>
      <c r="C30" s="100">
        <v>22.91</v>
      </c>
      <c r="D30" s="100">
        <v>28.36</v>
      </c>
      <c r="E30" s="100">
        <v>9.89</v>
      </c>
      <c r="F30" s="152" t="s">
        <v>15</v>
      </c>
      <c r="G30" s="100">
        <v>51.03</v>
      </c>
      <c r="H30" s="100">
        <v>16.309999999999999</v>
      </c>
      <c r="I30" s="100">
        <v>9.75</v>
      </c>
      <c r="J30" s="100">
        <v>0.62</v>
      </c>
      <c r="K30" s="100">
        <v>42.37</v>
      </c>
      <c r="L30" s="100">
        <v>18.649999999999999</v>
      </c>
      <c r="M30" s="100">
        <v>49.52</v>
      </c>
      <c r="N30" s="100">
        <v>0.3</v>
      </c>
      <c r="O30" s="100">
        <v>0</v>
      </c>
      <c r="P30" s="100">
        <v>0.62</v>
      </c>
      <c r="Q30" s="100">
        <v>12.96</v>
      </c>
      <c r="R30" s="6"/>
      <c r="S30" s="6"/>
      <c r="T30" s="156"/>
      <c r="U30" s="6"/>
    </row>
    <row r="31" spans="1:21" customFormat="1">
      <c r="A31" s="163" t="s">
        <v>2277</v>
      </c>
      <c r="B31" s="100">
        <v>19.13</v>
      </c>
      <c r="C31" s="100">
        <v>23.09</v>
      </c>
      <c r="D31" s="100">
        <v>28.75</v>
      </c>
      <c r="E31" s="100">
        <v>9.3699999999999992</v>
      </c>
      <c r="F31" s="152" t="s">
        <v>15</v>
      </c>
      <c r="G31" s="100">
        <v>51.06</v>
      </c>
      <c r="H31" s="100">
        <v>16.440000000000001</v>
      </c>
      <c r="I31" s="100">
        <v>9.6</v>
      </c>
      <c r="J31" s="100">
        <v>0.43</v>
      </c>
      <c r="K31" s="100">
        <v>53.29</v>
      </c>
      <c r="L31" s="100">
        <v>18.71</v>
      </c>
      <c r="M31" s="100">
        <v>49.09</v>
      </c>
      <c r="N31" s="100">
        <v>0.8</v>
      </c>
      <c r="O31" s="100">
        <v>0</v>
      </c>
      <c r="P31" s="100">
        <v>0.61</v>
      </c>
      <c r="Q31" s="100">
        <v>12.96</v>
      </c>
      <c r="R31" s="6"/>
      <c r="S31" s="6"/>
      <c r="T31" s="156"/>
      <c r="U31" s="6"/>
    </row>
    <row r="32" spans="1:21" customFormat="1">
      <c r="A32" s="163" t="s">
        <v>2278</v>
      </c>
      <c r="B32" s="100">
        <v>19.47</v>
      </c>
      <c r="C32" s="100">
        <v>23.26</v>
      </c>
      <c r="D32" s="100">
        <v>29.12</v>
      </c>
      <c r="E32" s="100">
        <v>9.5</v>
      </c>
      <c r="F32" s="152" t="s">
        <v>15</v>
      </c>
      <c r="G32" s="100">
        <v>51.06</v>
      </c>
      <c r="H32" s="100">
        <v>16.440000000000001</v>
      </c>
      <c r="I32" s="100">
        <v>9.51</v>
      </c>
      <c r="J32" s="100">
        <v>0.46</v>
      </c>
      <c r="K32" s="100">
        <v>69.64</v>
      </c>
      <c r="L32" s="100">
        <v>18.62</v>
      </c>
      <c r="M32" s="100">
        <v>49.73</v>
      </c>
      <c r="N32" s="100">
        <v>0.9</v>
      </c>
      <c r="O32" s="100">
        <v>0</v>
      </c>
      <c r="P32" s="100">
        <v>0.6</v>
      </c>
      <c r="Q32" s="100">
        <v>12.96</v>
      </c>
      <c r="R32" s="6"/>
      <c r="S32" s="6"/>
      <c r="T32" s="156"/>
      <c r="U32" s="6"/>
    </row>
    <row r="33" spans="1:21" customFormat="1">
      <c r="A33" s="163" t="s">
        <v>2279</v>
      </c>
      <c r="B33" s="100">
        <v>19.579999999999998</v>
      </c>
      <c r="C33" s="100">
        <v>23.48</v>
      </c>
      <c r="D33" s="100">
        <v>29.32</v>
      </c>
      <c r="E33" s="100">
        <v>9.44</v>
      </c>
      <c r="F33" s="152" t="s">
        <v>15</v>
      </c>
      <c r="G33" s="100">
        <v>51.06</v>
      </c>
      <c r="H33" s="100">
        <v>16.440000000000001</v>
      </c>
      <c r="I33" s="100">
        <v>9.41</v>
      </c>
      <c r="J33" s="100">
        <v>0.52</v>
      </c>
      <c r="K33" s="100">
        <v>351.7</v>
      </c>
      <c r="L33" s="100">
        <v>18.43</v>
      </c>
      <c r="M33" s="100">
        <v>50.89</v>
      </c>
      <c r="N33" s="100">
        <v>1.1000000000000001</v>
      </c>
      <c r="O33" s="100">
        <v>0</v>
      </c>
      <c r="P33" s="100">
        <v>0.59</v>
      </c>
      <c r="Q33" s="100">
        <v>12.98</v>
      </c>
      <c r="R33" s="6"/>
      <c r="S33" s="6"/>
      <c r="T33" s="156"/>
      <c r="U33" s="6"/>
    </row>
    <row r="34" spans="1:21" customFormat="1">
      <c r="A34" s="163" t="s">
        <v>2280</v>
      </c>
      <c r="B34" s="100">
        <v>19.79</v>
      </c>
      <c r="C34" s="100">
        <v>23.41</v>
      </c>
      <c r="D34" s="100">
        <v>29.45</v>
      </c>
      <c r="E34" s="100">
        <v>9.83</v>
      </c>
      <c r="F34" s="152" t="s">
        <v>15</v>
      </c>
      <c r="G34" s="100">
        <v>54.77</v>
      </c>
      <c r="H34" s="100">
        <v>16.41</v>
      </c>
      <c r="I34" s="100">
        <v>9.3000000000000007</v>
      </c>
      <c r="J34" s="100">
        <v>0.52</v>
      </c>
      <c r="K34" s="100">
        <v>38.729999999999997</v>
      </c>
      <c r="L34" s="100">
        <v>18.29</v>
      </c>
      <c r="M34" s="100">
        <v>51.52</v>
      </c>
      <c r="N34" s="100">
        <v>2.6</v>
      </c>
      <c r="O34" s="100">
        <v>0</v>
      </c>
      <c r="P34" s="100">
        <v>0.6</v>
      </c>
      <c r="Q34" s="100">
        <v>12.95</v>
      </c>
      <c r="R34" s="6"/>
      <c r="S34" s="6"/>
      <c r="T34" s="156"/>
      <c r="U34" s="6"/>
    </row>
    <row r="35" spans="1:21" customFormat="1">
      <c r="A35" s="163" t="s">
        <v>2281</v>
      </c>
      <c r="B35" s="100">
        <v>20.12</v>
      </c>
      <c r="C35" s="100">
        <v>23.63</v>
      </c>
      <c r="D35" s="100">
        <v>29.83</v>
      </c>
      <c r="E35" s="100">
        <v>9.68</v>
      </c>
      <c r="F35" s="152" t="s">
        <v>15</v>
      </c>
      <c r="G35" s="100">
        <v>56.12</v>
      </c>
      <c r="H35" s="100">
        <v>16.41</v>
      </c>
      <c r="I35" s="100">
        <v>9.23</v>
      </c>
      <c r="J35" s="100">
        <v>0.53</v>
      </c>
      <c r="K35" s="100">
        <v>57.01</v>
      </c>
      <c r="L35" s="100">
        <v>18.41</v>
      </c>
      <c r="M35" s="100">
        <v>51.47</v>
      </c>
      <c r="N35" s="100">
        <v>7.2</v>
      </c>
      <c r="O35" s="100">
        <v>0</v>
      </c>
      <c r="P35" s="100">
        <v>0.59</v>
      </c>
      <c r="Q35" s="100">
        <v>12.96</v>
      </c>
      <c r="R35" s="6"/>
      <c r="S35" s="6"/>
      <c r="T35" s="156"/>
      <c r="U35" s="6"/>
    </row>
    <row r="36" spans="1:21" customFormat="1">
      <c r="A36" s="163" t="s">
        <v>2282</v>
      </c>
      <c r="B36" s="100">
        <v>20.77</v>
      </c>
      <c r="C36" s="100">
        <v>23.05</v>
      </c>
      <c r="D36" s="100">
        <v>30.05</v>
      </c>
      <c r="E36" s="100">
        <v>9.73</v>
      </c>
      <c r="F36" s="152" t="s">
        <v>15</v>
      </c>
      <c r="G36" s="100">
        <v>56.12</v>
      </c>
      <c r="H36" s="100">
        <v>16.41</v>
      </c>
      <c r="I36" s="100">
        <v>9.2200000000000006</v>
      </c>
      <c r="J36" s="100">
        <v>0.09</v>
      </c>
      <c r="K36" s="100">
        <v>93.26</v>
      </c>
      <c r="L36" s="100">
        <v>18.440000000000001</v>
      </c>
      <c r="M36" s="100">
        <v>53.69</v>
      </c>
      <c r="N36" s="100">
        <v>13.6</v>
      </c>
      <c r="O36" s="100">
        <v>0</v>
      </c>
      <c r="P36" s="100">
        <v>0.61</v>
      </c>
      <c r="Q36" s="100">
        <v>12.97</v>
      </c>
      <c r="R36" s="6"/>
      <c r="S36" s="6"/>
      <c r="T36" s="156"/>
      <c r="U36" s="6"/>
    </row>
    <row r="37" spans="1:21" customFormat="1">
      <c r="A37" s="163" t="s">
        <v>2283</v>
      </c>
      <c r="B37" s="100">
        <v>20.96</v>
      </c>
      <c r="C37" s="100">
        <v>23.04</v>
      </c>
      <c r="D37" s="100">
        <v>30.2</v>
      </c>
      <c r="E37" s="100">
        <v>9.51</v>
      </c>
      <c r="F37" s="152" t="s">
        <v>15</v>
      </c>
      <c r="G37" s="100">
        <v>56.12</v>
      </c>
      <c r="H37" s="100">
        <v>16.41</v>
      </c>
      <c r="I37" s="100">
        <v>9.24</v>
      </c>
      <c r="J37" s="100">
        <v>0.46</v>
      </c>
      <c r="K37" s="100">
        <v>51.21</v>
      </c>
      <c r="L37" s="100">
        <v>18.649999999999999</v>
      </c>
      <c r="M37" s="100">
        <v>52.95</v>
      </c>
      <c r="N37" s="100">
        <v>19.899999999999999</v>
      </c>
      <c r="O37" s="100">
        <v>0</v>
      </c>
      <c r="P37" s="100">
        <v>0.61</v>
      </c>
      <c r="Q37" s="100">
        <v>12.97</v>
      </c>
      <c r="R37" s="6"/>
      <c r="S37" s="6"/>
      <c r="T37" s="156"/>
      <c r="U37" s="6"/>
    </row>
    <row r="38" spans="1:21" customFormat="1">
      <c r="A38" s="163" t="s">
        <v>2284</v>
      </c>
      <c r="B38" s="100">
        <v>21.25</v>
      </c>
      <c r="C38" s="100">
        <v>23.7</v>
      </c>
      <c r="D38" s="100">
        <v>30.78</v>
      </c>
      <c r="E38" s="100">
        <v>9.73</v>
      </c>
      <c r="F38" s="152" t="s">
        <v>15</v>
      </c>
      <c r="G38" s="100">
        <v>63.78</v>
      </c>
      <c r="H38" s="100">
        <v>16.16</v>
      </c>
      <c r="I38" s="100">
        <v>9.2899999999999991</v>
      </c>
      <c r="J38" s="100">
        <v>0.73</v>
      </c>
      <c r="K38" s="100">
        <v>54.37</v>
      </c>
      <c r="L38" s="100">
        <v>19.149999999999999</v>
      </c>
      <c r="M38" s="100">
        <v>50.31</v>
      </c>
      <c r="N38" s="100">
        <v>26.3</v>
      </c>
      <c r="O38" s="100">
        <v>0</v>
      </c>
      <c r="P38" s="100">
        <v>0.64</v>
      </c>
      <c r="Q38" s="100">
        <v>12.96</v>
      </c>
      <c r="R38" s="6"/>
      <c r="S38" s="6"/>
      <c r="T38" s="156"/>
      <c r="U38" s="6"/>
    </row>
    <row r="39" spans="1:21" customFormat="1">
      <c r="A39" s="163" t="s">
        <v>2285</v>
      </c>
      <c r="B39" s="100">
        <v>21.73</v>
      </c>
      <c r="C39" s="100">
        <v>23.78</v>
      </c>
      <c r="D39" s="100">
        <v>31.2</v>
      </c>
      <c r="E39" s="100">
        <v>9.5</v>
      </c>
      <c r="F39" s="152" t="s">
        <v>15</v>
      </c>
      <c r="G39" s="100">
        <v>66.56</v>
      </c>
      <c r="H39" s="100">
        <v>16.16</v>
      </c>
      <c r="I39" s="100">
        <v>9.43</v>
      </c>
      <c r="J39" s="100">
        <v>0.87</v>
      </c>
      <c r="K39" s="100">
        <v>55.49</v>
      </c>
      <c r="L39" s="100">
        <v>19.559999999999999</v>
      </c>
      <c r="M39" s="100">
        <v>49.5</v>
      </c>
      <c r="N39" s="100">
        <v>33</v>
      </c>
      <c r="O39" s="100">
        <v>0</v>
      </c>
      <c r="P39" s="100">
        <v>0.67</v>
      </c>
      <c r="Q39" s="100">
        <v>12.97</v>
      </c>
      <c r="R39" s="6"/>
      <c r="S39" s="6"/>
      <c r="T39" s="156"/>
      <c r="U39" s="6"/>
    </row>
    <row r="40" spans="1:21" customFormat="1">
      <c r="A40" s="163" t="s">
        <v>2286</v>
      </c>
      <c r="B40" s="100">
        <v>21.88</v>
      </c>
      <c r="C40" s="100">
        <v>24.22</v>
      </c>
      <c r="D40" s="100">
        <v>31.55</v>
      </c>
      <c r="E40" s="100">
        <v>9.81</v>
      </c>
      <c r="F40" s="152" t="s">
        <v>15</v>
      </c>
      <c r="G40" s="100">
        <v>66.56</v>
      </c>
      <c r="H40" s="100">
        <v>16.16</v>
      </c>
      <c r="I40" s="100">
        <v>9.59</v>
      </c>
      <c r="J40" s="100">
        <v>0.9</v>
      </c>
      <c r="K40" s="100">
        <v>61.55</v>
      </c>
      <c r="L40" s="100">
        <v>20.260000000000002</v>
      </c>
      <c r="M40" s="100">
        <v>48.14</v>
      </c>
      <c r="N40" s="100">
        <v>49.9</v>
      </c>
      <c r="O40" s="100">
        <v>0</v>
      </c>
      <c r="P40" s="100">
        <v>0.72</v>
      </c>
      <c r="Q40" s="100">
        <v>12.96</v>
      </c>
      <c r="R40" s="6"/>
      <c r="S40" s="6"/>
      <c r="T40" s="156"/>
      <c r="U40" s="6"/>
    </row>
    <row r="41" spans="1:21" customFormat="1">
      <c r="A41" s="163" t="s">
        <v>2287</v>
      </c>
      <c r="B41" s="100">
        <v>21.07</v>
      </c>
      <c r="C41" s="100">
        <v>25.21</v>
      </c>
      <c r="D41" s="100">
        <v>31.42</v>
      </c>
      <c r="E41" s="100">
        <v>9.67</v>
      </c>
      <c r="F41" s="152" t="s">
        <v>15</v>
      </c>
      <c r="G41" s="100">
        <v>66.56</v>
      </c>
      <c r="H41" s="100">
        <v>16.16</v>
      </c>
      <c r="I41" s="100">
        <v>9.75</v>
      </c>
      <c r="J41" s="100">
        <v>0.75</v>
      </c>
      <c r="K41" s="100">
        <v>62.76</v>
      </c>
      <c r="L41" s="100">
        <v>21.26</v>
      </c>
      <c r="M41" s="100">
        <v>45.14</v>
      </c>
      <c r="N41" s="100">
        <v>129.80000000000001</v>
      </c>
      <c r="O41" s="100">
        <v>0</v>
      </c>
      <c r="P41" s="100">
        <v>0.76</v>
      </c>
      <c r="Q41" s="100">
        <v>12.96</v>
      </c>
      <c r="R41" s="6"/>
      <c r="S41" s="6"/>
      <c r="T41" s="156"/>
      <c r="U41" s="6"/>
    </row>
    <row r="42" spans="1:21" customFormat="1">
      <c r="A42" s="163" t="s">
        <v>2288</v>
      </c>
      <c r="B42" s="100">
        <v>20.32</v>
      </c>
      <c r="C42" s="100">
        <v>25.46</v>
      </c>
      <c r="D42" s="100">
        <v>30.95</v>
      </c>
      <c r="E42" s="100">
        <v>9.8699999999999992</v>
      </c>
      <c r="F42" s="152" t="s">
        <v>15</v>
      </c>
      <c r="G42" s="100">
        <v>70.16</v>
      </c>
      <c r="H42" s="100">
        <v>23.82</v>
      </c>
      <c r="I42" s="100">
        <v>9.89</v>
      </c>
      <c r="J42" s="100">
        <v>0.7</v>
      </c>
      <c r="K42" s="100">
        <v>65.55</v>
      </c>
      <c r="L42" s="100">
        <v>22.77</v>
      </c>
      <c r="M42" s="100">
        <v>40.75</v>
      </c>
      <c r="N42" s="100">
        <v>185.1</v>
      </c>
      <c r="O42" s="100">
        <v>0</v>
      </c>
      <c r="P42" s="100">
        <v>0.78</v>
      </c>
      <c r="Q42" s="100">
        <v>12.94</v>
      </c>
      <c r="R42" s="6"/>
      <c r="S42" s="6"/>
      <c r="T42" s="156"/>
      <c r="U42" s="6"/>
    </row>
    <row r="43" spans="1:21" customFormat="1">
      <c r="A43" s="163" t="s">
        <v>2289</v>
      </c>
      <c r="B43" s="100">
        <v>19.89</v>
      </c>
      <c r="C43" s="100">
        <v>25.82</v>
      </c>
      <c r="D43" s="100">
        <v>30.79</v>
      </c>
      <c r="E43" s="100">
        <v>11.3</v>
      </c>
      <c r="F43" s="152" t="s">
        <v>15</v>
      </c>
      <c r="G43" s="100">
        <v>71.47</v>
      </c>
      <c r="H43" s="100">
        <v>23.94</v>
      </c>
      <c r="I43" s="100">
        <v>9.9700000000000006</v>
      </c>
      <c r="J43" s="100">
        <v>0.92</v>
      </c>
      <c r="K43" s="100">
        <v>62.68</v>
      </c>
      <c r="L43" s="100">
        <v>23.95</v>
      </c>
      <c r="M43" s="100">
        <v>38.22</v>
      </c>
      <c r="N43" s="100">
        <v>242.8</v>
      </c>
      <c r="O43" s="100">
        <v>0</v>
      </c>
      <c r="P43" s="100">
        <v>0.78</v>
      </c>
      <c r="Q43" s="100">
        <v>12.95</v>
      </c>
      <c r="R43" s="6"/>
      <c r="S43" s="6"/>
      <c r="T43" s="156"/>
      <c r="U43" s="6"/>
    </row>
    <row r="44" spans="1:21" customFormat="1">
      <c r="A44" s="163" t="s">
        <v>2290</v>
      </c>
      <c r="B44" s="100">
        <v>19.420000000000002</v>
      </c>
      <c r="C44" s="100">
        <v>26.04</v>
      </c>
      <c r="D44" s="100">
        <v>30.53</v>
      </c>
      <c r="E44" s="100">
        <v>12.13</v>
      </c>
      <c r="F44" s="152" t="s">
        <v>15</v>
      </c>
      <c r="G44" s="100">
        <v>71.47</v>
      </c>
      <c r="H44" s="100">
        <v>23.94</v>
      </c>
      <c r="I44" s="100">
        <v>10.01</v>
      </c>
      <c r="J44" s="100">
        <v>1.22</v>
      </c>
      <c r="K44" s="100">
        <v>52.7</v>
      </c>
      <c r="L44" s="100">
        <v>24.69</v>
      </c>
      <c r="M44" s="100">
        <v>36.42</v>
      </c>
      <c r="N44" s="100">
        <v>254.9</v>
      </c>
      <c r="O44" s="100">
        <v>0</v>
      </c>
      <c r="P44" s="100">
        <v>0.79</v>
      </c>
      <c r="Q44" s="100">
        <v>12.93</v>
      </c>
      <c r="R44" s="6"/>
      <c r="S44" s="6"/>
      <c r="T44" s="156"/>
      <c r="U44" s="6"/>
    </row>
    <row r="45" spans="1:21" customFormat="1">
      <c r="A45" s="163" t="s">
        <v>2291</v>
      </c>
      <c r="B45" s="100">
        <v>19.149999999999999</v>
      </c>
      <c r="C45" s="100">
        <v>26.46</v>
      </c>
      <c r="D45" s="100">
        <v>30.53</v>
      </c>
      <c r="E45" s="100">
        <v>13</v>
      </c>
      <c r="F45" s="152" t="s">
        <v>15</v>
      </c>
      <c r="G45" s="100">
        <v>71.47</v>
      </c>
      <c r="H45" s="100">
        <v>23.94</v>
      </c>
      <c r="I45" s="100">
        <v>10.029999999999999</v>
      </c>
      <c r="J45" s="100">
        <v>0.74</v>
      </c>
      <c r="K45" s="100">
        <v>74.77</v>
      </c>
      <c r="L45" s="100">
        <v>25.7</v>
      </c>
      <c r="M45" s="100">
        <v>33.83</v>
      </c>
      <c r="N45" s="100">
        <v>209.5</v>
      </c>
      <c r="O45" s="100">
        <v>0</v>
      </c>
      <c r="P45" s="100">
        <v>0.8</v>
      </c>
      <c r="Q45" s="100">
        <v>12.92</v>
      </c>
      <c r="R45" s="6"/>
      <c r="S45" s="6"/>
      <c r="T45" s="156"/>
      <c r="U45" s="6"/>
    </row>
    <row r="46" spans="1:21" customFormat="1">
      <c r="A46" s="163" t="s">
        <v>2292</v>
      </c>
      <c r="B46" s="100">
        <v>18.87</v>
      </c>
      <c r="C46" s="100">
        <v>26.53</v>
      </c>
      <c r="D46" s="100">
        <v>30.34</v>
      </c>
      <c r="E46" s="100">
        <v>13.76</v>
      </c>
      <c r="F46" s="152" t="s">
        <v>15</v>
      </c>
      <c r="G46" s="100">
        <v>70.84</v>
      </c>
      <c r="H46" s="100">
        <v>33.630000000000003</v>
      </c>
      <c r="I46" s="100">
        <v>10.08</v>
      </c>
      <c r="J46" s="100">
        <v>1.05</v>
      </c>
      <c r="K46" s="100">
        <v>53.35</v>
      </c>
      <c r="L46" s="100">
        <v>26.55</v>
      </c>
      <c r="M46" s="100">
        <v>32.15</v>
      </c>
      <c r="N46" s="100">
        <v>294</v>
      </c>
      <c r="O46" s="100">
        <v>0</v>
      </c>
      <c r="P46" s="100">
        <v>0.82</v>
      </c>
      <c r="Q46" s="100">
        <v>12.91</v>
      </c>
      <c r="R46" s="6"/>
      <c r="S46" s="6"/>
      <c r="T46" s="156"/>
      <c r="U46" s="6"/>
    </row>
    <row r="47" spans="1:21" customFormat="1">
      <c r="A47" s="163" t="s">
        <v>2293</v>
      </c>
      <c r="B47" s="100">
        <v>18.86</v>
      </c>
      <c r="C47" s="100">
        <v>26.88</v>
      </c>
      <c r="D47" s="100">
        <v>30.52</v>
      </c>
      <c r="E47" s="100">
        <v>13.37</v>
      </c>
      <c r="F47" s="152" t="s">
        <v>15</v>
      </c>
      <c r="G47" s="100">
        <v>70.61</v>
      </c>
      <c r="H47" s="100">
        <v>33.880000000000003</v>
      </c>
      <c r="I47" s="100">
        <v>10.09</v>
      </c>
      <c r="J47" s="100">
        <v>1.1000000000000001</v>
      </c>
      <c r="K47" s="100">
        <v>60</v>
      </c>
      <c r="L47" s="100">
        <v>27.1</v>
      </c>
      <c r="M47" s="100">
        <v>29.6</v>
      </c>
      <c r="N47" s="100">
        <v>304.10000000000002</v>
      </c>
      <c r="O47" s="100">
        <v>0</v>
      </c>
      <c r="P47" s="100">
        <v>0.82</v>
      </c>
      <c r="Q47" s="100">
        <v>12.91</v>
      </c>
      <c r="R47" s="6"/>
      <c r="S47" s="6"/>
      <c r="T47" s="156"/>
      <c r="U47" s="6"/>
    </row>
    <row r="48" spans="1:21" customFormat="1">
      <c r="A48" s="163" t="s">
        <v>2294</v>
      </c>
      <c r="B48" s="100">
        <v>18.72</v>
      </c>
      <c r="C48" s="100">
        <v>27.22</v>
      </c>
      <c r="D48" s="100">
        <v>30.58</v>
      </c>
      <c r="E48" s="100">
        <v>13.98</v>
      </c>
      <c r="F48" s="152" t="s">
        <v>15</v>
      </c>
      <c r="G48" s="100">
        <v>70.61</v>
      </c>
      <c r="H48" s="100">
        <v>33.880000000000003</v>
      </c>
      <c r="I48" s="100">
        <v>4.5599999999999996</v>
      </c>
      <c r="J48" s="100">
        <v>1.18</v>
      </c>
      <c r="K48" s="100">
        <v>57.44</v>
      </c>
      <c r="L48" s="100">
        <v>27.87</v>
      </c>
      <c r="M48" s="100">
        <v>26.66</v>
      </c>
      <c r="N48" s="100">
        <v>315.8</v>
      </c>
      <c r="O48" s="100">
        <v>0</v>
      </c>
      <c r="P48" s="100">
        <v>0.83</v>
      </c>
      <c r="Q48" s="100">
        <v>12.93</v>
      </c>
      <c r="R48" s="6"/>
      <c r="S48" s="6"/>
      <c r="T48" s="156"/>
      <c r="U48" s="6"/>
    </row>
    <row r="49" spans="1:21" customFormat="1">
      <c r="A49" s="163" t="s">
        <v>2295</v>
      </c>
      <c r="B49" s="100">
        <v>18.39</v>
      </c>
      <c r="C49" s="100">
        <v>27.64</v>
      </c>
      <c r="D49" s="100">
        <v>30.54</v>
      </c>
      <c r="E49" s="100">
        <v>13.1</v>
      </c>
      <c r="F49" s="152" t="s">
        <v>15</v>
      </c>
      <c r="G49" s="100">
        <v>70.61</v>
      </c>
      <c r="H49" s="100">
        <v>33.880000000000003</v>
      </c>
      <c r="I49" s="100">
        <v>4.5599999999999996</v>
      </c>
      <c r="J49" s="100">
        <v>0.96</v>
      </c>
      <c r="K49" s="100">
        <v>65.900000000000006</v>
      </c>
      <c r="L49" s="100">
        <v>28.34</v>
      </c>
      <c r="M49" s="100">
        <v>25.55</v>
      </c>
      <c r="N49" s="100">
        <v>256.2</v>
      </c>
      <c r="O49" s="100">
        <v>0</v>
      </c>
      <c r="P49" s="100">
        <v>0.84</v>
      </c>
      <c r="Q49" s="100">
        <v>12.93</v>
      </c>
      <c r="R49" s="6"/>
      <c r="S49" s="6"/>
      <c r="T49" s="156"/>
      <c r="U49" s="6"/>
    </row>
    <row r="50" spans="1:21" customFormat="1">
      <c r="A50" s="163" t="s">
        <v>2296</v>
      </c>
      <c r="B50" s="100">
        <v>18.12</v>
      </c>
      <c r="C50" s="100">
        <v>27.91</v>
      </c>
      <c r="D50" s="100">
        <v>30.46</v>
      </c>
      <c r="E50" s="100">
        <v>18.579999999999998</v>
      </c>
      <c r="F50" s="152" t="s">
        <v>15</v>
      </c>
      <c r="G50" s="100">
        <v>61.12</v>
      </c>
      <c r="H50" s="100">
        <v>38.36</v>
      </c>
      <c r="I50" s="100">
        <v>4.5599999999999996</v>
      </c>
      <c r="J50" s="100">
        <v>0.67</v>
      </c>
      <c r="K50" s="100">
        <v>79.900000000000006</v>
      </c>
      <c r="L50" s="100">
        <v>29.18</v>
      </c>
      <c r="M50" s="100">
        <v>24.61</v>
      </c>
      <c r="N50" s="100">
        <v>277.7</v>
      </c>
      <c r="O50" s="100">
        <v>0</v>
      </c>
      <c r="P50" s="100">
        <v>0.84</v>
      </c>
      <c r="Q50" s="100">
        <v>12.94</v>
      </c>
      <c r="R50" s="6"/>
      <c r="S50" s="6"/>
      <c r="T50" s="156"/>
      <c r="U50" s="6"/>
    </row>
    <row r="51" spans="1:21" customFormat="1">
      <c r="A51" s="163" t="s">
        <v>2297</v>
      </c>
      <c r="B51" s="100">
        <v>17.91</v>
      </c>
      <c r="C51" s="100">
        <v>28.05</v>
      </c>
      <c r="D51" s="100">
        <v>30.37</v>
      </c>
      <c r="E51" s="100">
        <v>19.29</v>
      </c>
      <c r="F51" s="152" t="s">
        <v>15</v>
      </c>
      <c r="G51" s="100">
        <v>57.67</v>
      </c>
      <c r="H51" s="100">
        <v>38.43</v>
      </c>
      <c r="I51" s="100">
        <v>4.5599999999999996</v>
      </c>
      <c r="J51" s="100">
        <v>0.65</v>
      </c>
      <c r="K51" s="100">
        <v>93.5</v>
      </c>
      <c r="L51" s="100">
        <v>29.88</v>
      </c>
      <c r="M51" s="100">
        <v>23.76</v>
      </c>
      <c r="N51" s="100">
        <v>340.6</v>
      </c>
      <c r="O51" s="100">
        <v>0</v>
      </c>
      <c r="P51" s="100">
        <v>0.86</v>
      </c>
      <c r="Q51" s="100">
        <v>12.94</v>
      </c>
      <c r="R51" s="6"/>
      <c r="S51" s="6"/>
      <c r="T51" s="156"/>
      <c r="U51" s="6"/>
    </row>
    <row r="52" spans="1:21" customFormat="1">
      <c r="A52" s="163" t="s">
        <v>2298</v>
      </c>
      <c r="B52" s="100">
        <v>17.670000000000002</v>
      </c>
      <c r="C52" s="100">
        <v>28.38</v>
      </c>
      <c r="D52" s="100">
        <v>30.35</v>
      </c>
      <c r="E52" s="100">
        <v>20.190000000000001</v>
      </c>
      <c r="F52" s="152" t="s">
        <v>15</v>
      </c>
      <c r="G52" s="100">
        <v>57.67</v>
      </c>
      <c r="H52" s="100">
        <v>38.43</v>
      </c>
      <c r="I52" s="100">
        <v>4.5599999999999996</v>
      </c>
      <c r="J52" s="100">
        <v>0.65</v>
      </c>
      <c r="K52" s="100">
        <v>0.08</v>
      </c>
      <c r="L52" s="100">
        <v>30.09</v>
      </c>
      <c r="M52" s="100">
        <v>23.08</v>
      </c>
      <c r="N52" s="100">
        <v>349.7</v>
      </c>
      <c r="O52" s="100">
        <v>0</v>
      </c>
      <c r="P52" s="100">
        <v>0.85</v>
      </c>
      <c r="Q52" s="100">
        <v>12.94</v>
      </c>
      <c r="R52" s="6"/>
      <c r="S52" s="6"/>
      <c r="T52" s="156"/>
      <c r="U52" s="6"/>
    </row>
    <row r="53" spans="1:21" customFormat="1">
      <c r="A53" s="163" t="s">
        <v>2299</v>
      </c>
      <c r="B53" s="133" t="s">
        <v>4</v>
      </c>
      <c r="C53" s="133" t="s">
        <v>4</v>
      </c>
      <c r="D53" s="133" t="s">
        <v>4</v>
      </c>
      <c r="E53" s="133" t="s">
        <v>4</v>
      </c>
      <c r="F53" s="152" t="s">
        <v>15</v>
      </c>
      <c r="G53" s="133" t="s">
        <v>4</v>
      </c>
      <c r="H53" s="133" t="s">
        <v>4</v>
      </c>
      <c r="I53" s="133" t="s">
        <v>4</v>
      </c>
      <c r="J53" s="133" t="s">
        <v>4</v>
      </c>
      <c r="K53" s="133" t="s">
        <v>4</v>
      </c>
      <c r="L53" s="133" t="s">
        <v>4</v>
      </c>
      <c r="M53" s="133" t="s">
        <v>4</v>
      </c>
      <c r="N53" s="133" t="s">
        <v>4</v>
      </c>
      <c r="O53" s="133" t="s">
        <v>4</v>
      </c>
      <c r="P53" s="133" t="s">
        <v>4</v>
      </c>
      <c r="Q53" s="133" t="s">
        <v>4</v>
      </c>
      <c r="R53" s="6"/>
      <c r="S53" s="6"/>
      <c r="T53" s="156"/>
      <c r="U53" s="6"/>
    </row>
    <row r="54" spans="1:21" customFormat="1">
      <c r="A54" s="163" t="s">
        <v>2300</v>
      </c>
      <c r="B54" s="133" t="s">
        <v>4</v>
      </c>
      <c r="C54" s="133" t="s">
        <v>4</v>
      </c>
      <c r="D54" s="133" t="s">
        <v>4</v>
      </c>
      <c r="E54" s="133" t="s">
        <v>4</v>
      </c>
      <c r="F54" s="152" t="s">
        <v>15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  <c r="R54" s="6"/>
      <c r="S54" s="6"/>
      <c r="T54" s="156"/>
      <c r="U54" s="6"/>
    </row>
    <row r="55" spans="1:21" customFormat="1">
      <c r="A55" s="163" t="s">
        <v>2301</v>
      </c>
      <c r="B55" s="133" t="s">
        <v>4</v>
      </c>
      <c r="C55" s="133" t="s">
        <v>4</v>
      </c>
      <c r="D55" s="133" t="s">
        <v>4</v>
      </c>
      <c r="E55" s="133" t="s">
        <v>4</v>
      </c>
      <c r="F55" s="152" t="s">
        <v>15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  <c r="R55" s="6"/>
      <c r="S55" s="6"/>
      <c r="T55" s="156"/>
      <c r="U55" s="6"/>
    </row>
    <row r="56" spans="1:21" customFormat="1">
      <c r="A56" s="163" t="s">
        <v>2302</v>
      </c>
      <c r="B56" s="147" t="s">
        <v>14</v>
      </c>
      <c r="C56" s="147" t="s">
        <v>14</v>
      </c>
      <c r="D56" s="147" t="s">
        <v>14</v>
      </c>
      <c r="E56" s="147" t="s">
        <v>14</v>
      </c>
      <c r="F56" s="152" t="s">
        <v>15</v>
      </c>
      <c r="G56" s="100">
        <v>56.98</v>
      </c>
      <c r="H56" s="100">
        <v>40.96</v>
      </c>
      <c r="I56" s="147" t="s">
        <v>14</v>
      </c>
      <c r="J56" s="100">
        <v>0.38</v>
      </c>
      <c r="K56" s="100">
        <v>141.26</v>
      </c>
      <c r="L56" s="100">
        <v>32.299999999999997</v>
      </c>
      <c r="M56" s="100">
        <v>19.87</v>
      </c>
      <c r="N56" s="100">
        <v>371.7</v>
      </c>
      <c r="O56" s="100">
        <v>0</v>
      </c>
      <c r="P56" s="100">
        <v>0.51</v>
      </c>
      <c r="Q56" s="147" t="s">
        <v>14</v>
      </c>
      <c r="R56" s="6"/>
      <c r="S56" s="6"/>
      <c r="T56" s="156"/>
      <c r="U56" s="6"/>
    </row>
    <row r="57" spans="1:21" customFormat="1">
      <c r="A57" s="163" t="s">
        <v>2303</v>
      </c>
      <c r="B57" s="100">
        <v>1.64</v>
      </c>
      <c r="C57" s="100">
        <v>5.61</v>
      </c>
      <c r="D57" s="100">
        <v>4.62</v>
      </c>
      <c r="E57" s="100">
        <v>11.26</v>
      </c>
      <c r="F57" s="152" t="s">
        <v>15</v>
      </c>
      <c r="G57" s="100">
        <v>55.07</v>
      </c>
      <c r="H57" s="100">
        <v>42.08</v>
      </c>
      <c r="I57" s="147" t="s">
        <v>14</v>
      </c>
      <c r="J57" s="100">
        <v>0.09</v>
      </c>
      <c r="K57" s="100">
        <v>141.26</v>
      </c>
      <c r="L57" s="100">
        <v>32.369999999999997</v>
      </c>
      <c r="M57" s="100">
        <v>18.239999999999998</v>
      </c>
      <c r="N57" s="100">
        <v>381</v>
      </c>
      <c r="O57" s="100">
        <v>0</v>
      </c>
      <c r="P57" s="100">
        <v>0.64</v>
      </c>
      <c r="Q57" s="147" t="s">
        <v>14</v>
      </c>
      <c r="R57" s="6"/>
      <c r="S57" s="6"/>
      <c r="T57" s="156"/>
      <c r="U57" s="6"/>
    </row>
    <row r="58" spans="1:21" customFormat="1">
      <c r="A58" s="163" t="s">
        <v>2304</v>
      </c>
      <c r="B58" s="133" t="s">
        <v>4</v>
      </c>
      <c r="C58" s="133" t="s">
        <v>4</v>
      </c>
      <c r="D58" s="133" t="s">
        <v>4</v>
      </c>
      <c r="E58" s="133" t="s">
        <v>4</v>
      </c>
      <c r="F58" s="152" t="s">
        <v>15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  <c r="R58" s="6"/>
      <c r="S58" s="6"/>
      <c r="T58" s="156"/>
      <c r="U58" s="6"/>
    </row>
    <row r="59" spans="1:21" customFormat="1">
      <c r="A59" s="163" t="s">
        <v>2305</v>
      </c>
      <c r="B59" s="147" t="s">
        <v>14</v>
      </c>
      <c r="C59" s="147" t="s">
        <v>14</v>
      </c>
      <c r="D59" s="147" t="s">
        <v>14</v>
      </c>
      <c r="E59" s="100">
        <v>13.26</v>
      </c>
      <c r="F59" s="152" t="s">
        <v>15</v>
      </c>
      <c r="G59" s="100">
        <v>59.6</v>
      </c>
      <c r="H59" s="100">
        <v>69.12</v>
      </c>
      <c r="I59" s="147" t="s">
        <v>14</v>
      </c>
      <c r="J59" s="100">
        <v>0.63</v>
      </c>
      <c r="K59" s="100">
        <v>77.39</v>
      </c>
      <c r="L59" s="100">
        <v>32.380000000000003</v>
      </c>
      <c r="M59" s="100">
        <v>17.190000000000001</v>
      </c>
      <c r="N59" s="100">
        <v>379.6</v>
      </c>
      <c r="O59" s="100">
        <v>0</v>
      </c>
      <c r="P59" s="100">
        <v>0.3</v>
      </c>
      <c r="Q59" s="147" t="s">
        <v>14</v>
      </c>
      <c r="R59" s="6"/>
      <c r="S59" s="6"/>
      <c r="T59" s="156"/>
      <c r="U59" s="6"/>
    </row>
    <row r="60" spans="1:21" customFormat="1">
      <c r="A60" s="163" t="s">
        <v>2306</v>
      </c>
      <c r="B60" s="147" t="s">
        <v>14</v>
      </c>
      <c r="C60" s="147" t="s">
        <v>14</v>
      </c>
      <c r="D60" s="147" t="s">
        <v>14</v>
      </c>
      <c r="E60" s="100">
        <v>39.770000000000003</v>
      </c>
      <c r="F60" s="152" t="s">
        <v>15</v>
      </c>
      <c r="G60" s="100">
        <v>59.6</v>
      </c>
      <c r="H60" s="100">
        <v>69.12</v>
      </c>
      <c r="I60" s="147" t="s">
        <v>14</v>
      </c>
      <c r="J60" s="100">
        <v>0.63</v>
      </c>
      <c r="K60" s="100">
        <v>77.39</v>
      </c>
      <c r="L60" s="100">
        <v>32.79</v>
      </c>
      <c r="M60" s="100">
        <v>17.04</v>
      </c>
      <c r="N60" s="100">
        <v>381.1</v>
      </c>
      <c r="O60" s="100">
        <v>0</v>
      </c>
      <c r="P60" s="100">
        <v>0.37</v>
      </c>
      <c r="Q60" s="147" t="s">
        <v>14</v>
      </c>
      <c r="R60" s="6"/>
      <c r="S60" s="6"/>
      <c r="T60" s="156"/>
      <c r="U60" s="6"/>
    </row>
    <row r="61" spans="1:21" customFormat="1">
      <c r="A61" s="163" t="s">
        <v>2307</v>
      </c>
      <c r="B61" s="133" t="s">
        <v>4</v>
      </c>
      <c r="C61" s="133" t="s">
        <v>4</v>
      </c>
      <c r="D61" s="133" t="s">
        <v>4</v>
      </c>
      <c r="E61" s="133" t="s">
        <v>4</v>
      </c>
      <c r="F61" s="152" t="s">
        <v>15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  <c r="R61" s="6"/>
      <c r="S61" s="6"/>
      <c r="T61" s="156"/>
      <c r="U61" s="6"/>
    </row>
    <row r="62" spans="1:21" customFormat="1">
      <c r="A62" s="163" t="s">
        <v>2308</v>
      </c>
      <c r="B62" s="133" t="s">
        <v>4</v>
      </c>
      <c r="C62" s="133" t="s">
        <v>4</v>
      </c>
      <c r="D62" s="133" t="s">
        <v>4</v>
      </c>
      <c r="E62" s="133" t="s">
        <v>4</v>
      </c>
      <c r="F62" s="152" t="s">
        <v>15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  <c r="R62" s="6"/>
      <c r="S62" s="6"/>
      <c r="T62" s="156"/>
      <c r="U62" s="6"/>
    </row>
    <row r="63" spans="1:21" customFormat="1">
      <c r="A63" s="163" t="s">
        <v>2309</v>
      </c>
      <c r="B63" s="147" t="s">
        <v>14</v>
      </c>
      <c r="C63" s="147" t="s">
        <v>14</v>
      </c>
      <c r="D63" s="147" t="s">
        <v>14</v>
      </c>
      <c r="E63" s="147" t="s">
        <v>14</v>
      </c>
      <c r="F63" s="152" t="s">
        <v>15</v>
      </c>
      <c r="G63" s="100">
        <v>59.6</v>
      </c>
      <c r="H63" s="100">
        <v>69.12</v>
      </c>
      <c r="I63" s="147" t="s">
        <v>14</v>
      </c>
      <c r="J63" s="100">
        <v>1.18</v>
      </c>
      <c r="K63" s="100">
        <v>0.56000000000000005</v>
      </c>
      <c r="L63" s="100">
        <v>33.29</v>
      </c>
      <c r="M63" s="100">
        <v>15.39</v>
      </c>
      <c r="N63" s="100">
        <v>365.4</v>
      </c>
      <c r="O63" s="100">
        <v>0</v>
      </c>
      <c r="P63" s="100">
        <v>0.08</v>
      </c>
      <c r="Q63" s="147" t="s">
        <v>14</v>
      </c>
      <c r="R63" s="6"/>
      <c r="S63" s="6"/>
      <c r="T63" s="156"/>
      <c r="U63" s="6"/>
    </row>
    <row r="64" spans="1:21" customFormat="1">
      <c r="A64" s="163" t="s">
        <v>2310</v>
      </c>
      <c r="B64" s="147" t="s">
        <v>14</v>
      </c>
      <c r="C64" s="147" t="s">
        <v>14</v>
      </c>
      <c r="D64" s="147" t="s">
        <v>14</v>
      </c>
      <c r="E64" s="147" t="s">
        <v>14</v>
      </c>
      <c r="F64" s="152" t="s">
        <v>15</v>
      </c>
      <c r="G64" s="100">
        <v>54.74</v>
      </c>
      <c r="H64" s="100">
        <v>57.95</v>
      </c>
      <c r="I64" s="147" t="s">
        <v>14</v>
      </c>
      <c r="J64" s="100">
        <v>0.01</v>
      </c>
      <c r="K64" s="100">
        <v>-0.44</v>
      </c>
      <c r="L64" s="100">
        <v>33.369999999999997</v>
      </c>
      <c r="M64" s="100">
        <v>15.78</v>
      </c>
      <c r="N64" s="100">
        <v>362.2</v>
      </c>
      <c r="O64" s="100">
        <v>0</v>
      </c>
      <c r="P64" s="100">
        <v>0.21</v>
      </c>
      <c r="Q64" s="147" t="s">
        <v>14</v>
      </c>
      <c r="R64" s="6"/>
      <c r="S64" s="6"/>
      <c r="T64" s="156"/>
      <c r="U64" s="6"/>
    </row>
    <row r="65" spans="1:21" customFormat="1">
      <c r="A65" s="163" t="s">
        <v>2311</v>
      </c>
      <c r="B65" s="133" t="s">
        <v>4</v>
      </c>
      <c r="C65" s="133" t="s">
        <v>4</v>
      </c>
      <c r="D65" s="133" t="s">
        <v>4</v>
      </c>
      <c r="E65" s="133" t="s">
        <v>4</v>
      </c>
      <c r="F65" s="152" t="s">
        <v>15</v>
      </c>
      <c r="G65" s="133" t="s">
        <v>4</v>
      </c>
      <c r="H65" s="133" t="s">
        <v>4</v>
      </c>
      <c r="I65" s="133" t="s">
        <v>4</v>
      </c>
      <c r="J65" s="133" t="s">
        <v>4</v>
      </c>
      <c r="K65" s="133" t="s">
        <v>4</v>
      </c>
      <c r="L65" s="133" t="s">
        <v>4</v>
      </c>
      <c r="M65" s="133" t="s">
        <v>4</v>
      </c>
      <c r="N65" s="133" t="s">
        <v>4</v>
      </c>
      <c r="O65" s="133" t="s">
        <v>4</v>
      </c>
      <c r="P65" s="133" t="s">
        <v>4</v>
      </c>
      <c r="Q65" s="133" t="s">
        <v>4</v>
      </c>
      <c r="R65" s="6"/>
      <c r="S65" s="6"/>
      <c r="T65" s="156"/>
      <c r="U65" s="6"/>
    </row>
    <row r="66" spans="1:21" customFormat="1">
      <c r="A66" s="163" t="s">
        <v>2312</v>
      </c>
      <c r="B66" s="133" t="s">
        <v>4</v>
      </c>
      <c r="C66" s="133" t="s">
        <v>4</v>
      </c>
      <c r="D66" s="133" t="s">
        <v>4</v>
      </c>
      <c r="E66" s="133" t="s">
        <v>4</v>
      </c>
      <c r="F66" s="152" t="s">
        <v>15</v>
      </c>
      <c r="G66" s="133" t="s">
        <v>4</v>
      </c>
      <c r="H66" s="133" t="s">
        <v>4</v>
      </c>
      <c r="I66" s="133" t="s">
        <v>4</v>
      </c>
      <c r="J66" s="133" t="s">
        <v>4</v>
      </c>
      <c r="K66" s="133" t="s">
        <v>4</v>
      </c>
      <c r="L66" s="133" t="s">
        <v>4</v>
      </c>
      <c r="M66" s="133" t="s">
        <v>4</v>
      </c>
      <c r="N66" s="133" t="s">
        <v>4</v>
      </c>
      <c r="O66" s="133" t="s">
        <v>4</v>
      </c>
      <c r="P66" s="133" t="s">
        <v>4</v>
      </c>
      <c r="Q66" s="133" t="s">
        <v>4</v>
      </c>
      <c r="R66" s="6"/>
      <c r="S66" s="6"/>
      <c r="T66" s="156"/>
      <c r="U66" s="6"/>
    </row>
    <row r="67" spans="1:21" customFormat="1">
      <c r="A67" s="163" t="s">
        <v>2313</v>
      </c>
      <c r="B67" s="133" t="s">
        <v>4</v>
      </c>
      <c r="C67" s="133" t="s">
        <v>4</v>
      </c>
      <c r="D67" s="133" t="s">
        <v>4</v>
      </c>
      <c r="E67" s="133" t="s">
        <v>4</v>
      </c>
      <c r="F67" s="152" t="s">
        <v>15</v>
      </c>
      <c r="G67" s="133" t="s">
        <v>4</v>
      </c>
      <c r="H67" s="133" t="s">
        <v>4</v>
      </c>
      <c r="I67" s="133" t="s">
        <v>4</v>
      </c>
      <c r="J67" s="133" t="s">
        <v>4</v>
      </c>
      <c r="K67" s="133" t="s">
        <v>4</v>
      </c>
      <c r="L67" s="133" t="s">
        <v>4</v>
      </c>
      <c r="M67" s="133" t="s">
        <v>4</v>
      </c>
      <c r="N67" s="133" t="s">
        <v>4</v>
      </c>
      <c r="O67" s="133" t="s">
        <v>4</v>
      </c>
      <c r="P67" s="133" t="s">
        <v>4</v>
      </c>
      <c r="Q67" s="133" t="s">
        <v>4</v>
      </c>
      <c r="R67" s="6"/>
      <c r="S67" s="6"/>
      <c r="T67" s="156"/>
      <c r="U67" s="6"/>
    </row>
    <row r="68" spans="1:21" customFormat="1">
      <c r="A68" s="163" t="s">
        <v>2314</v>
      </c>
      <c r="B68" s="133" t="s">
        <v>4</v>
      </c>
      <c r="C68" s="133" t="s">
        <v>4</v>
      </c>
      <c r="D68" s="133" t="s">
        <v>4</v>
      </c>
      <c r="E68" s="133" t="s">
        <v>4</v>
      </c>
      <c r="F68" s="152" t="s">
        <v>15</v>
      </c>
      <c r="G68" s="133" t="s">
        <v>4</v>
      </c>
      <c r="H68" s="133" t="s">
        <v>4</v>
      </c>
      <c r="I68" s="133" t="s">
        <v>4</v>
      </c>
      <c r="J68" s="133" t="s">
        <v>4</v>
      </c>
      <c r="K68" s="133" t="s">
        <v>4</v>
      </c>
      <c r="L68" s="133" t="s">
        <v>4</v>
      </c>
      <c r="M68" s="133" t="s">
        <v>4</v>
      </c>
      <c r="N68" s="133" t="s">
        <v>4</v>
      </c>
      <c r="O68" s="133" t="s">
        <v>4</v>
      </c>
      <c r="P68" s="133" t="s">
        <v>4</v>
      </c>
      <c r="Q68" s="133" t="s">
        <v>4</v>
      </c>
      <c r="R68" s="6"/>
      <c r="S68" s="6"/>
      <c r="T68" s="156"/>
      <c r="U68" s="6"/>
    </row>
    <row r="69" spans="1:21" customFormat="1">
      <c r="A69" s="163" t="s">
        <v>2315</v>
      </c>
      <c r="B69" s="133" t="s">
        <v>4</v>
      </c>
      <c r="C69" s="133" t="s">
        <v>4</v>
      </c>
      <c r="D69" s="133" t="s">
        <v>4</v>
      </c>
      <c r="E69" s="133" t="s">
        <v>4</v>
      </c>
      <c r="F69" s="152" t="s">
        <v>15</v>
      </c>
      <c r="G69" s="133" t="s">
        <v>4</v>
      </c>
      <c r="H69" s="133" t="s">
        <v>4</v>
      </c>
      <c r="I69" s="133" t="s">
        <v>4</v>
      </c>
      <c r="J69" s="133" t="s">
        <v>4</v>
      </c>
      <c r="K69" s="133" t="s">
        <v>4</v>
      </c>
      <c r="L69" s="133" t="s">
        <v>4</v>
      </c>
      <c r="M69" s="133" t="s">
        <v>4</v>
      </c>
      <c r="N69" s="133" t="s">
        <v>4</v>
      </c>
      <c r="O69" s="133" t="s">
        <v>4</v>
      </c>
      <c r="P69" s="133" t="s">
        <v>4</v>
      </c>
      <c r="Q69" s="133" t="s">
        <v>4</v>
      </c>
      <c r="R69" s="6"/>
      <c r="S69" s="6"/>
      <c r="T69" s="156"/>
      <c r="U69" s="6"/>
    </row>
    <row r="70" spans="1:21" customFormat="1">
      <c r="A70" s="163" t="s">
        <v>2316</v>
      </c>
      <c r="B70" s="133" t="s">
        <v>4</v>
      </c>
      <c r="C70" s="133" t="s">
        <v>4</v>
      </c>
      <c r="D70" s="133" t="s">
        <v>4</v>
      </c>
      <c r="E70" s="133" t="s">
        <v>4</v>
      </c>
      <c r="F70" s="152" t="s">
        <v>15</v>
      </c>
      <c r="G70" s="133" t="s">
        <v>4</v>
      </c>
      <c r="H70" s="133" t="s">
        <v>4</v>
      </c>
      <c r="I70" s="133" t="s">
        <v>4</v>
      </c>
      <c r="J70" s="133" t="s">
        <v>4</v>
      </c>
      <c r="K70" s="133" t="s">
        <v>4</v>
      </c>
      <c r="L70" s="133" t="s">
        <v>4</v>
      </c>
      <c r="M70" s="133" t="s">
        <v>4</v>
      </c>
      <c r="N70" s="133" t="s">
        <v>4</v>
      </c>
      <c r="O70" s="133" t="s">
        <v>4</v>
      </c>
      <c r="P70" s="133" t="s">
        <v>4</v>
      </c>
      <c r="Q70" s="133" t="s">
        <v>4</v>
      </c>
      <c r="R70" s="6"/>
      <c r="S70" s="6"/>
      <c r="T70" s="156"/>
      <c r="U70" s="6"/>
    </row>
    <row r="71" spans="1:21" customFormat="1">
      <c r="A71" s="163" t="s">
        <v>2317</v>
      </c>
      <c r="B71" s="133" t="s">
        <v>4</v>
      </c>
      <c r="C71" s="133" t="s">
        <v>4</v>
      </c>
      <c r="D71" s="133" t="s">
        <v>4</v>
      </c>
      <c r="E71" s="133" t="s">
        <v>4</v>
      </c>
      <c r="F71" s="152" t="s">
        <v>15</v>
      </c>
      <c r="G71" s="133" t="s">
        <v>4</v>
      </c>
      <c r="H71" s="133" t="s">
        <v>4</v>
      </c>
      <c r="I71" s="133" t="s">
        <v>4</v>
      </c>
      <c r="J71" s="133" t="s">
        <v>4</v>
      </c>
      <c r="K71" s="133" t="s">
        <v>4</v>
      </c>
      <c r="L71" s="133" t="s">
        <v>4</v>
      </c>
      <c r="M71" s="133" t="s">
        <v>4</v>
      </c>
      <c r="N71" s="133" t="s">
        <v>4</v>
      </c>
      <c r="O71" s="133" t="s">
        <v>4</v>
      </c>
      <c r="P71" s="133" t="s">
        <v>4</v>
      </c>
      <c r="Q71" s="133" t="s">
        <v>4</v>
      </c>
      <c r="R71" s="6"/>
      <c r="S71" s="6"/>
      <c r="T71" s="156"/>
      <c r="U71" s="6"/>
    </row>
    <row r="72" spans="1:21" customFormat="1">
      <c r="A72" s="163" t="s">
        <v>2318</v>
      </c>
      <c r="B72" s="133" t="s">
        <v>4</v>
      </c>
      <c r="C72" s="133" t="s">
        <v>4</v>
      </c>
      <c r="D72" s="133" t="s">
        <v>4</v>
      </c>
      <c r="E72" s="133" t="s">
        <v>4</v>
      </c>
      <c r="F72" s="152" t="s">
        <v>15</v>
      </c>
      <c r="G72" s="133" t="s">
        <v>4</v>
      </c>
      <c r="H72" s="133" t="s">
        <v>4</v>
      </c>
      <c r="I72" s="133" t="s">
        <v>4</v>
      </c>
      <c r="J72" s="133" t="s">
        <v>4</v>
      </c>
      <c r="K72" s="133" t="s">
        <v>4</v>
      </c>
      <c r="L72" s="133" t="s">
        <v>4</v>
      </c>
      <c r="M72" s="133" t="s">
        <v>4</v>
      </c>
      <c r="N72" s="133" t="s">
        <v>4</v>
      </c>
      <c r="O72" s="133" t="s">
        <v>4</v>
      </c>
      <c r="P72" s="133" t="s">
        <v>4</v>
      </c>
      <c r="Q72" s="133" t="s">
        <v>4</v>
      </c>
      <c r="R72" s="6"/>
      <c r="S72" s="6"/>
      <c r="T72" s="156"/>
      <c r="U72" s="6"/>
    </row>
    <row r="73" spans="1:21" customFormat="1">
      <c r="A73" s="163" t="s">
        <v>2319</v>
      </c>
      <c r="B73" s="133" t="s">
        <v>4</v>
      </c>
      <c r="C73" s="133" t="s">
        <v>4</v>
      </c>
      <c r="D73" s="133" t="s">
        <v>4</v>
      </c>
      <c r="E73" s="133" t="s">
        <v>4</v>
      </c>
      <c r="F73" s="152" t="s">
        <v>15</v>
      </c>
      <c r="G73" s="133" t="s">
        <v>4</v>
      </c>
      <c r="H73" s="133" t="s">
        <v>4</v>
      </c>
      <c r="I73" s="133" t="s">
        <v>4</v>
      </c>
      <c r="J73" s="133" t="s">
        <v>4</v>
      </c>
      <c r="K73" s="133" t="s">
        <v>4</v>
      </c>
      <c r="L73" s="133" t="s">
        <v>4</v>
      </c>
      <c r="M73" s="133" t="s">
        <v>4</v>
      </c>
      <c r="N73" s="133" t="s">
        <v>4</v>
      </c>
      <c r="O73" s="133" t="s">
        <v>4</v>
      </c>
      <c r="P73" s="133" t="s">
        <v>4</v>
      </c>
      <c r="Q73" s="133" t="s">
        <v>4</v>
      </c>
      <c r="R73" s="6"/>
      <c r="S73" s="6"/>
      <c r="T73" s="156"/>
      <c r="U73" s="6"/>
    </row>
    <row r="74" spans="1:21" customFormat="1">
      <c r="A74" s="163" t="s">
        <v>2320</v>
      </c>
      <c r="B74" s="133" t="s">
        <v>4</v>
      </c>
      <c r="C74" s="133" t="s">
        <v>4</v>
      </c>
      <c r="D74" s="133" t="s">
        <v>4</v>
      </c>
      <c r="E74" s="133" t="s">
        <v>4</v>
      </c>
      <c r="F74" s="152" t="s">
        <v>15</v>
      </c>
      <c r="G74" s="133" t="s">
        <v>4</v>
      </c>
      <c r="H74" s="133" t="s">
        <v>4</v>
      </c>
      <c r="I74" s="133" t="s">
        <v>4</v>
      </c>
      <c r="J74" s="133" t="s">
        <v>4</v>
      </c>
      <c r="K74" s="133" t="s">
        <v>4</v>
      </c>
      <c r="L74" s="133" t="s">
        <v>4</v>
      </c>
      <c r="M74" s="133" t="s">
        <v>4</v>
      </c>
      <c r="N74" s="133" t="s">
        <v>4</v>
      </c>
      <c r="O74" s="133" t="s">
        <v>4</v>
      </c>
      <c r="P74" s="133" t="s">
        <v>4</v>
      </c>
      <c r="Q74" s="133" t="s">
        <v>4</v>
      </c>
      <c r="R74" s="6"/>
      <c r="S74" s="6"/>
      <c r="T74" s="156"/>
      <c r="U74" s="6"/>
    </row>
    <row r="75" spans="1:21" customFormat="1">
      <c r="A75" s="163" t="s">
        <v>2321</v>
      </c>
      <c r="B75" s="147" t="s">
        <v>14</v>
      </c>
      <c r="C75" s="147" t="s">
        <v>14</v>
      </c>
      <c r="D75" s="147" t="s">
        <v>14</v>
      </c>
      <c r="E75" s="147" t="s">
        <v>14</v>
      </c>
      <c r="F75" s="152" t="s">
        <v>15</v>
      </c>
      <c r="G75" s="100">
        <v>51.09</v>
      </c>
      <c r="H75" s="100">
        <v>56.5</v>
      </c>
      <c r="I75" s="147" t="s">
        <v>14</v>
      </c>
      <c r="J75" s="100">
        <v>1.02</v>
      </c>
      <c r="K75" s="100">
        <v>24.37</v>
      </c>
      <c r="L75" s="100">
        <v>30.78</v>
      </c>
      <c r="M75" s="100">
        <v>19.88</v>
      </c>
      <c r="N75" s="100">
        <v>33.6</v>
      </c>
      <c r="O75" s="100">
        <v>0</v>
      </c>
      <c r="P75" s="100">
        <v>0.11</v>
      </c>
      <c r="Q75" s="147" t="s">
        <v>14</v>
      </c>
      <c r="R75" s="6"/>
      <c r="S75" s="6"/>
      <c r="T75" s="156"/>
      <c r="U75" s="6"/>
    </row>
    <row r="76" spans="1:21" customFormat="1">
      <c r="A76" s="163" t="s">
        <v>2322</v>
      </c>
      <c r="B76" s="147" t="s">
        <v>14</v>
      </c>
      <c r="C76" s="147" t="s">
        <v>14</v>
      </c>
      <c r="D76" s="147" t="s">
        <v>14</v>
      </c>
      <c r="E76" s="100">
        <v>13.53</v>
      </c>
      <c r="F76" s="152" t="s">
        <v>15</v>
      </c>
      <c r="G76" s="100">
        <v>45.34</v>
      </c>
      <c r="H76" s="100">
        <v>31.64</v>
      </c>
      <c r="I76" s="147" t="s">
        <v>14</v>
      </c>
      <c r="J76" s="100">
        <v>0.74</v>
      </c>
      <c r="K76" s="100">
        <v>359.55</v>
      </c>
      <c r="L76" s="100">
        <v>30.65</v>
      </c>
      <c r="M76" s="100">
        <v>20.34</v>
      </c>
      <c r="N76" s="100">
        <v>29.8</v>
      </c>
      <c r="O76" s="100">
        <v>0</v>
      </c>
      <c r="P76" s="100">
        <v>0.32</v>
      </c>
      <c r="Q76" s="147" t="s">
        <v>14</v>
      </c>
      <c r="R76" s="6"/>
      <c r="S76" s="6"/>
      <c r="T76" s="156"/>
      <c r="U76" s="6"/>
    </row>
    <row r="77" spans="1:21" customFormat="1">
      <c r="A77" s="163" t="s">
        <v>2323</v>
      </c>
      <c r="B77" s="100">
        <v>5.59</v>
      </c>
      <c r="C77" s="100">
        <v>18.399999999999999</v>
      </c>
      <c r="D77" s="100">
        <v>15.13</v>
      </c>
      <c r="E77" s="100">
        <v>3.57</v>
      </c>
      <c r="F77" s="152" t="s">
        <v>15</v>
      </c>
      <c r="G77" s="100">
        <v>44.62</v>
      </c>
      <c r="H77" s="100">
        <v>31.64</v>
      </c>
      <c r="I77" s="147" t="s">
        <v>14</v>
      </c>
      <c r="J77" s="100">
        <v>0.15</v>
      </c>
      <c r="K77" s="100">
        <v>0.64</v>
      </c>
      <c r="L77" s="100">
        <v>30.31</v>
      </c>
      <c r="M77" s="100">
        <v>20.440000000000001</v>
      </c>
      <c r="N77" s="100">
        <v>22.9</v>
      </c>
      <c r="O77" s="100">
        <v>0</v>
      </c>
      <c r="P77" s="100">
        <v>0.34</v>
      </c>
      <c r="Q77" s="147" t="s">
        <v>14</v>
      </c>
      <c r="R77" s="6"/>
      <c r="S77" s="6"/>
      <c r="T77" s="156"/>
      <c r="U77" s="6"/>
    </row>
    <row r="78" spans="1:21" customFormat="1">
      <c r="A78" s="163" t="s">
        <v>2324</v>
      </c>
      <c r="B78" s="133" t="s">
        <v>4</v>
      </c>
      <c r="C78" s="133" t="s">
        <v>4</v>
      </c>
      <c r="D78" s="133" t="s">
        <v>4</v>
      </c>
      <c r="E78" s="133" t="s">
        <v>4</v>
      </c>
      <c r="F78" s="152" t="s">
        <v>15</v>
      </c>
      <c r="G78" s="133" t="s">
        <v>4</v>
      </c>
      <c r="H78" s="133" t="s">
        <v>4</v>
      </c>
      <c r="I78" s="133" t="s">
        <v>4</v>
      </c>
      <c r="J78" s="133" t="s">
        <v>4</v>
      </c>
      <c r="K78" s="133" t="s">
        <v>4</v>
      </c>
      <c r="L78" s="133" t="s">
        <v>4</v>
      </c>
      <c r="M78" s="133" t="s">
        <v>4</v>
      </c>
      <c r="N78" s="133" t="s">
        <v>4</v>
      </c>
      <c r="O78" s="133" t="s">
        <v>4</v>
      </c>
      <c r="P78" s="133" t="s">
        <v>4</v>
      </c>
      <c r="Q78" s="133" t="s">
        <v>4</v>
      </c>
      <c r="R78" s="6"/>
      <c r="S78" s="6"/>
      <c r="T78" s="156"/>
      <c r="U78" s="6"/>
    </row>
    <row r="79" spans="1:21" customFormat="1">
      <c r="A79" s="163" t="s">
        <v>2325</v>
      </c>
      <c r="B79" s="133" t="s">
        <v>4</v>
      </c>
      <c r="C79" s="133" t="s">
        <v>4</v>
      </c>
      <c r="D79" s="133" t="s">
        <v>4</v>
      </c>
      <c r="E79" s="133" t="s">
        <v>4</v>
      </c>
      <c r="F79" s="152" t="s">
        <v>15</v>
      </c>
      <c r="G79" s="133" t="s">
        <v>4</v>
      </c>
      <c r="H79" s="133" t="s">
        <v>4</v>
      </c>
      <c r="I79" s="133" t="s">
        <v>4</v>
      </c>
      <c r="J79" s="133" t="s">
        <v>4</v>
      </c>
      <c r="K79" s="133" t="s">
        <v>4</v>
      </c>
      <c r="L79" s="133" t="s">
        <v>4</v>
      </c>
      <c r="M79" s="133" t="s">
        <v>4</v>
      </c>
      <c r="N79" s="133" t="s">
        <v>4</v>
      </c>
      <c r="O79" s="133" t="s">
        <v>4</v>
      </c>
      <c r="P79" s="133" t="s">
        <v>4</v>
      </c>
      <c r="Q79" s="133" t="s">
        <v>4</v>
      </c>
      <c r="R79" s="6"/>
      <c r="S79" s="6"/>
      <c r="T79" s="156"/>
      <c r="U79" s="6"/>
    </row>
    <row r="80" spans="1:21" customFormat="1">
      <c r="A80" s="163" t="s">
        <v>2326</v>
      </c>
      <c r="B80" s="133" t="s">
        <v>4</v>
      </c>
      <c r="C80" s="133" t="s">
        <v>4</v>
      </c>
      <c r="D80" s="133" t="s">
        <v>4</v>
      </c>
      <c r="E80" s="133" t="s">
        <v>4</v>
      </c>
      <c r="F80" s="152" t="s">
        <v>15</v>
      </c>
      <c r="G80" s="133" t="s">
        <v>4</v>
      </c>
      <c r="H80" s="133" t="s">
        <v>4</v>
      </c>
      <c r="I80" s="133" t="s">
        <v>4</v>
      </c>
      <c r="J80" s="133" t="s">
        <v>4</v>
      </c>
      <c r="K80" s="133" t="s">
        <v>4</v>
      </c>
      <c r="L80" s="133" t="s">
        <v>4</v>
      </c>
      <c r="M80" s="133" t="s">
        <v>4</v>
      </c>
      <c r="N80" s="133" t="s">
        <v>4</v>
      </c>
      <c r="O80" s="133" t="s">
        <v>4</v>
      </c>
      <c r="P80" s="133" t="s">
        <v>4</v>
      </c>
      <c r="Q80" s="133" t="s">
        <v>4</v>
      </c>
      <c r="R80" s="6"/>
      <c r="S80" s="6"/>
      <c r="T80" s="156"/>
      <c r="U80" s="6"/>
    </row>
    <row r="81" spans="1:21" customFormat="1">
      <c r="A81" s="163" t="s">
        <v>2327</v>
      </c>
      <c r="B81" s="133" t="s">
        <v>4</v>
      </c>
      <c r="C81" s="133" t="s">
        <v>4</v>
      </c>
      <c r="D81" s="133" t="s">
        <v>4</v>
      </c>
      <c r="E81" s="133" t="s">
        <v>4</v>
      </c>
      <c r="F81" s="152" t="s">
        <v>15</v>
      </c>
      <c r="G81" s="133" t="s">
        <v>4</v>
      </c>
      <c r="H81" s="133" t="s">
        <v>4</v>
      </c>
      <c r="I81" s="133" t="s">
        <v>4</v>
      </c>
      <c r="J81" s="133" t="s">
        <v>4</v>
      </c>
      <c r="K81" s="133" t="s">
        <v>4</v>
      </c>
      <c r="L81" s="133" t="s">
        <v>4</v>
      </c>
      <c r="M81" s="133" t="s">
        <v>4</v>
      </c>
      <c r="N81" s="133" t="s">
        <v>4</v>
      </c>
      <c r="O81" s="133" t="s">
        <v>4</v>
      </c>
      <c r="P81" s="133" t="s">
        <v>4</v>
      </c>
      <c r="Q81" s="133" t="s">
        <v>4</v>
      </c>
      <c r="R81" s="6"/>
      <c r="S81" s="6"/>
      <c r="T81" s="156"/>
      <c r="U81" s="6"/>
    </row>
    <row r="82" spans="1:21" customFormat="1">
      <c r="A82" s="163" t="s">
        <v>2328</v>
      </c>
      <c r="B82" s="133" t="s">
        <v>4</v>
      </c>
      <c r="C82" s="133" t="s">
        <v>4</v>
      </c>
      <c r="D82" s="133" t="s">
        <v>4</v>
      </c>
      <c r="E82" s="133" t="s">
        <v>4</v>
      </c>
      <c r="F82" s="152" t="s">
        <v>15</v>
      </c>
      <c r="G82" s="133" t="s">
        <v>4</v>
      </c>
      <c r="H82" s="133" t="s">
        <v>4</v>
      </c>
      <c r="I82" s="133" t="s">
        <v>4</v>
      </c>
      <c r="J82" s="133" t="s">
        <v>4</v>
      </c>
      <c r="K82" s="133" t="s">
        <v>4</v>
      </c>
      <c r="L82" s="133" t="s">
        <v>4</v>
      </c>
      <c r="M82" s="133" t="s">
        <v>4</v>
      </c>
      <c r="N82" s="133" t="s">
        <v>4</v>
      </c>
      <c r="O82" s="133" t="s">
        <v>4</v>
      </c>
      <c r="P82" s="133" t="s">
        <v>4</v>
      </c>
      <c r="Q82" s="133" t="s">
        <v>4</v>
      </c>
      <c r="R82" s="6"/>
      <c r="S82" s="6"/>
      <c r="T82" s="156"/>
      <c r="U82" s="6"/>
    </row>
    <row r="83" spans="1:21" customFormat="1">
      <c r="A83" s="163" t="s">
        <v>2329</v>
      </c>
      <c r="B83" s="100">
        <v>0.46</v>
      </c>
      <c r="C83" s="100">
        <v>0.55000000000000004</v>
      </c>
      <c r="D83" s="100">
        <v>0.72</v>
      </c>
      <c r="E83" s="100">
        <v>7.87</v>
      </c>
      <c r="F83" s="152" t="s">
        <v>15</v>
      </c>
      <c r="G83" s="100">
        <v>50.98</v>
      </c>
      <c r="H83" s="100">
        <v>24.21</v>
      </c>
      <c r="I83" s="147" t="s">
        <v>14</v>
      </c>
      <c r="J83" s="100">
        <v>0.4</v>
      </c>
      <c r="K83" s="100">
        <v>65.42</v>
      </c>
      <c r="L83" s="100">
        <v>27.33</v>
      </c>
      <c r="M83" s="100">
        <v>27.26</v>
      </c>
      <c r="N83" s="100">
        <v>1.2</v>
      </c>
      <c r="O83" s="100">
        <v>0</v>
      </c>
      <c r="P83" s="100">
        <v>0.56000000000000005</v>
      </c>
      <c r="Q83" s="147" t="s">
        <v>14</v>
      </c>
      <c r="R83" s="6"/>
      <c r="S83" s="6"/>
      <c r="T83" s="156"/>
      <c r="U83" s="6"/>
    </row>
    <row r="84" spans="1:21" customFormat="1">
      <c r="A84" s="163" t="s">
        <v>2330</v>
      </c>
      <c r="B84" s="100">
        <v>13.67</v>
      </c>
      <c r="C84" s="100">
        <v>30.42</v>
      </c>
      <c r="D84" s="100">
        <v>28.21</v>
      </c>
      <c r="E84" s="100">
        <v>3.91</v>
      </c>
      <c r="F84" s="152" t="s">
        <v>15</v>
      </c>
      <c r="G84" s="100">
        <v>50.98</v>
      </c>
      <c r="H84" s="100">
        <v>24.21</v>
      </c>
      <c r="I84" s="147" t="s">
        <v>14</v>
      </c>
      <c r="J84" s="100">
        <v>0.49</v>
      </c>
      <c r="K84" s="100">
        <v>0.42</v>
      </c>
      <c r="L84" s="100">
        <v>27.03</v>
      </c>
      <c r="M84" s="100">
        <v>27.03</v>
      </c>
      <c r="N84" s="100">
        <v>0.7</v>
      </c>
      <c r="O84" s="100">
        <v>0</v>
      </c>
      <c r="P84" s="100">
        <v>0.61</v>
      </c>
      <c r="Q84" s="147" t="s">
        <v>14</v>
      </c>
      <c r="R84" s="6"/>
      <c r="S84" s="6"/>
      <c r="T84" s="156"/>
      <c r="U84" s="6"/>
    </row>
    <row r="85" spans="1:21" customFormat="1">
      <c r="A85" s="163" t="s">
        <v>2331</v>
      </c>
      <c r="B85" s="133" t="s">
        <v>4</v>
      </c>
      <c r="C85" s="133" t="s">
        <v>4</v>
      </c>
      <c r="D85" s="133" t="s">
        <v>4</v>
      </c>
      <c r="E85" s="133" t="s">
        <v>4</v>
      </c>
      <c r="F85" s="152" t="s">
        <v>15</v>
      </c>
      <c r="G85" s="133" t="s">
        <v>4</v>
      </c>
      <c r="H85" s="133" t="s">
        <v>4</v>
      </c>
      <c r="I85" s="133" t="s">
        <v>4</v>
      </c>
      <c r="J85" s="133" t="s">
        <v>4</v>
      </c>
      <c r="K85" s="133" t="s">
        <v>4</v>
      </c>
      <c r="L85" s="133" t="s">
        <v>4</v>
      </c>
      <c r="M85" s="133" t="s">
        <v>4</v>
      </c>
      <c r="N85" s="133" t="s">
        <v>4</v>
      </c>
      <c r="O85" s="133" t="s">
        <v>4</v>
      </c>
      <c r="P85" s="133" t="s">
        <v>4</v>
      </c>
      <c r="Q85" s="133" t="s">
        <v>4</v>
      </c>
      <c r="R85" s="6"/>
      <c r="S85" s="6"/>
      <c r="T85" s="156"/>
      <c r="U85" s="6"/>
    </row>
    <row r="86" spans="1:21" customFormat="1">
      <c r="A86" s="163" t="s">
        <v>2332</v>
      </c>
      <c r="B86" s="133" t="s">
        <v>4</v>
      </c>
      <c r="C86" s="133" t="s">
        <v>4</v>
      </c>
      <c r="D86" s="133" t="s">
        <v>4</v>
      </c>
      <c r="E86" s="133" t="s">
        <v>4</v>
      </c>
      <c r="F86" s="152" t="s">
        <v>15</v>
      </c>
      <c r="G86" s="133" t="s">
        <v>4</v>
      </c>
      <c r="H86" s="133" t="s">
        <v>4</v>
      </c>
      <c r="I86" s="133" t="s">
        <v>4</v>
      </c>
      <c r="J86" s="133" t="s">
        <v>4</v>
      </c>
      <c r="K86" s="133" t="s">
        <v>4</v>
      </c>
      <c r="L86" s="133" t="s">
        <v>4</v>
      </c>
      <c r="M86" s="133" t="s">
        <v>4</v>
      </c>
      <c r="N86" s="133" t="s">
        <v>4</v>
      </c>
      <c r="O86" s="133" t="s">
        <v>4</v>
      </c>
      <c r="P86" s="133" t="s">
        <v>4</v>
      </c>
      <c r="Q86" s="133" t="s">
        <v>4</v>
      </c>
      <c r="R86" s="6"/>
      <c r="S86" s="6"/>
      <c r="T86" s="156"/>
      <c r="U86" s="6"/>
    </row>
    <row r="87" spans="1:21" customFormat="1">
      <c r="A87" s="163" t="s">
        <v>2333</v>
      </c>
      <c r="B87" s="133" t="s">
        <v>4</v>
      </c>
      <c r="C87" s="133" t="s">
        <v>4</v>
      </c>
      <c r="D87" s="133" t="s">
        <v>4</v>
      </c>
      <c r="E87" s="133" t="s">
        <v>4</v>
      </c>
      <c r="F87" s="152" t="s">
        <v>15</v>
      </c>
      <c r="G87" s="133" t="s">
        <v>4</v>
      </c>
      <c r="H87" s="133" t="s">
        <v>4</v>
      </c>
      <c r="I87" s="133" t="s">
        <v>4</v>
      </c>
      <c r="J87" s="133" t="s">
        <v>4</v>
      </c>
      <c r="K87" s="133" t="s">
        <v>4</v>
      </c>
      <c r="L87" s="133" t="s">
        <v>4</v>
      </c>
      <c r="M87" s="133" t="s">
        <v>4</v>
      </c>
      <c r="N87" s="133" t="s">
        <v>4</v>
      </c>
      <c r="O87" s="133" t="s">
        <v>4</v>
      </c>
      <c r="P87" s="133" t="s">
        <v>4</v>
      </c>
      <c r="Q87" s="133" t="s">
        <v>4</v>
      </c>
      <c r="R87" s="6"/>
      <c r="S87" s="6"/>
      <c r="T87" s="156"/>
      <c r="U87" s="6"/>
    </row>
    <row r="88" spans="1:21" customFormat="1">
      <c r="A88" s="163" t="s">
        <v>2334</v>
      </c>
      <c r="B88" s="147" t="s">
        <v>14</v>
      </c>
      <c r="C88" s="147" t="s">
        <v>14</v>
      </c>
      <c r="D88" s="147" t="s">
        <v>14</v>
      </c>
      <c r="E88" s="147" t="s">
        <v>14</v>
      </c>
      <c r="F88" s="152" t="s">
        <v>15</v>
      </c>
      <c r="G88" s="100">
        <v>50.98</v>
      </c>
      <c r="H88" s="100">
        <v>24.21</v>
      </c>
      <c r="I88" s="147" t="s">
        <v>14</v>
      </c>
      <c r="J88" s="100">
        <v>0.26</v>
      </c>
      <c r="K88" s="100">
        <v>164.75</v>
      </c>
      <c r="L88" s="100">
        <v>23.71</v>
      </c>
      <c r="M88" s="100">
        <v>44.78</v>
      </c>
      <c r="N88" s="100">
        <v>1.5</v>
      </c>
      <c r="O88" s="100">
        <v>0</v>
      </c>
      <c r="P88" s="100">
        <v>0.19</v>
      </c>
      <c r="Q88" s="147" t="s">
        <v>14</v>
      </c>
      <c r="R88" s="6"/>
      <c r="S88" s="6"/>
      <c r="T88" s="156"/>
      <c r="U88" s="6"/>
    </row>
    <row r="89" spans="1:21" customFormat="1">
      <c r="A89" s="163" t="s">
        <v>2335</v>
      </c>
      <c r="B89" s="100">
        <v>1.23</v>
      </c>
      <c r="C89" s="100">
        <v>1.91</v>
      </c>
      <c r="D89" s="100">
        <v>2.09</v>
      </c>
      <c r="E89" s="100">
        <v>5.84</v>
      </c>
      <c r="F89" s="152" t="s">
        <v>15</v>
      </c>
      <c r="G89" s="100">
        <v>62.96</v>
      </c>
      <c r="H89" s="100">
        <v>30.42</v>
      </c>
      <c r="I89" s="147" t="s">
        <v>14</v>
      </c>
      <c r="J89" s="100">
        <v>0.27</v>
      </c>
      <c r="K89" s="100">
        <v>164.73</v>
      </c>
      <c r="L89" s="100">
        <v>23.6</v>
      </c>
      <c r="M89" s="100">
        <v>44.21</v>
      </c>
      <c r="N89" s="100">
        <v>1</v>
      </c>
      <c r="O89" s="100">
        <v>0</v>
      </c>
      <c r="P89" s="100">
        <v>0.74</v>
      </c>
      <c r="Q89" s="147" t="s">
        <v>14</v>
      </c>
      <c r="R89" s="6"/>
      <c r="S89" s="6"/>
      <c r="T89" s="156"/>
      <c r="U89" s="6"/>
    </row>
    <row r="90" spans="1:21" customFormat="1">
      <c r="A90" s="163" t="s">
        <v>2336</v>
      </c>
      <c r="B90" s="100">
        <v>17.690000000000001</v>
      </c>
      <c r="C90" s="100">
        <v>33.86</v>
      </c>
      <c r="D90" s="100">
        <v>33.229999999999997</v>
      </c>
      <c r="E90" s="100">
        <v>2.15</v>
      </c>
      <c r="F90" s="152" t="s">
        <v>15</v>
      </c>
      <c r="G90" s="100">
        <v>173.26</v>
      </c>
      <c r="H90" s="100">
        <v>24.53</v>
      </c>
      <c r="I90" s="147" t="s">
        <v>14</v>
      </c>
      <c r="J90" s="100">
        <v>-7.0000000000000007E-2</v>
      </c>
      <c r="K90" s="100">
        <v>164.73</v>
      </c>
      <c r="L90" s="100">
        <v>23.02</v>
      </c>
      <c r="M90" s="100">
        <v>49.92</v>
      </c>
      <c r="N90" s="100">
        <v>1.5</v>
      </c>
      <c r="O90" s="100">
        <v>0</v>
      </c>
      <c r="P90" s="100">
        <v>0.77</v>
      </c>
      <c r="Q90" s="147" t="s">
        <v>14</v>
      </c>
      <c r="R90" s="6"/>
      <c r="S90" s="6"/>
      <c r="T90" s="156"/>
      <c r="U90" s="6"/>
    </row>
    <row r="91" spans="1:21" customFormat="1">
      <c r="A91" s="163" t="s">
        <v>2337</v>
      </c>
      <c r="B91" s="133" t="s">
        <v>4</v>
      </c>
      <c r="C91" s="133" t="s">
        <v>4</v>
      </c>
      <c r="D91" s="133" t="s">
        <v>4</v>
      </c>
      <c r="E91" s="133" t="s">
        <v>4</v>
      </c>
      <c r="F91" s="152" t="s">
        <v>15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  <c r="R91" s="6"/>
      <c r="S91" s="6"/>
      <c r="T91" s="156"/>
      <c r="U91" s="6"/>
    </row>
    <row r="92" spans="1:21" customFormat="1">
      <c r="A92" s="163" t="s">
        <v>2338</v>
      </c>
      <c r="B92" s="133" t="s">
        <v>4</v>
      </c>
      <c r="C92" s="133" t="s">
        <v>4</v>
      </c>
      <c r="D92" s="133" t="s">
        <v>4</v>
      </c>
      <c r="E92" s="133" t="s">
        <v>4</v>
      </c>
      <c r="F92" s="152" t="s">
        <v>15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  <c r="R92" s="6"/>
      <c r="S92" s="6"/>
      <c r="T92" s="156"/>
      <c r="U92" s="6"/>
    </row>
    <row r="93" spans="1:21" customFormat="1">
      <c r="A93" s="163" t="s">
        <v>2339</v>
      </c>
      <c r="B93" s="133" t="s">
        <v>4</v>
      </c>
      <c r="C93" s="133" t="s">
        <v>4</v>
      </c>
      <c r="D93" s="133" t="s">
        <v>4</v>
      </c>
      <c r="E93" s="133" t="s">
        <v>4</v>
      </c>
      <c r="F93" s="152" t="s">
        <v>15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  <c r="R93" s="6"/>
      <c r="S93" s="6"/>
      <c r="T93" s="156"/>
      <c r="U93" s="6"/>
    </row>
    <row r="94" spans="1:21" customFormat="1">
      <c r="A94" s="163" t="s">
        <v>2340</v>
      </c>
      <c r="B94" s="147" t="s">
        <v>14</v>
      </c>
      <c r="C94" s="147" t="s">
        <v>14</v>
      </c>
      <c r="D94" s="147" t="s">
        <v>14</v>
      </c>
      <c r="E94" s="147" t="s">
        <v>14</v>
      </c>
      <c r="F94" s="152" t="s">
        <v>15</v>
      </c>
      <c r="G94" s="100">
        <v>209.62</v>
      </c>
      <c r="H94" s="100">
        <v>24.44</v>
      </c>
      <c r="I94" s="147" t="s">
        <v>14</v>
      </c>
      <c r="J94" s="100">
        <v>0.11</v>
      </c>
      <c r="K94" s="100">
        <v>241.72</v>
      </c>
      <c r="L94" s="100">
        <v>22.51</v>
      </c>
      <c r="M94" s="100">
        <v>44.09</v>
      </c>
      <c r="N94" s="100">
        <v>0.6</v>
      </c>
      <c r="O94" s="100">
        <v>0</v>
      </c>
      <c r="P94" s="100">
        <v>0.18</v>
      </c>
      <c r="Q94" s="147" t="s">
        <v>14</v>
      </c>
      <c r="R94" s="6"/>
      <c r="S94" s="6"/>
      <c r="T94" s="156"/>
      <c r="U94" s="6"/>
    </row>
    <row r="95" spans="1:21" customFormat="1">
      <c r="A95" s="163" t="s">
        <v>2341</v>
      </c>
      <c r="B95" s="100">
        <v>5.53</v>
      </c>
      <c r="C95" s="100">
        <v>7.6</v>
      </c>
      <c r="D95" s="100">
        <v>8.69</v>
      </c>
      <c r="E95" s="100">
        <v>10.6</v>
      </c>
      <c r="F95" s="152" t="s">
        <v>15</v>
      </c>
      <c r="G95" s="100">
        <v>127.2</v>
      </c>
      <c r="H95" s="100">
        <v>28.68</v>
      </c>
      <c r="I95" s="147" t="s">
        <v>14</v>
      </c>
      <c r="J95" s="100">
        <v>0.17</v>
      </c>
      <c r="K95" s="100">
        <v>202.33</v>
      </c>
      <c r="L95" s="100">
        <v>22.48</v>
      </c>
      <c r="M95" s="100">
        <v>44.5</v>
      </c>
      <c r="N95" s="100">
        <v>0.7</v>
      </c>
      <c r="O95" s="100">
        <v>0</v>
      </c>
      <c r="P95" s="100">
        <v>0.83</v>
      </c>
      <c r="Q95" s="147" t="s">
        <v>14</v>
      </c>
      <c r="R95" s="6"/>
      <c r="S95" s="6"/>
      <c r="T95" s="156"/>
      <c r="U95" s="6"/>
    </row>
    <row r="96" spans="1:21" customFormat="1">
      <c r="A96" s="163" t="s">
        <v>2342</v>
      </c>
      <c r="B96" s="100">
        <v>26.69</v>
      </c>
      <c r="C96" s="100">
        <v>37.72</v>
      </c>
      <c r="D96" s="100">
        <v>42.46</v>
      </c>
      <c r="E96" s="100">
        <v>4.24</v>
      </c>
      <c r="F96" s="152" t="s">
        <v>15</v>
      </c>
      <c r="G96" s="100">
        <v>127.2</v>
      </c>
      <c r="H96" s="100">
        <v>28.68</v>
      </c>
      <c r="I96" s="147" t="s">
        <v>14</v>
      </c>
      <c r="J96" s="100">
        <v>0.23</v>
      </c>
      <c r="K96" s="100">
        <v>185.82</v>
      </c>
      <c r="L96" s="100">
        <v>21.93</v>
      </c>
      <c r="M96" s="100">
        <v>53.48</v>
      </c>
      <c r="N96" s="100">
        <v>1.3</v>
      </c>
      <c r="O96" s="100">
        <v>0</v>
      </c>
      <c r="P96" s="100">
        <v>0.88</v>
      </c>
      <c r="Q96" s="147" t="s">
        <v>14</v>
      </c>
      <c r="R96" s="6"/>
      <c r="S96" s="6"/>
      <c r="T96" s="156"/>
      <c r="U96" s="6"/>
    </row>
    <row r="97" spans="1:28" customFormat="1">
      <c r="A97" s="163" t="s">
        <v>2343</v>
      </c>
      <c r="B97" s="100">
        <v>25.81</v>
      </c>
      <c r="C97" s="100">
        <v>38.46</v>
      </c>
      <c r="D97" s="100">
        <v>42.15</v>
      </c>
      <c r="E97" s="100">
        <v>0.12</v>
      </c>
      <c r="F97" s="152" t="s">
        <v>15</v>
      </c>
      <c r="G97" s="100">
        <v>127.2</v>
      </c>
      <c r="H97" s="100">
        <v>28.68</v>
      </c>
      <c r="I97" s="147" t="s">
        <v>14</v>
      </c>
      <c r="J97" s="100">
        <v>0.23</v>
      </c>
      <c r="K97" s="100">
        <v>-0.23</v>
      </c>
      <c r="L97" s="100">
        <v>21.06</v>
      </c>
      <c r="M97" s="100">
        <v>59.18</v>
      </c>
      <c r="N97" s="100">
        <v>1.5</v>
      </c>
      <c r="O97" s="100">
        <v>0</v>
      </c>
      <c r="P97" s="100">
        <v>0.91</v>
      </c>
      <c r="Q97" s="147" t="s">
        <v>14</v>
      </c>
      <c r="R97" s="6"/>
      <c r="S97" s="6"/>
      <c r="T97" s="156"/>
      <c r="U97" s="6"/>
    </row>
    <row r="98" spans="1:28" customFormat="1">
      <c r="A98" s="163" t="s">
        <v>2344</v>
      </c>
      <c r="B98" s="133" t="s">
        <v>4</v>
      </c>
      <c r="C98" s="133" t="s">
        <v>4</v>
      </c>
      <c r="D98" s="133" t="s">
        <v>4</v>
      </c>
      <c r="E98" s="133" t="s">
        <v>4</v>
      </c>
      <c r="F98" s="152" t="s">
        <v>15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  <c r="R98" s="6"/>
      <c r="S98" s="6"/>
      <c r="T98" s="156"/>
      <c r="U98" s="6"/>
    </row>
    <row r="99" spans="1:28" customFormat="1">
      <c r="A99" s="163" t="s">
        <v>2345</v>
      </c>
      <c r="B99" s="133" t="s">
        <v>4</v>
      </c>
      <c r="C99" s="133" t="s">
        <v>4</v>
      </c>
      <c r="D99" s="133" t="s">
        <v>4</v>
      </c>
      <c r="E99" s="133" t="s">
        <v>4</v>
      </c>
      <c r="F99" s="152" t="s">
        <v>15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  <c r="R99" s="6"/>
      <c r="S99" s="6"/>
      <c r="T99" s="156"/>
      <c r="U99" s="6"/>
    </row>
    <row r="100" spans="1:28" customFormat="1">
      <c r="A100" s="163" t="s">
        <v>2346</v>
      </c>
      <c r="B100" s="147" t="s">
        <v>14</v>
      </c>
      <c r="C100" s="147" t="s">
        <v>14</v>
      </c>
      <c r="D100" s="147" t="s">
        <v>14</v>
      </c>
      <c r="E100" s="147" t="s">
        <v>14</v>
      </c>
      <c r="F100" s="152" t="s">
        <v>15</v>
      </c>
      <c r="G100" s="100">
        <v>86.64</v>
      </c>
      <c r="H100" s="100">
        <v>23.68</v>
      </c>
      <c r="I100" s="147" t="s">
        <v>14</v>
      </c>
      <c r="J100" s="100">
        <v>0.22</v>
      </c>
      <c r="K100" s="100">
        <v>133.88</v>
      </c>
      <c r="L100" s="100">
        <v>20.29</v>
      </c>
      <c r="M100" s="100">
        <v>54.94</v>
      </c>
      <c r="N100" s="100">
        <v>1.1000000000000001</v>
      </c>
      <c r="O100" s="100">
        <v>0</v>
      </c>
      <c r="P100" s="100">
        <v>0.09</v>
      </c>
      <c r="Q100" s="147" t="s">
        <v>14</v>
      </c>
      <c r="R100" s="6"/>
      <c r="S100" s="6"/>
      <c r="T100" s="156"/>
      <c r="U100" s="6"/>
      <c r="AB100" s="161"/>
    </row>
    <row r="101" spans="1:28" customFormat="1">
      <c r="A101" s="163" t="s">
        <v>2347</v>
      </c>
      <c r="B101" s="100">
        <v>2.69</v>
      </c>
      <c r="C101" s="100">
        <v>3.55</v>
      </c>
      <c r="D101" s="100">
        <v>4.1500000000000004</v>
      </c>
      <c r="E101" s="100">
        <v>6.61</v>
      </c>
      <c r="F101" s="152" t="s">
        <v>15</v>
      </c>
      <c r="G101" s="100">
        <v>86.64</v>
      </c>
      <c r="H101" s="100">
        <v>23.68</v>
      </c>
      <c r="I101" s="147" t="s">
        <v>14</v>
      </c>
      <c r="J101" s="100">
        <v>0.16</v>
      </c>
      <c r="K101" s="100">
        <v>193.97</v>
      </c>
      <c r="L101" s="100">
        <v>20.5</v>
      </c>
      <c r="M101" s="100">
        <v>54.41</v>
      </c>
      <c r="N101" s="100">
        <v>0.7</v>
      </c>
      <c r="O101" s="100">
        <v>0</v>
      </c>
      <c r="P101" s="100">
        <v>0.84</v>
      </c>
      <c r="Q101" s="147" t="s">
        <v>14</v>
      </c>
      <c r="R101" s="6"/>
      <c r="S101" s="6"/>
      <c r="T101" s="156"/>
      <c r="U101" s="6"/>
    </row>
    <row r="102" spans="1:28" customFormat="1">
      <c r="A102" s="163" t="s">
        <v>2348</v>
      </c>
      <c r="B102" s="100">
        <v>28.68</v>
      </c>
      <c r="C102" s="100">
        <v>38.78</v>
      </c>
      <c r="D102" s="100">
        <v>44.61</v>
      </c>
      <c r="E102" s="100">
        <v>4.28</v>
      </c>
      <c r="F102" s="152" t="s">
        <v>15</v>
      </c>
      <c r="G102" s="100">
        <v>64.58</v>
      </c>
      <c r="H102" s="100">
        <v>21.05</v>
      </c>
      <c r="I102" s="147" t="s">
        <v>14</v>
      </c>
      <c r="J102" s="100">
        <v>0.2</v>
      </c>
      <c r="K102" s="100">
        <v>182.98</v>
      </c>
      <c r="L102" s="100">
        <v>20.32</v>
      </c>
      <c r="M102" s="100">
        <v>61.41</v>
      </c>
      <c r="N102" s="100">
        <v>1.1000000000000001</v>
      </c>
      <c r="O102" s="100">
        <v>0</v>
      </c>
      <c r="P102" s="100">
        <v>0.96</v>
      </c>
      <c r="Q102" s="147" t="s">
        <v>14</v>
      </c>
      <c r="R102" s="6"/>
      <c r="S102" s="6"/>
      <c r="T102" s="156"/>
      <c r="U102" s="6"/>
    </row>
    <row r="103" spans="1:28" customFormat="1">
      <c r="A103" s="163" t="s">
        <v>2349</v>
      </c>
      <c r="B103" s="100">
        <v>26.21</v>
      </c>
      <c r="C103" s="100">
        <v>39.4</v>
      </c>
      <c r="D103" s="100">
        <v>42.96</v>
      </c>
      <c r="E103" s="100">
        <v>0.09</v>
      </c>
      <c r="F103" s="152" t="s">
        <v>15</v>
      </c>
      <c r="G103" s="100">
        <v>56.56</v>
      </c>
      <c r="H103" s="100">
        <v>21</v>
      </c>
      <c r="I103" s="147" t="s">
        <v>14</v>
      </c>
      <c r="J103" s="100">
        <v>0.21</v>
      </c>
      <c r="K103" s="100">
        <v>171.6</v>
      </c>
      <c r="L103" s="100">
        <v>19.98</v>
      </c>
      <c r="M103" s="100">
        <v>57.8</v>
      </c>
      <c r="N103" s="100">
        <v>1.1000000000000001</v>
      </c>
      <c r="O103" s="100">
        <v>0</v>
      </c>
      <c r="P103" s="100">
        <v>0.96</v>
      </c>
      <c r="Q103" s="147" t="s">
        <v>14</v>
      </c>
      <c r="R103" s="6"/>
      <c r="S103" s="6"/>
      <c r="T103" s="156"/>
      <c r="U103" s="6"/>
    </row>
    <row r="104" spans="1:28" customFormat="1">
      <c r="A104" s="163" t="s">
        <v>2350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52" t="s">
        <v>15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0.46</v>
      </c>
      <c r="C106" s="158">
        <f>MIN(C9:C104)</f>
        <v>0.55000000000000004</v>
      </c>
      <c r="D106" s="158">
        <f t="shared" ref="D106:Q106" si="0">MIN(D9:D104)</f>
        <v>0.72</v>
      </c>
      <c r="E106" s="158">
        <f t="shared" si="0"/>
        <v>0.09</v>
      </c>
      <c r="F106" s="158">
        <f t="shared" si="0"/>
        <v>0</v>
      </c>
      <c r="G106" s="158">
        <f t="shared" si="0"/>
        <v>44.62</v>
      </c>
      <c r="H106" s="158">
        <f t="shared" si="0"/>
        <v>7.98</v>
      </c>
      <c r="I106" s="158">
        <f t="shared" si="0"/>
        <v>4.5599999999999996</v>
      </c>
      <c r="J106" s="158">
        <f t="shared" si="0"/>
        <v>-7.0000000000000007E-2</v>
      </c>
      <c r="K106" s="158">
        <f t="shared" si="0"/>
        <v>-0.44</v>
      </c>
      <c r="L106" s="158">
        <f t="shared" si="0"/>
        <v>17.329999999999998</v>
      </c>
      <c r="M106" s="158">
        <f t="shared" si="0"/>
        <v>15.39</v>
      </c>
      <c r="N106" s="158">
        <f t="shared" si="0"/>
        <v>0.1</v>
      </c>
      <c r="O106" s="158">
        <f t="shared" si="0"/>
        <v>0</v>
      </c>
      <c r="P106" s="158">
        <f t="shared" si="0"/>
        <v>0.08</v>
      </c>
      <c r="Q106" s="158">
        <f t="shared" si="0"/>
        <v>12.91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28.68</v>
      </c>
      <c r="C107" s="157">
        <f t="shared" ref="C107:Q107" si="1">MAX(C9:C104)</f>
        <v>39.4</v>
      </c>
      <c r="D107" s="157">
        <f t="shared" si="1"/>
        <v>44.61</v>
      </c>
      <c r="E107" s="157">
        <f t="shared" si="1"/>
        <v>39.770000000000003</v>
      </c>
      <c r="F107" s="157">
        <f t="shared" si="1"/>
        <v>0</v>
      </c>
      <c r="G107" s="157">
        <f t="shared" si="1"/>
        <v>209.62</v>
      </c>
      <c r="H107" s="157">
        <f t="shared" si="1"/>
        <v>69.12</v>
      </c>
      <c r="I107" s="157">
        <f t="shared" si="1"/>
        <v>11.81</v>
      </c>
      <c r="J107" s="157">
        <f t="shared" si="1"/>
        <v>1.22</v>
      </c>
      <c r="K107" s="157">
        <f t="shared" si="1"/>
        <v>359.55</v>
      </c>
      <c r="L107" s="157">
        <f t="shared" si="1"/>
        <v>33.369999999999997</v>
      </c>
      <c r="M107" s="157">
        <f t="shared" si="1"/>
        <v>64.45</v>
      </c>
      <c r="N107" s="157">
        <f t="shared" si="1"/>
        <v>381.1</v>
      </c>
      <c r="O107" s="157">
        <f t="shared" si="1"/>
        <v>0</v>
      </c>
      <c r="P107" s="157">
        <f t="shared" si="1"/>
        <v>0.96</v>
      </c>
      <c r="Q107" s="157">
        <f t="shared" si="1"/>
        <v>12.98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17.913035714285716</v>
      </c>
      <c r="C108" s="158">
        <f t="shared" ref="C108:Q108" si="2">AVERAGE(C9:C104)</f>
        <v>23.599464285714287</v>
      </c>
      <c r="D108" s="158">
        <f t="shared" si="2"/>
        <v>27.936607142857138</v>
      </c>
      <c r="E108" s="158">
        <f t="shared" si="2"/>
        <v>10.52033898305085</v>
      </c>
      <c r="F108" s="158" t="e">
        <f t="shared" si="2"/>
        <v>#DIV/0!</v>
      </c>
      <c r="G108" s="158">
        <f t="shared" si="2"/>
        <v>69.152424242424232</v>
      </c>
      <c r="H108" s="158">
        <f t="shared" si="2"/>
        <v>26.566363636363644</v>
      </c>
      <c r="I108" s="158">
        <f t="shared" si="2"/>
        <v>9.6615909090909113</v>
      </c>
      <c r="J108" s="158">
        <f t="shared" si="2"/>
        <v>0.46424242424242412</v>
      </c>
      <c r="K108" s="158">
        <f t="shared" si="2"/>
        <v>105.55439393939396</v>
      </c>
      <c r="L108" s="158">
        <f t="shared" si="2"/>
        <v>22.976060606060599</v>
      </c>
      <c r="M108" s="158">
        <f t="shared" si="2"/>
        <v>41.944242424242447</v>
      </c>
      <c r="N108" s="158">
        <f t="shared" si="2"/>
        <v>85.987878787878799</v>
      </c>
      <c r="O108" s="158">
        <f t="shared" si="2"/>
        <v>0</v>
      </c>
      <c r="P108" s="158">
        <f t="shared" si="2"/>
        <v>0.65772727272727294</v>
      </c>
      <c r="Q108" s="158">
        <f t="shared" si="2"/>
        <v>12.950909090909095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5.8529712484399639</v>
      </c>
      <c r="C109" s="158">
        <f t="shared" ref="C109:Q109" si="3">STDEV(C9:C104)</f>
        <v>7.6402104729796863</v>
      </c>
      <c r="D109" s="158">
        <f t="shared" si="3"/>
        <v>8.7206320197951133</v>
      </c>
      <c r="E109" s="158">
        <f t="shared" si="3"/>
        <v>5.4233556116122186</v>
      </c>
      <c r="F109" s="158" t="e">
        <f t="shared" si="3"/>
        <v>#DIV/0!</v>
      </c>
      <c r="G109" s="158">
        <f t="shared" si="3"/>
        <v>27.32152226081158</v>
      </c>
      <c r="H109" s="158">
        <f t="shared" si="3"/>
        <v>13.357566641174817</v>
      </c>
      <c r="I109" s="158">
        <f t="shared" si="3"/>
        <v>2.003344811410098</v>
      </c>
      <c r="J109" s="158">
        <f t="shared" si="3"/>
        <v>0.32307208343583504</v>
      </c>
      <c r="K109" s="158">
        <f t="shared" si="3"/>
        <v>80.905979718698319</v>
      </c>
      <c r="L109" s="158">
        <f t="shared" si="3"/>
        <v>4.8702496788904295</v>
      </c>
      <c r="M109" s="158">
        <f t="shared" si="3"/>
        <v>13.735743273059597</v>
      </c>
      <c r="N109" s="158">
        <f t="shared" si="3"/>
        <v>137.86703015827243</v>
      </c>
      <c r="O109" s="158">
        <f t="shared" si="3"/>
        <v>0</v>
      </c>
      <c r="P109" s="158">
        <f t="shared" si="3"/>
        <v>0.2122900443663403</v>
      </c>
      <c r="Q109" s="158">
        <f t="shared" si="3"/>
        <v>1.6256402219059246E-2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COUNT(B9:B104)+40</f>
        <v>96</v>
      </c>
      <c r="C110" s="157">
        <f t="shared" ref="C110:D110" si="4">COUNT(C9:C104)+40</f>
        <v>96</v>
      </c>
      <c r="D110" s="157">
        <f t="shared" si="4"/>
        <v>96</v>
      </c>
      <c r="E110" s="157">
        <f>COUNT(E9:E104)+37</f>
        <v>96</v>
      </c>
      <c r="F110" s="157">
        <v>0</v>
      </c>
      <c r="G110" s="157">
        <f>COUNT(G9:G104)+30</f>
        <v>96</v>
      </c>
      <c r="H110" s="157">
        <f>COUNT(H9:H104)+30</f>
        <v>96</v>
      </c>
      <c r="I110" s="157">
        <f>COUNT(I9:I104)+52</f>
        <v>96</v>
      </c>
      <c r="J110" s="157">
        <f t="shared" ref="J110:P110" si="5">COUNT(J9:J104)+30</f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COUNT(Q9:Q104)+52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&lt;90%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LESS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2351</v>
      </c>
      <c r="B9" s="133" t="s">
        <v>4</v>
      </c>
      <c r="C9" s="133" t="s">
        <v>4</v>
      </c>
      <c r="D9" s="133" t="s">
        <v>4</v>
      </c>
      <c r="E9" s="133" t="s">
        <v>4</v>
      </c>
      <c r="F9" s="152" t="s">
        <v>15</v>
      </c>
      <c r="G9" s="133" t="s">
        <v>4</v>
      </c>
      <c r="H9" s="133" t="s">
        <v>4</v>
      </c>
      <c r="I9" s="133" t="s">
        <v>4</v>
      </c>
      <c r="J9" s="133" t="s">
        <v>4</v>
      </c>
      <c r="K9" s="133" t="s">
        <v>4</v>
      </c>
      <c r="L9" s="133" t="s">
        <v>4</v>
      </c>
      <c r="M9" s="133" t="s">
        <v>4</v>
      </c>
      <c r="N9" s="133" t="s">
        <v>4</v>
      </c>
      <c r="O9" s="133" t="s">
        <v>4</v>
      </c>
      <c r="P9" s="133" t="s">
        <v>4</v>
      </c>
      <c r="Q9" s="133" t="s">
        <v>4</v>
      </c>
      <c r="R9" s="6"/>
      <c r="S9" s="6"/>
      <c r="T9" s="156"/>
      <c r="U9" s="6"/>
    </row>
    <row r="10" spans="1:21" customFormat="1">
      <c r="A10" s="163" t="s">
        <v>2352</v>
      </c>
      <c r="B10" s="133" t="s">
        <v>4</v>
      </c>
      <c r="C10" s="133" t="s">
        <v>4</v>
      </c>
      <c r="D10" s="133" t="s">
        <v>4</v>
      </c>
      <c r="E10" s="133" t="s">
        <v>4</v>
      </c>
      <c r="F10" s="152" t="s">
        <v>15</v>
      </c>
      <c r="G10" s="133" t="s">
        <v>4</v>
      </c>
      <c r="H10" s="133" t="s">
        <v>4</v>
      </c>
      <c r="I10" s="133" t="s">
        <v>4</v>
      </c>
      <c r="J10" s="133" t="s">
        <v>4</v>
      </c>
      <c r="K10" s="133" t="s">
        <v>4</v>
      </c>
      <c r="L10" s="133" t="s">
        <v>4</v>
      </c>
      <c r="M10" s="133" t="s">
        <v>4</v>
      </c>
      <c r="N10" s="133" t="s">
        <v>4</v>
      </c>
      <c r="O10" s="133" t="s">
        <v>4</v>
      </c>
      <c r="P10" s="133" t="s">
        <v>4</v>
      </c>
      <c r="Q10" s="133" t="s">
        <v>4</v>
      </c>
      <c r="R10" s="6"/>
      <c r="S10" s="6"/>
      <c r="T10" s="156"/>
      <c r="U10" s="6"/>
    </row>
    <row r="11" spans="1:21" customFormat="1">
      <c r="A11" s="163" t="s">
        <v>2353</v>
      </c>
      <c r="B11" s="150" t="s">
        <v>21</v>
      </c>
      <c r="C11" s="150" t="s">
        <v>21</v>
      </c>
      <c r="D11" s="150" t="s">
        <v>21</v>
      </c>
      <c r="E11" s="100">
        <v>8.91</v>
      </c>
      <c r="F11" s="152" t="s">
        <v>15</v>
      </c>
      <c r="G11" s="100">
        <v>92.75</v>
      </c>
      <c r="H11" s="100">
        <v>21.98</v>
      </c>
      <c r="I11" s="147" t="s">
        <v>14</v>
      </c>
      <c r="J11" s="100">
        <v>0.18</v>
      </c>
      <c r="K11" s="100">
        <v>132.47</v>
      </c>
      <c r="L11" s="100">
        <v>20.46</v>
      </c>
      <c r="M11" s="100">
        <v>53.58</v>
      </c>
      <c r="N11" s="100">
        <v>1</v>
      </c>
      <c r="O11" s="100">
        <v>0</v>
      </c>
      <c r="P11" s="100">
        <v>0.87</v>
      </c>
      <c r="Q11" s="150" t="s">
        <v>21</v>
      </c>
      <c r="R11" s="6"/>
      <c r="S11" s="6"/>
      <c r="T11" s="156"/>
      <c r="U11" s="6"/>
    </row>
    <row r="12" spans="1:21" customFormat="1">
      <c r="A12" s="163" t="s">
        <v>2354</v>
      </c>
      <c r="B12" s="100">
        <v>31.52</v>
      </c>
      <c r="C12" s="100">
        <v>36.72</v>
      </c>
      <c r="D12" s="100">
        <v>45.68</v>
      </c>
      <c r="E12" s="100">
        <v>6.16</v>
      </c>
      <c r="F12" s="152" t="s">
        <v>15</v>
      </c>
      <c r="G12" s="100">
        <v>108.9</v>
      </c>
      <c r="H12" s="100">
        <v>22.03</v>
      </c>
      <c r="I12" s="147" t="s">
        <v>14</v>
      </c>
      <c r="J12" s="100">
        <v>0.23</v>
      </c>
      <c r="K12" s="100">
        <v>157.58000000000001</v>
      </c>
      <c r="L12" s="100">
        <v>20.03</v>
      </c>
      <c r="M12" s="100">
        <v>56.37</v>
      </c>
      <c r="N12" s="100">
        <v>1.2</v>
      </c>
      <c r="O12" s="100">
        <v>0</v>
      </c>
      <c r="P12" s="100">
        <v>0.95</v>
      </c>
      <c r="Q12" s="150" t="s">
        <v>21</v>
      </c>
      <c r="R12" s="6"/>
      <c r="S12" s="6"/>
      <c r="T12" s="156"/>
      <c r="U12" s="6"/>
    </row>
    <row r="13" spans="1:21" customFormat="1">
      <c r="A13" s="163" t="s">
        <v>2355</v>
      </c>
      <c r="B13" s="100">
        <v>32.96</v>
      </c>
      <c r="C13" s="100">
        <v>42.79</v>
      </c>
      <c r="D13" s="100">
        <v>50.14</v>
      </c>
      <c r="E13" s="100">
        <v>1.52</v>
      </c>
      <c r="F13" s="152" t="s">
        <v>15</v>
      </c>
      <c r="G13" s="100">
        <v>108.9</v>
      </c>
      <c r="H13" s="100">
        <v>22.03</v>
      </c>
      <c r="I13" s="147" t="s">
        <v>14</v>
      </c>
      <c r="J13" s="100">
        <v>0.22</v>
      </c>
      <c r="K13" s="100">
        <v>178.25</v>
      </c>
      <c r="L13" s="100">
        <v>19.89</v>
      </c>
      <c r="M13" s="100">
        <v>54.63</v>
      </c>
      <c r="N13" s="100">
        <v>1</v>
      </c>
      <c r="O13" s="100">
        <v>0</v>
      </c>
      <c r="P13" s="100">
        <v>0.95</v>
      </c>
      <c r="Q13" s="150" t="s">
        <v>21</v>
      </c>
      <c r="R13" s="6"/>
      <c r="S13" s="6"/>
      <c r="T13" s="156"/>
      <c r="U13" s="6"/>
    </row>
    <row r="14" spans="1:21" customFormat="1">
      <c r="A14" s="163" t="s">
        <v>2356</v>
      </c>
      <c r="B14" s="100">
        <v>31.36</v>
      </c>
      <c r="C14" s="100">
        <v>43.98</v>
      </c>
      <c r="D14" s="100">
        <v>49.47</v>
      </c>
      <c r="E14" s="100">
        <v>1.52</v>
      </c>
      <c r="F14" s="152" t="s">
        <v>15</v>
      </c>
      <c r="G14" s="100">
        <v>87.79</v>
      </c>
      <c r="H14" s="100">
        <v>21.82</v>
      </c>
      <c r="I14" s="147" t="s">
        <v>14</v>
      </c>
      <c r="J14" s="100">
        <v>0.12</v>
      </c>
      <c r="K14" s="100">
        <v>178.25</v>
      </c>
      <c r="L14" s="100">
        <v>19.940000000000001</v>
      </c>
      <c r="M14" s="100">
        <v>52.96</v>
      </c>
      <c r="N14" s="100">
        <v>0.8</v>
      </c>
      <c r="O14" s="100">
        <v>0</v>
      </c>
      <c r="P14" s="100">
        <v>0.95</v>
      </c>
      <c r="Q14" s="147" t="s">
        <v>14</v>
      </c>
      <c r="R14" s="6"/>
      <c r="S14" s="6"/>
      <c r="T14" s="156"/>
      <c r="U14" s="6"/>
    </row>
    <row r="15" spans="1:21" customFormat="1">
      <c r="A15" s="163" t="s">
        <v>2357</v>
      </c>
      <c r="B15" s="133" t="s">
        <v>4</v>
      </c>
      <c r="C15" s="133" t="s">
        <v>4</v>
      </c>
      <c r="D15" s="133" t="s">
        <v>4</v>
      </c>
      <c r="E15" s="133" t="s">
        <v>4</v>
      </c>
      <c r="F15" s="152" t="s">
        <v>15</v>
      </c>
      <c r="G15" s="133" t="s">
        <v>4</v>
      </c>
      <c r="H15" s="133" t="s">
        <v>4</v>
      </c>
      <c r="I15" s="133" t="s">
        <v>4</v>
      </c>
      <c r="J15" s="133" t="s">
        <v>4</v>
      </c>
      <c r="K15" s="133" t="s">
        <v>4</v>
      </c>
      <c r="L15" s="133" t="s">
        <v>4</v>
      </c>
      <c r="M15" s="133" t="s">
        <v>4</v>
      </c>
      <c r="N15" s="133" t="s">
        <v>4</v>
      </c>
      <c r="O15" s="133" t="s">
        <v>4</v>
      </c>
      <c r="P15" s="133" t="s">
        <v>4</v>
      </c>
      <c r="Q15" s="133" t="s">
        <v>4</v>
      </c>
      <c r="R15" s="6"/>
      <c r="S15" s="6"/>
      <c r="T15" s="156"/>
      <c r="U15" s="6"/>
    </row>
    <row r="16" spans="1:21" customFormat="1">
      <c r="A16" s="163" t="s">
        <v>2358</v>
      </c>
      <c r="B16" s="133" t="s">
        <v>4</v>
      </c>
      <c r="C16" s="133" t="s">
        <v>4</v>
      </c>
      <c r="D16" s="133" t="s">
        <v>4</v>
      </c>
      <c r="E16" s="133" t="s">
        <v>4</v>
      </c>
      <c r="F16" s="152" t="s">
        <v>15</v>
      </c>
      <c r="G16" s="133" t="s">
        <v>4</v>
      </c>
      <c r="H16" s="133" t="s">
        <v>4</v>
      </c>
      <c r="I16" s="133" t="s">
        <v>4</v>
      </c>
      <c r="J16" s="133" t="s">
        <v>4</v>
      </c>
      <c r="K16" s="133" t="s">
        <v>4</v>
      </c>
      <c r="L16" s="133" t="s">
        <v>4</v>
      </c>
      <c r="M16" s="133" t="s">
        <v>4</v>
      </c>
      <c r="N16" s="133" t="s">
        <v>4</v>
      </c>
      <c r="O16" s="133" t="s">
        <v>4</v>
      </c>
      <c r="P16" s="133" t="s">
        <v>4</v>
      </c>
      <c r="Q16" s="133" t="s">
        <v>4</v>
      </c>
      <c r="R16" s="6"/>
      <c r="S16" s="6"/>
      <c r="T16" s="156"/>
      <c r="U16" s="6"/>
    </row>
    <row r="17" spans="1:21" customFormat="1">
      <c r="A17" s="163" t="s">
        <v>2359</v>
      </c>
      <c r="B17" s="150" t="s">
        <v>21</v>
      </c>
      <c r="C17" s="150" t="s">
        <v>21</v>
      </c>
      <c r="D17" s="150" t="s">
        <v>21</v>
      </c>
      <c r="E17" s="150" t="s">
        <v>21</v>
      </c>
      <c r="F17" s="152" t="s">
        <v>15</v>
      </c>
      <c r="G17" s="100">
        <v>80.11</v>
      </c>
      <c r="H17" s="100">
        <v>21.81</v>
      </c>
      <c r="I17" s="147" t="s">
        <v>14</v>
      </c>
      <c r="J17" s="100">
        <v>0.43</v>
      </c>
      <c r="K17" s="100">
        <v>164.93</v>
      </c>
      <c r="L17" s="100">
        <v>20.63</v>
      </c>
      <c r="M17" s="100">
        <v>46.98</v>
      </c>
      <c r="N17" s="100">
        <v>0.7</v>
      </c>
      <c r="O17" s="100">
        <v>0</v>
      </c>
      <c r="P17" s="100">
        <v>0.1</v>
      </c>
      <c r="Q17" s="150" t="s">
        <v>21</v>
      </c>
      <c r="R17" s="6"/>
      <c r="S17" s="6"/>
      <c r="T17" s="156"/>
      <c r="U17" s="6"/>
    </row>
    <row r="18" spans="1:21" customFormat="1">
      <c r="A18" s="163" t="s">
        <v>2360</v>
      </c>
      <c r="B18" s="100">
        <v>0.72</v>
      </c>
      <c r="C18" s="100">
        <v>0.55000000000000004</v>
      </c>
      <c r="D18" s="100">
        <v>0.91</v>
      </c>
      <c r="E18" s="100">
        <v>6.47</v>
      </c>
      <c r="F18" s="152" t="s">
        <v>15</v>
      </c>
      <c r="G18" s="100">
        <v>72.11</v>
      </c>
      <c r="H18" s="100">
        <v>25.88</v>
      </c>
      <c r="I18" s="147" t="s">
        <v>14</v>
      </c>
      <c r="J18" s="100">
        <v>0.18</v>
      </c>
      <c r="K18" s="100">
        <v>100.85</v>
      </c>
      <c r="L18" s="100">
        <v>21.04</v>
      </c>
      <c r="M18" s="100">
        <v>45.02</v>
      </c>
      <c r="N18" s="100">
        <v>0.4</v>
      </c>
      <c r="O18" s="100">
        <v>0</v>
      </c>
      <c r="P18" s="100">
        <v>0.85</v>
      </c>
      <c r="Q18" s="150" t="s">
        <v>21</v>
      </c>
      <c r="R18" s="6"/>
      <c r="S18" s="6"/>
      <c r="T18" s="156"/>
      <c r="U18" s="6"/>
    </row>
    <row r="19" spans="1:21" customFormat="1">
      <c r="A19" s="163" t="s">
        <v>2361</v>
      </c>
      <c r="B19" s="100">
        <v>28.62</v>
      </c>
      <c r="C19" s="100">
        <v>44.61</v>
      </c>
      <c r="D19" s="100">
        <v>47.61</v>
      </c>
      <c r="E19" s="100">
        <v>5.05</v>
      </c>
      <c r="F19" s="152" t="s">
        <v>15</v>
      </c>
      <c r="G19" s="100">
        <v>69.2</v>
      </c>
      <c r="H19" s="100">
        <v>25.94</v>
      </c>
      <c r="I19" s="147" t="s">
        <v>14</v>
      </c>
      <c r="J19" s="100">
        <v>0.23</v>
      </c>
      <c r="K19" s="100">
        <v>149.86000000000001</v>
      </c>
      <c r="L19" s="100">
        <v>21.02</v>
      </c>
      <c r="M19" s="100">
        <v>45.91</v>
      </c>
      <c r="N19" s="100">
        <v>0.8</v>
      </c>
      <c r="O19" s="100">
        <v>0</v>
      </c>
      <c r="P19" s="100">
        <v>0.91</v>
      </c>
      <c r="Q19" s="150" t="s">
        <v>21</v>
      </c>
      <c r="R19" s="6"/>
      <c r="S19" s="6"/>
      <c r="T19" s="156"/>
      <c r="U19" s="6"/>
    </row>
    <row r="20" spans="1:21" customFormat="1">
      <c r="A20" s="163" t="s">
        <v>2362</v>
      </c>
      <c r="B20" s="100">
        <v>24.91</v>
      </c>
      <c r="C20" s="100">
        <v>45.44</v>
      </c>
      <c r="D20" s="100">
        <v>45.06</v>
      </c>
      <c r="E20" s="100">
        <v>1.55</v>
      </c>
      <c r="F20" s="152" t="s">
        <v>15</v>
      </c>
      <c r="G20" s="100">
        <v>69.2</v>
      </c>
      <c r="H20" s="100">
        <v>25.94</v>
      </c>
      <c r="I20" s="147" t="s">
        <v>14</v>
      </c>
      <c r="J20" s="100">
        <v>0.16</v>
      </c>
      <c r="K20" s="100">
        <v>169.54</v>
      </c>
      <c r="L20" s="100">
        <v>20.48</v>
      </c>
      <c r="M20" s="100">
        <v>48.5</v>
      </c>
      <c r="N20" s="100">
        <v>1.2</v>
      </c>
      <c r="O20" s="100">
        <v>0</v>
      </c>
      <c r="P20" s="100">
        <v>0.9</v>
      </c>
      <c r="Q20" s="147" t="s">
        <v>14</v>
      </c>
      <c r="R20" s="6"/>
      <c r="S20" s="6"/>
      <c r="T20" s="156"/>
      <c r="U20" s="6"/>
    </row>
    <row r="21" spans="1:21" customFormat="1">
      <c r="A21" s="163" t="s">
        <v>2363</v>
      </c>
      <c r="B21" s="100">
        <v>22.48</v>
      </c>
      <c r="C21" s="100">
        <v>46.56</v>
      </c>
      <c r="D21" s="100">
        <v>43.71</v>
      </c>
      <c r="E21" s="100">
        <v>1.55</v>
      </c>
      <c r="F21" s="152" t="s">
        <v>15</v>
      </c>
      <c r="G21" s="100">
        <v>69.2</v>
      </c>
      <c r="H21" s="100">
        <v>25.94</v>
      </c>
      <c r="I21" s="147" t="s">
        <v>14</v>
      </c>
      <c r="J21" s="100">
        <v>0.22</v>
      </c>
      <c r="K21" s="100">
        <v>179.61</v>
      </c>
      <c r="L21" s="100">
        <v>20.16</v>
      </c>
      <c r="M21" s="100">
        <v>51.13</v>
      </c>
      <c r="N21" s="100">
        <v>1.3</v>
      </c>
      <c r="O21" s="100">
        <v>0</v>
      </c>
      <c r="P21" s="100">
        <v>0.89</v>
      </c>
      <c r="Q21" s="147" t="s">
        <v>14</v>
      </c>
      <c r="R21" s="6"/>
      <c r="S21" s="6"/>
      <c r="T21" s="156"/>
      <c r="U21" s="6"/>
    </row>
    <row r="22" spans="1:21" customFormat="1">
      <c r="A22" s="163" t="s">
        <v>2364</v>
      </c>
      <c r="B22" s="100">
        <v>20.96</v>
      </c>
      <c r="C22" s="100">
        <v>47.02</v>
      </c>
      <c r="D22" s="100">
        <v>42.72</v>
      </c>
      <c r="E22" s="100">
        <v>1.55</v>
      </c>
      <c r="F22" s="152" t="s">
        <v>15</v>
      </c>
      <c r="G22" s="100">
        <v>57.03</v>
      </c>
      <c r="H22" s="100">
        <v>21.18</v>
      </c>
      <c r="I22" s="147" t="s">
        <v>14</v>
      </c>
      <c r="J22" s="100">
        <v>0.22</v>
      </c>
      <c r="K22" s="100">
        <v>-0.25</v>
      </c>
      <c r="L22" s="100">
        <v>19.86</v>
      </c>
      <c r="M22" s="100">
        <v>53.1</v>
      </c>
      <c r="N22" s="100">
        <v>1.2</v>
      </c>
      <c r="O22" s="100">
        <v>0</v>
      </c>
      <c r="P22" s="100">
        <v>0.88</v>
      </c>
      <c r="Q22" s="147" t="s">
        <v>14</v>
      </c>
      <c r="R22" s="6"/>
      <c r="S22" s="6"/>
      <c r="T22" s="156"/>
      <c r="U22" s="6"/>
    </row>
    <row r="23" spans="1:21" customFormat="1">
      <c r="A23" s="163" t="s">
        <v>2365</v>
      </c>
      <c r="B23" s="133" t="s">
        <v>4</v>
      </c>
      <c r="C23" s="133" t="s">
        <v>4</v>
      </c>
      <c r="D23" s="133" t="s">
        <v>4</v>
      </c>
      <c r="E23" s="133" t="s">
        <v>4</v>
      </c>
      <c r="F23" s="152" t="s">
        <v>15</v>
      </c>
      <c r="G23" s="133" t="s">
        <v>4</v>
      </c>
      <c r="H23" s="133" t="s">
        <v>4</v>
      </c>
      <c r="I23" s="133" t="s">
        <v>4</v>
      </c>
      <c r="J23" s="133" t="s">
        <v>4</v>
      </c>
      <c r="K23" s="133" t="s">
        <v>4</v>
      </c>
      <c r="L23" s="133" t="s">
        <v>4</v>
      </c>
      <c r="M23" s="133" t="s">
        <v>4</v>
      </c>
      <c r="N23" s="133" t="s">
        <v>4</v>
      </c>
      <c r="O23" s="133" t="s">
        <v>4</v>
      </c>
      <c r="P23" s="133" t="s">
        <v>4</v>
      </c>
      <c r="Q23" s="133" t="s">
        <v>4</v>
      </c>
      <c r="R23" s="6"/>
      <c r="S23" s="6"/>
      <c r="T23" s="156"/>
      <c r="U23" s="6"/>
    </row>
    <row r="24" spans="1:21" customFormat="1">
      <c r="A24" s="163" t="s">
        <v>2366</v>
      </c>
      <c r="B24" s="133" t="s">
        <v>4</v>
      </c>
      <c r="C24" s="133" t="s">
        <v>4</v>
      </c>
      <c r="D24" s="133" t="s">
        <v>4</v>
      </c>
      <c r="E24" s="133" t="s">
        <v>4</v>
      </c>
      <c r="F24" s="152" t="s">
        <v>15</v>
      </c>
      <c r="G24" s="133" t="s">
        <v>4</v>
      </c>
      <c r="H24" s="133" t="s">
        <v>4</v>
      </c>
      <c r="I24" s="133" t="s">
        <v>4</v>
      </c>
      <c r="J24" s="133" t="s">
        <v>4</v>
      </c>
      <c r="K24" s="133" t="s">
        <v>4</v>
      </c>
      <c r="L24" s="133" t="s">
        <v>4</v>
      </c>
      <c r="M24" s="133" t="s">
        <v>4</v>
      </c>
      <c r="N24" s="133" t="s">
        <v>4</v>
      </c>
      <c r="O24" s="133" t="s">
        <v>4</v>
      </c>
      <c r="P24" s="133" t="s">
        <v>4</v>
      </c>
      <c r="Q24" s="133" t="s">
        <v>4</v>
      </c>
      <c r="R24" s="6"/>
      <c r="S24" s="6"/>
      <c r="T24" s="156"/>
      <c r="U24" s="6"/>
    </row>
    <row r="25" spans="1:21" customFormat="1">
      <c r="A25" s="163" t="s">
        <v>2367</v>
      </c>
      <c r="B25" s="150" t="s">
        <v>21</v>
      </c>
      <c r="C25" s="150" t="s">
        <v>21</v>
      </c>
      <c r="D25" s="150" t="s">
        <v>21</v>
      </c>
      <c r="E25" s="150" t="s">
        <v>21</v>
      </c>
      <c r="F25" s="152" t="s">
        <v>15</v>
      </c>
      <c r="G25" s="100">
        <v>52.61</v>
      </c>
      <c r="H25" s="100">
        <v>21.06</v>
      </c>
      <c r="I25" s="147" t="s">
        <v>14</v>
      </c>
      <c r="J25" s="100">
        <v>0.56000000000000005</v>
      </c>
      <c r="K25" s="100">
        <v>69.22</v>
      </c>
      <c r="L25" s="100">
        <v>20.05</v>
      </c>
      <c r="M25" s="100">
        <v>48.85</v>
      </c>
      <c r="N25" s="100">
        <v>1.1000000000000001</v>
      </c>
      <c r="O25" s="100">
        <v>0</v>
      </c>
      <c r="P25" s="100">
        <v>0.1</v>
      </c>
      <c r="Q25" s="150" t="s">
        <v>21</v>
      </c>
      <c r="R25" s="6"/>
      <c r="S25" s="6"/>
      <c r="T25" s="156"/>
      <c r="U25" s="6"/>
    </row>
    <row r="26" spans="1:21" customFormat="1">
      <c r="A26" s="163" t="s">
        <v>2368</v>
      </c>
      <c r="B26" s="100">
        <v>0.27</v>
      </c>
      <c r="C26" s="100">
        <v>0.54</v>
      </c>
      <c r="D26" s="100">
        <v>0.53</v>
      </c>
      <c r="E26" s="100">
        <v>10.57</v>
      </c>
      <c r="F26" s="152" t="s">
        <v>15</v>
      </c>
      <c r="G26" s="100">
        <v>51.39</v>
      </c>
      <c r="H26" s="100">
        <v>20.96</v>
      </c>
      <c r="I26" s="147" t="s">
        <v>14</v>
      </c>
      <c r="J26" s="100">
        <v>0.35</v>
      </c>
      <c r="K26" s="100">
        <v>42.33</v>
      </c>
      <c r="L26" s="100">
        <v>19.989999999999998</v>
      </c>
      <c r="M26" s="100">
        <v>49.03</v>
      </c>
      <c r="N26" s="100">
        <v>0.8</v>
      </c>
      <c r="O26" s="100">
        <v>0</v>
      </c>
      <c r="P26" s="100">
        <v>0.77</v>
      </c>
      <c r="Q26" s="150" t="s">
        <v>21</v>
      </c>
      <c r="R26" s="6"/>
      <c r="S26" s="6"/>
      <c r="T26" s="156"/>
      <c r="U26" s="6"/>
    </row>
    <row r="27" spans="1:21" customFormat="1">
      <c r="A27" s="163" t="s">
        <v>2369</v>
      </c>
      <c r="B27" s="100">
        <v>21.66</v>
      </c>
      <c r="C27" s="100">
        <v>45.11</v>
      </c>
      <c r="D27" s="100">
        <v>42.29</v>
      </c>
      <c r="E27" s="100">
        <v>7.66</v>
      </c>
      <c r="F27" s="152" t="s">
        <v>15</v>
      </c>
      <c r="G27" s="100">
        <v>50.95</v>
      </c>
      <c r="H27" s="100">
        <v>20.96</v>
      </c>
      <c r="I27" s="147" t="s">
        <v>14</v>
      </c>
      <c r="J27" s="100">
        <v>0.17</v>
      </c>
      <c r="K27" s="100">
        <v>33.97</v>
      </c>
      <c r="L27" s="100">
        <v>19.850000000000001</v>
      </c>
      <c r="M27" s="100">
        <v>50.44</v>
      </c>
      <c r="N27" s="100">
        <v>1.1000000000000001</v>
      </c>
      <c r="O27" s="100">
        <v>0</v>
      </c>
      <c r="P27" s="100">
        <v>0.82</v>
      </c>
      <c r="Q27" s="150" t="s">
        <v>21</v>
      </c>
      <c r="R27" s="6"/>
      <c r="S27" s="6"/>
      <c r="T27" s="156"/>
      <c r="U27" s="6"/>
    </row>
    <row r="28" spans="1:21" customFormat="1">
      <c r="A28" s="163" t="s">
        <v>2370</v>
      </c>
      <c r="B28" s="100">
        <v>18.829999999999998</v>
      </c>
      <c r="C28" s="100">
        <v>47.1</v>
      </c>
      <c r="D28" s="100">
        <v>41.06</v>
      </c>
      <c r="E28" s="100">
        <v>2.65</v>
      </c>
      <c r="F28" s="152" t="s">
        <v>15</v>
      </c>
      <c r="G28" s="100">
        <v>50.95</v>
      </c>
      <c r="H28" s="100">
        <v>20.96</v>
      </c>
      <c r="I28" s="147" t="s">
        <v>14</v>
      </c>
      <c r="J28" s="100">
        <v>0.13</v>
      </c>
      <c r="K28" s="100">
        <v>50.09</v>
      </c>
      <c r="L28" s="100">
        <v>19.420000000000002</v>
      </c>
      <c r="M28" s="100">
        <v>52.63</v>
      </c>
      <c r="N28" s="100">
        <v>1.1000000000000001</v>
      </c>
      <c r="O28" s="100">
        <v>0</v>
      </c>
      <c r="P28" s="100">
        <v>0.81</v>
      </c>
      <c r="Q28" s="147" t="s">
        <v>14</v>
      </c>
      <c r="R28" s="6"/>
      <c r="S28" s="6"/>
      <c r="T28" s="156"/>
      <c r="U28" s="6"/>
    </row>
    <row r="29" spans="1:21" customFormat="1">
      <c r="A29" s="163" t="s">
        <v>2371</v>
      </c>
      <c r="B29" s="100">
        <v>18.03</v>
      </c>
      <c r="C29" s="100">
        <v>48.01</v>
      </c>
      <c r="D29" s="100">
        <v>40.89</v>
      </c>
      <c r="E29" s="100">
        <v>-1.1000000000000001</v>
      </c>
      <c r="F29" s="152" t="s">
        <v>15</v>
      </c>
      <c r="G29" s="100">
        <v>50.95</v>
      </c>
      <c r="H29" s="100">
        <v>20.96</v>
      </c>
      <c r="I29" s="147" t="s">
        <v>14</v>
      </c>
      <c r="J29" s="100">
        <v>0.1</v>
      </c>
      <c r="K29" s="100">
        <v>91.87</v>
      </c>
      <c r="L29" s="100">
        <v>19.14</v>
      </c>
      <c r="M29" s="100">
        <v>56.3</v>
      </c>
      <c r="N29" s="100">
        <v>1.2</v>
      </c>
      <c r="O29" s="100">
        <v>0</v>
      </c>
      <c r="P29" s="100">
        <v>0.8</v>
      </c>
      <c r="Q29" s="147" t="s">
        <v>14</v>
      </c>
      <c r="R29" s="6"/>
      <c r="S29" s="6"/>
      <c r="T29" s="156"/>
      <c r="U29" s="6"/>
    </row>
    <row r="30" spans="1:21" customFormat="1">
      <c r="A30" s="163" t="s">
        <v>2372</v>
      </c>
      <c r="B30" s="100">
        <v>17.84</v>
      </c>
      <c r="C30" s="100">
        <v>47.99</v>
      </c>
      <c r="D30" s="100">
        <v>40.729999999999997</v>
      </c>
      <c r="E30" s="100">
        <v>-2.92</v>
      </c>
      <c r="F30" s="152" t="s">
        <v>15</v>
      </c>
      <c r="G30" s="100">
        <v>51.43</v>
      </c>
      <c r="H30" s="100">
        <v>14.33</v>
      </c>
      <c r="I30" s="147" t="s">
        <v>14</v>
      </c>
      <c r="J30" s="100">
        <v>0.16</v>
      </c>
      <c r="K30" s="100">
        <v>0.05</v>
      </c>
      <c r="L30" s="100">
        <v>18.96</v>
      </c>
      <c r="M30" s="100">
        <v>55.72</v>
      </c>
      <c r="N30" s="100">
        <v>1.1000000000000001</v>
      </c>
      <c r="O30" s="100">
        <v>0</v>
      </c>
      <c r="P30" s="100">
        <v>0.8</v>
      </c>
      <c r="Q30" s="147" t="s">
        <v>14</v>
      </c>
      <c r="R30" s="6"/>
      <c r="S30" s="6"/>
      <c r="T30" s="156"/>
      <c r="U30" s="6"/>
    </row>
    <row r="31" spans="1:21" customFormat="1">
      <c r="A31" s="163" t="s">
        <v>2373</v>
      </c>
      <c r="B31" s="133" t="s">
        <v>4</v>
      </c>
      <c r="C31" s="133" t="s">
        <v>4</v>
      </c>
      <c r="D31" s="133" t="s">
        <v>4</v>
      </c>
      <c r="E31" s="133" t="s">
        <v>4</v>
      </c>
      <c r="F31" s="152" t="s">
        <v>15</v>
      </c>
      <c r="G31" s="133" t="s">
        <v>4</v>
      </c>
      <c r="H31" s="133" t="s">
        <v>4</v>
      </c>
      <c r="I31" s="133" t="s">
        <v>4</v>
      </c>
      <c r="J31" s="133" t="s">
        <v>4</v>
      </c>
      <c r="K31" s="133" t="s">
        <v>4</v>
      </c>
      <c r="L31" s="133" t="s">
        <v>4</v>
      </c>
      <c r="M31" s="133" t="s">
        <v>4</v>
      </c>
      <c r="N31" s="133" t="s">
        <v>4</v>
      </c>
      <c r="O31" s="133" t="s">
        <v>4</v>
      </c>
      <c r="P31" s="133" t="s">
        <v>4</v>
      </c>
      <c r="Q31" s="133" t="s">
        <v>4</v>
      </c>
      <c r="R31" s="6"/>
      <c r="S31" s="6"/>
      <c r="T31" s="156"/>
      <c r="U31" s="6"/>
    </row>
    <row r="32" spans="1:21" customFormat="1">
      <c r="A32" s="163" t="s">
        <v>2374</v>
      </c>
      <c r="B32" s="133" t="s">
        <v>4</v>
      </c>
      <c r="C32" s="133" t="s">
        <v>4</v>
      </c>
      <c r="D32" s="133" t="s">
        <v>4</v>
      </c>
      <c r="E32" s="133" t="s">
        <v>4</v>
      </c>
      <c r="F32" s="152" t="s">
        <v>15</v>
      </c>
      <c r="G32" s="133" t="s">
        <v>4</v>
      </c>
      <c r="H32" s="133" t="s">
        <v>4</v>
      </c>
      <c r="I32" s="133" t="s">
        <v>4</v>
      </c>
      <c r="J32" s="133" t="s">
        <v>4</v>
      </c>
      <c r="K32" s="133" t="s">
        <v>4</v>
      </c>
      <c r="L32" s="133" t="s">
        <v>4</v>
      </c>
      <c r="M32" s="133" t="s">
        <v>4</v>
      </c>
      <c r="N32" s="133" t="s">
        <v>4</v>
      </c>
      <c r="O32" s="133" t="s">
        <v>4</v>
      </c>
      <c r="P32" s="133" t="s">
        <v>4</v>
      </c>
      <c r="Q32" s="133" t="s">
        <v>4</v>
      </c>
      <c r="R32" s="6"/>
      <c r="S32" s="6"/>
      <c r="T32" s="156"/>
      <c r="U32" s="6"/>
    </row>
    <row r="33" spans="1:21" customFormat="1">
      <c r="A33" s="163" t="s">
        <v>2375</v>
      </c>
      <c r="B33" s="150" t="s">
        <v>21</v>
      </c>
      <c r="C33" s="150" t="s">
        <v>21</v>
      </c>
      <c r="D33" s="150" t="s">
        <v>21</v>
      </c>
      <c r="E33" s="150" t="s">
        <v>21</v>
      </c>
      <c r="F33" s="152" t="s">
        <v>15</v>
      </c>
      <c r="G33" s="100">
        <v>51.6</v>
      </c>
      <c r="H33" s="100">
        <v>14.23</v>
      </c>
      <c r="I33" s="147" t="s">
        <v>14</v>
      </c>
      <c r="J33" s="100">
        <v>0.43</v>
      </c>
      <c r="K33" s="100">
        <v>42.04</v>
      </c>
      <c r="L33" s="100">
        <v>18.93</v>
      </c>
      <c r="M33" s="100">
        <v>55.17</v>
      </c>
      <c r="N33" s="100">
        <v>1.2</v>
      </c>
      <c r="O33" s="100">
        <v>0</v>
      </c>
      <c r="P33" s="100">
        <v>0.72</v>
      </c>
      <c r="Q33" s="150" t="s">
        <v>21</v>
      </c>
      <c r="R33" s="6"/>
      <c r="S33" s="6"/>
      <c r="T33" s="156"/>
      <c r="U33" s="6"/>
    </row>
    <row r="34" spans="1:21" customFormat="1">
      <c r="A34" s="163" t="s">
        <v>2376</v>
      </c>
      <c r="B34" s="100">
        <v>20.28</v>
      </c>
      <c r="C34" s="100">
        <v>37.75</v>
      </c>
      <c r="D34" s="100">
        <v>37.11</v>
      </c>
      <c r="E34" s="100">
        <v>6.16</v>
      </c>
      <c r="F34" s="152" t="s">
        <v>15</v>
      </c>
      <c r="G34" s="100">
        <v>63.69</v>
      </c>
      <c r="H34" s="100">
        <v>16.78</v>
      </c>
      <c r="I34" s="147" t="s">
        <v>14</v>
      </c>
      <c r="J34" s="100">
        <v>0.38</v>
      </c>
      <c r="K34" s="100">
        <v>38.72</v>
      </c>
      <c r="L34" s="100">
        <v>18.809999999999999</v>
      </c>
      <c r="M34" s="100">
        <v>55.76</v>
      </c>
      <c r="N34" s="100">
        <v>2.8</v>
      </c>
      <c r="O34" s="100">
        <v>0</v>
      </c>
      <c r="P34" s="100">
        <v>0.83</v>
      </c>
      <c r="Q34" s="150" t="s">
        <v>21</v>
      </c>
      <c r="R34" s="6"/>
      <c r="S34" s="6"/>
      <c r="T34" s="156"/>
      <c r="U34" s="6"/>
    </row>
    <row r="35" spans="1:21" customFormat="1">
      <c r="A35" s="163" t="s">
        <v>2377</v>
      </c>
      <c r="B35" s="100">
        <v>22.12</v>
      </c>
      <c r="C35" s="100">
        <v>47.68</v>
      </c>
      <c r="D35" s="100">
        <v>44</v>
      </c>
      <c r="E35" s="100">
        <v>1.95</v>
      </c>
      <c r="F35" s="152" t="s">
        <v>15</v>
      </c>
      <c r="G35" s="100">
        <v>68.08</v>
      </c>
      <c r="H35" s="100">
        <v>16.82</v>
      </c>
      <c r="I35" s="147" t="s">
        <v>14</v>
      </c>
      <c r="J35" s="100">
        <v>0.22</v>
      </c>
      <c r="K35" s="100">
        <v>51.39</v>
      </c>
      <c r="L35" s="100">
        <v>18.829999999999998</v>
      </c>
      <c r="M35" s="100">
        <v>58.01</v>
      </c>
      <c r="N35" s="100">
        <v>7.5</v>
      </c>
      <c r="O35" s="100">
        <v>0</v>
      </c>
      <c r="P35" s="100">
        <v>0.85</v>
      </c>
      <c r="Q35" s="150" t="s">
        <v>21</v>
      </c>
      <c r="R35" s="6"/>
      <c r="S35" s="6"/>
      <c r="T35" s="156"/>
      <c r="U35" s="6"/>
    </row>
    <row r="36" spans="1:21" customFormat="1">
      <c r="A36" s="163" t="s">
        <v>2378</v>
      </c>
      <c r="B36" s="100">
        <v>21.31</v>
      </c>
      <c r="C36" s="100">
        <v>47.75</v>
      </c>
      <c r="D36" s="100">
        <v>43.39</v>
      </c>
      <c r="E36" s="100">
        <v>1.95</v>
      </c>
      <c r="F36" s="152" t="s">
        <v>15</v>
      </c>
      <c r="G36" s="100">
        <v>68.08</v>
      </c>
      <c r="H36" s="100">
        <v>16.82</v>
      </c>
      <c r="I36" s="147" t="s">
        <v>14</v>
      </c>
      <c r="J36" s="100">
        <v>0.38</v>
      </c>
      <c r="K36" s="100">
        <v>40.33</v>
      </c>
      <c r="L36" s="100">
        <v>18.920000000000002</v>
      </c>
      <c r="M36" s="100">
        <v>56.29</v>
      </c>
      <c r="N36" s="100">
        <v>13.6</v>
      </c>
      <c r="O36" s="100">
        <v>0</v>
      </c>
      <c r="P36" s="100">
        <v>0.88</v>
      </c>
      <c r="Q36" s="147" t="s">
        <v>14</v>
      </c>
      <c r="R36" s="6"/>
      <c r="S36" s="6"/>
      <c r="T36" s="156"/>
      <c r="U36" s="6"/>
    </row>
    <row r="37" spans="1:21" customFormat="1">
      <c r="A37" s="163" t="s">
        <v>2379</v>
      </c>
      <c r="B37" s="100">
        <v>21.48</v>
      </c>
      <c r="C37" s="100">
        <v>47.9</v>
      </c>
      <c r="D37" s="100">
        <v>43.61</v>
      </c>
      <c r="E37" s="100">
        <v>1.95</v>
      </c>
      <c r="F37" s="152" t="s">
        <v>15</v>
      </c>
      <c r="G37" s="100">
        <v>68.08</v>
      </c>
      <c r="H37" s="100">
        <v>16.82</v>
      </c>
      <c r="I37" s="147" t="s">
        <v>14</v>
      </c>
      <c r="J37" s="100">
        <v>0.32</v>
      </c>
      <c r="K37" s="100">
        <v>0.33</v>
      </c>
      <c r="L37" s="100">
        <v>19.46</v>
      </c>
      <c r="M37" s="100">
        <v>53.57</v>
      </c>
      <c r="N37" s="100">
        <v>20.399999999999999</v>
      </c>
      <c r="O37" s="100">
        <v>0</v>
      </c>
      <c r="P37" s="100">
        <v>0.9</v>
      </c>
      <c r="Q37" s="147" t="s">
        <v>14</v>
      </c>
      <c r="R37" s="6"/>
      <c r="S37" s="6"/>
      <c r="T37" s="156"/>
      <c r="U37" s="6"/>
    </row>
    <row r="38" spans="1:21" customFormat="1">
      <c r="A38" s="163" t="s">
        <v>2380</v>
      </c>
      <c r="B38" s="133" t="s">
        <v>4</v>
      </c>
      <c r="C38" s="133" t="s">
        <v>4</v>
      </c>
      <c r="D38" s="133" t="s">
        <v>4</v>
      </c>
      <c r="E38" s="133" t="s">
        <v>4</v>
      </c>
      <c r="F38" s="152" t="s">
        <v>15</v>
      </c>
      <c r="G38" s="133" t="s">
        <v>4</v>
      </c>
      <c r="H38" s="133" t="s">
        <v>4</v>
      </c>
      <c r="I38" s="133" t="s">
        <v>4</v>
      </c>
      <c r="J38" s="133" t="s">
        <v>4</v>
      </c>
      <c r="K38" s="133" t="s">
        <v>4</v>
      </c>
      <c r="L38" s="133" t="s">
        <v>4</v>
      </c>
      <c r="M38" s="133" t="s">
        <v>4</v>
      </c>
      <c r="N38" s="133" t="s">
        <v>4</v>
      </c>
      <c r="O38" s="133" t="s">
        <v>4</v>
      </c>
      <c r="P38" s="133" t="s">
        <v>4</v>
      </c>
      <c r="Q38" s="133" t="s">
        <v>4</v>
      </c>
      <c r="R38" s="6"/>
      <c r="S38" s="6"/>
      <c r="T38" s="156"/>
      <c r="U38" s="6"/>
    </row>
    <row r="39" spans="1:21" customFormat="1">
      <c r="A39" s="163" t="s">
        <v>2381</v>
      </c>
      <c r="B39" s="133" t="s">
        <v>4</v>
      </c>
      <c r="C39" s="133" t="s">
        <v>4</v>
      </c>
      <c r="D39" s="133" t="s">
        <v>4</v>
      </c>
      <c r="E39" s="133" t="s">
        <v>4</v>
      </c>
      <c r="F39" s="152" t="s">
        <v>15</v>
      </c>
      <c r="G39" s="133" t="s">
        <v>4</v>
      </c>
      <c r="H39" s="133" t="s">
        <v>4</v>
      </c>
      <c r="I39" s="133" t="s">
        <v>4</v>
      </c>
      <c r="J39" s="133" t="s">
        <v>4</v>
      </c>
      <c r="K39" s="133" t="s">
        <v>4</v>
      </c>
      <c r="L39" s="133" t="s">
        <v>4</v>
      </c>
      <c r="M39" s="133" t="s">
        <v>4</v>
      </c>
      <c r="N39" s="133" t="s">
        <v>4</v>
      </c>
      <c r="O39" s="133" t="s">
        <v>4</v>
      </c>
      <c r="P39" s="133" t="s">
        <v>4</v>
      </c>
      <c r="Q39" s="133" t="s">
        <v>4</v>
      </c>
      <c r="R39" s="6"/>
      <c r="S39" s="6"/>
      <c r="T39" s="156"/>
      <c r="U39" s="6"/>
    </row>
    <row r="40" spans="1:21" customFormat="1">
      <c r="A40" s="163" t="s">
        <v>2382</v>
      </c>
      <c r="B40" s="150" t="s">
        <v>21</v>
      </c>
      <c r="C40" s="150" t="s">
        <v>21</v>
      </c>
      <c r="D40" s="150" t="s">
        <v>21</v>
      </c>
      <c r="E40" s="150" t="s">
        <v>21</v>
      </c>
      <c r="F40" s="152" t="s">
        <v>15</v>
      </c>
      <c r="G40" s="100">
        <v>95.06</v>
      </c>
      <c r="H40" s="100">
        <v>21.17</v>
      </c>
      <c r="I40" s="147" t="s">
        <v>14</v>
      </c>
      <c r="J40" s="100">
        <v>1.02</v>
      </c>
      <c r="K40" s="100">
        <v>51.86</v>
      </c>
      <c r="L40" s="100">
        <v>21.42</v>
      </c>
      <c r="M40" s="100">
        <v>47.67</v>
      </c>
      <c r="N40" s="100">
        <v>55.7</v>
      </c>
      <c r="O40" s="100">
        <v>0</v>
      </c>
      <c r="P40" s="100">
        <v>0.86</v>
      </c>
      <c r="Q40" s="150" t="s">
        <v>21</v>
      </c>
      <c r="R40" s="6"/>
      <c r="S40" s="6"/>
      <c r="T40" s="156"/>
      <c r="U40" s="6"/>
    </row>
    <row r="41" spans="1:21" customFormat="1">
      <c r="A41" s="163" t="s">
        <v>2383</v>
      </c>
      <c r="B41" s="100">
        <v>20.94</v>
      </c>
      <c r="C41" s="100">
        <v>36.520000000000003</v>
      </c>
      <c r="D41" s="100">
        <v>36.93</v>
      </c>
      <c r="E41" s="100">
        <v>5.43</v>
      </c>
      <c r="F41" s="152" t="s">
        <v>15</v>
      </c>
      <c r="G41" s="100">
        <v>110.75</v>
      </c>
      <c r="H41" s="100">
        <v>21.57</v>
      </c>
      <c r="I41" s="147" t="s">
        <v>14</v>
      </c>
      <c r="J41" s="100">
        <v>1.1599999999999999</v>
      </c>
      <c r="K41" s="100">
        <v>53.74</v>
      </c>
      <c r="L41" s="100">
        <v>22.17</v>
      </c>
      <c r="M41" s="100">
        <v>44.63</v>
      </c>
      <c r="N41" s="100">
        <v>113.8</v>
      </c>
      <c r="O41" s="100">
        <v>0</v>
      </c>
      <c r="P41" s="100">
        <v>0.95</v>
      </c>
      <c r="Q41" s="150" t="s">
        <v>21</v>
      </c>
      <c r="R41" s="6"/>
      <c r="S41" s="6"/>
      <c r="T41" s="156"/>
      <c r="U41" s="6"/>
    </row>
    <row r="42" spans="1:21" customFormat="1">
      <c r="A42" s="163" t="s">
        <v>2384</v>
      </c>
      <c r="B42" s="100">
        <v>24.45</v>
      </c>
      <c r="C42" s="100">
        <v>47.65</v>
      </c>
      <c r="D42" s="100">
        <v>45.86</v>
      </c>
      <c r="E42" s="100">
        <v>1.84</v>
      </c>
      <c r="F42" s="152" t="s">
        <v>15</v>
      </c>
      <c r="G42" s="100">
        <v>74.91</v>
      </c>
      <c r="H42" s="100">
        <v>25.3</v>
      </c>
      <c r="I42" s="147" t="s">
        <v>14</v>
      </c>
      <c r="J42" s="100">
        <v>1.37</v>
      </c>
      <c r="K42" s="100">
        <v>57.22</v>
      </c>
      <c r="L42" s="100">
        <v>23.01</v>
      </c>
      <c r="M42" s="100">
        <v>41.63</v>
      </c>
      <c r="N42" s="100">
        <v>173.3</v>
      </c>
      <c r="O42" s="100">
        <v>0</v>
      </c>
      <c r="P42" s="100">
        <v>0.96</v>
      </c>
      <c r="Q42" s="150" t="s">
        <v>21</v>
      </c>
      <c r="R42" s="6"/>
      <c r="S42" s="6"/>
      <c r="T42" s="156"/>
      <c r="U42" s="6"/>
    </row>
    <row r="43" spans="1:21" customFormat="1">
      <c r="A43" s="163" t="s">
        <v>2385</v>
      </c>
      <c r="B43" s="100">
        <v>23.97</v>
      </c>
      <c r="C43" s="100">
        <v>47.16</v>
      </c>
      <c r="D43" s="100">
        <v>45.22</v>
      </c>
      <c r="E43" s="100">
        <v>7.0000000000000007E-2</v>
      </c>
      <c r="F43" s="152" t="s">
        <v>15</v>
      </c>
      <c r="G43" s="100">
        <v>61.88</v>
      </c>
      <c r="H43" s="100">
        <v>25.36</v>
      </c>
      <c r="I43" s="147" t="s">
        <v>14</v>
      </c>
      <c r="J43" s="100">
        <v>1.2</v>
      </c>
      <c r="K43" s="100">
        <v>0.79</v>
      </c>
      <c r="L43" s="100">
        <v>23.78</v>
      </c>
      <c r="M43" s="100">
        <v>39</v>
      </c>
      <c r="N43" s="100">
        <v>222.2</v>
      </c>
      <c r="O43" s="100">
        <v>0</v>
      </c>
      <c r="P43" s="100">
        <v>0.95</v>
      </c>
      <c r="Q43" s="147" t="s">
        <v>14</v>
      </c>
      <c r="R43" s="6"/>
      <c r="S43" s="6"/>
      <c r="T43" s="156"/>
      <c r="U43" s="6"/>
    </row>
    <row r="44" spans="1:21" customFormat="1">
      <c r="A44" s="163" t="s">
        <v>2386</v>
      </c>
      <c r="B44" s="133" t="s">
        <v>4</v>
      </c>
      <c r="C44" s="133" t="s">
        <v>4</v>
      </c>
      <c r="D44" s="133" t="s">
        <v>4</v>
      </c>
      <c r="E44" s="133" t="s">
        <v>4</v>
      </c>
      <c r="F44" s="152" t="s">
        <v>15</v>
      </c>
      <c r="G44" s="133" t="s">
        <v>4</v>
      </c>
      <c r="H44" s="133" t="s">
        <v>4</v>
      </c>
      <c r="I44" s="133" t="s">
        <v>4</v>
      </c>
      <c r="J44" s="133" t="s">
        <v>4</v>
      </c>
      <c r="K44" s="133" t="s">
        <v>4</v>
      </c>
      <c r="L44" s="133" t="s">
        <v>4</v>
      </c>
      <c r="M44" s="133" t="s">
        <v>4</v>
      </c>
      <c r="N44" s="133" t="s">
        <v>4</v>
      </c>
      <c r="O44" s="133" t="s">
        <v>4</v>
      </c>
      <c r="P44" s="133" t="s">
        <v>4</v>
      </c>
      <c r="Q44" s="133" t="s">
        <v>4</v>
      </c>
      <c r="R44" s="6"/>
      <c r="S44" s="6"/>
      <c r="T44" s="156"/>
      <c r="U44" s="6"/>
    </row>
    <row r="45" spans="1:21" customFormat="1">
      <c r="A45" s="163" t="s">
        <v>2387</v>
      </c>
      <c r="B45" s="133" t="s">
        <v>4</v>
      </c>
      <c r="C45" s="133" t="s">
        <v>4</v>
      </c>
      <c r="D45" s="133" t="s">
        <v>4</v>
      </c>
      <c r="E45" s="133" t="s">
        <v>4</v>
      </c>
      <c r="F45" s="152" t="s">
        <v>15</v>
      </c>
      <c r="G45" s="133" t="s">
        <v>4</v>
      </c>
      <c r="H45" s="133" t="s">
        <v>4</v>
      </c>
      <c r="I45" s="133" t="s">
        <v>4</v>
      </c>
      <c r="J45" s="133" t="s">
        <v>4</v>
      </c>
      <c r="K45" s="133" t="s">
        <v>4</v>
      </c>
      <c r="L45" s="133" t="s">
        <v>4</v>
      </c>
      <c r="M45" s="133" t="s">
        <v>4</v>
      </c>
      <c r="N45" s="133" t="s">
        <v>4</v>
      </c>
      <c r="O45" s="133" t="s">
        <v>4</v>
      </c>
      <c r="P45" s="133" t="s">
        <v>4</v>
      </c>
      <c r="Q45" s="133" t="s">
        <v>4</v>
      </c>
      <c r="R45" s="6"/>
      <c r="S45" s="6"/>
      <c r="T45" s="156"/>
      <c r="U45" s="6"/>
    </row>
    <row r="46" spans="1:21" customFormat="1">
      <c r="A46" s="163" t="s">
        <v>2388</v>
      </c>
      <c r="B46" s="133" t="s">
        <v>4</v>
      </c>
      <c r="C46" s="133" t="s">
        <v>4</v>
      </c>
      <c r="D46" s="133" t="s">
        <v>4</v>
      </c>
      <c r="E46" s="133" t="s">
        <v>4</v>
      </c>
      <c r="F46" s="152" t="s">
        <v>15</v>
      </c>
      <c r="G46" s="133" t="s">
        <v>4</v>
      </c>
      <c r="H46" s="133" t="s">
        <v>4</v>
      </c>
      <c r="I46" s="133" t="s">
        <v>4</v>
      </c>
      <c r="J46" s="133" t="s">
        <v>4</v>
      </c>
      <c r="K46" s="133" t="s">
        <v>4</v>
      </c>
      <c r="L46" s="133" t="s">
        <v>4</v>
      </c>
      <c r="M46" s="133" t="s">
        <v>4</v>
      </c>
      <c r="N46" s="133" t="s">
        <v>4</v>
      </c>
      <c r="O46" s="133" t="s">
        <v>4</v>
      </c>
      <c r="P46" s="133" t="s">
        <v>4</v>
      </c>
      <c r="Q46" s="133" t="s">
        <v>4</v>
      </c>
      <c r="R46" s="6"/>
      <c r="S46" s="6"/>
      <c r="T46" s="156"/>
      <c r="U46" s="6"/>
    </row>
    <row r="47" spans="1:21" customFormat="1">
      <c r="A47" s="163" t="s">
        <v>2389</v>
      </c>
      <c r="B47" s="150" t="s">
        <v>21</v>
      </c>
      <c r="C47" s="150" t="s">
        <v>21</v>
      </c>
      <c r="D47" s="150" t="s">
        <v>21</v>
      </c>
      <c r="E47" s="150" t="s">
        <v>21</v>
      </c>
      <c r="F47" s="152" t="s">
        <v>15</v>
      </c>
      <c r="G47" s="100">
        <v>61.88</v>
      </c>
      <c r="H47" s="100">
        <v>25.36</v>
      </c>
      <c r="I47" s="147" t="s">
        <v>14</v>
      </c>
      <c r="J47" s="100">
        <v>0.91</v>
      </c>
      <c r="K47" s="100">
        <v>65.3</v>
      </c>
      <c r="L47" s="100">
        <v>26.78</v>
      </c>
      <c r="M47" s="100">
        <v>30.84</v>
      </c>
      <c r="N47" s="100">
        <v>287.8</v>
      </c>
      <c r="O47" s="100">
        <v>0</v>
      </c>
      <c r="P47" s="100">
        <v>0.1</v>
      </c>
      <c r="Q47" s="150" t="s">
        <v>21</v>
      </c>
      <c r="R47" s="6"/>
      <c r="S47" s="6"/>
      <c r="T47" s="156"/>
      <c r="U47" s="6"/>
    </row>
    <row r="48" spans="1:21" customFormat="1">
      <c r="A48" s="163" t="s">
        <v>2390</v>
      </c>
      <c r="B48" s="150" t="s">
        <v>21</v>
      </c>
      <c r="C48" s="150" t="s">
        <v>21</v>
      </c>
      <c r="D48" s="150" t="s">
        <v>21</v>
      </c>
      <c r="E48" s="100">
        <v>8.08</v>
      </c>
      <c r="F48" s="152" t="s">
        <v>15</v>
      </c>
      <c r="G48" s="100">
        <v>150.65</v>
      </c>
      <c r="H48" s="100">
        <v>33.21</v>
      </c>
      <c r="I48" s="147" t="s">
        <v>14</v>
      </c>
      <c r="J48" s="100">
        <v>0.97</v>
      </c>
      <c r="K48" s="100">
        <v>59.89</v>
      </c>
      <c r="L48" s="100">
        <v>27.49</v>
      </c>
      <c r="M48" s="100">
        <v>29.44</v>
      </c>
      <c r="N48" s="100">
        <v>290.7</v>
      </c>
      <c r="O48" s="100">
        <v>0</v>
      </c>
      <c r="P48" s="100">
        <v>1.0900000000000001</v>
      </c>
      <c r="Q48" s="150" t="s">
        <v>21</v>
      </c>
      <c r="R48" s="6"/>
      <c r="S48" s="6"/>
      <c r="T48" s="156"/>
      <c r="U48" s="6"/>
    </row>
    <row r="49" spans="1:21" customFormat="1">
      <c r="A49" s="163" t="s">
        <v>2391</v>
      </c>
      <c r="B49" s="100">
        <v>27.04</v>
      </c>
      <c r="C49" s="100">
        <v>37.46</v>
      </c>
      <c r="D49" s="100">
        <v>42.48</v>
      </c>
      <c r="E49" s="100">
        <v>10.23</v>
      </c>
      <c r="F49" s="152" t="s">
        <v>15</v>
      </c>
      <c r="G49" s="100">
        <v>174.4</v>
      </c>
      <c r="H49" s="100">
        <v>33.21</v>
      </c>
      <c r="I49" s="147" t="s">
        <v>14</v>
      </c>
      <c r="J49" s="100">
        <v>0.8</v>
      </c>
      <c r="K49" s="100">
        <v>0.28999999999999998</v>
      </c>
      <c r="L49" s="100">
        <v>28.31</v>
      </c>
      <c r="M49" s="100">
        <v>27.21</v>
      </c>
      <c r="N49" s="100">
        <v>246.7</v>
      </c>
      <c r="O49" s="100">
        <v>0</v>
      </c>
      <c r="P49" s="100">
        <v>1.17</v>
      </c>
      <c r="Q49" s="150" t="s">
        <v>21</v>
      </c>
      <c r="R49" s="6"/>
      <c r="S49" s="6"/>
      <c r="T49" s="156"/>
      <c r="U49" s="6"/>
    </row>
    <row r="50" spans="1:21" customFormat="1">
      <c r="A50" s="163" t="s">
        <v>2392</v>
      </c>
      <c r="B50" s="133" t="s">
        <v>4</v>
      </c>
      <c r="C50" s="133" t="s">
        <v>4</v>
      </c>
      <c r="D50" s="133" t="s">
        <v>4</v>
      </c>
      <c r="E50" s="133" t="s">
        <v>4</v>
      </c>
      <c r="F50" s="152" t="s">
        <v>15</v>
      </c>
      <c r="G50" s="133" t="s">
        <v>4</v>
      </c>
      <c r="H50" s="133" t="s">
        <v>4</v>
      </c>
      <c r="I50" s="133" t="s">
        <v>4</v>
      </c>
      <c r="J50" s="133" t="s">
        <v>4</v>
      </c>
      <c r="K50" s="133" t="s">
        <v>4</v>
      </c>
      <c r="L50" s="133" t="s">
        <v>4</v>
      </c>
      <c r="M50" s="133" t="s">
        <v>4</v>
      </c>
      <c r="N50" s="133" t="s">
        <v>4</v>
      </c>
      <c r="O50" s="133" t="s">
        <v>4</v>
      </c>
      <c r="P50" s="133" t="s">
        <v>4</v>
      </c>
      <c r="Q50" s="133" t="s">
        <v>4</v>
      </c>
      <c r="R50" s="6"/>
      <c r="S50" s="6"/>
      <c r="T50" s="156"/>
      <c r="U50" s="6"/>
    </row>
    <row r="51" spans="1:21" customFormat="1">
      <c r="A51" s="163" t="s">
        <v>2393</v>
      </c>
      <c r="B51" s="133" t="s">
        <v>4</v>
      </c>
      <c r="C51" s="133" t="s">
        <v>4</v>
      </c>
      <c r="D51" s="133" t="s">
        <v>4</v>
      </c>
      <c r="E51" s="133" t="s">
        <v>4</v>
      </c>
      <c r="F51" s="152" t="s">
        <v>15</v>
      </c>
      <c r="G51" s="133" t="s">
        <v>4</v>
      </c>
      <c r="H51" s="133" t="s">
        <v>4</v>
      </c>
      <c r="I51" s="133" t="s">
        <v>4</v>
      </c>
      <c r="J51" s="133" t="s">
        <v>4</v>
      </c>
      <c r="K51" s="133" t="s">
        <v>4</v>
      </c>
      <c r="L51" s="133" t="s">
        <v>4</v>
      </c>
      <c r="M51" s="133" t="s">
        <v>4</v>
      </c>
      <c r="N51" s="133" t="s">
        <v>4</v>
      </c>
      <c r="O51" s="133" t="s">
        <v>4</v>
      </c>
      <c r="P51" s="133" t="s">
        <v>4</v>
      </c>
      <c r="Q51" s="133" t="s">
        <v>4</v>
      </c>
      <c r="R51" s="6"/>
      <c r="S51" s="6"/>
      <c r="T51" s="156"/>
      <c r="U51" s="6"/>
    </row>
    <row r="52" spans="1:21" customFormat="1">
      <c r="A52" s="163" t="s">
        <v>2394</v>
      </c>
      <c r="B52" s="133" t="s">
        <v>4</v>
      </c>
      <c r="C52" s="133" t="s">
        <v>4</v>
      </c>
      <c r="D52" s="133" t="s">
        <v>4</v>
      </c>
      <c r="E52" s="133" t="s">
        <v>4</v>
      </c>
      <c r="F52" s="152" t="s">
        <v>15</v>
      </c>
      <c r="G52" s="133" t="s">
        <v>4</v>
      </c>
      <c r="H52" s="133" t="s">
        <v>4</v>
      </c>
      <c r="I52" s="133" t="s">
        <v>4</v>
      </c>
      <c r="J52" s="133" t="s">
        <v>4</v>
      </c>
      <c r="K52" s="133" t="s">
        <v>4</v>
      </c>
      <c r="L52" s="133" t="s">
        <v>4</v>
      </c>
      <c r="M52" s="133" t="s">
        <v>4</v>
      </c>
      <c r="N52" s="133" t="s">
        <v>4</v>
      </c>
      <c r="O52" s="133" t="s">
        <v>4</v>
      </c>
      <c r="P52" s="133" t="s">
        <v>4</v>
      </c>
      <c r="Q52" s="133" t="s">
        <v>4</v>
      </c>
      <c r="R52" s="6"/>
      <c r="S52" s="6"/>
      <c r="T52" s="156"/>
      <c r="U52" s="6"/>
    </row>
    <row r="53" spans="1:21" customFormat="1">
      <c r="A53" s="163" t="s">
        <v>2395</v>
      </c>
      <c r="B53" s="133" t="s">
        <v>4</v>
      </c>
      <c r="C53" s="133" t="s">
        <v>4</v>
      </c>
      <c r="D53" s="133" t="s">
        <v>4</v>
      </c>
      <c r="E53" s="133" t="s">
        <v>4</v>
      </c>
      <c r="F53" s="152" t="s">
        <v>15</v>
      </c>
      <c r="G53" s="133" t="s">
        <v>4</v>
      </c>
      <c r="H53" s="133" t="s">
        <v>4</v>
      </c>
      <c r="I53" s="133" t="s">
        <v>4</v>
      </c>
      <c r="J53" s="133" t="s">
        <v>4</v>
      </c>
      <c r="K53" s="133" t="s">
        <v>4</v>
      </c>
      <c r="L53" s="133" t="s">
        <v>4</v>
      </c>
      <c r="M53" s="133" t="s">
        <v>4</v>
      </c>
      <c r="N53" s="133" t="s">
        <v>4</v>
      </c>
      <c r="O53" s="133" t="s">
        <v>4</v>
      </c>
      <c r="P53" s="133" t="s">
        <v>4</v>
      </c>
      <c r="Q53" s="133" t="s">
        <v>4</v>
      </c>
      <c r="R53" s="6"/>
      <c r="S53" s="6"/>
      <c r="T53" s="156"/>
      <c r="U53" s="6"/>
    </row>
    <row r="54" spans="1:21" customFormat="1">
      <c r="A54" s="163" t="s">
        <v>2396</v>
      </c>
      <c r="B54" s="133" t="s">
        <v>4</v>
      </c>
      <c r="C54" s="133" t="s">
        <v>4</v>
      </c>
      <c r="D54" s="133" t="s">
        <v>4</v>
      </c>
      <c r="E54" s="133" t="s">
        <v>4</v>
      </c>
      <c r="F54" s="152" t="s">
        <v>15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  <c r="R54" s="6"/>
      <c r="S54" s="6"/>
      <c r="T54" s="156"/>
      <c r="U54" s="6"/>
    </row>
    <row r="55" spans="1:21" customFormat="1">
      <c r="A55" s="163" t="s">
        <v>2397</v>
      </c>
      <c r="B55" s="133" t="s">
        <v>4</v>
      </c>
      <c r="C55" s="133" t="s">
        <v>4</v>
      </c>
      <c r="D55" s="133" t="s">
        <v>4</v>
      </c>
      <c r="E55" s="133" t="s">
        <v>4</v>
      </c>
      <c r="F55" s="152" t="s">
        <v>15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  <c r="R55" s="6"/>
      <c r="S55" s="6"/>
      <c r="T55" s="156"/>
      <c r="U55" s="6"/>
    </row>
    <row r="56" spans="1:21" customFormat="1">
      <c r="A56" s="163" t="s">
        <v>2398</v>
      </c>
      <c r="B56" s="133" t="s">
        <v>4</v>
      </c>
      <c r="C56" s="133" t="s">
        <v>4</v>
      </c>
      <c r="D56" s="133" t="s">
        <v>4</v>
      </c>
      <c r="E56" s="133" t="s">
        <v>4</v>
      </c>
      <c r="F56" s="152" t="s">
        <v>15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  <c r="R56" s="6"/>
      <c r="S56" s="6"/>
      <c r="T56" s="156"/>
      <c r="U56" s="6"/>
    </row>
    <row r="57" spans="1:21" customFormat="1">
      <c r="A57" s="163" t="s">
        <v>2399</v>
      </c>
      <c r="B57" s="150" t="s">
        <v>21</v>
      </c>
      <c r="C57" s="150" t="s">
        <v>21</v>
      </c>
      <c r="D57" s="150" t="s">
        <v>21</v>
      </c>
      <c r="E57" s="150" t="s">
        <v>21</v>
      </c>
      <c r="F57" s="152" t="s">
        <v>15</v>
      </c>
      <c r="G57" s="100">
        <v>288.76</v>
      </c>
      <c r="H57" s="100">
        <v>164.22</v>
      </c>
      <c r="I57" s="147" t="s">
        <v>14</v>
      </c>
      <c r="J57" s="100">
        <v>1.32</v>
      </c>
      <c r="K57" s="100">
        <v>40.619999999999997</v>
      </c>
      <c r="L57" s="100">
        <v>31.37</v>
      </c>
      <c r="M57" s="100">
        <v>21.37</v>
      </c>
      <c r="N57" s="100">
        <v>363.7</v>
      </c>
      <c r="O57" s="100">
        <v>0</v>
      </c>
      <c r="P57" s="100">
        <v>0.35</v>
      </c>
      <c r="Q57" s="150" t="s">
        <v>21</v>
      </c>
      <c r="R57" s="6"/>
      <c r="S57" s="6"/>
      <c r="T57" s="156"/>
      <c r="U57" s="6"/>
    </row>
    <row r="58" spans="1:21" customFormat="1">
      <c r="A58" s="163" t="s">
        <v>2400</v>
      </c>
      <c r="B58" s="150" t="s">
        <v>21</v>
      </c>
      <c r="C58" s="150" t="s">
        <v>21</v>
      </c>
      <c r="D58" s="150" t="s">
        <v>21</v>
      </c>
      <c r="E58" s="100">
        <v>38.520000000000003</v>
      </c>
      <c r="F58" s="152" t="s">
        <v>15</v>
      </c>
      <c r="G58" s="100">
        <v>17.32</v>
      </c>
      <c r="H58" s="100" t="s">
        <v>14</v>
      </c>
      <c r="I58" s="147" t="s">
        <v>14</v>
      </c>
      <c r="J58" s="100">
        <v>0.76</v>
      </c>
      <c r="K58" s="100">
        <v>4.7300000000000004</v>
      </c>
      <c r="L58" s="100">
        <v>31.1</v>
      </c>
      <c r="M58" s="100">
        <v>21.88</v>
      </c>
      <c r="N58" s="100">
        <v>355.3</v>
      </c>
      <c r="O58" s="100">
        <v>0</v>
      </c>
      <c r="P58" s="100">
        <v>0.68</v>
      </c>
      <c r="Q58" s="150" t="s">
        <v>21</v>
      </c>
      <c r="R58" s="6"/>
      <c r="S58" s="6"/>
      <c r="T58" s="156"/>
      <c r="U58" s="6"/>
    </row>
    <row r="59" spans="1:21" customFormat="1">
      <c r="A59" s="163" t="s">
        <v>2401</v>
      </c>
      <c r="B59" s="100">
        <v>1.5</v>
      </c>
      <c r="C59" s="100">
        <v>13.16</v>
      </c>
      <c r="D59" s="100">
        <v>8.84</v>
      </c>
      <c r="E59" s="100">
        <v>31.54</v>
      </c>
      <c r="F59" s="152" t="s">
        <v>15</v>
      </c>
      <c r="G59" s="147" t="s">
        <v>14</v>
      </c>
      <c r="H59" s="100" t="s">
        <v>14</v>
      </c>
      <c r="I59" s="147" t="s">
        <v>14</v>
      </c>
      <c r="J59" s="100">
        <v>0.74</v>
      </c>
      <c r="K59" s="100">
        <v>13.14</v>
      </c>
      <c r="L59" s="100">
        <v>31.45</v>
      </c>
      <c r="M59" s="100">
        <v>22.06</v>
      </c>
      <c r="N59" s="100">
        <v>353.2</v>
      </c>
      <c r="O59" s="100">
        <v>0</v>
      </c>
      <c r="P59" s="100">
        <v>0.7</v>
      </c>
      <c r="Q59" s="147" t="s">
        <v>14</v>
      </c>
      <c r="R59" s="6"/>
      <c r="S59" s="6"/>
      <c r="T59" s="156"/>
      <c r="U59" s="6"/>
    </row>
    <row r="60" spans="1:21" customFormat="1">
      <c r="A60" s="163" t="s">
        <v>2402</v>
      </c>
      <c r="B60" s="100">
        <v>3.3</v>
      </c>
      <c r="C60" s="100">
        <v>23.9</v>
      </c>
      <c r="D60" s="100">
        <v>16.48</v>
      </c>
      <c r="E60" s="100">
        <v>29.5</v>
      </c>
      <c r="F60" s="152" t="s">
        <v>15</v>
      </c>
      <c r="G60" s="147" t="s">
        <v>14</v>
      </c>
      <c r="H60" s="100" t="s">
        <v>14</v>
      </c>
      <c r="I60" s="147" t="s">
        <v>14</v>
      </c>
      <c r="J60" s="100">
        <v>0.7</v>
      </c>
      <c r="K60" s="100">
        <v>72.790000000000006</v>
      </c>
      <c r="L60" s="100">
        <v>32.229999999999997</v>
      </c>
      <c r="M60" s="100">
        <v>20.69</v>
      </c>
      <c r="N60" s="100">
        <v>356.6</v>
      </c>
      <c r="O60" s="100">
        <v>0</v>
      </c>
      <c r="P60" s="100">
        <v>0.73</v>
      </c>
      <c r="Q60" s="147" t="s">
        <v>14</v>
      </c>
      <c r="R60" s="6"/>
      <c r="S60" s="6"/>
      <c r="T60" s="156"/>
      <c r="U60" s="6"/>
    </row>
    <row r="61" spans="1:21" customFormat="1">
      <c r="A61" s="163" t="s">
        <v>2403</v>
      </c>
      <c r="B61" s="100">
        <v>2.54</v>
      </c>
      <c r="C61" s="100">
        <v>26.43</v>
      </c>
      <c r="D61" s="100">
        <v>17.2</v>
      </c>
      <c r="E61" s="100">
        <v>16.12</v>
      </c>
      <c r="F61" s="152" t="s">
        <v>15</v>
      </c>
      <c r="G61" s="147" t="s">
        <v>14</v>
      </c>
      <c r="H61" s="100" t="s">
        <v>14</v>
      </c>
      <c r="I61" s="147" t="s">
        <v>14</v>
      </c>
      <c r="J61" s="100">
        <v>0.27</v>
      </c>
      <c r="K61" s="100">
        <v>164.07</v>
      </c>
      <c r="L61" s="100">
        <v>32.75</v>
      </c>
      <c r="M61" s="100">
        <v>20.21</v>
      </c>
      <c r="N61" s="100">
        <v>348.3</v>
      </c>
      <c r="O61" s="100">
        <v>0</v>
      </c>
      <c r="P61" s="100">
        <v>0.65</v>
      </c>
      <c r="Q61" s="147" t="s">
        <v>14</v>
      </c>
      <c r="R61" s="6"/>
      <c r="S61" s="6"/>
      <c r="T61" s="156"/>
      <c r="U61" s="6"/>
    </row>
    <row r="62" spans="1:21" customFormat="1">
      <c r="A62" s="163" t="s">
        <v>2404</v>
      </c>
      <c r="B62" s="100">
        <v>2.1800000000000002</v>
      </c>
      <c r="C62" s="100">
        <v>25.71</v>
      </c>
      <c r="D62" s="100">
        <v>16.53</v>
      </c>
      <c r="E62" s="100">
        <v>9.65</v>
      </c>
      <c r="F62" s="152" t="s">
        <v>15</v>
      </c>
      <c r="G62" s="100">
        <v>38.729999999999997</v>
      </c>
      <c r="H62" s="100">
        <v>36.19</v>
      </c>
      <c r="I62" s="147" t="s">
        <v>14</v>
      </c>
      <c r="J62" s="100">
        <v>0.34</v>
      </c>
      <c r="K62" s="100">
        <v>64.52</v>
      </c>
      <c r="L62" s="100">
        <v>33.020000000000003</v>
      </c>
      <c r="M62" s="100">
        <v>20.100000000000001</v>
      </c>
      <c r="N62" s="100">
        <v>336.7</v>
      </c>
      <c r="O62" s="100">
        <v>0</v>
      </c>
      <c r="P62" s="100">
        <v>0.62</v>
      </c>
      <c r="Q62" s="100">
        <v>8.84</v>
      </c>
      <c r="R62" s="6"/>
      <c r="S62" s="6"/>
      <c r="T62" s="156"/>
      <c r="U62" s="6"/>
    </row>
    <row r="63" spans="1:21" customFormat="1">
      <c r="A63" s="163" t="s">
        <v>2405</v>
      </c>
      <c r="B63" s="100">
        <v>2.2400000000000002</v>
      </c>
      <c r="C63" s="100">
        <v>23.68</v>
      </c>
      <c r="D63" s="100">
        <v>15.52</v>
      </c>
      <c r="E63" s="100">
        <v>-5.52</v>
      </c>
      <c r="F63" s="152" t="s">
        <v>15</v>
      </c>
      <c r="G63" s="100">
        <v>52.81</v>
      </c>
      <c r="H63" s="100">
        <v>36.76</v>
      </c>
      <c r="I63" s="100">
        <v>12.37</v>
      </c>
      <c r="J63" s="100">
        <v>0.76</v>
      </c>
      <c r="K63" s="100">
        <v>276.04000000000002</v>
      </c>
      <c r="L63" s="100">
        <v>32.36</v>
      </c>
      <c r="M63" s="100">
        <v>20.66</v>
      </c>
      <c r="N63" s="100">
        <v>338.3</v>
      </c>
      <c r="O63" s="100">
        <v>0</v>
      </c>
      <c r="P63" s="100">
        <v>0.56000000000000005</v>
      </c>
      <c r="Q63" s="100">
        <v>6.57</v>
      </c>
      <c r="R63" s="6"/>
      <c r="S63" s="6"/>
      <c r="T63" s="156"/>
      <c r="U63" s="6"/>
    </row>
    <row r="64" spans="1:21" customFormat="1">
      <c r="A64" s="163" t="s">
        <v>2406</v>
      </c>
      <c r="B64" s="100">
        <v>2.37</v>
      </c>
      <c r="C64" s="100">
        <v>21.24</v>
      </c>
      <c r="D64" s="100">
        <v>14.34</v>
      </c>
      <c r="E64" s="100">
        <v>-6.62</v>
      </c>
      <c r="F64" s="152" t="s">
        <v>15</v>
      </c>
      <c r="G64" s="100">
        <v>52.81</v>
      </c>
      <c r="H64" s="100">
        <v>36.76</v>
      </c>
      <c r="I64" s="100">
        <v>12.5</v>
      </c>
      <c r="J64" s="100">
        <v>0.34</v>
      </c>
      <c r="K64" s="100">
        <v>162.49</v>
      </c>
      <c r="L64" s="100">
        <v>33.18</v>
      </c>
      <c r="M64" s="100">
        <v>19.54</v>
      </c>
      <c r="N64" s="100">
        <v>351.1</v>
      </c>
      <c r="O64" s="100">
        <v>0</v>
      </c>
      <c r="P64" s="100">
        <v>0.53</v>
      </c>
      <c r="Q64" s="100">
        <v>0.8</v>
      </c>
      <c r="R64" s="6"/>
      <c r="S64" s="6"/>
      <c r="T64" s="156"/>
      <c r="U64" s="6"/>
    </row>
    <row r="65" spans="1:21" customFormat="1">
      <c r="A65" s="163" t="s">
        <v>2407</v>
      </c>
      <c r="B65" s="100">
        <v>2.4700000000000002</v>
      </c>
      <c r="C65" s="100">
        <v>19.09</v>
      </c>
      <c r="D65" s="100">
        <v>13.31</v>
      </c>
      <c r="E65" s="100">
        <v>-10.31</v>
      </c>
      <c r="F65" s="152" t="s">
        <v>15</v>
      </c>
      <c r="G65" s="100">
        <v>52.81</v>
      </c>
      <c r="H65" s="100">
        <v>36.76</v>
      </c>
      <c r="I65" s="100">
        <v>11.97</v>
      </c>
      <c r="J65" s="100">
        <v>0.39</v>
      </c>
      <c r="K65" s="100">
        <v>120.46</v>
      </c>
      <c r="L65" s="100">
        <v>33.69</v>
      </c>
      <c r="M65" s="100">
        <v>18.64</v>
      </c>
      <c r="N65" s="100">
        <v>350.9</v>
      </c>
      <c r="O65" s="100">
        <v>0</v>
      </c>
      <c r="P65" s="100">
        <v>0.73</v>
      </c>
      <c r="Q65" s="100">
        <v>0.8</v>
      </c>
      <c r="R65" s="6"/>
      <c r="S65" s="6"/>
      <c r="T65" s="156"/>
      <c r="U65" s="6"/>
    </row>
    <row r="66" spans="1:21" customFormat="1">
      <c r="A66" s="163" t="s">
        <v>2408</v>
      </c>
      <c r="B66" s="100">
        <v>2.46</v>
      </c>
      <c r="C66" s="100">
        <v>18.7</v>
      </c>
      <c r="D66" s="100">
        <v>13.09</v>
      </c>
      <c r="E66" s="100">
        <v>9.25</v>
      </c>
      <c r="F66" s="152" t="s">
        <v>15</v>
      </c>
      <c r="G66" s="100">
        <v>44.01</v>
      </c>
      <c r="H66" s="100">
        <v>42.38</v>
      </c>
      <c r="I66" s="100">
        <v>11.68</v>
      </c>
      <c r="J66" s="100">
        <v>0.17</v>
      </c>
      <c r="K66" s="100">
        <v>133.61000000000001</v>
      </c>
      <c r="L66" s="100">
        <v>33.64</v>
      </c>
      <c r="M66" s="100">
        <v>18.96</v>
      </c>
      <c r="N66" s="100">
        <v>343.8</v>
      </c>
      <c r="O66" s="100">
        <v>0</v>
      </c>
      <c r="P66" s="100">
        <v>0.71</v>
      </c>
      <c r="Q66" s="100">
        <v>0.8</v>
      </c>
      <c r="R66" s="6"/>
      <c r="S66" s="6"/>
      <c r="T66" s="156"/>
      <c r="U66" s="6"/>
    </row>
    <row r="67" spans="1:21" customFormat="1">
      <c r="A67" s="163" t="s">
        <v>2409</v>
      </c>
      <c r="B67" s="100">
        <v>2.4900000000000002</v>
      </c>
      <c r="C67" s="100">
        <v>21.46</v>
      </c>
      <c r="D67" s="100">
        <v>14.56</v>
      </c>
      <c r="E67" s="100">
        <v>-9.35</v>
      </c>
      <c r="F67" s="152" t="s">
        <v>15</v>
      </c>
      <c r="G67" s="100">
        <v>40.81</v>
      </c>
      <c r="H67" s="100">
        <v>42.46</v>
      </c>
      <c r="I67" s="100">
        <v>11.45</v>
      </c>
      <c r="J67" s="100">
        <v>0.79</v>
      </c>
      <c r="K67" s="100">
        <v>20.12</v>
      </c>
      <c r="L67" s="100">
        <v>33.270000000000003</v>
      </c>
      <c r="M67" s="100">
        <v>19.100000000000001</v>
      </c>
      <c r="N67" s="100">
        <v>307.10000000000002</v>
      </c>
      <c r="O67" s="100">
        <v>0</v>
      </c>
      <c r="P67" s="100">
        <v>0.73</v>
      </c>
      <c r="Q67" s="100">
        <v>0.8</v>
      </c>
      <c r="R67" s="6"/>
      <c r="S67" s="6"/>
      <c r="T67" s="156"/>
      <c r="U67" s="6"/>
    </row>
    <row r="68" spans="1:21" customFormat="1">
      <c r="A68" s="163" t="s">
        <v>2410</v>
      </c>
      <c r="B68" s="100">
        <v>2.58</v>
      </c>
      <c r="C68" s="100">
        <v>21.75</v>
      </c>
      <c r="D68" s="100">
        <v>14.79</v>
      </c>
      <c r="E68" s="100">
        <v>0.6</v>
      </c>
      <c r="F68" s="152" t="s">
        <v>15</v>
      </c>
      <c r="G68" s="100">
        <v>40.81</v>
      </c>
      <c r="H68" s="100">
        <v>42.46</v>
      </c>
      <c r="I68" s="100">
        <v>11.01</v>
      </c>
      <c r="J68" s="100">
        <v>0.25</v>
      </c>
      <c r="K68" s="100">
        <v>316.81</v>
      </c>
      <c r="L68" s="100">
        <v>32.86</v>
      </c>
      <c r="M68" s="100">
        <v>19.53</v>
      </c>
      <c r="N68" s="100">
        <v>132.5</v>
      </c>
      <c r="O68" s="100">
        <v>0</v>
      </c>
      <c r="P68" s="100">
        <v>0.7</v>
      </c>
      <c r="Q68" s="100">
        <v>0.8</v>
      </c>
      <c r="R68" s="6"/>
      <c r="S68" s="6"/>
      <c r="T68" s="156"/>
      <c r="U68" s="6"/>
    </row>
    <row r="69" spans="1:21" customFormat="1">
      <c r="A69" s="163" t="s">
        <v>2411</v>
      </c>
      <c r="B69" s="100">
        <v>2.58</v>
      </c>
      <c r="C69" s="100">
        <v>21.02</v>
      </c>
      <c r="D69" s="100">
        <v>14.4</v>
      </c>
      <c r="E69" s="100">
        <v>-9.16</v>
      </c>
      <c r="F69" s="152" t="s">
        <v>15</v>
      </c>
      <c r="G69" s="100">
        <v>40.81</v>
      </c>
      <c r="H69" s="100">
        <v>42.46</v>
      </c>
      <c r="I69" s="100">
        <v>10.81</v>
      </c>
      <c r="J69" s="100">
        <v>0.65</v>
      </c>
      <c r="K69" s="100">
        <v>291.43</v>
      </c>
      <c r="L69" s="100">
        <v>32.21</v>
      </c>
      <c r="M69" s="100">
        <v>20.190000000000001</v>
      </c>
      <c r="N69" s="100">
        <v>66.7</v>
      </c>
      <c r="O69" s="100">
        <v>0</v>
      </c>
      <c r="P69" s="100">
        <v>0.71</v>
      </c>
      <c r="Q69" s="100">
        <v>0.8</v>
      </c>
      <c r="R69" s="6"/>
      <c r="S69" s="6"/>
      <c r="T69" s="156"/>
      <c r="U69" s="6"/>
    </row>
    <row r="70" spans="1:21" customFormat="1">
      <c r="A70" s="163" t="s">
        <v>2412</v>
      </c>
      <c r="B70" s="100">
        <v>2.41</v>
      </c>
      <c r="C70" s="100">
        <v>20.440000000000001</v>
      </c>
      <c r="D70" s="100">
        <v>13.96</v>
      </c>
      <c r="E70" s="100">
        <v>-8.25</v>
      </c>
      <c r="F70" s="152" t="s">
        <v>15</v>
      </c>
      <c r="G70" s="100">
        <v>40.06</v>
      </c>
      <c r="H70" s="100">
        <v>34.22</v>
      </c>
      <c r="I70" s="100">
        <v>9.48</v>
      </c>
      <c r="J70" s="100">
        <v>0.72</v>
      </c>
      <c r="K70" s="100">
        <v>304.06</v>
      </c>
      <c r="L70" s="100">
        <v>32.14</v>
      </c>
      <c r="M70" s="100">
        <v>19.64</v>
      </c>
      <c r="N70" s="100">
        <v>61.6</v>
      </c>
      <c r="O70" s="100">
        <v>0</v>
      </c>
      <c r="P70" s="100">
        <v>0.68</v>
      </c>
      <c r="Q70" s="100">
        <v>0.8</v>
      </c>
      <c r="R70" s="6"/>
      <c r="S70" s="6"/>
      <c r="T70" s="156"/>
      <c r="U70" s="6"/>
    </row>
    <row r="71" spans="1:21" customFormat="1">
      <c r="A71" s="163" t="s">
        <v>2413</v>
      </c>
      <c r="B71" s="100">
        <v>2.39</v>
      </c>
      <c r="C71" s="100">
        <v>20.190000000000001</v>
      </c>
      <c r="D71" s="100">
        <v>13.82</v>
      </c>
      <c r="E71" s="100">
        <v>5.63</v>
      </c>
      <c r="F71" s="152" t="s">
        <v>15</v>
      </c>
      <c r="G71" s="100">
        <v>39.78</v>
      </c>
      <c r="H71" s="100">
        <v>34.01</v>
      </c>
      <c r="I71" s="100">
        <v>8.01</v>
      </c>
      <c r="J71" s="100">
        <v>0.6</v>
      </c>
      <c r="K71" s="100">
        <v>317.77999999999997</v>
      </c>
      <c r="L71" s="100">
        <v>31.92</v>
      </c>
      <c r="M71" s="100">
        <v>19.559999999999999</v>
      </c>
      <c r="N71" s="100">
        <v>61.2</v>
      </c>
      <c r="O71" s="100">
        <v>0</v>
      </c>
      <c r="P71" s="100">
        <v>0.68</v>
      </c>
      <c r="Q71" s="100">
        <v>0.8</v>
      </c>
      <c r="R71" s="6"/>
      <c r="S71" s="6"/>
      <c r="T71" s="156"/>
      <c r="U71" s="6"/>
    </row>
    <row r="72" spans="1:21" customFormat="1">
      <c r="A72" s="163" t="s">
        <v>2414</v>
      </c>
      <c r="B72" s="100">
        <v>2.4700000000000002</v>
      </c>
      <c r="C72" s="100">
        <v>20.27</v>
      </c>
      <c r="D72" s="100">
        <v>13.92</v>
      </c>
      <c r="E72" s="100">
        <v>3.76</v>
      </c>
      <c r="F72" s="152" t="s">
        <v>15</v>
      </c>
      <c r="G72" s="100">
        <v>39.78</v>
      </c>
      <c r="H72" s="100">
        <v>34.01</v>
      </c>
      <c r="I72" s="100">
        <v>7.73</v>
      </c>
      <c r="J72" s="100">
        <v>0.56000000000000005</v>
      </c>
      <c r="K72" s="100">
        <v>299.95</v>
      </c>
      <c r="L72" s="100">
        <v>31.83</v>
      </c>
      <c r="M72" s="100">
        <v>20.47</v>
      </c>
      <c r="N72" s="100">
        <v>66.2</v>
      </c>
      <c r="O72" s="100">
        <v>0</v>
      </c>
      <c r="P72" s="100">
        <v>0.67</v>
      </c>
      <c r="Q72" s="100">
        <v>0.8</v>
      </c>
      <c r="R72" s="6"/>
      <c r="S72" s="6"/>
      <c r="T72" s="156"/>
      <c r="U72" s="6"/>
    </row>
    <row r="73" spans="1:21" customFormat="1">
      <c r="A73" s="163" t="s">
        <v>2415</v>
      </c>
      <c r="B73" s="100">
        <v>2.48</v>
      </c>
      <c r="C73" s="100">
        <v>20.39</v>
      </c>
      <c r="D73" s="100">
        <v>14</v>
      </c>
      <c r="E73" s="100">
        <v>9.85</v>
      </c>
      <c r="F73" s="152" t="s">
        <v>15</v>
      </c>
      <c r="G73" s="100">
        <v>39.78</v>
      </c>
      <c r="H73" s="100">
        <v>34.01</v>
      </c>
      <c r="I73" s="100">
        <v>7.41</v>
      </c>
      <c r="J73" s="100">
        <v>0.65</v>
      </c>
      <c r="K73" s="100">
        <v>291.95999999999998</v>
      </c>
      <c r="L73" s="100">
        <v>31.65</v>
      </c>
      <c r="M73" s="100">
        <v>21.18</v>
      </c>
      <c r="N73" s="100">
        <v>59</v>
      </c>
      <c r="O73" s="100">
        <v>0</v>
      </c>
      <c r="P73" s="100">
        <v>0.67</v>
      </c>
      <c r="Q73" s="100">
        <v>0.8</v>
      </c>
      <c r="R73" s="6"/>
      <c r="S73" s="6"/>
      <c r="T73" s="156"/>
      <c r="U73" s="6"/>
    </row>
    <row r="74" spans="1:21" customFormat="1">
      <c r="A74" s="163" t="s">
        <v>2416</v>
      </c>
      <c r="B74" s="100">
        <v>2.4500000000000002</v>
      </c>
      <c r="C74" s="100">
        <v>20.61</v>
      </c>
      <c r="D74" s="100">
        <v>14.08</v>
      </c>
      <c r="E74" s="100">
        <v>21.4</v>
      </c>
      <c r="F74" s="152" t="s">
        <v>15</v>
      </c>
      <c r="G74" s="100">
        <v>58.28</v>
      </c>
      <c r="H74" s="100">
        <v>32.44</v>
      </c>
      <c r="I74" s="100">
        <v>7.22</v>
      </c>
      <c r="J74" s="100">
        <v>0.43</v>
      </c>
      <c r="K74" s="100">
        <v>338.27</v>
      </c>
      <c r="L74" s="100">
        <v>31.61</v>
      </c>
      <c r="M74" s="100">
        <v>21.29</v>
      </c>
      <c r="N74" s="100">
        <v>47.5</v>
      </c>
      <c r="O74" s="100">
        <v>0</v>
      </c>
      <c r="P74" s="100">
        <v>0.65</v>
      </c>
      <c r="Q74" s="100">
        <v>0.8</v>
      </c>
      <c r="R74" s="6"/>
      <c r="S74" s="6"/>
      <c r="T74" s="156"/>
      <c r="U74" s="6"/>
    </row>
    <row r="75" spans="1:21" customFormat="1">
      <c r="A75" s="163" t="s">
        <v>2417</v>
      </c>
      <c r="B75" s="100">
        <v>2.59</v>
      </c>
      <c r="C75" s="100">
        <v>20.78</v>
      </c>
      <c r="D75" s="100">
        <v>14.29</v>
      </c>
      <c r="E75" s="100">
        <v>22.28</v>
      </c>
      <c r="F75" s="152" t="s">
        <v>15</v>
      </c>
      <c r="G75" s="100">
        <v>65</v>
      </c>
      <c r="H75" s="100">
        <v>32.409999999999997</v>
      </c>
      <c r="I75" s="100">
        <v>7.01</v>
      </c>
      <c r="J75" s="100">
        <v>0.86</v>
      </c>
      <c r="K75" s="100">
        <v>43.98</v>
      </c>
      <c r="L75" s="100">
        <v>31.46</v>
      </c>
      <c r="M75" s="100">
        <v>21.59</v>
      </c>
      <c r="N75" s="100">
        <v>40.200000000000003</v>
      </c>
      <c r="O75" s="100">
        <v>0</v>
      </c>
      <c r="P75" s="100">
        <v>0.67</v>
      </c>
      <c r="Q75" s="100">
        <v>0.8</v>
      </c>
      <c r="R75" s="6"/>
      <c r="S75" s="6"/>
      <c r="T75" s="156"/>
      <c r="U75" s="6"/>
    </row>
    <row r="76" spans="1:21" customFormat="1">
      <c r="A76" s="163" t="s">
        <v>2418</v>
      </c>
      <c r="B76" s="100">
        <v>2.59</v>
      </c>
      <c r="C76" s="100">
        <v>21.37</v>
      </c>
      <c r="D76" s="100">
        <v>14.6</v>
      </c>
      <c r="E76" s="100">
        <v>18.920000000000002</v>
      </c>
      <c r="F76" s="152" t="s">
        <v>15</v>
      </c>
      <c r="G76" s="100">
        <v>65</v>
      </c>
      <c r="H76" s="100">
        <v>32.409999999999997</v>
      </c>
      <c r="I76" s="100">
        <v>6.75</v>
      </c>
      <c r="J76" s="100">
        <v>0.74</v>
      </c>
      <c r="K76" s="100">
        <v>27.57</v>
      </c>
      <c r="L76" s="100">
        <v>31.24</v>
      </c>
      <c r="M76" s="100">
        <v>20.83</v>
      </c>
      <c r="N76" s="100">
        <v>31.9</v>
      </c>
      <c r="O76" s="100">
        <v>0</v>
      </c>
      <c r="P76" s="100">
        <v>0.66</v>
      </c>
      <c r="Q76" s="100">
        <v>0.8</v>
      </c>
      <c r="R76" s="6"/>
      <c r="S76" s="6"/>
      <c r="T76" s="156"/>
      <c r="U76" s="6"/>
    </row>
    <row r="77" spans="1:21" customFormat="1">
      <c r="A77" s="163" t="s">
        <v>2419</v>
      </c>
      <c r="B77" s="100">
        <v>2.6</v>
      </c>
      <c r="C77" s="100">
        <v>21.92</v>
      </c>
      <c r="D77" s="100">
        <v>14.89</v>
      </c>
      <c r="E77" s="100">
        <v>-10.44</v>
      </c>
      <c r="F77" s="152" t="s">
        <v>15</v>
      </c>
      <c r="G77" s="100">
        <v>65</v>
      </c>
      <c r="H77" s="100">
        <v>32.409999999999997</v>
      </c>
      <c r="I77" s="100">
        <v>7.18</v>
      </c>
      <c r="J77" s="100">
        <v>0.61</v>
      </c>
      <c r="K77" s="100">
        <v>2.66</v>
      </c>
      <c r="L77" s="100">
        <v>30.9</v>
      </c>
      <c r="M77" s="100">
        <v>22.33</v>
      </c>
      <c r="N77" s="100">
        <v>25.2</v>
      </c>
      <c r="O77" s="100">
        <v>0</v>
      </c>
      <c r="P77" s="100">
        <v>0.66</v>
      </c>
      <c r="Q77" s="100">
        <v>0.8</v>
      </c>
      <c r="R77" s="6"/>
      <c r="S77" s="6"/>
      <c r="T77" s="156"/>
      <c r="U77" s="6"/>
    </row>
    <row r="78" spans="1:21" customFormat="1">
      <c r="A78" s="163" t="s">
        <v>2420</v>
      </c>
      <c r="B78" s="100">
        <v>2.63</v>
      </c>
      <c r="C78" s="100">
        <v>22.69</v>
      </c>
      <c r="D78" s="100">
        <v>15.32</v>
      </c>
      <c r="E78" s="100">
        <v>0.59</v>
      </c>
      <c r="F78" s="152" t="s">
        <v>15</v>
      </c>
      <c r="G78" s="100">
        <v>60.27</v>
      </c>
      <c r="H78" s="100">
        <v>29.74</v>
      </c>
      <c r="I78" s="100">
        <v>8.2100000000000009</v>
      </c>
      <c r="J78" s="100">
        <v>0.55000000000000004</v>
      </c>
      <c r="K78" s="100">
        <v>21.84</v>
      </c>
      <c r="L78" s="100">
        <v>30.48</v>
      </c>
      <c r="M78" s="100">
        <v>23.84</v>
      </c>
      <c r="N78" s="100">
        <v>16.8</v>
      </c>
      <c r="O78" s="100">
        <v>0</v>
      </c>
      <c r="P78" s="100">
        <v>0.64</v>
      </c>
      <c r="Q78" s="100">
        <v>0.8</v>
      </c>
      <c r="R78" s="6"/>
      <c r="S78" s="6"/>
      <c r="T78" s="156"/>
      <c r="U78" s="6"/>
    </row>
    <row r="79" spans="1:21" customFormat="1">
      <c r="A79" s="163" t="s">
        <v>2421</v>
      </c>
      <c r="B79" s="100">
        <v>2.86</v>
      </c>
      <c r="C79" s="100">
        <v>23.55</v>
      </c>
      <c r="D79" s="100">
        <v>15.95</v>
      </c>
      <c r="E79" s="100">
        <v>-9.5299999999999994</v>
      </c>
      <c r="F79" s="152" t="s">
        <v>15</v>
      </c>
      <c r="G79" s="100">
        <v>58.54</v>
      </c>
      <c r="H79" s="100">
        <v>29.7</v>
      </c>
      <c r="I79" s="100">
        <v>8.51</v>
      </c>
      <c r="J79" s="100">
        <v>0.49</v>
      </c>
      <c r="K79" s="100">
        <v>33.19</v>
      </c>
      <c r="L79" s="100">
        <v>29.92</v>
      </c>
      <c r="M79" s="100">
        <v>24.53</v>
      </c>
      <c r="N79" s="100">
        <v>9.9</v>
      </c>
      <c r="O79" s="100">
        <v>0</v>
      </c>
      <c r="P79" s="100">
        <v>0.64</v>
      </c>
      <c r="Q79" s="100">
        <v>0.8</v>
      </c>
      <c r="R79" s="6"/>
      <c r="S79" s="6"/>
      <c r="T79" s="156"/>
      <c r="U79" s="6"/>
    </row>
    <row r="80" spans="1:21" customFormat="1">
      <c r="A80" s="163" t="s">
        <v>2422</v>
      </c>
      <c r="B80" s="100">
        <v>3.16</v>
      </c>
      <c r="C80" s="100">
        <v>24.86</v>
      </c>
      <c r="D80" s="100">
        <v>16.87</v>
      </c>
      <c r="E80" s="100">
        <v>-9.24</v>
      </c>
      <c r="F80" s="152" t="s">
        <v>15</v>
      </c>
      <c r="G80" s="100">
        <v>58.54</v>
      </c>
      <c r="H80" s="100">
        <v>29.7</v>
      </c>
      <c r="I80" s="100">
        <v>8.42</v>
      </c>
      <c r="J80" s="100">
        <v>0.66</v>
      </c>
      <c r="K80" s="100">
        <v>61.09</v>
      </c>
      <c r="L80" s="100">
        <v>29.48</v>
      </c>
      <c r="M80" s="100">
        <v>25.81</v>
      </c>
      <c r="N80" s="100">
        <v>4.3</v>
      </c>
      <c r="O80" s="100">
        <v>0</v>
      </c>
      <c r="P80" s="100">
        <v>0.66</v>
      </c>
      <c r="Q80" s="100">
        <v>0.8</v>
      </c>
      <c r="R80" s="6"/>
      <c r="S80" s="6"/>
      <c r="T80" s="156"/>
      <c r="U80" s="6"/>
    </row>
    <row r="81" spans="1:21" customFormat="1">
      <c r="A81" s="163" t="s">
        <v>2423</v>
      </c>
      <c r="B81" s="100">
        <v>3.68</v>
      </c>
      <c r="C81" s="100">
        <v>26.7</v>
      </c>
      <c r="D81" s="100">
        <v>18.25</v>
      </c>
      <c r="E81" s="100">
        <v>10.31</v>
      </c>
      <c r="F81" s="152" t="s">
        <v>15</v>
      </c>
      <c r="G81" s="100">
        <v>58.54</v>
      </c>
      <c r="H81" s="100">
        <v>29.7</v>
      </c>
      <c r="I81" s="100">
        <v>8.36</v>
      </c>
      <c r="J81" s="100">
        <v>0.39</v>
      </c>
      <c r="K81" s="100">
        <v>53.63</v>
      </c>
      <c r="L81" s="100">
        <v>28.92</v>
      </c>
      <c r="M81" s="100">
        <v>27.96</v>
      </c>
      <c r="N81" s="100">
        <v>1.9</v>
      </c>
      <c r="O81" s="100">
        <v>0</v>
      </c>
      <c r="P81" s="100">
        <v>0.68</v>
      </c>
      <c r="Q81" s="100">
        <v>0.8</v>
      </c>
      <c r="R81" s="6"/>
      <c r="S81" s="6"/>
      <c r="T81" s="156"/>
      <c r="U81" s="6"/>
    </row>
    <row r="82" spans="1:21" customFormat="1">
      <c r="A82" s="163" t="s">
        <v>2424</v>
      </c>
      <c r="B82" s="100">
        <v>3.85</v>
      </c>
      <c r="C82" s="100">
        <v>28.16</v>
      </c>
      <c r="D82" s="100">
        <v>19.149999999999999</v>
      </c>
      <c r="E82" s="100">
        <v>12.69</v>
      </c>
      <c r="F82" s="152" t="s">
        <v>15</v>
      </c>
      <c r="G82" s="100">
        <v>82.72</v>
      </c>
      <c r="H82" s="100">
        <v>33</v>
      </c>
      <c r="I82" s="100">
        <v>8.4</v>
      </c>
      <c r="J82" s="100">
        <v>0.18</v>
      </c>
      <c r="K82" s="100">
        <v>109.97</v>
      </c>
      <c r="L82" s="100">
        <v>28.17</v>
      </c>
      <c r="M82" s="100">
        <v>32.49</v>
      </c>
      <c r="N82" s="100">
        <v>1.4</v>
      </c>
      <c r="O82" s="100">
        <v>0</v>
      </c>
      <c r="P82" s="100">
        <v>0.71</v>
      </c>
      <c r="Q82" s="100">
        <v>0.8</v>
      </c>
      <c r="R82" s="6"/>
      <c r="S82" s="6"/>
      <c r="T82" s="156"/>
      <c r="U82" s="6"/>
    </row>
    <row r="83" spans="1:21" customFormat="1">
      <c r="A83" s="163" t="s">
        <v>2425</v>
      </c>
      <c r="B83" s="100">
        <v>3.95</v>
      </c>
      <c r="C83" s="100">
        <v>28.97</v>
      </c>
      <c r="D83" s="100">
        <v>19.66</v>
      </c>
      <c r="E83" s="100">
        <v>10.75</v>
      </c>
      <c r="F83" s="152" t="s">
        <v>15</v>
      </c>
      <c r="G83" s="100">
        <v>91.52</v>
      </c>
      <c r="H83" s="100">
        <v>33.049999999999997</v>
      </c>
      <c r="I83" s="100">
        <v>8.5399999999999991</v>
      </c>
      <c r="J83" s="100">
        <v>0.25</v>
      </c>
      <c r="K83" s="100">
        <v>161.6</v>
      </c>
      <c r="L83" s="100">
        <v>26.97</v>
      </c>
      <c r="M83" s="100">
        <v>37.92</v>
      </c>
      <c r="N83" s="100">
        <v>1.6</v>
      </c>
      <c r="O83" s="100">
        <v>0</v>
      </c>
      <c r="P83" s="100">
        <v>0.7</v>
      </c>
      <c r="Q83" s="100">
        <v>0.8</v>
      </c>
      <c r="R83" s="6"/>
      <c r="S83" s="6"/>
      <c r="T83" s="156"/>
      <c r="U83" s="6"/>
    </row>
    <row r="84" spans="1:21" customFormat="1">
      <c r="A84" s="163" t="s">
        <v>2426</v>
      </c>
      <c r="B84" s="100">
        <v>4.2</v>
      </c>
      <c r="C84" s="100">
        <v>29.63</v>
      </c>
      <c r="D84" s="100">
        <v>20.2</v>
      </c>
      <c r="E84" s="100">
        <v>10.32</v>
      </c>
      <c r="F84" s="152" t="s">
        <v>15</v>
      </c>
      <c r="G84" s="100">
        <v>91.52</v>
      </c>
      <c r="H84" s="100">
        <v>33.049999999999997</v>
      </c>
      <c r="I84" s="100">
        <v>8.6999999999999993</v>
      </c>
      <c r="J84" s="100">
        <v>0.25</v>
      </c>
      <c r="K84" s="100">
        <v>171.47</v>
      </c>
      <c r="L84" s="100">
        <v>26.48</v>
      </c>
      <c r="M84" s="100">
        <v>38.49</v>
      </c>
      <c r="N84" s="100">
        <v>1.1000000000000001</v>
      </c>
      <c r="O84" s="100">
        <v>0</v>
      </c>
      <c r="P84" s="100">
        <v>0.72</v>
      </c>
      <c r="Q84" s="100">
        <v>0.8</v>
      </c>
      <c r="R84" s="6"/>
      <c r="S84" s="6"/>
      <c r="T84" s="156"/>
      <c r="U84" s="6"/>
    </row>
    <row r="85" spans="1:21" customFormat="1">
      <c r="A85" s="163" t="s">
        <v>2427</v>
      </c>
      <c r="B85" s="100">
        <v>4.54</v>
      </c>
      <c r="C85" s="100">
        <v>30.39</v>
      </c>
      <c r="D85" s="100">
        <v>20.87</v>
      </c>
      <c r="E85" s="100">
        <v>9.41</v>
      </c>
      <c r="F85" s="152" t="s">
        <v>15</v>
      </c>
      <c r="G85" s="100">
        <v>91.52</v>
      </c>
      <c r="H85" s="100">
        <v>33.049999999999997</v>
      </c>
      <c r="I85" s="100">
        <v>8.74</v>
      </c>
      <c r="J85" s="100">
        <v>0.3</v>
      </c>
      <c r="K85" s="100">
        <v>174.12</v>
      </c>
      <c r="L85" s="100">
        <v>25.73</v>
      </c>
      <c r="M85" s="100">
        <v>48.32</v>
      </c>
      <c r="N85" s="100">
        <v>1.5</v>
      </c>
      <c r="O85" s="100">
        <v>0</v>
      </c>
      <c r="P85" s="100">
        <v>0.73</v>
      </c>
      <c r="Q85" s="100">
        <v>0.8</v>
      </c>
      <c r="R85" s="6"/>
      <c r="S85" s="6"/>
      <c r="T85" s="156"/>
      <c r="U85" s="6"/>
    </row>
    <row r="86" spans="1:21" customFormat="1">
      <c r="A86" s="163" t="s">
        <v>2428</v>
      </c>
      <c r="B86" s="100">
        <v>4.68</v>
      </c>
      <c r="C86" s="100">
        <v>30.57</v>
      </c>
      <c r="D86" s="100">
        <v>21.07</v>
      </c>
      <c r="E86" s="100">
        <v>9.5299999999999994</v>
      </c>
      <c r="F86" s="152" t="s">
        <v>15</v>
      </c>
      <c r="G86" s="100">
        <v>111.14</v>
      </c>
      <c r="H86" s="100">
        <v>34.61</v>
      </c>
      <c r="I86" s="100">
        <v>8.82</v>
      </c>
      <c r="J86" s="100">
        <v>0.21</v>
      </c>
      <c r="K86" s="100">
        <v>217.41</v>
      </c>
      <c r="L86" s="100">
        <v>24.7</v>
      </c>
      <c r="M86" s="100">
        <v>46.04</v>
      </c>
      <c r="N86" s="100">
        <v>1.4</v>
      </c>
      <c r="O86" s="100">
        <v>0</v>
      </c>
      <c r="P86" s="100">
        <v>0.74</v>
      </c>
      <c r="Q86" s="100">
        <v>0.8</v>
      </c>
      <c r="R86" s="6"/>
      <c r="S86" s="6"/>
      <c r="T86" s="156"/>
      <c r="U86" s="6"/>
    </row>
    <row r="87" spans="1:21" customFormat="1">
      <c r="A87" s="163" t="s">
        <v>2429</v>
      </c>
      <c r="B87" s="100">
        <v>4.76</v>
      </c>
      <c r="C87" s="100">
        <v>30.53</v>
      </c>
      <c r="D87" s="100">
        <v>21.12</v>
      </c>
      <c r="E87" s="100">
        <v>9.2200000000000006</v>
      </c>
      <c r="F87" s="152" t="s">
        <v>15</v>
      </c>
      <c r="G87" s="100">
        <v>118.27</v>
      </c>
      <c r="H87" s="100">
        <v>34.64</v>
      </c>
      <c r="I87" s="100">
        <v>8.92</v>
      </c>
      <c r="J87" s="100">
        <v>0.2</v>
      </c>
      <c r="K87" s="100">
        <v>176.66</v>
      </c>
      <c r="L87" s="100">
        <v>24.31</v>
      </c>
      <c r="M87" s="100">
        <v>48.45</v>
      </c>
      <c r="N87" s="100">
        <v>1</v>
      </c>
      <c r="O87" s="100">
        <v>0</v>
      </c>
      <c r="P87" s="100">
        <v>0.75</v>
      </c>
      <c r="Q87" s="100">
        <v>0.8</v>
      </c>
      <c r="R87" s="6"/>
      <c r="S87" s="6"/>
      <c r="T87" s="156"/>
      <c r="U87" s="6"/>
    </row>
    <row r="88" spans="1:21" customFormat="1">
      <c r="A88" s="163" t="s">
        <v>2430</v>
      </c>
      <c r="B88" s="100">
        <v>4.87</v>
      </c>
      <c r="C88" s="100">
        <v>30.39</v>
      </c>
      <c r="D88" s="100">
        <v>21.14</v>
      </c>
      <c r="E88" s="100">
        <v>9.61</v>
      </c>
      <c r="F88" s="152" t="s">
        <v>15</v>
      </c>
      <c r="G88" s="100">
        <v>118.27</v>
      </c>
      <c r="H88" s="100">
        <v>34.64</v>
      </c>
      <c r="I88" s="100">
        <v>8.9499999999999993</v>
      </c>
      <c r="J88" s="100">
        <v>0.27</v>
      </c>
      <c r="K88" s="100">
        <v>171.47</v>
      </c>
      <c r="L88" s="100">
        <v>24.14</v>
      </c>
      <c r="M88" s="100">
        <v>50.23</v>
      </c>
      <c r="N88" s="100">
        <v>0.9</v>
      </c>
      <c r="O88" s="100">
        <v>0</v>
      </c>
      <c r="P88" s="100">
        <v>0.76</v>
      </c>
      <c r="Q88" s="100">
        <v>0.8</v>
      </c>
      <c r="R88" s="6"/>
      <c r="S88" s="6"/>
      <c r="T88" s="156"/>
      <c r="U88" s="6"/>
    </row>
    <row r="89" spans="1:21" customFormat="1">
      <c r="A89" s="163" t="s">
        <v>2431</v>
      </c>
      <c r="B89" s="100">
        <v>5.51</v>
      </c>
      <c r="C89" s="100">
        <v>30.69</v>
      </c>
      <c r="D89" s="100">
        <v>21.8</v>
      </c>
      <c r="E89" s="100">
        <v>9.76</v>
      </c>
      <c r="F89" s="152" t="s">
        <v>15</v>
      </c>
      <c r="G89" s="100">
        <v>118.27</v>
      </c>
      <c r="H89" s="100">
        <v>34.64</v>
      </c>
      <c r="I89" s="100">
        <v>9.0399999999999991</v>
      </c>
      <c r="J89" s="100">
        <v>0.21</v>
      </c>
      <c r="K89" s="100">
        <v>180.25</v>
      </c>
      <c r="L89" s="100">
        <v>23.9</v>
      </c>
      <c r="M89" s="100">
        <v>49.9</v>
      </c>
      <c r="N89" s="100">
        <v>0.9</v>
      </c>
      <c r="O89" s="100">
        <v>0</v>
      </c>
      <c r="P89" s="100">
        <v>0.8</v>
      </c>
      <c r="Q89" s="100">
        <v>0.8</v>
      </c>
      <c r="R89" s="6"/>
      <c r="S89" s="6"/>
      <c r="T89" s="156"/>
      <c r="U89" s="6"/>
    </row>
    <row r="90" spans="1:21" customFormat="1">
      <c r="A90" s="163" t="s">
        <v>2432</v>
      </c>
      <c r="B90" s="100">
        <v>6.81</v>
      </c>
      <c r="C90" s="100">
        <v>31.01</v>
      </c>
      <c r="D90" s="100">
        <v>23.01</v>
      </c>
      <c r="E90" s="100">
        <v>9.2899999999999991</v>
      </c>
      <c r="F90" s="152" t="s">
        <v>15</v>
      </c>
      <c r="G90" s="100">
        <v>110.22</v>
      </c>
      <c r="H90" s="100">
        <v>37.07</v>
      </c>
      <c r="I90" s="100">
        <v>9.18</v>
      </c>
      <c r="J90" s="100">
        <v>0.23</v>
      </c>
      <c r="K90" s="100">
        <v>220.86</v>
      </c>
      <c r="L90" s="100">
        <v>23.4</v>
      </c>
      <c r="M90" s="100">
        <v>53.08</v>
      </c>
      <c r="N90" s="100">
        <v>1</v>
      </c>
      <c r="O90" s="100">
        <v>0</v>
      </c>
      <c r="P90" s="100">
        <v>0.83</v>
      </c>
      <c r="Q90" s="100">
        <v>0.8</v>
      </c>
      <c r="R90" s="6"/>
      <c r="S90" s="6"/>
      <c r="T90" s="156"/>
      <c r="U90" s="6"/>
    </row>
    <row r="91" spans="1:21" customFormat="1">
      <c r="A91" s="163" t="s">
        <v>2433</v>
      </c>
      <c r="B91" s="100">
        <v>7.77</v>
      </c>
      <c r="C91" s="100">
        <v>31.11</v>
      </c>
      <c r="D91" s="100">
        <v>23.83</v>
      </c>
      <c r="E91" s="100">
        <v>10.06</v>
      </c>
      <c r="F91" s="152" t="s">
        <v>15</v>
      </c>
      <c r="G91" s="100">
        <v>107.3</v>
      </c>
      <c r="H91" s="100">
        <v>37.15</v>
      </c>
      <c r="I91" s="100">
        <v>9.43</v>
      </c>
      <c r="J91" s="100">
        <v>0.2</v>
      </c>
      <c r="K91" s="100">
        <v>220.07</v>
      </c>
      <c r="L91" s="100">
        <v>22.78</v>
      </c>
      <c r="M91" s="100">
        <v>53.92</v>
      </c>
      <c r="N91" s="100">
        <v>1.2</v>
      </c>
      <c r="O91" s="100">
        <v>0</v>
      </c>
      <c r="P91" s="100">
        <v>0.84</v>
      </c>
      <c r="Q91" s="100">
        <v>0.8</v>
      </c>
      <c r="R91" s="6"/>
      <c r="S91" s="6"/>
      <c r="T91" s="156"/>
      <c r="U91" s="6"/>
    </row>
    <row r="92" spans="1:21" customFormat="1">
      <c r="A92" s="163" t="s">
        <v>2434</v>
      </c>
      <c r="B92" s="100">
        <v>8.06</v>
      </c>
      <c r="C92" s="100">
        <v>30.88</v>
      </c>
      <c r="D92" s="100">
        <v>23.95</v>
      </c>
      <c r="E92" s="100">
        <v>10.17</v>
      </c>
      <c r="F92" s="152" t="s">
        <v>15</v>
      </c>
      <c r="G92" s="100">
        <v>107.3</v>
      </c>
      <c r="H92" s="100">
        <v>37.15</v>
      </c>
      <c r="I92" s="100">
        <v>9.74</v>
      </c>
      <c r="J92" s="100">
        <v>0.17</v>
      </c>
      <c r="K92" s="100">
        <v>193.76</v>
      </c>
      <c r="L92" s="100">
        <v>22.46</v>
      </c>
      <c r="M92" s="100">
        <v>58.74</v>
      </c>
      <c r="N92" s="100">
        <v>1</v>
      </c>
      <c r="O92" s="100">
        <v>0</v>
      </c>
      <c r="P92" s="100">
        <v>0.84</v>
      </c>
      <c r="Q92" s="100">
        <v>0.8</v>
      </c>
      <c r="R92" s="6"/>
      <c r="S92" s="6"/>
      <c r="T92" s="156"/>
      <c r="U92" s="6"/>
    </row>
    <row r="93" spans="1:21" customFormat="1">
      <c r="A93" s="163" t="s">
        <v>2435</v>
      </c>
      <c r="B93" s="100">
        <v>8.01</v>
      </c>
      <c r="C93" s="100">
        <v>30.29</v>
      </c>
      <c r="D93" s="100">
        <v>23.6</v>
      </c>
      <c r="E93" s="100">
        <v>9.6300000000000008</v>
      </c>
      <c r="F93" s="152" t="s">
        <v>15</v>
      </c>
      <c r="G93" s="100">
        <v>107.3</v>
      </c>
      <c r="H93" s="100">
        <v>37.15</v>
      </c>
      <c r="I93" s="100">
        <v>9.98</v>
      </c>
      <c r="J93" s="100">
        <v>0.26</v>
      </c>
      <c r="K93" s="100">
        <v>162.57</v>
      </c>
      <c r="L93" s="100">
        <v>22.68</v>
      </c>
      <c r="M93" s="100">
        <v>55.62</v>
      </c>
      <c r="N93" s="100">
        <v>0.6</v>
      </c>
      <c r="O93" s="100">
        <v>0</v>
      </c>
      <c r="P93" s="100">
        <v>0.86</v>
      </c>
      <c r="Q93" s="100">
        <v>0.8</v>
      </c>
      <c r="R93" s="6"/>
      <c r="S93" s="6"/>
      <c r="T93" s="156"/>
      <c r="U93" s="6"/>
    </row>
    <row r="94" spans="1:21" customFormat="1">
      <c r="A94" s="163" t="s">
        <v>2436</v>
      </c>
      <c r="B94" s="100">
        <v>8.18</v>
      </c>
      <c r="C94" s="100">
        <v>29.68</v>
      </c>
      <c r="D94" s="100">
        <v>23.42</v>
      </c>
      <c r="E94" s="100">
        <v>9.94</v>
      </c>
      <c r="F94" s="152" t="s">
        <v>15</v>
      </c>
      <c r="G94" s="100">
        <v>113.68</v>
      </c>
      <c r="H94" s="100">
        <v>25.32</v>
      </c>
      <c r="I94" s="100">
        <v>10.18</v>
      </c>
      <c r="J94" s="100">
        <v>0.23</v>
      </c>
      <c r="K94" s="100">
        <v>192.18</v>
      </c>
      <c r="L94" s="100">
        <v>22.7</v>
      </c>
      <c r="M94" s="100">
        <v>59.37</v>
      </c>
      <c r="N94" s="100">
        <v>0.7</v>
      </c>
      <c r="O94" s="100">
        <v>0</v>
      </c>
      <c r="P94" s="100">
        <v>0.87</v>
      </c>
      <c r="Q94" s="100">
        <v>0.8</v>
      </c>
      <c r="R94" s="6"/>
      <c r="S94" s="6"/>
      <c r="T94" s="156"/>
      <c r="U94" s="6"/>
    </row>
    <row r="95" spans="1:21" customFormat="1">
      <c r="A95" s="163" t="s">
        <v>2437</v>
      </c>
      <c r="B95" s="100">
        <v>8.74</v>
      </c>
      <c r="C95" s="100">
        <v>29.3</v>
      </c>
      <c r="D95" s="100">
        <v>23.67</v>
      </c>
      <c r="E95" s="100">
        <v>9.31</v>
      </c>
      <c r="F95" s="152" t="s">
        <v>15</v>
      </c>
      <c r="G95" s="100">
        <v>116</v>
      </c>
      <c r="H95" s="100">
        <v>24.63</v>
      </c>
      <c r="I95" s="100">
        <v>10.36</v>
      </c>
      <c r="J95" s="100">
        <v>0.24</v>
      </c>
      <c r="K95" s="100">
        <v>224.56</v>
      </c>
      <c r="L95" s="100">
        <v>21.95</v>
      </c>
      <c r="M95" s="100">
        <v>63.11</v>
      </c>
      <c r="N95" s="100">
        <v>1.3</v>
      </c>
      <c r="O95" s="100">
        <v>0</v>
      </c>
      <c r="P95" s="100">
        <v>0.89</v>
      </c>
      <c r="Q95" s="100">
        <v>0.8</v>
      </c>
      <c r="R95" s="6"/>
      <c r="S95" s="6"/>
      <c r="T95" s="156"/>
      <c r="U95" s="6"/>
    </row>
    <row r="96" spans="1:21" customFormat="1">
      <c r="A96" s="163" t="s">
        <v>2438</v>
      </c>
      <c r="B96" s="100">
        <v>8.8000000000000007</v>
      </c>
      <c r="C96" s="100">
        <v>28.7</v>
      </c>
      <c r="D96" s="100">
        <v>23.4</v>
      </c>
      <c r="E96" s="100">
        <v>9.67</v>
      </c>
      <c r="F96" s="152" t="s">
        <v>15</v>
      </c>
      <c r="G96" s="100">
        <v>116</v>
      </c>
      <c r="H96" s="100">
        <v>24.63</v>
      </c>
      <c r="I96" s="100">
        <v>10.55</v>
      </c>
      <c r="J96" s="100">
        <v>0.19</v>
      </c>
      <c r="K96" s="100">
        <v>175.61</v>
      </c>
      <c r="L96" s="100">
        <v>21.66</v>
      </c>
      <c r="M96" s="100">
        <v>64.41</v>
      </c>
      <c r="N96" s="100">
        <v>0.9</v>
      </c>
      <c r="O96" s="100">
        <v>0</v>
      </c>
      <c r="P96" s="100">
        <v>0.89</v>
      </c>
      <c r="Q96" s="100">
        <v>0.8</v>
      </c>
      <c r="R96" s="6"/>
      <c r="S96" s="6"/>
      <c r="T96" s="156"/>
      <c r="U96" s="6"/>
    </row>
    <row r="97" spans="1:28" customFormat="1">
      <c r="A97" s="163" t="s">
        <v>2439</v>
      </c>
      <c r="B97" s="100">
        <v>8.99</v>
      </c>
      <c r="C97" s="100">
        <v>28.3</v>
      </c>
      <c r="D97" s="100">
        <v>23.35</v>
      </c>
      <c r="E97" s="100">
        <v>9.86</v>
      </c>
      <c r="F97" s="152" t="s">
        <v>15</v>
      </c>
      <c r="G97" s="100">
        <v>116</v>
      </c>
      <c r="H97" s="100">
        <v>24.63</v>
      </c>
      <c r="I97" s="100">
        <v>10.75</v>
      </c>
      <c r="J97" s="100">
        <v>0.19</v>
      </c>
      <c r="K97" s="100">
        <v>167.82</v>
      </c>
      <c r="L97" s="100">
        <v>21.79</v>
      </c>
      <c r="M97" s="100">
        <v>61.38</v>
      </c>
      <c r="N97" s="100">
        <v>0.7</v>
      </c>
      <c r="O97" s="100">
        <v>0</v>
      </c>
      <c r="P97" s="100">
        <v>0.93</v>
      </c>
      <c r="Q97" s="100">
        <v>0.8</v>
      </c>
      <c r="R97" s="6"/>
      <c r="S97" s="6"/>
      <c r="T97" s="156"/>
      <c r="U97" s="6"/>
    </row>
    <row r="98" spans="1:28" customFormat="1">
      <c r="A98" s="163" t="s">
        <v>2440</v>
      </c>
      <c r="B98" s="100">
        <v>9.75</v>
      </c>
      <c r="C98" s="100">
        <v>27.71</v>
      </c>
      <c r="D98" s="100">
        <v>23.65</v>
      </c>
      <c r="E98" s="100">
        <v>9.11</v>
      </c>
      <c r="F98" s="152" t="s">
        <v>15</v>
      </c>
      <c r="G98" s="100">
        <v>103.19</v>
      </c>
      <c r="H98" s="100">
        <v>26.17</v>
      </c>
      <c r="I98" s="100">
        <v>10.96</v>
      </c>
      <c r="J98" s="100">
        <v>0.25</v>
      </c>
      <c r="K98" s="100">
        <v>177.76</v>
      </c>
      <c r="L98" s="100">
        <v>21.42</v>
      </c>
      <c r="M98" s="100">
        <v>66.52</v>
      </c>
      <c r="N98" s="100">
        <v>1.2</v>
      </c>
      <c r="O98" s="100">
        <v>0</v>
      </c>
      <c r="P98" s="100">
        <v>0.95</v>
      </c>
      <c r="Q98" s="100">
        <v>0.8</v>
      </c>
      <c r="R98" s="6"/>
      <c r="S98" s="6"/>
      <c r="T98" s="156"/>
      <c r="U98" s="6"/>
    </row>
    <row r="99" spans="1:28" customFormat="1">
      <c r="A99" s="163" t="s">
        <v>2441</v>
      </c>
      <c r="B99" s="100">
        <v>10.64</v>
      </c>
      <c r="C99" s="100">
        <v>27.18</v>
      </c>
      <c r="D99" s="100">
        <v>24.09</v>
      </c>
      <c r="E99" s="100">
        <v>9.4</v>
      </c>
      <c r="F99" s="152" t="s">
        <v>15</v>
      </c>
      <c r="G99" s="100">
        <v>98.53</v>
      </c>
      <c r="H99" s="100">
        <v>26.42</v>
      </c>
      <c r="I99" s="100">
        <v>11.15</v>
      </c>
      <c r="J99" s="100">
        <v>0.17</v>
      </c>
      <c r="K99" s="100">
        <v>209.77</v>
      </c>
      <c r="L99" s="100">
        <v>20.98</v>
      </c>
      <c r="M99" s="100">
        <v>64.86</v>
      </c>
      <c r="N99" s="100">
        <v>1.1000000000000001</v>
      </c>
      <c r="O99" s="100">
        <v>0</v>
      </c>
      <c r="P99" s="100">
        <v>0.95</v>
      </c>
      <c r="Q99" s="100">
        <v>0.8</v>
      </c>
      <c r="R99" s="6"/>
      <c r="S99" s="6"/>
      <c r="T99" s="156"/>
      <c r="U99" s="6"/>
    </row>
    <row r="100" spans="1:28" customFormat="1">
      <c r="A100" s="163" t="s">
        <v>2442</v>
      </c>
      <c r="B100" s="100">
        <v>11.74</v>
      </c>
      <c r="C100" s="100">
        <v>26.61</v>
      </c>
      <c r="D100" s="100">
        <v>24.67</v>
      </c>
      <c r="E100" s="100">
        <v>9.7200000000000006</v>
      </c>
      <c r="F100" s="152" t="s">
        <v>15</v>
      </c>
      <c r="G100" s="100">
        <v>98.53</v>
      </c>
      <c r="H100" s="100">
        <v>26.42</v>
      </c>
      <c r="I100" s="100">
        <v>11.23</v>
      </c>
      <c r="J100" s="100">
        <v>0.2</v>
      </c>
      <c r="K100" s="100">
        <v>202.37</v>
      </c>
      <c r="L100" s="100">
        <v>20.78</v>
      </c>
      <c r="M100" s="100">
        <v>65.290000000000006</v>
      </c>
      <c r="N100" s="100">
        <v>1.1000000000000001</v>
      </c>
      <c r="O100" s="100">
        <v>0</v>
      </c>
      <c r="P100" s="100">
        <v>0.95</v>
      </c>
      <c r="Q100" s="100">
        <v>0.8</v>
      </c>
      <c r="R100" s="6"/>
      <c r="S100" s="6"/>
      <c r="T100" s="156"/>
      <c r="U100" s="6"/>
      <c r="AB100" s="161"/>
    </row>
    <row r="101" spans="1:28" customFormat="1">
      <c r="A101" s="163" t="s">
        <v>2443</v>
      </c>
      <c r="B101" s="100">
        <v>12.58</v>
      </c>
      <c r="C101" s="100">
        <v>25.79</v>
      </c>
      <c r="D101" s="100">
        <v>24.91</v>
      </c>
      <c r="E101" s="100">
        <v>9.33</v>
      </c>
      <c r="F101" s="152" t="s">
        <v>15</v>
      </c>
      <c r="G101" s="100">
        <v>98.53</v>
      </c>
      <c r="H101" s="100">
        <v>26.42</v>
      </c>
      <c r="I101" s="100">
        <v>11.35</v>
      </c>
      <c r="J101" s="100">
        <v>0.19</v>
      </c>
      <c r="K101" s="100">
        <v>195.11</v>
      </c>
      <c r="L101" s="100">
        <v>20.55</v>
      </c>
      <c r="M101" s="100">
        <v>67.25</v>
      </c>
      <c r="N101" s="100">
        <v>1</v>
      </c>
      <c r="O101" s="100">
        <v>0</v>
      </c>
      <c r="P101" s="100">
        <v>0.95</v>
      </c>
      <c r="Q101" s="100">
        <v>0.8</v>
      </c>
      <c r="R101" s="6"/>
      <c r="S101" s="6"/>
      <c r="T101" s="156"/>
      <c r="U101" s="6"/>
    </row>
    <row r="102" spans="1:28" customFormat="1">
      <c r="A102" s="163" t="s">
        <v>2444</v>
      </c>
      <c r="B102" s="100">
        <v>12.86</v>
      </c>
      <c r="C102" s="100">
        <v>25.05</v>
      </c>
      <c r="D102" s="100">
        <v>24.75</v>
      </c>
      <c r="E102" s="100">
        <v>9.01</v>
      </c>
      <c r="F102" s="152" t="s">
        <v>15</v>
      </c>
      <c r="G102" s="100">
        <v>100.46</v>
      </c>
      <c r="H102" s="100">
        <v>28.87</v>
      </c>
      <c r="I102" s="100">
        <v>11.43</v>
      </c>
      <c r="J102" s="100">
        <v>0.17</v>
      </c>
      <c r="K102" s="100">
        <v>210.66</v>
      </c>
      <c r="L102" s="100">
        <v>20.28</v>
      </c>
      <c r="M102" s="100">
        <v>67.209999999999994</v>
      </c>
      <c r="N102" s="100">
        <v>1</v>
      </c>
      <c r="O102" s="100">
        <v>0</v>
      </c>
      <c r="P102" s="100">
        <v>0.97</v>
      </c>
      <c r="Q102" s="100">
        <v>0.8</v>
      </c>
      <c r="R102" s="6"/>
      <c r="S102" s="6"/>
      <c r="T102" s="156"/>
      <c r="U102" s="6"/>
    </row>
    <row r="103" spans="1:28" customFormat="1">
      <c r="A103" s="163" t="s">
        <v>2445</v>
      </c>
      <c r="B103" s="100">
        <v>12.67</v>
      </c>
      <c r="C103" s="100">
        <v>24.65</v>
      </c>
      <c r="D103" s="100">
        <v>24.39</v>
      </c>
      <c r="E103" s="100">
        <v>9.25</v>
      </c>
      <c r="F103" s="152" t="s">
        <v>15</v>
      </c>
      <c r="G103" s="100">
        <v>101.17</v>
      </c>
      <c r="H103" s="100">
        <v>29.22</v>
      </c>
      <c r="I103" s="100">
        <v>11.5</v>
      </c>
      <c r="J103" s="100">
        <v>0.22</v>
      </c>
      <c r="K103" s="100">
        <v>103.6</v>
      </c>
      <c r="L103" s="100">
        <v>20.420000000000002</v>
      </c>
      <c r="M103" s="100">
        <v>63.53</v>
      </c>
      <c r="N103" s="100">
        <v>0.7</v>
      </c>
      <c r="O103" s="100">
        <v>0</v>
      </c>
      <c r="P103" s="100">
        <v>0.97</v>
      </c>
      <c r="Q103" s="100">
        <v>0.8</v>
      </c>
      <c r="R103" s="6"/>
      <c r="S103" s="6"/>
      <c r="T103" s="156"/>
      <c r="U103" s="6"/>
    </row>
    <row r="104" spans="1:28" customFormat="1">
      <c r="A104" s="163" t="s">
        <v>2446</v>
      </c>
      <c r="B104" s="100">
        <v>13.33</v>
      </c>
      <c r="C104" s="100">
        <v>24.14</v>
      </c>
      <c r="D104" s="100">
        <v>24.65</v>
      </c>
      <c r="E104" s="100">
        <v>9.19</v>
      </c>
      <c r="F104" s="152" t="s">
        <v>15</v>
      </c>
      <c r="G104" s="100">
        <v>101.17</v>
      </c>
      <c r="H104" s="100">
        <v>29.22</v>
      </c>
      <c r="I104" s="100">
        <v>11.56</v>
      </c>
      <c r="J104" s="100">
        <v>0.55000000000000004</v>
      </c>
      <c r="K104" s="100">
        <v>51.23</v>
      </c>
      <c r="L104" s="100">
        <v>21.25</v>
      </c>
      <c r="M104" s="100">
        <v>58.52</v>
      </c>
      <c r="N104" s="100">
        <v>0.3</v>
      </c>
      <c r="O104" s="100">
        <v>0</v>
      </c>
      <c r="P104" s="100">
        <v>0.98</v>
      </c>
      <c r="Q104" s="100">
        <v>0.8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0.27</v>
      </c>
      <c r="C106" s="158">
        <f>MIN(C9:C104)</f>
        <v>0.54</v>
      </c>
      <c r="D106" s="158">
        <f t="shared" ref="D106:Q106" si="0">MIN(D9:D104)</f>
        <v>0.53</v>
      </c>
      <c r="E106" s="158">
        <f t="shared" si="0"/>
        <v>-10.44</v>
      </c>
      <c r="F106" s="158">
        <f t="shared" si="0"/>
        <v>0</v>
      </c>
      <c r="G106" s="158">
        <f t="shared" si="0"/>
        <v>17.32</v>
      </c>
      <c r="H106" s="158">
        <f t="shared" si="0"/>
        <v>14.23</v>
      </c>
      <c r="I106" s="158">
        <f t="shared" si="0"/>
        <v>6.75</v>
      </c>
      <c r="J106" s="158">
        <f t="shared" si="0"/>
        <v>0.1</v>
      </c>
      <c r="K106" s="158">
        <f t="shared" si="0"/>
        <v>-0.25</v>
      </c>
      <c r="L106" s="158">
        <f t="shared" si="0"/>
        <v>18.809999999999999</v>
      </c>
      <c r="M106" s="158">
        <f t="shared" si="0"/>
        <v>18.64</v>
      </c>
      <c r="N106" s="158">
        <f t="shared" si="0"/>
        <v>0.3</v>
      </c>
      <c r="O106" s="158">
        <f t="shared" si="0"/>
        <v>0</v>
      </c>
      <c r="P106" s="158">
        <f t="shared" si="0"/>
        <v>0.1</v>
      </c>
      <c r="Q106" s="158">
        <f t="shared" si="0"/>
        <v>0.8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32.96</v>
      </c>
      <c r="C107" s="157">
        <f t="shared" ref="C107:Q107" si="1">MAX(C9:C104)</f>
        <v>48.01</v>
      </c>
      <c r="D107" s="157">
        <f t="shared" si="1"/>
        <v>50.14</v>
      </c>
      <c r="E107" s="157">
        <f t="shared" si="1"/>
        <v>38.520000000000003</v>
      </c>
      <c r="F107" s="157">
        <f t="shared" si="1"/>
        <v>0</v>
      </c>
      <c r="G107" s="157">
        <f t="shared" si="1"/>
        <v>288.76</v>
      </c>
      <c r="H107" s="157">
        <f t="shared" si="1"/>
        <v>164.22</v>
      </c>
      <c r="I107" s="157">
        <f t="shared" si="1"/>
        <v>12.5</v>
      </c>
      <c r="J107" s="157">
        <f t="shared" si="1"/>
        <v>1.37</v>
      </c>
      <c r="K107" s="157">
        <f t="shared" si="1"/>
        <v>338.27</v>
      </c>
      <c r="L107" s="157">
        <f t="shared" si="1"/>
        <v>33.69</v>
      </c>
      <c r="M107" s="157">
        <f t="shared" si="1"/>
        <v>67.25</v>
      </c>
      <c r="N107" s="157">
        <f t="shared" si="1"/>
        <v>363.7</v>
      </c>
      <c r="O107" s="157">
        <f t="shared" si="1"/>
        <v>0</v>
      </c>
      <c r="P107" s="157">
        <f t="shared" si="1"/>
        <v>1.17</v>
      </c>
      <c r="Q107" s="157">
        <f t="shared" si="1"/>
        <v>8.84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10.388955223880597</v>
      </c>
      <c r="C108" s="158">
        <f t="shared" ref="C108:Q108" si="2">AVERAGE(C9:C104)</f>
        <v>29.939253731343289</v>
      </c>
      <c r="D108" s="158">
        <f t="shared" si="2"/>
        <v>25.265074626865676</v>
      </c>
      <c r="E108" s="158">
        <f t="shared" si="2"/>
        <v>6.6075714285714291</v>
      </c>
      <c r="F108" s="158" t="e">
        <f t="shared" si="2"/>
        <v>#DIV/0!</v>
      </c>
      <c r="G108" s="158">
        <f t="shared" si="2"/>
        <v>80.9505479452055</v>
      </c>
      <c r="H108" s="158">
        <f t="shared" si="2"/>
        <v>30.510972222222236</v>
      </c>
      <c r="I108" s="158">
        <f t="shared" si="2"/>
        <v>9.6557142857142857</v>
      </c>
      <c r="J108" s="158">
        <f t="shared" si="2"/>
        <v>0.43276315789473685</v>
      </c>
      <c r="K108" s="158">
        <f t="shared" si="2"/>
        <v>127.73960526315791</v>
      </c>
      <c r="L108" s="158">
        <f t="shared" si="2"/>
        <v>25.171184210526331</v>
      </c>
      <c r="M108" s="158">
        <f t="shared" si="2"/>
        <v>41.670789473684209</v>
      </c>
      <c r="N108" s="158">
        <f t="shared" si="2"/>
        <v>77.699999999999989</v>
      </c>
      <c r="O108" s="158">
        <f t="shared" si="2"/>
        <v>0</v>
      </c>
      <c r="P108" s="158">
        <f t="shared" si="2"/>
        <v>0.77039473684210535</v>
      </c>
      <c r="Q108" s="158">
        <f t="shared" si="2"/>
        <v>1.1211627906976736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9.3013021464296521</v>
      </c>
      <c r="C109" s="158">
        <f t="shared" ref="C109:Q109" si="3">STDEV(C9:C104)</f>
        <v>10.966155276844161</v>
      </c>
      <c r="D109" s="158">
        <f t="shared" si="3"/>
        <v>12.689332596191607</v>
      </c>
      <c r="E109" s="158">
        <f t="shared" si="3"/>
        <v>9.1946829997471067</v>
      </c>
      <c r="F109" s="158" t="e">
        <f t="shared" si="3"/>
        <v>#DIV/0!</v>
      </c>
      <c r="G109" s="158">
        <f t="shared" si="3"/>
        <v>38.812815033268272</v>
      </c>
      <c r="H109" s="158">
        <f t="shared" si="3"/>
        <v>17.47104027633284</v>
      </c>
      <c r="I109" s="158">
        <f t="shared" si="3"/>
        <v>1.6094843028915617</v>
      </c>
      <c r="J109" s="158">
        <f t="shared" si="3"/>
        <v>0.30653590843145079</v>
      </c>
      <c r="K109" s="158">
        <f t="shared" si="3"/>
        <v>92.420429652623028</v>
      </c>
      <c r="L109" s="158">
        <f t="shared" si="3"/>
        <v>5.1739666194271647</v>
      </c>
      <c r="M109" s="158">
        <f t="shared" si="3"/>
        <v>16.460822236503081</v>
      </c>
      <c r="N109" s="158">
        <f t="shared" si="3"/>
        <v>127.92360324297729</v>
      </c>
      <c r="O109" s="158">
        <f t="shared" si="3"/>
        <v>0</v>
      </c>
      <c r="P109" s="158">
        <f t="shared" si="3"/>
        <v>0.19253703220920862</v>
      </c>
      <c r="Q109" s="158">
        <f t="shared" si="3"/>
        <v>1.4920363350968242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COUNT(B9:B104)+29</f>
        <v>96</v>
      </c>
      <c r="C110" s="157">
        <f t="shared" ref="C110:D110" si="4">COUNT(C9:C104)+29</f>
        <v>96</v>
      </c>
      <c r="D110" s="157">
        <f t="shared" si="4"/>
        <v>96</v>
      </c>
      <c r="E110" s="157">
        <f>COUNT(E9:E104)+26</f>
        <v>96</v>
      </c>
      <c r="F110" s="157">
        <f>COUNT(F9:F104)</f>
        <v>0</v>
      </c>
      <c r="G110" s="157">
        <f>COUNT(G9:G104)+23</f>
        <v>96</v>
      </c>
      <c r="H110" s="157">
        <f>COUNT(H9:H104)+24</f>
        <v>96</v>
      </c>
      <c r="I110" s="157">
        <f>COUNT(I9:I104)+54</f>
        <v>96</v>
      </c>
      <c r="J110" s="157">
        <f>COUNT(J9:J104)+20</f>
        <v>96</v>
      </c>
      <c r="K110" s="157">
        <f t="shared" ref="K110:P110" si="5">COUNT(K9:K104)+20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COUNT(Q9:Q104)+53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&lt;90%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LESS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4" activePane="bottomRight" state="frozen"/>
      <selection pane="topRight"/>
      <selection pane="bottomLeft"/>
      <selection pane="bottomRight" activeCell="N105" sqref="N10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2447</v>
      </c>
      <c r="B9" s="100">
        <v>16.170000000000002</v>
      </c>
      <c r="C9" s="100">
        <v>24.6</v>
      </c>
      <c r="D9" s="100">
        <v>27.17</v>
      </c>
      <c r="E9" s="100">
        <v>9.42</v>
      </c>
      <c r="F9" s="152" t="s">
        <v>15</v>
      </c>
      <c r="G9" s="100">
        <v>101.17</v>
      </c>
      <c r="H9" s="100">
        <v>29.22</v>
      </c>
      <c r="I9" s="100">
        <v>11.6</v>
      </c>
      <c r="J9" s="100">
        <v>0.61</v>
      </c>
      <c r="K9" s="100">
        <v>41.57</v>
      </c>
      <c r="L9" s="100">
        <v>22.16</v>
      </c>
      <c r="M9" s="100">
        <v>53.13</v>
      </c>
      <c r="N9" s="100">
        <v>0.4</v>
      </c>
      <c r="O9" s="100">
        <v>0</v>
      </c>
      <c r="P9" s="100">
        <v>0.99</v>
      </c>
      <c r="Q9" s="100">
        <v>54.36</v>
      </c>
      <c r="R9" s="6"/>
      <c r="S9" s="6"/>
      <c r="T9" s="156"/>
      <c r="U9" s="6"/>
    </row>
    <row r="10" spans="1:21" customFormat="1">
      <c r="A10" s="163" t="s">
        <v>2448</v>
      </c>
      <c r="B10" s="100">
        <v>16.559999999999999</v>
      </c>
      <c r="C10" s="100">
        <v>24.47</v>
      </c>
      <c r="D10" s="100">
        <v>27.41</v>
      </c>
      <c r="E10" s="100">
        <v>9.76</v>
      </c>
      <c r="F10" s="152" t="s">
        <v>15</v>
      </c>
      <c r="G10" s="100">
        <v>108.96</v>
      </c>
      <c r="H10" s="100">
        <v>32.42</v>
      </c>
      <c r="I10" s="100">
        <v>11.77</v>
      </c>
      <c r="J10" s="100">
        <v>0.5</v>
      </c>
      <c r="K10" s="100">
        <v>36.25</v>
      </c>
      <c r="L10" s="100">
        <v>22.07</v>
      </c>
      <c r="M10" s="100">
        <v>52.46</v>
      </c>
      <c r="N10" s="100">
        <v>0.7</v>
      </c>
      <c r="O10" s="100">
        <v>0</v>
      </c>
      <c r="P10" s="100">
        <v>1</v>
      </c>
      <c r="Q10" s="100">
        <v>54.36</v>
      </c>
      <c r="R10" s="6"/>
      <c r="S10" s="6"/>
      <c r="T10" s="156"/>
      <c r="U10" s="6"/>
    </row>
    <row r="11" spans="1:21" customFormat="1">
      <c r="A11" s="163" t="s">
        <v>2449</v>
      </c>
      <c r="B11" s="100">
        <v>16.77</v>
      </c>
      <c r="C11" s="100">
        <v>24.57</v>
      </c>
      <c r="D11" s="100">
        <v>27.63</v>
      </c>
      <c r="E11" s="100">
        <v>9.6999999999999993</v>
      </c>
      <c r="F11" s="152" t="s">
        <v>15</v>
      </c>
      <c r="G11" s="100">
        <v>111.8</v>
      </c>
      <c r="H11" s="100">
        <v>32.869999999999997</v>
      </c>
      <c r="I11" s="100">
        <v>11.97</v>
      </c>
      <c r="J11" s="100">
        <v>0.59</v>
      </c>
      <c r="K11" s="100">
        <v>53.73</v>
      </c>
      <c r="L11" s="100">
        <v>22.28</v>
      </c>
      <c r="M11" s="100">
        <v>51.46</v>
      </c>
      <c r="N11" s="100">
        <v>0.6</v>
      </c>
      <c r="O11" s="100">
        <v>0</v>
      </c>
      <c r="P11" s="100">
        <v>1</v>
      </c>
      <c r="Q11" s="100">
        <v>54.36</v>
      </c>
      <c r="R11" s="6"/>
      <c r="S11" s="6"/>
      <c r="T11" s="156"/>
      <c r="U11" s="6"/>
    </row>
    <row r="12" spans="1:21" customFormat="1">
      <c r="A12" s="163" t="s">
        <v>2450</v>
      </c>
      <c r="B12" s="100">
        <v>16.809999999999999</v>
      </c>
      <c r="C12" s="100">
        <v>24.41</v>
      </c>
      <c r="D12" s="100">
        <v>27.59</v>
      </c>
      <c r="E12" s="100">
        <v>9.52</v>
      </c>
      <c r="F12" s="152" t="s">
        <v>15</v>
      </c>
      <c r="G12" s="100">
        <v>111.8</v>
      </c>
      <c r="H12" s="100">
        <v>32.869999999999997</v>
      </c>
      <c r="I12" s="100">
        <v>12.03</v>
      </c>
      <c r="J12" s="100">
        <v>0.49</v>
      </c>
      <c r="K12" s="100">
        <v>35.99</v>
      </c>
      <c r="L12" s="100">
        <v>22.26</v>
      </c>
      <c r="M12" s="100">
        <v>51.89</v>
      </c>
      <c r="N12" s="100">
        <v>0.8</v>
      </c>
      <c r="O12" s="100">
        <v>0</v>
      </c>
      <c r="P12" s="100">
        <v>1</v>
      </c>
      <c r="Q12" s="100">
        <v>54.36</v>
      </c>
      <c r="R12" s="6"/>
      <c r="S12" s="6"/>
      <c r="T12" s="156"/>
      <c r="U12" s="6"/>
    </row>
    <row r="13" spans="1:21" customFormat="1">
      <c r="A13" s="163" t="s">
        <v>2451</v>
      </c>
      <c r="B13" s="100">
        <v>16.88</v>
      </c>
      <c r="C13" s="100">
        <v>24.55</v>
      </c>
      <c r="D13" s="100">
        <v>27.71</v>
      </c>
      <c r="E13" s="100">
        <v>9.7100000000000009</v>
      </c>
      <c r="F13" s="152" t="s">
        <v>15</v>
      </c>
      <c r="G13" s="100">
        <v>111.8</v>
      </c>
      <c r="H13" s="100">
        <v>32.869999999999997</v>
      </c>
      <c r="I13" s="100">
        <v>12</v>
      </c>
      <c r="J13" s="100">
        <v>0.44</v>
      </c>
      <c r="K13" s="100">
        <v>36.29</v>
      </c>
      <c r="L13" s="100">
        <v>22.05</v>
      </c>
      <c r="M13" s="100">
        <v>52.76</v>
      </c>
      <c r="N13" s="100">
        <v>1</v>
      </c>
      <c r="O13" s="100">
        <v>0</v>
      </c>
      <c r="P13" s="100">
        <v>1</v>
      </c>
      <c r="Q13" s="100">
        <v>54.36</v>
      </c>
      <c r="R13" s="6"/>
      <c r="S13" s="6"/>
      <c r="T13" s="156"/>
      <c r="U13" s="6"/>
    </row>
    <row r="14" spans="1:21" customFormat="1">
      <c r="A14" s="163" t="s">
        <v>2452</v>
      </c>
      <c r="B14" s="100">
        <v>16.989999999999998</v>
      </c>
      <c r="C14" s="100">
        <v>24.42</v>
      </c>
      <c r="D14" s="100">
        <v>27.74</v>
      </c>
      <c r="E14" s="100">
        <v>9.58</v>
      </c>
      <c r="F14" s="152" t="s">
        <v>15</v>
      </c>
      <c r="G14" s="100">
        <v>104.66</v>
      </c>
      <c r="H14" s="100">
        <v>26.32</v>
      </c>
      <c r="I14" s="100">
        <v>11.92</v>
      </c>
      <c r="J14" s="100">
        <v>7.0000000000000007E-2</v>
      </c>
      <c r="K14" s="100">
        <v>94.83</v>
      </c>
      <c r="L14" s="100">
        <v>21.42</v>
      </c>
      <c r="M14" s="100">
        <v>58.42</v>
      </c>
      <c r="N14" s="100">
        <v>1.5</v>
      </c>
      <c r="O14" s="100">
        <v>0</v>
      </c>
      <c r="P14" s="100">
        <v>1</v>
      </c>
      <c r="Q14" s="100">
        <v>54.36</v>
      </c>
      <c r="R14" s="6"/>
      <c r="S14" s="6"/>
      <c r="T14" s="156"/>
      <c r="U14" s="6"/>
    </row>
    <row r="15" spans="1:21" customFormat="1">
      <c r="A15" s="163" t="s">
        <v>2453</v>
      </c>
      <c r="B15" s="100">
        <v>17.059999999999999</v>
      </c>
      <c r="C15" s="100">
        <v>24.2</v>
      </c>
      <c r="D15" s="100">
        <v>27.68</v>
      </c>
      <c r="E15" s="100">
        <v>9.35</v>
      </c>
      <c r="F15" s="152" t="s">
        <v>15</v>
      </c>
      <c r="G15" s="100">
        <v>102.07</v>
      </c>
      <c r="H15" s="100">
        <v>25.38</v>
      </c>
      <c r="I15" s="100">
        <v>11.87</v>
      </c>
      <c r="J15" s="100">
        <v>0.14000000000000001</v>
      </c>
      <c r="K15" s="100">
        <v>149.86000000000001</v>
      </c>
      <c r="L15" s="100">
        <v>20.68</v>
      </c>
      <c r="M15" s="100">
        <v>62.12</v>
      </c>
      <c r="N15" s="100">
        <v>1.4</v>
      </c>
      <c r="O15" s="100">
        <v>0</v>
      </c>
      <c r="P15" s="100">
        <v>0.99</v>
      </c>
      <c r="Q15" s="100">
        <v>54.36</v>
      </c>
      <c r="R15" s="6"/>
      <c r="S15" s="6"/>
      <c r="T15" s="156"/>
      <c r="U15" s="6"/>
    </row>
    <row r="16" spans="1:21" customFormat="1">
      <c r="A16" s="163" t="s">
        <v>2454</v>
      </c>
      <c r="B16" s="100">
        <v>17.399999999999999</v>
      </c>
      <c r="C16" s="100">
        <v>23.94</v>
      </c>
      <c r="D16" s="100">
        <v>27.81</v>
      </c>
      <c r="E16" s="100">
        <v>9.2899999999999991</v>
      </c>
      <c r="F16" s="152" t="s">
        <v>15</v>
      </c>
      <c r="G16" s="100">
        <v>102.07</v>
      </c>
      <c r="H16" s="100">
        <v>25.38</v>
      </c>
      <c r="I16" s="100">
        <v>11.81</v>
      </c>
      <c r="J16" s="100">
        <v>0.16</v>
      </c>
      <c r="K16" s="100">
        <v>60.07</v>
      </c>
      <c r="L16" s="100">
        <v>20.46</v>
      </c>
      <c r="M16" s="100">
        <v>60.17</v>
      </c>
      <c r="N16" s="100">
        <v>0.9</v>
      </c>
      <c r="O16" s="100">
        <v>0</v>
      </c>
      <c r="P16" s="100">
        <v>0.99</v>
      </c>
      <c r="Q16" s="100">
        <v>54.36</v>
      </c>
      <c r="R16" s="6"/>
      <c r="S16" s="6"/>
      <c r="T16" s="156"/>
      <c r="U16" s="6"/>
    </row>
    <row r="17" spans="1:21" customFormat="1">
      <c r="A17" s="163" t="s">
        <v>2455</v>
      </c>
      <c r="B17" s="100">
        <v>18.18</v>
      </c>
      <c r="C17" s="100">
        <v>23.2</v>
      </c>
      <c r="D17" s="100">
        <v>28.05</v>
      </c>
      <c r="E17" s="100">
        <v>9.19</v>
      </c>
      <c r="F17" s="152" t="s">
        <v>15</v>
      </c>
      <c r="G17" s="100">
        <v>102.07</v>
      </c>
      <c r="H17" s="100">
        <v>25.38</v>
      </c>
      <c r="I17" s="100">
        <v>11.76</v>
      </c>
      <c r="J17" s="100">
        <v>0.55000000000000004</v>
      </c>
      <c r="K17" s="100">
        <v>57.74</v>
      </c>
      <c r="L17" s="100">
        <v>21.21</v>
      </c>
      <c r="M17" s="100">
        <v>50.84</v>
      </c>
      <c r="N17" s="100">
        <v>0.1</v>
      </c>
      <c r="O17" s="100">
        <v>0</v>
      </c>
      <c r="P17" s="100">
        <v>0.99</v>
      </c>
      <c r="Q17" s="100">
        <v>54.36</v>
      </c>
      <c r="R17" s="6"/>
      <c r="S17" s="6"/>
      <c r="T17" s="156"/>
      <c r="U17" s="6"/>
    </row>
    <row r="18" spans="1:21" customFormat="1">
      <c r="A18" s="163" t="s">
        <v>2456</v>
      </c>
      <c r="B18" s="100">
        <v>17.87</v>
      </c>
      <c r="C18" s="100">
        <v>23.37</v>
      </c>
      <c r="D18" s="100">
        <v>27.89</v>
      </c>
      <c r="E18" s="100">
        <v>10.039999999999999</v>
      </c>
      <c r="F18" s="152" t="s">
        <v>15</v>
      </c>
      <c r="G18" s="100">
        <v>93.98</v>
      </c>
      <c r="H18" s="100">
        <v>28.26</v>
      </c>
      <c r="I18" s="100">
        <v>11.73</v>
      </c>
      <c r="J18" s="100">
        <v>0.14000000000000001</v>
      </c>
      <c r="K18" s="100">
        <v>89.9</v>
      </c>
      <c r="L18" s="100">
        <v>21.17</v>
      </c>
      <c r="M18" s="100">
        <v>53.43</v>
      </c>
      <c r="N18" s="100">
        <v>1.1000000000000001</v>
      </c>
      <c r="O18" s="100">
        <v>0</v>
      </c>
      <c r="P18" s="100">
        <v>0.99</v>
      </c>
      <c r="Q18" s="100">
        <v>54.36</v>
      </c>
      <c r="R18" s="6"/>
      <c r="S18" s="6"/>
      <c r="T18" s="156"/>
      <c r="U18" s="6"/>
    </row>
    <row r="19" spans="1:21" customFormat="1">
      <c r="A19" s="163" t="s">
        <v>2457</v>
      </c>
      <c r="B19" s="100">
        <v>17.489999999999998</v>
      </c>
      <c r="C19" s="100">
        <v>23.25</v>
      </c>
      <c r="D19" s="100">
        <v>27.52</v>
      </c>
      <c r="E19" s="100">
        <v>9.8000000000000007</v>
      </c>
      <c r="F19" s="152" t="s">
        <v>15</v>
      </c>
      <c r="G19" s="100">
        <v>91.04</v>
      </c>
      <c r="H19" s="100">
        <v>28.67</v>
      </c>
      <c r="I19" s="100">
        <v>11.76</v>
      </c>
      <c r="J19" s="100">
        <v>0.46</v>
      </c>
      <c r="K19" s="100">
        <v>29.54</v>
      </c>
      <c r="L19" s="100">
        <v>21</v>
      </c>
      <c r="M19" s="100">
        <v>49.72</v>
      </c>
      <c r="N19" s="100">
        <v>0.6</v>
      </c>
      <c r="O19" s="100">
        <v>0</v>
      </c>
      <c r="P19" s="100">
        <v>0.99</v>
      </c>
      <c r="Q19" s="100">
        <v>54.36</v>
      </c>
      <c r="R19" s="6"/>
      <c r="S19" s="6"/>
      <c r="T19" s="156"/>
      <c r="U19" s="6"/>
    </row>
    <row r="20" spans="1:21" customFormat="1">
      <c r="A20" s="163" t="s">
        <v>2458</v>
      </c>
      <c r="B20" s="100">
        <v>17.420000000000002</v>
      </c>
      <c r="C20" s="100">
        <v>22.98</v>
      </c>
      <c r="D20" s="100">
        <v>27.32</v>
      </c>
      <c r="E20" s="100">
        <v>10.02</v>
      </c>
      <c r="F20" s="152" t="s">
        <v>15</v>
      </c>
      <c r="G20" s="100">
        <v>91.04</v>
      </c>
      <c r="H20" s="100">
        <v>28.67</v>
      </c>
      <c r="I20" s="100">
        <v>11.8</v>
      </c>
      <c r="J20" s="100">
        <v>0.34</v>
      </c>
      <c r="K20" s="100">
        <v>29.07</v>
      </c>
      <c r="L20" s="100">
        <v>20.89</v>
      </c>
      <c r="M20" s="100">
        <v>49.65</v>
      </c>
      <c r="N20" s="100">
        <v>0.8</v>
      </c>
      <c r="O20" s="100">
        <v>0</v>
      </c>
      <c r="P20" s="100">
        <v>0.96</v>
      </c>
      <c r="Q20" s="100">
        <v>54.36</v>
      </c>
      <c r="R20" s="6"/>
      <c r="S20" s="6"/>
      <c r="T20" s="156"/>
      <c r="U20" s="6"/>
    </row>
    <row r="21" spans="1:21" customFormat="1">
      <c r="A21" s="163" t="s">
        <v>2459</v>
      </c>
      <c r="B21" s="100">
        <v>17.010000000000002</v>
      </c>
      <c r="C21" s="100">
        <v>23.42</v>
      </c>
      <c r="D21" s="100">
        <v>27.23</v>
      </c>
      <c r="E21" s="100">
        <v>10.31</v>
      </c>
      <c r="F21" s="152" t="s">
        <v>15</v>
      </c>
      <c r="G21" s="100">
        <v>91.04</v>
      </c>
      <c r="H21" s="100">
        <v>28.67</v>
      </c>
      <c r="I21" s="100">
        <v>11.74</v>
      </c>
      <c r="J21" s="100">
        <v>0.14000000000000001</v>
      </c>
      <c r="K21" s="100">
        <v>101.65</v>
      </c>
      <c r="L21" s="100">
        <v>20.399999999999999</v>
      </c>
      <c r="M21" s="100">
        <v>56.65</v>
      </c>
      <c r="N21" s="100">
        <v>1.4</v>
      </c>
      <c r="O21" s="100">
        <v>0</v>
      </c>
      <c r="P21" s="100">
        <v>0.94</v>
      </c>
      <c r="Q21" s="100">
        <v>54.36</v>
      </c>
      <c r="R21" s="6"/>
      <c r="S21" s="6"/>
      <c r="T21" s="156"/>
      <c r="U21" s="6"/>
    </row>
    <row r="22" spans="1:21" customFormat="1">
      <c r="A22" s="163" t="s">
        <v>2460</v>
      </c>
      <c r="B22" s="100">
        <v>16.88</v>
      </c>
      <c r="C22" s="100">
        <v>23.11</v>
      </c>
      <c r="D22" s="100">
        <v>26.96</v>
      </c>
      <c r="E22" s="100">
        <v>9.77</v>
      </c>
      <c r="F22" s="152" t="s">
        <v>15</v>
      </c>
      <c r="G22" s="100">
        <v>86.41</v>
      </c>
      <c r="H22" s="100">
        <v>26.35</v>
      </c>
      <c r="I22" s="100">
        <v>11.69</v>
      </c>
      <c r="J22" s="100">
        <v>0.42</v>
      </c>
      <c r="K22" s="100">
        <v>37.51</v>
      </c>
      <c r="L22" s="100">
        <v>20.260000000000002</v>
      </c>
      <c r="M22" s="100">
        <v>51.11</v>
      </c>
      <c r="N22" s="100">
        <v>0.7</v>
      </c>
      <c r="O22" s="100">
        <v>0</v>
      </c>
      <c r="P22" s="100">
        <v>0.92</v>
      </c>
      <c r="Q22" s="100">
        <v>54.36</v>
      </c>
      <c r="R22" s="6"/>
      <c r="S22" s="6"/>
      <c r="T22" s="156"/>
      <c r="U22" s="6"/>
    </row>
    <row r="23" spans="1:21" customFormat="1">
      <c r="A23" s="163" t="s">
        <v>2461</v>
      </c>
      <c r="B23" s="100">
        <v>16.27</v>
      </c>
      <c r="C23" s="100">
        <v>23.78</v>
      </c>
      <c r="D23" s="100">
        <v>26.83</v>
      </c>
      <c r="E23" s="100">
        <v>10.3</v>
      </c>
      <c r="F23" s="152" t="s">
        <v>15</v>
      </c>
      <c r="G23" s="100">
        <v>84.73</v>
      </c>
      <c r="H23" s="100">
        <v>26.2</v>
      </c>
      <c r="I23" s="100">
        <v>11.63</v>
      </c>
      <c r="J23" s="100">
        <v>0.47</v>
      </c>
      <c r="K23" s="100">
        <v>40.090000000000003</v>
      </c>
      <c r="L23" s="100">
        <v>20.39</v>
      </c>
      <c r="M23" s="100">
        <v>50.52</v>
      </c>
      <c r="N23" s="100">
        <v>0.7</v>
      </c>
      <c r="O23" s="100">
        <v>0</v>
      </c>
      <c r="P23" s="100">
        <v>0.9</v>
      </c>
      <c r="Q23" s="100">
        <v>54.36</v>
      </c>
      <c r="R23" s="6"/>
      <c r="S23" s="6"/>
      <c r="T23" s="156"/>
      <c r="U23" s="6"/>
    </row>
    <row r="24" spans="1:21" customFormat="1">
      <c r="A24" s="163" t="s">
        <v>2462</v>
      </c>
      <c r="B24" s="100">
        <v>14.79</v>
      </c>
      <c r="C24" s="100">
        <v>24.48</v>
      </c>
      <c r="D24" s="100">
        <v>26</v>
      </c>
      <c r="E24" s="100">
        <v>10.029999999999999</v>
      </c>
      <c r="F24" s="152" t="s">
        <v>15</v>
      </c>
      <c r="G24" s="100">
        <v>84.73</v>
      </c>
      <c r="H24" s="100">
        <v>26.2</v>
      </c>
      <c r="I24" s="100">
        <v>11.54</v>
      </c>
      <c r="J24" s="100">
        <v>0.24</v>
      </c>
      <c r="K24" s="100">
        <v>61.5</v>
      </c>
      <c r="L24" s="100">
        <v>20.14</v>
      </c>
      <c r="M24" s="100">
        <v>55.55</v>
      </c>
      <c r="N24" s="100">
        <v>1.1000000000000001</v>
      </c>
      <c r="O24" s="100">
        <v>0</v>
      </c>
      <c r="P24" s="100">
        <v>0.89</v>
      </c>
      <c r="Q24" s="100">
        <v>54.36</v>
      </c>
      <c r="R24" s="6"/>
      <c r="S24" s="6"/>
      <c r="T24" s="156"/>
      <c r="U24" s="6"/>
    </row>
    <row r="25" spans="1:21" customFormat="1">
      <c r="A25" s="163" t="s">
        <v>2463</v>
      </c>
      <c r="B25" s="100">
        <v>15.15</v>
      </c>
      <c r="C25" s="100">
        <v>23.69</v>
      </c>
      <c r="D25" s="100">
        <v>25.87</v>
      </c>
      <c r="E25" s="100">
        <v>8.9600000000000009</v>
      </c>
      <c r="F25" s="152" t="s">
        <v>15</v>
      </c>
      <c r="G25" s="100">
        <v>84.73</v>
      </c>
      <c r="H25" s="100">
        <v>26.2</v>
      </c>
      <c r="I25" s="100">
        <v>11.5</v>
      </c>
      <c r="J25" s="100">
        <v>0.37</v>
      </c>
      <c r="K25" s="100">
        <v>56.36</v>
      </c>
      <c r="L25" s="100">
        <v>19.850000000000001</v>
      </c>
      <c r="M25" s="100">
        <v>53.68</v>
      </c>
      <c r="N25" s="100">
        <v>0.9</v>
      </c>
      <c r="O25" s="100">
        <v>0</v>
      </c>
      <c r="P25" s="100">
        <v>0.88</v>
      </c>
      <c r="Q25" s="100">
        <v>54.36</v>
      </c>
      <c r="R25" s="6"/>
      <c r="S25" s="6"/>
      <c r="T25" s="156"/>
      <c r="U25" s="6"/>
    </row>
    <row r="26" spans="1:21" customFormat="1">
      <c r="A26" s="163" t="s">
        <v>2464</v>
      </c>
      <c r="B26" s="100">
        <v>14.84</v>
      </c>
      <c r="C26" s="100">
        <v>23.9</v>
      </c>
      <c r="D26" s="100">
        <v>25.74</v>
      </c>
      <c r="E26" s="100">
        <v>9.76</v>
      </c>
      <c r="F26" s="152" t="s">
        <v>15</v>
      </c>
      <c r="G26" s="100">
        <v>70.040000000000006</v>
      </c>
      <c r="H26" s="100">
        <v>18.690000000000001</v>
      </c>
      <c r="I26" s="100">
        <v>11.45</v>
      </c>
      <c r="J26" s="100">
        <v>0.59</v>
      </c>
      <c r="K26" s="100">
        <v>64.19</v>
      </c>
      <c r="L26" s="100">
        <v>19.920000000000002</v>
      </c>
      <c r="M26" s="100">
        <v>51.25</v>
      </c>
      <c r="N26" s="100">
        <v>0.6</v>
      </c>
      <c r="O26" s="100">
        <v>0</v>
      </c>
      <c r="P26" s="100">
        <v>0.88</v>
      </c>
      <c r="Q26" s="100">
        <v>54.36</v>
      </c>
      <c r="R26" s="6"/>
      <c r="S26" s="6"/>
      <c r="T26" s="156"/>
      <c r="U26" s="6"/>
    </row>
    <row r="27" spans="1:21" customFormat="1">
      <c r="A27" s="163" t="s">
        <v>2465</v>
      </c>
      <c r="B27" s="100">
        <v>14.16</v>
      </c>
      <c r="C27" s="100">
        <v>25.07</v>
      </c>
      <c r="D27" s="100">
        <v>25.81</v>
      </c>
      <c r="E27" s="100">
        <v>9.81</v>
      </c>
      <c r="F27" s="152" t="s">
        <v>15</v>
      </c>
      <c r="G27" s="100">
        <v>64.7</v>
      </c>
      <c r="H27" s="100">
        <v>17.62</v>
      </c>
      <c r="I27" s="100">
        <v>11.38</v>
      </c>
      <c r="J27" s="100">
        <v>0.49</v>
      </c>
      <c r="K27" s="100">
        <v>59.76</v>
      </c>
      <c r="L27" s="100">
        <v>19.86</v>
      </c>
      <c r="M27" s="100">
        <v>51.38</v>
      </c>
      <c r="N27" s="100">
        <v>0.8</v>
      </c>
      <c r="O27" s="100">
        <v>0</v>
      </c>
      <c r="P27" s="100">
        <v>0.89</v>
      </c>
      <c r="Q27" s="100">
        <v>54.36</v>
      </c>
      <c r="R27" s="6"/>
      <c r="S27" s="6"/>
      <c r="T27" s="156"/>
      <c r="U27" s="6"/>
    </row>
    <row r="28" spans="1:21" customFormat="1">
      <c r="A28" s="163" t="s">
        <v>2466</v>
      </c>
      <c r="B28" s="100">
        <v>13.94</v>
      </c>
      <c r="C28" s="100">
        <v>25.33</v>
      </c>
      <c r="D28" s="100">
        <v>25.76</v>
      </c>
      <c r="E28" s="100">
        <v>9.64</v>
      </c>
      <c r="F28" s="152" t="s">
        <v>15</v>
      </c>
      <c r="G28" s="100">
        <v>64.7</v>
      </c>
      <c r="H28" s="100">
        <v>17.62</v>
      </c>
      <c r="I28" s="100">
        <v>11.31</v>
      </c>
      <c r="J28" s="100">
        <v>0.16</v>
      </c>
      <c r="K28" s="100">
        <v>174.05</v>
      </c>
      <c r="L28" s="100">
        <v>19.149999999999999</v>
      </c>
      <c r="M28" s="100">
        <v>63.68</v>
      </c>
      <c r="N28" s="100">
        <v>1.6</v>
      </c>
      <c r="O28" s="100">
        <v>0</v>
      </c>
      <c r="P28" s="100">
        <v>0.9</v>
      </c>
      <c r="Q28" s="100">
        <v>54.36</v>
      </c>
      <c r="R28" s="6"/>
      <c r="S28" s="6"/>
      <c r="T28" s="156"/>
      <c r="U28" s="6"/>
    </row>
    <row r="29" spans="1:21" customFormat="1">
      <c r="A29" s="163" t="s">
        <v>2467</v>
      </c>
      <c r="B29" s="100">
        <v>13.65</v>
      </c>
      <c r="C29" s="100">
        <v>25.01</v>
      </c>
      <c r="D29" s="100">
        <v>25.36</v>
      </c>
      <c r="E29" s="100">
        <v>9.76</v>
      </c>
      <c r="F29" s="152" t="s">
        <v>15</v>
      </c>
      <c r="G29" s="100">
        <v>64.7</v>
      </c>
      <c r="H29" s="100">
        <v>17.62</v>
      </c>
      <c r="I29" s="100">
        <v>11.25</v>
      </c>
      <c r="J29" s="100">
        <v>0.22</v>
      </c>
      <c r="K29" s="100">
        <v>163.08000000000001</v>
      </c>
      <c r="L29" s="100">
        <v>18.260000000000002</v>
      </c>
      <c r="M29" s="100">
        <v>65.849999999999994</v>
      </c>
      <c r="N29" s="100">
        <v>1.5</v>
      </c>
      <c r="O29" s="100">
        <v>0</v>
      </c>
      <c r="P29" s="100">
        <v>0.9</v>
      </c>
      <c r="Q29" s="100">
        <v>54.36</v>
      </c>
      <c r="R29" s="6"/>
      <c r="S29" s="6"/>
      <c r="T29" s="156"/>
      <c r="U29" s="6"/>
    </row>
    <row r="30" spans="1:21" customFormat="1">
      <c r="A30" s="163" t="s">
        <v>2468</v>
      </c>
      <c r="B30" s="100">
        <v>13.38</v>
      </c>
      <c r="C30" s="100">
        <v>24.92</v>
      </c>
      <c r="D30" s="100">
        <v>25.1</v>
      </c>
      <c r="E30" s="100">
        <v>9.6199999999999992</v>
      </c>
      <c r="F30" s="152" t="s">
        <v>15</v>
      </c>
      <c r="G30" s="100">
        <v>73.73</v>
      </c>
      <c r="H30" s="100">
        <v>22.48</v>
      </c>
      <c r="I30" s="100">
        <v>11.17</v>
      </c>
      <c r="J30" s="100">
        <v>0.16</v>
      </c>
      <c r="K30" s="100">
        <v>159.57</v>
      </c>
      <c r="L30" s="100">
        <v>18.27</v>
      </c>
      <c r="M30" s="100">
        <v>64.59</v>
      </c>
      <c r="N30" s="100">
        <v>0.9</v>
      </c>
      <c r="O30" s="100">
        <v>0</v>
      </c>
      <c r="P30" s="100">
        <v>0.89</v>
      </c>
      <c r="Q30" s="100">
        <v>54.36</v>
      </c>
      <c r="R30" s="6"/>
      <c r="S30" s="6"/>
      <c r="T30" s="156"/>
      <c r="U30" s="6"/>
    </row>
    <row r="31" spans="1:21" customFormat="1">
      <c r="A31" s="163" t="s">
        <v>2469</v>
      </c>
      <c r="B31" s="100">
        <v>13.36</v>
      </c>
      <c r="C31" s="100">
        <v>24.91</v>
      </c>
      <c r="D31" s="100">
        <v>25.08</v>
      </c>
      <c r="E31" s="100">
        <v>9.8000000000000007</v>
      </c>
      <c r="F31" s="152" t="s">
        <v>15</v>
      </c>
      <c r="G31" s="100">
        <v>77.010000000000005</v>
      </c>
      <c r="H31" s="100">
        <v>23.3</v>
      </c>
      <c r="I31" s="100">
        <v>11.09</v>
      </c>
      <c r="J31" s="100">
        <v>0.14000000000000001</v>
      </c>
      <c r="K31" s="100">
        <v>51.79</v>
      </c>
      <c r="L31" s="100">
        <v>18.55</v>
      </c>
      <c r="M31" s="100">
        <v>58.95</v>
      </c>
      <c r="N31" s="100">
        <v>0.5</v>
      </c>
      <c r="O31" s="100">
        <v>0</v>
      </c>
      <c r="P31" s="100">
        <v>0.88</v>
      </c>
      <c r="Q31" s="100">
        <v>54.36</v>
      </c>
      <c r="R31" s="6"/>
      <c r="S31" s="6"/>
      <c r="T31" s="156"/>
      <c r="U31" s="6"/>
    </row>
    <row r="32" spans="1:21" customFormat="1">
      <c r="A32" s="163" t="s">
        <v>2470</v>
      </c>
      <c r="B32" s="100">
        <v>13.05</v>
      </c>
      <c r="C32" s="100">
        <v>25.06</v>
      </c>
      <c r="D32" s="100">
        <v>24.91</v>
      </c>
      <c r="E32" s="100">
        <v>9.94</v>
      </c>
      <c r="F32" s="152" t="s">
        <v>15</v>
      </c>
      <c r="G32" s="100">
        <v>77.010000000000005</v>
      </c>
      <c r="H32" s="100">
        <v>23.3</v>
      </c>
      <c r="I32" s="100">
        <v>10.97</v>
      </c>
      <c r="J32" s="100">
        <v>0.2</v>
      </c>
      <c r="K32" s="100">
        <v>201.04</v>
      </c>
      <c r="L32" s="100">
        <v>17.96</v>
      </c>
      <c r="M32" s="100">
        <v>64.72</v>
      </c>
      <c r="N32" s="100">
        <v>1.3</v>
      </c>
      <c r="O32" s="100">
        <v>0</v>
      </c>
      <c r="P32" s="100">
        <v>0.87</v>
      </c>
      <c r="Q32" s="100">
        <v>54.36</v>
      </c>
      <c r="R32" s="6"/>
      <c r="S32" s="6"/>
      <c r="T32" s="156"/>
      <c r="U32" s="6"/>
    </row>
    <row r="33" spans="1:21" customFormat="1">
      <c r="A33" s="163" t="s">
        <v>2471</v>
      </c>
      <c r="B33" s="100">
        <v>12.84</v>
      </c>
      <c r="C33" s="100">
        <v>25.15</v>
      </c>
      <c r="D33" s="100">
        <v>24.79</v>
      </c>
      <c r="E33" s="100">
        <v>9.77</v>
      </c>
      <c r="F33" s="152" t="s">
        <v>15</v>
      </c>
      <c r="G33" s="100">
        <v>77.010000000000005</v>
      </c>
      <c r="H33" s="100">
        <v>23.3</v>
      </c>
      <c r="I33" s="100">
        <v>10.85</v>
      </c>
      <c r="J33" s="100">
        <v>0.2</v>
      </c>
      <c r="K33" s="100">
        <v>219.29</v>
      </c>
      <c r="L33" s="100">
        <v>17.27</v>
      </c>
      <c r="M33" s="100">
        <v>71.099999999999994</v>
      </c>
      <c r="N33" s="100">
        <v>1.7</v>
      </c>
      <c r="O33" s="100">
        <v>0</v>
      </c>
      <c r="P33" s="100">
        <v>0.85</v>
      </c>
      <c r="Q33" s="100">
        <v>54.36</v>
      </c>
      <c r="R33" s="6"/>
      <c r="S33" s="6"/>
      <c r="T33" s="156"/>
      <c r="U33" s="6"/>
    </row>
    <row r="34" spans="1:21" customFormat="1">
      <c r="A34" s="163" t="s">
        <v>2472</v>
      </c>
      <c r="B34" s="100">
        <v>12.92</v>
      </c>
      <c r="C34" s="100">
        <v>25.16</v>
      </c>
      <c r="D34" s="100">
        <v>24.86</v>
      </c>
      <c r="E34" s="100">
        <v>9.35</v>
      </c>
      <c r="F34" s="152" t="s">
        <v>15</v>
      </c>
      <c r="G34" s="100">
        <v>71.84</v>
      </c>
      <c r="H34" s="100">
        <v>18.54</v>
      </c>
      <c r="I34" s="100">
        <v>10.74</v>
      </c>
      <c r="J34" s="100">
        <v>0.18</v>
      </c>
      <c r="K34" s="100">
        <v>199.45</v>
      </c>
      <c r="L34" s="100">
        <v>17.239999999999998</v>
      </c>
      <c r="M34" s="100">
        <v>71.010000000000005</v>
      </c>
      <c r="N34" s="100">
        <v>3</v>
      </c>
      <c r="O34" s="100">
        <v>0</v>
      </c>
      <c r="P34" s="100">
        <v>0.84</v>
      </c>
      <c r="Q34" s="100">
        <v>54.36</v>
      </c>
      <c r="R34" s="6"/>
      <c r="S34" s="6"/>
      <c r="T34" s="156"/>
      <c r="U34" s="6"/>
    </row>
    <row r="35" spans="1:21" customFormat="1">
      <c r="A35" s="163" t="s">
        <v>2473</v>
      </c>
      <c r="B35" s="100">
        <v>13.25</v>
      </c>
      <c r="C35" s="100">
        <v>25.04</v>
      </c>
      <c r="D35" s="100">
        <v>25.06</v>
      </c>
      <c r="E35" s="100">
        <v>9.4600000000000009</v>
      </c>
      <c r="F35" s="152" t="s">
        <v>15</v>
      </c>
      <c r="G35" s="100">
        <v>69.959999999999994</v>
      </c>
      <c r="H35" s="100">
        <v>17.75</v>
      </c>
      <c r="I35" s="100">
        <v>10.61</v>
      </c>
      <c r="J35" s="100">
        <v>0.2</v>
      </c>
      <c r="K35" s="100">
        <v>202.36</v>
      </c>
      <c r="L35" s="100">
        <v>17.09</v>
      </c>
      <c r="M35" s="100">
        <v>72.88</v>
      </c>
      <c r="N35" s="100">
        <v>7.5</v>
      </c>
      <c r="O35" s="100">
        <v>0</v>
      </c>
      <c r="P35" s="100">
        <v>0.84</v>
      </c>
      <c r="Q35" s="100">
        <v>54.36</v>
      </c>
      <c r="R35" s="6"/>
      <c r="S35" s="6"/>
      <c r="T35" s="156"/>
      <c r="U35" s="6"/>
    </row>
    <row r="36" spans="1:21" customFormat="1">
      <c r="A36" s="163" t="s">
        <v>2474</v>
      </c>
      <c r="B36" s="100">
        <v>13.53</v>
      </c>
      <c r="C36" s="100">
        <v>24.94</v>
      </c>
      <c r="D36" s="100">
        <v>25.23</v>
      </c>
      <c r="E36" s="100">
        <v>9.4700000000000006</v>
      </c>
      <c r="F36" s="152" t="s">
        <v>15</v>
      </c>
      <c r="G36" s="100">
        <v>69.959999999999994</v>
      </c>
      <c r="H36" s="100">
        <v>22.52</v>
      </c>
      <c r="I36" s="100">
        <v>10.53</v>
      </c>
      <c r="J36" s="100">
        <v>0.12</v>
      </c>
      <c r="K36" s="100">
        <v>177.52</v>
      </c>
      <c r="L36" s="100">
        <v>17.13</v>
      </c>
      <c r="M36" s="100">
        <v>72.78</v>
      </c>
      <c r="N36" s="100">
        <v>13.6</v>
      </c>
      <c r="O36" s="100">
        <v>0</v>
      </c>
      <c r="P36" s="100">
        <v>0.83</v>
      </c>
      <c r="Q36" s="100">
        <v>54.36</v>
      </c>
      <c r="R36" s="6"/>
      <c r="S36" s="6"/>
      <c r="T36" s="156"/>
      <c r="U36" s="6"/>
    </row>
    <row r="37" spans="1:21" customFormat="1">
      <c r="A37" s="163" t="s">
        <v>2475</v>
      </c>
      <c r="B37" s="100">
        <v>14.15</v>
      </c>
      <c r="C37" s="100">
        <v>24.88</v>
      </c>
      <c r="D37" s="100">
        <v>25.7</v>
      </c>
      <c r="E37" s="100">
        <v>9.35</v>
      </c>
      <c r="F37" s="152" t="s">
        <v>15</v>
      </c>
      <c r="G37" s="100">
        <v>69.959999999999994</v>
      </c>
      <c r="H37" s="100">
        <v>167.73</v>
      </c>
      <c r="I37" s="100">
        <v>10.48</v>
      </c>
      <c r="J37" s="100">
        <v>0.19</v>
      </c>
      <c r="K37" s="100">
        <v>53.36</v>
      </c>
      <c r="L37" s="100">
        <v>18.12</v>
      </c>
      <c r="M37" s="100">
        <v>66.17</v>
      </c>
      <c r="N37" s="100">
        <v>19.100000000000001</v>
      </c>
      <c r="O37" s="100">
        <v>0</v>
      </c>
      <c r="P37" s="100">
        <v>0.84</v>
      </c>
      <c r="Q37" s="100">
        <v>54.36</v>
      </c>
      <c r="R37" s="6"/>
      <c r="S37" s="6"/>
      <c r="T37" s="156"/>
      <c r="U37" s="6"/>
    </row>
    <row r="38" spans="1:21" customFormat="1">
      <c r="A38" s="163" t="s">
        <v>2476</v>
      </c>
      <c r="B38" s="100">
        <v>15.12</v>
      </c>
      <c r="C38" s="100">
        <v>24.86</v>
      </c>
      <c r="D38" s="100">
        <v>26.47</v>
      </c>
      <c r="E38" s="100">
        <v>9.16</v>
      </c>
      <c r="F38" s="152" t="s">
        <v>15</v>
      </c>
      <c r="G38" s="100">
        <v>71.930000000000007</v>
      </c>
      <c r="H38" s="100">
        <v>167.73</v>
      </c>
      <c r="I38" s="100">
        <v>10.49</v>
      </c>
      <c r="J38" s="100">
        <v>0.35</v>
      </c>
      <c r="K38" s="100">
        <v>70.790000000000006</v>
      </c>
      <c r="L38" s="100">
        <v>19.559999999999999</v>
      </c>
      <c r="M38" s="100">
        <v>54.51</v>
      </c>
      <c r="N38" s="100">
        <v>25.3</v>
      </c>
      <c r="O38" s="100">
        <v>0</v>
      </c>
      <c r="P38" s="100">
        <v>0.84</v>
      </c>
      <c r="Q38" s="100">
        <v>54.36</v>
      </c>
      <c r="R38" s="6"/>
      <c r="S38" s="6"/>
      <c r="T38" s="156"/>
      <c r="U38" s="6"/>
    </row>
    <row r="39" spans="1:21" customFormat="1">
      <c r="A39" s="163" t="s">
        <v>2477</v>
      </c>
      <c r="B39" s="100">
        <v>15.72</v>
      </c>
      <c r="C39" s="100">
        <v>25.27</v>
      </c>
      <c r="D39" s="100">
        <v>27.16</v>
      </c>
      <c r="E39" s="100">
        <v>9.5</v>
      </c>
      <c r="F39" s="152" t="s">
        <v>15</v>
      </c>
      <c r="G39" s="100">
        <v>72.650000000000006</v>
      </c>
      <c r="H39" s="100">
        <v>167.73</v>
      </c>
      <c r="I39" s="100">
        <v>10.58</v>
      </c>
      <c r="J39" s="100">
        <v>0.51</v>
      </c>
      <c r="K39" s="100">
        <v>47.46</v>
      </c>
      <c r="L39" s="100">
        <v>20.38</v>
      </c>
      <c r="M39" s="100">
        <v>50.24</v>
      </c>
      <c r="N39" s="100">
        <v>31.8</v>
      </c>
      <c r="O39" s="100">
        <v>0</v>
      </c>
      <c r="P39" s="100">
        <v>0.84</v>
      </c>
      <c r="Q39" s="100">
        <v>54.36</v>
      </c>
      <c r="R39" s="6"/>
      <c r="S39" s="6"/>
      <c r="T39" s="156"/>
      <c r="U39" s="6"/>
    </row>
    <row r="40" spans="1:21" customFormat="1">
      <c r="A40" s="163" t="s">
        <v>2478</v>
      </c>
      <c r="B40" s="100">
        <v>16.079999999999998</v>
      </c>
      <c r="C40" s="100">
        <v>25.77</v>
      </c>
      <c r="D40" s="100">
        <v>27.71</v>
      </c>
      <c r="E40" s="100">
        <v>9.73</v>
      </c>
      <c r="F40" s="152" t="s">
        <v>15</v>
      </c>
      <c r="G40" s="100">
        <v>72.650000000000006</v>
      </c>
      <c r="H40" s="100">
        <v>167.73</v>
      </c>
      <c r="I40" s="100">
        <v>10.74</v>
      </c>
      <c r="J40" s="100">
        <v>0.73</v>
      </c>
      <c r="K40" s="100">
        <v>51.55</v>
      </c>
      <c r="L40" s="100">
        <v>20.97</v>
      </c>
      <c r="M40" s="100">
        <v>47.9</v>
      </c>
      <c r="N40" s="100">
        <v>51.5</v>
      </c>
      <c r="O40" s="100">
        <v>0</v>
      </c>
      <c r="P40" s="100">
        <v>0.85</v>
      </c>
      <c r="Q40" s="100">
        <v>54.36</v>
      </c>
      <c r="R40" s="6"/>
      <c r="S40" s="6"/>
      <c r="T40" s="156"/>
      <c r="U40" s="6"/>
    </row>
    <row r="41" spans="1:21" customFormat="1">
      <c r="A41" s="163" t="s">
        <v>2479</v>
      </c>
      <c r="B41" s="100">
        <v>16.21</v>
      </c>
      <c r="C41" s="100">
        <v>26.33</v>
      </c>
      <c r="D41" s="100">
        <v>28.11</v>
      </c>
      <c r="E41" s="100">
        <v>9.74</v>
      </c>
      <c r="F41" s="152" t="s">
        <v>15</v>
      </c>
      <c r="G41" s="100">
        <v>72.650000000000006</v>
      </c>
      <c r="H41" s="100">
        <v>167.73</v>
      </c>
      <c r="I41" s="100">
        <v>10.83</v>
      </c>
      <c r="J41" s="100">
        <v>1.08</v>
      </c>
      <c r="K41" s="100">
        <v>56.46</v>
      </c>
      <c r="L41" s="100">
        <v>21.45</v>
      </c>
      <c r="M41" s="100">
        <v>46.01</v>
      </c>
      <c r="N41" s="100">
        <v>115.3</v>
      </c>
      <c r="O41" s="100">
        <v>0</v>
      </c>
      <c r="P41" s="100">
        <v>0.89</v>
      </c>
      <c r="Q41" s="100">
        <v>54.36</v>
      </c>
      <c r="R41" s="6"/>
      <c r="S41" s="6"/>
      <c r="T41" s="156"/>
      <c r="U41" s="6"/>
    </row>
    <row r="42" spans="1:21" customFormat="1">
      <c r="A42" s="163" t="s">
        <v>2480</v>
      </c>
      <c r="B42" s="100">
        <v>16.100000000000001</v>
      </c>
      <c r="C42" s="100">
        <v>25.94</v>
      </c>
      <c r="D42" s="100">
        <v>27.82</v>
      </c>
      <c r="E42" s="100">
        <v>9.6999999999999993</v>
      </c>
      <c r="F42" s="152" t="s">
        <v>15</v>
      </c>
      <c r="G42" s="100">
        <v>75.31</v>
      </c>
      <c r="H42" s="100">
        <v>59.32</v>
      </c>
      <c r="I42" s="100">
        <v>10.87</v>
      </c>
      <c r="J42" s="100">
        <v>0.92</v>
      </c>
      <c r="K42" s="100">
        <v>61.27</v>
      </c>
      <c r="L42" s="100">
        <v>22.48</v>
      </c>
      <c r="M42" s="100">
        <v>42.69</v>
      </c>
      <c r="N42" s="100">
        <v>189.1</v>
      </c>
      <c r="O42" s="100">
        <v>0</v>
      </c>
      <c r="P42" s="100">
        <v>0.87</v>
      </c>
      <c r="Q42" s="100">
        <v>54.36</v>
      </c>
      <c r="R42" s="6"/>
      <c r="S42" s="6"/>
      <c r="T42" s="156"/>
      <c r="U42" s="6"/>
    </row>
    <row r="43" spans="1:21" customFormat="1">
      <c r="A43" s="163" t="s">
        <v>2481</v>
      </c>
      <c r="B43" s="100">
        <v>15.7</v>
      </c>
      <c r="C43" s="100">
        <v>25.66</v>
      </c>
      <c r="D43" s="100">
        <v>27.35</v>
      </c>
      <c r="E43" s="100">
        <v>10.119999999999999</v>
      </c>
      <c r="F43" s="152" t="s">
        <v>15</v>
      </c>
      <c r="G43" s="100">
        <v>76.28</v>
      </c>
      <c r="H43" s="100">
        <v>59.32</v>
      </c>
      <c r="I43" s="100">
        <v>10.9</v>
      </c>
      <c r="J43" s="100">
        <v>0.79</v>
      </c>
      <c r="K43" s="100">
        <v>71.34</v>
      </c>
      <c r="L43" s="100">
        <v>23.8</v>
      </c>
      <c r="M43" s="100">
        <v>39.29</v>
      </c>
      <c r="N43" s="100">
        <v>240.9</v>
      </c>
      <c r="O43" s="100">
        <v>0</v>
      </c>
      <c r="P43" s="100">
        <v>0.86</v>
      </c>
      <c r="Q43" s="100">
        <v>54.36</v>
      </c>
      <c r="R43" s="6"/>
      <c r="S43" s="6"/>
      <c r="T43" s="156"/>
      <c r="U43" s="6"/>
    </row>
    <row r="44" spans="1:21" customFormat="1">
      <c r="A44" s="163" t="s">
        <v>2482</v>
      </c>
      <c r="B44" s="100">
        <v>15.25</v>
      </c>
      <c r="C44" s="100">
        <v>25.52</v>
      </c>
      <c r="D44" s="100">
        <v>26.92</v>
      </c>
      <c r="E44" s="100">
        <v>10.48</v>
      </c>
      <c r="F44" s="152" t="s">
        <v>15</v>
      </c>
      <c r="G44" s="100">
        <v>76.28</v>
      </c>
      <c r="H44" s="100">
        <v>59.32</v>
      </c>
      <c r="I44" s="100">
        <v>10.88</v>
      </c>
      <c r="J44" s="100">
        <v>1.05</v>
      </c>
      <c r="K44" s="100">
        <v>56.05</v>
      </c>
      <c r="L44" s="100">
        <v>24.69</v>
      </c>
      <c r="M44" s="100">
        <v>36.78</v>
      </c>
      <c r="N44" s="100">
        <v>253.8</v>
      </c>
      <c r="O44" s="100">
        <v>0</v>
      </c>
      <c r="P44" s="100">
        <v>0.85</v>
      </c>
      <c r="Q44" s="100">
        <v>54.36</v>
      </c>
      <c r="R44" s="6"/>
      <c r="S44" s="6"/>
      <c r="T44" s="156"/>
      <c r="U44" s="6"/>
    </row>
    <row r="45" spans="1:21" customFormat="1">
      <c r="A45" s="163" t="s">
        <v>2483</v>
      </c>
      <c r="B45" s="100">
        <v>14.93</v>
      </c>
      <c r="C45" s="100">
        <v>25.58</v>
      </c>
      <c r="D45" s="100">
        <v>26.69</v>
      </c>
      <c r="E45" s="100">
        <v>11.24</v>
      </c>
      <c r="F45" s="152" t="s">
        <v>15</v>
      </c>
      <c r="G45" s="100">
        <v>76.28</v>
      </c>
      <c r="H45" s="100">
        <v>59.32</v>
      </c>
      <c r="I45" s="100">
        <v>10.82</v>
      </c>
      <c r="J45" s="100">
        <v>1.05</v>
      </c>
      <c r="K45" s="100">
        <v>46.53</v>
      </c>
      <c r="L45" s="100">
        <v>25.43</v>
      </c>
      <c r="M45" s="100">
        <v>35.33</v>
      </c>
      <c r="N45" s="100">
        <v>209.2</v>
      </c>
      <c r="O45" s="100">
        <v>0</v>
      </c>
      <c r="P45" s="100">
        <v>0.84</v>
      </c>
      <c r="Q45" s="100">
        <v>54.36</v>
      </c>
      <c r="R45" s="6"/>
      <c r="S45" s="6"/>
      <c r="T45" s="156"/>
      <c r="U45" s="6"/>
    </row>
    <row r="46" spans="1:21" customFormat="1">
      <c r="A46" s="163" t="s">
        <v>2484</v>
      </c>
      <c r="B46" s="100">
        <v>14.48</v>
      </c>
      <c r="C46" s="100">
        <v>25.54</v>
      </c>
      <c r="D46" s="100">
        <v>26.31</v>
      </c>
      <c r="E46" s="100">
        <v>12.25</v>
      </c>
      <c r="F46" s="152" t="s">
        <v>15</v>
      </c>
      <c r="G46" s="100">
        <v>83.21</v>
      </c>
      <c r="H46" s="100">
        <v>25</v>
      </c>
      <c r="I46" s="100">
        <v>10.75</v>
      </c>
      <c r="J46" s="100">
        <v>1.05</v>
      </c>
      <c r="K46" s="100">
        <v>56.2</v>
      </c>
      <c r="L46" s="100">
        <v>26.24</v>
      </c>
      <c r="M46" s="100">
        <v>34.06</v>
      </c>
      <c r="N46" s="100">
        <v>293.3</v>
      </c>
      <c r="O46" s="100">
        <v>0</v>
      </c>
      <c r="P46" s="100">
        <v>0.83</v>
      </c>
      <c r="Q46" s="100">
        <v>54.36</v>
      </c>
      <c r="R46" s="6"/>
      <c r="S46" s="6"/>
      <c r="T46" s="156"/>
      <c r="U46" s="6"/>
    </row>
    <row r="47" spans="1:21" customFormat="1">
      <c r="A47" s="163" t="s">
        <v>2485</v>
      </c>
      <c r="B47" s="100">
        <v>13.83</v>
      </c>
      <c r="C47" s="100">
        <v>25.43</v>
      </c>
      <c r="D47" s="100">
        <v>25.72</v>
      </c>
      <c r="E47" s="100">
        <v>12.32</v>
      </c>
      <c r="F47" s="152" t="s">
        <v>15</v>
      </c>
      <c r="G47" s="100">
        <v>85.73</v>
      </c>
      <c r="H47" s="100">
        <v>24.14</v>
      </c>
      <c r="I47" s="100">
        <v>10.64</v>
      </c>
      <c r="J47" s="100">
        <v>0.93</v>
      </c>
      <c r="K47" s="100">
        <v>34.729999999999997</v>
      </c>
      <c r="L47" s="100">
        <v>26.96</v>
      </c>
      <c r="M47" s="100">
        <v>33.29</v>
      </c>
      <c r="N47" s="100">
        <v>302</v>
      </c>
      <c r="O47" s="100">
        <v>0</v>
      </c>
      <c r="P47" s="100">
        <v>0.82</v>
      </c>
      <c r="Q47" s="100">
        <v>54.36</v>
      </c>
      <c r="R47" s="6"/>
      <c r="S47" s="6"/>
      <c r="T47" s="156"/>
      <c r="U47" s="6"/>
    </row>
    <row r="48" spans="1:21" customFormat="1">
      <c r="A48" s="163" t="s">
        <v>2486</v>
      </c>
      <c r="B48" s="100">
        <v>13.81</v>
      </c>
      <c r="C48" s="100">
        <v>25.06</v>
      </c>
      <c r="D48" s="100">
        <v>25.52</v>
      </c>
      <c r="E48" s="100">
        <v>14.54</v>
      </c>
      <c r="F48" s="152" t="s">
        <v>15</v>
      </c>
      <c r="G48" s="100">
        <v>85.73</v>
      </c>
      <c r="H48" s="100">
        <v>24.14</v>
      </c>
      <c r="I48" s="100">
        <v>10.53</v>
      </c>
      <c r="J48" s="100">
        <v>1.1299999999999999</v>
      </c>
      <c r="K48" s="100">
        <v>36.840000000000003</v>
      </c>
      <c r="L48" s="100">
        <v>26.84</v>
      </c>
      <c r="M48" s="100">
        <v>33.619999999999997</v>
      </c>
      <c r="N48" s="100">
        <v>315.5</v>
      </c>
      <c r="O48" s="100">
        <v>0</v>
      </c>
      <c r="P48" s="100">
        <v>0.81</v>
      </c>
      <c r="Q48" s="100">
        <v>54.36</v>
      </c>
      <c r="R48" s="6"/>
      <c r="S48" s="6"/>
      <c r="T48" s="156"/>
      <c r="U48" s="6"/>
    </row>
    <row r="49" spans="1:21" customFormat="1">
      <c r="A49" s="163" t="s">
        <v>2487</v>
      </c>
      <c r="B49" s="100">
        <v>12.85</v>
      </c>
      <c r="C49" s="100">
        <v>25.28</v>
      </c>
      <c r="D49" s="100">
        <v>24.86</v>
      </c>
      <c r="E49" s="100">
        <v>12.02</v>
      </c>
      <c r="F49" s="152" t="s">
        <v>15</v>
      </c>
      <c r="G49" s="100">
        <v>85.73</v>
      </c>
      <c r="H49" s="100">
        <v>24.14</v>
      </c>
      <c r="I49" s="100">
        <v>10.41</v>
      </c>
      <c r="J49" s="100">
        <v>1.22</v>
      </c>
      <c r="K49" s="100">
        <v>50.27</v>
      </c>
      <c r="L49" s="100">
        <v>27.58</v>
      </c>
      <c r="M49" s="100">
        <v>31.48</v>
      </c>
      <c r="N49" s="100">
        <v>259.89999999999998</v>
      </c>
      <c r="O49" s="100">
        <v>0</v>
      </c>
      <c r="P49" s="100">
        <v>0.8</v>
      </c>
      <c r="Q49" s="100">
        <v>54.36</v>
      </c>
      <c r="R49" s="6"/>
      <c r="S49" s="6"/>
      <c r="T49" s="156"/>
      <c r="U49" s="6"/>
    </row>
    <row r="50" spans="1:21" customFormat="1">
      <c r="A50" s="163" t="s">
        <v>2488</v>
      </c>
      <c r="B50" s="100">
        <v>11.39</v>
      </c>
      <c r="C50" s="100">
        <v>25.92</v>
      </c>
      <c r="D50" s="100">
        <v>24.03</v>
      </c>
      <c r="E50" s="100">
        <v>17.97</v>
      </c>
      <c r="F50" s="152" t="s">
        <v>15</v>
      </c>
      <c r="G50" s="100">
        <v>79.790000000000006</v>
      </c>
      <c r="H50" s="100">
        <v>11.48</v>
      </c>
      <c r="I50" s="100">
        <v>10.14</v>
      </c>
      <c r="J50" s="100">
        <v>0.54</v>
      </c>
      <c r="K50" s="100">
        <v>6.65</v>
      </c>
      <c r="L50" s="100">
        <v>28.18</v>
      </c>
      <c r="M50" s="100">
        <v>30.87</v>
      </c>
      <c r="N50" s="100">
        <v>266.7</v>
      </c>
      <c r="O50" s="100">
        <v>0</v>
      </c>
      <c r="P50" s="100">
        <v>0.78</v>
      </c>
      <c r="Q50" s="100">
        <v>54.36</v>
      </c>
      <c r="R50" s="6"/>
      <c r="S50" s="6"/>
      <c r="T50" s="156"/>
      <c r="U50" s="6"/>
    </row>
    <row r="51" spans="1:21" customFormat="1">
      <c r="A51" s="163" t="s">
        <v>2489</v>
      </c>
      <c r="B51" s="100">
        <v>10.53</v>
      </c>
      <c r="C51" s="100">
        <v>26.18</v>
      </c>
      <c r="D51" s="100">
        <v>23.47</v>
      </c>
      <c r="E51" s="100">
        <v>17.72</v>
      </c>
      <c r="F51" s="152" t="s">
        <v>15</v>
      </c>
      <c r="G51" s="100">
        <v>77.63</v>
      </c>
      <c r="H51" s="100">
        <v>11.19</v>
      </c>
      <c r="I51" s="100">
        <v>9.94</v>
      </c>
      <c r="J51" s="100">
        <v>0.85</v>
      </c>
      <c r="K51" s="100">
        <v>44.42</v>
      </c>
      <c r="L51" s="100">
        <v>28.82</v>
      </c>
      <c r="M51" s="100">
        <v>29.19</v>
      </c>
      <c r="N51" s="100">
        <v>337.9</v>
      </c>
      <c r="O51" s="100">
        <v>0</v>
      </c>
      <c r="P51" s="100">
        <v>0.78</v>
      </c>
      <c r="Q51" s="100">
        <v>54.36</v>
      </c>
      <c r="R51" s="6"/>
      <c r="S51" s="6"/>
      <c r="T51" s="156"/>
      <c r="U51" s="6"/>
    </row>
    <row r="52" spans="1:21" customFormat="1">
      <c r="A52" s="163" t="s">
        <v>2490</v>
      </c>
      <c r="B52" s="100">
        <v>9.9499999999999993</v>
      </c>
      <c r="C52" s="100">
        <v>26.37</v>
      </c>
      <c r="D52" s="100">
        <v>23.11</v>
      </c>
      <c r="E52" s="100">
        <v>18.66</v>
      </c>
      <c r="F52" s="152" t="s">
        <v>15</v>
      </c>
      <c r="G52" s="100">
        <v>77.63</v>
      </c>
      <c r="H52" s="100">
        <v>11.19</v>
      </c>
      <c r="I52" s="100">
        <v>10.02</v>
      </c>
      <c r="J52" s="100">
        <v>0.79</v>
      </c>
      <c r="K52" s="100">
        <v>51.71</v>
      </c>
      <c r="L52" s="100">
        <v>29.75</v>
      </c>
      <c r="M52" s="100">
        <v>24.53</v>
      </c>
      <c r="N52" s="100">
        <v>349.2</v>
      </c>
      <c r="O52" s="100">
        <v>0</v>
      </c>
      <c r="P52" s="100">
        <v>0.78</v>
      </c>
      <c r="Q52" s="100">
        <v>54.36</v>
      </c>
      <c r="R52" s="6"/>
      <c r="S52" s="6"/>
      <c r="T52" s="156"/>
      <c r="U52" s="6"/>
    </row>
    <row r="53" spans="1:21" customFormat="1">
      <c r="A53" s="163" t="s">
        <v>2491</v>
      </c>
      <c r="B53" s="100">
        <v>9.4</v>
      </c>
      <c r="C53" s="100">
        <v>26.58</v>
      </c>
      <c r="D53" s="100">
        <v>22.78</v>
      </c>
      <c r="E53" s="100">
        <v>29.24</v>
      </c>
      <c r="F53" s="152" t="s">
        <v>15</v>
      </c>
      <c r="G53" s="100">
        <v>77.63</v>
      </c>
      <c r="H53" s="100">
        <v>11.19</v>
      </c>
      <c r="I53" s="100">
        <v>9.9499999999999993</v>
      </c>
      <c r="J53" s="100">
        <v>0.98</v>
      </c>
      <c r="K53" s="100">
        <v>24.01</v>
      </c>
      <c r="L53" s="100">
        <v>30.01</v>
      </c>
      <c r="M53" s="100">
        <v>24.06</v>
      </c>
      <c r="N53" s="100">
        <v>350.6</v>
      </c>
      <c r="O53" s="100">
        <v>0</v>
      </c>
      <c r="P53" s="100">
        <v>0.75</v>
      </c>
      <c r="Q53" s="100">
        <v>54.36</v>
      </c>
      <c r="R53" s="6"/>
      <c r="S53" s="6"/>
      <c r="T53" s="156"/>
      <c r="U53" s="6"/>
    </row>
    <row r="54" spans="1:21" customFormat="1">
      <c r="A54" s="163" t="s">
        <v>2492</v>
      </c>
      <c r="B54" s="100">
        <v>9.25</v>
      </c>
      <c r="C54" s="100">
        <v>26.83</v>
      </c>
      <c r="D54" s="100">
        <v>22.78</v>
      </c>
      <c r="E54" s="100">
        <v>28.35</v>
      </c>
      <c r="F54" s="152" t="s">
        <v>15</v>
      </c>
      <c r="G54" s="100">
        <v>71.930000000000007</v>
      </c>
      <c r="H54" s="100">
        <v>21.77</v>
      </c>
      <c r="I54" s="100">
        <v>9.8000000000000007</v>
      </c>
      <c r="J54" s="100">
        <v>0.72</v>
      </c>
      <c r="K54" s="100">
        <v>330.18</v>
      </c>
      <c r="L54" s="100">
        <v>30.05</v>
      </c>
      <c r="M54" s="100">
        <v>24.09</v>
      </c>
      <c r="N54" s="100">
        <v>327</v>
      </c>
      <c r="O54" s="100">
        <v>0</v>
      </c>
      <c r="P54" s="100">
        <v>0.75</v>
      </c>
      <c r="Q54" s="100">
        <v>54.36</v>
      </c>
      <c r="R54" s="6"/>
      <c r="S54" s="6"/>
      <c r="T54" s="156"/>
      <c r="U54" s="6"/>
    </row>
    <row r="55" spans="1:21" customFormat="1">
      <c r="A55" s="163" t="s">
        <v>2493</v>
      </c>
      <c r="B55" s="100">
        <v>9.11</v>
      </c>
      <c r="C55" s="100">
        <v>27.12</v>
      </c>
      <c r="D55" s="100">
        <v>22.82</v>
      </c>
      <c r="E55" s="100">
        <v>26.05</v>
      </c>
      <c r="F55" s="152" t="s">
        <v>15</v>
      </c>
      <c r="G55" s="100">
        <v>69.86</v>
      </c>
      <c r="H55" s="100">
        <v>23.53</v>
      </c>
      <c r="I55" s="100">
        <v>9.58</v>
      </c>
      <c r="J55" s="100">
        <v>0.81</v>
      </c>
      <c r="K55" s="100">
        <v>8.92</v>
      </c>
      <c r="L55" s="100">
        <v>30.28</v>
      </c>
      <c r="M55" s="100">
        <v>22.83</v>
      </c>
      <c r="N55" s="100">
        <v>319.2</v>
      </c>
      <c r="O55" s="100">
        <v>0</v>
      </c>
      <c r="P55" s="100">
        <v>0.72</v>
      </c>
      <c r="Q55" s="100">
        <v>54.36</v>
      </c>
      <c r="R55" s="6"/>
      <c r="S55" s="6"/>
      <c r="T55" s="156"/>
      <c r="U55" s="6"/>
    </row>
    <row r="56" spans="1:21" customFormat="1">
      <c r="A56" s="163" t="s">
        <v>2494</v>
      </c>
      <c r="B56" s="100">
        <v>8.81</v>
      </c>
      <c r="C56" s="100">
        <v>27.35</v>
      </c>
      <c r="D56" s="100">
        <v>22.71</v>
      </c>
      <c r="E56" s="100">
        <v>19.190000000000001</v>
      </c>
      <c r="F56" s="152" t="s">
        <v>15</v>
      </c>
      <c r="G56" s="100">
        <v>69.86</v>
      </c>
      <c r="H56" s="100">
        <v>23.53</v>
      </c>
      <c r="I56" s="100">
        <v>9.43</v>
      </c>
      <c r="J56" s="100">
        <v>1.34</v>
      </c>
      <c r="K56" s="100">
        <v>49.53</v>
      </c>
      <c r="L56" s="100">
        <v>30.56</v>
      </c>
      <c r="M56" s="100">
        <v>22.61</v>
      </c>
      <c r="N56" s="100">
        <v>360.7</v>
      </c>
      <c r="O56" s="100">
        <v>0</v>
      </c>
      <c r="P56" s="100">
        <v>0.74</v>
      </c>
      <c r="Q56" s="100">
        <v>54.36</v>
      </c>
      <c r="R56" s="6"/>
      <c r="S56" s="6"/>
      <c r="T56" s="156"/>
      <c r="U56" s="6"/>
    </row>
    <row r="57" spans="1:21" customFormat="1">
      <c r="A57" s="163" t="s">
        <v>2495</v>
      </c>
      <c r="B57" s="100">
        <v>8.36</v>
      </c>
      <c r="C57" s="100">
        <v>27.57</v>
      </c>
      <c r="D57" s="100">
        <v>22.46</v>
      </c>
      <c r="E57" s="100">
        <v>20.239999999999998</v>
      </c>
      <c r="F57" s="152" t="s">
        <v>15</v>
      </c>
      <c r="G57" s="100">
        <v>69.86</v>
      </c>
      <c r="H57" s="100">
        <v>23.53</v>
      </c>
      <c r="I57" s="100">
        <v>9.36</v>
      </c>
      <c r="J57" s="100">
        <v>0.83</v>
      </c>
      <c r="K57" s="100">
        <v>51.28</v>
      </c>
      <c r="L57" s="100">
        <v>30.75</v>
      </c>
      <c r="M57" s="100">
        <v>21.33</v>
      </c>
      <c r="N57" s="100">
        <v>371.7</v>
      </c>
      <c r="O57" s="100">
        <v>0</v>
      </c>
      <c r="P57" s="100">
        <v>0.71</v>
      </c>
      <c r="Q57" s="100">
        <v>54.36</v>
      </c>
      <c r="R57" s="6"/>
      <c r="S57" s="6"/>
      <c r="T57" s="156"/>
      <c r="U57" s="6"/>
    </row>
    <row r="58" spans="1:21" customFormat="1">
      <c r="A58" s="163" t="s">
        <v>2496</v>
      </c>
      <c r="B58" s="100">
        <v>7.81</v>
      </c>
      <c r="C58" s="100">
        <v>27.45</v>
      </c>
      <c r="D58" s="100">
        <v>21.95</v>
      </c>
      <c r="E58" s="100">
        <v>19.2</v>
      </c>
      <c r="F58" s="152" t="s">
        <v>15</v>
      </c>
      <c r="G58" s="100">
        <v>65.11</v>
      </c>
      <c r="H58" s="100">
        <v>25.87</v>
      </c>
      <c r="I58" s="100">
        <v>9.24</v>
      </c>
      <c r="J58" s="100">
        <v>0.84</v>
      </c>
      <c r="K58" s="100">
        <v>38.200000000000003</v>
      </c>
      <c r="L58" s="100">
        <v>31.48</v>
      </c>
      <c r="M58" s="100">
        <v>20.21</v>
      </c>
      <c r="N58" s="100">
        <v>371.7</v>
      </c>
      <c r="O58" s="100">
        <v>0</v>
      </c>
      <c r="P58" s="100">
        <v>0.7</v>
      </c>
      <c r="Q58" s="100">
        <v>54.36</v>
      </c>
      <c r="R58" s="6"/>
      <c r="S58" s="6"/>
      <c r="T58" s="156"/>
      <c r="U58" s="6"/>
    </row>
    <row r="59" spans="1:21" customFormat="1">
      <c r="A59" s="163" t="s">
        <v>2497</v>
      </c>
      <c r="B59" s="100">
        <v>7.44</v>
      </c>
      <c r="C59" s="100">
        <v>26.83</v>
      </c>
      <c r="D59" s="100">
        <v>21.34</v>
      </c>
      <c r="E59" s="100">
        <v>16.45</v>
      </c>
      <c r="F59" s="152" t="s">
        <v>15</v>
      </c>
      <c r="G59" s="100">
        <v>63.39</v>
      </c>
      <c r="H59" s="100">
        <v>26.2</v>
      </c>
      <c r="I59" s="100">
        <v>9.0500000000000007</v>
      </c>
      <c r="J59" s="100">
        <v>0.39</v>
      </c>
      <c r="K59" s="100">
        <v>357.35</v>
      </c>
      <c r="L59" s="100">
        <v>31.71</v>
      </c>
      <c r="M59" s="100">
        <v>19.82</v>
      </c>
      <c r="N59" s="100">
        <v>367.8</v>
      </c>
      <c r="O59" s="100">
        <v>0</v>
      </c>
      <c r="P59" s="100">
        <v>0.69</v>
      </c>
      <c r="Q59" s="100">
        <v>54.36</v>
      </c>
      <c r="R59" s="6"/>
      <c r="S59" s="6"/>
      <c r="T59" s="156"/>
      <c r="U59" s="6"/>
    </row>
    <row r="60" spans="1:21" customFormat="1">
      <c r="A60" s="163" t="s">
        <v>2498</v>
      </c>
      <c r="B60" s="100">
        <v>6.73</v>
      </c>
      <c r="C60" s="100">
        <v>26.76</v>
      </c>
      <c r="D60" s="100">
        <v>20.73</v>
      </c>
      <c r="E60" s="100">
        <v>15.52</v>
      </c>
      <c r="F60" s="152" t="s">
        <v>15</v>
      </c>
      <c r="G60" s="100">
        <v>63.39</v>
      </c>
      <c r="H60" s="100">
        <v>26.2</v>
      </c>
      <c r="I60" s="100">
        <v>8.99</v>
      </c>
      <c r="J60" s="100">
        <v>0.93</v>
      </c>
      <c r="K60" s="100">
        <v>37.03</v>
      </c>
      <c r="L60" s="100">
        <v>31.56</v>
      </c>
      <c r="M60" s="100">
        <v>19.53</v>
      </c>
      <c r="N60" s="100">
        <v>360.8</v>
      </c>
      <c r="O60" s="100">
        <v>0</v>
      </c>
      <c r="P60" s="100">
        <v>0.65</v>
      </c>
      <c r="Q60" s="100">
        <v>54.36</v>
      </c>
      <c r="R60" s="6"/>
      <c r="S60" s="6"/>
      <c r="T60" s="156"/>
      <c r="U60" s="6"/>
    </row>
    <row r="61" spans="1:21" customFormat="1">
      <c r="A61" s="163" t="s">
        <v>2499</v>
      </c>
      <c r="B61" s="100">
        <v>5.83</v>
      </c>
      <c r="C61" s="100">
        <v>26.73</v>
      </c>
      <c r="D61" s="100">
        <v>20</v>
      </c>
      <c r="E61" s="100">
        <v>17.329999999999998</v>
      </c>
      <c r="F61" s="152" t="s">
        <v>15</v>
      </c>
      <c r="G61" s="100">
        <v>63.39</v>
      </c>
      <c r="H61" s="100">
        <v>26.2</v>
      </c>
      <c r="I61" s="100">
        <v>8.94</v>
      </c>
      <c r="J61" s="100">
        <v>0.71</v>
      </c>
      <c r="K61" s="100">
        <v>21.28</v>
      </c>
      <c r="L61" s="100">
        <v>31.85</v>
      </c>
      <c r="M61" s="100">
        <v>19.96</v>
      </c>
      <c r="N61" s="100">
        <v>348.8</v>
      </c>
      <c r="O61" s="100">
        <v>0</v>
      </c>
      <c r="P61" s="100">
        <v>0.62</v>
      </c>
      <c r="Q61" s="100">
        <v>54.36</v>
      </c>
      <c r="R61" s="6"/>
      <c r="S61" s="6"/>
      <c r="T61" s="156"/>
      <c r="U61" s="6"/>
    </row>
    <row r="62" spans="1:21" customFormat="1">
      <c r="A62" s="163" t="s">
        <v>2500</v>
      </c>
      <c r="B62" s="100">
        <v>5.05</v>
      </c>
      <c r="C62" s="100">
        <v>26.67</v>
      </c>
      <c r="D62" s="100">
        <v>19.34</v>
      </c>
      <c r="E62" s="100">
        <v>17.37</v>
      </c>
      <c r="F62" s="152" t="s">
        <v>15</v>
      </c>
      <c r="G62" s="100">
        <v>63.08</v>
      </c>
      <c r="H62" s="100">
        <v>18.579999999999998</v>
      </c>
      <c r="I62" s="100">
        <v>8.81</v>
      </c>
      <c r="J62" s="100">
        <v>0.93</v>
      </c>
      <c r="K62" s="100">
        <v>10.98</v>
      </c>
      <c r="L62" s="100">
        <v>31.92</v>
      </c>
      <c r="M62" s="100">
        <v>17.93</v>
      </c>
      <c r="N62" s="100">
        <v>343.4</v>
      </c>
      <c r="O62" s="100">
        <v>0</v>
      </c>
      <c r="P62" s="100">
        <v>0.61</v>
      </c>
      <c r="Q62" s="100">
        <v>54.36</v>
      </c>
      <c r="R62" s="6"/>
      <c r="S62" s="6"/>
      <c r="T62" s="156"/>
      <c r="U62" s="6"/>
    </row>
    <row r="63" spans="1:21" customFormat="1">
      <c r="A63" s="163" t="s">
        <v>2501</v>
      </c>
      <c r="B63" s="100">
        <v>4.7300000000000004</v>
      </c>
      <c r="C63" s="100">
        <v>26.39</v>
      </c>
      <c r="D63" s="100">
        <v>18.940000000000001</v>
      </c>
      <c r="E63" s="100">
        <v>20.69</v>
      </c>
      <c r="F63" s="152" t="s">
        <v>15</v>
      </c>
      <c r="G63" s="100">
        <v>62.96</v>
      </c>
      <c r="H63" s="100">
        <v>17.309999999999999</v>
      </c>
      <c r="I63" s="100">
        <v>8.5</v>
      </c>
      <c r="J63" s="100">
        <v>0.89</v>
      </c>
      <c r="K63" s="100">
        <v>356.34</v>
      </c>
      <c r="L63" s="100">
        <v>32.47</v>
      </c>
      <c r="M63" s="100">
        <v>18.18</v>
      </c>
      <c r="N63" s="100">
        <v>328.4</v>
      </c>
      <c r="O63" s="100">
        <v>0</v>
      </c>
      <c r="P63" s="100">
        <v>0.59</v>
      </c>
      <c r="Q63" s="100">
        <v>54.36</v>
      </c>
      <c r="R63" s="6"/>
      <c r="S63" s="6"/>
      <c r="T63" s="156"/>
      <c r="U63" s="6"/>
    </row>
    <row r="64" spans="1:21" customFormat="1">
      <c r="A64" s="163" t="s">
        <v>2502</v>
      </c>
      <c r="B64" s="100">
        <v>4.5599999999999996</v>
      </c>
      <c r="C64" s="100">
        <v>26.03</v>
      </c>
      <c r="D64" s="100">
        <v>18.600000000000001</v>
      </c>
      <c r="E64" s="100">
        <v>17.61</v>
      </c>
      <c r="F64" s="152" t="s">
        <v>15</v>
      </c>
      <c r="G64" s="100">
        <v>62.96</v>
      </c>
      <c r="H64" s="100">
        <v>17.309999999999999</v>
      </c>
      <c r="I64" s="100">
        <v>8.15</v>
      </c>
      <c r="J64" s="100">
        <v>0.85</v>
      </c>
      <c r="K64" s="100">
        <v>6.06</v>
      </c>
      <c r="L64" s="100">
        <v>32.200000000000003</v>
      </c>
      <c r="M64" s="100">
        <v>16.25</v>
      </c>
      <c r="N64" s="100">
        <v>348.2</v>
      </c>
      <c r="O64" s="100">
        <v>0</v>
      </c>
      <c r="P64" s="100">
        <v>0.57999999999999996</v>
      </c>
      <c r="Q64" s="100">
        <v>54.36</v>
      </c>
      <c r="R64" s="6"/>
      <c r="S64" s="6"/>
      <c r="T64" s="156"/>
      <c r="U64" s="6"/>
    </row>
    <row r="65" spans="1:21" customFormat="1">
      <c r="A65" s="163" t="s">
        <v>2503</v>
      </c>
      <c r="B65" s="100">
        <v>4.4800000000000004</v>
      </c>
      <c r="C65" s="100">
        <v>25.55</v>
      </c>
      <c r="D65" s="100">
        <v>18.29</v>
      </c>
      <c r="E65" s="100">
        <v>15.95</v>
      </c>
      <c r="F65" s="152" t="s">
        <v>15</v>
      </c>
      <c r="G65" s="100">
        <v>62.96</v>
      </c>
      <c r="H65" s="100">
        <v>17.309999999999999</v>
      </c>
      <c r="I65" s="100">
        <v>7.96</v>
      </c>
      <c r="J65" s="100">
        <v>0.9</v>
      </c>
      <c r="K65" s="100">
        <v>355.15</v>
      </c>
      <c r="L65" s="100">
        <v>32.4</v>
      </c>
      <c r="M65" s="100">
        <v>14.47</v>
      </c>
      <c r="N65" s="100">
        <v>357.9</v>
      </c>
      <c r="O65" s="100">
        <v>0</v>
      </c>
      <c r="P65" s="100">
        <v>0.56000000000000005</v>
      </c>
      <c r="Q65" s="100">
        <v>54.36</v>
      </c>
      <c r="R65" s="6"/>
      <c r="S65" s="6"/>
      <c r="T65" s="156"/>
      <c r="U65" s="6"/>
    </row>
    <row r="66" spans="1:21" customFormat="1">
      <c r="A66" s="163" t="s">
        <v>2504</v>
      </c>
      <c r="B66" s="100">
        <v>4.51</v>
      </c>
      <c r="C66" s="100">
        <v>24.98</v>
      </c>
      <c r="D66" s="100">
        <v>18.02</v>
      </c>
      <c r="E66" s="100">
        <v>13.75</v>
      </c>
      <c r="F66" s="152" t="s">
        <v>15</v>
      </c>
      <c r="G66" s="100">
        <v>63.94</v>
      </c>
      <c r="H66" s="100">
        <v>15.4</v>
      </c>
      <c r="I66" s="100">
        <v>7.82</v>
      </c>
      <c r="J66" s="100">
        <v>0.86</v>
      </c>
      <c r="K66" s="100">
        <v>301.83</v>
      </c>
      <c r="L66" s="100">
        <v>32.31</v>
      </c>
      <c r="M66" s="100">
        <v>12.96</v>
      </c>
      <c r="N66" s="100">
        <v>377</v>
      </c>
      <c r="O66" s="100">
        <v>0</v>
      </c>
      <c r="P66" s="100">
        <v>0.56999999999999995</v>
      </c>
      <c r="Q66" s="100">
        <v>54.36</v>
      </c>
      <c r="R66" s="6"/>
      <c r="S66" s="6"/>
      <c r="T66" s="156"/>
      <c r="U66" s="6"/>
    </row>
    <row r="67" spans="1:21" customFormat="1">
      <c r="A67" s="163" t="s">
        <v>2505</v>
      </c>
      <c r="B67" s="100">
        <v>4.5599999999999996</v>
      </c>
      <c r="C67" s="100">
        <v>24.32</v>
      </c>
      <c r="D67" s="100">
        <v>17.72</v>
      </c>
      <c r="E67" s="100">
        <v>13.31</v>
      </c>
      <c r="F67" s="152" t="s">
        <v>15</v>
      </c>
      <c r="G67" s="100">
        <v>64.290000000000006</v>
      </c>
      <c r="H67" s="100">
        <v>15.08</v>
      </c>
      <c r="I67" s="100">
        <v>7.64</v>
      </c>
      <c r="J67" s="100">
        <v>0.84</v>
      </c>
      <c r="K67" s="100">
        <v>350.43</v>
      </c>
      <c r="L67" s="100">
        <v>32.79</v>
      </c>
      <c r="M67" s="100">
        <v>11.21</v>
      </c>
      <c r="N67" s="100">
        <v>314.5</v>
      </c>
      <c r="O67" s="100">
        <v>0</v>
      </c>
      <c r="P67" s="100">
        <v>0.55000000000000004</v>
      </c>
      <c r="Q67" s="100">
        <v>54.36</v>
      </c>
      <c r="R67" s="6"/>
      <c r="S67" s="6"/>
      <c r="T67" s="156"/>
      <c r="U67" s="6"/>
    </row>
    <row r="68" spans="1:21" customFormat="1">
      <c r="A68" s="163" t="s">
        <v>2506</v>
      </c>
      <c r="B68" s="100">
        <v>4.7300000000000004</v>
      </c>
      <c r="C68" s="100">
        <v>24.06</v>
      </c>
      <c r="D68" s="100">
        <v>17.72</v>
      </c>
      <c r="E68" s="100">
        <v>13.65</v>
      </c>
      <c r="F68" s="152" t="s">
        <v>15</v>
      </c>
      <c r="G68" s="100">
        <v>64.290000000000006</v>
      </c>
      <c r="H68" s="100">
        <v>15.08</v>
      </c>
      <c r="I68" s="100">
        <v>7.45</v>
      </c>
      <c r="J68" s="100">
        <v>0.9</v>
      </c>
      <c r="K68" s="100">
        <v>310.45</v>
      </c>
      <c r="L68" s="100">
        <v>32.18</v>
      </c>
      <c r="M68" s="100">
        <v>10.65</v>
      </c>
      <c r="N68" s="100">
        <v>123.9</v>
      </c>
      <c r="O68" s="100">
        <v>0</v>
      </c>
      <c r="P68" s="100">
        <v>0.54</v>
      </c>
      <c r="Q68" s="100">
        <v>54.36</v>
      </c>
      <c r="R68" s="6"/>
      <c r="S68" s="6"/>
      <c r="T68" s="156"/>
      <c r="U68" s="6"/>
    </row>
    <row r="69" spans="1:21" customFormat="1">
      <c r="A69" s="163" t="s">
        <v>2507</v>
      </c>
      <c r="B69" s="100">
        <v>4.84</v>
      </c>
      <c r="C69" s="100">
        <v>23.52</v>
      </c>
      <c r="D69" s="100">
        <v>17.53</v>
      </c>
      <c r="E69" s="100">
        <v>13.8</v>
      </c>
      <c r="F69" s="152" t="s">
        <v>15</v>
      </c>
      <c r="G69" s="100">
        <v>64.290000000000006</v>
      </c>
      <c r="H69" s="100">
        <v>15.08</v>
      </c>
      <c r="I69" s="100">
        <v>7.28</v>
      </c>
      <c r="J69" s="100">
        <v>0.77</v>
      </c>
      <c r="K69" s="100">
        <v>327.31</v>
      </c>
      <c r="L69" s="100">
        <v>31.69</v>
      </c>
      <c r="M69" s="100">
        <v>9.3699999999999992</v>
      </c>
      <c r="N69" s="100">
        <v>77.2</v>
      </c>
      <c r="O69" s="100">
        <v>0</v>
      </c>
      <c r="P69" s="100">
        <v>0.53</v>
      </c>
      <c r="Q69" s="100">
        <v>54.36</v>
      </c>
      <c r="R69" s="6"/>
      <c r="S69" s="6"/>
      <c r="T69" s="156"/>
      <c r="U69" s="6"/>
    </row>
    <row r="70" spans="1:21" customFormat="1">
      <c r="A70" s="163" t="s">
        <v>2508</v>
      </c>
      <c r="B70" s="100">
        <v>4.84</v>
      </c>
      <c r="C70" s="100">
        <v>23.19</v>
      </c>
      <c r="D70" s="100">
        <v>17.350000000000001</v>
      </c>
      <c r="E70" s="100">
        <v>14.18</v>
      </c>
      <c r="F70" s="152" t="s">
        <v>15</v>
      </c>
      <c r="G70" s="100">
        <v>50.9</v>
      </c>
      <c r="H70" s="100">
        <v>17.2</v>
      </c>
      <c r="I70" s="100">
        <v>7</v>
      </c>
      <c r="J70" s="100">
        <v>0.74</v>
      </c>
      <c r="K70" s="100">
        <v>354.23</v>
      </c>
      <c r="L70" s="100">
        <v>31.85</v>
      </c>
      <c r="M70" s="100">
        <v>8.0500000000000007</v>
      </c>
      <c r="N70" s="100">
        <v>70.3</v>
      </c>
      <c r="O70" s="100">
        <v>0</v>
      </c>
      <c r="P70" s="100">
        <v>0.51</v>
      </c>
      <c r="Q70" s="100">
        <v>54.36</v>
      </c>
      <c r="R70" s="6"/>
      <c r="S70" s="6"/>
      <c r="T70" s="156"/>
      <c r="U70" s="6"/>
    </row>
    <row r="71" spans="1:21" customFormat="1">
      <c r="A71" s="163" t="s">
        <v>2509</v>
      </c>
      <c r="B71" s="100">
        <v>5.0599999999999996</v>
      </c>
      <c r="C71" s="100">
        <v>22.14</v>
      </c>
      <c r="D71" s="100">
        <v>16.98</v>
      </c>
      <c r="E71" s="100">
        <v>13.12</v>
      </c>
      <c r="F71" s="152" t="s">
        <v>15</v>
      </c>
      <c r="G71" s="100">
        <v>46.03</v>
      </c>
      <c r="H71" s="100">
        <v>17.329999999999998</v>
      </c>
      <c r="I71" s="100">
        <v>6.61</v>
      </c>
      <c r="J71" s="100">
        <v>1.22</v>
      </c>
      <c r="K71" s="100">
        <v>31.14</v>
      </c>
      <c r="L71" s="100">
        <v>31.66</v>
      </c>
      <c r="M71" s="100">
        <v>7.67</v>
      </c>
      <c r="N71" s="100">
        <v>52</v>
      </c>
      <c r="O71" s="100">
        <v>0</v>
      </c>
      <c r="P71" s="100">
        <v>0.51</v>
      </c>
      <c r="Q71" s="100">
        <v>54.36</v>
      </c>
      <c r="R71" s="6"/>
      <c r="S71" s="6"/>
      <c r="T71" s="156"/>
      <c r="U71" s="6"/>
    </row>
    <row r="72" spans="1:21" customFormat="1">
      <c r="A72" s="163" t="s">
        <v>2510</v>
      </c>
      <c r="B72" s="100">
        <v>4.83</v>
      </c>
      <c r="C72" s="100">
        <v>21.85</v>
      </c>
      <c r="D72" s="100">
        <v>16.64</v>
      </c>
      <c r="E72" s="100">
        <v>13.82</v>
      </c>
      <c r="F72" s="152" t="s">
        <v>15</v>
      </c>
      <c r="G72" s="100">
        <v>46.03</v>
      </c>
      <c r="H72" s="100">
        <v>17.329999999999998</v>
      </c>
      <c r="I72" s="100">
        <v>6.37</v>
      </c>
      <c r="J72" s="100">
        <v>1.24</v>
      </c>
      <c r="K72" s="100">
        <v>31.17</v>
      </c>
      <c r="L72" s="100">
        <v>31.53</v>
      </c>
      <c r="M72" s="100">
        <v>8.2100000000000009</v>
      </c>
      <c r="N72" s="100">
        <v>60.5</v>
      </c>
      <c r="O72" s="100">
        <v>0</v>
      </c>
      <c r="P72" s="100">
        <v>0.5</v>
      </c>
      <c r="Q72" s="100">
        <v>54.36</v>
      </c>
      <c r="R72" s="6"/>
      <c r="S72" s="6"/>
      <c r="T72" s="156"/>
      <c r="U72" s="6"/>
    </row>
    <row r="73" spans="1:21" customFormat="1">
      <c r="A73" s="163" t="s">
        <v>2511</v>
      </c>
      <c r="B73" s="100">
        <v>4.87</v>
      </c>
      <c r="C73" s="100">
        <v>21.69</v>
      </c>
      <c r="D73" s="100">
        <v>16.579999999999998</v>
      </c>
      <c r="E73" s="100">
        <v>11.7</v>
      </c>
      <c r="F73" s="152" t="s">
        <v>15</v>
      </c>
      <c r="G73" s="100">
        <v>46.03</v>
      </c>
      <c r="H73" s="100">
        <v>17.329999999999998</v>
      </c>
      <c r="I73" s="100">
        <v>6.27</v>
      </c>
      <c r="J73" s="100">
        <v>0.88</v>
      </c>
      <c r="K73" s="100">
        <v>20.2</v>
      </c>
      <c r="L73" s="100">
        <v>31.43</v>
      </c>
      <c r="M73" s="100">
        <v>10.130000000000001</v>
      </c>
      <c r="N73" s="100">
        <v>47.2</v>
      </c>
      <c r="O73" s="100">
        <v>0</v>
      </c>
      <c r="P73" s="100">
        <v>0.49</v>
      </c>
      <c r="Q73" s="100">
        <v>54.36</v>
      </c>
      <c r="R73" s="6"/>
      <c r="S73" s="6"/>
      <c r="T73" s="156"/>
      <c r="U73" s="6"/>
    </row>
    <row r="74" spans="1:21" customFormat="1">
      <c r="A74" s="163" t="s">
        <v>2512</v>
      </c>
      <c r="B74" s="100">
        <v>4.8600000000000003</v>
      </c>
      <c r="C74" s="100">
        <v>22.07</v>
      </c>
      <c r="D74" s="100">
        <v>16.78</v>
      </c>
      <c r="E74" s="100">
        <v>11.01</v>
      </c>
      <c r="F74" s="152" t="s">
        <v>15</v>
      </c>
      <c r="G74" s="100">
        <v>37.54</v>
      </c>
      <c r="H74" s="100">
        <v>12.14</v>
      </c>
      <c r="I74" s="100">
        <v>6.04</v>
      </c>
      <c r="J74" s="100">
        <v>0.89</v>
      </c>
      <c r="K74" s="100">
        <v>39.97</v>
      </c>
      <c r="L74" s="100">
        <v>31.22</v>
      </c>
      <c r="M74" s="100">
        <v>11.01</v>
      </c>
      <c r="N74" s="100">
        <v>46.1</v>
      </c>
      <c r="O74" s="100">
        <v>0</v>
      </c>
      <c r="P74" s="100">
        <v>0.48</v>
      </c>
      <c r="Q74" s="100">
        <v>54.36</v>
      </c>
      <c r="R74" s="6"/>
      <c r="S74" s="6"/>
      <c r="T74" s="156"/>
      <c r="U74" s="6"/>
    </row>
    <row r="75" spans="1:21" customFormat="1">
      <c r="A75" s="163" t="s">
        <v>2513</v>
      </c>
      <c r="B75" s="100">
        <v>4.88</v>
      </c>
      <c r="C75" s="100">
        <v>21.98</v>
      </c>
      <c r="D75" s="100">
        <v>16.75</v>
      </c>
      <c r="E75" s="100">
        <v>11.54</v>
      </c>
      <c r="F75" s="152" t="s">
        <v>15</v>
      </c>
      <c r="G75" s="100">
        <v>34.450000000000003</v>
      </c>
      <c r="H75" s="100">
        <v>11.28</v>
      </c>
      <c r="I75" s="100">
        <v>5.78</v>
      </c>
      <c r="J75" s="100">
        <v>0.62</v>
      </c>
      <c r="K75" s="100">
        <v>23.74</v>
      </c>
      <c r="L75" s="100">
        <v>30.99</v>
      </c>
      <c r="M75" s="100">
        <v>10.26</v>
      </c>
      <c r="N75" s="100">
        <v>38.6</v>
      </c>
      <c r="O75" s="100">
        <v>0</v>
      </c>
      <c r="P75" s="100">
        <v>0.48</v>
      </c>
      <c r="Q75" s="100">
        <v>54.36</v>
      </c>
      <c r="R75" s="6"/>
      <c r="S75" s="6"/>
      <c r="T75" s="156"/>
      <c r="U75" s="6"/>
    </row>
    <row r="76" spans="1:21" customFormat="1">
      <c r="A76" s="163" t="s">
        <v>2514</v>
      </c>
      <c r="B76" s="100">
        <v>4.95</v>
      </c>
      <c r="C76" s="100">
        <v>21.99</v>
      </c>
      <c r="D76" s="100">
        <v>16.809999999999999</v>
      </c>
      <c r="E76" s="100">
        <v>12.18</v>
      </c>
      <c r="F76" s="152" t="s">
        <v>15</v>
      </c>
      <c r="G76" s="100">
        <v>34.450000000000003</v>
      </c>
      <c r="H76" s="100">
        <v>11.28</v>
      </c>
      <c r="I76" s="100">
        <v>5.71</v>
      </c>
      <c r="J76" s="100">
        <v>0.75</v>
      </c>
      <c r="K76" s="100">
        <v>19.25</v>
      </c>
      <c r="L76" s="100">
        <v>30.85</v>
      </c>
      <c r="M76" s="100">
        <v>10.67</v>
      </c>
      <c r="N76" s="100">
        <v>33.299999999999997</v>
      </c>
      <c r="O76" s="100">
        <v>0</v>
      </c>
      <c r="P76" s="100">
        <v>0.47</v>
      </c>
      <c r="Q76" s="100">
        <v>54.36</v>
      </c>
      <c r="R76" s="6"/>
      <c r="S76" s="6"/>
      <c r="T76" s="156"/>
      <c r="U76" s="6"/>
    </row>
    <row r="77" spans="1:21" customFormat="1">
      <c r="A77" s="163" t="s">
        <v>2515</v>
      </c>
      <c r="B77" s="100">
        <v>4.9400000000000004</v>
      </c>
      <c r="C77" s="100">
        <v>21.99</v>
      </c>
      <c r="D77" s="100">
        <v>16.8</v>
      </c>
      <c r="E77" s="100">
        <v>11.04</v>
      </c>
      <c r="F77" s="152" t="s">
        <v>15</v>
      </c>
      <c r="G77" s="100">
        <v>34.450000000000003</v>
      </c>
      <c r="H77" s="100">
        <v>11.28</v>
      </c>
      <c r="I77" s="100">
        <v>5.66</v>
      </c>
      <c r="J77" s="100">
        <v>0.56000000000000005</v>
      </c>
      <c r="K77" s="100">
        <v>21.68</v>
      </c>
      <c r="L77" s="100">
        <v>30.55</v>
      </c>
      <c r="M77" s="100">
        <v>11.07</v>
      </c>
      <c r="N77" s="100">
        <v>24.2</v>
      </c>
      <c r="O77" s="100">
        <v>0</v>
      </c>
      <c r="P77" s="100">
        <v>0.47</v>
      </c>
      <c r="Q77" s="100">
        <v>54.36</v>
      </c>
      <c r="R77" s="6"/>
      <c r="S77" s="6"/>
      <c r="T77" s="156"/>
      <c r="U77" s="6"/>
    </row>
    <row r="78" spans="1:21" customFormat="1">
      <c r="A78" s="163" t="s">
        <v>2516</v>
      </c>
      <c r="B78" s="100">
        <v>4.9400000000000004</v>
      </c>
      <c r="C78" s="100">
        <v>22.09</v>
      </c>
      <c r="D78" s="100">
        <v>16.850000000000001</v>
      </c>
      <c r="E78" s="100">
        <v>11.14</v>
      </c>
      <c r="F78" s="152" t="s">
        <v>15</v>
      </c>
      <c r="G78" s="100">
        <v>35.33</v>
      </c>
      <c r="H78" s="100">
        <v>12.81</v>
      </c>
      <c r="I78" s="100">
        <v>5.53</v>
      </c>
      <c r="J78" s="100">
        <v>0.54</v>
      </c>
      <c r="K78" s="100">
        <v>41.96</v>
      </c>
      <c r="L78" s="100">
        <v>30.2</v>
      </c>
      <c r="M78" s="100">
        <v>11.88</v>
      </c>
      <c r="N78" s="100">
        <v>16.8</v>
      </c>
      <c r="O78" s="100">
        <v>0</v>
      </c>
      <c r="P78" s="100">
        <v>0.48</v>
      </c>
      <c r="Q78" s="100">
        <v>54.36</v>
      </c>
      <c r="R78" s="6"/>
      <c r="S78" s="6"/>
      <c r="T78" s="156"/>
      <c r="U78" s="6"/>
    </row>
    <row r="79" spans="1:21" customFormat="1">
      <c r="A79" s="163" t="s">
        <v>2517</v>
      </c>
      <c r="B79" s="100">
        <v>5.04</v>
      </c>
      <c r="C79" s="100">
        <v>22.27</v>
      </c>
      <c r="D79" s="100">
        <v>17.03</v>
      </c>
      <c r="E79" s="100">
        <v>10.199999999999999</v>
      </c>
      <c r="F79" s="152" t="s">
        <v>15</v>
      </c>
      <c r="G79" s="100">
        <v>35.65</v>
      </c>
      <c r="H79" s="100">
        <v>13.07</v>
      </c>
      <c r="I79" s="100">
        <v>5.42</v>
      </c>
      <c r="J79" s="100">
        <v>0.33</v>
      </c>
      <c r="K79" s="100">
        <v>71.3</v>
      </c>
      <c r="L79" s="100">
        <v>29.79</v>
      </c>
      <c r="M79" s="100">
        <v>13.56</v>
      </c>
      <c r="N79" s="100">
        <v>10.9</v>
      </c>
      <c r="O79" s="100">
        <v>0</v>
      </c>
      <c r="P79" s="100">
        <v>0.48</v>
      </c>
      <c r="Q79" s="100">
        <v>54.36</v>
      </c>
      <c r="R79" s="6"/>
      <c r="S79" s="6"/>
      <c r="T79" s="156"/>
      <c r="U79" s="6"/>
    </row>
    <row r="80" spans="1:21" customFormat="1">
      <c r="A80" s="163" t="s">
        <v>2518</v>
      </c>
      <c r="B80" s="100">
        <v>5.04</v>
      </c>
      <c r="C80" s="100">
        <v>22.61</v>
      </c>
      <c r="D80" s="100">
        <v>17.21</v>
      </c>
      <c r="E80" s="100">
        <v>10.56</v>
      </c>
      <c r="F80" s="152" t="s">
        <v>15</v>
      </c>
      <c r="G80" s="100">
        <v>35.65</v>
      </c>
      <c r="H80" s="100">
        <v>13.07</v>
      </c>
      <c r="I80" s="100">
        <v>5.39</v>
      </c>
      <c r="J80" s="100">
        <v>0.24</v>
      </c>
      <c r="K80" s="100">
        <v>174.97</v>
      </c>
      <c r="L80" s="100">
        <v>28.23</v>
      </c>
      <c r="M80" s="100">
        <v>19.53</v>
      </c>
      <c r="N80" s="100">
        <v>6</v>
      </c>
      <c r="O80" s="100">
        <v>0</v>
      </c>
      <c r="P80" s="100">
        <v>0.55000000000000004</v>
      </c>
      <c r="Q80" s="100">
        <v>54.36</v>
      </c>
      <c r="R80" s="6"/>
      <c r="S80" s="6"/>
      <c r="T80" s="156"/>
      <c r="U80" s="6"/>
    </row>
    <row r="81" spans="1:21" customFormat="1">
      <c r="A81" s="163" t="s">
        <v>2519</v>
      </c>
      <c r="B81" s="100">
        <v>5.24</v>
      </c>
      <c r="C81" s="100">
        <v>22.27</v>
      </c>
      <c r="D81" s="100">
        <v>17.190000000000001</v>
      </c>
      <c r="E81" s="100">
        <v>10.31</v>
      </c>
      <c r="F81" s="152" t="s">
        <v>15</v>
      </c>
      <c r="G81" s="100">
        <v>35.65</v>
      </c>
      <c r="H81" s="100">
        <v>13.07</v>
      </c>
      <c r="I81" s="100">
        <v>5.91</v>
      </c>
      <c r="J81" s="100">
        <v>0.2</v>
      </c>
      <c r="K81" s="100">
        <v>177.22</v>
      </c>
      <c r="L81" s="100">
        <v>27.03</v>
      </c>
      <c r="M81" s="100">
        <v>23.77</v>
      </c>
      <c r="N81" s="100">
        <v>2.4</v>
      </c>
      <c r="O81" s="100">
        <v>0</v>
      </c>
      <c r="P81" s="100">
        <v>0.59</v>
      </c>
      <c r="Q81" s="100">
        <v>54.36</v>
      </c>
      <c r="R81" s="6"/>
      <c r="S81" s="6"/>
      <c r="T81" s="156"/>
      <c r="U81" s="6"/>
    </row>
    <row r="82" spans="1:21" customFormat="1">
      <c r="A82" s="163" t="s">
        <v>2520</v>
      </c>
      <c r="B82" s="100">
        <v>5.55</v>
      </c>
      <c r="C82" s="100">
        <v>22.11</v>
      </c>
      <c r="D82" s="100">
        <v>17.36</v>
      </c>
      <c r="E82" s="100">
        <v>12.48</v>
      </c>
      <c r="F82" s="152" t="s">
        <v>15</v>
      </c>
      <c r="G82" s="100">
        <v>40.630000000000003</v>
      </c>
      <c r="H82" s="100">
        <v>15.95</v>
      </c>
      <c r="I82" s="100">
        <v>6.65</v>
      </c>
      <c r="J82" s="100">
        <v>0.2</v>
      </c>
      <c r="K82" s="100">
        <v>153.63999999999999</v>
      </c>
      <c r="L82" s="100">
        <v>26.47</v>
      </c>
      <c r="M82" s="100">
        <v>25.1</v>
      </c>
      <c r="N82" s="100">
        <v>1.1000000000000001</v>
      </c>
      <c r="O82" s="100">
        <v>0</v>
      </c>
      <c r="P82" s="100">
        <v>0.65</v>
      </c>
      <c r="Q82" s="100">
        <v>54.36</v>
      </c>
      <c r="R82" s="6"/>
      <c r="S82" s="6"/>
      <c r="T82" s="156"/>
      <c r="U82" s="6"/>
    </row>
    <row r="83" spans="1:21" customFormat="1">
      <c r="A83" s="163" t="s">
        <v>2521</v>
      </c>
      <c r="B83" s="100">
        <v>6.07</v>
      </c>
      <c r="C83" s="100">
        <v>22.28</v>
      </c>
      <c r="D83" s="100">
        <v>17.86</v>
      </c>
      <c r="E83" s="100">
        <v>11.95</v>
      </c>
      <c r="F83" s="152" t="s">
        <v>15</v>
      </c>
      <c r="G83" s="100">
        <v>42.45</v>
      </c>
      <c r="H83" s="100">
        <v>16.36</v>
      </c>
      <c r="I83" s="100">
        <v>6.89</v>
      </c>
      <c r="J83" s="100">
        <v>0.23</v>
      </c>
      <c r="K83" s="100">
        <v>166.42</v>
      </c>
      <c r="L83" s="100">
        <v>25.61</v>
      </c>
      <c r="M83" s="100">
        <v>32.42</v>
      </c>
      <c r="N83" s="100">
        <v>1.3</v>
      </c>
      <c r="O83" s="100">
        <v>0</v>
      </c>
      <c r="P83" s="100">
        <v>0.63</v>
      </c>
      <c r="Q83" s="100">
        <v>54.36</v>
      </c>
      <c r="R83" s="6"/>
      <c r="S83" s="6"/>
      <c r="T83" s="156"/>
      <c r="U83" s="6"/>
    </row>
    <row r="84" spans="1:21" customFormat="1">
      <c r="A84" s="163" t="s">
        <v>2522</v>
      </c>
      <c r="B84" s="100">
        <v>6.94</v>
      </c>
      <c r="C84" s="100">
        <v>22.35</v>
      </c>
      <c r="D84" s="100">
        <v>18.59</v>
      </c>
      <c r="E84" s="100">
        <v>11.28</v>
      </c>
      <c r="F84" s="152" t="s">
        <v>15</v>
      </c>
      <c r="G84" s="100">
        <v>42.45</v>
      </c>
      <c r="H84" s="100">
        <v>16.36</v>
      </c>
      <c r="I84" s="100">
        <v>7.69</v>
      </c>
      <c r="J84" s="100">
        <v>0.14000000000000001</v>
      </c>
      <c r="K84" s="100">
        <v>191.6</v>
      </c>
      <c r="L84" s="100">
        <v>25.2</v>
      </c>
      <c r="M84" s="100">
        <v>28.16</v>
      </c>
      <c r="N84" s="100">
        <v>0.8</v>
      </c>
      <c r="O84" s="100">
        <v>0</v>
      </c>
      <c r="P84" s="100">
        <v>0.66</v>
      </c>
      <c r="Q84" s="100">
        <v>54.36</v>
      </c>
      <c r="R84" s="6"/>
      <c r="S84" s="6"/>
      <c r="T84" s="156"/>
      <c r="U84" s="6"/>
    </row>
    <row r="85" spans="1:21" customFormat="1">
      <c r="A85" s="163" t="s">
        <v>2523</v>
      </c>
      <c r="B85" s="100">
        <v>8.1999999999999993</v>
      </c>
      <c r="C85" s="100">
        <v>22.62</v>
      </c>
      <c r="D85" s="100">
        <v>19.75</v>
      </c>
      <c r="E85" s="100">
        <v>11.49</v>
      </c>
      <c r="F85" s="152" t="s">
        <v>15</v>
      </c>
      <c r="G85" s="100">
        <v>42.45</v>
      </c>
      <c r="H85" s="100">
        <v>16.36</v>
      </c>
      <c r="I85" s="100">
        <v>8.6</v>
      </c>
      <c r="J85" s="100">
        <v>0.2</v>
      </c>
      <c r="K85" s="100">
        <v>181.16</v>
      </c>
      <c r="L85" s="100">
        <v>24.77</v>
      </c>
      <c r="M85" s="100">
        <v>30.94</v>
      </c>
      <c r="N85" s="100">
        <v>1.1000000000000001</v>
      </c>
      <c r="O85" s="100">
        <v>0</v>
      </c>
      <c r="P85" s="100">
        <v>0.67</v>
      </c>
      <c r="Q85" s="100">
        <v>54.36</v>
      </c>
      <c r="R85" s="6"/>
      <c r="S85" s="6"/>
      <c r="T85" s="156"/>
      <c r="U85" s="6"/>
    </row>
    <row r="86" spans="1:21" customFormat="1">
      <c r="A86" s="163" t="s">
        <v>2524</v>
      </c>
      <c r="B86" s="100">
        <v>9.19</v>
      </c>
      <c r="C86" s="100">
        <v>22.73</v>
      </c>
      <c r="D86" s="100">
        <v>20.6</v>
      </c>
      <c r="E86" s="100">
        <v>11.12</v>
      </c>
      <c r="F86" s="152" t="s">
        <v>15</v>
      </c>
      <c r="G86" s="100">
        <v>60.36</v>
      </c>
      <c r="H86" s="100">
        <v>24</v>
      </c>
      <c r="I86" s="100">
        <v>8.52</v>
      </c>
      <c r="J86" s="100">
        <v>0.15</v>
      </c>
      <c r="K86" s="100">
        <v>175.41</v>
      </c>
      <c r="L86" s="100">
        <v>23.75</v>
      </c>
      <c r="M86" s="100">
        <v>34.4</v>
      </c>
      <c r="N86" s="100">
        <v>1</v>
      </c>
      <c r="O86" s="100">
        <v>0</v>
      </c>
      <c r="P86" s="100">
        <v>0.67</v>
      </c>
      <c r="Q86" s="100">
        <v>54.36</v>
      </c>
      <c r="R86" s="6"/>
      <c r="S86" s="6"/>
      <c r="T86" s="156"/>
      <c r="U86" s="6"/>
    </row>
    <row r="87" spans="1:21" customFormat="1">
      <c r="A87" s="163" t="s">
        <v>2525</v>
      </c>
      <c r="B87" s="100">
        <v>10</v>
      </c>
      <c r="C87" s="100">
        <v>22.62</v>
      </c>
      <c r="D87" s="100">
        <v>21.19</v>
      </c>
      <c r="E87" s="100">
        <v>11.16</v>
      </c>
      <c r="F87" s="152" t="s">
        <v>15</v>
      </c>
      <c r="G87" s="100">
        <v>66.87</v>
      </c>
      <c r="H87" s="100">
        <v>25.09</v>
      </c>
      <c r="I87" s="100">
        <v>8.49</v>
      </c>
      <c r="J87" s="100">
        <v>0.24</v>
      </c>
      <c r="K87" s="100">
        <v>172.72</v>
      </c>
      <c r="L87" s="100">
        <v>23.37</v>
      </c>
      <c r="M87" s="100">
        <v>41.46</v>
      </c>
      <c r="N87" s="100">
        <v>0.9</v>
      </c>
      <c r="O87" s="100">
        <v>0</v>
      </c>
      <c r="P87" s="100">
        <v>0.68</v>
      </c>
      <c r="Q87" s="100">
        <v>54.36</v>
      </c>
      <c r="R87" s="6"/>
      <c r="S87" s="6"/>
      <c r="T87" s="156"/>
      <c r="U87" s="6"/>
    </row>
    <row r="88" spans="1:21" customFormat="1">
      <c r="A88" s="163" t="s">
        <v>2526</v>
      </c>
      <c r="B88" s="100">
        <v>10.77</v>
      </c>
      <c r="C88" s="100">
        <v>22.36</v>
      </c>
      <c r="D88" s="100">
        <v>21.67</v>
      </c>
      <c r="E88" s="100">
        <v>10.79</v>
      </c>
      <c r="F88" s="152" t="s">
        <v>15</v>
      </c>
      <c r="G88" s="100">
        <v>66.87</v>
      </c>
      <c r="H88" s="100">
        <v>25.09</v>
      </c>
      <c r="I88" s="100">
        <v>8.6999999999999993</v>
      </c>
      <c r="J88" s="100">
        <v>0.19</v>
      </c>
      <c r="K88" s="100">
        <v>171</v>
      </c>
      <c r="L88" s="100">
        <v>22.69</v>
      </c>
      <c r="M88" s="100">
        <v>42.46</v>
      </c>
      <c r="N88" s="100">
        <v>1.1000000000000001</v>
      </c>
      <c r="O88" s="100">
        <v>0</v>
      </c>
      <c r="P88" s="100">
        <v>0.68</v>
      </c>
      <c r="Q88" s="100">
        <v>54.36</v>
      </c>
      <c r="R88" s="6"/>
      <c r="S88" s="6"/>
      <c r="T88" s="156"/>
      <c r="U88" s="6"/>
    </row>
    <row r="89" spans="1:21" customFormat="1">
      <c r="A89" s="163" t="s">
        <v>2527</v>
      </c>
      <c r="B89" s="100">
        <v>11.83</v>
      </c>
      <c r="C89" s="100">
        <v>22.16</v>
      </c>
      <c r="D89" s="100">
        <v>22.41</v>
      </c>
      <c r="E89" s="100">
        <v>11.47</v>
      </c>
      <c r="F89" s="152" t="s">
        <v>15</v>
      </c>
      <c r="G89" s="100">
        <v>66.87</v>
      </c>
      <c r="H89" s="100">
        <v>25.09</v>
      </c>
      <c r="I89" s="100">
        <v>8.86</v>
      </c>
      <c r="J89" s="100">
        <v>0.25</v>
      </c>
      <c r="K89" s="100">
        <v>168.08</v>
      </c>
      <c r="L89" s="100">
        <v>22.62</v>
      </c>
      <c r="M89" s="100">
        <v>43.7</v>
      </c>
      <c r="N89" s="100">
        <v>0.7</v>
      </c>
      <c r="O89" s="100">
        <v>0</v>
      </c>
      <c r="P89" s="100">
        <v>0.72</v>
      </c>
      <c r="Q89" s="100">
        <v>54.36</v>
      </c>
      <c r="R89" s="6"/>
      <c r="S89" s="6"/>
      <c r="T89" s="156"/>
      <c r="U89" s="6"/>
    </row>
    <row r="90" spans="1:21" customFormat="1">
      <c r="A90" s="163" t="s">
        <v>2528</v>
      </c>
      <c r="B90" s="100">
        <v>13.08</v>
      </c>
      <c r="C90" s="100">
        <v>22.09</v>
      </c>
      <c r="D90" s="100">
        <v>23.38</v>
      </c>
      <c r="E90" s="100">
        <v>11.78</v>
      </c>
      <c r="F90" s="152" t="s">
        <v>15</v>
      </c>
      <c r="G90" s="100">
        <v>76.290000000000006</v>
      </c>
      <c r="H90" s="100">
        <v>17.920000000000002</v>
      </c>
      <c r="I90" s="100">
        <v>8.93</v>
      </c>
      <c r="J90" s="100">
        <v>0.23</v>
      </c>
      <c r="K90" s="100">
        <v>163</v>
      </c>
      <c r="L90" s="100">
        <v>22.35</v>
      </c>
      <c r="M90" s="100">
        <v>48.94</v>
      </c>
      <c r="N90" s="100">
        <v>0.9</v>
      </c>
      <c r="O90" s="100">
        <v>0</v>
      </c>
      <c r="P90" s="100">
        <v>0.73</v>
      </c>
      <c r="Q90" s="100">
        <v>54.36</v>
      </c>
      <c r="R90" s="6"/>
      <c r="S90" s="6"/>
      <c r="T90" s="156"/>
      <c r="U90" s="6"/>
    </row>
    <row r="91" spans="1:21" customFormat="1">
      <c r="A91" s="163" t="s">
        <v>2529</v>
      </c>
      <c r="B91" s="100">
        <v>14.61</v>
      </c>
      <c r="C91" s="100">
        <v>22.07</v>
      </c>
      <c r="D91" s="100">
        <v>24.6</v>
      </c>
      <c r="E91" s="100">
        <v>11.98</v>
      </c>
      <c r="F91" s="152" t="s">
        <v>15</v>
      </c>
      <c r="G91" s="100">
        <v>79.709999999999994</v>
      </c>
      <c r="H91" s="100">
        <v>16.899999999999999</v>
      </c>
      <c r="I91" s="100">
        <v>9.14</v>
      </c>
      <c r="J91" s="100">
        <v>0.18</v>
      </c>
      <c r="K91" s="100">
        <v>162.44999999999999</v>
      </c>
      <c r="L91" s="100">
        <v>22.47</v>
      </c>
      <c r="M91" s="100">
        <v>41.58</v>
      </c>
      <c r="N91" s="100">
        <v>0.6</v>
      </c>
      <c r="O91" s="100">
        <v>0</v>
      </c>
      <c r="P91" s="100">
        <v>0.77</v>
      </c>
      <c r="Q91" s="100">
        <v>54.36</v>
      </c>
      <c r="R91" s="6"/>
      <c r="S91" s="6"/>
      <c r="T91" s="156"/>
      <c r="U91" s="6"/>
    </row>
    <row r="92" spans="1:21" customFormat="1">
      <c r="A92" s="163" t="s">
        <v>2530</v>
      </c>
      <c r="B92" s="100">
        <v>16.52</v>
      </c>
      <c r="C92" s="100">
        <v>22.22</v>
      </c>
      <c r="D92" s="100">
        <v>26.2</v>
      </c>
      <c r="E92" s="100">
        <v>11.66</v>
      </c>
      <c r="F92" s="152" t="s">
        <v>15</v>
      </c>
      <c r="G92" s="100">
        <v>79.709999999999994</v>
      </c>
      <c r="H92" s="100">
        <v>16.899999999999999</v>
      </c>
      <c r="I92" s="100">
        <v>9.39</v>
      </c>
      <c r="J92" s="100">
        <v>0.18</v>
      </c>
      <c r="K92" s="100">
        <v>174.15</v>
      </c>
      <c r="L92" s="100">
        <v>22.24</v>
      </c>
      <c r="M92" s="100">
        <v>48.37</v>
      </c>
      <c r="N92" s="100">
        <v>0.9</v>
      </c>
      <c r="O92" s="100">
        <v>0</v>
      </c>
      <c r="P92" s="100">
        <v>0.81</v>
      </c>
      <c r="Q92" s="100">
        <v>54.36</v>
      </c>
      <c r="R92" s="6"/>
      <c r="S92" s="6"/>
      <c r="T92" s="156"/>
      <c r="U92" s="6"/>
    </row>
    <row r="93" spans="1:21" customFormat="1">
      <c r="A93" s="163" t="s">
        <v>2531</v>
      </c>
      <c r="B93" s="100">
        <v>18.05</v>
      </c>
      <c r="C93" s="100">
        <v>22.22</v>
      </c>
      <c r="D93" s="100">
        <v>27.44</v>
      </c>
      <c r="E93" s="100">
        <v>11.76</v>
      </c>
      <c r="F93" s="152" t="s">
        <v>15</v>
      </c>
      <c r="G93" s="100">
        <v>79.709999999999994</v>
      </c>
      <c r="H93" s="100">
        <v>16.899999999999999</v>
      </c>
      <c r="I93" s="100">
        <v>9.7100000000000009</v>
      </c>
      <c r="J93" s="100">
        <v>0.2</v>
      </c>
      <c r="K93" s="100">
        <v>159.21</v>
      </c>
      <c r="L93" s="100">
        <v>22.16</v>
      </c>
      <c r="M93" s="100">
        <v>45.38</v>
      </c>
      <c r="N93" s="100">
        <v>0.7</v>
      </c>
      <c r="O93" s="100">
        <v>0</v>
      </c>
      <c r="P93" s="100">
        <v>0.84</v>
      </c>
      <c r="Q93" s="100">
        <v>54.36</v>
      </c>
      <c r="R93" s="6"/>
      <c r="S93" s="6"/>
      <c r="T93" s="156"/>
      <c r="U93" s="6"/>
    </row>
    <row r="94" spans="1:21" customFormat="1">
      <c r="A94" s="163" t="s">
        <v>2532</v>
      </c>
      <c r="B94" s="100">
        <v>19.39</v>
      </c>
      <c r="C94" s="100">
        <v>22.04</v>
      </c>
      <c r="D94" s="100">
        <v>28.42</v>
      </c>
      <c r="E94" s="100">
        <v>12.01</v>
      </c>
      <c r="F94" s="152" t="s">
        <v>15</v>
      </c>
      <c r="G94" s="100">
        <v>200.02</v>
      </c>
      <c r="H94" s="100">
        <v>59.34</v>
      </c>
      <c r="I94" s="100">
        <v>10.039999999999999</v>
      </c>
      <c r="J94" s="100">
        <v>0.21</v>
      </c>
      <c r="K94" s="100">
        <v>172.31</v>
      </c>
      <c r="L94" s="100">
        <v>21.89</v>
      </c>
      <c r="M94" s="100">
        <v>50.35</v>
      </c>
      <c r="N94" s="100">
        <v>0.9</v>
      </c>
      <c r="O94" s="100">
        <v>0</v>
      </c>
      <c r="P94" s="100">
        <v>0.94</v>
      </c>
      <c r="Q94" s="100">
        <v>54.36</v>
      </c>
      <c r="R94" s="6"/>
      <c r="S94" s="6"/>
      <c r="T94" s="156"/>
      <c r="U94" s="6"/>
    </row>
    <row r="95" spans="1:21" customFormat="1">
      <c r="A95" s="163" t="s">
        <v>2533</v>
      </c>
      <c r="B95" s="100">
        <v>20.86</v>
      </c>
      <c r="C95" s="100">
        <v>22.02</v>
      </c>
      <c r="D95" s="100">
        <v>29.58</v>
      </c>
      <c r="E95" s="100">
        <v>12.42</v>
      </c>
      <c r="F95" s="152" t="s">
        <v>15</v>
      </c>
      <c r="G95" s="100">
        <v>243.77</v>
      </c>
      <c r="H95" s="100">
        <v>62.17</v>
      </c>
      <c r="I95" s="100">
        <v>10.7</v>
      </c>
      <c r="J95" s="100">
        <v>0.11</v>
      </c>
      <c r="K95" s="100">
        <v>169.62</v>
      </c>
      <c r="L95" s="100">
        <v>21.94</v>
      </c>
      <c r="M95" s="100">
        <v>41.55</v>
      </c>
      <c r="N95" s="100">
        <v>0.6</v>
      </c>
      <c r="O95" s="100">
        <v>0</v>
      </c>
      <c r="P95" s="100">
        <v>0.94</v>
      </c>
      <c r="Q95" s="100">
        <v>54.36</v>
      </c>
      <c r="R95" s="6"/>
      <c r="S95" s="6"/>
      <c r="T95" s="156"/>
      <c r="U95" s="6"/>
    </row>
    <row r="96" spans="1:21" customFormat="1">
      <c r="A96" s="163" t="s">
        <v>2534</v>
      </c>
      <c r="B96" s="100">
        <v>23.44</v>
      </c>
      <c r="C96" s="100">
        <v>22.07</v>
      </c>
      <c r="D96" s="100">
        <v>31.68</v>
      </c>
      <c r="E96" s="100">
        <v>12.1</v>
      </c>
      <c r="F96" s="152" t="s">
        <v>15</v>
      </c>
      <c r="G96" s="100">
        <v>243.77</v>
      </c>
      <c r="H96" s="100">
        <v>62.17</v>
      </c>
      <c r="I96" s="100">
        <v>11.33</v>
      </c>
      <c r="J96" s="100">
        <v>0.28000000000000003</v>
      </c>
      <c r="K96" s="100">
        <v>191.85</v>
      </c>
      <c r="L96" s="100">
        <v>21.9</v>
      </c>
      <c r="M96" s="100">
        <v>45.42</v>
      </c>
      <c r="N96" s="100">
        <v>0.9</v>
      </c>
      <c r="O96" s="100">
        <v>0</v>
      </c>
      <c r="P96" s="100">
        <v>0.97</v>
      </c>
      <c r="Q96" s="100">
        <v>54.36</v>
      </c>
      <c r="R96" s="6"/>
      <c r="S96" s="6"/>
      <c r="T96" s="156"/>
      <c r="U96" s="6"/>
    </row>
    <row r="97" spans="1:28" customFormat="1">
      <c r="A97" s="163" t="s">
        <v>2535</v>
      </c>
      <c r="B97" s="100">
        <v>25.09</v>
      </c>
      <c r="C97" s="100">
        <v>22.5</v>
      </c>
      <c r="D97" s="100">
        <v>33.229999999999997</v>
      </c>
      <c r="E97" s="100">
        <v>11.81</v>
      </c>
      <c r="F97" s="152" t="s">
        <v>15</v>
      </c>
      <c r="G97" s="100">
        <v>243.77</v>
      </c>
      <c r="H97" s="100">
        <v>62.17</v>
      </c>
      <c r="I97" s="100">
        <v>11.41</v>
      </c>
      <c r="J97" s="100">
        <v>0.23</v>
      </c>
      <c r="K97" s="100">
        <v>185.1</v>
      </c>
      <c r="L97" s="100">
        <v>20.78</v>
      </c>
      <c r="M97" s="100">
        <v>47.45</v>
      </c>
      <c r="N97" s="100">
        <v>1.4</v>
      </c>
      <c r="O97" s="100">
        <v>0</v>
      </c>
      <c r="P97" s="100">
        <v>0.99</v>
      </c>
      <c r="Q97" s="100">
        <v>54.36</v>
      </c>
      <c r="R97" s="6"/>
      <c r="S97" s="6"/>
      <c r="T97" s="156"/>
      <c r="U97" s="6"/>
    </row>
    <row r="98" spans="1:28" customFormat="1">
      <c r="A98" s="163" t="s">
        <v>2536</v>
      </c>
      <c r="B98" s="100">
        <v>25.35</v>
      </c>
      <c r="C98" s="100">
        <v>22.77</v>
      </c>
      <c r="D98" s="100">
        <v>33.58</v>
      </c>
      <c r="E98" s="100">
        <v>11.83</v>
      </c>
      <c r="F98" s="152" t="s">
        <v>15</v>
      </c>
      <c r="G98" s="100">
        <v>153.9</v>
      </c>
      <c r="H98" s="100">
        <v>26.89</v>
      </c>
      <c r="I98" s="100">
        <v>11.54</v>
      </c>
      <c r="J98" s="100">
        <v>0.13</v>
      </c>
      <c r="K98" s="100">
        <v>185.27</v>
      </c>
      <c r="L98" s="100">
        <v>20.58</v>
      </c>
      <c r="M98" s="100">
        <v>45.55</v>
      </c>
      <c r="N98" s="100">
        <v>0.9</v>
      </c>
      <c r="O98" s="100">
        <v>0</v>
      </c>
      <c r="P98" s="100">
        <v>1</v>
      </c>
      <c r="Q98" s="100">
        <v>54.36</v>
      </c>
      <c r="R98" s="6"/>
      <c r="S98" s="6"/>
      <c r="T98" s="156"/>
      <c r="U98" s="6"/>
    </row>
    <row r="99" spans="1:28" customFormat="1">
      <c r="A99" s="163" t="s">
        <v>2537</v>
      </c>
      <c r="B99" s="100">
        <v>25.49</v>
      </c>
      <c r="C99" s="100">
        <v>22.6</v>
      </c>
      <c r="D99" s="100">
        <v>33.6</v>
      </c>
      <c r="E99" s="100">
        <v>12.11</v>
      </c>
      <c r="F99" s="152" t="s">
        <v>15</v>
      </c>
      <c r="G99" s="100">
        <v>121.22</v>
      </c>
      <c r="H99" s="100">
        <v>21.85</v>
      </c>
      <c r="I99" s="100">
        <v>11.62</v>
      </c>
      <c r="J99" s="100">
        <v>0.25</v>
      </c>
      <c r="K99" s="100">
        <v>166.46</v>
      </c>
      <c r="L99" s="100">
        <v>20.52</v>
      </c>
      <c r="M99" s="100">
        <v>52.61</v>
      </c>
      <c r="N99" s="100">
        <v>0.9</v>
      </c>
      <c r="O99" s="100">
        <v>0</v>
      </c>
      <c r="P99" s="100">
        <v>0.99</v>
      </c>
      <c r="Q99" s="100">
        <v>54.36</v>
      </c>
      <c r="R99" s="6"/>
      <c r="S99" s="6"/>
      <c r="T99" s="156"/>
      <c r="U99" s="6"/>
    </row>
    <row r="100" spans="1:28" customFormat="1">
      <c r="A100" s="163" t="s">
        <v>2538</v>
      </c>
      <c r="B100" s="100">
        <v>25.77</v>
      </c>
      <c r="C100" s="100">
        <v>22.93</v>
      </c>
      <c r="D100" s="100">
        <v>34</v>
      </c>
      <c r="E100" s="100">
        <v>12.58</v>
      </c>
      <c r="F100" s="152" t="s">
        <v>15</v>
      </c>
      <c r="G100" s="100">
        <v>121.22</v>
      </c>
      <c r="H100" s="100">
        <v>21.85</v>
      </c>
      <c r="I100" s="100">
        <v>11.69</v>
      </c>
      <c r="J100" s="100">
        <v>0.26</v>
      </c>
      <c r="K100" s="100">
        <v>188.32</v>
      </c>
      <c r="L100" s="100">
        <v>20.29</v>
      </c>
      <c r="M100" s="100">
        <v>57.97</v>
      </c>
      <c r="N100" s="100">
        <v>1</v>
      </c>
      <c r="O100" s="100">
        <v>0</v>
      </c>
      <c r="P100" s="100">
        <v>1</v>
      </c>
      <c r="Q100" s="100">
        <v>54.36</v>
      </c>
      <c r="R100" s="6"/>
      <c r="S100" s="6"/>
      <c r="T100" s="156"/>
      <c r="U100" s="6"/>
      <c r="AB100" s="161"/>
    </row>
    <row r="101" spans="1:28" customFormat="1">
      <c r="A101" s="163" t="s">
        <v>2539</v>
      </c>
      <c r="B101" s="100">
        <v>25.94</v>
      </c>
      <c r="C101" s="100">
        <v>22.93</v>
      </c>
      <c r="D101" s="100">
        <v>34.130000000000003</v>
      </c>
      <c r="E101" s="100">
        <v>12.66</v>
      </c>
      <c r="F101" s="152" t="s">
        <v>15</v>
      </c>
      <c r="G101" s="100">
        <v>121.22</v>
      </c>
      <c r="H101" s="100">
        <v>21.85</v>
      </c>
      <c r="I101" s="100">
        <v>11.75</v>
      </c>
      <c r="J101" s="100">
        <v>0.18</v>
      </c>
      <c r="K101" s="100">
        <v>185.69</v>
      </c>
      <c r="L101" s="100">
        <v>19.649999999999999</v>
      </c>
      <c r="M101" s="100">
        <v>55.02</v>
      </c>
      <c r="N101" s="100">
        <v>1.1000000000000001</v>
      </c>
      <c r="O101" s="100">
        <v>0</v>
      </c>
      <c r="P101" s="100">
        <v>1.01</v>
      </c>
      <c r="Q101" s="100">
        <v>54.36</v>
      </c>
      <c r="R101" s="6"/>
      <c r="S101" s="6"/>
      <c r="T101" s="156"/>
      <c r="U101" s="6"/>
    </row>
    <row r="102" spans="1:28" customFormat="1">
      <c r="A102" s="163" t="s">
        <v>2540</v>
      </c>
      <c r="B102" s="100">
        <v>25.56</v>
      </c>
      <c r="C102" s="100">
        <v>23.17</v>
      </c>
      <c r="D102" s="100">
        <v>33.96</v>
      </c>
      <c r="E102" s="100">
        <v>12.62</v>
      </c>
      <c r="F102" s="152" t="s">
        <v>15</v>
      </c>
      <c r="G102" s="100">
        <v>103.73</v>
      </c>
      <c r="H102" s="100">
        <v>19.53</v>
      </c>
      <c r="I102" s="100">
        <v>11.92</v>
      </c>
      <c r="J102" s="100">
        <v>0.15</v>
      </c>
      <c r="K102" s="100">
        <v>172.63</v>
      </c>
      <c r="L102" s="100">
        <v>19.77</v>
      </c>
      <c r="M102" s="100">
        <v>52.81</v>
      </c>
      <c r="N102" s="100">
        <v>0.6</v>
      </c>
      <c r="O102" s="100">
        <v>0</v>
      </c>
      <c r="P102" s="100">
        <v>1.01</v>
      </c>
      <c r="Q102" s="100">
        <v>54.36</v>
      </c>
      <c r="R102" s="6"/>
      <c r="S102" s="6"/>
      <c r="T102" s="156"/>
      <c r="U102" s="6"/>
    </row>
    <row r="103" spans="1:28" customFormat="1">
      <c r="A103" s="163" t="s">
        <v>2541</v>
      </c>
      <c r="B103" s="100">
        <v>25.15</v>
      </c>
      <c r="C103" s="100">
        <v>23.12</v>
      </c>
      <c r="D103" s="100">
        <v>33.6</v>
      </c>
      <c r="E103" s="100">
        <v>12.69</v>
      </c>
      <c r="F103" s="152" t="s">
        <v>15</v>
      </c>
      <c r="G103" s="100">
        <v>97.37</v>
      </c>
      <c r="H103" s="100">
        <v>19.27</v>
      </c>
      <c r="I103" s="100">
        <v>12.03</v>
      </c>
      <c r="J103" s="100">
        <v>0.14000000000000001</v>
      </c>
      <c r="K103" s="100">
        <v>194.71</v>
      </c>
      <c r="L103" s="100">
        <v>19.920000000000002</v>
      </c>
      <c r="M103" s="100">
        <v>48.75</v>
      </c>
      <c r="N103" s="100">
        <v>0.6</v>
      </c>
      <c r="O103" s="100">
        <v>0</v>
      </c>
      <c r="P103" s="100">
        <v>1.01</v>
      </c>
      <c r="Q103" s="100">
        <v>54.36</v>
      </c>
      <c r="R103" s="6"/>
      <c r="S103" s="6"/>
      <c r="T103" s="156"/>
      <c r="U103" s="6"/>
    </row>
    <row r="104" spans="1:28" customFormat="1">
      <c r="A104" s="163" t="s">
        <v>2542</v>
      </c>
      <c r="B104" s="100">
        <v>25.67</v>
      </c>
      <c r="C104" s="100">
        <v>23.47</v>
      </c>
      <c r="D104" s="100">
        <v>34.200000000000003</v>
      </c>
      <c r="E104" s="100">
        <v>12.75</v>
      </c>
      <c r="F104" s="152" t="s">
        <v>15</v>
      </c>
      <c r="G104" s="100">
        <v>97.37</v>
      </c>
      <c r="H104" s="100">
        <v>19.27</v>
      </c>
      <c r="I104" s="100">
        <v>12.07</v>
      </c>
      <c r="J104" s="100">
        <v>0.18</v>
      </c>
      <c r="K104" s="100">
        <v>170.6</v>
      </c>
      <c r="L104" s="100">
        <v>19.82</v>
      </c>
      <c r="M104" s="100">
        <v>53.38</v>
      </c>
      <c r="N104" s="100">
        <v>0.7</v>
      </c>
      <c r="O104" s="100">
        <v>0</v>
      </c>
      <c r="P104" s="100">
        <v>1.02</v>
      </c>
      <c r="Q104" s="100">
        <v>54.36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4.4800000000000004</v>
      </c>
      <c r="C106" s="158">
        <f>MIN(C9:C104)</f>
        <v>21.69</v>
      </c>
      <c r="D106" s="158">
        <f t="shared" ref="D106:Q106" si="0">MIN(D9:D104)</f>
        <v>16.579999999999998</v>
      </c>
      <c r="E106" s="158">
        <f t="shared" si="0"/>
        <v>8.9600000000000009</v>
      </c>
      <c r="F106" s="158">
        <f t="shared" si="0"/>
        <v>0</v>
      </c>
      <c r="G106" s="158">
        <f t="shared" si="0"/>
        <v>34.450000000000003</v>
      </c>
      <c r="H106" s="158">
        <f t="shared" si="0"/>
        <v>11.19</v>
      </c>
      <c r="I106" s="158">
        <f t="shared" si="0"/>
        <v>5.39</v>
      </c>
      <c r="J106" s="158">
        <f t="shared" si="0"/>
        <v>7.0000000000000007E-2</v>
      </c>
      <c r="K106" s="158">
        <f t="shared" si="0"/>
        <v>6.06</v>
      </c>
      <c r="L106" s="158">
        <f t="shared" si="0"/>
        <v>17.09</v>
      </c>
      <c r="M106" s="158">
        <f t="shared" si="0"/>
        <v>7.67</v>
      </c>
      <c r="N106" s="158">
        <f t="shared" si="0"/>
        <v>0.1</v>
      </c>
      <c r="O106" s="158">
        <f t="shared" si="0"/>
        <v>0</v>
      </c>
      <c r="P106" s="158">
        <f t="shared" si="0"/>
        <v>0.47</v>
      </c>
      <c r="Q106" s="158">
        <f t="shared" si="0"/>
        <v>54.36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25.94</v>
      </c>
      <c r="C107" s="157">
        <f t="shared" ref="C107:Q107" si="1">MAX(C9:C104)</f>
        <v>27.57</v>
      </c>
      <c r="D107" s="157">
        <f t="shared" si="1"/>
        <v>34.200000000000003</v>
      </c>
      <c r="E107" s="157">
        <f t="shared" si="1"/>
        <v>29.24</v>
      </c>
      <c r="F107" s="157">
        <f t="shared" si="1"/>
        <v>0</v>
      </c>
      <c r="G107" s="157">
        <f t="shared" si="1"/>
        <v>243.77</v>
      </c>
      <c r="H107" s="157">
        <f t="shared" si="1"/>
        <v>167.73</v>
      </c>
      <c r="I107" s="157">
        <f t="shared" si="1"/>
        <v>12.07</v>
      </c>
      <c r="J107" s="157">
        <f t="shared" si="1"/>
        <v>1.34</v>
      </c>
      <c r="K107" s="157">
        <f t="shared" si="1"/>
        <v>357.35</v>
      </c>
      <c r="L107" s="157">
        <f t="shared" si="1"/>
        <v>32.79</v>
      </c>
      <c r="M107" s="157">
        <f t="shared" si="1"/>
        <v>72.88</v>
      </c>
      <c r="N107" s="157">
        <f t="shared" si="1"/>
        <v>377</v>
      </c>
      <c r="O107" s="157">
        <f t="shared" si="1"/>
        <v>0</v>
      </c>
      <c r="P107" s="157">
        <f t="shared" si="1"/>
        <v>1.02</v>
      </c>
      <c r="Q107" s="157">
        <f t="shared" si="1"/>
        <v>54.36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12.801354166666668</v>
      </c>
      <c r="C108" s="158">
        <f t="shared" ref="C108:Q108" si="2">AVERAGE(C9:C104)</f>
        <v>24.15468749999998</v>
      </c>
      <c r="D108" s="158">
        <f t="shared" si="2"/>
        <v>24.237395833333323</v>
      </c>
      <c r="E108" s="158">
        <f t="shared" si="2"/>
        <v>12.485729166666665</v>
      </c>
      <c r="F108" s="158" t="e">
        <f t="shared" si="2"/>
        <v>#DIV/0!</v>
      </c>
      <c r="G108" s="158">
        <f t="shared" si="2"/>
        <v>80.950833333333335</v>
      </c>
      <c r="H108" s="158">
        <f t="shared" si="2"/>
        <v>31.745000000000008</v>
      </c>
      <c r="I108" s="158">
        <f t="shared" si="2"/>
        <v>9.7687499999999989</v>
      </c>
      <c r="J108" s="158">
        <f t="shared" si="2"/>
        <v>0.5122916666666667</v>
      </c>
      <c r="K108" s="158">
        <f t="shared" si="2"/>
        <v>119.21083333333335</v>
      </c>
      <c r="L108" s="158">
        <f t="shared" si="2"/>
        <v>24.613958333333329</v>
      </c>
      <c r="M108" s="158">
        <f t="shared" si="2"/>
        <v>38.77864583333335</v>
      </c>
      <c r="N108" s="158">
        <f t="shared" si="2"/>
        <v>95.687499999999986</v>
      </c>
      <c r="O108" s="158">
        <f t="shared" si="2"/>
        <v>0</v>
      </c>
      <c r="P108" s="158">
        <f t="shared" si="2"/>
        <v>0.78687499999999988</v>
      </c>
      <c r="Q108" s="158">
        <f t="shared" si="2"/>
        <v>54.359999999999964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6.1537645508200747</v>
      </c>
      <c r="C109" s="158">
        <f t="shared" ref="C109:Q109" si="3">STDEV(C9:C104)</f>
        <v>1.65531421925678</v>
      </c>
      <c r="D109" s="158">
        <f t="shared" si="3"/>
        <v>4.8943839448455453</v>
      </c>
      <c r="E109" s="158">
        <f t="shared" si="3"/>
        <v>3.9422664453176219</v>
      </c>
      <c r="F109" s="158" t="e">
        <f t="shared" si="3"/>
        <v>#DIV/0!</v>
      </c>
      <c r="G109" s="158">
        <f t="shared" si="3"/>
        <v>39.165619554498534</v>
      </c>
      <c r="H109" s="158">
        <f t="shared" si="3"/>
        <v>34.301275194954471</v>
      </c>
      <c r="I109" s="158">
        <f t="shared" si="3"/>
        <v>1.9744826104444064</v>
      </c>
      <c r="J109" s="158">
        <f t="shared" si="3"/>
        <v>0.34445220940125143</v>
      </c>
      <c r="K109" s="158">
        <f t="shared" si="3"/>
        <v>95.767432181648545</v>
      </c>
      <c r="L109" s="158">
        <f t="shared" si="3"/>
        <v>4.9725821904068317</v>
      </c>
      <c r="M109" s="158">
        <f t="shared" si="3"/>
        <v>18.484840538286388</v>
      </c>
      <c r="N109" s="158">
        <f t="shared" si="3"/>
        <v>140.48146777946795</v>
      </c>
      <c r="O109" s="158">
        <f t="shared" si="3"/>
        <v>0</v>
      </c>
      <c r="P109" s="158">
        <f t="shared" si="3"/>
        <v>0.17027106871722547</v>
      </c>
      <c r="Q109" s="158">
        <f t="shared" si="3"/>
        <v>3.571363222576697E-14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53" activePane="bottomRight" state="frozen"/>
      <selection pane="topRight"/>
      <selection pane="bottomLeft"/>
      <selection pane="bottomRight" activeCell="Q69" sqref="Q6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2543</v>
      </c>
      <c r="B9" s="100">
        <v>26.44</v>
      </c>
      <c r="C9" s="100">
        <v>24.31</v>
      </c>
      <c r="D9" s="100">
        <v>35.26</v>
      </c>
      <c r="E9" s="100">
        <v>12.24</v>
      </c>
      <c r="F9" s="152" t="s">
        <v>15</v>
      </c>
      <c r="G9" s="100">
        <v>97.37</v>
      </c>
      <c r="H9" s="100">
        <v>19.27</v>
      </c>
      <c r="I9" s="100">
        <v>12.09</v>
      </c>
      <c r="J9" s="100">
        <v>0.3</v>
      </c>
      <c r="K9" s="100">
        <v>165.57</v>
      </c>
      <c r="L9" s="100">
        <v>19.579999999999998</v>
      </c>
      <c r="M9" s="100">
        <v>60.43</v>
      </c>
      <c r="N9" s="100">
        <v>0.8</v>
      </c>
      <c r="O9" s="100">
        <v>0</v>
      </c>
      <c r="P9" s="100">
        <v>1.02</v>
      </c>
      <c r="Q9" s="100">
        <v>14.6</v>
      </c>
      <c r="R9" s="6"/>
      <c r="S9" s="6"/>
      <c r="T9" s="156"/>
      <c r="U9" s="6"/>
    </row>
    <row r="10" spans="1:21" customFormat="1">
      <c r="A10" s="163" t="s">
        <v>2544</v>
      </c>
      <c r="B10" s="100">
        <v>26.99</v>
      </c>
      <c r="C10" s="100">
        <v>24.04</v>
      </c>
      <c r="D10" s="100">
        <v>35.549999999999997</v>
      </c>
      <c r="E10" s="100">
        <v>12.69</v>
      </c>
      <c r="F10" s="152" t="s">
        <v>15</v>
      </c>
      <c r="G10" s="100">
        <v>109.61</v>
      </c>
      <c r="H10" s="100">
        <v>22.92</v>
      </c>
      <c r="I10" s="100">
        <v>12.14</v>
      </c>
      <c r="J10" s="100">
        <v>0.26</v>
      </c>
      <c r="K10" s="100">
        <v>194.88</v>
      </c>
      <c r="L10" s="100">
        <v>19.11</v>
      </c>
      <c r="M10" s="100">
        <v>62</v>
      </c>
      <c r="N10" s="100">
        <v>1.1000000000000001</v>
      </c>
      <c r="O10" s="100">
        <v>0</v>
      </c>
      <c r="P10" s="100">
        <v>1.04</v>
      </c>
      <c r="Q10" s="100">
        <v>14.6</v>
      </c>
      <c r="R10" s="6"/>
      <c r="S10" s="6"/>
      <c r="T10" s="156"/>
      <c r="U10" s="6"/>
    </row>
    <row r="11" spans="1:21" customFormat="1">
      <c r="A11" s="163" t="s">
        <v>2545</v>
      </c>
      <c r="B11" s="100">
        <v>27.12</v>
      </c>
      <c r="C11" s="100">
        <v>23.9</v>
      </c>
      <c r="D11" s="100">
        <v>35.58</v>
      </c>
      <c r="E11" s="100">
        <v>12.02</v>
      </c>
      <c r="F11" s="152" t="s">
        <v>15</v>
      </c>
      <c r="G11" s="100">
        <v>114.07</v>
      </c>
      <c r="H11" s="100">
        <v>23.37</v>
      </c>
      <c r="I11" s="100">
        <v>12.21</v>
      </c>
      <c r="J11" s="100">
        <v>0.15</v>
      </c>
      <c r="K11" s="100">
        <v>220.05</v>
      </c>
      <c r="L11" s="100">
        <v>18.66</v>
      </c>
      <c r="M11" s="100">
        <v>57.07</v>
      </c>
      <c r="N11" s="100">
        <v>1.1000000000000001</v>
      </c>
      <c r="O11" s="100">
        <v>0</v>
      </c>
      <c r="P11" s="100">
        <v>1.05</v>
      </c>
      <c r="Q11" s="100">
        <v>14.6</v>
      </c>
      <c r="R11" s="6"/>
      <c r="S11" s="6"/>
      <c r="T11" s="156"/>
      <c r="U11" s="6"/>
    </row>
    <row r="12" spans="1:21" customFormat="1">
      <c r="A12" s="163" t="s">
        <v>2546</v>
      </c>
      <c r="B12" s="100">
        <v>27.33</v>
      </c>
      <c r="C12" s="100">
        <v>24.01</v>
      </c>
      <c r="D12" s="100">
        <v>35.81</v>
      </c>
      <c r="E12" s="100">
        <v>12.4</v>
      </c>
      <c r="F12" s="152" t="s">
        <v>15</v>
      </c>
      <c r="G12" s="100">
        <v>114.07</v>
      </c>
      <c r="H12" s="100">
        <v>23.37</v>
      </c>
      <c r="I12" s="100">
        <v>12.25</v>
      </c>
      <c r="J12" s="100">
        <v>0.2</v>
      </c>
      <c r="K12" s="100">
        <v>174.59</v>
      </c>
      <c r="L12" s="100">
        <v>18.78</v>
      </c>
      <c r="M12" s="100">
        <v>58.35</v>
      </c>
      <c r="N12" s="100">
        <v>0.8</v>
      </c>
      <c r="O12" s="100">
        <v>0</v>
      </c>
      <c r="P12" s="100">
        <v>1.04</v>
      </c>
      <c r="Q12" s="100">
        <v>14.6</v>
      </c>
      <c r="R12" s="6"/>
      <c r="S12" s="6"/>
      <c r="T12" s="156"/>
      <c r="U12" s="6"/>
    </row>
    <row r="13" spans="1:21" customFormat="1">
      <c r="A13" s="163" t="s">
        <v>2547</v>
      </c>
      <c r="B13" s="100">
        <v>27.81</v>
      </c>
      <c r="C13" s="100">
        <v>24.18</v>
      </c>
      <c r="D13" s="100">
        <v>36.28</v>
      </c>
      <c r="E13" s="100">
        <v>12.86</v>
      </c>
      <c r="F13" s="152" t="s">
        <v>15</v>
      </c>
      <c r="G13" s="100">
        <v>114.07</v>
      </c>
      <c r="H13" s="100">
        <v>23.37</v>
      </c>
      <c r="I13" s="100">
        <v>12.27</v>
      </c>
      <c r="J13" s="100">
        <v>0.26</v>
      </c>
      <c r="K13" s="100">
        <v>159.71</v>
      </c>
      <c r="L13" s="100">
        <v>18.690000000000001</v>
      </c>
      <c r="M13" s="100">
        <v>62.83</v>
      </c>
      <c r="N13" s="100">
        <v>0.8</v>
      </c>
      <c r="O13" s="100">
        <v>0</v>
      </c>
      <c r="P13" s="100">
        <v>1.05</v>
      </c>
      <c r="Q13" s="100">
        <v>14.6</v>
      </c>
      <c r="R13" s="6"/>
      <c r="S13" s="6"/>
      <c r="T13" s="156"/>
      <c r="U13" s="6"/>
    </row>
    <row r="14" spans="1:21" customFormat="1">
      <c r="A14" s="163" t="s">
        <v>2548</v>
      </c>
      <c r="B14" s="100">
        <v>28.15</v>
      </c>
      <c r="C14" s="100">
        <v>24.33</v>
      </c>
      <c r="D14" s="100">
        <v>36.630000000000003</v>
      </c>
      <c r="E14" s="100">
        <v>12.82</v>
      </c>
      <c r="F14" s="152" t="s">
        <v>15</v>
      </c>
      <c r="G14" s="100">
        <v>95.25</v>
      </c>
      <c r="H14" s="100">
        <v>12.43</v>
      </c>
      <c r="I14" s="100">
        <v>12.31</v>
      </c>
      <c r="J14" s="100">
        <v>0.19</v>
      </c>
      <c r="K14" s="100">
        <v>179.78</v>
      </c>
      <c r="L14" s="100">
        <v>18.600000000000001</v>
      </c>
      <c r="M14" s="100">
        <v>61.67</v>
      </c>
      <c r="N14" s="100">
        <v>0.7</v>
      </c>
      <c r="O14" s="100">
        <v>0</v>
      </c>
      <c r="P14" s="100">
        <v>1.07</v>
      </c>
      <c r="Q14" s="100">
        <v>14.6</v>
      </c>
      <c r="R14" s="6"/>
      <c r="S14" s="6"/>
      <c r="T14" s="156"/>
      <c r="U14" s="6"/>
    </row>
    <row r="15" spans="1:21" customFormat="1">
      <c r="A15" s="163" t="s">
        <v>2549</v>
      </c>
      <c r="B15" s="100">
        <v>29.24</v>
      </c>
      <c r="C15" s="100">
        <v>24.39</v>
      </c>
      <c r="D15" s="100">
        <v>37.54</v>
      </c>
      <c r="E15" s="100">
        <v>12.56</v>
      </c>
      <c r="F15" s="152" t="s">
        <v>15</v>
      </c>
      <c r="G15" s="100">
        <v>88.41</v>
      </c>
      <c r="H15" s="100">
        <v>10.87</v>
      </c>
      <c r="I15" s="100">
        <v>12.42</v>
      </c>
      <c r="J15" s="100">
        <v>0.13</v>
      </c>
      <c r="K15" s="100">
        <v>127.59</v>
      </c>
      <c r="L15" s="100">
        <v>18.649999999999999</v>
      </c>
      <c r="M15" s="100">
        <v>61.86</v>
      </c>
      <c r="N15" s="100">
        <v>0.8</v>
      </c>
      <c r="O15" s="100">
        <v>0</v>
      </c>
      <c r="P15" s="100">
        <v>1.08</v>
      </c>
      <c r="Q15" s="100">
        <v>14.6</v>
      </c>
      <c r="R15" s="6"/>
      <c r="S15" s="6"/>
      <c r="T15" s="156"/>
      <c r="U15" s="6"/>
    </row>
    <row r="16" spans="1:21" customFormat="1">
      <c r="A16" s="163" t="s">
        <v>2550</v>
      </c>
      <c r="B16" s="100">
        <v>31.71</v>
      </c>
      <c r="C16" s="100">
        <v>24.63</v>
      </c>
      <c r="D16" s="100">
        <v>39.65</v>
      </c>
      <c r="E16" s="100">
        <v>12.67</v>
      </c>
      <c r="F16" s="152" t="s">
        <v>15</v>
      </c>
      <c r="G16" s="100">
        <v>88.41</v>
      </c>
      <c r="H16" s="100">
        <v>10.87</v>
      </c>
      <c r="I16" s="100">
        <v>12.49</v>
      </c>
      <c r="J16" s="100">
        <v>0.14000000000000001</v>
      </c>
      <c r="K16" s="100">
        <v>63.37</v>
      </c>
      <c r="L16" s="100">
        <v>19.46</v>
      </c>
      <c r="M16" s="100">
        <v>53.4</v>
      </c>
      <c r="N16" s="100">
        <v>0.3</v>
      </c>
      <c r="O16" s="100">
        <v>0</v>
      </c>
      <c r="P16" s="100">
        <v>1.0900000000000001</v>
      </c>
      <c r="Q16" s="100">
        <v>14.6</v>
      </c>
      <c r="R16" s="6"/>
      <c r="S16" s="6"/>
      <c r="T16" s="156"/>
      <c r="U16" s="6"/>
    </row>
    <row r="17" spans="1:21" customFormat="1">
      <c r="A17" s="163" t="s">
        <v>2551</v>
      </c>
      <c r="B17" s="100">
        <v>34.31</v>
      </c>
      <c r="C17" s="100">
        <v>25.19</v>
      </c>
      <c r="D17" s="100">
        <v>42.03</v>
      </c>
      <c r="E17" s="100">
        <v>10.23</v>
      </c>
      <c r="F17" s="152" t="s">
        <v>15</v>
      </c>
      <c r="G17" s="100">
        <v>88.41</v>
      </c>
      <c r="H17" s="100">
        <v>10.87</v>
      </c>
      <c r="I17" s="100">
        <v>12.57</v>
      </c>
      <c r="J17" s="100">
        <v>0.38</v>
      </c>
      <c r="K17" s="100">
        <v>49.42</v>
      </c>
      <c r="L17" s="100">
        <v>20.23</v>
      </c>
      <c r="M17" s="100">
        <v>46.43</v>
      </c>
      <c r="N17" s="100">
        <v>0.1</v>
      </c>
      <c r="O17" s="100">
        <v>0</v>
      </c>
      <c r="P17" s="100">
        <v>1.1000000000000001</v>
      </c>
      <c r="Q17" s="100">
        <v>14.6</v>
      </c>
      <c r="R17" s="6"/>
      <c r="S17" s="6"/>
      <c r="T17" s="156"/>
      <c r="U17" s="6"/>
    </row>
    <row r="18" spans="1:21" customFormat="1">
      <c r="A18" s="163" t="s">
        <v>2552</v>
      </c>
      <c r="B18" s="100">
        <v>35.17</v>
      </c>
      <c r="C18" s="100">
        <v>25.57</v>
      </c>
      <c r="D18" s="100">
        <v>42.92</v>
      </c>
      <c r="E18" s="100">
        <v>11.87</v>
      </c>
      <c r="F18" s="152" t="s">
        <v>15</v>
      </c>
      <c r="G18" s="100">
        <v>93.58</v>
      </c>
      <c r="H18" s="100">
        <v>14.54</v>
      </c>
      <c r="I18" s="100">
        <v>12.67</v>
      </c>
      <c r="J18" s="100">
        <v>0.56999999999999995</v>
      </c>
      <c r="K18" s="100">
        <v>53.98</v>
      </c>
      <c r="L18" s="100">
        <v>20.82</v>
      </c>
      <c r="M18" s="100">
        <v>43.34</v>
      </c>
      <c r="N18" s="100">
        <v>0.2</v>
      </c>
      <c r="O18" s="100">
        <v>0</v>
      </c>
      <c r="P18" s="100">
        <v>1.1100000000000001</v>
      </c>
      <c r="Q18" s="100">
        <v>14.6</v>
      </c>
      <c r="R18" s="6"/>
      <c r="S18" s="6"/>
      <c r="T18" s="156"/>
      <c r="U18" s="6"/>
    </row>
    <row r="19" spans="1:21" customFormat="1">
      <c r="A19" s="163" t="s">
        <v>2553</v>
      </c>
      <c r="B19" s="100">
        <v>34.520000000000003</v>
      </c>
      <c r="C19" s="100">
        <v>26.05</v>
      </c>
      <c r="D19" s="100">
        <v>42.64</v>
      </c>
      <c r="E19" s="100">
        <v>12.16</v>
      </c>
      <c r="F19" s="152" t="s">
        <v>15</v>
      </c>
      <c r="G19" s="100">
        <v>95.46</v>
      </c>
      <c r="H19" s="100">
        <v>15.07</v>
      </c>
      <c r="I19" s="100">
        <v>12.88</v>
      </c>
      <c r="J19" s="100">
        <v>0.06</v>
      </c>
      <c r="K19" s="100">
        <v>150.46</v>
      </c>
      <c r="L19" s="100">
        <v>20.309999999999999</v>
      </c>
      <c r="M19" s="100">
        <v>53.12</v>
      </c>
      <c r="N19" s="100">
        <v>1.4</v>
      </c>
      <c r="O19" s="100">
        <v>0</v>
      </c>
      <c r="P19" s="100">
        <v>1.1100000000000001</v>
      </c>
      <c r="Q19" s="100">
        <v>14.6</v>
      </c>
      <c r="R19" s="6"/>
      <c r="S19" s="6"/>
      <c r="T19" s="156"/>
      <c r="U19" s="6"/>
    </row>
    <row r="20" spans="1:21" customFormat="1">
      <c r="A20" s="163" t="s">
        <v>2554</v>
      </c>
      <c r="B20" s="100">
        <v>33.96</v>
      </c>
      <c r="C20" s="100">
        <v>25.95</v>
      </c>
      <c r="D20" s="100">
        <v>42.14</v>
      </c>
      <c r="E20" s="100">
        <v>12.18</v>
      </c>
      <c r="F20" s="152" t="s">
        <v>15</v>
      </c>
      <c r="G20" s="100">
        <v>95.46</v>
      </c>
      <c r="H20" s="100">
        <v>15.07</v>
      </c>
      <c r="I20" s="100">
        <v>13.19</v>
      </c>
      <c r="J20" s="100">
        <v>0.25</v>
      </c>
      <c r="K20" s="100">
        <v>179.67</v>
      </c>
      <c r="L20" s="100">
        <v>18.55</v>
      </c>
      <c r="M20" s="100">
        <v>64.150000000000006</v>
      </c>
      <c r="N20" s="100">
        <v>2.1</v>
      </c>
      <c r="O20" s="100">
        <v>0</v>
      </c>
      <c r="P20" s="100">
        <v>1.1299999999999999</v>
      </c>
      <c r="Q20" s="100">
        <v>14.6</v>
      </c>
      <c r="R20" s="6"/>
      <c r="S20" s="6"/>
      <c r="T20" s="156"/>
      <c r="U20" s="6"/>
    </row>
    <row r="21" spans="1:21" customFormat="1">
      <c r="A21" s="163" t="s">
        <v>2555</v>
      </c>
      <c r="B21" s="100">
        <v>33.36</v>
      </c>
      <c r="C21" s="100">
        <v>25.63</v>
      </c>
      <c r="D21" s="100">
        <v>41.5</v>
      </c>
      <c r="E21" s="100">
        <v>12.17</v>
      </c>
      <c r="F21" s="152" t="s">
        <v>15</v>
      </c>
      <c r="G21" s="100">
        <v>95.46</v>
      </c>
      <c r="H21" s="100">
        <v>15.07</v>
      </c>
      <c r="I21" s="100">
        <v>13.42</v>
      </c>
      <c r="J21" s="100">
        <v>0.18</v>
      </c>
      <c r="K21" s="100">
        <v>215.15</v>
      </c>
      <c r="L21" s="100">
        <v>17.88</v>
      </c>
      <c r="M21" s="100">
        <v>66.02</v>
      </c>
      <c r="N21" s="100">
        <v>1.6</v>
      </c>
      <c r="O21" s="100">
        <v>0</v>
      </c>
      <c r="P21" s="100">
        <v>1.1299999999999999</v>
      </c>
      <c r="Q21" s="100">
        <v>14.6</v>
      </c>
      <c r="R21" s="6"/>
      <c r="S21" s="6"/>
      <c r="T21" s="156"/>
      <c r="U21" s="6"/>
    </row>
    <row r="22" spans="1:21" customFormat="1">
      <c r="A22" s="163" t="s">
        <v>2556</v>
      </c>
      <c r="B22" s="100">
        <v>32.42</v>
      </c>
      <c r="C22" s="100">
        <v>25.29</v>
      </c>
      <c r="D22" s="100">
        <v>40.56</v>
      </c>
      <c r="E22" s="100">
        <v>12.21</v>
      </c>
      <c r="F22" s="152" t="s">
        <v>15</v>
      </c>
      <c r="G22" s="100">
        <v>102.76</v>
      </c>
      <c r="H22" s="100">
        <v>16.100000000000001</v>
      </c>
      <c r="I22" s="100">
        <v>13.62</v>
      </c>
      <c r="J22" s="100">
        <v>0.14000000000000001</v>
      </c>
      <c r="K22" s="100">
        <v>225.91</v>
      </c>
      <c r="L22" s="100">
        <v>17.68</v>
      </c>
      <c r="M22" s="100">
        <v>63.52</v>
      </c>
      <c r="N22" s="100">
        <v>1</v>
      </c>
      <c r="O22" s="100">
        <v>0</v>
      </c>
      <c r="P22" s="100">
        <v>1.1299999999999999</v>
      </c>
      <c r="Q22" s="100">
        <v>14.6</v>
      </c>
      <c r="R22" s="6"/>
      <c r="S22" s="6"/>
      <c r="T22" s="156"/>
      <c r="U22" s="6"/>
    </row>
    <row r="23" spans="1:21" customFormat="1">
      <c r="A23" s="163" t="s">
        <v>2557</v>
      </c>
      <c r="B23" s="100">
        <v>31.51</v>
      </c>
      <c r="C23" s="100">
        <v>24.92</v>
      </c>
      <c r="D23" s="100">
        <v>39.64</v>
      </c>
      <c r="E23" s="100">
        <v>12.08</v>
      </c>
      <c r="F23" s="152" t="s">
        <v>15</v>
      </c>
      <c r="G23" s="100">
        <v>105.41</v>
      </c>
      <c r="H23" s="100">
        <v>16.16</v>
      </c>
      <c r="I23" s="100">
        <v>13.75</v>
      </c>
      <c r="J23" s="100">
        <v>0.2</v>
      </c>
      <c r="K23" s="100">
        <v>173.72</v>
      </c>
      <c r="L23" s="100">
        <v>17.489999999999998</v>
      </c>
      <c r="M23" s="100">
        <v>67.73</v>
      </c>
      <c r="N23" s="100">
        <v>1</v>
      </c>
      <c r="O23" s="100">
        <v>0</v>
      </c>
      <c r="P23" s="100">
        <v>1.1499999999999999</v>
      </c>
      <c r="Q23" s="100">
        <v>14.6</v>
      </c>
      <c r="R23" s="6"/>
      <c r="S23" s="6"/>
      <c r="T23" s="156"/>
      <c r="U23" s="6"/>
    </row>
    <row r="24" spans="1:21" customFormat="1">
      <c r="A24" s="163" t="s">
        <v>2558</v>
      </c>
      <c r="B24" s="100">
        <v>30.67</v>
      </c>
      <c r="C24" s="100">
        <v>24.71</v>
      </c>
      <c r="D24" s="100">
        <v>38.86</v>
      </c>
      <c r="E24" s="100">
        <v>10.96</v>
      </c>
      <c r="F24" s="152" t="s">
        <v>15</v>
      </c>
      <c r="G24" s="100">
        <v>105.41</v>
      </c>
      <c r="H24" s="100">
        <v>16.16</v>
      </c>
      <c r="I24" s="100">
        <v>13.79</v>
      </c>
      <c r="J24" s="100">
        <v>0.2</v>
      </c>
      <c r="K24" s="100">
        <v>162.52000000000001</v>
      </c>
      <c r="L24" s="100">
        <v>17.12</v>
      </c>
      <c r="M24" s="100">
        <v>71.099999999999994</v>
      </c>
      <c r="N24" s="100">
        <v>1.1000000000000001</v>
      </c>
      <c r="O24" s="100">
        <v>0</v>
      </c>
      <c r="P24" s="100">
        <v>1.2</v>
      </c>
      <c r="Q24" s="100">
        <v>14.6</v>
      </c>
      <c r="R24" s="6"/>
      <c r="S24" s="6"/>
      <c r="T24" s="156"/>
      <c r="U24" s="6"/>
    </row>
    <row r="25" spans="1:21" customFormat="1">
      <c r="A25" s="163" t="s">
        <v>2559</v>
      </c>
      <c r="B25" s="100">
        <v>30.05</v>
      </c>
      <c r="C25" s="100">
        <v>24.31</v>
      </c>
      <c r="D25" s="100">
        <v>38.15</v>
      </c>
      <c r="E25" s="100">
        <v>10.97</v>
      </c>
      <c r="F25" s="152" t="s">
        <v>15</v>
      </c>
      <c r="G25" s="100">
        <v>105.41</v>
      </c>
      <c r="H25" s="100">
        <v>16.16</v>
      </c>
      <c r="I25" s="100">
        <v>13.86</v>
      </c>
      <c r="J25" s="100">
        <v>0.18</v>
      </c>
      <c r="K25" s="100">
        <v>175.79</v>
      </c>
      <c r="L25" s="100">
        <v>16.86</v>
      </c>
      <c r="M25" s="100">
        <v>72.87</v>
      </c>
      <c r="N25" s="100">
        <v>1</v>
      </c>
      <c r="O25" s="100">
        <v>0</v>
      </c>
      <c r="P25" s="100">
        <v>1.21</v>
      </c>
      <c r="Q25" s="100">
        <v>14.6</v>
      </c>
      <c r="R25" s="6"/>
      <c r="S25" s="6"/>
      <c r="T25" s="156"/>
      <c r="U25" s="6"/>
    </row>
    <row r="26" spans="1:21" customFormat="1">
      <c r="A26" s="163" t="s">
        <v>2560</v>
      </c>
      <c r="B26" s="100">
        <v>29.58</v>
      </c>
      <c r="C26" s="100">
        <v>24.24</v>
      </c>
      <c r="D26" s="100">
        <v>37.74</v>
      </c>
      <c r="E26" s="100">
        <v>11.44</v>
      </c>
      <c r="F26" s="152" t="s">
        <v>15</v>
      </c>
      <c r="G26" s="100">
        <v>78.290000000000006</v>
      </c>
      <c r="H26" s="100">
        <v>16.57</v>
      </c>
      <c r="I26" s="100">
        <v>13.96</v>
      </c>
      <c r="J26" s="100">
        <v>0.23</v>
      </c>
      <c r="K26" s="100">
        <v>170.22</v>
      </c>
      <c r="L26" s="100">
        <v>16.850000000000001</v>
      </c>
      <c r="M26" s="100">
        <v>71.56</v>
      </c>
      <c r="N26" s="100">
        <v>1</v>
      </c>
      <c r="O26" s="100">
        <v>0</v>
      </c>
      <c r="P26" s="100">
        <v>1.2</v>
      </c>
      <c r="Q26" s="100">
        <v>14.6</v>
      </c>
      <c r="R26" s="6"/>
      <c r="S26" s="6"/>
      <c r="T26" s="156"/>
      <c r="U26" s="6"/>
    </row>
    <row r="27" spans="1:21" customFormat="1">
      <c r="A27" s="163" t="s">
        <v>2561</v>
      </c>
      <c r="B27" s="100">
        <v>29.1</v>
      </c>
      <c r="C27" s="100">
        <v>23.84</v>
      </c>
      <c r="D27" s="100">
        <v>37.14</v>
      </c>
      <c r="E27" s="100">
        <v>11.36</v>
      </c>
      <c r="F27" s="152" t="s">
        <v>15</v>
      </c>
      <c r="G27" s="100">
        <v>68.430000000000007</v>
      </c>
      <c r="H27" s="100">
        <v>16.62</v>
      </c>
      <c r="I27" s="100">
        <v>14.07</v>
      </c>
      <c r="J27" s="100">
        <v>0.16</v>
      </c>
      <c r="K27" s="100">
        <v>185.33</v>
      </c>
      <c r="L27" s="100">
        <v>16.59</v>
      </c>
      <c r="M27" s="100">
        <v>71.599999999999994</v>
      </c>
      <c r="N27" s="100">
        <v>0.9</v>
      </c>
      <c r="O27" s="100">
        <v>0</v>
      </c>
      <c r="P27" s="100">
        <v>1.23</v>
      </c>
      <c r="Q27" s="100">
        <v>14.6</v>
      </c>
      <c r="R27" s="6"/>
      <c r="S27" s="6"/>
      <c r="T27" s="156"/>
      <c r="U27" s="6"/>
    </row>
    <row r="28" spans="1:21" customFormat="1">
      <c r="A28" s="163" t="s">
        <v>2562</v>
      </c>
      <c r="B28" s="100">
        <v>28.53</v>
      </c>
      <c r="C28" s="100">
        <v>23.46</v>
      </c>
      <c r="D28" s="100">
        <v>36.479999999999997</v>
      </c>
      <c r="E28" s="100">
        <v>11.29</v>
      </c>
      <c r="F28" s="152" t="s">
        <v>15</v>
      </c>
      <c r="G28" s="100">
        <v>68.430000000000007</v>
      </c>
      <c r="H28" s="100">
        <v>16.62</v>
      </c>
      <c r="I28" s="100">
        <v>14.16</v>
      </c>
      <c r="J28" s="100">
        <v>0.14000000000000001</v>
      </c>
      <c r="K28" s="100">
        <v>159.04</v>
      </c>
      <c r="L28" s="100">
        <v>16.600000000000001</v>
      </c>
      <c r="M28" s="100">
        <v>67.83</v>
      </c>
      <c r="N28" s="100">
        <v>0.9</v>
      </c>
      <c r="O28" s="100">
        <v>0</v>
      </c>
      <c r="P28" s="100">
        <v>1.23</v>
      </c>
      <c r="Q28" s="100">
        <v>14.6</v>
      </c>
      <c r="R28" s="6"/>
      <c r="S28" s="6"/>
      <c r="T28" s="156"/>
      <c r="U28" s="6"/>
    </row>
    <row r="29" spans="1:21" customFormat="1">
      <c r="A29" s="163" t="s">
        <v>2563</v>
      </c>
      <c r="B29" s="100">
        <v>28.1</v>
      </c>
      <c r="C29" s="100">
        <v>23.04</v>
      </c>
      <c r="D29" s="100">
        <v>35.92</v>
      </c>
      <c r="E29" s="100">
        <v>11.18</v>
      </c>
      <c r="F29" s="152" t="s">
        <v>15</v>
      </c>
      <c r="G29" s="100">
        <v>68.430000000000007</v>
      </c>
      <c r="H29" s="100">
        <v>16.62</v>
      </c>
      <c r="I29" s="100">
        <v>14.27</v>
      </c>
      <c r="J29" s="100">
        <v>0.16</v>
      </c>
      <c r="K29" s="100">
        <v>154.66</v>
      </c>
      <c r="L29" s="100">
        <v>16.59</v>
      </c>
      <c r="M29" s="100">
        <v>68.069999999999993</v>
      </c>
      <c r="N29" s="100">
        <v>0.9</v>
      </c>
      <c r="O29" s="100">
        <v>0</v>
      </c>
      <c r="P29" s="100">
        <v>1.24</v>
      </c>
      <c r="Q29" s="100">
        <v>14.6</v>
      </c>
      <c r="R29" s="6"/>
      <c r="S29" s="6"/>
      <c r="T29" s="156"/>
      <c r="U29" s="6"/>
    </row>
    <row r="30" spans="1:21" customFormat="1">
      <c r="A30" s="163" t="s">
        <v>2564</v>
      </c>
      <c r="B30" s="100">
        <v>27.4</v>
      </c>
      <c r="C30" s="100">
        <v>23.13</v>
      </c>
      <c r="D30" s="100">
        <v>35.409999999999997</v>
      </c>
      <c r="E30" s="100">
        <v>11.33</v>
      </c>
      <c r="F30" s="152" t="s">
        <v>15</v>
      </c>
      <c r="G30" s="100">
        <v>83.48</v>
      </c>
      <c r="H30" s="100">
        <v>21.27</v>
      </c>
      <c r="I30" s="100">
        <v>14.4</v>
      </c>
      <c r="J30" s="100">
        <v>0.2</v>
      </c>
      <c r="K30" s="100">
        <v>161.35</v>
      </c>
      <c r="L30" s="100">
        <v>16.61</v>
      </c>
      <c r="M30" s="100">
        <v>68.97</v>
      </c>
      <c r="N30" s="100">
        <v>0.8</v>
      </c>
      <c r="O30" s="100">
        <v>0</v>
      </c>
      <c r="P30" s="100">
        <v>1.25</v>
      </c>
      <c r="Q30" s="100">
        <v>14.6</v>
      </c>
      <c r="R30" s="6"/>
      <c r="S30" s="6"/>
      <c r="T30" s="156"/>
      <c r="U30" s="6"/>
    </row>
    <row r="31" spans="1:21" customFormat="1">
      <c r="A31" s="163" t="s">
        <v>2565</v>
      </c>
      <c r="B31" s="100">
        <v>27.28</v>
      </c>
      <c r="C31" s="100">
        <v>23.13</v>
      </c>
      <c r="D31" s="100">
        <v>35.31</v>
      </c>
      <c r="E31" s="100">
        <v>11.54</v>
      </c>
      <c r="F31" s="152" t="s">
        <v>15</v>
      </c>
      <c r="G31" s="100">
        <v>88.96</v>
      </c>
      <c r="H31" s="100">
        <v>21.93</v>
      </c>
      <c r="I31" s="100">
        <v>14.5</v>
      </c>
      <c r="J31" s="100">
        <v>0.15</v>
      </c>
      <c r="K31" s="100">
        <v>193.5</v>
      </c>
      <c r="L31" s="100">
        <v>16.600000000000001</v>
      </c>
      <c r="M31" s="100">
        <v>72.83</v>
      </c>
      <c r="N31" s="100">
        <v>0.9</v>
      </c>
      <c r="O31" s="100">
        <v>0</v>
      </c>
      <c r="P31" s="100">
        <v>1.26</v>
      </c>
      <c r="Q31" s="100">
        <v>14.6</v>
      </c>
      <c r="R31" s="6"/>
      <c r="S31" s="6"/>
      <c r="T31" s="156"/>
      <c r="U31" s="6"/>
    </row>
    <row r="32" spans="1:21" customFormat="1">
      <c r="A32" s="163" t="s">
        <v>2566</v>
      </c>
      <c r="B32" s="100">
        <v>26.95</v>
      </c>
      <c r="C32" s="100">
        <v>22.98</v>
      </c>
      <c r="D32" s="100">
        <v>34.97</v>
      </c>
      <c r="E32" s="100">
        <v>11.07</v>
      </c>
      <c r="F32" s="152" t="s">
        <v>15</v>
      </c>
      <c r="G32" s="100">
        <v>88.96</v>
      </c>
      <c r="H32" s="100">
        <v>21.93</v>
      </c>
      <c r="I32" s="100">
        <v>14.6</v>
      </c>
      <c r="J32" s="100">
        <v>0.22</v>
      </c>
      <c r="K32" s="100">
        <v>185.31</v>
      </c>
      <c r="L32" s="100">
        <v>16.38</v>
      </c>
      <c r="M32" s="100">
        <v>75.92</v>
      </c>
      <c r="N32" s="100">
        <v>1</v>
      </c>
      <c r="O32" s="100">
        <v>0</v>
      </c>
      <c r="P32" s="100">
        <v>1.26</v>
      </c>
      <c r="Q32" s="100">
        <v>14.6</v>
      </c>
      <c r="R32" s="6"/>
      <c r="S32" s="6"/>
      <c r="T32" s="156"/>
      <c r="U32" s="6"/>
    </row>
    <row r="33" spans="1:21" customFormat="1">
      <c r="A33" s="163" t="s">
        <v>2567</v>
      </c>
      <c r="B33" s="100">
        <v>26.17</v>
      </c>
      <c r="C33" s="100">
        <v>22.62</v>
      </c>
      <c r="D33" s="100">
        <v>34.15</v>
      </c>
      <c r="E33" s="100">
        <v>11.35</v>
      </c>
      <c r="F33" s="152" t="s">
        <v>15</v>
      </c>
      <c r="G33" s="100">
        <v>88.96</v>
      </c>
      <c r="H33" s="100">
        <v>21.93</v>
      </c>
      <c r="I33" s="100">
        <v>14.69</v>
      </c>
      <c r="J33" s="100">
        <v>0.22</v>
      </c>
      <c r="K33" s="100">
        <v>182.29</v>
      </c>
      <c r="L33" s="100">
        <v>16.350000000000001</v>
      </c>
      <c r="M33" s="100">
        <v>73.5</v>
      </c>
      <c r="N33" s="100">
        <v>1.1000000000000001</v>
      </c>
      <c r="O33" s="100">
        <v>0</v>
      </c>
      <c r="P33" s="100">
        <v>1.27</v>
      </c>
      <c r="Q33" s="100">
        <v>14.6</v>
      </c>
      <c r="R33" s="6"/>
      <c r="S33" s="6"/>
      <c r="T33" s="156"/>
      <c r="U33" s="6"/>
    </row>
    <row r="34" spans="1:21" customFormat="1">
      <c r="A34" s="163" t="s">
        <v>2568</v>
      </c>
      <c r="B34" s="100">
        <v>25.49</v>
      </c>
      <c r="C34" s="100">
        <v>22.47</v>
      </c>
      <c r="D34" s="100">
        <v>33.54</v>
      </c>
      <c r="E34" s="100">
        <v>10.88</v>
      </c>
      <c r="F34" s="152" t="s">
        <v>15</v>
      </c>
      <c r="G34" s="100">
        <v>83.72</v>
      </c>
      <c r="H34" s="100">
        <v>16.38</v>
      </c>
      <c r="I34" s="100">
        <v>14.75</v>
      </c>
      <c r="J34" s="100">
        <v>0.26</v>
      </c>
      <c r="K34" s="100">
        <v>187.77</v>
      </c>
      <c r="L34" s="100">
        <v>16.23</v>
      </c>
      <c r="M34" s="100">
        <v>73.099999999999994</v>
      </c>
      <c r="N34" s="100">
        <v>3.3</v>
      </c>
      <c r="O34" s="100">
        <v>0</v>
      </c>
      <c r="P34" s="100">
        <v>1.27</v>
      </c>
      <c r="Q34" s="100">
        <v>14.6</v>
      </c>
      <c r="R34" s="6"/>
      <c r="S34" s="6"/>
      <c r="T34" s="156"/>
      <c r="U34" s="6"/>
    </row>
    <row r="35" spans="1:21" customFormat="1">
      <c r="A35" s="163" t="s">
        <v>2569</v>
      </c>
      <c r="B35" s="100">
        <v>25.23</v>
      </c>
      <c r="C35" s="100">
        <v>22.08</v>
      </c>
      <c r="D35" s="100">
        <v>33.119999999999997</v>
      </c>
      <c r="E35" s="100">
        <v>11.11</v>
      </c>
      <c r="F35" s="152" t="s">
        <v>15</v>
      </c>
      <c r="G35" s="100">
        <v>81.81</v>
      </c>
      <c r="H35" s="100">
        <v>15.59</v>
      </c>
      <c r="I35" s="100">
        <v>14.76</v>
      </c>
      <c r="J35" s="100">
        <v>0.25</v>
      </c>
      <c r="K35" s="100">
        <v>205.7</v>
      </c>
      <c r="L35" s="100">
        <v>16.22</v>
      </c>
      <c r="M35" s="100">
        <v>70.790000000000006</v>
      </c>
      <c r="N35" s="100">
        <v>7.8</v>
      </c>
      <c r="O35" s="100">
        <v>0</v>
      </c>
      <c r="P35" s="100">
        <v>1.26</v>
      </c>
      <c r="Q35" s="100">
        <v>14.6</v>
      </c>
      <c r="R35" s="6"/>
      <c r="S35" s="6"/>
      <c r="T35" s="156"/>
      <c r="U35" s="6"/>
    </row>
    <row r="36" spans="1:21" customFormat="1">
      <c r="A36" s="163" t="s">
        <v>2570</v>
      </c>
      <c r="B36" s="100">
        <v>24.57</v>
      </c>
      <c r="C36" s="100">
        <v>22.3</v>
      </c>
      <c r="D36" s="100">
        <v>32.71</v>
      </c>
      <c r="E36" s="100">
        <v>10.95</v>
      </c>
      <c r="F36" s="152" t="s">
        <v>15</v>
      </c>
      <c r="G36" s="100">
        <v>81.81</v>
      </c>
      <c r="H36" s="100">
        <v>15.59</v>
      </c>
      <c r="I36" s="100">
        <v>14.72</v>
      </c>
      <c r="J36" s="100">
        <v>0.19</v>
      </c>
      <c r="K36" s="100">
        <v>247.91</v>
      </c>
      <c r="L36" s="100">
        <v>16.47</v>
      </c>
      <c r="M36" s="100">
        <v>69.52</v>
      </c>
      <c r="N36" s="100">
        <v>13.9</v>
      </c>
      <c r="O36" s="100">
        <v>0</v>
      </c>
      <c r="P36" s="100">
        <v>1.25</v>
      </c>
      <c r="Q36" s="100">
        <v>14.6</v>
      </c>
      <c r="R36" s="6"/>
      <c r="S36" s="6"/>
      <c r="T36" s="156"/>
      <c r="U36" s="6"/>
    </row>
    <row r="37" spans="1:21" customFormat="1">
      <c r="A37" s="163" t="s">
        <v>2571</v>
      </c>
      <c r="B37" s="100">
        <v>24.15</v>
      </c>
      <c r="C37" s="100">
        <v>22.41</v>
      </c>
      <c r="D37" s="100">
        <v>32.43</v>
      </c>
      <c r="E37" s="100">
        <v>11.16</v>
      </c>
      <c r="F37" s="152" t="s">
        <v>15</v>
      </c>
      <c r="G37" s="100">
        <v>81.81</v>
      </c>
      <c r="H37" s="100">
        <v>15.59</v>
      </c>
      <c r="I37" s="100">
        <v>14.62</v>
      </c>
      <c r="J37" s="100">
        <v>0.08</v>
      </c>
      <c r="K37" s="100">
        <v>193.09</v>
      </c>
      <c r="L37" s="100">
        <v>17.079999999999998</v>
      </c>
      <c r="M37" s="100">
        <v>68.290000000000006</v>
      </c>
      <c r="N37" s="100">
        <v>20</v>
      </c>
      <c r="O37" s="100">
        <v>0</v>
      </c>
      <c r="P37" s="100">
        <v>1.25</v>
      </c>
      <c r="Q37" s="100">
        <v>14.6</v>
      </c>
      <c r="R37" s="6"/>
      <c r="S37" s="6"/>
      <c r="T37" s="156"/>
      <c r="U37" s="6"/>
    </row>
    <row r="38" spans="1:21" customFormat="1">
      <c r="A38" s="163" t="s">
        <v>2572</v>
      </c>
      <c r="B38" s="100">
        <v>24.05</v>
      </c>
      <c r="C38" s="100">
        <v>22.49</v>
      </c>
      <c r="D38" s="100">
        <v>32.39</v>
      </c>
      <c r="E38" s="100">
        <v>10.79</v>
      </c>
      <c r="F38" s="152" t="s">
        <v>15</v>
      </c>
      <c r="G38" s="100">
        <v>81.2</v>
      </c>
      <c r="H38" s="100">
        <v>12.86</v>
      </c>
      <c r="I38" s="100">
        <v>14.52</v>
      </c>
      <c r="J38" s="100">
        <v>0.34</v>
      </c>
      <c r="K38" s="100">
        <v>39.729999999999997</v>
      </c>
      <c r="L38" s="100">
        <v>18.55</v>
      </c>
      <c r="M38" s="100">
        <v>58.4</v>
      </c>
      <c r="N38" s="100">
        <v>25.6</v>
      </c>
      <c r="O38" s="100">
        <v>0</v>
      </c>
      <c r="P38" s="100">
        <v>1.25</v>
      </c>
      <c r="Q38" s="100">
        <v>14.6</v>
      </c>
      <c r="R38" s="6"/>
      <c r="S38" s="6"/>
      <c r="T38" s="156"/>
      <c r="U38" s="6"/>
    </row>
    <row r="39" spans="1:21" customFormat="1">
      <c r="A39" s="163" t="s">
        <v>2573</v>
      </c>
      <c r="B39" s="100">
        <v>24.42</v>
      </c>
      <c r="C39" s="100">
        <v>23.14</v>
      </c>
      <c r="D39" s="100">
        <v>33.03</v>
      </c>
      <c r="E39" s="100">
        <v>11.03</v>
      </c>
      <c r="F39" s="152" t="s">
        <v>15</v>
      </c>
      <c r="G39" s="100">
        <v>80.98</v>
      </c>
      <c r="H39" s="100">
        <v>12.48</v>
      </c>
      <c r="I39" s="100">
        <v>14.48</v>
      </c>
      <c r="J39" s="100">
        <v>0.64</v>
      </c>
      <c r="K39" s="100">
        <v>56.38</v>
      </c>
      <c r="L39" s="100">
        <v>20.25</v>
      </c>
      <c r="M39" s="100">
        <v>48.59</v>
      </c>
      <c r="N39" s="100">
        <v>32.299999999999997</v>
      </c>
      <c r="O39" s="100">
        <v>0</v>
      </c>
      <c r="P39" s="100">
        <v>1.25</v>
      </c>
      <c r="Q39" s="100">
        <v>14.6</v>
      </c>
      <c r="R39" s="6"/>
      <c r="S39" s="6"/>
      <c r="T39" s="156"/>
      <c r="U39" s="6"/>
    </row>
    <row r="40" spans="1:21" customFormat="1">
      <c r="A40" s="163" t="s">
        <v>2574</v>
      </c>
      <c r="B40" s="100">
        <v>24.34</v>
      </c>
      <c r="C40" s="100">
        <v>23.83</v>
      </c>
      <c r="D40" s="100">
        <v>33.32</v>
      </c>
      <c r="E40" s="100">
        <v>11.08</v>
      </c>
      <c r="F40" s="152" t="s">
        <v>15</v>
      </c>
      <c r="G40" s="100">
        <v>80.98</v>
      </c>
      <c r="H40" s="100">
        <v>12.48</v>
      </c>
      <c r="I40" s="100">
        <v>14.46</v>
      </c>
      <c r="J40" s="100">
        <v>0.72</v>
      </c>
      <c r="K40" s="100">
        <v>45.28</v>
      </c>
      <c r="L40" s="100">
        <v>21.29</v>
      </c>
      <c r="M40" s="100">
        <v>46.1</v>
      </c>
      <c r="N40" s="100">
        <v>54.3</v>
      </c>
      <c r="O40" s="100">
        <v>0</v>
      </c>
      <c r="P40" s="100">
        <v>1.25</v>
      </c>
      <c r="Q40" s="100">
        <v>14.6</v>
      </c>
      <c r="R40" s="6"/>
      <c r="S40" s="6"/>
      <c r="T40" s="156"/>
      <c r="U40" s="6"/>
    </row>
    <row r="41" spans="1:21" customFormat="1">
      <c r="A41" s="163" t="s">
        <v>2575</v>
      </c>
      <c r="B41" s="100">
        <v>24.34</v>
      </c>
      <c r="C41" s="100">
        <v>24.72</v>
      </c>
      <c r="D41" s="100">
        <v>33.78</v>
      </c>
      <c r="E41" s="100">
        <v>11.42</v>
      </c>
      <c r="F41" s="152" t="s">
        <v>15</v>
      </c>
      <c r="G41" s="100">
        <v>80.98</v>
      </c>
      <c r="H41" s="100">
        <v>12.48</v>
      </c>
      <c r="I41" s="100">
        <v>14.46</v>
      </c>
      <c r="J41" s="100">
        <v>0.69</v>
      </c>
      <c r="K41" s="100">
        <v>56.9</v>
      </c>
      <c r="L41" s="100">
        <v>22.25</v>
      </c>
      <c r="M41" s="100">
        <v>43.6</v>
      </c>
      <c r="N41" s="100">
        <v>105.8</v>
      </c>
      <c r="O41" s="100">
        <v>0</v>
      </c>
      <c r="P41" s="100">
        <v>1.23</v>
      </c>
      <c r="Q41" s="100">
        <v>14.6</v>
      </c>
      <c r="R41" s="6"/>
      <c r="S41" s="6"/>
      <c r="T41" s="156"/>
      <c r="U41" s="6"/>
    </row>
    <row r="42" spans="1:21" customFormat="1">
      <c r="A42" s="163" t="s">
        <v>2576</v>
      </c>
      <c r="B42" s="100">
        <v>24.09</v>
      </c>
      <c r="C42" s="100">
        <v>25.21</v>
      </c>
      <c r="D42" s="100">
        <v>33.840000000000003</v>
      </c>
      <c r="E42" s="100">
        <v>11.96</v>
      </c>
      <c r="F42" s="152" t="s">
        <v>15</v>
      </c>
      <c r="G42" s="100">
        <v>91.7</v>
      </c>
      <c r="H42" s="100">
        <v>15.41</v>
      </c>
      <c r="I42" s="100">
        <v>14.4</v>
      </c>
      <c r="J42" s="100">
        <v>0.86</v>
      </c>
      <c r="K42" s="100">
        <v>58.06</v>
      </c>
      <c r="L42" s="100">
        <v>23.61</v>
      </c>
      <c r="M42" s="100">
        <v>38.49</v>
      </c>
      <c r="N42" s="100">
        <v>184.7</v>
      </c>
      <c r="O42" s="100">
        <v>0</v>
      </c>
      <c r="P42" s="100">
        <v>1.22</v>
      </c>
      <c r="Q42" s="100">
        <v>14.6</v>
      </c>
      <c r="R42" s="6"/>
      <c r="S42" s="6"/>
      <c r="T42" s="156"/>
      <c r="U42" s="6"/>
    </row>
    <row r="43" spans="1:21" customFormat="1">
      <c r="A43" s="163" t="s">
        <v>2577</v>
      </c>
      <c r="B43" s="100">
        <v>24.39</v>
      </c>
      <c r="C43" s="100">
        <v>26.24</v>
      </c>
      <c r="D43" s="100">
        <v>34.619999999999997</v>
      </c>
      <c r="E43" s="100">
        <v>12.79</v>
      </c>
      <c r="F43" s="152" t="s">
        <v>15</v>
      </c>
      <c r="G43" s="100">
        <v>95.6</v>
      </c>
      <c r="H43" s="100">
        <v>15.83</v>
      </c>
      <c r="I43" s="100">
        <v>14.29</v>
      </c>
      <c r="J43" s="100">
        <v>1.26</v>
      </c>
      <c r="K43" s="100">
        <v>54.66</v>
      </c>
      <c r="L43" s="100">
        <v>24.45</v>
      </c>
      <c r="M43" s="100">
        <v>35.86</v>
      </c>
      <c r="N43" s="100">
        <v>232.6</v>
      </c>
      <c r="O43" s="100">
        <v>0</v>
      </c>
      <c r="P43" s="100">
        <v>1.17</v>
      </c>
      <c r="Q43" s="100">
        <v>14.6</v>
      </c>
      <c r="R43" s="6"/>
      <c r="S43" s="6"/>
      <c r="T43" s="156"/>
      <c r="U43" s="6"/>
    </row>
    <row r="44" spans="1:21" customFormat="1">
      <c r="A44" s="163" t="s">
        <v>2578</v>
      </c>
      <c r="B44" s="100">
        <v>26.32</v>
      </c>
      <c r="C44" s="100">
        <v>27.57</v>
      </c>
      <c r="D44" s="100">
        <v>36.86</v>
      </c>
      <c r="E44" s="100">
        <v>13.45</v>
      </c>
      <c r="F44" s="152" t="s">
        <v>15</v>
      </c>
      <c r="G44" s="100">
        <v>95.6</v>
      </c>
      <c r="H44" s="100">
        <v>15.83</v>
      </c>
      <c r="I44" s="100">
        <v>14.09</v>
      </c>
      <c r="J44" s="100">
        <v>1.27</v>
      </c>
      <c r="K44" s="100">
        <v>55.92</v>
      </c>
      <c r="L44" s="100">
        <v>25.22</v>
      </c>
      <c r="M44" s="100">
        <v>33.75</v>
      </c>
      <c r="N44" s="100">
        <v>245.7</v>
      </c>
      <c r="O44" s="100">
        <v>0</v>
      </c>
      <c r="P44" s="100">
        <v>1.1299999999999999</v>
      </c>
      <c r="Q44" s="100">
        <v>14.6</v>
      </c>
      <c r="R44" s="6"/>
      <c r="S44" s="6"/>
      <c r="T44" s="156"/>
      <c r="U44" s="6"/>
    </row>
    <row r="45" spans="1:21" customFormat="1">
      <c r="A45" s="163" t="s">
        <v>2579</v>
      </c>
      <c r="B45" s="100">
        <v>28.57</v>
      </c>
      <c r="C45" s="100">
        <v>29.54</v>
      </c>
      <c r="D45" s="100">
        <v>39.69</v>
      </c>
      <c r="E45" s="100">
        <v>14.84</v>
      </c>
      <c r="F45" s="152" t="s">
        <v>15</v>
      </c>
      <c r="G45" s="100">
        <v>95.6</v>
      </c>
      <c r="H45" s="100">
        <v>15.83</v>
      </c>
      <c r="I45" s="100">
        <v>13.83</v>
      </c>
      <c r="J45" s="100">
        <v>1.75</v>
      </c>
      <c r="K45" s="100">
        <v>51.26</v>
      </c>
      <c r="L45" s="100">
        <v>25.65</v>
      </c>
      <c r="M45" s="100">
        <v>32.409999999999997</v>
      </c>
      <c r="N45" s="100">
        <v>206.7</v>
      </c>
      <c r="O45" s="100">
        <v>0</v>
      </c>
      <c r="P45" s="100">
        <v>1.08</v>
      </c>
      <c r="Q45" s="100">
        <v>14.6</v>
      </c>
      <c r="R45" s="6"/>
      <c r="S45" s="6"/>
      <c r="T45" s="156"/>
      <c r="U45" s="6"/>
    </row>
    <row r="46" spans="1:21" customFormat="1">
      <c r="A46" s="163" t="s">
        <v>2580</v>
      </c>
      <c r="B46" s="100">
        <v>28.91</v>
      </c>
      <c r="C46" s="100">
        <v>30.98</v>
      </c>
      <c r="D46" s="100">
        <v>40.72</v>
      </c>
      <c r="E46" s="100">
        <v>14.95</v>
      </c>
      <c r="F46" s="152" t="s">
        <v>15</v>
      </c>
      <c r="G46" s="100">
        <v>76.41</v>
      </c>
      <c r="H46" s="100">
        <v>18.329999999999998</v>
      </c>
      <c r="I46" s="100">
        <v>13.42</v>
      </c>
      <c r="J46" s="100">
        <v>1.33</v>
      </c>
      <c r="K46" s="100">
        <v>60.06</v>
      </c>
      <c r="L46" s="100">
        <v>26.42</v>
      </c>
      <c r="M46" s="100">
        <v>31.78</v>
      </c>
      <c r="N46" s="100">
        <v>283.5</v>
      </c>
      <c r="O46" s="100">
        <v>0</v>
      </c>
      <c r="P46" s="100">
        <v>1.04</v>
      </c>
      <c r="Q46" s="100">
        <v>14.6</v>
      </c>
      <c r="R46" s="6"/>
      <c r="S46" s="6"/>
      <c r="T46" s="156"/>
      <c r="U46" s="6"/>
    </row>
    <row r="47" spans="1:21" customFormat="1">
      <c r="A47" s="163" t="s">
        <v>2581</v>
      </c>
      <c r="B47" s="100">
        <v>27.75</v>
      </c>
      <c r="C47" s="100">
        <v>31.99</v>
      </c>
      <c r="D47" s="100">
        <v>40.32</v>
      </c>
      <c r="E47" s="100">
        <v>14.95</v>
      </c>
      <c r="F47" s="152" t="s">
        <v>15</v>
      </c>
      <c r="G47" s="100">
        <v>69.430000000000007</v>
      </c>
      <c r="H47" s="100">
        <v>18.46</v>
      </c>
      <c r="I47" s="100">
        <v>12.97</v>
      </c>
      <c r="J47" s="100">
        <v>1.42</v>
      </c>
      <c r="K47" s="100">
        <v>46.29</v>
      </c>
      <c r="L47" s="100">
        <v>27.32</v>
      </c>
      <c r="M47" s="100">
        <v>30.62</v>
      </c>
      <c r="N47" s="100">
        <v>295.89999999999998</v>
      </c>
      <c r="O47" s="100">
        <v>0</v>
      </c>
      <c r="P47" s="100">
        <v>1.01</v>
      </c>
      <c r="Q47" s="100">
        <v>14.6</v>
      </c>
      <c r="R47" s="6"/>
      <c r="S47" s="6"/>
      <c r="T47" s="156"/>
      <c r="U47" s="6"/>
    </row>
    <row r="48" spans="1:21" customFormat="1">
      <c r="A48" s="163" t="s">
        <v>2582</v>
      </c>
      <c r="B48" s="100">
        <v>26.42</v>
      </c>
      <c r="C48" s="100">
        <v>33.03</v>
      </c>
      <c r="D48" s="100">
        <v>39.799999999999997</v>
      </c>
      <c r="E48" s="100">
        <v>15.47</v>
      </c>
      <c r="F48" s="152" t="s">
        <v>15</v>
      </c>
      <c r="G48" s="100">
        <v>69.430000000000007</v>
      </c>
      <c r="H48" s="100">
        <v>18.46</v>
      </c>
      <c r="I48" s="100">
        <v>12.57</v>
      </c>
      <c r="J48" s="100">
        <v>1.71</v>
      </c>
      <c r="K48" s="100">
        <v>43.51</v>
      </c>
      <c r="L48" s="100">
        <v>27.67</v>
      </c>
      <c r="M48" s="100">
        <v>29.16</v>
      </c>
      <c r="N48" s="100">
        <v>307.10000000000002</v>
      </c>
      <c r="O48" s="100">
        <v>0</v>
      </c>
      <c r="P48" s="100">
        <v>0.99</v>
      </c>
      <c r="Q48" s="100">
        <v>14.6</v>
      </c>
      <c r="R48" s="6"/>
      <c r="S48" s="6"/>
      <c r="T48" s="156"/>
      <c r="U48" s="6"/>
    </row>
    <row r="49" spans="1:21" customFormat="1">
      <c r="A49" s="163" t="s">
        <v>2583</v>
      </c>
      <c r="B49" s="100">
        <v>25.05</v>
      </c>
      <c r="C49" s="100">
        <v>33.75</v>
      </c>
      <c r="D49" s="100">
        <v>39.07</v>
      </c>
      <c r="E49" s="100">
        <v>12.19</v>
      </c>
      <c r="F49" s="152" t="s">
        <v>15</v>
      </c>
      <c r="G49" s="100">
        <v>69.430000000000007</v>
      </c>
      <c r="H49" s="100">
        <v>18.46</v>
      </c>
      <c r="I49" s="100">
        <v>12.3</v>
      </c>
      <c r="J49" s="100">
        <v>1.65</v>
      </c>
      <c r="K49" s="100">
        <v>49.76</v>
      </c>
      <c r="L49" s="100">
        <v>28.33</v>
      </c>
      <c r="M49" s="100">
        <v>28.01</v>
      </c>
      <c r="N49" s="100">
        <v>257</v>
      </c>
      <c r="O49" s="100">
        <v>0</v>
      </c>
      <c r="P49" s="100">
        <v>0.96</v>
      </c>
      <c r="Q49" s="100">
        <v>14.6</v>
      </c>
      <c r="R49" s="6"/>
      <c r="S49" s="6"/>
      <c r="T49" s="156"/>
      <c r="U49" s="6"/>
    </row>
    <row r="50" spans="1:21" customFormat="1">
      <c r="A50" s="163" t="s">
        <v>2584</v>
      </c>
      <c r="B50" s="100">
        <v>23.94</v>
      </c>
      <c r="C50" s="100">
        <v>34.74</v>
      </c>
      <c r="D50" s="100">
        <v>38.700000000000003</v>
      </c>
      <c r="E50" s="100">
        <v>19.53</v>
      </c>
      <c r="F50" s="152" t="s">
        <v>15</v>
      </c>
      <c r="G50" s="100">
        <v>65.989999999999995</v>
      </c>
      <c r="H50" s="100">
        <v>20.18</v>
      </c>
      <c r="I50" s="100">
        <v>12.02</v>
      </c>
      <c r="J50" s="100">
        <v>1.68</v>
      </c>
      <c r="K50" s="100">
        <v>49.95</v>
      </c>
      <c r="L50" s="100">
        <v>28.89</v>
      </c>
      <c r="M50" s="100">
        <v>26.65</v>
      </c>
      <c r="N50" s="100">
        <v>263.39999999999998</v>
      </c>
      <c r="O50" s="100">
        <v>0</v>
      </c>
      <c r="P50" s="100">
        <v>0.93</v>
      </c>
      <c r="Q50" s="100">
        <v>14.6</v>
      </c>
      <c r="R50" s="6"/>
      <c r="S50" s="6"/>
      <c r="T50" s="156"/>
      <c r="U50" s="6"/>
    </row>
    <row r="51" spans="1:21" customFormat="1">
      <c r="A51" s="163" t="s">
        <v>2585</v>
      </c>
      <c r="B51" s="100">
        <v>23.29</v>
      </c>
      <c r="C51" s="100">
        <v>35.380000000000003</v>
      </c>
      <c r="D51" s="100">
        <v>38.51</v>
      </c>
      <c r="E51" s="100">
        <v>21.19</v>
      </c>
      <c r="F51" s="152" t="s">
        <v>15</v>
      </c>
      <c r="G51" s="100">
        <v>64.739999999999995</v>
      </c>
      <c r="H51" s="100">
        <v>20.399999999999999</v>
      </c>
      <c r="I51" s="100">
        <v>11.68</v>
      </c>
      <c r="J51" s="100">
        <v>1.42</v>
      </c>
      <c r="K51" s="100">
        <v>49.24</v>
      </c>
      <c r="L51" s="100">
        <v>29.47</v>
      </c>
      <c r="M51" s="100">
        <v>25.39</v>
      </c>
      <c r="N51" s="100">
        <v>336.2</v>
      </c>
      <c r="O51" s="100">
        <v>0</v>
      </c>
      <c r="P51" s="100">
        <v>0.9</v>
      </c>
      <c r="Q51" s="100">
        <v>14.6</v>
      </c>
      <c r="R51" s="6"/>
      <c r="S51" s="6"/>
      <c r="T51" s="156"/>
      <c r="U51" s="6"/>
    </row>
    <row r="52" spans="1:21" customFormat="1">
      <c r="A52" s="163" t="s">
        <v>2586</v>
      </c>
      <c r="B52" s="100">
        <v>22.6</v>
      </c>
      <c r="C52" s="100">
        <v>35.94</v>
      </c>
      <c r="D52" s="100">
        <v>38.26</v>
      </c>
      <c r="E52" s="100">
        <v>21.67</v>
      </c>
      <c r="F52" s="152" t="s">
        <v>15</v>
      </c>
      <c r="G52" s="100">
        <v>64.739999999999995</v>
      </c>
      <c r="H52" s="100">
        <v>20.399999999999999</v>
      </c>
      <c r="I52" s="100">
        <v>11.4</v>
      </c>
      <c r="J52" s="100">
        <v>1.17</v>
      </c>
      <c r="K52" s="100">
        <v>57.34</v>
      </c>
      <c r="L52" s="100">
        <v>30.08</v>
      </c>
      <c r="M52" s="100">
        <v>24.08</v>
      </c>
      <c r="N52" s="100">
        <v>342.3</v>
      </c>
      <c r="O52" s="100">
        <v>0</v>
      </c>
      <c r="P52" s="100">
        <v>0.87</v>
      </c>
      <c r="Q52" s="100">
        <v>14.6</v>
      </c>
      <c r="R52" s="6"/>
      <c r="S52" s="6"/>
      <c r="T52" s="156"/>
      <c r="U52" s="6"/>
    </row>
    <row r="53" spans="1:21" customFormat="1">
      <c r="A53" s="163" t="s">
        <v>2587</v>
      </c>
      <c r="B53" s="100">
        <v>22.11</v>
      </c>
      <c r="C53" s="100">
        <v>36.46</v>
      </c>
      <c r="D53" s="100">
        <v>38.130000000000003</v>
      </c>
      <c r="E53" s="100">
        <v>27.1</v>
      </c>
      <c r="F53" s="152" t="s">
        <v>15</v>
      </c>
      <c r="G53" s="100">
        <v>64.739999999999995</v>
      </c>
      <c r="H53" s="100">
        <v>20.399999999999999</v>
      </c>
      <c r="I53" s="100">
        <v>11.09</v>
      </c>
      <c r="J53" s="100">
        <v>1.28</v>
      </c>
      <c r="K53" s="100">
        <v>45.32</v>
      </c>
      <c r="L53" s="100">
        <v>30.54</v>
      </c>
      <c r="M53" s="100">
        <v>23.17</v>
      </c>
      <c r="N53" s="100">
        <v>345.3</v>
      </c>
      <c r="O53" s="100">
        <v>0</v>
      </c>
      <c r="P53" s="100">
        <v>0.83</v>
      </c>
      <c r="Q53" s="100">
        <v>14.6</v>
      </c>
      <c r="R53" s="6"/>
      <c r="S53" s="6"/>
      <c r="T53" s="156"/>
      <c r="U53" s="6"/>
    </row>
    <row r="54" spans="1:21" customFormat="1">
      <c r="A54" s="163" t="s">
        <v>2588</v>
      </c>
      <c r="B54" s="100">
        <v>21.85</v>
      </c>
      <c r="C54" s="100">
        <v>36.86</v>
      </c>
      <c r="D54" s="100">
        <v>38.130000000000003</v>
      </c>
      <c r="E54" s="100">
        <v>25.76</v>
      </c>
      <c r="F54" s="152" t="s">
        <v>15</v>
      </c>
      <c r="G54" s="100">
        <v>70.77</v>
      </c>
      <c r="H54" s="100">
        <v>18.91</v>
      </c>
      <c r="I54" s="100">
        <v>10.73</v>
      </c>
      <c r="J54" s="100">
        <v>1.1399999999999999</v>
      </c>
      <c r="K54" s="100">
        <v>56.48</v>
      </c>
      <c r="L54" s="100">
        <v>31.01</v>
      </c>
      <c r="M54" s="100">
        <v>21.64</v>
      </c>
      <c r="N54" s="100">
        <v>325.89999999999998</v>
      </c>
      <c r="O54" s="100">
        <v>0</v>
      </c>
      <c r="P54" s="100">
        <v>0.81</v>
      </c>
      <c r="Q54" s="100">
        <v>14.6</v>
      </c>
      <c r="R54" s="6"/>
      <c r="S54" s="6"/>
      <c r="T54" s="156"/>
      <c r="U54" s="6"/>
    </row>
    <row r="55" spans="1:21" customFormat="1">
      <c r="A55" s="163" t="s">
        <v>2589</v>
      </c>
      <c r="B55" s="100">
        <v>21.14</v>
      </c>
      <c r="C55" s="100">
        <v>37.270000000000003</v>
      </c>
      <c r="D55" s="100">
        <v>37.770000000000003</v>
      </c>
      <c r="E55" s="100">
        <v>19.100000000000001</v>
      </c>
      <c r="F55" s="152" t="s">
        <v>15</v>
      </c>
      <c r="G55" s="100">
        <v>72.959999999999994</v>
      </c>
      <c r="H55" s="100">
        <v>18.7</v>
      </c>
      <c r="I55" s="100">
        <v>10.37</v>
      </c>
      <c r="J55" s="100">
        <v>0.68</v>
      </c>
      <c r="K55" s="100">
        <v>70.540000000000006</v>
      </c>
      <c r="L55" s="100">
        <v>32.07</v>
      </c>
      <c r="M55" s="100">
        <v>19.86</v>
      </c>
      <c r="N55" s="100">
        <v>317.10000000000002</v>
      </c>
      <c r="O55" s="100">
        <v>0</v>
      </c>
      <c r="P55" s="100">
        <v>0.79</v>
      </c>
      <c r="Q55" s="100">
        <v>14.6</v>
      </c>
      <c r="R55" s="6"/>
      <c r="S55" s="6"/>
      <c r="T55" s="156"/>
      <c r="U55" s="6"/>
    </row>
    <row r="56" spans="1:21" customFormat="1">
      <c r="A56" s="163" t="s">
        <v>2590</v>
      </c>
      <c r="B56" s="100">
        <v>19.940000000000001</v>
      </c>
      <c r="C56" s="100">
        <v>37.549999999999997</v>
      </c>
      <c r="D56" s="100">
        <v>36.96</v>
      </c>
      <c r="E56" s="100">
        <v>21.51</v>
      </c>
      <c r="F56" s="152" t="s">
        <v>15</v>
      </c>
      <c r="G56" s="100">
        <v>72.959999999999994</v>
      </c>
      <c r="H56" s="100">
        <v>18.7</v>
      </c>
      <c r="I56" s="100">
        <v>10.11</v>
      </c>
      <c r="J56" s="100">
        <v>1.03</v>
      </c>
      <c r="K56" s="100">
        <v>59.32</v>
      </c>
      <c r="L56" s="100">
        <v>32.130000000000003</v>
      </c>
      <c r="M56" s="100">
        <v>19.73</v>
      </c>
      <c r="N56" s="100">
        <v>357.6</v>
      </c>
      <c r="O56" s="100">
        <v>0</v>
      </c>
      <c r="P56" s="100">
        <v>0.75</v>
      </c>
      <c r="Q56" s="100">
        <v>14.6</v>
      </c>
      <c r="R56" s="6"/>
      <c r="S56" s="6"/>
      <c r="T56" s="156"/>
      <c r="U56" s="6"/>
    </row>
    <row r="57" spans="1:21" customFormat="1">
      <c r="A57" s="163" t="s">
        <v>2591</v>
      </c>
      <c r="B57" s="100">
        <v>19.28</v>
      </c>
      <c r="C57" s="100">
        <v>37.97</v>
      </c>
      <c r="D57" s="100">
        <v>36.64</v>
      </c>
      <c r="E57" s="100">
        <v>25.36</v>
      </c>
      <c r="F57" s="152" t="s">
        <v>15</v>
      </c>
      <c r="G57" s="100">
        <v>72.959999999999994</v>
      </c>
      <c r="H57" s="100">
        <v>18.7</v>
      </c>
      <c r="I57" s="100">
        <v>9.8800000000000008</v>
      </c>
      <c r="J57" s="100">
        <v>0.62</v>
      </c>
      <c r="K57" s="100">
        <v>11.15</v>
      </c>
      <c r="L57" s="100">
        <v>32.01</v>
      </c>
      <c r="M57" s="100">
        <v>20.309999999999999</v>
      </c>
      <c r="N57" s="100">
        <v>357.4</v>
      </c>
      <c r="O57" s="100">
        <v>0</v>
      </c>
      <c r="P57" s="100">
        <v>0.73</v>
      </c>
      <c r="Q57" s="100">
        <v>14.6</v>
      </c>
      <c r="R57" s="6"/>
      <c r="S57" s="6"/>
      <c r="T57" s="156"/>
      <c r="U57" s="6"/>
    </row>
    <row r="58" spans="1:21" customFormat="1">
      <c r="A58" s="163" t="s">
        <v>2592</v>
      </c>
      <c r="B58" s="100">
        <v>18.72</v>
      </c>
      <c r="C58" s="100">
        <v>37.9</v>
      </c>
      <c r="D58" s="100">
        <v>36.159999999999997</v>
      </c>
      <c r="E58" s="100">
        <v>28.02</v>
      </c>
      <c r="F58" s="152" t="s">
        <v>15</v>
      </c>
      <c r="G58" s="100">
        <v>59.38</v>
      </c>
      <c r="H58" s="100">
        <v>15.23</v>
      </c>
      <c r="I58" s="100">
        <v>9.4700000000000006</v>
      </c>
      <c r="J58" s="100">
        <v>1.1299999999999999</v>
      </c>
      <c r="K58" s="100">
        <v>39.43</v>
      </c>
      <c r="L58" s="100">
        <v>32.21</v>
      </c>
      <c r="M58" s="100">
        <v>18.66</v>
      </c>
      <c r="N58" s="100">
        <v>365.5</v>
      </c>
      <c r="O58" s="100">
        <v>0</v>
      </c>
      <c r="P58" s="100">
        <v>0.69</v>
      </c>
      <c r="Q58" s="100">
        <v>14.6</v>
      </c>
      <c r="R58" s="6"/>
      <c r="S58" s="6"/>
      <c r="T58" s="156"/>
      <c r="U58" s="6"/>
    </row>
    <row r="59" spans="1:21" customFormat="1">
      <c r="A59" s="163" t="s">
        <v>2593</v>
      </c>
      <c r="B59" s="100">
        <v>18.04</v>
      </c>
      <c r="C59" s="100">
        <v>37.89</v>
      </c>
      <c r="D59" s="100">
        <v>35.61</v>
      </c>
      <c r="E59" s="100">
        <v>27.98</v>
      </c>
      <c r="F59" s="152" t="s">
        <v>15</v>
      </c>
      <c r="G59" s="100">
        <v>54.44</v>
      </c>
      <c r="H59" s="100">
        <v>14.74</v>
      </c>
      <c r="I59" s="100">
        <v>9.1300000000000008</v>
      </c>
      <c r="J59" s="100">
        <v>0.79</v>
      </c>
      <c r="K59" s="100">
        <v>26.16</v>
      </c>
      <c r="L59" s="100">
        <v>32.82</v>
      </c>
      <c r="M59" s="100">
        <v>18.5</v>
      </c>
      <c r="N59" s="100">
        <v>365.4</v>
      </c>
      <c r="O59" s="100">
        <v>0</v>
      </c>
      <c r="P59" s="100">
        <v>0.68</v>
      </c>
      <c r="Q59" s="100">
        <v>14.6</v>
      </c>
      <c r="R59" s="6"/>
      <c r="S59" s="6"/>
      <c r="T59" s="156"/>
      <c r="U59" s="6"/>
    </row>
    <row r="60" spans="1:21" customFormat="1">
      <c r="A60" s="163" t="s">
        <v>2594</v>
      </c>
      <c r="B60" s="100">
        <v>17.510000000000002</v>
      </c>
      <c r="C60" s="100">
        <v>37.89</v>
      </c>
      <c r="D60" s="100">
        <v>35.19</v>
      </c>
      <c r="E60" s="100">
        <v>26.7</v>
      </c>
      <c r="F60" s="152" t="s">
        <v>15</v>
      </c>
      <c r="G60" s="100">
        <v>54.44</v>
      </c>
      <c r="H60" s="100">
        <v>14.74</v>
      </c>
      <c r="I60" s="100">
        <v>8.7899999999999991</v>
      </c>
      <c r="J60" s="100">
        <v>0.77</v>
      </c>
      <c r="K60" s="100">
        <v>60.52</v>
      </c>
      <c r="L60" s="100">
        <v>33.46</v>
      </c>
      <c r="M60" s="100">
        <v>17.77</v>
      </c>
      <c r="N60" s="100">
        <v>362.8</v>
      </c>
      <c r="O60" s="100">
        <v>0</v>
      </c>
      <c r="P60" s="100">
        <v>0.66</v>
      </c>
      <c r="Q60" s="100">
        <v>14.6</v>
      </c>
      <c r="R60" s="6"/>
      <c r="S60" s="6"/>
      <c r="T60" s="156"/>
      <c r="U60" s="6"/>
    </row>
    <row r="61" spans="1:21" customFormat="1">
      <c r="A61" s="163" t="s">
        <v>2595</v>
      </c>
      <c r="B61" s="100">
        <v>16.809999999999999</v>
      </c>
      <c r="C61" s="100">
        <v>37.74</v>
      </c>
      <c r="D61" s="100">
        <v>34.549999999999997</v>
      </c>
      <c r="E61" s="100">
        <v>23.18</v>
      </c>
      <c r="F61" s="152" t="s">
        <v>15</v>
      </c>
      <c r="G61" s="100">
        <v>54.44</v>
      </c>
      <c r="H61" s="100">
        <v>14.74</v>
      </c>
      <c r="I61" s="100">
        <v>8.56</v>
      </c>
      <c r="J61" s="100">
        <v>0.89</v>
      </c>
      <c r="K61" s="100">
        <v>39.06</v>
      </c>
      <c r="L61" s="100">
        <v>33.450000000000003</v>
      </c>
      <c r="M61" s="100">
        <v>17.66</v>
      </c>
      <c r="N61" s="100">
        <v>361.8</v>
      </c>
      <c r="O61" s="100">
        <v>0</v>
      </c>
      <c r="P61" s="100">
        <v>0.64</v>
      </c>
      <c r="Q61" s="100">
        <v>14.6</v>
      </c>
      <c r="R61" s="6"/>
      <c r="S61" s="6"/>
      <c r="T61" s="156"/>
      <c r="U61" s="6"/>
    </row>
    <row r="62" spans="1:21" customFormat="1">
      <c r="A62" s="163" t="s">
        <v>2596</v>
      </c>
      <c r="B62" s="100">
        <v>15.81</v>
      </c>
      <c r="C62" s="100">
        <v>37.36</v>
      </c>
      <c r="D62" s="100">
        <v>33.549999999999997</v>
      </c>
      <c r="E62" s="100">
        <v>24.45</v>
      </c>
      <c r="F62" s="152" t="s">
        <v>15</v>
      </c>
      <c r="G62" s="100">
        <v>51.53</v>
      </c>
      <c r="H62" s="100">
        <v>14.25</v>
      </c>
      <c r="I62" s="100">
        <v>8.35</v>
      </c>
      <c r="J62" s="100">
        <v>1.0900000000000001</v>
      </c>
      <c r="K62" s="100">
        <v>27.21</v>
      </c>
      <c r="L62" s="100">
        <v>33.479999999999997</v>
      </c>
      <c r="M62" s="100">
        <v>17.260000000000002</v>
      </c>
      <c r="N62" s="100">
        <v>352.7</v>
      </c>
      <c r="O62" s="100">
        <v>0</v>
      </c>
      <c r="P62" s="100">
        <v>0.62</v>
      </c>
      <c r="Q62" s="100">
        <v>14.6</v>
      </c>
      <c r="R62" s="6"/>
      <c r="S62" s="6"/>
      <c r="T62" s="156"/>
      <c r="U62" s="6"/>
    </row>
    <row r="63" spans="1:21" customFormat="1">
      <c r="A63" s="163" t="s">
        <v>2597</v>
      </c>
      <c r="B63" s="100">
        <v>14.61</v>
      </c>
      <c r="C63" s="100">
        <v>36.97</v>
      </c>
      <c r="D63" s="100">
        <v>32.380000000000003</v>
      </c>
      <c r="E63" s="100">
        <v>20.95</v>
      </c>
      <c r="F63" s="152" t="s">
        <v>15</v>
      </c>
      <c r="G63" s="100">
        <v>50.47</v>
      </c>
      <c r="H63" s="100">
        <v>14.17</v>
      </c>
      <c r="I63" s="100">
        <v>8.06</v>
      </c>
      <c r="J63" s="100">
        <v>0.78</v>
      </c>
      <c r="K63" s="100">
        <v>36.89</v>
      </c>
      <c r="L63" s="100">
        <v>33.909999999999997</v>
      </c>
      <c r="M63" s="100">
        <v>16.62</v>
      </c>
      <c r="N63" s="100">
        <v>343.5</v>
      </c>
      <c r="O63" s="100">
        <v>0</v>
      </c>
      <c r="P63" s="100">
        <v>0.65</v>
      </c>
      <c r="Q63" s="100">
        <v>14.6</v>
      </c>
      <c r="R63" s="6"/>
      <c r="S63" s="6"/>
      <c r="T63" s="156"/>
      <c r="U63" s="6"/>
    </row>
    <row r="64" spans="1:21" customFormat="1">
      <c r="A64" s="163" t="s">
        <v>2598</v>
      </c>
      <c r="B64" s="100">
        <v>13.57</v>
      </c>
      <c r="C64" s="100">
        <v>35.71</v>
      </c>
      <c r="D64" s="100">
        <v>30.89</v>
      </c>
      <c r="E64" s="100">
        <v>24.11</v>
      </c>
      <c r="F64" s="152" t="s">
        <v>15</v>
      </c>
      <c r="G64" s="100">
        <v>50.47</v>
      </c>
      <c r="H64" s="100">
        <v>14.17</v>
      </c>
      <c r="I64" s="100">
        <v>7.73</v>
      </c>
      <c r="J64" s="100">
        <v>0.84</v>
      </c>
      <c r="K64" s="100">
        <v>52.41</v>
      </c>
      <c r="L64" s="100">
        <v>34</v>
      </c>
      <c r="M64" s="100">
        <v>16.149999999999999</v>
      </c>
      <c r="N64" s="100">
        <v>363.6</v>
      </c>
      <c r="O64" s="100">
        <v>0</v>
      </c>
      <c r="P64" s="100">
        <v>0.64</v>
      </c>
      <c r="Q64" s="100">
        <v>14.6</v>
      </c>
      <c r="R64" s="6"/>
      <c r="S64" s="6"/>
      <c r="T64" s="156"/>
      <c r="U64" s="6"/>
    </row>
    <row r="65" spans="1:21" customFormat="1">
      <c r="A65" s="163" t="s">
        <v>2599</v>
      </c>
      <c r="B65" s="100">
        <v>11.8</v>
      </c>
      <c r="C65" s="100">
        <v>34.11</v>
      </c>
      <c r="D65" s="100">
        <v>28.63</v>
      </c>
      <c r="E65" s="100">
        <v>21.35</v>
      </c>
      <c r="F65" s="152" t="s">
        <v>15</v>
      </c>
      <c r="G65" s="100">
        <v>50.47</v>
      </c>
      <c r="H65" s="100">
        <v>14.17</v>
      </c>
      <c r="I65" s="100">
        <v>7.39</v>
      </c>
      <c r="J65" s="100">
        <v>0.81</v>
      </c>
      <c r="K65" s="100">
        <v>33.47</v>
      </c>
      <c r="L65" s="100">
        <v>33.9</v>
      </c>
      <c r="M65" s="100">
        <v>15.95</v>
      </c>
      <c r="N65" s="100">
        <v>368.7</v>
      </c>
      <c r="O65" s="100">
        <v>0</v>
      </c>
      <c r="P65" s="100">
        <v>0.48</v>
      </c>
      <c r="Q65" s="100">
        <v>14.6</v>
      </c>
      <c r="R65" s="6"/>
      <c r="S65" s="6"/>
      <c r="T65" s="156"/>
      <c r="U65" s="6"/>
    </row>
    <row r="66" spans="1:21" customFormat="1">
      <c r="A66" s="163" t="s">
        <v>2600</v>
      </c>
      <c r="B66" s="100">
        <v>20.190000000000001</v>
      </c>
      <c r="C66" s="100">
        <v>3.84</v>
      </c>
      <c r="D66" s="100">
        <v>19.55</v>
      </c>
      <c r="E66" s="100">
        <v>3.71</v>
      </c>
      <c r="F66" s="152" t="s">
        <v>15</v>
      </c>
      <c r="G66" s="100">
        <v>50.47</v>
      </c>
      <c r="H66" s="100">
        <v>14.17</v>
      </c>
      <c r="I66" s="100">
        <v>7.14</v>
      </c>
      <c r="J66" s="100">
        <v>0.62</v>
      </c>
      <c r="K66" s="100">
        <v>70.62</v>
      </c>
      <c r="L66" s="100">
        <v>34.61</v>
      </c>
      <c r="M66" s="100">
        <v>15.05</v>
      </c>
      <c r="N66" s="100">
        <v>350.4</v>
      </c>
      <c r="O66" s="100">
        <v>0</v>
      </c>
      <c r="P66" s="100">
        <v>6.23</v>
      </c>
      <c r="Q66" s="100">
        <v>14.6</v>
      </c>
      <c r="R66" s="6"/>
      <c r="S66" s="6"/>
      <c r="T66" s="156"/>
      <c r="U66" s="6"/>
    </row>
    <row r="67" spans="1:21" customFormat="1">
      <c r="A67" s="163" t="s">
        <v>2601</v>
      </c>
      <c r="B67" s="100">
        <v>-5.51</v>
      </c>
      <c r="C67" s="100">
        <v>2.76</v>
      </c>
      <c r="D67" s="100">
        <v>-1.63</v>
      </c>
      <c r="E67" s="100">
        <v>3.37</v>
      </c>
      <c r="F67" s="152" t="s">
        <v>15</v>
      </c>
      <c r="G67" s="100">
        <v>50.47</v>
      </c>
      <c r="H67" s="100">
        <v>14.17</v>
      </c>
      <c r="I67" s="100">
        <v>6.5</v>
      </c>
      <c r="J67" s="100">
        <v>0.72</v>
      </c>
      <c r="K67" s="100">
        <v>54.41</v>
      </c>
      <c r="L67" s="100">
        <v>34.46</v>
      </c>
      <c r="M67" s="100">
        <v>14.72</v>
      </c>
      <c r="N67" s="100">
        <v>303.39999999999998</v>
      </c>
      <c r="O67" s="100">
        <v>0</v>
      </c>
      <c r="P67" s="100">
        <v>0.21</v>
      </c>
      <c r="Q67" s="100">
        <v>14.6</v>
      </c>
      <c r="R67" s="6"/>
      <c r="S67" s="6"/>
      <c r="T67" s="156"/>
      <c r="U67" s="6"/>
    </row>
    <row r="68" spans="1:21" customFormat="1">
      <c r="A68" s="163" t="s">
        <v>2602</v>
      </c>
      <c r="B68" s="100">
        <v>667.28</v>
      </c>
      <c r="C68" s="100">
        <v>51.69</v>
      </c>
      <c r="D68" s="100">
        <v>563.47</v>
      </c>
      <c r="E68" s="100">
        <v>3.24</v>
      </c>
      <c r="F68" s="152" t="s">
        <v>15</v>
      </c>
      <c r="G68" s="100">
        <v>50.47</v>
      </c>
      <c r="H68" s="100">
        <v>14.17</v>
      </c>
      <c r="I68" s="100">
        <v>6.3</v>
      </c>
      <c r="J68" s="100">
        <v>1.07</v>
      </c>
      <c r="K68" s="100">
        <v>28.09</v>
      </c>
      <c r="L68" s="100">
        <v>33.69</v>
      </c>
      <c r="M68" s="100">
        <v>15.87</v>
      </c>
      <c r="N68" s="100">
        <v>114.6</v>
      </c>
      <c r="O68" s="100">
        <v>0</v>
      </c>
      <c r="P68" s="100">
        <v>0.43</v>
      </c>
      <c r="Q68" s="100">
        <v>10.91</v>
      </c>
      <c r="R68" s="6"/>
      <c r="S68" s="6"/>
      <c r="T68" s="156"/>
      <c r="U68" s="6"/>
    </row>
    <row r="69" spans="1:21" customFormat="1">
      <c r="A69" s="163" t="s">
        <v>2603</v>
      </c>
      <c r="B69" s="100">
        <v>3.57</v>
      </c>
      <c r="C69" s="100">
        <v>13.54</v>
      </c>
      <c r="D69" s="100">
        <v>11.29</v>
      </c>
      <c r="E69" s="100">
        <v>3.23</v>
      </c>
      <c r="F69" s="152" t="s">
        <v>15</v>
      </c>
      <c r="G69" s="100">
        <v>50.47</v>
      </c>
      <c r="H69" s="100">
        <v>14.17</v>
      </c>
      <c r="I69" s="100">
        <v>7</v>
      </c>
      <c r="J69" s="100">
        <v>0.77</v>
      </c>
      <c r="K69" s="100">
        <v>333.33</v>
      </c>
      <c r="L69" s="100">
        <v>33.24</v>
      </c>
      <c r="M69" s="100">
        <v>16.489999999999998</v>
      </c>
      <c r="N69" s="100">
        <v>59.7</v>
      </c>
      <c r="O69" s="100">
        <v>0</v>
      </c>
      <c r="P69" s="100">
        <v>0.38</v>
      </c>
      <c r="Q69" s="100">
        <v>28</v>
      </c>
      <c r="R69" s="6"/>
      <c r="S69" s="6"/>
      <c r="T69" s="156"/>
      <c r="U69" s="6"/>
    </row>
    <row r="70" spans="1:21" customFormat="1">
      <c r="A70" s="163" t="s">
        <v>2604</v>
      </c>
      <c r="B70" s="100">
        <v>3.33</v>
      </c>
      <c r="C70" s="100">
        <v>20.21</v>
      </c>
      <c r="D70" s="100">
        <v>14.58</v>
      </c>
      <c r="E70" s="100">
        <v>927.12</v>
      </c>
      <c r="F70" s="152" t="s">
        <v>15</v>
      </c>
      <c r="G70" s="100">
        <v>50.47</v>
      </c>
      <c r="H70" s="100">
        <v>14.17</v>
      </c>
      <c r="I70" s="100">
        <v>6.64</v>
      </c>
      <c r="J70" s="100">
        <v>1.02</v>
      </c>
      <c r="K70" s="100">
        <v>17.809999999999999</v>
      </c>
      <c r="L70" s="100">
        <v>33.1</v>
      </c>
      <c r="M70" s="100">
        <v>15.6</v>
      </c>
      <c r="N70" s="100">
        <v>53.2</v>
      </c>
      <c r="O70" s="100">
        <v>0</v>
      </c>
      <c r="P70" s="100">
        <v>0.39</v>
      </c>
      <c r="Q70" s="100">
        <v>28.01</v>
      </c>
      <c r="R70" s="6"/>
      <c r="S70" s="6"/>
      <c r="T70" s="156"/>
      <c r="U70" s="6"/>
    </row>
    <row r="71" spans="1:21" customFormat="1">
      <c r="A71" s="163" t="s">
        <v>2605</v>
      </c>
      <c r="B71" s="100">
        <v>3.3</v>
      </c>
      <c r="C71" s="100">
        <v>21.93</v>
      </c>
      <c r="D71" s="100">
        <v>15.46</v>
      </c>
      <c r="E71" s="100">
        <v>21.29</v>
      </c>
      <c r="F71" s="152" t="s">
        <v>15</v>
      </c>
      <c r="G71" s="100">
        <v>0</v>
      </c>
      <c r="H71" s="100">
        <v>0</v>
      </c>
      <c r="I71" s="100">
        <v>7.45</v>
      </c>
      <c r="J71" s="100">
        <v>0.67</v>
      </c>
      <c r="K71" s="100">
        <v>14.95</v>
      </c>
      <c r="L71" s="100">
        <v>32.950000000000003</v>
      </c>
      <c r="M71" s="100">
        <v>15.53</v>
      </c>
      <c r="N71" s="100">
        <v>54.2</v>
      </c>
      <c r="O71" s="100">
        <v>0</v>
      </c>
      <c r="P71" s="100">
        <v>0.35</v>
      </c>
      <c r="Q71" s="100">
        <v>27.98</v>
      </c>
      <c r="R71" s="6"/>
      <c r="S71" s="6"/>
      <c r="T71" s="156"/>
      <c r="U71" s="6"/>
    </row>
    <row r="72" spans="1:21" customFormat="1">
      <c r="A72" s="163" t="s">
        <v>2606</v>
      </c>
      <c r="B72" s="100">
        <v>3.2</v>
      </c>
      <c r="C72" s="100">
        <v>21.32</v>
      </c>
      <c r="D72" s="100">
        <v>15.05</v>
      </c>
      <c r="E72" s="100">
        <v>24.21</v>
      </c>
      <c r="F72" s="152" t="s">
        <v>15</v>
      </c>
      <c r="G72" s="100">
        <v>0</v>
      </c>
      <c r="H72" s="100">
        <v>0</v>
      </c>
      <c r="I72" s="100">
        <v>9.17</v>
      </c>
      <c r="J72" s="100">
        <v>0.95</v>
      </c>
      <c r="K72" s="100">
        <v>44.41</v>
      </c>
      <c r="L72" s="100">
        <v>32.94</v>
      </c>
      <c r="M72" s="100">
        <v>15.89</v>
      </c>
      <c r="N72" s="100">
        <v>58.7</v>
      </c>
      <c r="O72" s="100">
        <v>0</v>
      </c>
      <c r="P72" s="100">
        <v>0.38</v>
      </c>
      <c r="Q72" s="100">
        <v>28</v>
      </c>
      <c r="R72" s="6"/>
      <c r="S72" s="6"/>
      <c r="T72" s="156"/>
      <c r="U72" s="6"/>
    </row>
    <row r="73" spans="1:21" customFormat="1">
      <c r="A73" s="163" t="s">
        <v>2607</v>
      </c>
      <c r="B73" s="100">
        <v>3.37</v>
      </c>
      <c r="C73" s="100">
        <v>21.62</v>
      </c>
      <c r="D73" s="100">
        <v>15.35</v>
      </c>
      <c r="E73" s="100">
        <v>20.75</v>
      </c>
      <c r="F73" s="152" t="s">
        <v>15</v>
      </c>
      <c r="G73" s="100">
        <v>0</v>
      </c>
      <c r="H73" s="100">
        <v>0</v>
      </c>
      <c r="I73" s="100">
        <v>10.62</v>
      </c>
      <c r="J73" s="100">
        <v>1.08</v>
      </c>
      <c r="K73" s="100">
        <v>50.14</v>
      </c>
      <c r="L73" s="100">
        <v>32.78</v>
      </c>
      <c r="M73" s="100">
        <v>16.059999999999999</v>
      </c>
      <c r="N73" s="100">
        <v>63.2</v>
      </c>
      <c r="O73" s="100">
        <v>0</v>
      </c>
      <c r="P73" s="100">
        <v>0.39</v>
      </c>
      <c r="Q73" s="100">
        <v>28.02</v>
      </c>
      <c r="R73" s="6"/>
      <c r="S73" s="6"/>
      <c r="T73" s="156"/>
      <c r="U73" s="6"/>
    </row>
    <row r="74" spans="1:21" customFormat="1">
      <c r="A74" s="163" t="s">
        <v>2608</v>
      </c>
      <c r="B74" s="100">
        <v>3.23</v>
      </c>
      <c r="C74" s="100">
        <v>22.25</v>
      </c>
      <c r="D74" s="100">
        <v>15.57</v>
      </c>
      <c r="E74" s="100">
        <v>20.04</v>
      </c>
      <c r="F74" s="152" t="s">
        <v>15</v>
      </c>
      <c r="G74" s="100">
        <v>0</v>
      </c>
      <c r="H74" s="100">
        <v>0</v>
      </c>
      <c r="I74" s="100">
        <v>10.4</v>
      </c>
      <c r="J74" s="100">
        <v>1.21</v>
      </c>
      <c r="K74" s="100">
        <v>49.67</v>
      </c>
      <c r="L74" s="100">
        <v>32.53</v>
      </c>
      <c r="M74" s="100">
        <v>18.63</v>
      </c>
      <c r="N74" s="100">
        <v>50</v>
      </c>
      <c r="O74" s="100">
        <v>0</v>
      </c>
      <c r="P74" s="100">
        <v>0.41</v>
      </c>
      <c r="Q74" s="100">
        <v>28</v>
      </c>
      <c r="R74" s="6"/>
      <c r="S74" s="6"/>
      <c r="T74" s="156"/>
      <c r="U74" s="6"/>
    </row>
    <row r="75" spans="1:21" customFormat="1">
      <c r="A75" s="163" t="s">
        <v>2609</v>
      </c>
      <c r="B75" s="100">
        <v>3.27</v>
      </c>
      <c r="C75" s="100">
        <v>22.21</v>
      </c>
      <c r="D75" s="100">
        <v>15.57</v>
      </c>
      <c r="E75" s="100">
        <v>21.97</v>
      </c>
      <c r="F75" s="152" t="s">
        <v>15</v>
      </c>
      <c r="G75" s="100">
        <v>42.9</v>
      </c>
      <c r="H75" s="100">
        <v>72.55</v>
      </c>
      <c r="I75" s="100">
        <v>9.18</v>
      </c>
      <c r="J75" s="100">
        <v>1.1599999999999999</v>
      </c>
      <c r="K75" s="100">
        <v>24.73</v>
      </c>
      <c r="L75" s="100">
        <v>32.299999999999997</v>
      </c>
      <c r="M75" s="100">
        <v>19.71</v>
      </c>
      <c r="N75" s="100">
        <v>42.1</v>
      </c>
      <c r="O75" s="100">
        <v>0</v>
      </c>
      <c r="P75" s="100">
        <v>0.39</v>
      </c>
      <c r="Q75" s="100">
        <v>28</v>
      </c>
      <c r="R75" s="6"/>
      <c r="S75" s="6"/>
      <c r="T75" s="156"/>
      <c r="U75" s="6"/>
    </row>
    <row r="76" spans="1:21" customFormat="1">
      <c r="A76" s="163" t="s">
        <v>2610</v>
      </c>
      <c r="B76" s="100">
        <v>3.39</v>
      </c>
      <c r="C76" s="100">
        <v>21.9</v>
      </c>
      <c r="D76" s="100">
        <v>15.51</v>
      </c>
      <c r="E76" s="100">
        <v>20.87</v>
      </c>
      <c r="F76" s="152" t="s">
        <v>15</v>
      </c>
      <c r="G76" s="100">
        <v>48.27</v>
      </c>
      <c r="H76" s="100">
        <v>72.55</v>
      </c>
      <c r="I76" s="100">
        <v>9.26</v>
      </c>
      <c r="J76" s="100">
        <v>1.0900000000000001</v>
      </c>
      <c r="K76" s="100">
        <v>41.35</v>
      </c>
      <c r="L76" s="100">
        <v>32.020000000000003</v>
      </c>
      <c r="M76" s="100">
        <v>19.97</v>
      </c>
      <c r="N76" s="100">
        <v>28.4</v>
      </c>
      <c r="O76" s="100">
        <v>0</v>
      </c>
      <c r="P76" s="100">
        <v>0.4</v>
      </c>
      <c r="Q76" s="100">
        <v>28.01</v>
      </c>
      <c r="R76" s="6"/>
      <c r="S76" s="6"/>
      <c r="T76" s="156"/>
      <c r="U76" s="6"/>
    </row>
    <row r="77" spans="1:21" customFormat="1">
      <c r="A77" s="163" t="s">
        <v>2611</v>
      </c>
      <c r="B77" s="100">
        <v>3.54</v>
      </c>
      <c r="C77" s="100">
        <v>21.57</v>
      </c>
      <c r="D77" s="100">
        <v>15.46</v>
      </c>
      <c r="E77" s="100">
        <v>18.13</v>
      </c>
      <c r="F77" s="152" t="s">
        <v>15</v>
      </c>
      <c r="G77" s="100">
        <v>48.27</v>
      </c>
      <c r="H77" s="100">
        <v>72.55</v>
      </c>
      <c r="I77" s="100">
        <v>8.9600000000000009</v>
      </c>
      <c r="J77" s="100">
        <v>0.92</v>
      </c>
      <c r="K77" s="100">
        <v>33.67</v>
      </c>
      <c r="L77" s="100">
        <v>31.66</v>
      </c>
      <c r="M77" s="100">
        <v>20.14</v>
      </c>
      <c r="N77" s="100">
        <v>23.6</v>
      </c>
      <c r="O77" s="100">
        <v>0</v>
      </c>
      <c r="P77" s="100">
        <v>0.4</v>
      </c>
      <c r="Q77" s="100">
        <v>28.04</v>
      </c>
      <c r="R77" s="6"/>
      <c r="S77" s="6"/>
      <c r="T77" s="156"/>
      <c r="U77" s="6"/>
    </row>
    <row r="78" spans="1:21" customFormat="1">
      <c r="A78" s="163" t="s">
        <v>2612</v>
      </c>
      <c r="B78" s="100">
        <v>3.77</v>
      </c>
      <c r="C78" s="100">
        <v>21.41</v>
      </c>
      <c r="D78" s="100">
        <v>15.56</v>
      </c>
      <c r="E78" s="100">
        <v>17.63</v>
      </c>
      <c r="F78" s="152" t="s">
        <v>15</v>
      </c>
      <c r="G78" s="100">
        <v>48.27</v>
      </c>
      <c r="H78" s="100">
        <v>72.55</v>
      </c>
      <c r="I78" s="100">
        <v>7.86</v>
      </c>
      <c r="J78" s="100">
        <v>0.76</v>
      </c>
      <c r="K78" s="100">
        <v>34.880000000000003</v>
      </c>
      <c r="L78" s="100">
        <v>31.19</v>
      </c>
      <c r="M78" s="100">
        <v>20.02</v>
      </c>
      <c r="N78" s="100">
        <v>16.899999999999999</v>
      </c>
      <c r="O78" s="100">
        <v>0</v>
      </c>
      <c r="P78" s="100">
        <v>0.44</v>
      </c>
      <c r="Q78" s="100">
        <v>28.03</v>
      </c>
      <c r="R78" s="6"/>
      <c r="S78" s="6"/>
      <c r="T78" s="156"/>
      <c r="U78" s="6"/>
    </row>
    <row r="79" spans="1:21" customFormat="1">
      <c r="A79" s="163" t="s">
        <v>2613</v>
      </c>
      <c r="B79" s="100">
        <v>3.92</v>
      </c>
      <c r="C79" s="100">
        <v>21.41</v>
      </c>
      <c r="D79" s="100">
        <v>15.69</v>
      </c>
      <c r="E79" s="100">
        <v>17.190000000000001</v>
      </c>
      <c r="F79" s="152" t="s">
        <v>15</v>
      </c>
      <c r="G79" s="100">
        <v>47.95</v>
      </c>
      <c r="H79" s="100">
        <v>58.16</v>
      </c>
      <c r="I79" s="100">
        <v>6.78</v>
      </c>
      <c r="J79" s="100">
        <v>0.65</v>
      </c>
      <c r="K79" s="100">
        <v>35.76</v>
      </c>
      <c r="L79" s="100">
        <v>30.68</v>
      </c>
      <c r="M79" s="100">
        <v>20.2</v>
      </c>
      <c r="N79" s="100">
        <v>9.1999999999999993</v>
      </c>
      <c r="O79" s="100">
        <v>0</v>
      </c>
      <c r="P79" s="100">
        <v>0.46</v>
      </c>
      <c r="Q79" s="100">
        <v>28.02</v>
      </c>
      <c r="R79" s="6"/>
      <c r="S79" s="6"/>
      <c r="T79" s="156"/>
      <c r="U79" s="6"/>
    </row>
    <row r="80" spans="1:21" customFormat="1">
      <c r="A80" s="163" t="s">
        <v>2614</v>
      </c>
      <c r="B80" s="100">
        <v>4.43</v>
      </c>
      <c r="C80" s="100">
        <v>21.91</v>
      </c>
      <c r="D80" s="100">
        <v>16.350000000000001</v>
      </c>
      <c r="E80" s="100">
        <v>15.8</v>
      </c>
      <c r="F80" s="152" t="s">
        <v>15</v>
      </c>
      <c r="G80" s="100">
        <v>47.91</v>
      </c>
      <c r="H80" s="100">
        <v>58.16</v>
      </c>
      <c r="I80" s="100">
        <v>6.44</v>
      </c>
      <c r="J80" s="100">
        <v>0.68</v>
      </c>
      <c r="K80" s="100">
        <v>45.08</v>
      </c>
      <c r="L80" s="100">
        <v>30.15</v>
      </c>
      <c r="M80" s="100">
        <v>20.88</v>
      </c>
      <c r="N80" s="100">
        <v>3.8</v>
      </c>
      <c r="O80" s="100">
        <v>0</v>
      </c>
      <c r="P80" s="100">
        <v>0.52</v>
      </c>
      <c r="Q80" s="100">
        <v>28.06</v>
      </c>
      <c r="R80" s="6"/>
      <c r="S80" s="6"/>
      <c r="T80" s="156"/>
      <c r="U80" s="6"/>
    </row>
    <row r="81" spans="1:21" customFormat="1">
      <c r="A81" s="163" t="s">
        <v>2615</v>
      </c>
      <c r="B81" s="100">
        <v>5.57</v>
      </c>
      <c r="C81" s="100">
        <v>22.59</v>
      </c>
      <c r="D81" s="100">
        <v>17.62</v>
      </c>
      <c r="E81" s="100">
        <v>11.5</v>
      </c>
      <c r="F81" s="152" t="s">
        <v>15</v>
      </c>
      <c r="G81" s="100">
        <v>47.91</v>
      </c>
      <c r="H81" s="100">
        <v>58.16</v>
      </c>
      <c r="I81" s="100">
        <v>6.9</v>
      </c>
      <c r="J81" s="100">
        <v>0.33</v>
      </c>
      <c r="K81" s="100">
        <v>54.93</v>
      </c>
      <c r="L81" s="100">
        <v>29.61</v>
      </c>
      <c r="M81" s="100">
        <v>22.43</v>
      </c>
      <c r="N81" s="100">
        <v>2</v>
      </c>
      <c r="O81" s="100">
        <v>0</v>
      </c>
      <c r="P81" s="100">
        <v>0.53</v>
      </c>
      <c r="Q81" s="100">
        <v>28.11</v>
      </c>
      <c r="R81" s="6"/>
      <c r="S81" s="6"/>
      <c r="T81" s="156"/>
      <c r="U81" s="6"/>
    </row>
    <row r="82" spans="1:21" customFormat="1">
      <c r="A82" s="163" t="s">
        <v>2616</v>
      </c>
      <c r="B82" s="100">
        <v>6.34</v>
      </c>
      <c r="C82" s="100">
        <v>23.06</v>
      </c>
      <c r="D82" s="100">
        <v>18.48</v>
      </c>
      <c r="E82" s="100">
        <v>11.55</v>
      </c>
      <c r="F82" s="152" t="s">
        <v>15</v>
      </c>
      <c r="G82" s="100">
        <v>47.91</v>
      </c>
      <c r="H82" s="100">
        <v>58.16</v>
      </c>
      <c r="I82" s="100">
        <v>7.88</v>
      </c>
      <c r="J82" s="100">
        <v>0.28000000000000003</v>
      </c>
      <c r="K82" s="100">
        <v>69.489999999999995</v>
      </c>
      <c r="L82" s="100">
        <v>28.59</v>
      </c>
      <c r="M82" s="100">
        <v>25.79</v>
      </c>
      <c r="N82" s="100">
        <v>1.4</v>
      </c>
      <c r="O82" s="100">
        <v>0</v>
      </c>
      <c r="P82" s="100">
        <v>0.46</v>
      </c>
      <c r="Q82" s="100">
        <v>28.13</v>
      </c>
      <c r="R82" s="6"/>
      <c r="S82" s="6"/>
      <c r="T82" s="156"/>
      <c r="U82" s="6"/>
    </row>
    <row r="83" spans="1:21" customFormat="1">
      <c r="A83" s="163" t="s">
        <v>2617</v>
      </c>
      <c r="B83" s="100">
        <v>6.8</v>
      </c>
      <c r="C83" s="100">
        <v>23.93</v>
      </c>
      <c r="D83" s="100">
        <v>19.309999999999999</v>
      </c>
      <c r="E83" s="100">
        <v>10.99</v>
      </c>
      <c r="F83" s="152" t="s">
        <v>15</v>
      </c>
      <c r="G83" s="100">
        <v>53.76</v>
      </c>
      <c r="H83" s="100">
        <v>50.56</v>
      </c>
      <c r="I83" s="100">
        <v>8.16</v>
      </c>
      <c r="J83" s="100">
        <v>0.34</v>
      </c>
      <c r="K83" s="100">
        <v>164.99</v>
      </c>
      <c r="L83" s="100">
        <v>27.34</v>
      </c>
      <c r="M83" s="100">
        <v>35.82</v>
      </c>
      <c r="N83" s="100">
        <v>2</v>
      </c>
      <c r="O83" s="100">
        <v>0</v>
      </c>
      <c r="P83" s="100">
        <v>0.47</v>
      </c>
      <c r="Q83" s="100">
        <v>28.13</v>
      </c>
      <c r="R83" s="6"/>
      <c r="S83" s="6"/>
      <c r="T83" s="156"/>
      <c r="U83" s="6"/>
    </row>
    <row r="84" spans="1:21" customFormat="1">
      <c r="A84" s="163" t="s">
        <v>2618</v>
      </c>
      <c r="B84" s="100">
        <v>7.13</v>
      </c>
      <c r="C84" s="100">
        <v>24.26</v>
      </c>
      <c r="D84" s="100">
        <v>19.75</v>
      </c>
      <c r="E84" s="100">
        <v>10.35</v>
      </c>
      <c r="F84" s="152" t="s">
        <v>15</v>
      </c>
      <c r="G84" s="100">
        <v>54.49</v>
      </c>
      <c r="H84" s="100">
        <v>50.56</v>
      </c>
      <c r="I84" s="100">
        <v>8.6999999999999993</v>
      </c>
      <c r="J84" s="100">
        <v>0.25</v>
      </c>
      <c r="K84" s="100">
        <v>206.05</v>
      </c>
      <c r="L84" s="100">
        <v>26.21</v>
      </c>
      <c r="M84" s="100">
        <v>39</v>
      </c>
      <c r="N84" s="100">
        <v>1.8</v>
      </c>
      <c r="O84" s="100">
        <v>0</v>
      </c>
      <c r="P84" s="100">
        <v>0.47</v>
      </c>
      <c r="Q84" s="100">
        <v>28.14</v>
      </c>
      <c r="R84" s="6"/>
      <c r="S84" s="6"/>
      <c r="T84" s="156"/>
      <c r="U84" s="6"/>
    </row>
    <row r="85" spans="1:21" customFormat="1">
      <c r="A85" s="163" t="s">
        <v>2619</v>
      </c>
      <c r="B85" s="100">
        <v>7.32</v>
      </c>
      <c r="C85" s="100">
        <v>24.45</v>
      </c>
      <c r="D85" s="100">
        <v>20</v>
      </c>
      <c r="E85" s="100">
        <v>10.38</v>
      </c>
      <c r="F85" s="152" t="s">
        <v>15</v>
      </c>
      <c r="G85" s="100">
        <v>54.49</v>
      </c>
      <c r="H85" s="100">
        <v>50.56</v>
      </c>
      <c r="I85" s="100">
        <v>8.9600000000000009</v>
      </c>
      <c r="J85" s="100">
        <v>0.19</v>
      </c>
      <c r="K85" s="100">
        <v>196.64</v>
      </c>
      <c r="L85" s="100">
        <v>25.5</v>
      </c>
      <c r="M85" s="100">
        <v>38.200000000000003</v>
      </c>
      <c r="N85" s="100">
        <v>1.5</v>
      </c>
      <c r="O85" s="100">
        <v>0</v>
      </c>
      <c r="P85" s="100">
        <v>0.49</v>
      </c>
      <c r="Q85" s="100">
        <v>28.16</v>
      </c>
      <c r="R85" s="6"/>
      <c r="S85" s="6"/>
      <c r="T85" s="156"/>
      <c r="U85" s="6"/>
    </row>
    <row r="86" spans="1:21" customFormat="1">
      <c r="A86" s="163" t="s">
        <v>2620</v>
      </c>
      <c r="B86" s="100">
        <v>7.32</v>
      </c>
      <c r="C86" s="100">
        <v>24.31</v>
      </c>
      <c r="D86" s="100">
        <v>19.920000000000002</v>
      </c>
      <c r="E86" s="100">
        <v>10.54</v>
      </c>
      <c r="F86" s="152" t="s">
        <v>15</v>
      </c>
      <c r="G86" s="100">
        <v>54.49</v>
      </c>
      <c r="H86" s="100">
        <v>50.56</v>
      </c>
      <c r="I86" s="100">
        <v>9.66</v>
      </c>
      <c r="J86" s="100">
        <v>0.19</v>
      </c>
      <c r="K86" s="100">
        <v>184.81</v>
      </c>
      <c r="L86" s="100">
        <v>25.2</v>
      </c>
      <c r="M86" s="100">
        <v>38.61</v>
      </c>
      <c r="N86" s="100">
        <v>1</v>
      </c>
      <c r="O86" s="100">
        <v>0</v>
      </c>
      <c r="P86" s="100">
        <v>0.5</v>
      </c>
      <c r="Q86" s="100">
        <v>28.13</v>
      </c>
      <c r="R86" s="6"/>
      <c r="S86" s="6"/>
      <c r="T86" s="156"/>
      <c r="U86" s="6"/>
    </row>
    <row r="87" spans="1:21" customFormat="1">
      <c r="A87" s="163" t="s">
        <v>2621</v>
      </c>
      <c r="B87" s="100">
        <v>7.18</v>
      </c>
      <c r="C87" s="100">
        <v>24.12</v>
      </c>
      <c r="D87" s="100">
        <v>19.71</v>
      </c>
      <c r="E87" s="100">
        <v>10.66</v>
      </c>
      <c r="F87" s="152" t="s">
        <v>15</v>
      </c>
      <c r="G87" s="100">
        <v>64.23</v>
      </c>
      <c r="H87" s="100">
        <v>47.66</v>
      </c>
      <c r="I87" s="100">
        <v>10.3</v>
      </c>
      <c r="J87" s="100">
        <v>0.16</v>
      </c>
      <c r="K87" s="100">
        <v>187.73</v>
      </c>
      <c r="L87" s="100">
        <v>24.77</v>
      </c>
      <c r="M87" s="100">
        <v>43.78</v>
      </c>
      <c r="N87" s="100">
        <v>1.1000000000000001</v>
      </c>
      <c r="O87" s="100">
        <v>0</v>
      </c>
      <c r="P87" s="100">
        <v>0.51</v>
      </c>
      <c r="Q87" s="100">
        <v>28.12</v>
      </c>
      <c r="R87" s="6"/>
      <c r="S87" s="6"/>
      <c r="T87" s="156"/>
      <c r="U87" s="6"/>
    </row>
    <row r="88" spans="1:21" customFormat="1">
      <c r="A88" s="163" t="s">
        <v>2622</v>
      </c>
      <c r="B88" s="100">
        <v>6.98</v>
      </c>
      <c r="C88" s="100">
        <v>23.86</v>
      </c>
      <c r="D88" s="100">
        <v>19.41</v>
      </c>
      <c r="E88" s="100">
        <v>11.25</v>
      </c>
      <c r="F88" s="152" t="s">
        <v>15</v>
      </c>
      <c r="G88" s="100">
        <v>65.45</v>
      </c>
      <c r="H88" s="100">
        <v>47.66</v>
      </c>
      <c r="I88" s="100">
        <v>10.4</v>
      </c>
      <c r="J88" s="100">
        <v>0.24</v>
      </c>
      <c r="K88" s="100">
        <v>159.33000000000001</v>
      </c>
      <c r="L88" s="100">
        <v>24.8</v>
      </c>
      <c r="M88" s="100">
        <v>40.51</v>
      </c>
      <c r="N88" s="100">
        <v>0.7</v>
      </c>
      <c r="O88" s="100">
        <v>0</v>
      </c>
      <c r="P88" s="100">
        <v>0.51</v>
      </c>
      <c r="Q88" s="100">
        <v>28.13</v>
      </c>
      <c r="R88" s="6"/>
      <c r="S88" s="6"/>
      <c r="T88" s="156"/>
      <c r="U88" s="6"/>
    </row>
    <row r="89" spans="1:21" customFormat="1">
      <c r="A89" s="163" t="s">
        <v>2623</v>
      </c>
      <c r="B89" s="100">
        <v>7.98</v>
      </c>
      <c r="C89" s="100">
        <v>23.76</v>
      </c>
      <c r="D89" s="100">
        <v>20.170000000000002</v>
      </c>
      <c r="E89" s="100">
        <v>11.34</v>
      </c>
      <c r="F89" s="152" t="s">
        <v>15</v>
      </c>
      <c r="G89" s="100">
        <v>65.45</v>
      </c>
      <c r="H89" s="100">
        <v>47.66</v>
      </c>
      <c r="I89" s="100">
        <v>10.36</v>
      </c>
      <c r="J89" s="100">
        <v>0.19</v>
      </c>
      <c r="K89" s="100">
        <v>159.19999999999999</v>
      </c>
      <c r="L89" s="100">
        <v>24.89</v>
      </c>
      <c r="M89" s="100">
        <v>41.27</v>
      </c>
      <c r="N89" s="100">
        <v>0.7</v>
      </c>
      <c r="O89" s="100">
        <v>0</v>
      </c>
      <c r="P89" s="100">
        <v>0.54</v>
      </c>
      <c r="Q89" s="100">
        <v>28.15</v>
      </c>
      <c r="R89" s="6"/>
      <c r="S89" s="6"/>
      <c r="T89" s="156"/>
      <c r="U89" s="6"/>
    </row>
    <row r="90" spans="1:21" customFormat="1">
      <c r="A90" s="163" t="s">
        <v>2624</v>
      </c>
      <c r="B90" s="100">
        <v>10.56</v>
      </c>
      <c r="C90" s="100">
        <v>24.1</v>
      </c>
      <c r="D90" s="100">
        <v>22.42</v>
      </c>
      <c r="E90" s="100">
        <v>11.42</v>
      </c>
      <c r="F90" s="152" t="s">
        <v>15</v>
      </c>
      <c r="G90" s="100">
        <v>65.45</v>
      </c>
      <c r="H90" s="100">
        <v>47.66</v>
      </c>
      <c r="I90" s="100">
        <v>10.31</v>
      </c>
      <c r="J90" s="100">
        <v>0.28000000000000003</v>
      </c>
      <c r="K90" s="100">
        <v>168.82</v>
      </c>
      <c r="L90" s="100">
        <v>24.32</v>
      </c>
      <c r="M90" s="100">
        <v>50.69</v>
      </c>
      <c r="N90" s="100">
        <v>1.4</v>
      </c>
      <c r="O90" s="100">
        <v>0</v>
      </c>
      <c r="P90" s="100">
        <v>0.56999999999999995</v>
      </c>
      <c r="Q90" s="100">
        <v>28.25</v>
      </c>
      <c r="R90" s="6"/>
      <c r="S90" s="6"/>
      <c r="T90" s="156"/>
      <c r="U90" s="6"/>
    </row>
    <row r="91" spans="1:21" customFormat="1">
      <c r="A91" s="163" t="s">
        <v>2625</v>
      </c>
      <c r="B91" s="100">
        <v>11.95</v>
      </c>
      <c r="C91" s="100">
        <v>24.54</v>
      </c>
      <c r="D91" s="100">
        <v>23.75</v>
      </c>
      <c r="E91" s="100">
        <v>11.51</v>
      </c>
      <c r="F91" s="152" t="s">
        <v>15</v>
      </c>
      <c r="G91" s="100">
        <v>77.989999999999995</v>
      </c>
      <c r="H91" s="100">
        <v>43.13</v>
      </c>
      <c r="I91" s="100">
        <v>10.32</v>
      </c>
      <c r="J91" s="100">
        <v>0.25</v>
      </c>
      <c r="K91" s="100">
        <v>186.59</v>
      </c>
      <c r="L91" s="100">
        <v>23.64</v>
      </c>
      <c r="M91" s="100">
        <v>47.01</v>
      </c>
      <c r="N91" s="100">
        <v>1.2</v>
      </c>
      <c r="O91" s="100">
        <v>0</v>
      </c>
      <c r="P91" s="100">
        <v>0.6</v>
      </c>
      <c r="Q91" s="100">
        <v>28.31</v>
      </c>
      <c r="R91" s="6"/>
      <c r="S91" s="6"/>
      <c r="T91" s="156"/>
      <c r="U91" s="6"/>
    </row>
    <row r="92" spans="1:21" customFormat="1">
      <c r="A92" s="163" t="s">
        <v>2626</v>
      </c>
      <c r="B92" s="100">
        <v>12.3</v>
      </c>
      <c r="C92" s="100">
        <v>25.31</v>
      </c>
      <c r="D92" s="100">
        <v>24.44</v>
      </c>
      <c r="E92" s="100">
        <v>11.65</v>
      </c>
      <c r="F92" s="152" t="s">
        <v>15</v>
      </c>
      <c r="G92" s="100">
        <v>79.55</v>
      </c>
      <c r="H92" s="100">
        <v>43.13</v>
      </c>
      <c r="I92" s="100">
        <v>10.42</v>
      </c>
      <c r="J92" s="100">
        <v>0.17</v>
      </c>
      <c r="K92" s="100">
        <v>198.21</v>
      </c>
      <c r="L92" s="100">
        <v>23.43</v>
      </c>
      <c r="M92" s="100">
        <v>44.39</v>
      </c>
      <c r="N92" s="100">
        <v>1.1000000000000001</v>
      </c>
      <c r="O92" s="100">
        <v>0</v>
      </c>
      <c r="P92" s="100">
        <v>0.6</v>
      </c>
      <c r="Q92" s="100">
        <v>28.33</v>
      </c>
      <c r="R92" s="6"/>
      <c r="S92" s="6"/>
      <c r="T92" s="156"/>
      <c r="U92" s="6"/>
    </row>
    <row r="93" spans="1:21" customFormat="1">
      <c r="A93" s="163" t="s">
        <v>2627</v>
      </c>
      <c r="B93" s="100">
        <v>13.1</v>
      </c>
      <c r="C93" s="100">
        <v>25.24</v>
      </c>
      <c r="D93" s="100">
        <v>25.04</v>
      </c>
      <c r="E93" s="100">
        <v>11.55</v>
      </c>
      <c r="F93" s="152" t="s">
        <v>15</v>
      </c>
      <c r="G93" s="100">
        <v>79.55</v>
      </c>
      <c r="H93" s="100">
        <v>43.13</v>
      </c>
      <c r="I93" s="100">
        <v>10.51</v>
      </c>
      <c r="J93" s="100">
        <v>0.25</v>
      </c>
      <c r="K93" s="100">
        <v>194.81</v>
      </c>
      <c r="L93" s="100">
        <v>23.35</v>
      </c>
      <c r="M93" s="100">
        <v>47.76</v>
      </c>
      <c r="N93" s="100">
        <v>1.1000000000000001</v>
      </c>
      <c r="O93" s="100">
        <v>0</v>
      </c>
      <c r="P93" s="100">
        <v>0.62</v>
      </c>
      <c r="Q93" s="100">
        <v>28.36</v>
      </c>
      <c r="R93" s="6"/>
      <c r="S93" s="6"/>
      <c r="T93" s="156"/>
      <c r="U93" s="6"/>
    </row>
    <row r="94" spans="1:21" customFormat="1">
      <c r="A94" s="163" t="s">
        <v>2628</v>
      </c>
      <c r="B94" s="100">
        <v>13.35</v>
      </c>
      <c r="C94" s="100">
        <v>25.93</v>
      </c>
      <c r="D94" s="100">
        <v>25.6</v>
      </c>
      <c r="E94" s="100">
        <v>11.75</v>
      </c>
      <c r="F94" s="152" t="s">
        <v>15</v>
      </c>
      <c r="G94" s="100">
        <v>79.55</v>
      </c>
      <c r="H94" s="100">
        <v>43.13</v>
      </c>
      <c r="I94" s="100">
        <v>10.52</v>
      </c>
      <c r="J94" s="100">
        <v>0.21</v>
      </c>
      <c r="K94" s="100">
        <v>220.23</v>
      </c>
      <c r="L94" s="100">
        <v>22.72</v>
      </c>
      <c r="M94" s="100">
        <v>48.77</v>
      </c>
      <c r="N94" s="100">
        <v>1.2</v>
      </c>
      <c r="O94" s="100">
        <v>0</v>
      </c>
      <c r="P94" s="100">
        <v>0.63</v>
      </c>
      <c r="Q94" s="100">
        <v>28.41</v>
      </c>
      <c r="R94" s="6"/>
      <c r="S94" s="6"/>
      <c r="T94" s="156"/>
      <c r="U94" s="6"/>
    </row>
    <row r="95" spans="1:21" customFormat="1">
      <c r="A95" s="163" t="s">
        <v>2629</v>
      </c>
      <c r="B95" s="100">
        <v>13.95</v>
      </c>
      <c r="C95" s="100">
        <v>25.34</v>
      </c>
      <c r="D95" s="100">
        <v>25.78</v>
      </c>
      <c r="E95" s="100">
        <v>11.67</v>
      </c>
      <c r="F95" s="152" t="s">
        <v>15</v>
      </c>
      <c r="G95" s="100">
        <v>85.79</v>
      </c>
      <c r="H95" s="100">
        <v>34</v>
      </c>
      <c r="I95" s="100">
        <v>10.49</v>
      </c>
      <c r="J95" s="100">
        <v>0.17</v>
      </c>
      <c r="K95" s="100">
        <v>209.55</v>
      </c>
      <c r="L95" s="100">
        <v>22.44</v>
      </c>
      <c r="M95" s="100">
        <v>50</v>
      </c>
      <c r="N95" s="100">
        <v>1</v>
      </c>
      <c r="O95" s="100">
        <v>0</v>
      </c>
      <c r="P95" s="100">
        <v>0.65</v>
      </c>
      <c r="Q95" s="100">
        <v>28.42</v>
      </c>
      <c r="R95" s="6"/>
      <c r="S95" s="6"/>
      <c r="T95" s="156"/>
      <c r="U95" s="6"/>
    </row>
    <row r="96" spans="1:21" customFormat="1">
      <c r="A96" s="163" t="s">
        <v>2630</v>
      </c>
      <c r="B96" s="100">
        <v>13.63</v>
      </c>
      <c r="C96" s="100">
        <v>25.4</v>
      </c>
      <c r="D96" s="100">
        <v>25.56</v>
      </c>
      <c r="E96" s="100">
        <v>11.53</v>
      </c>
      <c r="F96" s="152" t="s">
        <v>15</v>
      </c>
      <c r="G96" s="100">
        <v>86.57</v>
      </c>
      <c r="H96" s="100">
        <v>34</v>
      </c>
      <c r="I96" s="100">
        <v>10.44</v>
      </c>
      <c r="J96" s="100">
        <v>0.21</v>
      </c>
      <c r="K96" s="100">
        <v>174.77</v>
      </c>
      <c r="L96" s="100">
        <v>22.56</v>
      </c>
      <c r="M96" s="100">
        <v>50.8</v>
      </c>
      <c r="N96" s="100">
        <v>0.7</v>
      </c>
      <c r="O96" s="100">
        <v>0</v>
      </c>
      <c r="P96" s="100">
        <v>0.65</v>
      </c>
      <c r="Q96" s="100">
        <v>28.43</v>
      </c>
      <c r="R96" s="6"/>
      <c r="S96" s="6"/>
      <c r="T96" s="156"/>
      <c r="U96" s="6"/>
    </row>
    <row r="97" spans="1:28" customFormat="1">
      <c r="A97" s="163" t="s">
        <v>2631</v>
      </c>
      <c r="B97" s="100">
        <v>13.41</v>
      </c>
      <c r="C97" s="100">
        <v>25.3</v>
      </c>
      <c r="D97" s="100">
        <v>25.33</v>
      </c>
      <c r="E97" s="100">
        <v>11.7</v>
      </c>
      <c r="F97" s="152" t="s">
        <v>15</v>
      </c>
      <c r="G97" s="100">
        <v>86.57</v>
      </c>
      <c r="H97" s="100">
        <v>34</v>
      </c>
      <c r="I97" s="100">
        <v>10.41</v>
      </c>
      <c r="J97" s="100">
        <v>0.22</v>
      </c>
      <c r="K97" s="100">
        <v>187.57</v>
      </c>
      <c r="L97" s="100">
        <v>22.11</v>
      </c>
      <c r="M97" s="100">
        <v>58.13</v>
      </c>
      <c r="N97" s="100">
        <v>1.1000000000000001</v>
      </c>
      <c r="O97" s="100">
        <v>0</v>
      </c>
      <c r="P97" s="100">
        <v>0.66</v>
      </c>
      <c r="Q97" s="100">
        <v>28.42</v>
      </c>
      <c r="R97" s="6"/>
      <c r="S97" s="6"/>
      <c r="T97" s="156"/>
      <c r="U97" s="6"/>
    </row>
    <row r="98" spans="1:28" customFormat="1">
      <c r="A98" s="163" t="s">
        <v>2632</v>
      </c>
      <c r="B98" s="100">
        <v>13.4</v>
      </c>
      <c r="C98" s="100">
        <v>24.81</v>
      </c>
      <c r="D98" s="100">
        <v>25.06</v>
      </c>
      <c r="E98" s="100">
        <v>11.63</v>
      </c>
      <c r="F98" s="152" t="s">
        <v>15</v>
      </c>
      <c r="G98" s="100">
        <v>86.57</v>
      </c>
      <c r="H98" s="100">
        <v>34</v>
      </c>
      <c r="I98" s="100">
        <v>10.39</v>
      </c>
      <c r="J98" s="100">
        <v>0.16</v>
      </c>
      <c r="K98" s="100">
        <v>184.99</v>
      </c>
      <c r="L98" s="100">
        <v>21.97</v>
      </c>
      <c r="M98" s="100">
        <v>53.46</v>
      </c>
      <c r="N98" s="100">
        <v>0.8</v>
      </c>
      <c r="O98" s="100">
        <v>0</v>
      </c>
      <c r="P98" s="100">
        <v>0.67</v>
      </c>
      <c r="Q98" s="100">
        <v>28.41</v>
      </c>
      <c r="R98" s="6"/>
      <c r="S98" s="6"/>
      <c r="T98" s="156"/>
      <c r="U98" s="6"/>
    </row>
    <row r="99" spans="1:28" customFormat="1">
      <c r="A99" s="163" t="s">
        <v>2633</v>
      </c>
      <c r="B99" s="100">
        <v>13.19</v>
      </c>
      <c r="C99" s="100">
        <v>24.64</v>
      </c>
      <c r="D99" s="100">
        <v>24.8</v>
      </c>
      <c r="E99" s="100">
        <v>11.72</v>
      </c>
      <c r="F99" s="152" t="s">
        <v>15</v>
      </c>
      <c r="G99" s="100">
        <v>86.29</v>
      </c>
      <c r="H99" s="100">
        <v>29.31</v>
      </c>
      <c r="I99" s="100">
        <v>10.4</v>
      </c>
      <c r="J99" s="100">
        <v>0.23</v>
      </c>
      <c r="K99" s="100">
        <v>196.62</v>
      </c>
      <c r="L99" s="100">
        <v>21.75</v>
      </c>
      <c r="M99" s="100">
        <v>58.38</v>
      </c>
      <c r="N99" s="100">
        <v>1</v>
      </c>
      <c r="O99" s="100">
        <v>0</v>
      </c>
      <c r="P99" s="100">
        <v>0.68</v>
      </c>
      <c r="Q99" s="100">
        <v>28.4</v>
      </c>
      <c r="R99" s="6"/>
      <c r="S99" s="6"/>
      <c r="T99" s="156"/>
      <c r="U99" s="6"/>
    </row>
    <row r="100" spans="1:28" customFormat="1">
      <c r="A100" s="163" t="s">
        <v>2634</v>
      </c>
      <c r="B100" s="100">
        <v>13.14</v>
      </c>
      <c r="C100" s="100">
        <v>24.52</v>
      </c>
      <c r="D100" s="100">
        <v>24.7</v>
      </c>
      <c r="E100" s="100">
        <v>11.75</v>
      </c>
      <c r="F100" s="152" t="s">
        <v>15</v>
      </c>
      <c r="G100" s="100">
        <v>86.26</v>
      </c>
      <c r="H100" s="100">
        <v>29.31</v>
      </c>
      <c r="I100" s="100">
        <v>10.45</v>
      </c>
      <c r="J100" s="100">
        <v>0.24</v>
      </c>
      <c r="K100" s="100">
        <v>196.67</v>
      </c>
      <c r="L100" s="100">
        <v>21.19</v>
      </c>
      <c r="M100" s="100">
        <v>58.22</v>
      </c>
      <c r="N100" s="100">
        <v>1.2</v>
      </c>
      <c r="O100" s="100">
        <v>0</v>
      </c>
      <c r="P100" s="100">
        <v>0.7</v>
      </c>
      <c r="Q100" s="100">
        <v>28.38</v>
      </c>
      <c r="R100" s="6"/>
      <c r="S100" s="6"/>
      <c r="T100" s="156"/>
      <c r="U100" s="6"/>
      <c r="AB100" s="161"/>
    </row>
    <row r="101" spans="1:28" customFormat="1">
      <c r="A101" s="163" t="s">
        <v>2635</v>
      </c>
      <c r="B101" s="100">
        <v>13.73</v>
      </c>
      <c r="C101" s="100">
        <v>23.52</v>
      </c>
      <c r="D101" s="100">
        <v>24.65</v>
      </c>
      <c r="E101" s="100">
        <v>11.93</v>
      </c>
      <c r="F101" s="152" t="s">
        <v>15</v>
      </c>
      <c r="G101" s="100">
        <v>86.26</v>
      </c>
      <c r="H101" s="100">
        <v>29.31</v>
      </c>
      <c r="I101" s="100">
        <v>10.52</v>
      </c>
      <c r="J101" s="100">
        <v>0.16</v>
      </c>
      <c r="K101" s="100">
        <v>174.37</v>
      </c>
      <c r="L101" s="100">
        <v>21.24</v>
      </c>
      <c r="M101" s="100">
        <v>56.33</v>
      </c>
      <c r="N101" s="100">
        <v>0.7</v>
      </c>
      <c r="O101" s="100">
        <v>0</v>
      </c>
      <c r="P101" s="100">
        <v>0.71</v>
      </c>
      <c r="Q101" s="100">
        <v>28.39</v>
      </c>
      <c r="R101" s="6"/>
      <c r="S101" s="6"/>
      <c r="T101" s="156"/>
      <c r="U101" s="6"/>
    </row>
    <row r="102" spans="1:28" customFormat="1">
      <c r="A102" s="163" t="s">
        <v>2636</v>
      </c>
      <c r="B102" s="100">
        <v>13.83</v>
      </c>
      <c r="C102" s="100">
        <v>23.87</v>
      </c>
      <c r="D102" s="100">
        <v>24.91</v>
      </c>
      <c r="E102" s="100">
        <v>11.93</v>
      </c>
      <c r="F102" s="152" t="s">
        <v>15</v>
      </c>
      <c r="G102" s="100">
        <v>86.26</v>
      </c>
      <c r="H102" s="100">
        <v>29.31</v>
      </c>
      <c r="I102" s="100">
        <v>10.57</v>
      </c>
      <c r="J102" s="100">
        <v>0.13</v>
      </c>
      <c r="K102" s="100">
        <v>206.84</v>
      </c>
      <c r="L102" s="100">
        <v>21.29</v>
      </c>
      <c r="M102" s="100">
        <v>53.95</v>
      </c>
      <c r="N102" s="100">
        <v>0.6</v>
      </c>
      <c r="O102" s="100">
        <v>0</v>
      </c>
      <c r="P102" s="100">
        <v>0.74</v>
      </c>
      <c r="Q102" s="100">
        <v>28.43</v>
      </c>
      <c r="R102" s="6"/>
      <c r="S102" s="6"/>
      <c r="T102" s="156"/>
      <c r="U102" s="6"/>
    </row>
    <row r="103" spans="1:28" customFormat="1">
      <c r="A103" s="163" t="s">
        <v>2637</v>
      </c>
      <c r="B103" s="100">
        <v>14.67</v>
      </c>
      <c r="C103" s="100">
        <v>23.99</v>
      </c>
      <c r="D103" s="100">
        <v>25.65</v>
      </c>
      <c r="E103" s="100">
        <v>11.49</v>
      </c>
      <c r="F103" s="152" t="s">
        <v>15</v>
      </c>
      <c r="G103" s="100">
        <v>84.65</v>
      </c>
      <c r="H103" s="100">
        <v>25.1</v>
      </c>
      <c r="I103" s="100">
        <v>10.6</v>
      </c>
      <c r="J103" s="100">
        <v>0.22</v>
      </c>
      <c r="K103" s="100">
        <v>160.97999999999999</v>
      </c>
      <c r="L103" s="100">
        <v>21.19</v>
      </c>
      <c r="M103" s="100">
        <v>57.51</v>
      </c>
      <c r="N103" s="100">
        <v>0.9</v>
      </c>
      <c r="O103" s="100">
        <v>0</v>
      </c>
      <c r="P103" s="100">
        <v>0.78</v>
      </c>
      <c r="Q103" s="100">
        <v>28.48</v>
      </c>
      <c r="R103" s="6"/>
      <c r="S103" s="6"/>
      <c r="T103" s="156"/>
      <c r="U103" s="6"/>
    </row>
    <row r="104" spans="1:28" customFormat="1">
      <c r="A104" s="163" t="s">
        <v>2638</v>
      </c>
      <c r="B104" s="100">
        <v>16.55</v>
      </c>
      <c r="C104" s="100">
        <v>23.95</v>
      </c>
      <c r="D104" s="100">
        <v>27.13</v>
      </c>
      <c r="E104" s="100">
        <v>11.47</v>
      </c>
      <c r="F104" s="152" t="s">
        <v>15</v>
      </c>
      <c r="G104" s="100">
        <v>84.45</v>
      </c>
      <c r="H104" s="100">
        <v>25.1</v>
      </c>
      <c r="I104" s="100">
        <v>10.71</v>
      </c>
      <c r="J104" s="100">
        <v>0.23</v>
      </c>
      <c r="K104" s="100">
        <v>160.34</v>
      </c>
      <c r="L104" s="100">
        <v>21.07</v>
      </c>
      <c r="M104" s="100">
        <v>60.38</v>
      </c>
      <c r="N104" s="100">
        <v>0.9</v>
      </c>
      <c r="O104" s="100">
        <v>0</v>
      </c>
      <c r="P104" s="100">
        <v>0.8</v>
      </c>
      <c r="Q104" s="100">
        <v>28.56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-5.51</v>
      </c>
      <c r="C106" s="158">
        <f>MIN(C9:C104)</f>
        <v>2.76</v>
      </c>
      <c r="D106" s="158">
        <f t="shared" ref="D106:Q106" si="0">MIN(D9:D104)</f>
        <v>-1.63</v>
      </c>
      <c r="E106" s="158">
        <f t="shared" si="0"/>
        <v>3.23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6.3</v>
      </c>
      <c r="J106" s="158">
        <f t="shared" si="0"/>
        <v>0.06</v>
      </c>
      <c r="K106" s="158">
        <f t="shared" si="0"/>
        <v>11.15</v>
      </c>
      <c r="L106" s="158">
        <f t="shared" si="0"/>
        <v>16.22</v>
      </c>
      <c r="M106" s="158">
        <f t="shared" si="0"/>
        <v>14.72</v>
      </c>
      <c r="N106" s="158">
        <f t="shared" si="0"/>
        <v>0.1</v>
      </c>
      <c r="O106" s="158">
        <f t="shared" si="0"/>
        <v>0</v>
      </c>
      <c r="P106" s="158">
        <f t="shared" si="0"/>
        <v>0.21</v>
      </c>
      <c r="Q106" s="158">
        <f t="shared" si="0"/>
        <v>10.91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667.28</v>
      </c>
      <c r="C107" s="157">
        <f t="shared" ref="C107:Q107" si="1">MAX(C9:C104)</f>
        <v>51.69</v>
      </c>
      <c r="D107" s="157">
        <f t="shared" si="1"/>
        <v>563.47</v>
      </c>
      <c r="E107" s="157">
        <f t="shared" si="1"/>
        <v>927.12</v>
      </c>
      <c r="F107" s="157">
        <f t="shared" si="1"/>
        <v>0</v>
      </c>
      <c r="G107" s="157">
        <f t="shared" si="1"/>
        <v>114.07</v>
      </c>
      <c r="H107" s="157">
        <f t="shared" si="1"/>
        <v>72.55</v>
      </c>
      <c r="I107" s="157">
        <f t="shared" si="1"/>
        <v>14.76</v>
      </c>
      <c r="J107" s="157">
        <f t="shared" si="1"/>
        <v>1.75</v>
      </c>
      <c r="K107" s="157">
        <f t="shared" si="1"/>
        <v>333.33</v>
      </c>
      <c r="L107" s="157">
        <f t="shared" si="1"/>
        <v>34.61</v>
      </c>
      <c r="M107" s="157">
        <f t="shared" si="1"/>
        <v>75.92</v>
      </c>
      <c r="N107" s="157">
        <f t="shared" si="1"/>
        <v>368.7</v>
      </c>
      <c r="O107" s="157">
        <f t="shared" si="1"/>
        <v>0</v>
      </c>
      <c r="P107" s="157">
        <f t="shared" si="1"/>
        <v>6.23</v>
      </c>
      <c r="Q107" s="157">
        <f t="shared" si="1"/>
        <v>28.56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25.423333333333332</v>
      </c>
      <c r="C108" s="158">
        <f t="shared" ref="C108:Q108" si="2">AVERAGE(C9:C104)</f>
        <v>26.16364583333333</v>
      </c>
      <c r="D108" s="158">
        <f t="shared" si="2"/>
        <v>35.408125000000005</v>
      </c>
      <c r="E108" s="158">
        <f t="shared" si="2"/>
        <v>23.796250000000001</v>
      </c>
      <c r="F108" s="158" t="e">
        <f t="shared" si="2"/>
        <v>#DIV/0!</v>
      </c>
      <c r="G108" s="158">
        <f t="shared" si="2"/>
        <v>72.087604166666637</v>
      </c>
      <c r="H108" s="158">
        <f t="shared" si="2"/>
        <v>25.211979166666669</v>
      </c>
      <c r="I108" s="158">
        <f t="shared" si="2"/>
        <v>11.146458333333328</v>
      </c>
      <c r="J108" s="158">
        <f t="shared" si="2"/>
        <v>0.5675</v>
      </c>
      <c r="K108" s="158">
        <f t="shared" si="2"/>
        <v>117.85479166666666</v>
      </c>
      <c r="L108" s="158">
        <f t="shared" si="2"/>
        <v>24.801666666666666</v>
      </c>
      <c r="M108" s="158">
        <f t="shared" si="2"/>
        <v>42.083229166666662</v>
      </c>
      <c r="N108" s="158">
        <f t="shared" si="2"/>
        <v>94.659375000000082</v>
      </c>
      <c r="O108" s="158">
        <f t="shared" si="2"/>
        <v>0</v>
      </c>
      <c r="P108" s="158">
        <f t="shared" si="2"/>
        <v>0.88802083333333293</v>
      </c>
      <c r="Q108" s="158">
        <f t="shared" si="2"/>
        <v>19.663125000000019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66.931897417672417</v>
      </c>
      <c r="C109" s="158">
        <f t="shared" ref="C109:Q109" si="3">STDEV(C9:C104)</f>
        <v>6.7768340876985542</v>
      </c>
      <c r="D109" s="158">
        <f t="shared" si="3"/>
        <v>55.252227739083779</v>
      </c>
      <c r="E109" s="158">
        <f t="shared" si="3"/>
        <v>93.325445159455455</v>
      </c>
      <c r="F109" s="158" t="e">
        <f t="shared" si="3"/>
        <v>#DIV/0!</v>
      </c>
      <c r="G109" s="158">
        <f t="shared" si="3"/>
        <v>23.765748805893612</v>
      </c>
      <c r="H109" s="158">
        <f t="shared" si="3"/>
        <v>16.966167487077374</v>
      </c>
      <c r="I109" s="158">
        <f t="shared" si="3"/>
        <v>2.4855862293448845</v>
      </c>
      <c r="J109" s="158">
        <f t="shared" si="3"/>
        <v>0.4564185521391983</v>
      </c>
      <c r="K109" s="158">
        <f t="shared" si="3"/>
        <v>74.582404979912823</v>
      </c>
      <c r="L109" s="158">
        <f t="shared" si="3"/>
        <v>6.1099378352710874</v>
      </c>
      <c r="M109" s="158">
        <f t="shared" si="3"/>
        <v>19.952671025245422</v>
      </c>
      <c r="N109" s="158">
        <f t="shared" si="3"/>
        <v>139.47553913302278</v>
      </c>
      <c r="O109" s="158">
        <f t="shared" si="3"/>
        <v>0</v>
      </c>
      <c r="P109" s="158">
        <f t="shared" si="3"/>
        <v>0.6321569088890362</v>
      </c>
      <c r="Q109" s="158">
        <f t="shared" si="3"/>
        <v>6.6620680071264928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K96" sqref="K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28/02/2025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2639</v>
      </c>
      <c r="B9" s="100">
        <v>19.239999999999998</v>
      </c>
      <c r="C9" s="100">
        <v>24</v>
      </c>
      <c r="D9" s="100">
        <v>29.32</v>
      </c>
      <c r="E9" s="100">
        <v>11.27</v>
      </c>
      <c r="F9" s="152" t="s">
        <v>15</v>
      </c>
      <c r="G9" s="100">
        <v>84.45</v>
      </c>
      <c r="H9" s="100">
        <v>25.1</v>
      </c>
      <c r="I9" s="100">
        <v>10.79</v>
      </c>
      <c r="J9" s="100">
        <v>0.19</v>
      </c>
      <c r="K9" s="100">
        <v>162.16</v>
      </c>
      <c r="L9" s="100">
        <v>20.66</v>
      </c>
      <c r="M9" s="100">
        <v>62.28</v>
      </c>
      <c r="N9" s="100">
        <v>1</v>
      </c>
      <c r="O9" s="100">
        <v>0</v>
      </c>
      <c r="P9" s="100">
        <v>0.81</v>
      </c>
      <c r="Q9" s="100">
        <v>28.64</v>
      </c>
      <c r="R9" s="6"/>
      <c r="S9" s="6"/>
      <c r="T9" s="156"/>
      <c r="U9" s="6"/>
    </row>
    <row r="10" spans="1:21" customFormat="1">
      <c r="A10" s="163" t="s">
        <v>2640</v>
      </c>
      <c r="B10" s="100">
        <v>21.47</v>
      </c>
      <c r="C10" s="100">
        <v>23.81</v>
      </c>
      <c r="D10" s="100">
        <v>31.01</v>
      </c>
      <c r="E10" s="100">
        <v>12.18</v>
      </c>
      <c r="F10" s="152" t="s">
        <v>15</v>
      </c>
      <c r="G10" s="100">
        <v>84.45</v>
      </c>
      <c r="H10" s="100">
        <v>25.1</v>
      </c>
      <c r="I10" s="100">
        <v>10.86</v>
      </c>
      <c r="J10" s="100">
        <v>0.12</v>
      </c>
      <c r="K10" s="100">
        <v>154</v>
      </c>
      <c r="L10" s="100">
        <v>20.62</v>
      </c>
      <c r="M10" s="100">
        <v>59.4</v>
      </c>
      <c r="N10" s="100">
        <v>0.8</v>
      </c>
      <c r="O10" s="100">
        <v>0</v>
      </c>
      <c r="P10" s="100">
        <v>0.84</v>
      </c>
      <c r="Q10" s="100">
        <v>28.76</v>
      </c>
      <c r="R10" s="6"/>
      <c r="S10" s="6"/>
      <c r="T10" s="156"/>
      <c r="U10" s="6"/>
    </row>
    <row r="11" spans="1:21" customFormat="1">
      <c r="A11" s="163" t="s">
        <v>2641</v>
      </c>
      <c r="B11" s="100">
        <v>24.52</v>
      </c>
      <c r="C11" s="100">
        <v>23.81</v>
      </c>
      <c r="D11" s="100">
        <v>33.450000000000003</v>
      </c>
      <c r="E11" s="100">
        <v>12.12</v>
      </c>
      <c r="F11" s="152" t="s">
        <v>15</v>
      </c>
      <c r="G11" s="100">
        <v>88.18</v>
      </c>
      <c r="H11" s="100">
        <v>26.78</v>
      </c>
      <c r="I11" s="100">
        <v>10.96</v>
      </c>
      <c r="J11" s="100">
        <v>0.08</v>
      </c>
      <c r="K11" s="100">
        <v>111.36</v>
      </c>
      <c r="L11" s="100">
        <v>21.01</v>
      </c>
      <c r="M11" s="100">
        <v>55.91</v>
      </c>
      <c r="N11" s="100">
        <v>0.6</v>
      </c>
      <c r="O11" s="100">
        <v>0</v>
      </c>
      <c r="P11" s="100">
        <v>0.85</v>
      </c>
      <c r="Q11" s="100">
        <v>28.86</v>
      </c>
      <c r="R11" s="6"/>
      <c r="S11" s="6"/>
      <c r="T11" s="156"/>
      <c r="U11" s="6"/>
    </row>
    <row r="12" spans="1:21" customFormat="1">
      <c r="A12" s="163" t="s">
        <v>2642</v>
      </c>
      <c r="B12" s="100">
        <v>27.53</v>
      </c>
      <c r="C12" s="100">
        <v>24.11</v>
      </c>
      <c r="D12" s="100">
        <v>36.03</v>
      </c>
      <c r="E12" s="100">
        <v>12.02</v>
      </c>
      <c r="F12" s="152" t="s">
        <v>15</v>
      </c>
      <c r="G12" s="100">
        <v>88.65</v>
      </c>
      <c r="H12" s="100">
        <v>26.78</v>
      </c>
      <c r="I12" s="100">
        <v>11.08</v>
      </c>
      <c r="J12" s="100">
        <v>0.24</v>
      </c>
      <c r="K12" s="100">
        <v>196.63</v>
      </c>
      <c r="L12" s="100">
        <v>20.57</v>
      </c>
      <c r="M12" s="100">
        <v>61.98</v>
      </c>
      <c r="N12" s="100">
        <v>1.3</v>
      </c>
      <c r="O12" s="100">
        <v>0</v>
      </c>
      <c r="P12" s="100">
        <v>0.86</v>
      </c>
      <c r="Q12" s="100">
        <v>28.99</v>
      </c>
      <c r="R12" s="6"/>
      <c r="S12" s="6"/>
      <c r="T12" s="156"/>
      <c r="U12" s="6"/>
    </row>
    <row r="13" spans="1:21" customFormat="1">
      <c r="A13" s="163" t="s">
        <v>2643</v>
      </c>
      <c r="B13" s="100">
        <v>29.65</v>
      </c>
      <c r="C13" s="100">
        <v>24.18</v>
      </c>
      <c r="D13" s="100">
        <v>37.76</v>
      </c>
      <c r="E13" s="100">
        <v>12</v>
      </c>
      <c r="F13" s="152" t="s">
        <v>15</v>
      </c>
      <c r="G13" s="100">
        <v>88.65</v>
      </c>
      <c r="H13" s="100">
        <v>26.78</v>
      </c>
      <c r="I13" s="100">
        <v>11.22</v>
      </c>
      <c r="J13" s="100">
        <v>0.21</v>
      </c>
      <c r="K13" s="100">
        <v>199.39</v>
      </c>
      <c r="L13" s="100">
        <v>19.829999999999998</v>
      </c>
      <c r="M13" s="100">
        <v>64.209999999999994</v>
      </c>
      <c r="N13" s="100">
        <v>1.3</v>
      </c>
      <c r="O13" s="100">
        <v>0</v>
      </c>
      <c r="P13" s="100">
        <v>0.87</v>
      </c>
      <c r="Q13" s="100">
        <v>29.11</v>
      </c>
      <c r="R13" s="6"/>
      <c r="S13" s="6"/>
      <c r="T13" s="156"/>
      <c r="U13" s="6"/>
    </row>
    <row r="14" spans="1:21" customFormat="1">
      <c r="A14" s="163" t="s">
        <v>2644</v>
      </c>
      <c r="B14" s="100">
        <v>31.23</v>
      </c>
      <c r="C14" s="100">
        <v>23.75</v>
      </c>
      <c r="D14" s="100">
        <v>38.81</v>
      </c>
      <c r="E14" s="100">
        <v>12.12</v>
      </c>
      <c r="F14" s="152" t="s">
        <v>15</v>
      </c>
      <c r="G14" s="100">
        <v>88.65</v>
      </c>
      <c r="H14" s="100">
        <v>26.78</v>
      </c>
      <c r="I14" s="100">
        <v>11.36</v>
      </c>
      <c r="J14" s="100">
        <v>0.18</v>
      </c>
      <c r="K14" s="100">
        <v>162.47</v>
      </c>
      <c r="L14" s="100">
        <v>19.5</v>
      </c>
      <c r="M14" s="100">
        <v>65.42</v>
      </c>
      <c r="N14" s="100">
        <v>1.2</v>
      </c>
      <c r="O14" s="100">
        <v>0</v>
      </c>
      <c r="P14" s="100">
        <v>0.88</v>
      </c>
      <c r="Q14" s="100">
        <v>29.17</v>
      </c>
      <c r="R14" s="6"/>
      <c r="S14" s="6"/>
      <c r="T14" s="156"/>
      <c r="U14" s="6"/>
    </row>
    <row r="15" spans="1:21" customFormat="1">
      <c r="A15" s="163" t="s">
        <v>2645</v>
      </c>
      <c r="B15" s="100">
        <v>31.97</v>
      </c>
      <c r="C15" s="100">
        <v>23.59</v>
      </c>
      <c r="D15" s="100">
        <v>39.31</v>
      </c>
      <c r="E15" s="100">
        <v>12.33</v>
      </c>
      <c r="F15" s="152" t="s">
        <v>15</v>
      </c>
      <c r="G15" s="100">
        <v>90.61</v>
      </c>
      <c r="H15" s="100">
        <v>25.5</v>
      </c>
      <c r="I15" s="100">
        <v>11.46</v>
      </c>
      <c r="J15" s="100">
        <v>0.16</v>
      </c>
      <c r="K15" s="100">
        <v>200.69</v>
      </c>
      <c r="L15" s="100">
        <v>19.260000000000002</v>
      </c>
      <c r="M15" s="100">
        <v>66.290000000000006</v>
      </c>
      <c r="N15" s="100">
        <v>1.1000000000000001</v>
      </c>
      <c r="O15" s="100">
        <v>0</v>
      </c>
      <c r="P15" s="100">
        <v>0.89</v>
      </c>
      <c r="Q15" s="100">
        <v>29.17</v>
      </c>
      <c r="R15" s="6"/>
      <c r="S15" s="6"/>
      <c r="T15" s="156"/>
      <c r="U15" s="6"/>
    </row>
    <row r="16" spans="1:21" customFormat="1">
      <c r="A16" s="163" t="s">
        <v>2646</v>
      </c>
      <c r="B16" s="100">
        <v>32.049999999999997</v>
      </c>
      <c r="C16" s="100">
        <v>23.25</v>
      </c>
      <c r="D16" s="100">
        <v>39.200000000000003</v>
      </c>
      <c r="E16" s="100">
        <v>12.22</v>
      </c>
      <c r="F16" s="152" t="s">
        <v>15</v>
      </c>
      <c r="G16" s="100">
        <v>90.86</v>
      </c>
      <c r="H16" s="100">
        <v>25.5</v>
      </c>
      <c r="I16" s="100">
        <v>11.5</v>
      </c>
      <c r="J16" s="100">
        <v>0.18</v>
      </c>
      <c r="K16" s="100">
        <v>160.47999999999999</v>
      </c>
      <c r="L16" s="100">
        <v>19.22</v>
      </c>
      <c r="M16" s="100">
        <v>68.62</v>
      </c>
      <c r="N16" s="100">
        <v>0.9</v>
      </c>
      <c r="O16" s="100">
        <v>0</v>
      </c>
      <c r="P16" s="100">
        <v>0.9</v>
      </c>
      <c r="Q16" s="100">
        <v>29.19</v>
      </c>
      <c r="R16" s="6"/>
      <c r="S16" s="6"/>
      <c r="T16" s="156"/>
      <c r="U16" s="6"/>
    </row>
    <row r="17" spans="1:21" customFormat="1">
      <c r="A17" s="163" t="s">
        <v>2647</v>
      </c>
      <c r="B17" s="100">
        <v>32.17</v>
      </c>
      <c r="C17" s="100">
        <v>23.27</v>
      </c>
      <c r="D17" s="100">
        <v>39.31</v>
      </c>
      <c r="E17" s="100">
        <v>8.8800000000000008</v>
      </c>
      <c r="F17" s="152" t="s">
        <v>15</v>
      </c>
      <c r="G17" s="100">
        <v>90.86</v>
      </c>
      <c r="H17" s="100">
        <v>25.5</v>
      </c>
      <c r="I17" s="100">
        <v>11.57</v>
      </c>
      <c r="J17" s="100">
        <v>0.18</v>
      </c>
      <c r="K17" s="100">
        <v>153.61000000000001</v>
      </c>
      <c r="L17" s="100">
        <v>19.38</v>
      </c>
      <c r="M17" s="100">
        <v>66</v>
      </c>
      <c r="N17" s="100">
        <v>0.7</v>
      </c>
      <c r="O17" s="100">
        <v>0</v>
      </c>
      <c r="P17" s="100">
        <v>0.92</v>
      </c>
      <c r="Q17" s="100">
        <v>29.19</v>
      </c>
      <c r="R17" s="6"/>
      <c r="S17" s="6"/>
      <c r="T17" s="156"/>
      <c r="U17" s="6"/>
    </row>
    <row r="18" spans="1:21" customFormat="1">
      <c r="A18" s="163" t="s">
        <v>2648</v>
      </c>
      <c r="B18" s="100">
        <v>32.630000000000003</v>
      </c>
      <c r="C18" s="100">
        <v>23.1</v>
      </c>
      <c r="D18" s="100">
        <v>39.590000000000003</v>
      </c>
      <c r="E18" s="100">
        <v>9.93</v>
      </c>
      <c r="F18" s="152" t="s">
        <v>15</v>
      </c>
      <c r="G18" s="100">
        <v>90.86</v>
      </c>
      <c r="H18" s="100">
        <v>25.5</v>
      </c>
      <c r="I18" s="100">
        <v>11.67</v>
      </c>
      <c r="J18" s="100">
        <v>0.25</v>
      </c>
      <c r="K18" s="100">
        <v>201.55</v>
      </c>
      <c r="L18" s="100">
        <v>19</v>
      </c>
      <c r="M18" s="100">
        <v>70.23</v>
      </c>
      <c r="N18" s="100">
        <v>1.2</v>
      </c>
      <c r="O18" s="100">
        <v>0</v>
      </c>
      <c r="P18" s="100">
        <v>0.93</v>
      </c>
      <c r="Q18" s="100">
        <v>29.24</v>
      </c>
      <c r="R18" s="6"/>
      <c r="S18" s="6"/>
      <c r="T18" s="156"/>
      <c r="U18" s="6"/>
    </row>
    <row r="19" spans="1:21" customFormat="1">
      <c r="A19" s="163" t="s">
        <v>2649</v>
      </c>
      <c r="B19" s="100">
        <v>32.96</v>
      </c>
      <c r="C19" s="100">
        <v>22.74</v>
      </c>
      <c r="D19" s="100">
        <v>39.67</v>
      </c>
      <c r="E19" s="100">
        <v>10.07</v>
      </c>
      <c r="F19" s="152" t="s">
        <v>15</v>
      </c>
      <c r="G19" s="100">
        <v>86.36</v>
      </c>
      <c r="H19" s="100">
        <v>26.53</v>
      </c>
      <c r="I19" s="100">
        <v>11.81</v>
      </c>
      <c r="J19" s="100">
        <v>0.32</v>
      </c>
      <c r="K19" s="100">
        <v>182.71</v>
      </c>
      <c r="L19" s="100">
        <v>18.59</v>
      </c>
      <c r="M19" s="100">
        <v>67.33</v>
      </c>
      <c r="N19" s="100">
        <v>1.2</v>
      </c>
      <c r="O19" s="100">
        <v>0</v>
      </c>
      <c r="P19" s="100">
        <v>0.95</v>
      </c>
      <c r="Q19" s="100">
        <v>29.27</v>
      </c>
      <c r="R19" s="6"/>
      <c r="S19" s="6"/>
      <c r="T19" s="156"/>
      <c r="U19" s="6"/>
    </row>
    <row r="20" spans="1:21" customFormat="1">
      <c r="A20" s="163" t="s">
        <v>2650</v>
      </c>
      <c r="B20" s="100">
        <v>33.06</v>
      </c>
      <c r="C20" s="100">
        <v>22.3</v>
      </c>
      <c r="D20" s="100">
        <v>39.51</v>
      </c>
      <c r="E20" s="100">
        <v>9.84</v>
      </c>
      <c r="F20" s="152" t="s">
        <v>15</v>
      </c>
      <c r="G20" s="100">
        <v>85.79</v>
      </c>
      <c r="H20" s="100">
        <v>26.53</v>
      </c>
      <c r="I20" s="100">
        <v>12.02</v>
      </c>
      <c r="J20" s="100">
        <v>0.16</v>
      </c>
      <c r="K20" s="100">
        <v>205.19</v>
      </c>
      <c r="L20" s="100">
        <v>18.600000000000001</v>
      </c>
      <c r="M20" s="100">
        <v>66.44</v>
      </c>
      <c r="N20" s="100">
        <v>1</v>
      </c>
      <c r="O20" s="100">
        <v>0</v>
      </c>
      <c r="P20" s="100">
        <v>0.96</v>
      </c>
      <c r="Q20" s="100">
        <v>29.24</v>
      </c>
      <c r="R20" s="6"/>
      <c r="S20" s="6"/>
      <c r="T20" s="156"/>
      <c r="U20" s="6"/>
    </row>
    <row r="21" spans="1:21" customFormat="1">
      <c r="A21" s="163" t="s">
        <v>2651</v>
      </c>
      <c r="B21" s="100">
        <v>32.909999999999997</v>
      </c>
      <c r="C21" s="100">
        <v>22.4</v>
      </c>
      <c r="D21" s="100">
        <v>39.450000000000003</v>
      </c>
      <c r="E21" s="100">
        <v>10.17</v>
      </c>
      <c r="F21" s="152" t="s">
        <v>15</v>
      </c>
      <c r="G21" s="100">
        <v>85.79</v>
      </c>
      <c r="H21" s="100">
        <v>26.53</v>
      </c>
      <c r="I21" s="100">
        <v>12.28</v>
      </c>
      <c r="J21" s="100">
        <v>0.06</v>
      </c>
      <c r="K21" s="100">
        <v>195.17</v>
      </c>
      <c r="L21" s="100">
        <v>18.63</v>
      </c>
      <c r="M21" s="100">
        <v>64.44</v>
      </c>
      <c r="N21" s="100">
        <v>0.9</v>
      </c>
      <c r="O21" s="100">
        <v>0</v>
      </c>
      <c r="P21" s="100">
        <v>0.98</v>
      </c>
      <c r="Q21" s="100">
        <v>29.24</v>
      </c>
      <c r="R21" s="6"/>
      <c r="S21" s="6"/>
      <c r="T21" s="156"/>
      <c r="U21" s="6"/>
    </row>
    <row r="22" spans="1:21" customFormat="1">
      <c r="A22" s="163" t="s">
        <v>2652</v>
      </c>
      <c r="B22" s="100">
        <v>34.01</v>
      </c>
      <c r="C22" s="100">
        <v>22.82</v>
      </c>
      <c r="D22" s="100">
        <v>40.54</v>
      </c>
      <c r="E22" s="100">
        <v>10.039999999999999</v>
      </c>
      <c r="F22" s="152" t="s">
        <v>15</v>
      </c>
      <c r="G22" s="100">
        <v>85.79</v>
      </c>
      <c r="H22" s="100">
        <v>26.53</v>
      </c>
      <c r="I22" s="100">
        <v>12.55</v>
      </c>
      <c r="J22" s="100">
        <v>0.13</v>
      </c>
      <c r="K22" s="100">
        <v>205.67</v>
      </c>
      <c r="L22" s="100">
        <v>18.72</v>
      </c>
      <c r="M22" s="100">
        <v>65.12</v>
      </c>
      <c r="N22" s="100">
        <v>0.8</v>
      </c>
      <c r="O22" s="100">
        <v>0</v>
      </c>
      <c r="P22" s="100">
        <v>0.99</v>
      </c>
      <c r="Q22" s="100">
        <v>29.27</v>
      </c>
      <c r="R22" s="6"/>
      <c r="S22" s="6"/>
      <c r="T22" s="156"/>
      <c r="U22" s="6"/>
    </row>
    <row r="23" spans="1:21" customFormat="1">
      <c r="A23" s="163" t="s">
        <v>2653</v>
      </c>
      <c r="B23" s="100">
        <v>35.979999999999997</v>
      </c>
      <c r="C23" s="100">
        <v>22.95</v>
      </c>
      <c r="D23" s="100">
        <v>42.2</v>
      </c>
      <c r="E23" s="100">
        <v>10.07</v>
      </c>
      <c r="F23" s="152" t="s">
        <v>15</v>
      </c>
      <c r="G23" s="100">
        <v>88.92</v>
      </c>
      <c r="H23" s="100">
        <v>25.7</v>
      </c>
      <c r="I23" s="100">
        <v>12.64</v>
      </c>
      <c r="J23" s="100">
        <v>0.17</v>
      </c>
      <c r="K23" s="100">
        <v>168.09</v>
      </c>
      <c r="L23" s="100">
        <v>18.48</v>
      </c>
      <c r="M23" s="100">
        <v>72.599999999999994</v>
      </c>
      <c r="N23" s="100">
        <v>1</v>
      </c>
      <c r="O23" s="100">
        <v>0</v>
      </c>
      <c r="P23" s="100">
        <v>1</v>
      </c>
      <c r="Q23" s="100">
        <v>29.35</v>
      </c>
      <c r="R23" s="6"/>
      <c r="S23" s="6"/>
      <c r="T23" s="156"/>
      <c r="U23" s="6"/>
    </row>
    <row r="24" spans="1:21" customFormat="1">
      <c r="A24" s="163" t="s">
        <v>2654</v>
      </c>
      <c r="B24" s="100">
        <v>36.76</v>
      </c>
      <c r="C24" s="100">
        <v>22.91</v>
      </c>
      <c r="D24" s="100">
        <v>42.8</v>
      </c>
      <c r="E24" s="100">
        <v>10.4</v>
      </c>
      <c r="F24" s="152" t="s">
        <v>15</v>
      </c>
      <c r="G24" s="100">
        <v>89.31</v>
      </c>
      <c r="H24" s="100">
        <v>25.7</v>
      </c>
      <c r="I24" s="100">
        <v>12.75</v>
      </c>
      <c r="J24" s="100">
        <v>0.22</v>
      </c>
      <c r="K24" s="100">
        <v>165.72</v>
      </c>
      <c r="L24" s="100">
        <v>18.329999999999998</v>
      </c>
      <c r="M24" s="100">
        <v>70.290000000000006</v>
      </c>
      <c r="N24" s="100">
        <v>1</v>
      </c>
      <c r="O24" s="100">
        <v>0</v>
      </c>
      <c r="P24" s="100">
        <v>1.01</v>
      </c>
      <c r="Q24" s="100">
        <v>29.4</v>
      </c>
      <c r="R24" s="6"/>
      <c r="S24" s="6"/>
      <c r="T24" s="156"/>
      <c r="U24" s="6"/>
    </row>
    <row r="25" spans="1:21" customFormat="1">
      <c r="A25" s="163" t="s">
        <v>2655</v>
      </c>
      <c r="B25" s="100">
        <v>37.520000000000003</v>
      </c>
      <c r="C25" s="100">
        <v>22.71</v>
      </c>
      <c r="D25" s="100">
        <v>43.3</v>
      </c>
      <c r="E25" s="100">
        <v>10.29</v>
      </c>
      <c r="F25" s="152" t="s">
        <v>15</v>
      </c>
      <c r="G25" s="100">
        <v>89.31</v>
      </c>
      <c r="H25" s="100">
        <v>25.7</v>
      </c>
      <c r="I25" s="100">
        <v>12.98</v>
      </c>
      <c r="J25" s="100">
        <v>0.16</v>
      </c>
      <c r="K25" s="100">
        <v>91.74</v>
      </c>
      <c r="L25" s="100">
        <v>18.53</v>
      </c>
      <c r="M25" s="100">
        <v>65.94</v>
      </c>
      <c r="N25" s="100">
        <v>0.7</v>
      </c>
      <c r="O25" s="100">
        <v>0</v>
      </c>
      <c r="P25" s="100">
        <v>1.03</v>
      </c>
      <c r="Q25" s="100">
        <v>29.42</v>
      </c>
      <c r="R25" s="6"/>
      <c r="S25" s="6"/>
      <c r="T25" s="156"/>
      <c r="U25" s="6"/>
    </row>
    <row r="26" spans="1:21" customFormat="1">
      <c r="A26" s="163" t="s">
        <v>2656</v>
      </c>
      <c r="B26" s="100">
        <v>39.409999999999997</v>
      </c>
      <c r="C26" s="100">
        <v>23.55</v>
      </c>
      <c r="D26" s="100">
        <v>45.26</v>
      </c>
      <c r="E26" s="100">
        <v>10.74</v>
      </c>
      <c r="F26" s="152" t="s">
        <v>15</v>
      </c>
      <c r="G26" s="100">
        <v>89.31</v>
      </c>
      <c r="H26" s="100">
        <v>25.7</v>
      </c>
      <c r="I26" s="100">
        <v>13.29</v>
      </c>
      <c r="J26" s="100">
        <v>0.27</v>
      </c>
      <c r="K26" s="100">
        <v>75.77</v>
      </c>
      <c r="L26" s="100">
        <v>19.09</v>
      </c>
      <c r="M26" s="100">
        <v>63.19</v>
      </c>
      <c r="N26" s="100">
        <v>0.5</v>
      </c>
      <c r="O26" s="100">
        <v>0</v>
      </c>
      <c r="P26" s="100">
        <v>1.03</v>
      </c>
      <c r="Q26" s="100">
        <v>29.46</v>
      </c>
      <c r="R26" s="6"/>
      <c r="S26" s="6"/>
      <c r="T26" s="156"/>
      <c r="U26" s="6"/>
    </row>
    <row r="27" spans="1:21" customFormat="1">
      <c r="A27" s="163" t="s">
        <v>2657</v>
      </c>
      <c r="B27" s="100">
        <v>41.87</v>
      </c>
      <c r="C27" s="100">
        <v>24.17</v>
      </c>
      <c r="D27" s="100">
        <v>47.55</v>
      </c>
      <c r="E27" s="100">
        <v>10.88</v>
      </c>
      <c r="F27" s="152" t="s">
        <v>15</v>
      </c>
      <c r="G27" s="100">
        <v>90.3</v>
      </c>
      <c r="H27" s="100">
        <v>25.87</v>
      </c>
      <c r="I27" s="100">
        <v>13.56</v>
      </c>
      <c r="J27" s="100">
        <v>0.09</v>
      </c>
      <c r="K27" s="100">
        <v>125.71</v>
      </c>
      <c r="L27" s="100">
        <v>19.11</v>
      </c>
      <c r="M27" s="100">
        <v>65.489999999999995</v>
      </c>
      <c r="N27" s="100">
        <v>0.8</v>
      </c>
      <c r="O27" s="100">
        <v>0</v>
      </c>
      <c r="P27" s="100">
        <v>1.03</v>
      </c>
      <c r="Q27" s="100">
        <v>29.57</v>
      </c>
      <c r="R27" s="6"/>
      <c r="S27" s="6"/>
      <c r="T27" s="156"/>
      <c r="U27" s="6"/>
    </row>
    <row r="28" spans="1:21" customFormat="1">
      <c r="A28" s="163" t="s">
        <v>2658</v>
      </c>
      <c r="B28" s="100">
        <v>43.98</v>
      </c>
      <c r="C28" s="100">
        <v>24.32</v>
      </c>
      <c r="D28" s="100">
        <v>49.32</v>
      </c>
      <c r="E28" s="100">
        <v>10.91</v>
      </c>
      <c r="F28" s="152" t="s">
        <v>15</v>
      </c>
      <c r="G28" s="100">
        <v>90.43</v>
      </c>
      <c r="H28" s="100">
        <v>25.87</v>
      </c>
      <c r="I28" s="100">
        <v>13.89</v>
      </c>
      <c r="J28" s="100">
        <v>0.24</v>
      </c>
      <c r="K28" s="100">
        <v>162.76</v>
      </c>
      <c r="L28" s="100">
        <v>18.98</v>
      </c>
      <c r="M28" s="100">
        <v>68.19</v>
      </c>
      <c r="N28" s="100">
        <v>1</v>
      </c>
      <c r="O28" s="100">
        <v>0</v>
      </c>
      <c r="P28" s="100">
        <v>1.05</v>
      </c>
      <c r="Q28" s="100">
        <v>29.66</v>
      </c>
      <c r="R28" s="6"/>
      <c r="S28" s="6"/>
      <c r="T28" s="156"/>
      <c r="U28" s="6"/>
    </row>
    <row r="29" spans="1:21" customFormat="1">
      <c r="A29" s="163" t="s">
        <v>2659</v>
      </c>
      <c r="B29" s="100">
        <v>45.74</v>
      </c>
      <c r="C29" s="100">
        <v>24.52</v>
      </c>
      <c r="D29" s="100">
        <v>50.84</v>
      </c>
      <c r="E29" s="100">
        <v>10.87</v>
      </c>
      <c r="F29" s="152" t="s">
        <v>15</v>
      </c>
      <c r="G29" s="100">
        <v>90.43</v>
      </c>
      <c r="H29" s="100">
        <v>25.87</v>
      </c>
      <c r="I29" s="100">
        <v>14.22</v>
      </c>
      <c r="J29" s="100">
        <v>0.2</v>
      </c>
      <c r="K29" s="100">
        <v>185.63</v>
      </c>
      <c r="L29" s="100">
        <v>18.100000000000001</v>
      </c>
      <c r="M29" s="100">
        <v>75.150000000000006</v>
      </c>
      <c r="N29" s="100">
        <v>1.4</v>
      </c>
      <c r="O29" s="100">
        <v>0</v>
      </c>
      <c r="P29" s="100">
        <v>1.07</v>
      </c>
      <c r="Q29" s="100">
        <v>29.74</v>
      </c>
      <c r="R29" s="6"/>
      <c r="S29" s="6"/>
      <c r="T29" s="156"/>
      <c r="U29" s="6"/>
    </row>
    <row r="30" spans="1:21" customFormat="1">
      <c r="A30" s="163" t="s">
        <v>2660</v>
      </c>
      <c r="B30" s="100">
        <v>47.05</v>
      </c>
      <c r="C30" s="100">
        <v>24.84</v>
      </c>
      <c r="D30" s="100">
        <v>52.06</v>
      </c>
      <c r="E30" s="100">
        <v>11.16</v>
      </c>
      <c r="F30" s="152" t="s">
        <v>15</v>
      </c>
      <c r="G30" s="100">
        <v>90.43</v>
      </c>
      <c r="H30" s="100">
        <v>25.87</v>
      </c>
      <c r="I30" s="100">
        <v>14.52</v>
      </c>
      <c r="J30" s="100">
        <v>0.25</v>
      </c>
      <c r="K30" s="100">
        <v>202.12</v>
      </c>
      <c r="L30" s="100">
        <v>17.86</v>
      </c>
      <c r="M30" s="100">
        <v>74.5</v>
      </c>
      <c r="N30" s="100">
        <v>1.2</v>
      </c>
      <c r="O30" s="100">
        <v>0</v>
      </c>
      <c r="P30" s="100">
        <v>1.0900000000000001</v>
      </c>
      <c r="Q30" s="100">
        <v>29.76</v>
      </c>
      <c r="R30" s="6"/>
      <c r="S30" s="6"/>
      <c r="T30" s="156"/>
      <c r="U30" s="6"/>
    </row>
    <row r="31" spans="1:21" customFormat="1">
      <c r="A31" s="163" t="s">
        <v>2661</v>
      </c>
      <c r="B31" s="100">
        <v>47.28</v>
      </c>
      <c r="C31" s="100">
        <v>24.82</v>
      </c>
      <c r="D31" s="100">
        <v>52.24</v>
      </c>
      <c r="E31" s="100">
        <v>11.34</v>
      </c>
      <c r="F31" s="152" t="s">
        <v>15</v>
      </c>
      <c r="G31" s="100">
        <v>93.34</v>
      </c>
      <c r="H31" s="100">
        <v>27.27</v>
      </c>
      <c r="I31" s="100">
        <v>14.77</v>
      </c>
      <c r="J31" s="100">
        <v>0.19</v>
      </c>
      <c r="K31" s="100">
        <v>198.19</v>
      </c>
      <c r="L31" s="100">
        <v>17.41</v>
      </c>
      <c r="M31" s="100">
        <v>75.290000000000006</v>
      </c>
      <c r="N31" s="100">
        <v>1.3</v>
      </c>
      <c r="O31" s="100">
        <v>0</v>
      </c>
      <c r="P31" s="100">
        <v>1.1100000000000001</v>
      </c>
      <c r="Q31" s="100">
        <v>29.81</v>
      </c>
      <c r="R31" s="6"/>
      <c r="S31" s="6"/>
      <c r="T31" s="156"/>
      <c r="U31" s="6"/>
    </row>
    <row r="32" spans="1:21" customFormat="1">
      <c r="A32" s="163" t="s">
        <v>2662</v>
      </c>
      <c r="B32" s="100">
        <v>46.82</v>
      </c>
      <c r="C32" s="100">
        <v>24.61</v>
      </c>
      <c r="D32" s="100">
        <v>51.76</v>
      </c>
      <c r="E32" s="100">
        <v>11.14</v>
      </c>
      <c r="F32" s="152" t="s">
        <v>15</v>
      </c>
      <c r="G32" s="100">
        <v>93.71</v>
      </c>
      <c r="H32" s="100">
        <v>27.27</v>
      </c>
      <c r="I32" s="100">
        <v>14.93</v>
      </c>
      <c r="J32" s="100">
        <v>0.16</v>
      </c>
      <c r="K32" s="100">
        <v>200.61</v>
      </c>
      <c r="L32" s="100">
        <v>17.27</v>
      </c>
      <c r="M32" s="100">
        <v>74.56</v>
      </c>
      <c r="N32" s="100">
        <v>1</v>
      </c>
      <c r="O32" s="100">
        <v>0</v>
      </c>
      <c r="P32" s="100">
        <v>1.1000000000000001</v>
      </c>
      <c r="Q32" s="100">
        <v>29.79</v>
      </c>
      <c r="R32" s="6"/>
      <c r="S32" s="6"/>
      <c r="T32" s="156"/>
      <c r="U32" s="6"/>
    </row>
    <row r="33" spans="1:21" customFormat="1">
      <c r="A33" s="163" t="s">
        <v>2663</v>
      </c>
      <c r="B33" s="100">
        <v>46.44</v>
      </c>
      <c r="C33" s="100">
        <v>24.58</v>
      </c>
      <c r="D33" s="100">
        <v>51.43</v>
      </c>
      <c r="E33" s="100">
        <v>11.11</v>
      </c>
      <c r="F33" s="152" t="s">
        <v>15</v>
      </c>
      <c r="G33" s="100">
        <v>93.71</v>
      </c>
      <c r="H33" s="100">
        <v>27.27</v>
      </c>
      <c r="I33" s="100">
        <v>14.97</v>
      </c>
      <c r="J33" s="100">
        <v>0.19</v>
      </c>
      <c r="K33" s="100">
        <v>172.78</v>
      </c>
      <c r="L33" s="100">
        <v>17.23</v>
      </c>
      <c r="M33" s="100">
        <v>76.72</v>
      </c>
      <c r="N33" s="100">
        <v>1.4</v>
      </c>
      <c r="O33" s="100">
        <v>0</v>
      </c>
      <c r="P33" s="100">
        <v>1.1100000000000001</v>
      </c>
      <c r="Q33" s="100">
        <v>29.77</v>
      </c>
      <c r="R33" s="6"/>
      <c r="S33" s="6"/>
      <c r="T33" s="156"/>
      <c r="U33" s="6"/>
    </row>
    <row r="34" spans="1:21" customFormat="1">
      <c r="A34" s="163" t="s">
        <v>2664</v>
      </c>
      <c r="B34" s="100">
        <v>46.13</v>
      </c>
      <c r="C34" s="100">
        <v>24.44</v>
      </c>
      <c r="D34" s="100">
        <v>51.11</v>
      </c>
      <c r="E34" s="100">
        <v>10.7</v>
      </c>
      <c r="F34" s="152" t="s">
        <v>15</v>
      </c>
      <c r="G34" s="100">
        <v>93.71</v>
      </c>
      <c r="H34" s="100">
        <v>27.27</v>
      </c>
      <c r="I34" s="100">
        <v>15</v>
      </c>
      <c r="J34" s="100">
        <v>0.19</v>
      </c>
      <c r="K34" s="100">
        <v>176.93</v>
      </c>
      <c r="L34" s="100">
        <v>17.350000000000001</v>
      </c>
      <c r="M34" s="100">
        <v>76.349999999999994</v>
      </c>
      <c r="N34" s="100">
        <v>3.7</v>
      </c>
      <c r="O34" s="100">
        <v>0</v>
      </c>
      <c r="P34" s="100">
        <v>1.1000000000000001</v>
      </c>
      <c r="Q34" s="100">
        <v>29.77</v>
      </c>
      <c r="R34" s="6"/>
      <c r="S34" s="6"/>
      <c r="T34" s="156"/>
      <c r="U34" s="6"/>
    </row>
    <row r="35" spans="1:21" customFormat="1">
      <c r="A35" s="163" t="s">
        <v>2665</v>
      </c>
      <c r="B35" s="100">
        <v>45.68</v>
      </c>
      <c r="C35" s="100">
        <v>24.48</v>
      </c>
      <c r="D35" s="100">
        <v>50.77</v>
      </c>
      <c r="E35" s="100">
        <v>11.09</v>
      </c>
      <c r="F35" s="152" t="s">
        <v>15</v>
      </c>
      <c r="G35" s="100">
        <v>93.75</v>
      </c>
      <c r="H35" s="100">
        <v>26.58</v>
      </c>
      <c r="I35" s="100">
        <v>15.02</v>
      </c>
      <c r="J35" s="100">
        <v>0.18</v>
      </c>
      <c r="K35" s="100">
        <v>164.22</v>
      </c>
      <c r="L35" s="100">
        <v>17.36</v>
      </c>
      <c r="M35" s="100">
        <v>76.739999999999995</v>
      </c>
      <c r="N35" s="100">
        <v>8.5</v>
      </c>
      <c r="O35" s="100">
        <v>0</v>
      </c>
      <c r="P35" s="100">
        <v>1.1200000000000001</v>
      </c>
      <c r="Q35" s="100">
        <v>29.74</v>
      </c>
      <c r="R35" s="6"/>
      <c r="S35" s="6"/>
      <c r="T35" s="156"/>
      <c r="U35" s="6"/>
    </row>
    <row r="36" spans="1:21" customFormat="1">
      <c r="A36" s="163" t="s">
        <v>2666</v>
      </c>
      <c r="B36" s="100">
        <v>45.13</v>
      </c>
      <c r="C36" s="100">
        <v>24.53</v>
      </c>
      <c r="D36" s="100">
        <v>50.36</v>
      </c>
      <c r="E36" s="100">
        <v>10.74</v>
      </c>
      <c r="F36" s="152" t="s">
        <v>15</v>
      </c>
      <c r="G36" s="100">
        <v>93.76</v>
      </c>
      <c r="H36" s="100">
        <v>26.58</v>
      </c>
      <c r="I36" s="100">
        <v>15.04</v>
      </c>
      <c r="J36" s="100">
        <v>0.22</v>
      </c>
      <c r="K36" s="100">
        <v>200.96</v>
      </c>
      <c r="L36" s="100">
        <v>17.48</v>
      </c>
      <c r="M36" s="100">
        <v>76.94</v>
      </c>
      <c r="N36" s="100">
        <v>16.600000000000001</v>
      </c>
      <c r="O36" s="100">
        <v>0</v>
      </c>
      <c r="P36" s="100">
        <v>1.1200000000000001</v>
      </c>
      <c r="Q36" s="100">
        <v>29.69</v>
      </c>
      <c r="R36" s="6"/>
      <c r="S36" s="6"/>
      <c r="T36" s="156"/>
      <c r="U36" s="6"/>
    </row>
    <row r="37" spans="1:21" customFormat="1">
      <c r="A37" s="163" t="s">
        <v>2667</v>
      </c>
      <c r="B37" s="100">
        <v>44.48</v>
      </c>
      <c r="C37" s="100">
        <v>24.48</v>
      </c>
      <c r="D37" s="100">
        <v>49.81</v>
      </c>
      <c r="E37" s="100">
        <v>10.84</v>
      </c>
      <c r="F37" s="152" t="s">
        <v>15</v>
      </c>
      <c r="G37" s="100">
        <v>93.76</v>
      </c>
      <c r="H37" s="100">
        <v>26.58</v>
      </c>
      <c r="I37" s="100">
        <v>15.05</v>
      </c>
      <c r="J37" s="100">
        <v>0.16</v>
      </c>
      <c r="K37" s="100">
        <v>234.82</v>
      </c>
      <c r="L37" s="100">
        <v>17.86</v>
      </c>
      <c r="M37" s="100">
        <v>73.97</v>
      </c>
      <c r="N37" s="100">
        <v>24.5</v>
      </c>
      <c r="O37" s="100">
        <v>0</v>
      </c>
      <c r="P37" s="100">
        <v>1.1200000000000001</v>
      </c>
      <c r="Q37" s="100">
        <v>29.65</v>
      </c>
      <c r="R37" s="6"/>
      <c r="S37" s="6"/>
      <c r="T37" s="156"/>
      <c r="U37" s="6"/>
    </row>
    <row r="38" spans="1:21" customFormat="1">
      <c r="A38" s="163" t="s">
        <v>2668</v>
      </c>
      <c r="B38" s="100">
        <v>43.63</v>
      </c>
      <c r="C38" s="100">
        <v>24.49</v>
      </c>
      <c r="D38" s="100">
        <v>49.13</v>
      </c>
      <c r="E38" s="100">
        <v>11.47</v>
      </c>
      <c r="F38" s="152" t="s">
        <v>15</v>
      </c>
      <c r="G38" s="100">
        <v>93.76</v>
      </c>
      <c r="H38" s="100">
        <v>26.58</v>
      </c>
      <c r="I38" s="100">
        <v>15.1</v>
      </c>
      <c r="J38" s="100">
        <v>0.28000000000000003</v>
      </c>
      <c r="K38" s="100">
        <v>165.36</v>
      </c>
      <c r="L38" s="100">
        <v>18.940000000000001</v>
      </c>
      <c r="M38" s="100">
        <v>68.53</v>
      </c>
      <c r="N38" s="100">
        <v>29.6</v>
      </c>
      <c r="O38" s="100">
        <v>0</v>
      </c>
      <c r="P38" s="100">
        <v>1.1299999999999999</v>
      </c>
      <c r="Q38" s="100">
        <v>29.65</v>
      </c>
      <c r="R38" s="6"/>
      <c r="S38" s="6"/>
      <c r="T38" s="156"/>
      <c r="U38" s="6"/>
    </row>
    <row r="39" spans="1:21" customFormat="1">
      <c r="A39" s="163" t="s">
        <v>2669</v>
      </c>
      <c r="B39" s="100">
        <v>42.25</v>
      </c>
      <c r="C39" s="100">
        <v>24.68</v>
      </c>
      <c r="D39" s="100">
        <v>48.12</v>
      </c>
      <c r="E39" s="100">
        <v>11.08</v>
      </c>
      <c r="F39" s="152" t="s">
        <v>15</v>
      </c>
      <c r="G39" s="100">
        <v>91.89</v>
      </c>
      <c r="H39" s="100">
        <v>23.43</v>
      </c>
      <c r="I39" s="100">
        <v>15.15</v>
      </c>
      <c r="J39" s="100">
        <v>0.28999999999999998</v>
      </c>
      <c r="K39" s="100">
        <v>149.74</v>
      </c>
      <c r="L39" s="100">
        <v>20.29</v>
      </c>
      <c r="M39" s="100">
        <v>60.21</v>
      </c>
      <c r="N39" s="100">
        <v>40</v>
      </c>
      <c r="O39" s="100">
        <v>0</v>
      </c>
      <c r="P39" s="100">
        <v>1.1299999999999999</v>
      </c>
      <c r="Q39" s="100">
        <v>29.61</v>
      </c>
      <c r="R39" s="6"/>
      <c r="S39" s="6"/>
      <c r="T39" s="156"/>
      <c r="U39" s="6"/>
    </row>
    <row r="40" spans="1:21" customFormat="1">
      <c r="A40" s="163" t="s">
        <v>2670</v>
      </c>
      <c r="B40" s="100">
        <v>40.19</v>
      </c>
      <c r="C40" s="100">
        <v>25.04</v>
      </c>
      <c r="D40" s="100">
        <v>46.67</v>
      </c>
      <c r="E40" s="100">
        <v>11.28</v>
      </c>
      <c r="F40" s="152" t="s">
        <v>15</v>
      </c>
      <c r="G40" s="100">
        <v>91.66</v>
      </c>
      <c r="H40" s="100">
        <v>23.43</v>
      </c>
      <c r="I40" s="100">
        <v>15.14</v>
      </c>
      <c r="J40" s="100">
        <v>0.18</v>
      </c>
      <c r="K40" s="100">
        <v>93.47</v>
      </c>
      <c r="L40" s="100">
        <v>21.58</v>
      </c>
      <c r="M40" s="100">
        <v>54.85</v>
      </c>
      <c r="N40" s="100">
        <v>55.2</v>
      </c>
      <c r="O40" s="100">
        <v>0</v>
      </c>
      <c r="P40" s="100">
        <v>1.1299999999999999</v>
      </c>
      <c r="Q40" s="100">
        <v>29.51</v>
      </c>
      <c r="R40" s="6"/>
      <c r="S40" s="6"/>
      <c r="T40" s="156"/>
      <c r="U40" s="6"/>
    </row>
    <row r="41" spans="1:21" customFormat="1">
      <c r="A41" s="163" t="s">
        <v>2671</v>
      </c>
      <c r="B41" s="100">
        <v>37.83</v>
      </c>
      <c r="C41" s="100">
        <v>25.74</v>
      </c>
      <c r="D41" s="100">
        <v>45.14</v>
      </c>
      <c r="E41" s="100">
        <v>10.53</v>
      </c>
      <c r="F41" s="152" t="s">
        <v>15</v>
      </c>
      <c r="G41" s="100">
        <v>91.66</v>
      </c>
      <c r="H41" s="100">
        <v>23.43</v>
      </c>
      <c r="I41" s="100">
        <v>15.1</v>
      </c>
      <c r="J41" s="100">
        <v>0.16</v>
      </c>
      <c r="K41" s="100">
        <v>85.69</v>
      </c>
      <c r="L41" s="100">
        <v>22.74</v>
      </c>
      <c r="M41" s="100">
        <v>50.22</v>
      </c>
      <c r="N41" s="100">
        <v>96.7</v>
      </c>
      <c r="O41" s="100">
        <v>0</v>
      </c>
      <c r="P41" s="100">
        <v>1.1200000000000001</v>
      </c>
      <c r="Q41" s="100">
        <v>29.4</v>
      </c>
      <c r="R41" s="6"/>
      <c r="S41" s="6"/>
      <c r="T41" s="156"/>
      <c r="U41" s="6"/>
    </row>
    <row r="42" spans="1:21" customFormat="1">
      <c r="A42" s="163" t="s">
        <v>2672</v>
      </c>
      <c r="B42" s="100">
        <v>35.69</v>
      </c>
      <c r="C42" s="100">
        <v>26.65</v>
      </c>
      <c r="D42" s="100">
        <v>43.89</v>
      </c>
      <c r="E42" s="100">
        <v>10.91</v>
      </c>
      <c r="F42" s="152" t="s">
        <v>15</v>
      </c>
      <c r="G42" s="100">
        <v>91.66</v>
      </c>
      <c r="H42" s="100">
        <v>23.43</v>
      </c>
      <c r="I42" s="100">
        <v>15.05</v>
      </c>
      <c r="J42" s="100">
        <v>0.15</v>
      </c>
      <c r="K42" s="100">
        <v>24.42</v>
      </c>
      <c r="L42" s="100">
        <v>23.99</v>
      </c>
      <c r="M42" s="100">
        <v>45.86</v>
      </c>
      <c r="N42" s="100">
        <v>164</v>
      </c>
      <c r="O42" s="100">
        <v>0</v>
      </c>
      <c r="P42" s="100">
        <v>1.1000000000000001</v>
      </c>
      <c r="Q42" s="100">
        <v>29.29</v>
      </c>
      <c r="R42" s="6"/>
      <c r="S42" s="6"/>
      <c r="T42" s="156"/>
      <c r="U42" s="6"/>
    </row>
    <row r="43" spans="1:21" customFormat="1">
      <c r="A43" s="163" t="s">
        <v>2673</v>
      </c>
      <c r="B43" s="100">
        <v>33.56</v>
      </c>
      <c r="C43" s="100">
        <v>27.66</v>
      </c>
      <c r="D43" s="100">
        <v>42.72</v>
      </c>
      <c r="E43" s="100">
        <v>10.82</v>
      </c>
      <c r="F43" s="152" t="s">
        <v>15</v>
      </c>
      <c r="G43" s="100">
        <v>90.67</v>
      </c>
      <c r="H43" s="100">
        <v>28.41</v>
      </c>
      <c r="I43" s="100">
        <v>14.94</v>
      </c>
      <c r="J43" s="100">
        <v>0.34</v>
      </c>
      <c r="K43" s="100">
        <v>171.13</v>
      </c>
      <c r="L43" s="100">
        <v>25.16</v>
      </c>
      <c r="M43" s="100">
        <v>40.869999999999997</v>
      </c>
      <c r="N43" s="100">
        <v>218.5</v>
      </c>
      <c r="O43" s="100">
        <v>0</v>
      </c>
      <c r="P43" s="100">
        <v>1.1100000000000001</v>
      </c>
      <c r="Q43" s="100">
        <v>29.24</v>
      </c>
      <c r="R43" s="6"/>
      <c r="S43" s="6"/>
      <c r="T43" s="156"/>
      <c r="U43" s="6"/>
    </row>
    <row r="44" spans="1:21" customFormat="1">
      <c r="A44" s="163" t="s">
        <v>2674</v>
      </c>
      <c r="B44" s="100">
        <v>30.58</v>
      </c>
      <c r="C44" s="100">
        <v>28.69</v>
      </c>
      <c r="D44" s="100">
        <v>40.869999999999997</v>
      </c>
      <c r="E44" s="100">
        <v>11.5</v>
      </c>
      <c r="F44" s="152" t="s">
        <v>15</v>
      </c>
      <c r="G44" s="100">
        <v>90.54</v>
      </c>
      <c r="H44" s="100">
        <v>28.41</v>
      </c>
      <c r="I44" s="100">
        <v>14.84</v>
      </c>
      <c r="J44" s="100">
        <v>0.35</v>
      </c>
      <c r="K44" s="100">
        <v>245.01</v>
      </c>
      <c r="L44" s="100">
        <v>26.04</v>
      </c>
      <c r="M44" s="100">
        <v>39.14</v>
      </c>
      <c r="N44" s="100">
        <v>222.8</v>
      </c>
      <c r="O44" s="100">
        <v>0</v>
      </c>
      <c r="P44" s="100">
        <v>1.07</v>
      </c>
      <c r="Q44" s="100">
        <v>29.1</v>
      </c>
      <c r="R44" s="6"/>
      <c r="S44" s="6"/>
      <c r="T44" s="156"/>
      <c r="U44" s="6"/>
    </row>
    <row r="45" spans="1:21" customFormat="1">
      <c r="A45" s="163" t="s">
        <v>2675</v>
      </c>
      <c r="B45" s="100">
        <v>26.99</v>
      </c>
      <c r="C45" s="100">
        <v>29.64</v>
      </c>
      <c r="D45" s="100">
        <v>38.479999999999997</v>
      </c>
      <c r="E45" s="100">
        <v>11.53</v>
      </c>
      <c r="F45" s="152" t="s">
        <v>15</v>
      </c>
      <c r="G45" s="100">
        <v>90.54</v>
      </c>
      <c r="H45" s="100">
        <v>28.41</v>
      </c>
      <c r="I45" s="100">
        <v>14.72</v>
      </c>
      <c r="J45" s="100">
        <v>0.37</v>
      </c>
      <c r="K45" s="100">
        <v>249.88</v>
      </c>
      <c r="L45" s="100">
        <v>26.98</v>
      </c>
      <c r="M45" s="100">
        <v>38.24</v>
      </c>
      <c r="N45" s="100">
        <v>185.7</v>
      </c>
      <c r="O45" s="100">
        <v>0</v>
      </c>
      <c r="P45" s="100">
        <v>1.06</v>
      </c>
      <c r="Q45" s="100">
        <v>28.97</v>
      </c>
      <c r="R45" s="6"/>
      <c r="S45" s="6"/>
      <c r="T45" s="156"/>
      <c r="U45" s="6"/>
    </row>
    <row r="46" spans="1:21" customFormat="1">
      <c r="A46" s="163" t="s">
        <v>2676</v>
      </c>
      <c r="B46" s="100">
        <v>23.72</v>
      </c>
      <c r="C46" s="100">
        <v>30.29</v>
      </c>
      <c r="D46" s="100">
        <v>36.200000000000003</v>
      </c>
      <c r="E46" s="100">
        <v>11.92</v>
      </c>
      <c r="F46" s="152" t="s">
        <v>15</v>
      </c>
      <c r="G46" s="100">
        <v>90.54</v>
      </c>
      <c r="H46" s="100">
        <v>28.41</v>
      </c>
      <c r="I46" s="100">
        <v>14.53</v>
      </c>
      <c r="J46" s="100">
        <v>0.66</v>
      </c>
      <c r="K46" s="100">
        <v>259.66000000000003</v>
      </c>
      <c r="L46" s="100">
        <v>27.92</v>
      </c>
      <c r="M46" s="100">
        <v>33.53</v>
      </c>
      <c r="N46" s="100">
        <v>257.5</v>
      </c>
      <c r="O46" s="100">
        <v>0</v>
      </c>
      <c r="P46" s="100">
        <v>1.08</v>
      </c>
      <c r="Q46" s="100">
        <v>28.84</v>
      </c>
      <c r="R46" s="6"/>
      <c r="S46" s="6"/>
      <c r="T46" s="156"/>
      <c r="U46" s="6"/>
    </row>
    <row r="47" spans="1:21" customFormat="1">
      <c r="A47" s="163" t="s">
        <v>2677</v>
      </c>
      <c r="B47" s="100">
        <v>21.19</v>
      </c>
      <c r="C47" s="100">
        <v>30.43</v>
      </c>
      <c r="D47" s="100">
        <v>34.24</v>
      </c>
      <c r="E47" s="100">
        <v>12.52</v>
      </c>
      <c r="F47" s="152" t="s">
        <v>15</v>
      </c>
      <c r="G47" s="100">
        <v>84.42</v>
      </c>
      <c r="H47" s="100">
        <v>38.24</v>
      </c>
      <c r="I47" s="100">
        <v>14.27</v>
      </c>
      <c r="J47" s="100">
        <v>0.59</v>
      </c>
      <c r="K47" s="100">
        <v>260.62</v>
      </c>
      <c r="L47" s="100">
        <v>28.41</v>
      </c>
      <c r="M47" s="100">
        <v>34.6</v>
      </c>
      <c r="N47" s="100">
        <v>255.9</v>
      </c>
      <c r="O47" s="100">
        <v>0</v>
      </c>
      <c r="P47" s="100">
        <v>1.05</v>
      </c>
      <c r="Q47" s="100">
        <v>28.72</v>
      </c>
      <c r="R47" s="6"/>
      <c r="S47" s="6"/>
      <c r="T47" s="156"/>
      <c r="U47" s="6"/>
    </row>
    <row r="48" spans="1:21" customFormat="1">
      <c r="A48" s="163" t="s">
        <v>2678</v>
      </c>
      <c r="B48" s="100">
        <v>18.649999999999999</v>
      </c>
      <c r="C48" s="100">
        <v>30.46</v>
      </c>
      <c r="D48" s="100">
        <v>32.229999999999997</v>
      </c>
      <c r="E48" s="100">
        <v>12.89</v>
      </c>
      <c r="F48" s="152" t="s">
        <v>15</v>
      </c>
      <c r="G48" s="100">
        <v>83.66</v>
      </c>
      <c r="H48" s="100">
        <v>38.24</v>
      </c>
      <c r="I48" s="100">
        <v>13.85</v>
      </c>
      <c r="J48" s="100">
        <v>0.72</v>
      </c>
      <c r="K48" s="100">
        <v>260.69</v>
      </c>
      <c r="L48" s="100">
        <v>29.23</v>
      </c>
      <c r="M48" s="100">
        <v>33.270000000000003</v>
      </c>
      <c r="N48" s="100">
        <v>280.39999999999998</v>
      </c>
      <c r="O48" s="100">
        <v>0</v>
      </c>
      <c r="P48" s="100">
        <v>1.02</v>
      </c>
      <c r="Q48" s="100">
        <v>28.63</v>
      </c>
      <c r="R48" s="6"/>
      <c r="S48" s="6"/>
      <c r="T48" s="156"/>
      <c r="U48" s="6"/>
    </row>
    <row r="49" spans="1:21" customFormat="1">
      <c r="A49" s="163" t="s">
        <v>2679</v>
      </c>
      <c r="B49" s="100">
        <v>16.18</v>
      </c>
      <c r="C49" s="100">
        <v>30.33</v>
      </c>
      <c r="D49" s="100">
        <v>30.17</v>
      </c>
      <c r="E49" s="100">
        <v>10.52</v>
      </c>
      <c r="F49" s="152" t="s">
        <v>15</v>
      </c>
      <c r="G49" s="100">
        <v>83.66</v>
      </c>
      <c r="H49" s="100">
        <v>38.24</v>
      </c>
      <c r="I49" s="100">
        <v>13.44</v>
      </c>
      <c r="J49" s="100">
        <v>0.62</v>
      </c>
      <c r="K49" s="100">
        <v>256</v>
      </c>
      <c r="L49" s="100">
        <v>29.95</v>
      </c>
      <c r="M49" s="100">
        <v>31.56</v>
      </c>
      <c r="N49" s="100">
        <v>232.4</v>
      </c>
      <c r="O49" s="100">
        <v>0</v>
      </c>
      <c r="P49" s="100">
        <v>1.01</v>
      </c>
      <c r="Q49" s="100">
        <v>28.54</v>
      </c>
      <c r="R49" s="6"/>
      <c r="S49" s="6"/>
      <c r="T49" s="156"/>
      <c r="U49" s="6"/>
    </row>
    <row r="50" spans="1:21" customFormat="1">
      <c r="A50" s="163" t="s">
        <v>2680</v>
      </c>
      <c r="B50" s="100">
        <v>13.8</v>
      </c>
      <c r="C50" s="100">
        <v>30.2</v>
      </c>
      <c r="D50" s="100">
        <v>28.2</v>
      </c>
      <c r="E50" s="100">
        <v>12.75</v>
      </c>
      <c r="F50" s="152" t="s">
        <v>15</v>
      </c>
      <c r="G50" s="100">
        <v>83.66</v>
      </c>
      <c r="H50" s="100">
        <v>38.24</v>
      </c>
      <c r="I50" s="100">
        <v>13.24</v>
      </c>
      <c r="J50" s="100">
        <v>0.51</v>
      </c>
      <c r="K50" s="100">
        <v>257.11</v>
      </c>
      <c r="L50" s="100">
        <v>30.81</v>
      </c>
      <c r="M50" s="100">
        <v>29.12</v>
      </c>
      <c r="N50" s="100">
        <v>253.7</v>
      </c>
      <c r="O50" s="100">
        <v>0</v>
      </c>
      <c r="P50" s="100">
        <v>0.96</v>
      </c>
      <c r="Q50" s="100">
        <v>28.45</v>
      </c>
      <c r="R50" s="6"/>
      <c r="S50" s="6"/>
      <c r="T50" s="156"/>
      <c r="U50" s="6"/>
    </row>
    <row r="51" spans="1:21" customFormat="1">
      <c r="A51" s="163" t="s">
        <v>2681</v>
      </c>
      <c r="B51" s="100">
        <v>11.54</v>
      </c>
      <c r="C51" s="100">
        <v>30.12</v>
      </c>
      <c r="D51" s="100">
        <v>26.34</v>
      </c>
      <c r="E51" s="100">
        <v>12.88</v>
      </c>
      <c r="F51" s="152" t="s">
        <v>15</v>
      </c>
      <c r="G51" s="100">
        <v>70.58</v>
      </c>
      <c r="H51" s="100">
        <v>39.31</v>
      </c>
      <c r="I51" s="100">
        <v>12.89</v>
      </c>
      <c r="J51" s="100">
        <v>0.65</v>
      </c>
      <c r="K51" s="100">
        <v>251.73</v>
      </c>
      <c r="L51" s="100">
        <v>31.73</v>
      </c>
      <c r="M51" s="100">
        <v>26.94</v>
      </c>
      <c r="N51" s="100">
        <v>319.2</v>
      </c>
      <c r="O51" s="100">
        <v>0</v>
      </c>
      <c r="P51" s="100">
        <v>0.96</v>
      </c>
      <c r="Q51" s="100">
        <v>28.36</v>
      </c>
      <c r="R51" s="6"/>
      <c r="S51" s="6"/>
      <c r="T51" s="156"/>
      <c r="U51" s="6"/>
    </row>
    <row r="52" spans="1:21" customFormat="1">
      <c r="A52" s="163" t="s">
        <v>2682</v>
      </c>
      <c r="B52" s="100">
        <v>9.5299999999999994</v>
      </c>
      <c r="C52" s="100">
        <v>29.99</v>
      </c>
      <c r="D52" s="100">
        <v>24.66</v>
      </c>
      <c r="E52" s="100">
        <v>12</v>
      </c>
      <c r="F52" s="152" t="s">
        <v>15</v>
      </c>
      <c r="G52" s="100">
        <v>68.95</v>
      </c>
      <c r="H52" s="100">
        <v>39.31</v>
      </c>
      <c r="I52" s="100">
        <v>12.37</v>
      </c>
      <c r="J52" s="100">
        <v>0.64</v>
      </c>
      <c r="K52" s="100">
        <v>268.68</v>
      </c>
      <c r="L52" s="100">
        <v>32</v>
      </c>
      <c r="M52" s="100">
        <v>26.35</v>
      </c>
      <c r="N52" s="100">
        <v>329.4</v>
      </c>
      <c r="O52" s="100">
        <v>0</v>
      </c>
      <c r="P52" s="100">
        <v>0.94</v>
      </c>
      <c r="Q52" s="100">
        <v>28.27</v>
      </c>
      <c r="R52" s="6"/>
      <c r="S52" s="6"/>
      <c r="T52" s="156"/>
      <c r="U52" s="6"/>
    </row>
    <row r="53" spans="1:21" customFormat="1">
      <c r="A53" s="163" t="s">
        <v>2683</v>
      </c>
      <c r="B53" s="100">
        <v>7.73</v>
      </c>
      <c r="C53" s="100">
        <v>29.57</v>
      </c>
      <c r="D53" s="100">
        <v>23</v>
      </c>
      <c r="E53" s="100">
        <v>12.86</v>
      </c>
      <c r="F53" s="152" t="s">
        <v>15</v>
      </c>
      <c r="G53" s="100">
        <v>68.95</v>
      </c>
      <c r="H53" s="100">
        <v>39.31</v>
      </c>
      <c r="I53" s="100">
        <v>12.22</v>
      </c>
      <c r="J53" s="100">
        <v>0.28999999999999998</v>
      </c>
      <c r="K53" s="100">
        <v>249.91</v>
      </c>
      <c r="L53" s="100">
        <v>32.630000000000003</v>
      </c>
      <c r="M53" s="100">
        <v>25.13</v>
      </c>
      <c r="N53" s="100">
        <v>307.39999999999998</v>
      </c>
      <c r="O53" s="100">
        <v>0</v>
      </c>
      <c r="P53" s="100">
        <v>0.94</v>
      </c>
      <c r="Q53" s="100">
        <v>28.19</v>
      </c>
      <c r="R53" s="6"/>
      <c r="S53" s="6"/>
      <c r="T53" s="156"/>
      <c r="U53" s="6"/>
    </row>
    <row r="54" spans="1:21" customFormat="1">
      <c r="A54" s="163" t="s">
        <v>2684</v>
      </c>
      <c r="B54" s="100">
        <v>6.29</v>
      </c>
      <c r="C54" s="100">
        <v>28.95</v>
      </c>
      <c r="D54" s="100">
        <v>21.52</v>
      </c>
      <c r="E54" s="100">
        <v>14.17</v>
      </c>
      <c r="F54" s="152" t="s">
        <v>15</v>
      </c>
      <c r="G54" s="100">
        <v>68.95</v>
      </c>
      <c r="H54" s="100">
        <v>39.31</v>
      </c>
      <c r="I54" s="100">
        <v>12.11</v>
      </c>
      <c r="J54" s="100">
        <v>0.45</v>
      </c>
      <c r="K54" s="100">
        <v>248.5</v>
      </c>
      <c r="L54" s="100">
        <v>33.270000000000003</v>
      </c>
      <c r="M54" s="100">
        <v>24.1</v>
      </c>
      <c r="N54" s="100">
        <v>311</v>
      </c>
      <c r="O54" s="100">
        <v>0</v>
      </c>
      <c r="P54" s="100">
        <v>0.9</v>
      </c>
      <c r="Q54" s="100">
        <v>28.14</v>
      </c>
      <c r="R54" s="6"/>
      <c r="S54" s="6"/>
      <c r="T54" s="156"/>
      <c r="U54" s="6"/>
    </row>
    <row r="55" spans="1:21" customFormat="1">
      <c r="A55" s="163" t="s">
        <v>2685</v>
      </c>
      <c r="B55" s="100">
        <v>5.24</v>
      </c>
      <c r="C55" s="100">
        <v>28.19</v>
      </c>
      <c r="D55" s="100">
        <v>20.28</v>
      </c>
      <c r="E55" s="100">
        <v>15.35</v>
      </c>
      <c r="F55" s="152" t="s">
        <v>15</v>
      </c>
      <c r="G55" s="100">
        <v>67.44</v>
      </c>
      <c r="H55" s="100">
        <v>42.5</v>
      </c>
      <c r="I55" s="100">
        <v>11.61</v>
      </c>
      <c r="J55" s="100">
        <v>0.53</v>
      </c>
      <c r="K55" s="100">
        <v>287.60000000000002</v>
      </c>
      <c r="L55" s="100">
        <v>33.19</v>
      </c>
      <c r="M55" s="100">
        <v>23.93</v>
      </c>
      <c r="N55" s="100">
        <v>298.7</v>
      </c>
      <c r="O55" s="100">
        <v>0</v>
      </c>
      <c r="P55" s="100">
        <v>0.87</v>
      </c>
      <c r="Q55" s="100">
        <v>28.09</v>
      </c>
      <c r="R55" s="6"/>
      <c r="S55" s="6"/>
      <c r="T55" s="156"/>
      <c r="U55" s="6"/>
    </row>
    <row r="56" spans="1:21" customFormat="1">
      <c r="A56" s="163" t="s">
        <v>2686</v>
      </c>
      <c r="B56" s="100">
        <v>4.47</v>
      </c>
      <c r="C56" s="100">
        <v>27.33</v>
      </c>
      <c r="D56" s="100">
        <v>19.22</v>
      </c>
      <c r="E56" s="100">
        <v>14.37</v>
      </c>
      <c r="F56" s="152" t="s">
        <v>15</v>
      </c>
      <c r="G56" s="100">
        <v>67.260000000000005</v>
      </c>
      <c r="H56" s="100">
        <v>42.5</v>
      </c>
      <c r="I56" s="100">
        <v>11.14</v>
      </c>
      <c r="J56" s="100">
        <v>0.81</v>
      </c>
      <c r="K56" s="100">
        <v>310.79000000000002</v>
      </c>
      <c r="L56" s="100">
        <v>33.369999999999997</v>
      </c>
      <c r="M56" s="100">
        <v>25.32</v>
      </c>
      <c r="N56" s="100">
        <v>317.7</v>
      </c>
      <c r="O56" s="100">
        <v>0</v>
      </c>
      <c r="P56" s="100">
        <v>0.87</v>
      </c>
      <c r="Q56" s="100">
        <v>28.05</v>
      </c>
      <c r="R56" s="6"/>
      <c r="S56" s="6"/>
      <c r="T56" s="156"/>
      <c r="U56" s="6"/>
    </row>
    <row r="57" spans="1:21" customFormat="1">
      <c r="A57" s="163" t="s">
        <v>2687</v>
      </c>
      <c r="B57" s="100">
        <v>4.04</v>
      </c>
      <c r="C57" s="100">
        <v>26.7</v>
      </c>
      <c r="D57" s="100">
        <v>18.55</v>
      </c>
      <c r="E57" s="100">
        <v>14.28</v>
      </c>
      <c r="F57" s="152" t="s">
        <v>15</v>
      </c>
      <c r="G57" s="100">
        <v>67.260000000000005</v>
      </c>
      <c r="H57" s="100">
        <v>42.5</v>
      </c>
      <c r="I57" s="100">
        <v>10.76</v>
      </c>
      <c r="J57" s="100">
        <v>0.82</v>
      </c>
      <c r="K57" s="100">
        <v>281.04000000000002</v>
      </c>
      <c r="L57" s="100">
        <v>33.4</v>
      </c>
      <c r="M57" s="100">
        <v>24.37</v>
      </c>
      <c r="N57" s="100">
        <v>340.9</v>
      </c>
      <c r="O57" s="100">
        <v>0</v>
      </c>
      <c r="P57" s="100">
        <v>0.85</v>
      </c>
      <c r="Q57" s="100">
        <v>28.01</v>
      </c>
      <c r="R57" s="6"/>
      <c r="S57" s="6"/>
      <c r="T57" s="156"/>
      <c r="U57" s="6"/>
    </row>
    <row r="58" spans="1:21" customFormat="1">
      <c r="A58" s="163" t="s">
        <v>2688</v>
      </c>
      <c r="B58" s="100">
        <v>3.78</v>
      </c>
      <c r="C58" s="100">
        <v>25.85</v>
      </c>
      <c r="D58" s="100">
        <v>17.88</v>
      </c>
      <c r="E58" s="100">
        <v>13.81</v>
      </c>
      <c r="F58" s="152" t="s">
        <v>15</v>
      </c>
      <c r="G58" s="100">
        <v>67.260000000000005</v>
      </c>
      <c r="H58" s="100">
        <v>42.5</v>
      </c>
      <c r="I58" s="100">
        <v>10.55</v>
      </c>
      <c r="J58" s="100">
        <v>0.67</v>
      </c>
      <c r="K58" s="100">
        <v>289.24</v>
      </c>
      <c r="L58" s="100">
        <v>34.01</v>
      </c>
      <c r="M58" s="100">
        <v>23.66</v>
      </c>
      <c r="N58" s="100">
        <v>346.7</v>
      </c>
      <c r="O58" s="100">
        <v>0</v>
      </c>
      <c r="P58" s="100">
        <v>0.83</v>
      </c>
      <c r="Q58" s="100">
        <v>28.03</v>
      </c>
      <c r="R58" s="6"/>
      <c r="S58" s="6"/>
      <c r="T58" s="156"/>
      <c r="U58" s="6"/>
    </row>
    <row r="59" spans="1:21" customFormat="1">
      <c r="A59" s="163" t="s">
        <v>2689</v>
      </c>
      <c r="B59" s="100">
        <v>3.63</v>
      </c>
      <c r="C59" s="100">
        <v>25.1</v>
      </c>
      <c r="D59" s="100">
        <v>17.37</v>
      </c>
      <c r="E59" s="100">
        <v>15.63</v>
      </c>
      <c r="F59" s="152" t="s">
        <v>15</v>
      </c>
      <c r="G59" s="100">
        <v>65.37</v>
      </c>
      <c r="H59" s="100">
        <v>42.97</v>
      </c>
      <c r="I59" s="100">
        <v>10.36</v>
      </c>
      <c r="J59" s="100">
        <v>0.72</v>
      </c>
      <c r="K59" s="100">
        <v>314.63</v>
      </c>
      <c r="L59" s="100">
        <v>33.950000000000003</v>
      </c>
      <c r="M59" s="100">
        <v>21.28</v>
      </c>
      <c r="N59" s="100">
        <v>348.4</v>
      </c>
      <c r="O59" s="100">
        <v>0</v>
      </c>
      <c r="P59" s="100">
        <v>0.8</v>
      </c>
      <c r="Q59" s="100">
        <v>28.02</v>
      </c>
      <c r="R59" s="6"/>
      <c r="S59" s="6"/>
      <c r="T59" s="156"/>
      <c r="U59" s="6"/>
    </row>
    <row r="60" spans="1:21" customFormat="1">
      <c r="A60" s="163" t="s">
        <v>2690</v>
      </c>
      <c r="B60" s="100">
        <v>3.61</v>
      </c>
      <c r="C60" s="100">
        <v>24.4</v>
      </c>
      <c r="D60" s="100">
        <v>16.989999999999998</v>
      </c>
      <c r="E60" s="100">
        <v>13.33</v>
      </c>
      <c r="F60" s="152" t="s">
        <v>15</v>
      </c>
      <c r="G60" s="100">
        <v>65.14</v>
      </c>
      <c r="H60" s="100">
        <v>42.97</v>
      </c>
      <c r="I60" s="100">
        <v>10</v>
      </c>
      <c r="J60" s="100">
        <v>0.64</v>
      </c>
      <c r="K60" s="100">
        <v>267.24</v>
      </c>
      <c r="L60" s="100">
        <v>34.22</v>
      </c>
      <c r="M60" s="100">
        <v>19.600000000000001</v>
      </c>
      <c r="N60" s="100">
        <v>354.2</v>
      </c>
      <c r="O60" s="100">
        <v>0</v>
      </c>
      <c r="P60" s="100">
        <v>0.79</v>
      </c>
      <c r="Q60" s="100">
        <v>28.01</v>
      </c>
      <c r="R60" s="6"/>
      <c r="S60" s="6"/>
      <c r="T60" s="156"/>
      <c r="U60" s="6"/>
    </row>
    <row r="61" spans="1:21" customFormat="1">
      <c r="A61" s="163" t="s">
        <v>2691</v>
      </c>
      <c r="B61" s="100">
        <v>3.53</v>
      </c>
      <c r="C61" s="100">
        <v>23.51</v>
      </c>
      <c r="D61" s="100">
        <v>16.46</v>
      </c>
      <c r="E61" s="100">
        <v>12.56</v>
      </c>
      <c r="F61" s="152" t="s">
        <v>15</v>
      </c>
      <c r="G61" s="100">
        <v>65.14</v>
      </c>
      <c r="H61" s="100">
        <v>42.97</v>
      </c>
      <c r="I61" s="100">
        <v>9.69</v>
      </c>
      <c r="J61" s="100">
        <v>0.61</v>
      </c>
      <c r="K61" s="100">
        <v>306.95999999999998</v>
      </c>
      <c r="L61" s="100">
        <v>34.909999999999997</v>
      </c>
      <c r="M61" s="100">
        <v>17.57</v>
      </c>
      <c r="N61" s="100">
        <v>355.9</v>
      </c>
      <c r="O61" s="100">
        <v>0</v>
      </c>
      <c r="P61" s="100">
        <v>0.78</v>
      </c>
      <c r="Q61" s="100">
        <v>28.02</v>
      </c>
      <c r="R61" s="6"/>
      <c r="S61" s="6"/>
      <c r="T61" s="156"/>
      <c r="U61" s="6"/>
    </row>
    <row r="62" spans="1:21" customFormat="1">
      <c r="A62" s="163" t="s">
        <v>2692</v>
      </c>
      <c r="B62" s="100">
        <v>3.55</v>
      </c>
      <c r="C62" s="100">
        <v>22.79</v>
      </c>
      <c r="D62" s="100">
        <v>16.100000000000001</v>
      </c>
      <c r="E62" s="100">
        <v>12.46</v>
      </c>
      <c r="F62" s="152" t="s">
        <v>15</v>
      </c>
      <c r="G62" s="100">
        <v>65.14</v>
      </c>
      <c r="H62" s="100">
        <v>42.97</v>
      </c>
      <c r="I62" s="100">
        <v>9.82</v>
      </c>
      <c r="J62" s="100">
        <v>0.59</v>
      </c>
      <c r="K62" s="100">
        <v>274.63</v>
      </c>
      <c r="L62" s="100">
        <v>35.159999999999997</v>
      </c>
      <c r="M62" s="100">
        <v>16.16</v>
      </c>
      <c r="N62" s="100">
        <v>355.4</v>
      </c>
      <c r="O62" s="100">
        <v>0</v>
      </c>
      <c r="P62" s="100">
        <v>0.75</v>
      </c>
      <c r="Q62" s="100">
        <v>27.99</v>
      </c>
      <c r="R62" s="6"/>
      <c r="S62" s="6"/>
      <c r="T62" s="156"/>
      <c r="U62" s="6"/>
    </row>
    <row r="63" spans="1:21" customFormat="1">
      <c r="A63" s="163" t="s">
        <v>2693</v>
      </c>
      <c r="B63" s="100">
        <v>3.72</v>
      </c>
      <c r="C63" s="100">
        <v>21.85</v>
      </c>
      <c r="D63" s="100">
        <v>15.75</v>
      </c>
      <c r="E63" s="100">
        <v>14.4</v>
      </c>
      <c r="F63" s="152" t="s">
        <v>15</v>
      </c>
      <c r="G63" s="100">
        <v>59.41</v>
      </c>
      <c r="H63" s="100">
        <v>41.93</v>
      </c>
      <c r="I63" s="100">
        <v>9.57</v>
      </c>
      <c r="J63" s="100">
        <v>0.24</v>
      </c>
      <c r="K63" s="100">
        <v>279.41000000000003</v>
      </c>
      <c r="L63" s="100">
        <v>35.020000000000003</v>
      </c>
      <c r="M63" s="100">
        <v>15.5</v>
      </c>
      <c r="N63" s="100">
        <v>345.6</v>
      </c>
      <c r="O63" s="100">
        <v>0</v>
      </c>
      <c r="P63" s="100">
        <v>0.69</v>
      </c>
      <c r="Q63" s="100">
        <v>28.01</v>
      </c>
      <c r="R63" s="6"/>
      <c r="S63" s="6"/>
      <c r="T63" s="156"/>
      <c r="U63" s="6"/>
    </row>
    <row r="64" spans="1:21" customFormat="1">
      <c r="A64" s="163" t="s">
        <v>2694</v>
      </c>
      <c r="B64" s="100">
        <v>3.94</v>
      </c>
      <c r="C64" s="100">
        <v>20.8</v>
      </c>
      <c r="D64" s="100">
        <v>15.38</v>
      </c>
      <c r="E64" s="100">
        <v>11.85</v>
      </c>
      <c r="F64" s="152" t="s">
        <v>15</v>
      </c>
      <c r="G64" s="100">
        <v>58.69</v>
      </c>
      <c r="H64" s="100">
        <v>41.93</v>
      </c>
      <c r="I64" s="100">
        <v>8.94</v>
      </c>
      <c r="J64" s="100">
        <v>0.38</v>
      </c>
      <c r="K64" s="100">
        <v>245.99</v>
      </c>
      <c r="L64" s="100">
        <v>35.770000000000003</v>
      </c>
      <c r="M64" s="100">
        <v>15.05</v>
      </c>
      <c r="N64" s="100">
        <v>365.2</v>
      </c>
      <c r="O64" s="100">
        <v>0</v>
      </c>
      <c r="P64" s="100">
        <v>0.7</v>
      </c>
      <c r="Q64" s="100">
        <v>28</v>
      </c>
      <c r="R64" s="6"/>
      <c r="S64" s="6"/>
      <c r="T64" s="156"/>
      <c r="U64" s="6"/>
    </row>
    <row r="65" spans="1:21" customFormat="1">
      <c r="A65" s="163" t="s">
        <v>2695</v>
      </c>
      <c r="B65" s="100">
        <v>4</v>
      </c>
      <c r="C65" s="100">
        <v>20.07</v>
      </c>
      <c r="D65" s="100">
        <v>15.04</v>
      </c>
      <c r="E65" s="100">
        <v>10.92</v>
      </c>
      <c r="F65" s="152" t="s">
        <v>15</v>
      </c>
      <c r="G65" s="100">
        <v>58.69</v>
      </c>
      <c r="H65" s="100">
        <v>41.93</v>
      </c>
      <c r="I65" s="100">
        <v>8.34</v>
      </c>
      <c r="J65" s="100">
        <v>0.26</v>
      </c>
      <c r="K65" s="100">
        <v>228.78</v>
      </c>
      <c r="L65" s="100">
        <v>35.97</v>
      </c>
      <c r="M65" s="100">
        <v>15.03</v>
      </c>
      <c r="N65" s="100">
        <v>349.5</v>
      </c>
      <c r="O65" s="100">
        <v>0</v>
      </c>
      <c r="P65" s="100">
        <v>0.66</v>
      </c>
      <c r="Q65" s="100">
        <v>27.99</v>
      </c>
      <c r="R65" s="6"/>
      <c r="S65" s="6"/>
      <c r="T65" s="156"/>
      <c r="U65" s="6"/>
    </row>
    <row r="66" spans="1:21" customFormat="1">
      <c r="A66" s="163" t="s">
        <v>2696</v>
      </c>
      <c r="B66" s="100">
        <v>4.01</v>
      </c>
      <c r="C66" s="100">
        <v>19.34</v>
      </c>
      <c r="D66" s="100">
        <v>14.67</v>
      </c>
      <c r="E66" s="100">
        <v>11.65</v>
      </c>
      <c r="F66" s="152" t="s">
        <v>15</v>
      </c>
      <c r="G66" s="100">
        <v>58.69</v>
      </c>
      <c r="H66" s="100">
        <v>41.93</v>
      </c>
      <c r="I66" s="100">
        <v>8.61</v>
      </c>
      <c r="J66" s="100">
        <v>0.11</v>
      </c>
      <c r="K66" s="100">
        <v>20.48</v>
      </c>
      <c r="L66" s="100">
        <v>36.130000000000003</v>
      </c>
      <c r="M66" s="100">
        <v>15.12</v>
      </c>
      <c r="N66" s="100">
        <v>339.5</v>
      </c>
      <c r="O66" s="100">
        <v>0</v>
      </c>
      <c r="P66" s="100">
        <v>0.59</v>
      </c>
      <c r="Q66" s="100">
        <v>27.98</v>
      </c>
      <c r="R66" s="6"/>
      <c r="S66" s="6"/>
      <c r="T66" s="156"/>
      <c r="U66" s="6"/>
    </row>
    <row r="67" spans="1:21" customFormat="1">
      <c r="A67" s="163" t="s">
        <v>2697</v>
      </c>
      <c r="B67" s="100">
        <v>4.2</v>
      </c>
      <c r="C67" s="100">
        <v>19.11</v>
      </c>
      <c r="D67" s="100">
        <v>14.7</v>
      </c>
      <c r="E67" s="100">
        <v>12.17</v>
      </c>
      <c r="F67" s="152" t="s">
        <v>15</v>
      </c>
      <c r="G67" s="100">
        <v>48.54</v>
      </c>
      <c r="H67" s="100">
        <v>38.25</v>
      </c>
      <c r="I67" s="100">
        <v>8.7100000000000009</v>
      </c>
      <c r="J67" s="100">
        <v>0.67</v>
      </c>
      <c r="K67" s="100">
        <v>25.58</v>
      </c>
      <c r="L67" s="100">
        <v>35.58</v>
      </c>
      <c r="M67" s="100">
        <v>16.05</v>
      </c>
      <c r="N67" s="100">
        <v>278.7</v>
      </c>
      <c r="O67" s="100">
        <v>0</v>
      </c>
      <c r="P67" s="100">
        <v>0.59</v>
      </c>
      <c r="Q67" s="100">
        <v>27.99</v>
      </c>
      <c r="R67" s="6"/>
      <c r="S67" s="6"/>
      <c r="T67" s="156"/>
      <c r="U67" s="6"/>
    </row>
    <row r="68" spans="1:21" customFormat="1">
      <c r="A68" s="163" t="s">
        <v>2698</v>
      </c>
      <c r="B68" s="100">
        <v>4.6500000000000004</v>
      </c>
      <c r="C68" s="100">
        <v>18.88</v>
      </c>
      <c r="D68" s="100">
        <v>14.94</v>
      </c>
      <c r="E68" s="100">
        <v>13.04</v>
      </c>
      <c r="F68" s="152" t="s">
        <v>15</v>
      </c>
      <c r="G68" s="100">
        <v>47.27</v>
      </c>
      <c r="H68" s="100">
        <v>38.25</v>
      </c>
      <c r="I68" s="100">
        <v>8.5</v>
      </c>
      <c r="J68" s="100">
        <v>0.5</v>
      </c>
      <c r="K68" s="100">
        <v>301.39</v>
      </c>
      <c r="L68" s="100">
        <v>35.119999999999997</v>
      </c>
      <c r="M68" s="100">
        <v>16.989999999999998</v>
      </c>
      <c r="N68" s="100">
        <v>135</v>
      </c>
      <c r="O68" s="100">
        <v>0</v>
      </c>
      <c r="P68" s="100">
        <v>0.55000000000000004</v>
      </c>
      <c r="Q68" s="100">
        <v>27.98</v>
      </c>
      <c r="R68" s="6"/>
      <c r="S68" s="6"/>
      <c r="T68" s="156"/>
      <c r="U68" s="6"/>
    </row>
    <row r="69" spans="1:21" customFormat="1">
      <c r="A69" s="163" t="s">
        <v>2699</v>
      </c>
      <c r="B69" s="100">
        <v>4.3499999999999996</v>
      </c>
      <c r="C69" s="100">
        <v>19.03</v>
      </c>
      <c r="D69" s="100">
        <v>14.78</v>
      </c>
      <c r="E69" s="100">
        <v>12.9</v>
      </c>
      <c r="F69" s="152" t="s">
        <v>15</v>
      </c>
      <c r="G69" s="100">
        <v>47.27</v>
      </c>
      <c r="H69" s="100">
        <v>38.25</v>
      </c>
      <c r="I69" s="100">
        <v>8.18</v>
      </c>
      <c r="J69" s="100">
        <v>0.19</v>
      </c>
      <c r="K69" s="100">
        <v>226.56</v>
      </c>
      <c r="L69" s="100">
        <v>34.64</v>
      </c>
      <c r="M69" s="100">
        <v>17.16</v>
      </c>
      <c r="N69" s="100">
        <v>70.2</v>
      </c>
      <c r="O69" s="100">
        <v>0</v>
      </c>
      <c r="P69" s="100">
        <v>0.53</v>
      </c>
      <c r="Q69" s="100">
        <v>27.99</v>
      </c>
      <c r="R69" s="6"/>
      <c r="S69" s="6"/>
      <c r="T69" s="156"/>
      <c r="U69" s="6"/>
    </row>
    <row r="70" spans="1:21" customFormat="1">
      <c r="A70" s="163" t="s">
        <v>2700</v>
      </c>
      <c r="B70" s="100">
        <v>3.61</v>
      </c>
      <c r="C70" s="100">
        <v>19.52</v>
      </c>
      <c r="D70" s="100">
        <v>14.45</v>
      </c>
      <c r="E70" s="100">
        <v>13.16</v>
      </c>
      <c r="F70" s="152" t="s">
        <v>15</v>
      </c>
      <c r="G70" s="100">
        <v>47.27</v>
      </c>
      <c r="H70" s="100">
        <v>38.25</v>
      </c>
      <c r="I70" s="100">
        <v>7.86</v>
      </c>
      <c r="J70" s="100">
        <v>0.12</v>
      </c>
      <c r="K70" s="100">
        <v>91.56</v>
      </c>
      <c r="L70" s="100">
        <v>34.53</v>
      </c>
      <c r="M70" s="100">
        <v>17.79</v>
      </c>
      <c r="N70" s="100">
        <v>66.7</v>
      </c>
      <c r="O70" s="100">
        <v>0</v>
      </c>
      <c r="P70" s="100">
        <v>0.54</v>
      </c>
      <c r="Q70" s="100">
        <v>27.98</v>
      </c>
      <c r="R70" s="6"/>
      <c r="S70" s="6"/>
      <c r="T70" s="156"/>
      <c r="U70" s="6"/>
    </row>
    <row r="71" spans="1:21" customFormat="1">
      <c r="A71" s="163" t="s">
        <v>2701</v>
      </c>
      <c r="B71" s="100">
        <v>3.35</v>
      </c>
      <c r="C71" s="100">
        <v>19.43</v>
      </c>
      <c r="D71" s="100">
        <v>14.19</v>
      </c>
      <c r="E71" s="100">
        <v>14.86</v>
      </c>
      <c r="F71" s="152" t="s">
        <v>15</v>
      </c>
      <c r="G71" s="100">
        <v>46.75</v>
      </c>
      <c r="H71" s="100">
        <v>36.299999999999997</v>
      </c>
      <c r="I71" s="100">
        <v>7.49</v>
      </c>
      <c r="J71" s="100">
        <v>7.0000000000000007E-2</v>
      </c>
      <c r="K71" s="100">
        <v>155.65</v>
      </c>
      <c r="L71" s="100">
        <v>34.71</v>
      </c>
      <c r="M71" s="100">
        <v>17.829999999999998</v>
      </c>
      <c r="N71" s="100">
        <v>67.3</v>
      </c>
      <c r="O71" s="100">
        <v>0</v>
      </c>
      <c r="P71" s="100">
        <v>0.53</v>
      </c>
      <c r="Q71" s="100">
        <v>27.98</v>
      </c>
      <c r="R71" s="6"/>
      <c r="S71" s="6"/>
      <c r="T71" s="156"/>
      <c r="U71" s="6"/>
    </row>
    <row r="72" spans="1:21" customFormat="1">
      <c r="A72" s="163" t="s">
        <v>2702</v>
      </c>
      <c r="B72" s="100">
        <v>3.27</v>
      </c>
      <c r="C72" s="100">
        <v>19.010000000000002</v>
      </c>
      <c r="D72" s="100">
        <v>13.9</v>
      </c>
      <c r="E72" s="100">
        <v>14.37</v>
      </c>
      <c r="F72" s="152" t="s">
        <v>15</v>
      </c>
      <c r="G72" s="100">
        <v>46.69</v>
      </c>
      <c r="H72" s="100">
        <v>36.299999999999997</v>
      </c>
      <c r="I72" s="100">
        <v>7.18</v>
      </c>
      <c r="J72" s="100">
        <v>0.18</v>
      </c>
      <c r="K72" s="100">
        <v>125.82</v>
      </c>
      <c r="L72" s="100">
        <v>34.54</v>
      </c>
      <c r="M72" s="100">
        <v>18.29</v>
      </c>
      <c r="N72" s="100">
        <v>65.5</v>
      </c>
      <c r="O72" s="100">
        <v>0</v>
      </c>
      <c r="P72" s="100">
        <v>0.51</v>
      </c>
      <c r="Q72" s="100">
        <v>27.98</v>
      </c>
      <c r="R72" s="6"/>
      <c r="S72" s="6"/>
      <c r="T72" s="156"/>
      <c r="U72" s="6"/>
    </row>
    <row r="73" spans="1:21" customFormat="1">
      <c r="A73" s="163" t="s">
        <v>2703</v>
      </c>
      <c r="B73" s="100">
        <v>3.27</v>
      </c>
      <c r="C73" s="100">
        <v>18.57</v>
      </c>
      <c r="D73" s="100">
        <v>13.67</v>
      </c>
      <c r="E73" s="100">
        <v>15.46</v>
      </c>
      <c r="F73" s="152" t="s">
        <v>15</v>
      </c>
      <c r="G73" s="100">
        <v>46.69</v>
      </c>
      <c r="H73" s="100">
        <v>36.299999999999997</v>
      </c>
      <c r="I73" s="100">
        <v>7.02</v>
      </c>
      <c r="J73" s="100">
        <v>0.19</v>
      </c>
      <c r="K73" s="100">
        <v>163.87</v>
      </c>
      <c r="L73" s="100">
        <v>34.44</v>
      </c>
      <c r="M73" s="100">
        <v>19.260000000000002</v>
      </c>
      <c r="N73" s="100">
        <v>67</v>
      </c>
      <c r="O73" s="100">
        <v>0</v>
      </c>
      <c r="P73" s="100">
        <v>0.5</v>
      </c>
      <c r="Q73" s="100">
        <v>27.96</v>
      </c>
      <c r="R73" s="6"/>
      <c r="S73" s="6"/>
      <c r="T73" s="156"/>
      <c r="U73" s="6"/>
    </row>
    <row r="74" spans="1:21" customFormat="1">
      <c r="A74" s="163" t="s">
        <v>2704</v>
      </c>
      <c r="B74" s="100">
        <v>3.23</v>
      </c>
      <c r="C74" s="100">
        <v>18.16</v>
      </c>
      <c r="D74" s="100">
        <v>13.43</v>
      </c>
      <c r="E74" s="100">
        <v>14.95</v>
      </c>
      <c r="F74" s="152" t="s">
        <v>15</v>
      </c>
      <c r="G74" s="100">
        <v>46.69</v>
      </c>
      <c r="H74" s="100">
        <v>36.299999999999997</v>
      </c>
      <c r="I74" s="100">
        <v>6.93</v>
      </c>
      <c r="J74" s="100">
        <v>0.25</v>
      </c>
      <c r="K74" s="100">
        <v>147.16</v>
      </c>
      <c r="L74" s="100">
        <v>34.409999999999997</v>
      </c>
      <c r="M74" s="100">
        <v>18.559999999999999</v>
      </c>
      <c r="N74" s="100">
        <v>51.7</v>
      </c>
      <c r="O74" s="100">
        <v>0</v>
      </c>
      <c r="P74" s="100">
        <v>0.51</v>
      </c>
      <c r="Q74" s="100">
        <v>27.97</v>
      </c>
      <c r="R74" s="6"/>
      <c r="S74" s="6"/>
      <c r="T74" s="156"/>
      <c r="U74" s="6"/>
    </row>
    <row r="75" spans="1:21" customFormat="1">
      <c r="A75" s="163" t="s">
        <v>2705</v>
      </c>
      <c r="B75" s="100">
        <v>3.21</v>
      </c>
      <c r="C75" s="100">
        <v>17.84</v>
      </c>
      <c r="D75" s="100">
        <v>13.24</v>
      </c>
      <c r="E75" s="100">
        <v>16.079999999999998</v>
      </c>
      <c r="F75" s="152" t="s">
        <v>15</v>
      </c>
      <c r="G75" s="100">
        <v>45.08</v>
      </c>
      <c r="H75" s="100">
        <v>33.659999999999997</v>
      </c>
      <c r="I75" s="100">
        <v>6.7</v>
      </c>
      <c r="J75" s="100">
        <v>0.21</v>
      </c>
      <c r="K75" s="100">
        <v>157.13999999999999</v>
      </c>
      <c r="L75" s="100">
        <v>33.96</v>
      </c>
      <c r="M75" s="100">
        <v>19.59</v>
      </c>
      <c r="N75" s="100">
        <v>42.8</v>
      </c>
      <c r="O75" s="100">
        <v>0</v>
      </c>
      <c r="P75" s="100">
        <v>0.5</v>
      </c>
      <c r="Q75" s="100">
        <v>27.99</v>
      </c>
      <c r="R75" s="6"/>
      <c r="S75" s="6"/>
      <c r="T75" s="156"/>
      <c r="U75" s="6"/>
    </row>
    <row r="76" spans="1:21" customFormat="1">
      <c r="A76" s="163" t="s">
        <v>2706</v>
      </c>
      <c r="B76" s="100">
        <v>3.21</v>
      </c>
      <c r="C76" s="100">
        <v>17.649999999999999</v>
      </c>
      <c r="D76" s="100">
        <v>13.14</v>
      </c>
      <c r="E76" s="100">
        <v>18.8</v>
      </c>
      <c r="F76" s="152" t="s">
        <v>15</v>
      </c>
      <c r="G76" s="100">
        <v>44.88</v>
      </c>
      <c r="H76" s="100">
        <v>33.659999999999997</v>
      </c>
      <c r="I76" s="100">
        <v>6.56</v>
      </c>
      <c r="J76" s="100">
        <v>0.22</v>
      </c>
      <c r="K76" s="100">
        <v>44.29</v>
      </c>
      <c r="L76" s="100">
        <v>33.729999999999997</v>
      </c>
      <c r="M76" s="100">
        <v>19.77</v>
      </c>
      <c r="N76" s="100">
        <v>31.8</v>
      </c>
      <c r="O76" s="100">
        <v>0</v>
      </c>
      <c r="P76" s="100">
        <v>0.53</v>
      </c>
      <c r="Q76" s="100">
        <v>27.98</v>
      </c>
      <c r="R76" s="6"/>
      <c r="S76" s="6"/>
      <c r="T76" s="156"/>
      <c r="U76" s="6"/>
    </row>
    <row r="77" spans="1:21" customFormat="1">
      <c r="A77" s="163" t="s">
        <v>2707</v>
      </c>
      <c r="B77" s="100">
        <v>3.26</v>
      </c>
      <c r="C77" s="100">
        <v>18.09</v>
      </c>
      <c r="D77" s="100">
        <v>13.41</v>
      </c>
      <c r="E77" s="100">
        <v>19.670000000000002</v>
      </c>
      <c r="F77" s="152" t="s">
        <v>15</v>
      </c>
      <c r="G77" s="100">
        <v>44.88</v>
      </c>
      <c r="H77" s="100">
        <v>33.659999999999997</v>
      </c>
      <c r="I77" s="100">
        <v>6.45</v>
      </c>
      <c r="J77" s="100">
        <v>0.24</v>
      </c>
      <c r="K77" s="100">
        <v>154.49</v>
      </c>
      <c r="L77" s="100">
        <v>33.090000000000003</v>
      </c>
      <c r="M77" s="100">
        <v>23.04</v>
      </c>
      <c r="N77" s="100">
        <v>25.6</v>
      </c>
      <c r="O77" s="100">
        <v>0</v>
      </c>
      <c r="P77" s="100">
        <v>0.54</v>
      </c>
      <c r="Q77" s="100">
        <v>27.98</v>
      </c>
      <c r="R77" s="6"/>
      <c r="S77" s="6"/>
      <c r="T77" s="156"/>
      <c r="U77" s="6"/>
    </row>
    <row r="78" spans="1:21" customFormat="1">
      <c r="A78" s="163" t="s">
        <v>2708</v>
      </c>
      <c r="B78" s="100">
        <v>3.34</v>
      </c>
      <c r="C78" s="100">
        <v>18.809999999999999</v>
      </c>
      <c r="D78" s="100">
        <v>13.86</v>
      </c>
      <c r="E78" s="100">
        <v>19.16</v>
      </c>
      <c r="F78" s="152" t="s">
        <v>15</v>
      </c>
      <c r="G78" s="100">
        <v>44.88</v>
      </c>
      <c r="H78" s="100">
        <v>33.659999999999997</v>
      </c>
      <c r="I78" s="100">
        <v>6.6</v>
      </c>
      <c r="J78" s="100">
        <v>0.25</v>
      </c>
      <c r="K78" s="100">
        <v>166.4</v>
      </c>
      <c r="L78" s="100">
        <v>32.33</v>
      </c>
      <c r="M78" s="100">
        <v>25.41</v>
      </c>
      <c r="N78" s="100">
        <v>21</v>
      </c>
      <c r="O78" s="100">
        <v>0</v>
      </c>
      <c r="P78" s="100">
        <v>0.56000000000000005</v>
      </c>
      <c r="Q78" s="100">
        <v>27.97</v>
      </c>
      <c r="R78" s="6"/>
      <c r="S78" s="6"/>
      <c r="T78" s="156"/>
      <c r="U78" s="6"/>
    </row>
    <row r="79" spans="1:21" customFormat="1">
      <c r="A79" s="163" t="s">
        <v>2709</v>
      </c>
      <c r="B79" s="100">
        <v>3.35</v>
      </c>
      <c r="C79" s="100">
        <v>19.190000000000001</v>
      </c>
      <c r="D79" s="100">
        <v>14.06</v>
      </c>
      <c r="E79" s="100">
        <v>17.79</v>
      </c>
      <c r="F79" s="152" t="s">
        <v>15</v>
      </c>
      <c r="G79" s="100">
        <v>49.01</v>
      </c>
      <c r="H79" s="100">
        <v>34.979999999999997</v>
      </c>
      <c r="I79" s="100">
        <v>6.79</v>
      </c>
      <c r="J79" s="100">
        <v>0.32</v>
      </c>
      <c r="K79" s="100">
        <v>165.18</v>
      </c>
      <c r="L79" s="100">
        <v>31.42</v>
      </c>
      <c r="M79" s="100">
        <v>28.99</v>
      </c>
      <c r="N79" s="100">
        <v>12.5</v>
      </c>
      <c r="O79" s="100">
        <v>0</v>
      </c>
      <c r="P79" s="100">
        <v>0.56999999999999995</v>
      </c>
      <c r="Q79" s="100">
        <v>27.99</v>
      </c>
      <c r="R79" s="6"/>
      <c r="S79" s="6"/>
      <c r="T79" s="156"/>
      <c r="U79" s="6"/>
    </row>
    <row r="80" spans="1:21" customFormat="1">
      <c r="A80" s="163" t="s">
        <v>2710</v>
      </c>
      <c r="B80" s="100">
        <v>3.37</v>
      </c>
      <c r="C80" s="100">
        <v>19.760000000000002</v>
      </c>
      <c r="D80" s="100">
        <v>14.38</v>
      </c>
      <c r="E80" s="100">
        <v>15.67</v>
      </c>
      <c r="F80" s="152" t="s">
        <v>15</v>
      </c>
      <c r="G80" s="100">
        <v>49.52</v>
      </c>
      <c r="H80" s="100">
        <v>34.979999999999997</v>
      </c>
      <c r="I80" s="100">
        <v>6.84</v>
      </c>
      <c r="J80" s="100">
        <v>0.25</v>
      </c>
      <c r="K80" s="100">
        <v>123.46</v>
      </c>
      <c r="L80" s="100">
        <v>30.82</v>
      </c>
      <c r="M80" s="100">
        <v>29.67</v>
      </c>
      <c r="N80" s="100">
        <v>4.5999999999999996</v>
      </c>
      <c r="O80" s="100">
        <v>0</v>
      </c>
      <c r="P80" s="100">
        <v>0.63</v>
      </c>
      <c r="Q80" s="100">
        <v>28.01</v>
      </c>
      <c r="R80" s="6"/>
      <c r="S80" s="6"/>
      <c r="T80" s="156"/>
      <c r="U80" s="6"/>
    </row>
    <row r="81" spans="1:21" customFormat="1">
      <c r="A81" s="163" t="s">
        <v>2711</v>
      </c>
      <c r="B81" s="100">
        <v>3.4</v>
      </c>
      <c r="C81" s="100">
        <v>20.97</v>
      </c>
      <c r="D81" s="100">
        <v>15.03</v>
      </c>
      <c r="E81" s="100">
        <v>9.7899999999999991</v>
      </c>
      <c r="F81" s="152" t="s">
        <v>15</v>
      </c>
      <c r="G81" s="100">
        <v>49.52</v>
      </c>
      <c r="H81" s="100">
        <v>34.979999999999997</v>
      </c>
      <c r="I81" s="100">
        <v>7</v>
      </c>
      <c r="J81" s="100">
        <v>0.25</v>
      </c>
      <c r="K81" s="100">
        <v>148.47</v>
      </c>
      <c r="L81" s="100">
        <v>30.28</v>
      </c>
      <c r="M81" s="100">
        <v>31.24</v>
      </c>
      <c r="N81" s="100">
        <v>2.1</v>
      </c>
      <c r="O81" s="100">
        <v>0</v>
      </c>
      <c r="P81" s="100">
        <v>0.65</v>
      </c>
      <c r="Q81" s="100">
        <v>27.99</v>
      </c>
      <c r="R81" s="6"/>
      <c r="S81" s="6"/>
      <c r="T81" s="156"/>
      <c r="U81" s="6"/>
    </row>
    <row r="82" spans="1:21" customFormat="1">
      <c r="A82" s="163" t="s">
        <v>2712</v>
      </c>
      <c r="B82" s="100">
        <v>3.48</v>
      </c>
      <c r="C82" s="100">
        <v>22.42</v>
      </c>
      <c r="D82" s="100">
        <v>15.85</v>
      </c>
      <c r="E82" s="100">
        <v>13.31</v>
      </c>
      <c r="F82" s="152" t="s">
        <v>15</v>
      </c>
      <c r="G82" s="100">
        <v>49.52</v>
      </c>
      <c r="H82" s="100">
        <v>34.979999999999997</v>
      </c>
      <c r="I82" s="100">
        <v>7.27</v>
      </c>
      <c r="J82" s="100">
        <v>0.17</v>
      </c>
      <c r="K82" s="100">
        <v>115.6</v>
      </c>
      <c r="L82" s="100">
        <v>29.78</v>
      </c>
      <c r="M82" s="100">
        <v>31.5</v>
      </c>
      <c r="N82" s="100">
        <v>1.3</v>
      </c>
      <c r="O82" s="100">
        <v>0</v>
      </c>
      <c r="P82" s="100">
        <v>0.74</v>
      </c>
      <c r="Q82" s="100">
        <v>27.98</v>
      </c>
      <c r="R82" s="6"/>
      <c r="S82" s="6"/>
      <c r="T82" s="156"/>
      <c r="U82" s="6"/>
    </row>
    <row r="83" spans="1:21" customFormat="1">
      <c r="A83" s="163" t="s">
        <v>2713</v>
      </c>
      <c r="B83" s="100">
        <v>3.63</v>
      </c>
      <c r="C83" s="100">
        <v>24.02</v>
      </c>
      <c r="D83" s="100">
        <v>16.809999999999999</v>
      </c>
      <c r="E83" s="100">
        <v>12.45</v>
      </c>
      <c r="F83" s="152" t="s">
        <v>15</v>
      </c>
      <c r="G83" s="100">
        <v>69.66</v>
      </c>
      <c r="H83" s="100">
        <v>38.619999999999997</v>
      </c>
      <c r="I83" s="100">
        <v>7.69</v>
      </c>
      <c r="J83" s="100">
        <v>0.26</v>
      </c>
      <c r="K83" s="100">
        <v>162.36000000000001</v>
      </c>
      <c r="L83" s="100">
        <v>29.27</v>
      </c>
      <c r="M83" s="100">
        <v>33.21</v>
      </c>
      <c r="N83" s="100">
        <v>1.5</v>
      </c>
      <c r="O83" s="100">
        <v>0</v>
      </c>
      <c r="P83" s="100">
        <v>0.72</v>
      </c>
      <c r="Q83" s="100">
        <v>28.01</v>
      </c>
      <c r="R83" s="6"/>
      <c r="S83" s="6"/>
      <c r="T83" s="156"/>
      <c r="U83" s="6"/>
    </row>
    <row r="84" spans="1:21" customFormat="1">
      <c r="A84" s="163" t="s">
        <v>2714</v>
      </c>
      <c r="B84" s="100">
        <v>3.73</v>
      </c>
      <c r="C84" s="100">
        <v>25.25</v>
      </c>
      <c r="D84" s="100">
        <v>17.54</v>
      </c>
      <c r="E84" s="100">
        <v>11.76</v>
      </c>
      <c r="F84" s="152" t="s">
        <v>15</v>
      </c>
      <c r="G84" s="100">
        <v>72.180000000000007</v>
      </c>
      <c r="H84" s="100">
        <v>38.619999999999997</v>
      </c>
      <c r="I84" s="100">
        <v>8.2100000000000009</v>
      </c>
      <c r="J84" s="100">
        <v>0.28000000000000003</v>
      </c>
      <c r="K84" s="100">
        <v>166.56</v>
      </c>
      <c r="L84" s="100">
        <v>28.27</v>
      </c>
      <c r="M84" s="100">
        <v>43.68</v>
      </c>
      <c r="N84" s="100">
        <v>1.7</v>
      </c>
      <c r="O84" s="100">
        <v>0</v>
      </c>
      <c r="P84" s="100">
        <v>0.72</v>
      </c>
      <c r="Q84" s="100">
        <v>28.03</v>
      </c>
      <c r="R84" s="6"/>
      <c r="S84" s="6"/>
      <c r="T84" s="156"/>
      <c r="U84" s="6"/>
    </row>
    <row r="85" spans="1:21" customFormat="1">
      <c r="A85" s="163" t="s">
        <v>2715</v>
      </c>
      <c r="B85" s="100">
        <v>3.85</v>
      </c>
      <c r="C85" s="100">
        <v>26.07</v>
      </c>
      <c r="D85" s="100">
        <v>18.059999999999999</v>
      </c>
      <c r="E85" s="100">
        <v>12.04</v>
      </c>
      <c r="F85" s="152" t="s">
        <v>15</v>
      </c>
      <c r="G85" s="100">
        <v>72.180000000000007</v>
      </c>
      <c r="H85" s="100">
        <v>38.619999999999997</v>
      </c>
      <c r="I85" s="100">
        <v>8.43</v>
      </c>
      <c r="J85" s="100">
        <v>0.21</v>
      </c>
      <c r="K85" s="100">
        <v>200.1</v>
      </c>
      <c r="L85" s="100">
        <v>27</v>
      </c>
      <c r="M85" s="100">
        <v>46.42</v>
      </c>
      <c r="N85" s="100">
        <v>1.9</v>
      </c>
      <c r="O85" s="100">
        <v>0</v>
      </c>
      <c r="P85" s="100">
        <v>0.83</v>
      </c>
      <c r="Q85" s="100">
        <v>28.03</v>
      </c>
      <c r="R85" s="6"/>
      <c r="S85" s="6"/>
      <c r="T85" s="156"/>
      <c r="U85" s="6"/>
    </row>
    <row r="86" spans="1:21" customFormat="1">
      <c r="A86" s="163" t="s">
        <v>2716</v>
      </c>
      <c r="B86" s="100">
        <v>4.05</v>
      </c>
      <c r="C86" s="100">
        <v>26.11</v>
      </c>
      <c r="D86" s="100">
        <v>18.239999999999998</v>
      </c>
      <c r="E86" s="100">
        <v>13.1</v>
      </c>
      <c r="F86" s="152" t="s">
        <v>15</v>
      </c>
      <c r="G86" s="100">
        <v>72.180000000000007</v>
      </c>
      <c r="H86" s="100">
        <v>38.619999999999997</v>
      </c>
      <c r="I86" s="100">
        <v>8.4499999999999993</v>
      </c>
      <c r="J86" s="100">
        <v>0.2</v>
      </c>
      <c r="K86" s="100">
        <v>198.21</v>
      </c>
      <c r="L86" s="100">
        <v>26.27</v>
      </c>
      <c r="M86" s="100">
        <v>46.66</v>
      </c>
      <c r="N86" s="100">
        <v>1.5</v>
      </c>
      <c r="O86" s="100">
        <v>0</v>
      </c>
      <c r="P86" s="100">
        <v>0.86</v>
      </c>
      <c r="Q86" s="100">
        <v>28.04</v>
      </c>
      <c r="R86" s="6"/>
      <c r="S86" s="6"/>
      <c r="T86" s="156"/>
      <c r="U86" s="6"/>
    </row>
    <row r="87" spans="1:21" customFormat="1">
      <c r="A87" s="163" t="s">
        <v>2717</v>
      </c>
      <c r="B87" s="100">
        <v>4.28</v>
      </c>
      <c r="C87" s="100">
        <v>25.73</v>
      </c>
      <c r="D87" s="100">
        <v>18.23</v>
      </c>
      <c r="E87" s="100">
        <v>12.87</v>
      </c>
      <c r="F87" s="152" t="s">
        <v>15</v>
      </c>
      <c r="G87" s="100">
        <v>78.62</v>
      </c>
      <c r="H87" s="100">
        <v>41.92</v>
      </c>
      <c r="I87" s="100">
        <v>8.7899999999999991</v>
      </c>
      <c r="J87" s="100">
        <v>0.18</v>
      </c>
      <c r="K87" s="100">
        <v>161.4</v>
      </c>
      <c r="L87" s="100">
        <v>25.89</v>
      </c>
      <c r="M87" s="100">
        <v>46.48</v>
      </c>
      <c r="N87" s="100">
        <v>1</v>
      </c>
      <c r="O87" s="100">
        <v>0</v>
      </c>
      <c r="P87" s="100">
        <v>0.85</v>
      </c>
      <c r="Q87" s="100">
        <v>28.03</v>
      </c>
      <c r="R87" s="6"/>
      <c r="S87" s="6"/>
      <c r="T87" s="156"/>
      <c r="U87" s="6"/>
    </row>
    <row r="88" spans="1:21" customFormat="1">
      <c r="A88" s="163" t="s">
        <v>2718</v>
      </c>
      <c r="B88" s="100">
        <v>4.47</v>
      </c>
      <c r="C88" s="100">
        <v>25.07</v>
      </c>
      <c r="D88" s="100">
        <v>18.03</v>
      </c>
      <c r="E88" s="100">
        <v>12.95</v>
      </c>
      <c r="F88" s="152" t="s">
        <v>15</v>
      </c>
      <c r="G88" s="100">
        <v>79.430000000000007</v>
      </c>
      <c r="H88" s="100">
        <v>41.92</v>
      </c>
      <c r="I88" s="100">
        <v>9.1300000000000008</v>
      </c>
      <c r="J88" s="100">
        <v>0.16</v>
      </c>
      <c r="K88" s="100">
        <v>191.55</v>
      </c>
      <c r="L88" s="100">
        <v>25.76</v>
      </c>
      <c r="M88" s="100">
        <v>45.52</v>
      </c>
      <c r="N88" s="100">
        <v>1.1000000000000001</v>
      </c>
      <c r="O88" s="100">
        <v>0</v>
      </c>
      <c r="P88" s="100">
        <v>0.83</v>
      </c>
      <c r="Q88" s="100">
        <v>28.04</v>
      </c>
      <c r="R88" s="6"/>
      <c r="S88" s="6"/>
      <c r="T88" s="156"/>
      <c r="U88" s="6"/>
    </row>
    <row r="89" spans="1:21" customFormat="1">
      <c r="A89" s="163" t="s">
        <v>2719</v>
      </c>
      <c r="B89" s="100">
        <v>4.5199999999999996</v>
      </c>
      <c r="C89" s="100">
        <v>24.48</v>
      </c>
      <c r="D89" s="100">
        <v>17.77</v>
      </c>
      <c r="E89" s="100">
        <v>12.24</v>
      </c>
      <c r="F89" s="152" t="s">
        <v>15</v>
      </c>
      <c r="G89" s="100">
        <v>79.430000000000007</v>
      </c>
      <c r="H89" s="100">
        <v>41.92</v>
      </c>
      <c r="I89" s="100">
        <v>9.14</v>
      </c>
      <c r="J89" s="100">
        <v>0.21</v>
      </c>
      <c r="K89" s="100">
        <v>185.85</v>
      </c>
      <c r="L89" s="100">
        <v>25.07</v>
      </c>
      <c r="M89" s="100">
        <v>53.17</v>
      </c>
      <c r="N89" s="100">
        <v>1.4</v>
      </c>
      <c r="O89" s="100">
        <v>0</v>
      </c>
      <c r="P89" s="100">
        <v>0.83</v>
      </c>
      <c r="Q89" s="100">
        <v>28.05</v>
      </c>
      <c r="R89" s="6"/>
      <c r="S89" s="6"/>
      <c r="T89" s="156"/>
      <c r="U89" s="6"/>
    </row>
    <row r="90" spans="1:21" customFormat="1">
      <c r="A90" s="163" t="s">
        <v>2720</v>
      </c>
      <c r="B90" s="100">
        <v>4.53</v>
      </c>
      <c r="C90" s="100">
        <v>23.8</v>
      </c>
      <c r="D90" s="100">
        <v>17.420000000000002</v>
      </c>
      <c r="E90" s="100">
        <v>10.87</v>
      </c>
      <c r="F90" s="152" t="s">
        <v>15</v>
      </c>
      <c r="G90" s="100">
        <v>79.430000000000007</v>
      </c>
      <c r="H90" s="100">
        <v>41.92</v>
      </c>
      <c r="I90" s="100">
        <v>9.0399999999999991</v>
      </c>
      <c r="J90" s="100">
        <v>0.15</v>
      </c>
      <c r="K90" s="100">
        <v>171.14</v>
      </c>
      <c r="L90" s="100">
        <v>24.78</v>
      </c>
      <c r="M90" s="100">
        <v>48.21</v>
      </c>
      <c r="N90" s="100">
        <v>0.9</v>
      </c>
      <c r="O90" s="100">
        <v>0</v>
      </c>
      <c r="P90" s="100">
        <v>0.85</v>
      </c>
      <c r="Q90" s="100">
        <v>28.04</v>
      </c>
      <c r="R90" s="6"/>
      <c r="S90" s="6"/>
      <c r="T90" s="156"/>
      <c r="U90" s="6"/>
    </row>
    <row r="91" spans="1:21" customFormat="1">
      <c r="A91" s="163" t="s">
        <v>2721</v>
      </c>
      <c r="B91" s="100">
        <v>4.58</v>
      </c>
      <c r="C91" s="100">
        <v>23.41</v>
      </c>
      <c r="D91" s="100">
        <v>17.25</v>
      </c>
      <c r="E91" s="100">
        <v>10.91</v>
      </c>
      <c r="F91" s="152" t="s">
        <v>15</v>
      </c>
      <c r="G91" s="100">
        <v>90.98</v>
      </c>
      <c r="H91" s="100">
        <v>37.799999999999997</v>
      </c>
      <c r="I91" s="100">
        <v>9.15</v>
      </c>
      <c r="J91" s="100">
        <v>0.25</v>
      </c>
      <c r="K91" s="100">
        <v>180.03</v>
      </c>
      <c r="L91" s="100">
        <v>24.56</v>
      </c>
      <c r="M91" s="100">
        <v>54.72</v>
      </c>
      <c r="N91" s="100">
        <v>1.2</v>
      </c>
      <c r="O91" s="100">
        <v>0</v>
      </c>
      <c r="P91" s="100">
        <v>0.85</v>
      </c>
      <c r="Q91" s="100">
        <v>28.06</v>
      </c>
      <c r="R91" s="6"/>
      <c r="S91" s="6"/>
      <c r="T91" s="156"/>
      <c r="U91" s="6"/>
    </row>
    <row r="92" spans="1:21" customFormat="1">
      <c r="A92" s="163" t="s">
        <v>2722</v>
      </c>
      <c r="B92" s="100">
        <v>4.72</v>
      </c>
      <c r="C92" s="100">
        <v>22.88</v>
      </c>
      <c r="D92" s="100">
        <v>17.09</v>
      </c>
      <c r="E92" s="100">
        <v>11.32</v>
      </c>
      <c r="F92" s="152" t="s">
        <v>15</v>
      </c>
      <c r="G92" s="100">
        <v>92.42</v>
      </c>
      <c r="H92" s="100">
        <v>37.799999999999997</v>
      </c>
      <c r="I92" s="100">
        <v>9.2899999999999991</v>
      </c>
      <c r="J92" s="100">
        <v>0.19</v>
      </c>
      <c r="K92" s="100">
        <v>175.73</v>
      </c>
      <c r="L92" s="100">
        <v>24.28</v>
      </c>
      <c r="M92" s="100">
        <v>53.91</v>
      </c>
      <c r="N92" s="100">
        <v>0.9</v>
      </c>
      <c r="O92" s="100">
        <v>0</v>
      </c>
      <c r="P92" s="100">
        <v>0.86</v>
      </c>
      <c r="Q92" s="100">
        <v>28.08</v>
      </c>
      <c r="R92" s="6"/>
      <c r="S92" s="6"/>
      <c r="T92" s="156"/>
      <c r="U92" s="6"/>
    </row>
    <row r="93" spans="1:21" customFormat="1">
      <c r="A93" s="163" t="s">
        <v>2723</v>
      </c>
      <c r="B93" s="100">
        <v>4.8600000000000003</v>
      </c>
      <c r="C93" s="100">
        <v>22.64</v>
      </c>
      <c r="D93" s="100">
        <v>17.07</v>
      </c>
      <c r="E93" s="100">
        <v>10.91</v>
      </c>
      <c r="F93" s="152" t="s">
        <v>15</v>
      </c>
      <c r="G93" s="100">
        <v>92.42</v>
      </c>
      <c r="H93" s="100">
        <v>37.799999999999997</v>
      </c>
      <c r="I93" s="100">
        <v>9.42</v>
      </c>
      <c r="J93" s="100">
        <v>0.15</v>
      </c>
      <c r="K93" s="100">
        <v>207.43</v>
      </c>
      <c r="L93" s="100">
        <v>24.28</v>
      </c>
      <c r="M93" s="100">
        <v>48.68</v>
      </c>
      <c r="N93" s="100">
        <v>0.7</v>
      </c>
      <c r="O93" s="100">
        <v>0</v>
      </c>
      <c r="P93" s="100">
        <v>0.87</v>
      </c>
      <c r="Q93" s="100">
        <v>28.08</v>
      </c>
      <c r="R93" s="6"/>
      <c r="S93" s="6"/>
      <c r="T93" s="156"/>
      <c r="U93" s="6"/>
    </row>
    <row r="94" spans="1:21" customFormat="1">
      <c r="A94" s="163" t="s">
        <v>2724</v>
      </c>
      <c r="B94" s="100">
        <v>4.9400000000000004</v>
      </c>
      <c r="C94" s="100">
        <v>22.41</v>
      </c>
      <c r="D94" s="100">
        <v>17.02</v>
      </c>
      <c r="E94" s="100">
        <v>11.14</v>
      </c>
      <c r="F94" s="152" t="s">
        <v>15</v>
      </c>
      <c r="G94" s="100">
        <v>92.42</v>
      </c>
      <c r="H94" s="100">
        <v>37.799999999999997</v>
      </c>
      <c r="I94" s="100">
        <v>9.51</v>
      </c>
      <c r="J94" s="100">
        <v>0.11</v>
      </c>
      <c r="K94" s="100">
        <v>211.78</v>
      </c>
      <c r="L94" s="100">
        <v>24</v>
      </c>
      <c r="M94" s="100">
        <v>49.26</v>
      </c>
      <c r="N94" s="100">
        <v>1</v>
      </c>
      <c r="O94" s="100">
        <v>0</v>
      </c>
      <c r="P94" s="100">
        <v>0.88</v>
      </c>
      <c r="Q94" s="100">
        <v>28.08</v>
      </c>
      <c r="R94" s="6"/>
      <c r="S94" s="6"/>
      <c r="T94" s="156"/>
      <c r="U94" s="6"/>
    </row>
    <row r="95" spans="1:21" customFormat="1">
      <c r="A95" s="163" t="s">
        <v>2725</v>
      </c>
      <c r="B95" s="100">
        <v>5.09</v>
      </c>
      <c r="C95" s="100">
        <v>22.08</v>
      </c>
      <c r="D95" s="100">
        <v>16.97</v>
      </c>
      <c r="E95" s="100">
        <v>11.74</v>
      </c>
      <c r="F95" s="152" t="s">
        <v>15</v>
      </c>
      <c r="G95" s="100">
        <v>101.15</v>
      </c>
      <c r="H95" s="100">
        <v>37.42</v>
      </c>
      <c r="I95" s="100">
        <v>9.6</v>
      </c>
      <c r="J95" s="100">
        <v>0.15</v>
      </c>
      <c r="K95" s="100">
        <v>158.74</v>
      </c>
      <c r="L95" s="100">
        <v>24</v>
      </c>
      <c r="M95" s="100">
        <v>49.56</v>
      </c>
      <c r="N95" s="100">
        <v>0.7</v>
      </c>
      <c r="O95" s="100">
        <v>0</v>
      </c>
      <c r="P95" s="100">
        <v>0.91</v>
      </c>
      <c r="Q95" s="100">
        <v>28.11</v>
      </c>
      <c r="R95" s="6"/>
      <c r="S95" s="6"/>
      <c r="T95" s="156"/>
      <c r="U95" s="6"/>
    </row>
    <row r="96" spans="1:21" customFormat="1">
      <c r="A96" s="163" t="s">
        <v>2726</v>
      </c>
      <c r="B96" s="100">
        <v>5.51</v>
      </c>
      <c r="C96" s="100">
        <v>22.25</v>
      </c>
      <c r="D96" s="100">
        <v>17.399999999999999</v>
      </c>
      <c r="E96" s="100">
        <v>11.14</v>
      </c>
      <c r="F96" s="152" t="s">
        <v>15</v>
      </c>
      <c r="G96" s="100">
        <v>102.24</v>
      </c>
      <c r="H96" s="100">
        <v>37.42</v>
      </c>
      <c r="I96" s="100">
        <v>9.7200000000000006</v>
      </c>
      <c r="J96" s="100">
        <v>0.24</v>
      </c>
      <c r="K96" s="100">
        <v>189.74</v>
      </c>
      <c r="L96" s="100">
        <v>23.52</v>
      </c>
      <c r="M96" s="100">
        <v>56.78</v>
      </c>
      <c r="N96" s="100">
        <v>1.3</v>
      </c>
      <c r="O96" s="100">
        <v>0</v>
      </c>
      <c r="P96" s="100">
        <v>0.9</v>
      </c>
      <c r="Q96" s="100">
        <v>28.1</v>
      </c>
      <c r="R96" s="6"/>
      <c r="S96" s="6"/>
      <c r="T96" s="156"/>
      <c r="U96" s="6"/>
    </row>
    <row r="97" spans="1:28" customFormat="1">
      <c r="A97" s="163" t="s">
        <v>2727</v>
      </c>
      <c r="B97" s="100">
        <v>5.74</v>
      </c>
      <c r="C97" s="100">
        <v>22.19</v>
      </c>
      <c r="D97" s="100">
        <v>17.55</v>
      </c>
      <c r="E97" s="100">
        <v>10.71</v>
      </c>
      <c r="F97" s="152" t="s">
        <v>15</v>
      </c>
      <c r="G97" s="100">
        <v>102.24</v>
      </c>
      <c r="H97" s="100">
        <v>37.42</v>
      </c>
      <c r="I97" s="100">
        <v>9.89</v>
      </c>
      <c r="J97" s="100">
        <v>0.19</v>
      </c>
      <c r="K97" s="100">
        <v>186.93</v>
      </c>
      <c r="L97" s="100">
        <v>22.81</v>
      </c>
      <c r="M97" s="100">
        <v>59.21</v>
      </c>
      <c r="N97" s="100">
        <v>1.4</v>
      </c>
      <c r="O97" s="100">
        <v>0</v>
      </c>
      <c r="P97" s="100">
        <v>0.9</v>
      </c>
      <c r="Q97" s="100">
        <v>28.1</v>
      </c>
      <c r="R97" s="6"/>
      <c r="S97" s="6"/>
      <c r="T97" s="156"/>
      <c r="U97" s="6"/>
    </row>
    <row r="98" spans="1:28" customFormat="1">
      <c r="A98" s="163" t="s">
        <v>2728</v>
      </c>
      <c r="B98" s="100">
        <v>5.91</v>
      </c>
      <c r="C98" s="100">
        <v>21.84</v>
      </c>
      <c r="D98" s="100">
        <v>17.5</v>
      </c>
      <c r="E98" s="100">
        <v>10.42</v>
      </c>
      <c r="F98" s="152" t="s">
        <v>15</v>
      </c>
      <c r="G98" s="100">
        <v>102.24</v>
      </c>
      <c r="H98" s="100">
        <v>37.42</v>
      </c>
      <c r="I98" s="100">
        <v>9.92</v>
      </c>
      <c r="J98" s="100">
        <v>0.2</v>
      </c>
      <c r="K98" s="100">
        <v>167.23</v>
      </c>
      <c r="L98" s="100">
        <v>22.75</v>
      </c>
      <c r="M98" s="100">
        <v>59.06</v>
      </c>
      <c r="N98" s="100">
        <v>0.9</v>
      </c>
      <c r="O98" s="100">
        <v>0</v>
      </c>
      <c r="P98" s="100">
        <v>0.92</v>
      </c>
      <c r="Q98" s="100">
        <v>28.12</v>
      </c>
      <c r="R98" s="6"/>
      <c r="S98" s="6"/>
      <c r="T98" s="156"/>
      <c r="U98" s="6"/>
    </row>
    <row r="99" spans="1:28" customFormat="1">
      <c r="A99" s="163" t="s">
        <v>2729</v>
      </c>
      <c r="B99" s="100">
        <v>6.05</v>
      </c>
      <c r="C99" s="100">
        <v>21.66</v>
      </c>
      <c r="D99" s="100">
        <v>17.510000000000002</v>
      </c>
      <c r="E99" s="100">
        <v>10.62</v>
      </c>
      <c r="F99" s="152" t="s">
        <v>15</v>
      </c>
      <c r="G99" s="100">
        <v>107.37</v>
      </c>
      <c r="H99" s="100">
        <v>34.43</v>
      </c>
      <c r="I99" s="100">
        <v>9.93</v>
      </c>
      <c r="J99" s="100">
        <v>0.19</v>
      </c>
      <c r="K99" s="100">
        <v>194.98</v>
      </c>
      <c r="L99" s="100">
        <v>22.68</v>
      </c>
      <c r="M99" s="100">
        <v>61.31</v>
      </c>
      <c r="N99" s="100">
        <v>1</v>
      </c>
      <c r="O99" s="100">
        <v>0</v>
      </c>
      <c r="P99" s="100">
        <v>0.93</v>
      </c>
      <c r="Q99" s="100">
        <v>28.12</v>
      </c>
      <c r="R99" s="6"/>
      <c r="S99" s="6"/>
      <c r="T99" s="156"/>
      <c r="U99" s="6"/>
    </row>
    <row r="100" spans="1:28" customFormat="1">
      <c r="A100" s="163" t="s">
        <v>2730</v>
      </c>
      <c r="B100" s="100">
        <v>6.29</v>
      </c>
      <c r="C100" s="100">
        <v>21.29</v>
      </c>
      <c r="D100" s="100">
        <v>17.52</v>
      </c>
      <c r="E100" s="100">
        <v>10.51</v>
      </c>
      <c r="F100" s="152" t="s">
        <v>15</v>
      </c>
      <c r="G100" s="100">
        <v>108.01</v>
      </c>
      <c r="H100" s="100">
        <v>34.43</v>
      </c>
      <c r="I100" s="100">
        <v>10.07</v>
      </c>
      <c r="J100" s="100">
        <v>0.23</v>
      </c>
      <c r="K100" s="100">
        <v>167.48</v>
      </c>
      <c r="L100" s="100">
        <v>22.52</v>
      </c>
      <c r="M100" s="100">
        <v>62.03</v>
      </c>
      <c r="N100" s="100">
        <v>1.1000000000000001</v>
      </c>
      <c r="O100" s="100">
        <v>0</v>
      </c>
      <c r="P100" s="100">
        <v>0.93</v>
      </c>
      <c r="Q100" s="100">
        <v>28.14</v>
      </c>
      <c r="R100" s="6"/>
      <c r="S100" s="6"/>
      <c r="T100" s="156"/>
      <c r="U100" s="6"/>
      <c r="AB100" s="161"/>
    </row>
    <row r="101" spans="1:28" customFormat="1">
      <c r="A101" s="163" t="s">
        <v>2731</v>
      </c>
      <c r="B101" s="100">
        <v>6.5</v>
      </c>
      <c r="C101" s="100">
        <v>21.16</v>
      </c>
      <c r="D101" s="100">
        <v>17.62</v>
      </c>
      <c r="E101" s="100">
        <v>10.53</v>
      </c>
      <c r="F101" s="152" t="s">
        <v>15</v>
      </c>
      <c r="G101" s="100">
        <v>108.01</v>
      </c>
      <c r="H101" s="100">
        <v>34.43</v>
      </c>
      <c r="I101" s="100">
        <v>10.19</v>
      </c>
      <c r="J101" s="100">
        <v>0.15</v>
      </c>
      <c r="K101" s="100">
        <v>212.25</v>
      </c>
      <c r="L101" s="100">
        <v>22.45</v>
      </c>
      <c r="M101" s="100">
        <v>56.96</v>
      </c>
      <c r="N101" s="100">
        <v>1</v>
      </c>
      <c r="O101" s="100">
        <v>0</v>
      </c>
      <c r="P101" s="100">
        <v>0.95</v>
      </c>
      <c r="Q101" s="100">
        <v>28.16</v>
      </c>
      <c r="R101" s="6"/>
      <c r="S101" s="6"/>
      <c r="T101" s="156"/>
      <c r="U101" s="6"/>
    </row>
    <row r="102" spans="1:28" customFormat="1">
      <c r="A102" s="163" t="s">
        <v>2732</v>
      </c>
      <c r="B102" s="100">
        <v>6.65</v>
      </c>
      <c r="C102" s="100">
        <v>21.07</v>
      </c>
      <c r="D102" s="100">
        <v>17.690000000000001</v>
      </c>
      <c r="E102" s="100">
        <v>10.81</v>
      </c>
      <c r="F102" s="152" t="s">
        <v>15</v>
      </c>
      <c r="G102" s="100">
        <v>108.01</v>
      </c>
      <c r="H102" s="100">
        <v>34.43</v>
      </c>
      <c r="I102" s="100">
        <v>10.3</v>
      </c>
      <c r="J102" s="100">
        <v>0.21</v>
      </c>
      <c r="K102" s="100">
        <v>165.05</v>
      </c>
      <c r="L102" s="100">
        <v>22.57</v>
      </c>
      <c r="M102" s="100">
        <v>60.09</v>
      </c>
      <c r="N102" s="100">
        <v>1</v>
      </c>
      <c r="O102" s="100">
        <v>0</v>
      </c>
      <c r="P102" s="100">
        <v>0.97</v>
      </c>
      <c r="Q102" s="100">
        <v>28.15</v>
      </c>
      <c r="R102" s="6"/>
      <c r="S102" s="6"/>
      <c r="T102" s="156"/>
      <c r="U102" s="6"/>
    </row>
    <row r="103" spans="1:28" customFormat="1">
      <c r="A103" s="163" t="s">
        <v>2733</v>
      </c>
      <c r="B103" s="100">
        <v>6.94</v>
      </c>
      <c r="C103" s="100">
        <v>21.11</v>
      </c>
      <c r="D103" s="100">
        <v>17.95</v>
      </c>
      <c r="E103" s="100">
        <v>10.47</v>
      </c>
      <c r="F103" s="152" t="s">
        <v>15</v>
      </c>
      <c r="G103" s="100">
        <v>110.37</v>
      </c>
      <c r="H103" s="100">
        <v>35.44</v>
      </c>
      <c r="I103" s="100">
        <v>10.5</v>
      </c>
      <c r="J103" s="100">
        <v>0.13</v>
      </c>
      <c r="K103" s="100">
        <v>272.43</v>
      </c>
      <c r="L103" s="100">
        <v>22.55</v>
      </c>
      <c r="M103" s="100">
        <v>57.66</v>
      </c>
      <c r="N103" s="100">
        <v>0.7</v>
      </c>
      <c r="O103" s="100">
        <v>0</v>
      </c>
      <c r="P103" s="100">
        <v>0.99</v>
      </c>
      <c r="Q103" s="100">
        <v>28.16</v>
      </c>
      <c r="R103" s="6"/>
      <c r="S103" s="6"/>
      <c r="T103" s="156"/>
      <c r="U103" s="6"/>
    </row>
    <row r="104" spans="1:28" customFormat="1">
      <c r="A104" s="163" t="s">
        <v>2734</v>
      </c>
      <c r="B104" s="100">
        <v>7.97</v>
      </c>
      <c r="C104" s="100">
        <v>21.59</v>
      </c>
      <c r="D104" s="100">
        <v>19.02</v>
      </c>
      <c r="E104" s="100">
        <v>10.62</v>
      </c>
      <c r="F104" s="152" t="s">
        <v>15</v>
      </c>
      <c r="G104" s="100">
        <v>110.66</v>
      </c>
      <c r="H104" s="100">
        <v>35.44</v>
      </c>
      <c r="I104" s="100">
        <v>10.7</v>
      </c>
      <c r="J104" s="100">
        <v>0.18</v>
      </c>
      <c r="K104" s="100">
        <v>175.47</v>
      </c>
      <c r="L104" s="100">
        <v>22.73</v>
      </c>
      <c r="M104" s="100">
        <v>58.35</v>
      </c>
      <c r="N104" s="100">
        <v>1</v>
      </c>
      <c r="O104" s="100">
        <v>0</v>
      </c>
      <c r="P104" s="100">
        <v>0.99</v>
      </c>
      <c r="Q104" s="100">
        <v>28.16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3.21</v>
      </c>
      <c r="C106" s="158">
        <f>MIN(C9:C104)</f>
        <v>17.649999999999999</v>
      </c>
      <c r="D106" s="158">
        <f t="shared" ref="D106:Q106" si="0">MIN(D9:D104)</f>
        <v>13.14</v>
      </c>
      <c r="E106" s="158">
        <f t="shared" si="0"/>
        <v>8.8800000000000008</v>
      </c>
      <c r="F106" s="158">
        <f t="shared" si="0"/>
        <v>0</v>
      </c>
      <c r="G106" s="158">
        <f t="shared" si="0"/>
        <v>44.88</v>
      </c>
      <c r="H106" s="158">
        <f t="shared" si="0"/>
        <v>23.43</v>
      </c>
      <c r="I106" s="158">
        <f t="shared" si="0"/>
        <v>6.45</v>
      </c>
      <c r="J106" s="158">
        <f t="shared" si="0"/>
        <v>0.06</v>
      </c>
      <c r="K106" s="158">
        <f t="shared" si="0"/>
        <v>20.48</v>
      </c>
      <c r="L106" s="158">
        <f t="shared" si="0"/>
        <v>17.23</v>
      </c>
      <c r="M106" s="158">
        <f t="shared" si="0"/>
        <v>15.03</v>
      </c>
      <c r="N106" s="158">
        <f t="shared" si="0"/>
        <v>0.5</v>
      </c>
      <c r="O106" s="158">
        <f t="shared" si="0"/>
        <v>0</v>
      </c>
      <c r="P106" s="158">
        <f t="shared" si="0"/>
        <v>0.5</v>
      </c>
      <c r="Q106" s="158">
        <f t="shared" si="0"/>
        <v>27.96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47.28</v>
      </c>
      <c r="C107" s="157">
        <f t="shared" ref="C107:Q107" si="1">MAX(C9:C104)</f>
        <v>30.46</v>
      </c>
      <c r="D107" s="157">
        <f t="shared" si="1"/>
        <v>52.24</v>
      </c>
      <c r="E107" s="157">
        <f t="shared" si="1"/>
        <v>19.670000000000002</v>
      </c>
      <c r="F107" s="157">
        <f t="shared" si="1"/>
        <v>0</v>
      </c>
      <c r="G107" s="157">
        <f t="shared" si="1"/>
        <v>110.66</v>
      </c>
      <c r="H107" s="157">
        <f t="shared" si="1"/>
        <v>42.97</v>
      </c>
      <c r="I107" s="157">
        <f t="shared" si="1"/>
        <v>15.15</v>
      </c>
      <c r="J107" s="157">
        <f t="shared" si="1"/>
        <v>0.82</v>
      </c>
      <c r="K107" s="157">
        <f t="shared" si="1"/>
        <v>314.63</v>
      </c>
      <c r="L107" s="157">
        <f t="shared" si="1"/>
        <v>36.130000000000003</v>
      </c>
      <c r="M107" s="157">
        <f t="shared" si="1"/>
        <v>76.94</v>
      </c>
      <c r="N107" s="157">
        <f t="shared" si="1"/>
        <v>365.2</v>
      </c>
      <c r="O107" s="157">
        <f t="shared" si="1"/>
        <v>0</v>
      </c>
      <c r="P107" s="157">
        <f t="shared" si="1"/>
        <v>1.1299999999999999</v>
      </c>
      <c r="Q107" s="157">
        <f t="shared" si="1"/>
        <v>29.81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17.748958333333331</v>
      </c>
      <c r="C108" s="158">
        <f t="shared" ref="C108:Q108" si="2">AVERAGE(C9:C104)</f>
        <v>23.671354166666664</v>
      </c>
      <c r="D108" s="158">
        <f t="shared" si="2"/>
        <v>27.951354166666672</v>
      </c>
      <c r="E108" s="158">
        <f t="shared" si="2"/>
        <v>12.198124999999996</v>
      </c>
      <c r="F108" s="158" t="e">
        <f t="shared" si="2"/>
        <v>#DIV/0!</v>
      </c>
      <c r="G108" s="158">
        <f t="shared" si="2"/>
        <v>79.077916666666681</v>
      </c>
      <c r="H108" s="158">
        <f t="shared" si="2"/>
        <v>33.527916666666663</v>
      </c>
      <c r="I108" s="158">
        <f t="shared" si="2"/>
        <v>10.992291666666668</v>
      </c>
      <c r="J108" s="158">
        <f t="shared" si="2"/>
        <v>0.28416666666666668</v>
      </c>
      <c r="K108" s="158">
        <f t="shared" si="2"/>
        <v>187.88104166666662</v>
      </c>
      <c r="L108" s="158">
        <f t="shared" si="2"/>
        <v>25.960312500000011</v>
      </c>
      <c r="M108" s="158">
        <f t="shared" si="2"/>
        <v>45.695520833333326</v>
      </c>
      <c r="N108" s="158">
        <f t="shared" si="2"/>
        <v>90.879166666666663</v>
      </c>
      <c r="O108" s="158">
        <f t="shared" si="2"/>
        <v>0</v>
      </c>
      <c r="P108" s="158">
        <f t="shared" si="2"/>
        <v>0.87427083333333311</v>
      </c>
      <c r="Q108" s="158">
        <f t="shared" si="2"/>
        <v>28.59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16.137180180151269</v>
      </c>
      <c r="C109" s="158">
        <f t="shared" ref="C109:Q109" si="3">STDEV(C9:C104)</f>
        <v>3.2242536859156417</v>
      </c>
      <c r="D109" s="158">
        <f t="shared" si="3"/>
        <v>13.530874062076389</v>
      </c>
      <c r="E109" s="158">
        <f t="shared" si="3"/>
        <v>2.0602811829048355</v>
      </c>
      <c r="F109" s="158" t="e">
        <f t="shared" si="3"/>
        <v>#DIV/0!</v>
      </c>
      <c r="G109" s="158">
        <f t="shared" si="3"/>
        <v>18.644627893799449</v>
      </c>
      <c r="H109" s="158">
        <f t="shared" si="3"/>
        <v>6.4575429442778711</v>
      </c>
      <c r="I109" s="158">
        <f t="shared" si="3"/>
        <v>2.6619634538859591</v>
      </c>
      <c r="J109" s="158">
        <f t="shared" si="3"/>
        <v>0.18351346812279529</v>
      </c>
      <c r="K109" s="158">
        <f t="shared" si="3"/>
        <v>62.919216535410271</v>
      </c>
      <c r="L109" s="158">
        <f t="shared" si="3"/>
        <v>6.3555713566709526</v>
      </c>
      <c r="M109" s="158">
        <f t="shared" si="3"/>
        <v>20.427066815214747</v>
      </c>
      <c r="N109" s="158">
        <f t="shared" si="3"/>
        <v>131.95576843988826</v>
      </c>
      <c r="O109" s="158">
        <f t="shared" si="3"/>
        <v>0</v>
      </c>
      <c r="P109" s="158">
        <f t="shared" si="3"/>
        <v>0.18377185393374715</v>
      </c>
      <c r="Q109" s="158">
        <f t="shared" si="3"/>
        <v>0.66547648145401872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5" zoomScaleNormal="85" workbookViewId="0">
      <pane xSplit="1" ySplit="8" topLeftCell="B30" activePane="bottomRight" state="frozen"/>
      <selection pane="topRight"/>
      <selection pane="bottomLeft"/>
      <selection pane="bottomRight" activeCell="B43" sqref="B43:Q43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01/02/2025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01/02/2025 00:15</v>
      </c>
      <c r="B9" s="83">
        <f>'01'!B108</f>
        <v>10.149270833333336</v>
      </c>
      <c r="C9" s="83">
        <f>'01'!C108</f>
        <v>21.721458333333331</v>
      </c>
      <c r="D9" s="83">
        <f>'01'!D108</f>
        <v>20.838645833333342</v>
      </c>
      <c r="E9" s="83">
        <f>'01'!E108</f>
        <v>9.5063541666666627</v>
      </c>
      <c r="F9" s="152" t="s">
        <v>15</v>
      </c>
      <c r="G9" s="83">
        <f>'01'!G108</f>
        <v>71.219895833333382</v>
      </c>
      <c r="H9" s="83">
        <f>'01'!H108</f>
        <v>22.801874999999981</v>
      </c>
      <c r="I9" s="83">
        <f>'01'!I108</f>
        <v>10.100416666666669</v>
      </c>
      <c r="J9" s="83">
        <f>'01'!J108</f>
        <v>0.26375000000000004</v>
      </c>
      <c r="K9" s="83">
        <f>'01'!K108</f>
        <v>201.80229166666655</v>
      </c>
      <c r="L9" s="83">
        <f>'01'!L108</f>
        <v>25.502500000000015</v>
      </c>
      <c r="M9" s="83">
        <f>'01'!M108</f>
        <v>63.667500000000018</v>
      </c>
      <c r="N9" s="83">
        <f>'01'!N108</f>
        <v>85.703125000000014</v>
      </c>
      <c r="O9" s="83">
        <f>'01'!O108</f>
        <v>0</v>
      </c>
      <c r="P9" s="83">
        <f>'01'!P108</f>
        <v>0.80822916666666689</v>
      </c>
      <c r="Q9" s="83">
        <f>'01'!Q108</f>
        <v>12.945416666666661</v>
      </c>
      <c r="R9" s="76"/>
      <c r="S9" s="76"/>
      <c r="T9" s="76"/>
      <c r="U9" s="76"/>
    </row>
    <row r="10" spans="1:21">
      <c r="A10" s="139" t="str">
        <f>'02'!$B$2</f>
        <v>02/02/2025 00:15</v>
      </c>
      <c r="B10" s="83">
        <f>'02'!B108</f>
        <v>8.8174999999999972</v>
      </c>
      <c r="C10" s="83">
        <f>'02'!C108</f>
        <v>22.713645833333327</v>
      </c>
      <c r="D10" s="83">
        <f>'02'!D108</f>
        <v>20.288958333333333</v>
      </c>
      <c r="E10" s="83">
        <f>'02'!E108</f>
        <v>10.544791666666665</v>
      </c>
      <c r="F10" s="152" t="s">
        <v>15</v>
      </c>
      <c r="G10" s="83">
        <f>'02'!G108</f>
        <v>65.308958333333337</v>
      </c>
      <c r="H10" s="83">
        <f>'02'!H108</f>
        <v>21.862187500000008</v>
      </c>
      <c r="I10" s="83">
        <f>'02'!I108</f>
        <v>11.943854166666668</v>
      </c>
      <c r="J10" s="83">
        <f>'02'!J108</f>
        <v>0.36552083333333329</v>
      </c>
      <c r="K10" s="83">
        <f>'02'!K108</f>
        <v>218.13510416666657</v>
      </c>
      <c r="L10" s="83">
        <f>'02'!L108</f>
        <v>25.417604166666674</v>
      </c>
      <c r="M10" s="83">
        <f>'02'!M108</f>
        <v>61.876458333333318</v>
      </c>
      <c r="N10" s="83">
        <f>'02'!N108</f>
        <v>87.542708333333323</v>
      </c>
      <c r="O10" s="83">
        <f>'02'!O108</f>
        <v>0</v>
      </c>
      <c r="P10" s="83">
        <f>'02'!P108</f>
        <v>0.92218750000000027</v>
      </c>
      <c r="Q10" s="83">
        <f>'02'!Q108</f>
        <v>12.942500000000008</v>
      </c>
      <c r="R10" s="76"/>
      <c r="S10" s="76"/>
      <c r="T10" s="76"/>
      <c r="U10" s="76"/>
    </row>
    <row r="11" spans="1:21">
      <c r="A11" s="139" t="str">
        <f>'03'!$B$2</f>
        <v>03/02/2025 00:15</v>
      </c>
      <c r="B11" s="83">
        <f>'03'!B108</f>
        <v>15.995937500000005</v>
      </c>
      <c r="C11" s="83">
        <f>'03'!C108</f>
        <v>25.836354166666663</v>
      </c>
      <c r="D11" s="83">
        <f>'03'!D108</f>
        <v>27.677083333333339</v>
      </c>
      <c r="E11" s="83">
        <f>'03'!E108</f>
        <v>13.8221875</v>
      </c>
      <c r="F11" s="152" t="s">
        <v>15</v>
      </c>
      <c r="G11" s="83">
        <f>'03'!G108</f>
        <v>99.183020833333273</v>
      </c>
      <c r="H11" s="83">
        <f>'03'!H108</f>
        <v>32.228541666666672</v>
      </c>
      <c r="I11" s="83">
        <f>'03'!I108</f>
        <v>12.597187500000002</v>
      </c>
      <c r="J11" s="83">
        <f>'03'!J108</f>
        <v>0.39729166666666677</v>
      </c>
      <c r="K11" s="83">
        <f>'03'!K108</f>
        <v>176.00937499999995</v>
      </c>
      <c r="L11" s="83">
        <f>'03'!L108</f>
        <v>25.470624999999995</v>
      </c>
      <c r="M11" s="83">
        <f>'03'!M108</f>
        <v>49.935937500000016</v>
      </c>
      <c r="N11" s="83">
        <f>'03'!N108</f>
        <v>85.529166666666711</v>
      </c>
      <c r="O11" s="83">
        <f>'03'!O108</f>
        <v>0</v>
      </c>
      <c r="P11" s="83">
        <f>'03'!P108</f>
        <v>0.90916666666666668</v>
      </c>
      <c r="Q11" s="83">
        <f>'03'!Q108</f>
        <v>13.783437500000014</v>
      </c>
      <c r="R11" s="76"/>
      <c r="S11" s="76"/>
      <c r="T11" s="76"/>
      <c r="U11" s="76"/>
    </row>
    <row r="12" spans="1:21">
      <c r="A12" s="139" t="str">
        <f>'04'!$B$2</f>
        <v>04/02/2025 00:15</v>
      </c>
      <c r="B12" s="83">
        <f>'04'!B108</f>
        <v>10.409479166666673</v>
      </c>
      <c r="C12" s="83">
        <f>'04'!C108</f>
        <v>26.135208333333328</v>
      </c>
      <c r="D12" s="83">
        <f>'04'!D108</f>
        <v>23.353749999999991</v>
      </c>
      <c r="E12" s="83">
        <f>'04'!E108</f>
        <v>11.507916666666665</v>
      </c>
      <c r="F12" s="152" t="s">
        <v>15</v>
      </c>
      <c r="G12" s="83">
        <f>'04'!G108</f>
        <v>82.487604166666685</v>
      </c>
      <c r="H12" s="83">
        <f>'04'!H108</f>
        <v>33.683958333333329</v>
      </c>
      <c r="I12" s="83">
        <f>'04'!I108</f>
        <v>10.210833333333335</v>
      </c>
      <c r="J12" s="83">
        <f>'04'!J108</f>
        <v>0.453125</v>
      </c>
      <c r="K12" s="83">
        <f>'04'!K108</f>
        <v>149.67635416666664</v>
      </c>
      <c r="L12" s="83">
        <f>'04'!L108</f>
        <v>25.627499999999998</v>
      </c>
      <c r="M12" s="83">
        <f>'04'!M108</f>
        <v>53.817916666666669</v>
      </c>
      <c r="N12" s="83">
        <f>'04'!N108</f>
        <v>80.610416666666694</v>
      </c>
      <c r="O12" s="83">
        <f>'04'!O108</f>
        <v>0</v>
      </c>
      <c r="P12" s="83">
        <f>'04'!P108</f>
        <v>0.79833333333333367</v>
      </c>
      <c r="Q12" s="83">
        <f>'04'!Q108</f>
        <v>12.954895833333332</v>
      </c>
      <c r="R12" s="76"/>
      <c r="S12" s="76"/>
      <c r="T12" s="76"/>
      <c r="U12" s="76"/>
    </row>
    <row r="13" spans="1:21">
      <c r="A13" s="139" t="str">
        <f>'05'!$B$2</f>
        <v>05/02/2025 00:15</v>
      </c>
      <c r="B13" s="83">
        <f>'05'!B108</f>
        <v>5.2833695652173898</v>
      </c>
      <c r="C13" s="83">
        <f>'05'!C108</f>
        <v>21.316956521739129</v>
      </c>
      <c r="D13" s="83">
        <f>'05'!D108</f>
        <v>16.72586956521738</v>
      </c>
      <c r="E13" s="83">
        <f>'05'!E108</f>
        <v>11.963369565217393</v>
      </c>
      <c r="F13" s="152" t="s">
        <v>15</v>
      </c>
      <c r="G13" s="83">
        <f>'05'!G108</f>
        <v>71.560869565217402</v>
      </c>
      <c r="H13" s="83">
        <f>'05'!H108</f>
        <v>29.692717391304317</v>
      </c>
      <c r="I13" s="83">
        <f>'05'!I108</f>
        <v>10.144891304347826</v>
      </c>
      <c r="J13" s="83">
        <f>'05'!J108</f>
        <v>0.46086956521739103</v>
      </c>
      <c r="K13" s="83">
        <f>'05'!K108</f>
        <v>226.82902173913047</v>
      </c>
      <c r="L13" s="83">
        <f>'05'!L108</f>
        <v>28.184782608695652</v>
      </c>
      <c r="M13" s="83">
        <f>'05'!M108</f>
        <v>47.581086956521737</v>
      </c>
      <c r="N13" s="83">
        <f>'05'!N108</f>
        <v>68.729347826086979</v>
      </c>
      <c r="O13" s="83">
        <f>'05'!O108</f>
        <v>0</v>
      </c>
      <c r="P13" s="83">
        <f>'05'!P108</f>
        <v>0.77304347826086961</v>
      </c>
      <c r="Q13" s="83">
        <f>'05'!Q108</f>
        <v>12.936630434782627</v>
      </c>
      <c r="R13" s="76"/>
      <c r="S13" s="76"/>
      <c r="T13" s="76"/>
      <c r="U13" s="76"/>
    </row>
    <row r="14" spans="1:21">
      <c r="A14" s="139" t="str">
        <f>'06'!$B$2</f>
        <v>06/02/2025 00:15</v>
      </c>
      <c r="B14" s="83">
        <f>'06'!B108</f>
        <v>8.4493749999999981</v>
      </c>
      <c r="C14" s="83">
        <f>'06'!C108</f>
        <v>24.45770833333334</v>
      </c>
      <c r="D14" s="83">
        <f>'06'!D108</f>
        <v>20.905937499999997</v>
      </c>
      <c r="E14" s="83">
        <f>'06'!E108</f>
        <v>10.112812499999999</v>
      </c>
      <c r="F14" s="152" t="s">
        <v>15</v>
      </c>
      <c r="G14" s="83">
        <f>'06'!G108</f>
        <v>67.101041666666674</v>
      </c>
      <c r="H14" s="83">
        <f>'06'!H108</f>
        <v>24.013749999999991</v>
      </c>
      <c r="I14" s="83">
        <f>'06'!I108</f>
        <v>8.7520833333333332</v>
      </c>
      <c r="J14" s="83">
        <f>'06'!J108</f>
        <v>0.89791666666666681</v>
      </c>
      <c r="K14" s="83">
        <f>'06'!K108</f>
        <v>47.620729166666671</v>
      </c>
      <c r="L14" s="83">
        <f>'06'!L108</f>
        <v>24.87052083333333</v>
      </c>
      <c r="M14" s="83">
        <f>'06'!M108</f>
        <v>49.494374999999998</v>
      </c>
      <c r="N14" s="83">
        <f>'06'!N108</f>
        <v>81.671874999999972</v>
      </c>
      <c r="O14" s="83">
        <f>'06'!O108</f>
        <v>0</v>
      </c>
      <c r="P14" s="83">
        <f>'06'!P108</f>
        <v>0.68072916666666694</v>
      </c>
      <c r="Q14" s="83">
        <f>'06'!Q108</f>
        <v>12.951250000000014</v>
      </c>
      <c r="R14" s="76"/>
      <c r="S14" s="76"/>
      <c r="T14" s="76"/>
      <c r="U14" s="76"/>
    </row>
    <row r="15" spans="1:21">
      <c r="A15" s="139" t="str">
        <f>'07'!$B$2</f>
        <v>07/02/2025 00:15</v>
      </c>
      <c r="B15" s="83">
        <f>'07'!B108</f>
        <v>13.5003125</v>
      </c>
      <c r="C15" s="83">
        <f>'07'!C108</f>
        <v>26.484999999999996</v>
      </c>
      <c r="D15" s="83">
        <f>'07'!D108</f>
        <v>26.014687500000012</v>
      </c>
      <c r="E15" s="83">
        <f>'07'!E108</f>
        <v>9.9695833333333344</v>
      </c>
      <c r="F15" s="152" t="s">
        <v>15</v>
      </c>
      <c r="G15" s="83">
        <f>'07'!G108</f>
        <v>75.479270833333331</v>
      </c>
      <c r="H15" s="83">
        <f>'07'!H108</f>
        <v>24.749270833333345</v>
      </c>
      <c r="I15" s="83">
        <f>'07'!I108</f>
        <v>8.8651041666666632</v>
      </c>
      <c r="J15" s="83">
        <f>'07'!J108</f>
        <v>0.44572916666666673</v>
      </c>
      <c r="K15" s="83">
        <f>'07'!K108</f>
        <v>109.40385416666663</v>
      </c>
      <c r="L15" s="83">
        <f>'07'!L108</f>
        <v>22.791250000000002</v>
      </c>
      <c r="M15" s="83">
        <f>'07'!M108</f>
        <v>37.221354166666664</v>
      </c>
      <c r="N15" s="83">
        <f>'07'!N108</f>
        <v>84.119791666666657</v>
      </c>
      <c r="O15" s="83">
        <f>'07'!O108</f>
        <v>0</v>
      </c>
      <c r="P15" s="83">
        <f>'07'!P108</f>
        <v>0.64177083333333351</v>
      </c>
      <c r="Q15" s="83">
        <f>'07'!Q108</f>
        <v>12.981041666666671</v>
      </c>
      <c r="R15" s="76"/>
      <c r="S15" s="76"/>
      <c r="T15" s="76"/>
      <c r="U15" s="76"/>
    </row>
    <row r="16" spans="1:21">
      <c r="A16" s="139" t="str">
        <f>'08'!$B$2</f>
        <v>08/02/2025 00:15</v>
      </c>
      <c r="B16" s="83">
        <f>'08'!B108</f>
        <v>18.558020833333334</v>
      </c>
      <c r="C16" s="83">
        <f>'08'!C108</f>
        <v>26.295937499999997</v>
      </c>
      <c r="D16" s="83">
        <f>'08'!D108</f>
        <v>29.972083333333341</v>
      </c>
      <c r="E16" s="83">
        <f>'08'!E108</f>
        <v>11.264895833333334</v>
      </c>
      <c r="F16" s="152" t="s">
        <v>15</v>
      </c>
      <c r="G16" s="83">
        <f>'08'!G108</f>
        <v>83.021354166666711</v>
      </c>
      <c r="H16" s="83">
        <f>'08'!H108</f>
        <v>25.414062499999996</v>
      </c>
      <c r="I16" s="83">
        <f>'08'!I108</f>
        <v>12.825729166666667</v>
      </c>
      <c r="J16" s="83">
        <f>'08'!J108</f>
        <v>0.47239583333333335</v>
      </c>
      <c r="K16" s="83">
        <f>'08'!K108</f>
        <v>100.4015625</v>
      </c>
      <c r="L16" s="83">
        <f>'08'!L108</f>
        <v>23.178020833333338</v>
      </c>
      <c r="M16" s="83">
        <f>'08'!M108</f>
        <v>40.495520833333316</v>
      </c>
      <c r="N16" s="83">
        <f>'08'!N108</f>
        <v>89.733333333333348</v>
      </c>
      <c r="O16" s="83">
        <f>'08'!O108</f>
        <v>0</v>
      </c>
      <c r="P16" s="83">
        <f>'08'!P108</f>
        <v>0.82468750000000013</v>
      </c>
      <c r="Q16" s="83">
        <f>'08'!Q108</f>
        <v>13.00281250000001</v>
      </c>
      <c r="R16" s="76"/>
      <c r="S16" s="76"/>
      <c r="T16" s="76"/>
      <c r="U16" s="76"/>
    </row>
    <row r="17" spans="1:21">
      <c r="A17" s="139" t="str">
        <f>'09'!$B$2</f>
        <v>09/02/2025 00:15</v>
      </c>
      <c r="B17" s="83">
        <f>'09'!B108</f>
        <v>13.16145833333333</v>
      </c>
      <c r="C17" s="83">
        <f>'09'!C108</f>
        <v>23.282708333333328</v>
      </c>
      <c r="D17" s="83">
        <f>'09'!D108</f>
        <v>24.06979166666666</v>
      </c>
      <c r="E17" s="83">
        <f>'09'!E108</f>
        <v>11.552708333333335</v>
      </c>
      <c r="F17" s="152" t="s">
        <v>15</v>
      </c>
      <c r="G17" s="83">
        <f>'09'!G108</f>
        <v>79.991562500000001</v>
      </c>
      <c r="H17" s="83">
        <f>'09'!H108</f>
        <v>24.139062499999991</v>
      </c>
      <c r="I17" s="83">
        <f>'09'!I108</f>
        <v>8.7827083333333338</v>
      </c>
      <c r="J17" s="83">
        <f>'09'!J108</f>
        <v>0.30833333333333335</v>
      </c>
      <c r="K17" s="83">
        <f>'09'!K108</f>
        <v>140.10937500000003</v>
      </c>
      <c r="L17" s="83">
        <f>'09'!L108</f>
        <v>22.375937499999996</v>
      </c>
      <c r="M17" s="83">
        <f>'09'!M108</f>
        <v>39.655833333333348</v>
      </c>
      <c r="N17" s="83">
        <f>'09'!N108</f>
        <v>103.20312499999999</v>
      </c>
      <c r="O17" s="83">
        <f>'09'!O108</f>
        <v>0</v>
      </c>
      <c r="P17" s="83">
        <f>'09'!P108</f>
        <v>0.63364583333333313</v>
      </c>
      <c r="Q17" s="83">
        <f>'09'!Q108</f>
        <v>12.978125000000006</v>
      </c>
      <c r="R17" s="76"/>
      <c r="S17" s="76"/>
      <c r="T17" s="76"/>
      <c r="U17" s="76"/>
    </row>
    <row r="18" spans="1:21">
      <c r="A18" s="139" t="str">
        <f>'10'!$B$2</f>
        <v>10/02/2025 00:15</v>
      </c>
      <c r="B18" s="83">
        <f>'10'!B108</f>
        <v>13.199270833333332</v>
      </c>
      <c r="C18" s="83">
        <f>'10'!C108</f>
        <v>22.143124999999998</v>
      </c>
      <c r="D18" s="83">
        <f>'10'!D108</f>
        <v>23.505104166666658</v>
      </c>
      <c r="E18" s="83">
        <f>'10'!E108</f>
        <v>10.848437500000003</v>
      </c>
      <c r="F18" s="152" t="s">
        <v>15</v>
      </c>
      <c r="G18" s="83">
        <f>'10'!G108</f>
        <v>68.023124999999993</v>
      </c>
      <c r="H18" s="83">
        <f>'10'!H108</f>
        <v>24.804583333333326</v>
      </c>
      <c r="I18" s="83">
        <f>'10'!I108</f>
        <v>10.100937499999999</v>
      </c>
      <c r="J18" s="83">
        <f>'10'!J108</f>
        <v>0.30041666666666667</v>
      </c>
      <c r="K18" s="83">
        <f>'10'!K108</f>
        <v>214.22489583333336</v>
      </c>
      <c r="L18" s="83">
        <f>'10'!L108</f>
        <v>23.631458333333327</v>
      </c>
      <c r="M18" s="83">
        <f>'10'!M108</f>
        <v>48.399374999999964</v>
      </c>
      <c r="N18" s="83">
        <f>'10'!N108</f>
        <v>90.793750000000003</v>
      </c>
      <c r="O18" s="83">
        <f>'10'!O108</f>
        <v>0</v>
      </c>
      <c r="P18" s="83">
        <f>'10'!P108</f>
        <v>0.80666666666666675</v>
      </c>
      <c r="Q18" s="83">
        <f>'10'!Q108</f>
        <v>12.973645833333345</v>
      </c>
      <c r="R18" s="76"/>
      <c r="S18" s="76"/>
      <c r="T18" s="76"/>
      <c r="U18" s="76"/>
    </row>
    <row r="19" spans="1:21">
      <c r="A19" s="139" t="str">
        <f>'11'!$B$2</f>
        <v>11/02/2025 00:15</v>
      </c>
      <c r="B19" s="83">
        <f>'11'!B108</f>
        <v>7.4295833333333343</v>
      </c>
      <c r="C19" s="83">
        <f>'11'!C108</f>
        <v>22.497187499999999</v>
      </c>
      <c r="D19" s="83">
        <f>'11'!D108</f>
        <v>19.063645833333329</v>
      </c>
      <c r="E19" s="83">
        <f>'11'!E108</f>
        <v>11.140729166666667</v>
      </c>
      <c r="F19" s="152" t="s">
        <v>15</v>
      </c>
      <c r="G19" s="83">
        <f>'11'!G108</f>
        <v>82.809374999999946</v>
      </c>
      <c r="H19" s="83">
        <f>'11'!H108</f>
        <v>31.866562499999997</v>
      </c>
      <c r="I19" s="83">
        <f>'11'!I108</f>
        <v>12.530520833333332</v>
      </c>
      <c r="J19" s="83">
        <f>'11'!J108</f>
        <v>0.43010416666666668</v>
      </c>
      <c r="K19" s="83">
        <f>'11'!K108</f>
        <v>219.68854166666674</v>
      </c>
      <c r="L19" s="83">
        <f>'11'!L108</f>
        <v>25.653854166666676</v>
      </c>
      <c r="M19" s="83">
        <f>'11'!M108</f>
        <v>55.453854166666673</v>
      </c>
      <c r="N19" s="83">
        <f>'11'!N108</f>
        <v>76.840624999999989</v>
      </c>
      <c r="O19" s="83">
        <f>'11'!O108</f>
        <v>0</v>
      </c>
      <c r="P19" s="83">
        <f>'11'!P108</f>
        <v>0.99833333333333307</v>
      </c>
      <c r="Q19" s="83">
        <f>'11'!Q108</f>
        <v>12.949583333333344</v>
      </c>
      <c r="R19" s="76"/>
      <c r="S19" s="76"/>
      <c r="T19" s="76"/>
      <c r="U19" s="76"/>
    </row>
    <row r="20" spans="1:21">
      <c r="A20" s="139" t="str">
        <f>'12'!$B$2</f>
        <v>12/02/2025 00:15</v>
      </c>
      <c r="B20" s="83">
        <f>'12'!B108</f>
        <v>8.3586458333333322</v>
      </c>
      <c r="C20" s="83">
        <f>'12'!C108</f>
        <v>22.490208333333332</v>
      </c>
      <c r="D20" s="83">
        <f>'12'!D108</f>
        <v>19.803645833333338</v>
      </c>
      <c r="E20" s="83">
        <f>'12'!E108</f>
        <v>10.213229166666663</v>
      </c>
      <c r="F20" s="152" t="s">
        <v>15</v>
      </c>
      <c r="G20" s="83">
        <f>'12'!G108</f>
        <v>64.906562500000021</v>
      </c>
      <c r="H20" s="83">
        <f>'12'!H108</f>
        <v>30.783229166666661</v>
      </c>
      <c r="I20" s="83">
        <f>'12'!I108</f>
        <v>10.139479166666668</v>
      </c>
      <c r="J20" s="83">
        <f>'12'!J108</f>
        <v>0.58520833333333333</v>
      </c>
      <c r="K20" s="83">
        <f>'12'!K108</f>
        <v>227.52458333333337</v>
      </c>
      <c r="L20" s="83">
        <f>'12'!L108</f>
        <v>26.729999999999993</v>
      </c>
      <c r="M20" s="83">
        <f>'12'!M108</f>
        <v>47.955312500000012</v>
      </c>
      <c r="N20" s="83">
        <f>'12'!N108</f>
        <v>83.419791666666654</v>
      </c>
      <c r="O20" s="83">
        <f>'12'!O108</f>
        <v>0</v>
      </c>
      <c r="P20" s="83">
        <f>'12'!P108</f>
        <v>0.77822916666666619</v>
      </c>
      <c r="Q20" s="83">
        <f>'12'!Q108</f>
        <v>12.948750000000011</v>
      </c>
      <c r="R20" s="76"/>
      <c r="S20" s="76"/>
      <c r="T20" s="76"/>
      <c r="U20" s="76"/>
    </row>
    <row r="21" spans="1:21">
      <c r="A21" s="139" t="str">
        <f>'13'!$B$2</f>
        <v>13/02/2025 00:15</v>
      </c>
      <c r="B21" s="83">
        <f>'13'!B108</f>
        <v>9.6280208333333324</v>
      </c>
      <c r="C21" s="83">
        <f>'13'!C108</f>
        <v>22.660937499999989</v>
      </c>
      <c r="D21" s="83">
        <f>'13'!D108</f>
        <v>20.911458333333339</v>
      </c>
      <c r="E21" s="83">
        <f>'13'!E108</f>
        <v>10.951250000000002</v>
      </c>
      <c r="F21" s="152" t="s">
        <v>15</v>
      </c>
      <c r="G21" s="83">
        <f>'13'!G108</f>
        <v>66.64312500000004</v>
      </c>
      <c r="H21" s="83">
        <f>'13'!H108</f>
        <v>26.146875000000019</v>
      </c>
      <c r="I21" s="83">
        <f>'13'!I108</f>
        <v>8.5604166666666632</v>
      </c>
      <c r="J21" s="83">
        <f>'13'!J108</f>
        <v>0.50229166666666647</v>
      </c>
      <c r="K21" s="83">
        <f>'13'!K108</f>
        <v>159.92489583333327</v>
      </c>
      <c r="L21" s="83">
        <f>'13'!L108</f>
        <v>23.558229166666667</v>
      </c>
      <c r="M21" s="83">
        <f>'13'!M108</f>
        <v>42.103541666666658</v>
      </c>
      <c r="N21" s="83">
        <f>'13'!N108</f>
        <v>95.751041666666666</v>
      </c>
      <c r="O21" s="83">
        <f>'13'!O108</f>
        <v>0</v>
      </c>
      <c r="P21" s="83">
        <f>'13'!P108</f>
        <v>0.68697916666666681</v>
      </c>
      <c r="Q21" s="83">
        <f>'13'!Q108</f>
        <v>12.958229166666678</v>
      </c>
      <c r="R21" s="76"/>
      <c r="S21" s="76"/>
      <c r="T21" s="76"/>
      <c r="U21" s="76"/>
    </row>
    <row r="22" spans="1:21">
      <c r="A22" s="139" t="str">
        <f>'14'!$B$2</f>
        <v>14/02/2025 00:15</v>
      </c>
      <c r="B22" s="140">
        <f>'14'!B108</f>
        <v>7.4410227272727294</v>
      </c>
      <c r="C22" s="140">
        <f>'14'!C108</f>
        <v>22.074886363636363</v>
      </c>
      <c r="D22" s="140">
        <f>'14'!D108</f>
        <v>18.851477272727269</v>
      </c>
      <c r="E22" s="140">
        <f>'14'!E108</f>
        <v>8.8782022471910054</v>
      </c>
      <c r="F22" s="152" t="s">
        <v>15</v>
      </c>
      <c r="G22" s="140">
        <f>'14'!G108</f>
        <v>68.022808988764069</v>
      </c>
      <c r="H22" s="140">
        <f>'14'!H108</f>
        <v>27.215842696629228</v>
      </c>
      <c r="I22" s="140">
        <f>'14'!I108</f>
        <v>8.0834482758620663</v>
      </c>
      <c r="J22" s="140">
        <f>'14'!J108</f>
        <v>0.35651685393258431</v>
      </c>
      <c r="K22" s="140">
        <f>'14'!K108</f>
        <v>154.29887640449434</v>
      </c>
      <c r="L22" s="140">
        <f>'14'!L108</f>
        <v>21.542584269662921</v>
      </c>
      <c r="M22" s="140">
        <f>'14'!M108</f>
        <v>38.923932584269672</v>
      </c>
      <c r="N22" s="140">
        <f>'14'!N108</f>
        <v>76.79999999999994</v>
      </c>
      <c r="O22" s="140">
        <f>'14'!O108</f>
        <v>0</v>
      </c>
      <c r="P22" s="140">
        <f>'14'!P108</f>
        <v>0.60584269662921353</v>
      </c>
      <c r="Q22" s="140">
        <f>'14'!Q108</f>
        <v>12.616666666666667</v>
      </c>
      <c r="R22" s="153"/>
      <c r="S22" s="153"/>
      <c r="T22" s="153"/>
      <c r="U22" s="153"/>
    </row>
    <row r="23" spans="1:21">
      <c r="A23" s="139" t="str">
        <f>'15'!$B$2</f>
        <v>15/02/2025 00:15</v>
      </c>
      <c r="B23" s="83">
        <f>'15'!B108</f>
        <v>11.856666666666669</v>
      </c>
      <c r="C23" s="83">
        <f>'15'!C108</f>
        <v>23.973541666666673</v>
      </c>
      <c r="D23" s="83">
        <f>'15'!D108</f>
        <v>23.384166666666655</v>
      </c>
      <c r="E23" s="83">
        <f>'15'!E108</f>
        <v>10.827708333333334</v>
      </c>
      <c r="F23" s="152" t="s">
        <v>15</v>
      </c>
      <c r="G23" s="83">
        <f>'15'!G108</f>
        <v>71.843437500000007</v>
      </c>
      <c r="H23" s="83">
        <f>'15'!H108</f>
        <v>30.768020833333356</v>
      </c>
      <c r="I23" s="83">
        <f>'15'!I108</f>
        <v>10.263541666666667</v>
      </c>
      <c r="J23" s="83">
        <f>'15'!J108</f>
        <v>0.38812499999999989</v>
      </c>
      <c r="K23" s="83">
        <f>'15'!K108</f>
        <v>135.94906249999997</v>
      </c>
      <c r="L23" s="83">
        <f>'15'!L108</f>
        <v>22.631979166666664</v>
      </c>
      <c r="M23" s="83">
        <f>'15'!M108</f>
        <v>43.275729166666672</v>
      </c>
      <c r="N23" s="83">
        <f>'15'!N108</f>
        <v>93.106249999999932</v>
      </c>
      <c r="O23" s="83">
        <f>'15'!O108</f>
        <v>0</v>
      </c>
      <c r="P23" s="83">
        <f>'15'!P108</f>
        <v>0.69854166666666673</v>
      </c>
      <c r="Q23" s="83">
        <f>'15'!Q108</f>
        <v>11.25</v>
      </c>
      <c r="R23" s="76"/>
      <c r="S23" s="76"/>
      <c r="T23" s="76"/>
      <c r="U23" s="76"/>
    </row>
    <row r="24" spans="1:21">
      <c r="A24" s="139" t="str">
        <f>'16'!$B$2</f>
        <v>16/02/2025 00:15</v>
      </c>
      <c r="B24" s="83">
        <f>'16'!B108</f>
        <v>7.5682291666666677</v>
      </c>
      <c r="C24" s="83">
        <f>'16'!C108</f>
        <v>21.399687499999999</v>
      </c>
      <c r="D24" s="83">
        <f>'16'!D108</f>
        <v>18.600833333333338</v>
      </c>
      <c r="E24" s="83">
        <f>'16'!E108</f>
        <v>11.922395833333338</v>
      </c>
      <c r="F24" s="152" t="s">
        <v>15</v>
      </c>
      <c r="G24" s="83">
        <f>'16'!G108</f>
        <v>55.269166666666649</v>
      </c>
      <c r="H24" s="83">
        <f>'16'!H108</f>
        <v>24.005833333333324</v>
      </c>
      <c r="I24" s="83">
        <f>'16'!I108</f>
        <v>9.4213541666666671</v>
      </c>
      <c r="J24" s="83">
        <f>'16'!J108</f>
        <v>0.37635416666666655</v>
      </c>
      <c r="K24" s="83">
        <f>'16'!K108</f>
        <v>210.02239583333332</v>
      </c>
      <c r="L24" s="83">
        <f>'16'!L108</f>
        <v>24.103749999999994</v>
      </c>
      <c r="M24" s="83">
        <f>'16'!M108</f>
        <v>44.736770833333338</v>
      </c>
      <c r="N24" s="83">
        <f>'16'!N108</f>
        <v>96.303125000000065</v>
      </c>
      <c r="O24" s="83">
        <f>'16'!O108</f>
        <v>0</v>
      </c>
      <c r="P24" s="83">
        <f>'16'!P108</f>
        <v>0.73968749999999972</v>
      </c>
      <c r="Q24" s="83">
        <f>'16'!Q108</f>
        <v>11.25</v>
      </c>
      <c r="R24" s="76"/>
      <c r="S24" s="76"/>
      <c r="T24" s="76"/>
      <c r="U24" s="76"/>
    </row>
    <row r="25" spans="1:21">
      <c r="A25" s="139" t="str">
        <f>'17'!$B$2</f>
        <v>17/02/2025 00:15</v>
      </c>
      <c r="B25" s="83">
        <f>'17'!B108</f>
        <v>8.7051041666666649</v>
      </c>
      <c r="C25" s="83">
        <f>'17'!C108</f>
        <v>21.690312500000005</v>
      </c>
      <c r="D25" s="83">
        <f>'17'!D108</f>
        <v>19.665104166666673</v>
      </c>
      <c r="E25" s="83">
        <f>'17'!E108</f>
        <v>10.736145833333332</v>
      </c>
      <c r="F25" s="152" t="s">
        <v>15</v>
      </c>
      <c r="G25" s="83">
        <f>'17'!G108</f>
        <v>58.975416666666668</v>
      </c>
      <c r="H25" s="83">
        <f>'17'!H108</f>
        <v>23.313333333333315</v>
      </c>
      <c r="I25" s="83">
        <f>'17'!I108</f>
        <v>9.4841666666666722</v>
      </c>
      <c r="J25" s="83">
        <f>'17'!J108</f>
        <v>0.40395833333333342</v>
      </c>
      <c r="K25" s="83">
        <f>'17'!K108</f>
        <v>162.50354166666668</v>
      </c>
      <c r="L25" s="83">
        <f>'17'!L108</f>
        <v>24.844062499999989</v>
      </c>
      <c r="M25" s="83">
        <f>'17'!M108</f>
        <v>45.483645833333327</v>
      </c>
      <c r="N25" s="83">
        <f>'17'!N108</f>
        <v>93.681250000000034</v>
      </c>
      <c r="O25" s="83">
        <f>'17'!O108</f>
        <v>0</v>
      </c>
      <c r="P25" s="83">
        <f>'17'!P108</f>
        <v>0.74979166666666641</v>
      </c>
      <c r="Q25" s="83">
        <f>'17'!Q108</f>
        <v>11.25</v>
      </c>
      <c r="R25" s="76"/>
      <c r="S25" s="76"/>
      <c r="T25" s="76"/>
      <c r="U25" s="76"/>
    </row>
    <row r="26" spans="1:21">
      <c r="A26" s="139" t="str">
        <f>'18'!$B$2</f>
        <v>18/02/2025 00:15</v>
      </c>
      <c r="B26" s="83">
        <f>'18'!B108</f>
        <v>15.995937500000005</v>
      </c>
      <c r="C26" s="83">
        <f>'18'!C108</f>
        <v>25.836354166666663</v>
      </c>
      <c r="D26" s="83">
        <f>'18'!D108</f>
        <v>27.677083333333339</v>
      </c>
      <c r="E26" s="83">
        <f>'18'!E108</f>
        <v>13.8221875</v>
      </c>
      <c r="F26" s="152" t="s">
        <v>15</v>
      </c>
      <c r="G26" s="83">
        <f>'18'!G108</f>
        <v>99.183020833333273</v>
      </c>
      <c r="H26" s="83">
        <f>'18'!H108</f>
        <v>32.228541666666672</v>
      </c>
      <c r="I26" s="83">
        <f>'18'!I108</f>
        <v>12.597187500000002</v>
      </c>
      <c r="J26" s="83">
        <f>'18'!J108</f>
        <v>0.39729166666666677</v>
      </c>
      <c r="K26" s="83">
        <f>'18'!K108</f>
        <v>176.00937499999995</v>
      </c>
      <c r="L26" s="83">
        <f>'18'!L108</f>
        <v>25.470624999999995</v>
      </c>
      <c r="M26" s="83">
        <f>'18'!M108</f>
        <v>49.935937500000016</v>
      </c>
      <c r="N26" s="83">
        <f>'18'!N108</f>
        <v>85.529166666666711</v>
      </c>
      <c r="O26" s="83">
        <f>'18'!O108</f>
        <v>0</v>
      </c>
      <c r="P26" s="83">
        <f>'18'!P108</f>
        <v>0.90916666666666668</v>
      </c>
      <c r="Q26" s="83">
        <f>'18'!Q108</f>
        <v>13.783437500000014</v>
      </c>
      <c r="R26" s="76"/>
      <c r="S26" s="76"/>
      <c r="T26" s="76"/>
      <c r="U26" s="76"/>
    </row>
    <row r="27" spans="1:21">
      <c r="A27" s="139" t="str">
        <f>'19'!$B$2</f>
        <v>19/02/2025 00:15</v>
      </c>
      <c r="B27" s="83">
        <f>'19'!B108</f>
        <v>10.483854166666664</v>
      </c>
      <c r="C27" s="83">
        <f>'19'!C108</f>
        <v>29.041041666666644</v>
      </c>
      <c r="D27" s="83">
        <f>'19'!D108</f>
        <v>24.93093750000001</v>
      </c>
      <c r="E27" s="83">
        <f>'19'!E108</f>
        <v>15.254270833333342</v>
      </c>
      <c r="F27" s="152" t="s">
        <v>15</v>
      </c>
      <c r="G27" s="83">
        <f>'19'!G108</f>
        <v>109.98177083333339</v>
      </c>
      <c r="H27" s="83">
        <f>'19'!H108</f>
        <v>38.611041666666665</v>
      </c>
      <c r="I27" s="83">
        <f>'19'!I108</f>
        <v>12.334479166666663</v>
      </c>
      <c r="J27" s="83">
        <f>'19'!J108</f>
        <v>0.36968749999999995</v>
      </c>
      <c r="K27" s="83">
        <f>'19'!K108</f>
        <v>129.36208333333329</v>
      </c>
      <c r="L27" s="83">
        <f>'19'!L108</f>
        <v>26.07041666666667</v>
      </c>
      <c r="M27" s="83">
        <f>'19'!M108</f>
        <v>50.385416666666664</v>
      </c>
      <c r="N27" s="83">
        <f>'19'!N108</f>
        <v>77.857291666666654</v>
      </c>
      <c r="O27" s="83">
        <f>'19'!O108</f>
        <v>0</v>
      </c>
      <c r="P27" s="83">
        <f>'19'!P108</f>
        <v>0.94895833333333302</v>
      </c>
      <c r="Q27" s="83">
        <f>'19'!Q108</f>
        <v>12.946250000000006</v>
      </c>
      <c r="R27" s="76"/>
      <c r="S27" s="76"/>
      <c r="T27" s="76"/>
      <c r="U27" s="76"/>
    </row>
    <row r="28" spans="1:21">
      <c r="A28" s="139" t="str">
        <f>'20'!$B$2</f>
        <v>20/02/2025 00:15</v>
      </c>
      <c r="B28" s="83">
        <f>'20'!B108</f>
        <v>8.7286458333333332</v>
      </c>
      <c r="C28" s="83">
        <f>'20'!C108</f>
        <v>25.760729166666668</v>
      </c>
      <c r="D28" s="83">
        <f>'20'!D108</f>
        <v>21.809375000000003</v>
      </c>
      <c r="E28" s="83">
        <f>'20'!E108</f>
        <v>12.719791666666657</v>
      </c>
      <c r="F28" s="152" t="s">
        <v>15</v>
      </c>
      <c r="G28" s="83">
        <f>'20'!G108</f>
        <v>102.63510416666666</v>
      </c>
      <c r="H28" s="83">
        <f>'20'!H108</f>
        <v>42.294583333333343</v>
      </c>
      <c r="I28" s="83">
        <f>'20'!I108</f>
        <v>12.71260416666667</v>
      </c>
      <c r="J28" s="83">
        <f>'20'!J108</f>
        <v>0.44833333333333325</v>
      </c>
      <c r="K28" s="83">
        <f>'20'!K108</f>
        <v>201.15750000000003</v>
      </c>
      <c r="L28" s="83">
        <f>'20'!L108</f>
        <v>26.261458333333341</v>
      </c>
      <c r="M28" s="83">
        <f>'20'!M108</f>
        <v>52.203854166666652</v>
      </c>
      <c r="N28" s="83">
        <f>'20'!N108</f>
        <v>81.55312499999998</v>
      </c>
      <c r="O28" s="83">
        <f>'20'!O108</f>
        <v>0</v>
      </c>
      <c r="P28" s="83">
        <f>'20'!P108</f>
        <v>0.96187500000000015</v>
      </c>
      <c r="Q28" s="83">
        <f>'20'!Q108</f>
        <v>12.982291666666683</v>
      </c>
      <c r="R28" s="76"/>
      <c r="S28" s="76"/>
      <c r="T28" s="76"/>
      <c r="U28" s="76"/>
    </row>
    <row r="29" spans="1:21">
      <c r="A29" s="139" t="str">
        <f>'21'!$B$2</f>
        <v>21/02/2025 00:15</v>
      </c>
      <c r="B29" s="83">
        <f>'21'!B108</f>
        <v>10.409479166666673</v>
      </c>
      <c r="C29" s="83">
        <f>'21'!C108</f>
        <v>26.135208333333328</v>
      </c>
      <c r="D29" s="83">
        <f>'21'!D108</f>
        <v>23.353749999999991</v>
      </c>
      <c r="E29" s="83">
        <f>'21'!E108</f>
        <v>11.507916666666665</v>
      </c>
      <c r="F29" s="152" t="s">
        <v>15</v>
      </c>
      <c r="G29" s="83">
        <f>'21'!G108</f>
        <v>82.487604166666685</v>
      </c>
      <c r="H29" s="83">
        <f>'21'!H108</f>
        <v>33.683958333333329</v>
      </c>
      <c r="I29" s="83">
        <f>'21'!I108</f>
        <v>10.210833333333335</v>
      </c>
      <c r="J29" s="83">
        <f>'21'!J108</f>
        <v>0.453125</v>
      </c>
      <c r="K29" s="83">
        <f>'21'!K108</f>
        <v>149.67635416666664</v>
      </c>
      <c r="L29" s="83">
        <f>'21'!L108</f>
        <v>25.627499999999998</v>
      </c>
      <c r="M29" s="83">
        <f>'21'!M108</f>
        <v>53.817916666666669</v>
      </c>
      <c r="N29" s="83">
        <f>'21'!N108</f>
        <v>80.610416666666694</v>
      </c>
      <c r="O29" s="83">
        <f>'21'!O108</f>
        <v>0</v>
      </c>
      <c r="P29" s="83">
        <f>'21'!P108</f>
        <v>0.79833333333333367</v>
      </c>
      <c r="Q29" s="83">
        <f>'21'!Q108</f>
        <v>12.954895833333332</v>
      </c>
      <c r="R29" s="76"/>
      <c r="S29" s="76"/>
      <c r="T29" s="76"/>
      <c r="U29" s="76"/>
    </row>
    <row r="30" spans="1:21">
      <c r="A30" s="139" t="str">
        <f>'22'!$B$2</f>
        <v>22/02/2025 00:15</v>
      </c>
      <c r="B30" s="83">
        <f>'22'!B108</f>
        <v>12.644583333333337</v>
      </c>
      <c r="C30" s="83">
        <f>'22'!C108</f>
        <v>23.04729166666667</v>
      </c>
      <c r="D30" s="83">
        <f>'22'!D108</f>
        <v>23.531979166666677</v>
      </c>
      <c r="E30" s="83">
        <f>'22'!E108</f>
        <v>10.531249999999995</v>
      </c>
      <c r="F30" s="152" t="s">
        <v>15</v>
      </c>
      <c r="G30" s="83">
        <f>'22'!G108</f>
        <v>67.493958333333339</v>
      </c>
      <c r="H30" s="83">
        <f>'22'!H108</f>
        <v>25.801979166666644</v>
      </c>
      <c r="I30" s="83">
        <f>'22'!I108</f>
        <v>10.9528125</v>
      </c>
      <c r="J30" s="83">
        <f>'22'!J108</f>
        <v>0.42895833333333339</v>
      </c>
      <c r="K30" s="83">
        <f>'22'!K108</f>
        <v>208.5090625</v>
      </c>
      <c r="L30" s="83">
        <f>'22'!L108</f>
        <v>25.421354166666664</v>
      </c>
      <c r="M30" s="83">
        <f>'22'!M108</f>
        <v>45.199687500000003</v>
      </c>
      <c r="N30" s="83">
        <f>'22'!N108</f>
        <v>91.286458333333357</v>
      </c>
      <c r="O30" s="83">
        <f>'22'!O108</f>
        <v>0</v>
      </c>
      <c r="P30" s="83">
        <f>'22'!P108</f>
        <v>0.78385416666666619</v>
      </c>
      <c r="Q30" s="83">
        <f>'22'!Q108</f>
        <v>12.931354166666665</v>
      </c>
      <c r="R30" s="76"/>
      <c r="S30" s="76"/>
      <c r="T30" s="76"/>
      <c r="U30" s="76"/>
    </row>
    <row r="31" spans="1:21">
      <c r="A31" s="139" t="str">
        <f>'23'!$B$2</f>
        <v>23/02/2025 00:15</v>
      </c>
      <c r="B31" s="83">
        <f>'23'!B108</f>
        <v>11.269999999999998</v>
      </c>
      <c r="C31" s="83">
        <f>'23'!C108</f>
        <v>24.013541666666669</v>
      </c>
      <c r="D31" s="83">
        <f>'23'!D108</f>
        <v>22.935416666666672</v>
      </c>
      <c r="E31" s="83">
        <f>'23'!E108</f>
        <v>10.195833333333338</v>
      </c>
      <c r="F31" s="152" t="s">
        <v>15</v>
      </c>
      <c r="G31" s="83">
        <f>'23'!G108</f>
        <v>61.357395833333278</v>
      </c>
      <c r="H31" s="83">
        <f>'23'!H108</f>
        <v>37.095625000000005</v>
      </c>
      <c r="I31" s="83">
        <f>'23'!I108</f>
        <v>7.5689583333333337</v>
      </c>
      <c r="J31" s="83">
        <f>'23'!J108</f>
        <v>0.68364583333333362</v>
      </c>
      <c r="K31" s="83">
        <f>'23'!K108</f>
        <v>114.92468749999999</v>
      </c>
      <c r="L31" s="83">
        <f>'23'!L108</f>
        <v>24.634895833333331</v>
      </c>
      <c r="M31" s="83">
        <f>'23'!M108</f>
        <v>38.518958333333337</v>
      </c>
      <c r="N31" s="83">
        <f>'23'!N108</f>
        <v>96.927083333333314</v>
      </c>
      <c r="O31" s="83">
        <f>'23'!O108</f>
        <v>0</v>
      </c>
      <c r="P31" s="83">
        <f>'23'!P108</f>
        <v>0.58124999999999993</v>
      </c>
      <c r="Q31" s="83">
        <f>'23'!Q108</f>
        <v>12.928020833333344</v>
      </c>
      <c r="R31" s="76"/>
      <c r="S31" s="154"/>
      <c r="T31" s="76"/>
      <c r="U31" s="76"/>
    </row>
    <row r="32" spans="1:21">
      <c r="A32" s="139" t="str">
        <f>'24'!$B$2</f>
        <v>24/02/2025 00:15</v>
      </c>
      <c r="B32" s="83">
        <f>'24'!B108</f>
        <v>17.913035714285716</v>
      </c>
      <c r="C32" s="83">
        <f>'24'!C108</f>
        <v>23.599464285714287</v>
      </c>
      <c r="D32" s="83">
        <f>'24'!D108</f>
        <v>27.936607142857138</v>
      </c>
      <c r="E32" s="83">
        <f>'24'!E108</f>
        <v>10.52033898305085</v>
      </c>
      <c r="F32" s="152" t="s">
        <v>15</v>
      </c>
      <c r="G32" s="83">
        <f>'24'!G108</f>
        <v>69.152424242424232</v>
      </c>
      <c r="H32" s="83">
        <f>'24'!H108</f>
        <v>26.566363636363644</v>
      </c>
      <c r="I32" s="83">
        <f>'24'!I108</f>
        <v>9.6615909090909113</v>
      </c>
      <c r="J32" s="83">
        <f>'24'!J108</f>
        <v>0.46424242424242412</v>
      </c>
      <c r="K32" s="83">
        <f>'24'!K108</f>
        <v>105.55439393939396</v>
      </c>
      <c r="L32" s="83">
        <f>'24'!L108</f>
        <v>22.976060606060599</v>
      </c>
      <c r="M32" s="83">
        <f>'24'!M108</f>
        <v>41.944242424242447</v>
      </c>
      <c r="N32" s="83">
        <f>'24'!N108</f>
        <v>85.987878787878799</v>
      </c>
      <c r="O32" s="83">
        <f>'24'!O108</f>
        <v>0</v>
      </c>
      <c r="P32" s="83">
        <f>'24'!P108</f>
        <v>0.65772727272727294</v>
      </c>
      <c r="Q32" s="83">
        <f>'24'!Q108</f>
        <v>12.950909090909095</v>
      </c>
      <c r="R32" s="76"/>
      <c r="S32" s="76"/>
      <c r="T32" s="76"/>
      <c r="U32" s="76"/>
    </row>
    <row r="33" spans="1:21">
      <c r="A33" s="139" t="str">
        <f>'25'!$B$2</f>
        <v>25/02/2025 00:15</v>
      </c>
      <c r="B33" s="83">
        <f>'25'!B108</f>
        <v>10.388955223880597</v>
      </c>
      <c r="C33" s="83">
        <f>'25'!C108</f>
        <v>29.939253731343289</v>
      </c>
      <c r="D33" s="83">
        <f>'25'!D108</f>
        <v>25.265074626865676</v>
      </c>
      <c r="E33" s="83">
        <f>'25'!E108</f>
        <v>6.6075714285714291</v>
      </c>
      <c r="F33" s="152" t="s">
        <v>15</v>
      </c>
      <c r="G33" s="83">
        <f>'25'!G108</f>
        <v>80.9505479452055</v>
      </c>
      <c r="H33" s="83">
        <f>'25'!H108</f>
        <v>30.510972222222236</v>
      </c>
      <c r="I33" s="83">
        <f>'25'!I108</f>
        <v>9.6557142857142857</v>
      </c>
      <c r="J33" s="83">
        <f>'25'!J108</f>
        <v>0.43276315789473685</v>
      </c>
      <c r="K33" s="83">
        <f>'25'!K108</f>
        <v>127.73960526315791</v>
      </c>
      <c r="L33" s="83">
        <f>'25'!L108</f>
        <v>25.171184210526331</v>
      </c>
      <c r="M33" s="83">
        <f>'25'!M108</f>
        <v>41.670789473684209</v>
      </c>
      <c r="N33" s="83">
        <f>'25'!N108</f>
        <v>77.699999999999989</v>
      </c>
      <c r="O33" s="83">
        <f>'25'!O108</f>
        <v>0</v>
      </c>
      <c r="P33" s="83">
        <f>'25'!P108</f>
        <v>0.77039473684210535</v>
      </c>
      <c r="Q33" s="83">
        <f>'25'!Q108</f>
        <v>1.1211627906976736</v>
      </c>
      <c r="R33" s="76"/>
      <c r="S33" s="154"/>
      <c r="T33" s="76"/>
      <c r="U33" s="76"/>
    </row>
    <row r="34" spans="1:21">
      <c r="A34" s="139" t="str">
        <f>'26'!$B$2</f>
        <v>26/02/2025 00:15</v>
      </c>
      <c r="B34" s="83">
        <f>'26'!B108</f>
        <v>12.801354166666668</v>
      </c>
      <c r="C34" s="83">
        <f>'26'!C108</f>
        <v>24.15468749999998</v>
      </c>
      <c r="D34" s="83">
        <f>'26'!D108</f>
        <v>24.237395833333323</v>
      </c>
      <c r="E34" s="83">
        <f>'26'!E108</f>
        <v>12.485729166666665</v>
      </c>
      <c r="F34" s="152" t="s">
        <v>15</v>
      </c>
      <c r="G34" s="83">
        <f>'26'!G108</f>
        <v>80.950833333333335</v>
      </c>
      <c r="H34" s="83">
        <f>'26'!H108</f>
        <v>31.745000000000008</v>
      </c>
      <c r="I34" s="83">
        <f>'26'!I108</f>
        <v>9.7687499999999989</v>
      </c>
      <c r="J34" s="83">
        <f>'26'!J108</f>
        <v>0.5122916666666667</v>
      </c>
      <c r="K34" s="83">
        <f>'26'!K108</f>
        <v>119.21083333333335</v>
      </c>
      <c r="L34" s="83">
        <f>'26'!L108</f>
        <v>24.613958333333329</v>
      </c>
      <c r="M34" s="83">
        <f>'26'!M108</f>
        <v>38.77864583333335</v>
      </c>
      <c r="N34" s="83">
        <f>'26'!N108</f>
        <v>95.687499999999986</v>
      </c>
      <c r="O34" s="83">
        <f>'26'!O108</f>
        <v>0</v>
      </c>
      <c r="P34" s="83">
        <f>'26'!P108</f>
        <v>0.78687499999999988</v>
      </c>
      <c r="Q34" s="83">
        <f>'26'!Q108</f>
        <v>54.359999999999964</v>
      </c>
      <c r="R34" s="76"/>
      <c r="S34" s="76"/>
      <c r="T34" s="76"/>
      <c r="U34" s="76"/>
    </row>
    <row r="35" spans="1:21">
      <c r="A35" s="139" t="str">
        <f>'27'!$B$2</f>
        <v>27/02/2025 00:15</v>
      </c>
      <c r="B35" s="83">
        <f>'27'!B108</f>
        <v>25.423333333333332</v>
      </c>
      <c r="C35" s="83">
        <f>'27'!C108</f>
        <v>26.16364583333333</v>
      </c>
      <c r="D35" s="83">
        <f>'27'!D108</f>
        <v>35.408125000000005</v>
      </c>
      <c r="E35" s="83">
        <f>'27'!E108</f>
        <v>23.796250000000001</v>
      </c>
      <c r="F35" s="152" t="s">
        <v>15</v>
      </c>
      <c r="G35" s="83">
        <f>'27'!G108</f>
        <v>72.087604166666637</v>
      </c>
      <c r="H35" s="83">
        <f>'27'!H108</f>
        <v>25.211979166666669</v>
      </c>
      <c r="I35" s="83">
        <f>'27'!I108</f>
        <v>11.146458333333328</v>
      </c>
      <c r="J35" s="83">
        <f>'27'!J108</f>
        <v>0.5675</v>
      </c>
      <c r="K35" s="83">
        <f>'27'!K108</f>
        <v>117.85479166666666</v>
      </c>
      <c r="L35" s="83">
        <f>'27'!L108</f>
        <v>24.801666666666666</v>
      </c>
      <c r="M35" s="83">
        <f>'27'!M108</f>
        <v>42.083229166666662</v>
      </c>
      <c r="N35" s="83">
        <f>'27'!N108</f>
        <v>94.659375000000082</v>
      </c>
      <c r="O35" s="83">
        <f>'27'!O108</f>
        <v>0</v>
      </c>
      <c r="P35" s="83">
        <f>'27'!P108</f>
        <v>0.88802083333333293</v>
      </c>
      <c r="Q35" s="83">
        <f>'27'!Q108</f>
        <v>19.663125000000019</v>
      </c>
      <c r="R35" s="76"/>
      <c r="S35" s="76"/>
      <c r="T35" s="76"/>
      <c r="U35" s="76"/>
    </row>
    <row r="36" spans="1:21">
      <c r="A36" s="139" t="str">
        <f>'28'!$B$2</f>
        <v>28/02/2025 00:15</v>
      </c>
      <c r="B36" s="83">
        <f>'28'!B108</f>
        <v>17.748958333333331</v>
      </c>
      <c r="C36" s="83">
        <f>'28'!C108</f>
        <v>23.671354166666664</v>
      </c>
      <c r="D36" s="83">
        <f>'28'!D108</f>
        <v>27.951354166666672</v>
      </c>
      <c r="E36" s="83">
        <f>'28'!E108</f>
        <v>12.198124999999996</v>
      </c>
      <c r="F36" s="152">
        <v>15</v>
      </c>
      <c r="G36" s="83">
        <f>'28'!G108</f>
        <v>79.077916666666681</v>
      </c>
      <c r="H36" s="83">
        <f>'28'!H108</f>
        <v>33.527916666666663</v>
      </c>
      <c r="I36" s="83">
        <f>'28'!I108</f>
        <v>10.992291666666668</v>
      </c>
      <c r="J36" s="83">
        <f>'28'!J108</f>
        <v>0.28416666666666668</v>
      </c>
      <c r="K36" s="83">
        <f>'28'!K108</f>
        <v>187.88104166666662</v>
      </c>
      <c r="L36" s="83">
        <f>'28'!L108</f>
        <v>25.960312500000011</v>
      </c>
      <c r="M36" s="83">
        <f>'28'!M108</f>
        <v>45.695520833333326</v>
      </c>
      <c r="N36" s="83">
        <f>'28'!N108</f>
        <v>90.879166666666663</v>
      </c>
      <c r="O36" s="83">
        <f>'28'!O108</f>
        <v>0</v>
      </c>
      <c r="P36" s="83">
        <f>'28'!P108</f>
        <v>0.87427083333333311</v>
      </c>
      <c r="Q36" s="83">
        <f>'28'!Q108</f>
        <v>28.59</v>
      </c>
      <c r="R36" s="76"/>
      <c r="S36" s="76"/>
      <c r="T36" s="76"/>
      <c r="U36" s="76"/>
    </row>
    <row r="37" spans="1:21" s="2" customForma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76"/>
      <c r="S37" s="76"/>
      <c r="T37" s="76"/>
      <c r="U37" s="76"/>
    </row>
    <row r="38" spans="1:21" s="2" customForma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5.2833695652173898</v>
      </c>
      <c r="C41" s="141">
        <f t="shared" si="0"/>
        <v>21.316956521739129</v>
      </c>
      <c r="D41" s="141">
        <f t="shared" si="0"/>
        <v>16.72586956521738</v>
      </c>
      <c r="E41" s="141">
        <f t="shared" si="0"/>
        <v>6.6075714285714291</v>
      </c>
      <c r="F41" s="141">
        <f t="shared" si="0"/>
        <v>15</v>
      </c>
      <c r="G41" s="141">
        <f t="shared" si="0"/>
        <v>55.269166666666649</v>
      </c>
      <c r="H41" s="141">
        <f t="shared" si="0"/>
        <v>21.862187500000008</v>
      </c>
      <c r="I41" s="141">
        <f t="shared" si="0"/>
        <v>7.5689583333333337</v>
      </c>
      <c r="J41" s="141">
        <f t="shared" si="0"/>
        <v>0.26375000000000004</v>
      </c>
      <c r="K41" s="141">
        <f t="shared" si="0"/>
        <v>47.620729166666671</v>
      </c>
      <c r="L41" s="141">
        <f t="shared" si="0"/>
        <v>21.542584269662921</v>
      </c>
      <c r="M41" s="141">
        <f t="shared" si="0"/>
        <v>37.221354166666664</v>
      </c>
      <c r="N41" s="141">
        <f t="shared" si="0"/>
        <v>68.729347826086979</v>
      </c>
      <c r="O41" s="141">
        <f t="shared" si="0"/>
        <v>0</v>
      </c>
      <c r="P41" s="141">
        <f t="shared" si="0"/>
        <v>0.58124999999999993</v>
      </c>
      <c r="Q41" s="141">
        <f t="shared" si="0"/>
        <v>1.1211627906976736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25.423333333333332</v>
      </c>
      <c r="C42" s="141">
        <f t="shared" si="1"/>
        <v>29.939253731343289</v>
      </c>
      <c r="D42" s="141">
        <f t="shared" si="1"/>
        <v>35.408125000000005</v>
      </c>
      <c r="E42" s="141">
        <f t="shared" si="1"/>
        <v>23.796250000000001</v>
      </c>
      <c r="F42" s="141">
        <f t="shared" si="1"/>
        <v>15</v>
      </c>
      <c r="G42" s="141">
        <f t="shared" si="1"/>
        <v>109.98177083333339</v>
      </c>
      <c r="H42" s="141">
        <f t="shared" si="1"/>
        <v>42.294583333333343</v>
      </c>
      <c r="I42" s="141">
        <f t="shared" si="1"/>
        <v>12.825729166666667</v>
      </c>
      <c r="J42" s="141">
        <f t="shared" si="1"/>
        <v>0.89791666666666681</v>
      </c>
      <c r="K42" s="141">
        <f t="shared" si="1"/>
        <v>227.52458333333337</v>
      </c>
      <c r="L42" s="141">
        <f t="shared" si="1"/>
        <v>28.184782608695652</v>
      </c>
      <c r="M42" s="141">
        <f t="shared" si="1"/>
        <v>63.667500000000018</v>
      </c>
      <c r="N42" s="141">
        <f t="shared" si="1"/>
        <v>103.20312499999999</v>
      </c>
      <c r="O42" s="141">
        <f t="shared" si="1"/>
        <v>0</v>
      </c>
      <c r="P42" s="141">
        <f t="shared" si="1"/>
        <v>0.99833333333333307</v>
      </c>
      <c r="Q42" s="141">
        <f t="shared" si="1"/>
        <v>54.359999999999964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11.868550145142493</v>
      </c>
      <c r="C43" s="141">
        <f t="shared" si="2"/>
        <v>24.233479853658327</v>
      </c>
      <c r="D43" s="141">
        <f t="shared" si="2"/>
        <v>23.523905039559558</v>
      </c>
      <c r="E43" s="141">
        <f t="shared" si="2"/>
        <v>11.621499365143952</v>
      </c>
      <c r="F43" s="141">
        <f t="shared" si="2"/>
        <v>15</v>
      </c>
      <c r="G43" s="141">
        <f t="shared" si="2"/>
        <v>76.328741990771832</v>
      </c>
      <c r="H43" s="141">
        <f t="shared" si="2"/>
        <v>29.098845242137603</v>
      </c>
      <c r="I43" s="141">
        <f t="shared" si="2"/>
        <v>10.371726896726729</v>
      </c>
      <c r="J43" s="141">
        <f t="shared" si="2"/>
        <v>0.4446397440935882</v>
      </c>
      <c r="K43" s="141">
        <f t="shared" si="2"/>
        <v>160.4287210361729</v>
      </c>
      <c r="L43" s="141">
        <f t="shared" si="2"/>
        <v>24.75443181648615</v>
      </c>
      <c r="M43" s="141">
        <f t="shared" si="2"/>
        <v>46.796869396620878</v>
      </c>
      <c r="N43" s="141">
        <f t="shared" si="2"/>
        <v>86.864863748117827</v>
      </c>
      <c r="O43" s="141">
        <f t="shared" si="2"/>
        <v>0</v>
      </c>
      <c r="P43" s="141">
        <f t="shared" si="2"/>
        <v>0.78630683992117134</v>
      </c>
      <c r="Q43" s="141">
        <f t="shared" si="2"/>
        <v>14.674443981537721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4.355895035706844</v>
      </c>
      <c r="C44" s="141">
        <f t="shared" si="3"/>
        <v>2.2427050817725038</v>
      </c>
      <c r="D44" s="141">
        <f t="shared" si="3"/>
        <v>4.0553219840366337</v>
      </c>
      <c r="E44" s="141">
        <f t="shared" si="3"/>
        <v>2.8942506400707</v>
      </c>
      <c r="F44" s="141" t="e">
        <f t="shared" si="3"/>
        <v>#DIV/0!</v>
      </c>
      <c r="G44" s="141">
        <f t="shared" si="3"/>
        <v>13.403111510750778</v>
      </c>
      <c r="H44" s="141">
        <f t="shared" si="3"/>
        <v>5.1994323125979269</v>
      </c>
      <c r="I44" s="141">
        <f t="shared" si="3"/>
        <v>1.5017590268676533</v>
      </c>
      <c r="J44" s="141">
        <f t="shared" si="3"/>
        <v>0.12751251817992137</v>
      </c>
      <c r="K44" s="141">
        <f t="shared" si="3"/>
        <v>46.695445026471667</v>
      </c>
      <c r="L44" s="141">
        <f t="shared" si="3"/>
        <v>1.4814575771069363</v>
      </c>
      <c r="M44" s="141">
        <f t="shared" si="3"/>
        <v>6.8111022512066137</v>
      </c>
      <c r="N44" s="141">
        <f t="shared" si="3"/>
        <v>7.8748446647937032</v>
      </c>
      <c r="O44" s="141">
        <f t="shared" si="3"/>
        <v>0</v>
      </c>
      <c r="P44" s="141">
        <f t="shared" si="3"/>
        <v>0.11216646781826543</v>
      </c>
      <c r="Q44" s="141">
        <f t="shared" si="3"/>
        <v>8.7586973773522665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28</v>
      </c>
      <c r="C45" s="132">
        <f t="shared" si="4"/>
        <v>28</v>
      </c>
      <c r="D45" s="132">
        <f t="shared" si="4"/>
        <v>28</v>
      </c>
      <c r="E45" s="132">
        <f t="shared" si="4"/>
        <v>28</v>
      </c>
      <c r="F45" s="132">
        <f t="shared" si="4"/>
        <v>1</v>
      </c>
      <c r="G45" s="132">
        <f t="shared" si="4"/>
        <v>28</v>
      </c>
      <c r="H45" s="132">
        <f t="shared" si="4"/>
        <v>28</v>
      </c>
      <c r="I45" s="132">
        <f t="shared" si="4"/>
        <v>28</v>
      </c>
      <c r="J45" s="132">
        <f t="shared" si="4"/>
        <v>28</v>
      </c>
      <c r="K45" s="132">
        <f t="shared" si="4"/>
        <v>28</v>
      </c>
      <c r="L45" s="132">
        <f t="shared" si="4"/>
        <v>28</v>
      </c>
      <c r="M45" s="132">
        <f t="shared" si="4"/>
        <v>28</v>
      </c>
      <c r="N45" s="132">
        <f t="shared" si="4"/>
        <v>28</v>
      </c>
      <c r="O45" s="132">
        <f t="shared" si="4"/>
        <v>28</v>
      </c>
      <c r="P45" s="132">
        <f t="shared" si="4"/>
        <v>28</v>
      </c>
      <c r="Q45" s="132">
        <f t="shared" si="4"/>
        <v>28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&lt;90%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LESS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7" t="s">
        <v>56</v>
      </c>
      <c r="C50" s="167"/>
      <c r="D50" s="16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>
  <dimension ref="B1:X119"/>
  <sheetViews>
    <sheetView zoomScale="85" zoomScaleNormal="85" workbookViewId="0">
      <selection activeCell="H70" sqref="H70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62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5" t="s">
        <v>63</v>
      </c>
      <c r="H5" s="175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45700.493750000001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>
        <v>200.1</v>
      </c>
      <c r="I8" s="6">
        <v>0</v>
      </c>
      <c r="J8" s="83">
        <f>F8/H8</f>
        <v>0.99950024987506247</v>
      </c>
      <c r="K8" s="83">
        <f>(H8-F8)*100/F8</f>
        <v>4.9999999999997158E-2</v>
      </c>
      <c r="L8" s="6" t="s">
        <v>81</v>
      </c>
      <c r="M8" s="103" t="s">
        <v>56</v>
      </c>
      <c r="O8" s="72">
        <v>45700.493750000001</v>
      </c>
      <c r="P8" s="100" t="s">
        <v>64</v>
      </c>
      <c r="Q8" s="100">
        <v>4640.74</v>
      </c>
      <c r="R8" s="100">
        <v>3573.68</v>
      </c>
      <c r="S8" s="100" t="s">
        <v>82</v>
      </c>
      <c r="T8" s="100">
        <v>865.65</v>
      </c>
      <c r="U8" s="117">
        <v>0.97289999999999999</v>
      </c>
      <c r="V8" s="117">
        <v>0.97109999999999996</v>
      </c>
      <c r="W8" s="6" t="s">
        <v>81</v>
      </c>
      <c r="X8" s="103" t="s">
        <v>56</v>
      </c>
    </row>
    <row r="9" spans="2:24" ht="15.75">
      <c r="B9" s="72">
        <v>45713.486111111109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>
        <v>198.6</v>
      </c>
      <c r="I9" s="6">
        <v>0</v>
      </c>
      <c r="J9" s="83">
        <f t="shared" ref="J9:J14" si="0">F9/H9</f>
        <v>1.0070493454179255</v>
      </c>
      <c r="K9" s="83">
        <f t="shared" ref="K9:K14" si="1">(H9-F9)*100/F9</f>
        <v>-0.70000000000000284</v>
      </c>
      <c r="L9" s="6" t="s">
        <v>81</v>
      </c>
      <c r="M9" s="103" t="s">
        <v>56</v>
      </c>
      <c r="O9" s="72">
        <v>45713.486111111109</v>
      </c>
      <c r="P9" s="100" t="s">
        <v>64</v>
      </c>
      <c r="Q9" s="100">
        <v>4503.84</v>
      </c>
      <c r="R9" s="100">
        <v>3477.65</v>
      </c>
      <c r="S9" s="100" t="s">
        <v>82</v>
      </c>
      <c r="T9" s="100">
        <v>857.14</v>
      </c>
      <c r="U9" s="117">
        <v>0.97109999999999996</v>
      </c>
      <c r="V9" s="117">
        <v>0.9788</v>
      </c>
      <c r="W9" s="6" t="s">
        <v>81</v>
      </c>
      <c r="X9" s="103" t="s">
        <v>56</v>
      </c>
    </row>
    <row r="10" spans="2:24" ht="15.75">
      <c r="B10" s="72">
        <v>45715.504861111112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>
        <v>199.5</v>
      </c>
      <c r="I10" s="6">
        <v>0</v>
      </c>
      <c r="J10" s="83">
        <f t="shared" si="0"/>
        <v>1.0025062656641603</v>
      </c>
      <c r="K10" s="83">
        <f t="shared" si="1"/>
        <v>-0.25</v>
      </c>
      <c r="L10" s="6" t="s">
        <v>81</v>
      </c>
      <c r="M10" s="103" t="s">
        <v>56</v>
      </c>
      <c r="O10" s="72">
        <v>45715.504861111112</v>
      </c>
      <c r="P10" s="100" t="s">
        <v>64</v>
      </c>
      <c r="Q10" s="100">
        <v>4585.95</v>
      </c>
      <c r="R10" s="100">
        <v>3541.69</v>
      </c>
      <c r="S10" s="100" t="s">
        <v>82</v>
      </c>
      <c r="T10" s="100">
        <v>860.2</v>
      </c>
      <c r="U10" s="117">
        <v>0.9788</v>
      </c>
      <c r="V10" s="117">
        <v>0.98319999999999996</v>
      </c>
      <c r="W10" s="6" t="s">
        <v>81</v>
      </c>
      <c r="X10" s="103" t="s">
        <v>56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6" t="s">
        <v>83</v>
      </c>
      <c r="D21" s="176"/>
      <c r="E21" s="176"/>
      <c r="F21" s="176"/>
      <c r="G21" s="176"/>
      <c r="H21" s="176"/>
      <c r="I21" s="106">
        <f>COUNT(B8:B20)</f>
        <v>3</v>
      </c>
      <c r="J21" s="107"/>
      <c r="K21" s="107"/>
      <c r="L21" s="94"/>
      <c r="M21" s="108"/>
      <c r="O21" s="109"/>
      <c r="P21" s="177" t="s">
        <v>84</v>
      </c>
      <c r="Q21" s="177"/>
      <c r="R21" s="177"/>
      <c r="S21" s="177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8" t="s">
        <v>85</v>
      </c>
      <c r="H24" s="178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45700.493750000001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>
        <v>199.2</v>
      </c>
      <c r="I27" s="6">
        <v>0</v>
      </c>
      <c r="J27" s="83">
        <f>F27/H27</f>
        <v>1.0040160642570282</v>
      </c>
      <c r="K27" s="83">
        <f>(H27-F27)*100/F27</f>
        <v>-0.40000000000000568</v>
      </c>
      <c r="L27" s="6" t="s">
        <v>81</v>
      </c>
      <c r="M27" s="103" t="s">
        <v>56</v>
      </c>
      <c r="O27" s="72">
        <v>45700.493750000001</v>
      </c>
      <c r="P27" s="100" t="s">
        <v>29</v>
      </c>
      <c r="Q27" s="100">
        <v>4397.32</v>
      </c>
      <c r="R27" s="100">
        <v>3428.96</v>
      </c>
      <c r="S27" s="100" t="s">
        <v>87</v>
      </c>
      <c r="T27" s="100">
        <v>791.67</v>
      </c>
      <c r="U27" s="117">
        <v>0.93500000000000005</v>
      </c>
      <c r="V27" s="117">
        <v>0.93179999999999996</v>
      </c>
      <c r="W27" s="6" t="s">
        <v>81</v>
      </c>
      <c r="X27" s="103" t="s">
        <v>56</v>
      </c>
    </row>
    <row r="28" spans="2:24" ht="15.75">
      <c r="B28" s="72">
        <v>45713.486111111109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>
        <v>200.1</v>
      </c>
      <c r="I28" s="6">
        <v>0</v>
      </c>
      <c r="J28" s="83">
        <f t="shared" ref="J28:J33" si="2">F28/H28</f>
        <v>0.99950024987506247</v>
      </c>
      <c r="K28" s="83">
        <f t="shared" ref="K28:K33" si="3">(H28-F28)*100/F28</f>
        <v>4.9999999999997158E-2</v>
      </c>
      <c r="L28" s="6" t="s">
        <v>81</v>
      </c>
      <c r="M28" s="103" t="s">
        <v>56</v>
      </c>
      <c r="O28" s="72">
        <v>44982.486111111109</v>
      </c>
      <c r="P28" s="100" t="s">
        <v>29</v>
      </c>
      <c r="Q28" s="100">
        <v>4511.37</v>
      </c>
      <c r="R28" s="100">
        <v>3509.43</v>
      </c>
      <c r="S28" s="100" t="s">
        <v>87</v>
      </c>
      <c r="T28" s="100">
        <v>799.83</v>
      </c>
      <c r="U28" s="117">
        <v>0.93179999999999996</v>
      </c>
      <c r="V28" s="117">
        <v>0.91920000000000002</v>
      </c>
      <c r="W28" s="6" t="s">
        <v>81</v>
      </c>
      <c r="X28" s="103" t="s">
        <v>56</v>
      </c>
    </row>
    <row r="29" spans="2:24" ht="15.75">
      <c r="B29" s="72">
        <v>45715.504861111112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>
        <v>200.4</v>
      </c>
      <c r="I29" s="6">
        <v>0</v>
      </c>
      <c r="J29" s="83">
        <f t="shared" si="2"/>
        <v>0.99800399201596801</v>
      </c>
      <c r="K29" s="83">
        <f t="shared" si="3"/>
        <v>0.20000000000000284</v>
      </c>
      <c r="L29" s="6" t="s">
        <v>81</v>
      </c>
      <c r="M29" s="103" t="s">
        <v>56</v>
      </c>
      <c r="O29" s="72">
        <v>45715.504861111112</v>
      </c>
      <c r="P29" s="100" t="s">
        <v>29</v>
      </c>
      <c r="Q29" s="100">
        <v>4571.21</v>
      </c>
      <c r="R29" s="100">
        <v>3578.94</v>
      </c>
      <c r="S29" s="100" t="s">
        <v>87</v>
      </c>
      <c r="T29" s="100">
        <v>766.49</v>
      </c>
      <c r="U29" s="117">
        <v>0.91920000000000002</v>
      </c>
      <c r="V29" s="117">
        <v>0.94620000000000004</v>
      </c>
      <c r="W29" s="6" t="s">
        <v>81</v>
      </c>
      <c r="X29" s="103" t="s">
        <v>56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7" t="s">
        <v>88</v>
      </c>
      <c r="Q40" s="177"/>
      <c r="R40" s="177"/>
      <c r="S40" s="177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76" t="s">
        <v>89</v>
      </c>
      <c r="E41" s="176"/>
      <c r="F41" s="176"/>
      <c r="G41" s="176"/>
      <c r="H41" s="176"/>
      <c r="I41" s="176"/>
      <c r="J41" s="113">
        <f>COUNT(B27:B39)</f>
        <v>3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8" t="s">
        <v>38</v>
      </c>
      <c r="H44" s="178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6" t="s">
        <v>90</v>
      </c>
      <c r="E61" s="176"/>
      <c r="F61" s="176"/>
      <c r="G61" s="176"/>
      <c r="H61" s="176"/>
      <c r="I61" s="176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8" t="s">
        <v>37</v>
      </c>
      <c r="H64" s="178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45700.493750000001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4.9000000000000004</v>
      </c>
      <c r="I67" s="6">
        <v>0</v>
      </c>
      <c r="J67" s="83">
        <f>F67/H67</f>
        <v>1.0204081632653061</v>
      </c>
      <c r="K67" s="83">
        <f>(H67-F67)*100/F67</f>
        <v>-1.9999999999999929</v>
      </c>
      <c r="L67" s="6" t="s">
        <v>81</v>
      </c>
      <c r="M67" s="103" t="s">
        <v>56</v>
      </c>
    </row>
    <row r="68" spans="2:13" ht="15.75">
      <c r="B68" s="72">
        <v>45713.486111111109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5.2</v>
      </c>
      <c r="I68" s="6">
        <v>0</v>
      </c>
      <c r="J68" s="83">
        <f t="shared" ref="J68:J73" si="4">F68/H68</f>
        <v>0.96153846153846145</v>
      </c>
      <c r="K68" s="83">
        <f t="shared" ref="K68:K73" si="5">(H68-F68)*100/F68</f>
        <v>4.0000000000000036</v>
      </c>
      <c r="L68" s="6" t="s">
        <v>81</v>
      </c>
      <c r="M68" s="103" t="s">
        <v>56</v>
      </c>
    </row>
    <row r="69" spans="2:13" ht="15.75">
      <c r="B69" s="72">
        <v>45715.504861111112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5.0999999999999996</v>
      </c>
      <c r="I69" s="6">
        <v>0</v>
      </c>
      <c r="J69" s="83">
        <f t="shared" si="4"/>
        <v>0.98039215686274517</v>
      </c>
      <c r="K69" s="83">
        <f t="shared" si="5"/>
        <v>1.9999999999999929</v>
      </c>
      <c r="L69" s="6" t="s">
        <v>81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6" t="s">
        <v>91</v>
      </c>
      <c r="E81" s="176"/>
      <c r="F81" s="176"/>
      <c r="G81" s="176"/>
      <c r="H81" s="176"/>
      <c r="I81" s="176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8" t="s">
        <v>92</v>
      </c>
      <c r="H84" s="178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6" t="s">
        <v>93</v>
      </c>
      <c r="E101" s="176"/>
      <c r="F101" s="176"/>
      <c r="G101" s="176"/>
      <c r="H101" s="176"/>
      <c r="I101" s="176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5" t="s">
        <v>94</v>
      </c>
      <c r="H104" s="175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/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56</v>
      </c>
    </row>
    <row r="108" spans="2:13" ht="15.75">
      <c r="B108" s="7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56</v>
      </c>
    </row>
    <row r="109" spans="2:13" ht="15.75">
      <c r="B109" s="7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6" t="s">
        <v>95</v>
      </c>
      <c r="D119" s="176"/>
      <c r="E119" s="176"/>
      <c r="F119" s="176"/>
      <c r="G119" s="176"/>
      <c r="H119" s="176"/>
      <c r="I119" s="113">
        <f>COUNT(B107:B118)</f>
        <v>0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9" t="s">
        <v>96</v>
      </c>
      <c r="C2" s="179"/>
      <c r="D2" s="181" t="str">
        <f>'MONTHLY 31'!$B$2</f>
        <v>01/02/2025 00:15</v>
      </c>
      <c r="E2" s="181"/>
    </row>
    <row r="3" spans="2:5">
      <c r="B3" s="179" t="s">
        <v>97</v>
      </c>
      <c r="C3" s="179"/>
      <c r="D3" s="181"/>
      <c r="E3" s="181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80" t="s">
        <v>101</v>
      </c>
      <c r="C44" s="180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2" t="s">
        <v>102</v>
      </c>
      <c r="C2" s="182"/>
      <c r="D2" s="182"/>
      <c r="E2" s="182"/>
      <c r="F2" s="183">
        <v>1</v>
      </c>
      <c r="G2" s="184"/>
      <c r="H2" s="184"/>
    </row>
    <row r="3" spans="2:24" customFormat="1" ht="15" customHeight="1">
      <c r="B3" s="182"/>
      <c r="C3" s="182"/>
      <c r="D3" s="182"/>
      <c r="E3" s="182"/>
      <c r="F3" s="184"/>
      <c r="G3" s="184"/>
      <c r="H3" s="184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7" t="s">
        <v>94</v>
      </c>
      <c r="C12" s="198" t="s">
        <v>103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40"/>
      <c r="U12" s="39"/>
    </row>
    <row r="13" spans="2:24" ht="15" customHeight="1">
      <c r="B13" s="188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8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8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8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8"/>
      <c r="C17" s="10"/>
      <c r="P17" s="1"/>
      <c r="Q17" s="1"/>
      <c r="R17" s="45"/>
      <c r="X17" s="42"/>
    </row>
    <row r="18" spans="2:28" ht="15.75" customHeight="1">
      <c r="B18" s="188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9" t="s">
        <v>85</v>
      </c>
      <c r="C25" s="200" t="s">
        <v>103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185"/>
      <c r="S25" s="49"/>
      <c r="T25" s="50"/>
    </row>
    <row r="26" spans="2:28" ht="15" customHeight="1">
      <c r="B26" s="189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9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9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90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91" t="s">
        <v>37</v>
      </c>
      <c r="C36" s="202" t="s">
        <v>103</v>
      </c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3"/>
    </row>
    <row r="37" spans="2:25" ht="15.75" customHeight="1">
      <c r="B37" s="192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2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2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3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4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4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4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9" t="s">
        <v>197</v>
      </c>
      <c r="C61" s="200" t="s">
        <v>103</v>
      </c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185"/>
      <c r="S61" s="57"/>
      <c r="T61" s="58"/>
    </row>
    <row r="62" spans="2:20" ht="15.75">
      <c r="B62" s="189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5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90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9" t="s">
        <v>214</v>
      </c>
      <c r="C69" s="200" t="s">
        <v>103</v>
      </c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185"/>
      <c r="S69" s="57"/>
      <c r="T69" s="58"/>
    </row>
    <row r="70" spans="2:20" ht="15.75">
      <c r="B70" s="189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5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90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6" t="s">
        <v>92</v>
      </c>
      <c r="C77" s="185" t="s">
        <v>103</v>
      </c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61"/>
      <c r="S77" s="61"/>
      <c r="T77" s="13"/>
    </row>
    <row r="78" spans="2:20">
      <c r="B78" s="197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7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7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7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7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2026-02-20T11:49:05Z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