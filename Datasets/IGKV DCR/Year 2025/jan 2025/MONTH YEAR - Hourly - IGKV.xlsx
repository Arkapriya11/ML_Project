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\Desktop\IGKB DCR\Year 2025\jan 2025\"/>
    </mc:Choice>
  </mc:AlternateContent>
  <xr:revisionPtr revIDLastSave="0" documentId="13_ncr:1_{09B8407B-9951-437F-9886-BCDEB3C8381B}" xr6:coauthVersionLast="47" xr6:coauthVersionMax="47" xr10:uidLastSave="{00000000-0000-0000-0000-000000000000}"/>
  <bookViews>
    <workbookView xWindow="-120" yWindow="-120" windowWidth="20730" windowHeight="11040" tabRatio="913" firstSheet="6" activeTab="31" xr2:uid="{00000000-000D-0000-FFFF-FFFF00000000}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31" sheetId="41" r:id="rId31"/>
    <sheet name="MONTHLY 31" sheetId="39" r:id="rId32"/>
  </sheets>
  <calcPr calcId="191029"/>
</workbook>
</file>

<file path=xl/calcChain.xml><?xml version="1.0" encoding="utf-8"?>
<calcChain xmlns="http://schemas.openxmlformats.org/spreadsheetml/2006/main">
  <c r="Q44" i="39" l="1"/>
  <c r="F44" i="39"/>
  <c r="F38" i="19"/>
  <c r="F34" i="23"/>
  <c r="F35" i="23"/>
  <c r="F36" i="23"/>
  <c r="F37" i="23"/>
  <c r="F38" i="23"/>
  <c r="F39" i="23" s="1"/>
  <c r="F40" i="23"/>
  <c r="Q38" i="25" l="1"/>
  <c r="Q38" i="24"/>
  <c r="Q38" i="23"/>
  <c r="Q40" i="23" s="1"/>
  <c r="I38" i="23"/>
  <c r="H38" i="23"/>
  <c r="H40" i="23" s="1"/>
  <c r="C38" i="23"/>
  <c r="D38" i="23"/>
  <c r="E38" i="23"/>
  <c r="B38" i="23"/>
  <c r="B39" i="23" s="1"/>
  <c r="F38" i="3"/>
  <c r="F40" i="3" s="1"/>
  <c r="I38" i="21"/>
  <c r="H38" i="18"/>
  <c r="G38" i="18"/>
  <c r="G39" i="18" s="1"/>
  <c r="Q38" i="14"/>
  <c r="Q38" i="13"/>
  <c r="Q38" i="12"/>
  <c r="Q38" i="11"/>
  <c r="K38" i="11"/>
  <c r="L38" i="11"/>
  <c r="M38" i="11"/>
  <c r="N38" i="11"/>
  <c r="O38" i="11"/>
  <c r="P38" i="11"/>
  <c r="J38" i="11"/>
  <c r="I38" i="11"/>
  <c r="H38" i="11"/>
  <c r="G38" i="11"/>
  <c r="C38" i="11"/>
  <c r="D38" i="11"/>
  <c r="E38" i="11"/>
  <c r="F38" i="11"/>
  <c r="F40" i="11" s="1"/>
  <c r="B38" i="11"/>
  <c r="Q38" i="9"/>
  <c r="Q40" i="9" s="1"/>
  <c r="C38" i="9"/>
  <c r="D38" i="9"/>
  <c r="E38" i="9"/>
  <c r="F38" i="9"/>
  <c r="F40" i="9" s="1"/>
  <c r="G38" i="9"/>
  <c r="H38" i="9"/>
  <c r="I38" i="9"/>
  <c r="J38" i="9"/>
  <c r="K38" i="9"/>
  <c r="L38" i="9"/>
  <c r="M38" i="9"/>
  <c r="N38" i="9"/>
  <c r="O38" i="9"/>
  <c r="P38" i="9"/>
  <c r="B38" i="9"/>
  <c r="F38" i="2"/>
  <c r="P35" i="39"/>
  <c r="D31" i="39"/>
  <c r="Q38" i="41"/>
  <c r="Q40" i="41" s="1"/>
  <c r="P38" i="41"/>
  <c r="P40" i="41" s="1"/>
  <c r="O38" i="41"/>
  <c r="O40" i="41" s="1"/>
  <c r="N38" i="41"/>
  <c r="N40" i="41" s="1"/>
  <c r="M38" i="41"/>
  <c r="M40" i="41" s="1"/>
  <c r="L38" i="41"/>
  <c r="L40" i="41" s="1"/>
  <c r="K38" i="41"/>
  <c r="K40" i="41" s="1"/>
  <c r="J38" i="41"/>
  <c r="J40" i="41" s="1"/>
  <c r="I38" i="41"/>
  <c r="I40" i="41" s="1"/>
  <c r="H38" i="41"/>
  <c r="H40" i="41" s="1"/>
  <c r="G38" i="41"/>
  <c r="G40" i="41" s="1"/>
  <c r="F38" i="41"/>
  <c r="F40" i="41" s="1"/>
  <c r="E38" i="41"/>
  <c r="E40" i="41" s="1"/>
  <c r="D38" i="41"/>
  <c r="D40" i="41" s="1"/>
  <c r="C38" i="41"/>
  <c r="C40" i="41" s="1"/>
  <c r="B38" i="41"/>
  <c r="B40" i="41" s="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O40" i="40"/>
  <c r="Q38" i="40"/>
  <c r="Q39" i="40" s="1"/>
  <c r="P38" i="40"/>
  <c r="P40" i="40" s="1"/>
  <c r="O38" i="40"/>
  <c r="O39" i="40" s="1"/>
  <c r="N38" i="40"/>
  <c r="N40" i="40" s="1"/>
  <c r="M38" i="40"/>
  <c r="M39" i="40" s="1"/>
  <c r="L38" i="40"/>
  <c r="L40" i="40" s="1"/>
  <c r="K38" i="40"/>
  <c r="K40" i="40" s="1"/>
  <c r="J38" i="40"/>
  <c r="J40" i="40" s="1"/>
  <c r="I38" i="40"/>
  <c r="I40" i="40" s="1"/>
  <c r="H38" i="40"/>
  <c r="H40" i="40" s="1"/>
  <c r="G38" i="40"/>
  <c r="G40" i="40" s="1"/>
  <c r="F38" i="40"/>
  <c r="F40" i="40" s="1"/>
  <c r="E38" i="40"/>
  <c r="E40" i="40" s="1"/>
  <c r="D38" i="40"/>
  <c r="D40" i="40" s="1"/>
  <c r="C38" i="40"/>
  <c r="C40" i="40" s="1"/>
  <c r="B38" i="40"/>
  <c r="B40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8" i="39" s="1"/>
  <c r="P36" i="40"/>
  <c r="P38" i="39" s="1"/>
  <c r="O36" i="40"/>
  <c r="O38" i="39" s="1"/>
  <c r="N36" i="40"/>
  <c r="N38" i="39" s="1"/>
  <c r="M36" i="40"/>
  <c r="M38" i="39" s="1"/>
  <c r="L36" i="40"/>
  <c r="L38" i="39" s="1"/>
  <c r="K36" i="40"/>
  <c r="K38" i="39" s="1"/>
  <c r="J36" i="40"/>
  <c r="J38" i="39" s="1"/>
  <c r="I36" i="40"/>
  <c r="I38" i="39" s="1"/>
  <c r="H36" i="40"/>
  <c r="H38" i="39" s="1"/>
  <c r="G36" i="40"/>
  <c r="G38" i="39" s="1"/>
  <c r="F36" i="40"/>
  <c r="F38" i="39" s="1"/>
  <c r="E36" i="40"/>
  <c r="E38" i="39" s="1"/>
  <c r="D36" i="40"/>
  <c r="D38" i="39" s="1"/>
  <c r="C36" i="40"/>
  <c r="C38" i="39" s="1"/>
  <c r="B36" i="40"/>
  <c r="B38" i="39" s="1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8" i="39" s="1"/>
  <c r="I39" i="43"/>
  <c r="E39" i="43"/>
  <c r="Q38" i="43"/>
  <c r="Q40" i="43" s="1"/>
  <c r="P38" i="43"/>
  <c r="P40" i="43" s="1"/>
  <c r="O38" i="43"/>
  <c r="O40" i="43" s="1"/>
  <c r="N38" i="43"/>
  <c r="N40" i="43" s="1"/>
  <c r="M38" i="43"/>
  <c r="M40" i="43" s="1"/>
  <c r="L38" i="43"/>
  <c r="L40" i="43" s="1"/>
  <c r="K38" i="43"/>
  <c r="K40" i="43" s="1"/>
  <c r="J38" i="43"/>
  <c r="J40" i="43" s="1"/>
  <c r="I38" i="43"/>
  <c r="I40" i="43" s="1"/>
  <c r="H38" i="43"/>
  <c r="H40" i="43" s="1"/>
  <c r="G38" i="43"/>
  <c r="G40" i="43" s="1"/>
  <c r="F38" i="43"/>
  <c r="F40" i="43" s="1"/>
  <c r="E38" i="43"/>
  <c r="E40" i="43" s="1"/>
  <c r="D38" i="43"/>
  <c r="D39" i="43" s="1"/>
  <c r="C38" i="43"/>
  <c r="C40" i="43" s="1"/>
  <c r="B38" i="43"/>
  <c r="B39" i="43" s="1"/>
  <c r="Q37" i="43"/>
  <c r="P37" i="43"/>
  <c r="O37" i="43"/>
  <c r="N37" i="43"/>
  <c r="M37" i="43"/>
  <c r="L37" i="43"/>
  <c r="K37" i="43"/>
  <c r="J37" i="43"/>
  <c r="I37" i="43"/>
  <c r="H37" i="43"/>
  <c r="G37" i="43"/>
  <c r="F37" i="43"/>
  <c r="E37" i="43"/>
  <c r="D37" i="43"/>
  <c r="C37" i="43"/>
  <c r="B37" i="43"/>
  <c r="Q36" i="43"/>
  <c r="Q37" i="39" s="1"/>
  <c r="P36" i="43"/>
  <c r="P37" i="39" s="1"/>
  <c r="O36" i="43"/>
  <c r="O37" i="39" s="1"/>
  <c r="N36" i="43"/>
  <c r="N37" i="39" s="1"/>
  <c r="M36" i="43"/>
  <c r="M37" i="39" s="1"/>
  <c r="L36" i="43"/>
  <c r="L37" i="39" s="1"/>
  <c r="K36" i="43"/>
  <c r="K37" i="39" s="1"/>
  <c r="J36" i="43"/>
  <c r="J37" i="39" s="1"/>
  <c r="I36" i="43"/>
  <c r="I37" i="39" s="1"/>
  <c r="H36" i="43"/>
  <c r="H37" i="39" s="1"/>
  <c r="G36" i="43"/>
  <c r="G37" i="39" s="1"/>
  <c r="F36" i="43"/>
  <c r="F37" i="39" s="1"/>
  <c r="E36" i="43"/>
  <c r="E37" i="39" s="1"/>
  <c r="D36" i="43"/>
  <c r="D37" i="39" s="1"/>
  <c r="C36" i="43"/>
  <c r="C37" i="39" s="1"/>
  <c r="B36" i="43"/>
  <c r="B37" i="39" s="1"/>
  <c r="Q35" i="43"/>
  <c r="P35" i="43"/>
  <c r="O35" i="43"/>
  <c r="N35" i="43"/>
  <c r="M35" i="43"/>
  <c r="L35" i="43"/>
  <c r="K35" i="43"/>
  <c r="J35" i="43"/>
  <c r="I35" i="43"/>
  <c r="H35" i="43"/>
  <c r="G35" i="43"/>
  <c r="F35" i="43"/>
  <c r="E35" i="43"/>
  <c r="D35" i="43"/>
  <c r="C35" i="43"/>
  <c r="B35" i="43"/>
  <c r="Q34" i="43"/>
  <c r="P34" i="43"/>
  <c r="O34" i="43"/>
  <c r="N34" i="43"/>
  <c r="M34" i="43"/>
  <c r="L34" i="43"/>
  <c r="K34" i="43"/>
  <c r="J34" i="43"/>
  <c r="I34" i="43"/>
  <c r="H34" i="43"/>
  <c r="G34" i="43"/>
  <c r="F34" i="43"/>
  <c r="E34" i="43"/>
  <c r="D34" i="43"/>
  <c r="C34" i="43"/>
  <c r="B34" i="43"/>
  <c r="B2" i="43"/>
  <c r="A37" i="39" s="1"/>
  <c r="Q39" i="33"/>
  <c r="Q38" i="33"/>
  <c r="Q40" i="33" s="1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39" i="33" s="1"/>
  <c r="H38" i="33"/>
  <c r="H39" i="33" s="1"/>
  <c r="G38" i="33"/>
  <c r="G40" i="33" s="1"/>
  <c r="F38" i="33"/>
  <c r="F39" i="33" s="1"/>
  <c r="E38" i="33"/>
  <c r="E40" i="33" s="1"/>
  <c r="D38" i="33"/>
  <c r="D40" i="33" s="1"/>
  <c r="C38" i="33"/>
  <c r="C39" i="33" s="1"/>
  <c r="B38" i="33"/>
  <c r="B40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E36" i="39" s="1"/>
  <c r="D36" i="33"/>
  <c r="D36" i="39" s="1"/>
  <c r="C36" i="33"/>
  <c r="C36" i="39" s="1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H40" i="32"/>
  <c r="B40" i="32"/>
  <c r="Q38" i="32"/>
  <c r="Q40" i="32" s="1"/>
  <c r="P38" i="32"/>
  <c r="P39" i="32" s="1"/>
  <c r="O38" i="32"/>
  <c r="O40" i="32" s="1"/>
  <c r="N38" i="32"/>
  <c r="N40" i="32" s="1"/>
  <c r="M38" i="32"/>
  <c r="M40" i="32" s="1"/>
  <c r="L38" i="32"/>
  <c r="L39" i="32" s="1"/>
  <c r="K38" i="32"/>
  <c r="K39" i="32" s="1"/>
  <c r="J38" i="32"/>
  <c r="J39" i="32" s="1"/>
  <c r="I38" i="32"/>
  <c r="I39" i="32" s="1"/>
  <c r="H38" i="32"/>
  <c r="H39" i="32" s="1"/>
  <c r="G38" i="32"/>
  <c r="G39" i="32" s="1"/>
  <c r="F38" i="32"/>
  <c r="F39" i="32" s="1"/>
  <c r="E38" i="32"/>
  <c r="E40" i="32" s="1"/>
  <c r="D38" i="32"/>
  <c r="D40" i="32" s="1"/>
  <c r="C38" i="32"/>
  <c r="C40" i="32" s="1"/>
  <c r="B38" i="32"/>
  <c r="B39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J39" i="31"/>
  <c r="I39" i="31"/>
  <c r="Q38" i="31"/>
  <c r="Q39" i="31" s="1"/>
  <c r="P38" i="31"/>
  <c r="P40" i="31" s="1"/>
  <c r="O38" i="31"/>
  <c r="O40" i="31" s="1"/>
  <c r="N38" i="31"/>
  <c r="N40" i="31" s="1"/>
  <c r="M38" i="31"/>
  <c r="M39" i="31" s="1"/>
  <c r="L38" i="31"/>
  <c r="L40" i="31" s="1"/>
  <c r="K38" i="31"/>
  <c r="K40" i="31" s="1"/>
  <c r="J38" i="31"/>
  <c r="J40" i="31" s="1"/>
  <c r="I38" i="31"/>
  <c r="I40" i="31" s="1"/>
  <c r="H38" i="31"/>
  <c r="H40" i="31" s="1"/>
  <c r="G38" i="31"/>
  <c r="G40" i="31" s="1"/>
  <c r="F38" i="31"/>
  <c r="F40" i="31" s="1"/>
  <c r="E38" i="31"/>
  <c r="E40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G34" i="39" s="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D40" i="30"/>
  <c r="J39" i="30"/>
  <c r="D39" i="30"/>
  <c r="Q38" i="30"/>
  <c r="Q40" i="30" s="1"/>
  <c r="P38" i="30"/>
  <c r="P40" i="30" s="1"/>
  <c r="O38" i="30"/>
  <c r="O40" i="30" s="1"/>
  <c r="N38" i="30"/>
  <c r="N40" i="30" s="1"/>
  <c r="M38" i="30"/>
  <c r="M40" i="30" s="1"/>
  <c r="L38" i="30"/>
  <c r="L40" i="30" s="1"/>
  <c r="K38" i="30"/>
  <c r="K40" i="30" s="1"/>
  <c r="J38" i="30"/>
  <c r="J40" i="30" s="1"/>
  <c r="I38" i="30"/>
  <c r="I40" i="30" s="1"/>
  <c r="H38" i="30"/>
  <c r="H39" i="30" s="1"/>
  <c r="G38" i="30"/>
  <c r="G40" i="30" s="1"/>
  <c r="F38" i="30"/>
  <c r="F39" i="30" s="1"/>
  <c r="E38" i="30"/>
  <c r="E40" i="30" s="1"/>
  <c r="D38" i="30"/>
  <c r="C38" i="30"/>
  <c r="C40" i="30" s="1"/>
  <c r="B38" i="30"/>
  <c r="B39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H33" i="39" s="1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N40" i="29"/>
  <c r="M40" i="29"/>
  <c r="L40" i="29"/>
  <c r="F40" i="29"/>
  <c r="I39" i="29"/>
  <c r="C39" i="29"/>
  <c r="Q38" i="29"/>
  <c r="Q40" i="29" s="1"/>
  <c r="P38" i="29"/>
  <c r="P39" i="29" s="1"/>
  <c r="O38" i="29"/>
  <c r="O39" i="29" s="1"/>
  <c r="N38" i="29"/>
  <c r="N39" i="29" s="1"/>
  <c r="M38" i="29"/>
  <c r="M39" i="29" s="1"/>
  <c r="L38" i="29"/>
  <c r="L39" i="29" s="1"/>
  <c r="K38" i="29"/>
  <c r="K39" i="29" s="1"/>
  <c r="J38" i="29"/>
  <c r="J40" i="29" s="1"/>
  <c r="I38" i="29"/>
  <c r="I40" i="29" s="1"/>
  <c r="H38" i="29"/>
  <c r="H40" i="29" s="1"/>
  <c r="G38" i="29"/>
  <c r="G40" i="29" s="1"/>
  <c r="F38" i="29"/>
  <c r="F39" i="29" s="1"/>
  <c r="E38" i="29"/>
  <c r="E39" i="29" s="1"/>
  <c r="D38" i="29"/>
  <c r="D40" i="29" s="1"/>
  <c r="C38" i="29"/>
  <c r="C40" i="29" s="1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I32" i="39" s="1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Q38" i="28"/>
  <c r="Q39" i="28" s="1"/>
  <c r="P38" i="28"/>
  <c r="P39" i="28" s="1"/>
  <c r="O38" i="28"/>
  <c r="O40" i="28" s="1"/>
  <c r="N38" i="28"/>
  <c r="N40" i="28" s="1"/>
  <c r="M38" i="28"/>
  <c r="M40" i="28" s="1"/>
  <c r="L38" i="28"/>
  <c r="L40" i="28" s="1"/>
  <c r="K38" i="28"/>
  <c r="K39" i="28" s="1"/>
  <c r="J38" i="28"/>
  <c r="J39" i="28" s="1"/>
  <c r="I38" i="28"/>
  <c r="I40" i="28" s="1"/>
  <c r="H38" i="28"/>
  <c r="H39" i="28" s="1"/>
  <c r="G38" i="28"/>
  <c r="G40" i="28" s="1"/>
  <c r="F38" i="28"/>
  <c r="F40" i="28" s="1"/>
  <c r="E38" i="28"/>
  <c r="E40" i="28" s="1"/>
  <c r="D38" i="28"/>
  <c r="D40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K31" i="39" s="1"/>
  <c r="J36" i="28"/>
  <c r="J31" i="39" s="1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I40" i="27"/>
  <c r="H40" i="27"/>
  <c r="L39" i="27"/>
  <c r="I39" i="27"/>
  <c r="Q38" i="27"/>
  <c r="Q39" i="27" s="1"/>
  <c r="P38" i="27"/>
  <c r="P39" i="27" s="1"/>
  <c r="O38" i="27"/>
  <c r="O39" i="27" s="1"/>
  <c r="N38" i="27"/>
  <c r="N39" i="27" s="1"/>
  <c r="M38" i="27"/>
  <c r="M39" i="27" s="1"/>
  <c r="L38" i="27"/>
  <c r="L40" i="27" s="1"/>
  <c r="K38" i="27"/>
  <c r="K40" i="27" s="1"/>
  <c r="J38" i="27"/>
  <c r="J40" i="27" s="1"/>
  <c r="I38" i="27"/>
  <c r="H38" i="27"/>
  <c r="H39" i="27" s="1"/>
  <c r="G38" i="27"/>
  <c r="G40" i="27" s="1"/>
  <c r="F38" i="27"/>
  <c r="F40" i="27" s="1"/>
  <c r="E38" i="27"/>
  <c r="E40" i="27" s="1"/>
  <c r="D38" i="27"/>
  <c r="D40" i="27" s="1"/>
  <c r="C38" i="27"/>
  <c r="C40" i="27" s="1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P36" i="27"/>
  <c r="P30" i="39" s="1"/>
  <c r="O36" i="27"/>
  <c r="O30" i="39" s="1"/>
  <c r="N36" i="27"/>
  <c r="N30" i="39" s="1"/>
  <c r="M36" i="27"/>
  <c r="M30" i="39" s="1"/>
  <c r="L36" i="27"/>
  <c r="L30" i="39" s="1"/>
  <c r="K36" i="27"/>
  <c r="K30" i="39" s="1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I40" i="26"/>
  <c r="H40" i="26"/>
  <c r="O39" i="26"/>
  <c r="I39" i="26"/>
  <c r="Q38" i="26"/>
  <c r="Q40" i="26" s="1"/>
  <c r="P38" i="26"/>
  <c r="P40" i="26" s="1"/>
  <c r="O38" i="26"/>
  <c r="O40" i="26" s="1"/>
  <c r="N38" i="26"/>
  <c r="N40" i="26" s="1"/>
  <c r="M38" i="26"/>
  <c r="M39" i="26" s="1"/>
  <c r="L38" i="26"/>
  <c r="L39" i="26" s="1"/>
  <c r="K38" i="26"/>
  <c r="K40" i="26" s="1"/>
  <c r="J38" i="26"/>
  <c r="J39" i="26" s="1"/>
  <c r="I38" i="26"/>
  <c r="H38" i="26"/>
  <c r="H39" i="26" s="1"/>
  <c r="G38" i="26"/>
  <c r="G40" i="26" s="1"/>
  <c r="F38" i="26"/>
  <c r="F40" i="26" s="1"/>
  <c r="E38" i="26"/>
  <c r="E40" i="26" s="1"/>
  <c r="D38" i="26"/>
  <c r="D40" i="26" s="1"/>
  <c r="C38" i="26"/>
  <c r="C39" i="26" s="1"/>
  <c r="B38" i="26"/>
  <c r="B39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P36" i="26"/>
  <c r="P29" i="39" s="1"/>
  <c r="O36" i="26"/>
  <c r="O29" i="39" s="1"/>
  <c r="N36" i="26"/>
  <c r="N29" i="39" s="1"/>
  <c r="M36" i="26"/>
  <c r="M29" i="39" s="1"/>
  <c r="L36" i="26"/>
  <c r="L29" i="39" s="1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N40" i="25"/>
  <c r="P39" i="25"/>
  <c r="N39" i="25"/>
  <c r="M39" i="25"/>
  <c r="J39" i="25"/>
  <c r="Q40" i="25"/>
  <c r="P38" i="25"/>
  <c r="P40" i="25" s="1"/>
  <c r="O38" i="25"/>
  <c r="O39" i="25" s="1"/>
  <c r="N38" i="25"/>
  <c r="M38" i="25"/>
  <c r="M40" i="25" s="1"/>
  <c r="L38" i="25"/>
  <c r="L40" i="25" s="1"/>
  <c r="K38" i="25"/>
  <c r="K39" i="25" s="1"/>
  <c r="J38" i="25"/>
  <c r="J40" i="25" s="1"/>
  <c r="I38" i="25"/>
  <c r="I40" i="25" s="1"/>
  <c r="H38" i="25"/>
  <c r="H40" i="25" s="1"/>
  <c r="G38" i="25"/>
  <c r="G40" i="25" s="1"/>
  <c r="F38" i="25"/>
  <c r="F40" i="25" s="1"/>
  <c r="E38" i="25"/>
  <c r="E40" i="25" s="1"/>
  <c r="D38" i="25"/>
  <c r="D40" i="25" s="1"/>
  <c r="C38" i="25"/>
  <c r="C39" i="25" s="1"/>
  <c r="B38" i="25"/>
  <c r="B39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P36" i="25"/>
  <c r="P28" i="39" s="1"/>
  <c r="O36" i="25"/>
  <c r="O28" i="39" s="1"/>
  <c r="N36" i="25"/>
  <c r="N28" i="39" s="1"/>
  <c r="M36" i="25"/>
  <c r="M28" i="39" s="1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E40" i="24"/>
  <c r="Q39" i="24"/>
  <c r="Q40" i="24"/>
  <c r="P38" i="24"/>
  <c r="P40" i="24" s="1"/>
  <c r="O38" i="24"/>
  <c r="O39" i="24" s="1"/>
  <c r="N38" i="24"/>
  <c r="N39" i="24" s="1"/>
  <c r="M38" i="24"/>
  <c r="M40" i="24" s="1"/>
  <c r="L38" i="24"/>
  <c r="L39" i="24" s="1"/>
  <c r="K38" i="24"/>
  <c r="K39" i="24" s="1"/>
  <c r="J38" i="24"/>
  <c r="J39" i="24" s="1"/>
  <c r="I38" i="24"/>
  <c r="I40" i="24" s="1"/>
  <c r="H38" i="24"/>
  <c r="H39" i="24" s="1"/>
  <c r="G38" i="24"/>
  <c r="G40" i="24" s="1"/>
  <c r="F38" i="24"/>
  <c r="F40" i="24" s="1"/>
  <c r="E38" i="24"/>
  <c r="E39" i="24" s="1"/>
  <c r="D38" i="24"/>
  <c r="D39" i="24" s="1"/>
  <c r="C38" i="24"/>
  <c r="C39" i="24" s="1"/>
  <c r="B38" i="24"/>
  <c r="B39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P36" i="24"/>
  <c r="P27" i="39" s="1"/>
  <c r="O36" i="24"/>
  <c r="O27" i="39" s="1"/>
  <c r="N36" i="24"/>
  <c r="N27" i="39" s="1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B40" i="23"/>
  <c r="O39" i="23"/>
  <c r="P38" i="23"/>
  <c r="P40" i="23" s="1"/>
  <c r="O38" i="23"/>
  <c r="O40" i="23" s="1"/>
  <c r="N38" i="23"/>
  <c r="N40" i="23" s="1"/>
  <c r="M38" i="23"/>
  <c r="M40" i="23" s="1"/>
  <c r="L38" i="23"/>
  <c r="L39" i="23" s="1"/>
  <c r="K38" i="23"/>
  <c r="K40" i="23" s="1"/>
  <c r="J38" i="23"/>
  <c r="J40" i="23" s="1"/>
  <c r="I40" i="23"/>
  <c r="G38" i="23"/>
  <c r="G40" i="23" s="1"/>
  <c r="E40" i="23"/>
  <c r="D39" i="23"/>
  <c r="C39" i="23"/>
  <c r="Q37" i="23"/>
  <c r="P37" i="23"/>
  <c r="O37" i="23"/>
  <c r="N37" i="23"/>
  <c r="M37" i="23"/>
  <c r="L37" i="23"/>
  <c r="K37" i="23"/>
  <c r="J37" i="23"/>
  <c r="I37" i="23"/>
  <c r="H37" i="23"/>
  <c r="G37" i="23"/>
  <c r="E37" i="23"/>
  <c r="D37" i="23"/>
  <c r="C37" i="23"/>
  <c r="B37" i="23"/>
  <c r="Q36" i="23"/>
  <c r="P36" i="23"/>
  <c r="P26" i="39" s="1"/>
  <c r="O36" i="23"/>
  <c r="O26" i="39" s="1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26" i="39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E34" i="23"/>
  <c r="D34" i="23"/>
  <c r="C34" i="23"/>
  <c r="B34" i="23"/>
  <c r="B2" i="23"/>
  <c r="A26" i="39" s="1"/>
  <c r="M40" i="22"/>
  <c r="L40" i="22"/>
  <c r="G40" i="22"/>
  <c r="F40" i="22"/>
  <c r="Q38" i="22"/>
  <c r="Q39" i="22" s="1"/>
  <c r="P38" i="22"/>
  <c r="P39" i="22" s="1"/>
  <c r="O38" i="22"/>
  <c r="O40" i="22" s="1"/>
  <c r="N38" i="22"/>
  <c r="N40" i="22" s="1"/>
  <c r="M38" i="22"/>
  <c r="M39" i="22" s="1"/>
  <c r="L38" i="22"/>
  <c r="L39" i="22" s="1"/>
  <c r="K38" i="22"/>
  <c r="K40" i="22" s="1"/>
  <c r="J38" i="22"/>
  <c r="J39" i="22" s="1"/>
  <c r="I38" i="22"/>
  <c r="I40" i="22" s="1"/>
  <c r="H38" i="22"/>
  <c r="H40" i="22" s="1"/>
  <c r="G38" i="22"/>
  <c r="G39" i="22" s="1"/>
  <c r="F38" i="22"/>
  <c r="F39" i="22" s="1"/>
  <c r="E38" i="22"/>
  <c r="E39" i="22" s="1"/>
  <c r="D38" i="22"/>
  <c r="D39" i="22" s="1"/>
  <c r="C38" i="22"/>
  <c r="C39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Q25" i="39" s="1"/>
  <c r="P36" i="22"/>
  <c r="P25" i="39" s="1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A25" i="39" s="1"/>
  <c r="Q38" i="21"/>
  <c r="Q39" i="21" s="1"/>
  <c r="P38" i="21"/>
  <c r="P40" i="21" s="1"/>
  <c r="O38" i="21"/>
  <c r="O40" i="21" s="1"/>
  <c r="N38" i="21"/>
  <c r="N40" i="21" s="1"/>
  <c r="M38" i="21"/>
  <c r="M39" i="21" s="1"/>
  <c r="L38" i="21"/>
  <c r="L40" i="21" s="1"/>
  <c r="K38" i="21"/>
  <c r="K39" i="21" s="1"/>
  <c r="J38" i="21"/>
  <c r="J39" i="21" s="1"/>
  <c r="I39" i="21"/>
  <c r="H38" i="21"/>
  <c r="H39" i="21" s="1"/>
  <c r="G38" i="21"/>
  <c r="G39" i="21" s="1"/>
  <c r="F38" i="21"/>
  <c r="F39" i="21" s="1"/>
  <c r="E38" i="21"/>
  <c r="E39" i="21" s="1"/>
  <c r="D38" i="21"/>
  <c r="D39" i="21" s="1"/>
  <c r="C38" i="21"/>
  <c r="C39" i="21" s="1"/>
  <c r="B38" i="21"/>
  <c r="B39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Q24" i="39" s="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A24" i="39" s="1"/>
  <c r="C40" i="20"/>
  <c r="B40" i="20"/>
  <c r="Q38" i="20"/>
  <c r="Q40" i="20" s="1"/>
  <c r="P38" i="20"/>
  <c r="P39" i="20" s="1"/>
  <c r="O38" i="20"/>
  <c r="O40" i="20" s="1"/>
  <c r="N38" i="20"/>
  <c r="N39" i="20" s="1"/>
  <c r="M38" i="20"/>
  <c r="M40" i="20" s="1"/>
  <c r="L38" i="20"/>
  <c r="L39" i="20" s="1"/>
  <c r="K38" i="20"/>
  <c r="K40" i="20" s="1"/>
  <c r="J38" i="20"/>
  <c r="J40" i="20" s="1"/>
  <c r="I38" i="20"/>
  <c r="I39" i="20" s="1"/>
  <c r="H38" i="20"/>
  <c r="H39" i="20" s="1"/>
  <c r="G38" i="20"/>
  <c r="G39" i="20" s="1"/>
  <c r="F38" i="20"/>
  <c r="F39" i="20" s="1"/>
  <c r="E38" i="20"/>
  <c r="E39" i="20" s="1"/>
  <c r="D38" i="20"/>
  <c r="D39" i="20" s="1"/>
  <c r="C38" i="20"/>
  <c r="C39" i="20" s="1"/>
  <c r="B38" i="20"/>
  <c r="B39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B23" i="39" s="1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2" i="20"/>
  <c r="A23" i="39" s="1"/>
  <c r="D40" i="19"/>
  <c r="Q39" i="19"/>
  <c r="P39" i="19"/>
  <c r="Q38" i="19"/>
  <c r="Q40" i="19" s="1"/>
  <c r="P38" i="19"/>
  <c r="P40" i="19" s="1"/>
  <c r="O38" i="19"/>
  <c r="O39" i="19" s="1"/>
  <c r="N38" i="19"/>
  <c r="N40" i="19" s="1"/>
  <c r="M38" i="19"/>
  <c r="M39" i="19" s="1"/>
  <c r="L38" i="19"/>
  <c r="L40" i="19" s="1"/>
  <c r="K38" i="19"/>
  <c r="K39" i="19" s="1"/>
  <c r="J38" i="19"/>
  <c r="J39" i="19" s="1"/>
  <c r="I38" i="19"/>
  <c r="I40" i="19" s="1"/>
  <c r="H38" i="19"/>
  <c r="H40" i="19" s="1"/>
  <c r="G38" i="19"/>
  <c r="G39" i="19" s="1"/>
  <c r="F39" i="19"/>
  <c r="E38" i="19"/>
  <c r="E39" i="19" s="1"/>
  <c r="D38" i="19"/>
  <c r="D39" i="19" s="1"/>
  <c r="C38" i="19"/>
  <c r="C39" i="19" s="1"/>
  <c r="B38" i="19"/>
  <c r="B40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P40" i="18"/>
  <c r="M39" i="18"/>
  <c r="L39" i="18"/>
  <c r="K39" i="18"/>
  <c r="I39" i="18"/>
  <c r="H39" i="18"/>
  <c r="Q38" i="18"/>
  <c r="Q39" i="18" s="1"/>
  <c r="P38" i="18"/>
  <c r="P39" i="18" s="1"/>
  <c r="O38" i="18"/>
  <c r="O40" i="18" s="1"/>
  <c r="N38" i="18"/>
  <c r="N39" i="18" s="1"/>
  <c r="M38" i="18"/>
  <c r="M40" i="18" s="1"/>
  <c r="L38" i="18"/>
  <c r="L40" i="18" s="1"/>
  <c r="K38" i="18"/>
  <c r="K40" i="18" s="1"/>
  <c r="J38" i="18"/>
  <c r="J39" i="18" s="1"/>
  <c r="I38" i="18"/>
  <c r="I40" i="18" s="1"/>
  <c r="H40" i="18"/>
  <c r="F38" i="18"/>
  <c r="F40" i="18" s="1"/>
  <c r="E38" i="18"/>
  <c r="E40" i="18" s="1"/>
  <c r="D38" i="18"/>
  <c r="D39" i="18" s="1"/>
  <c r="C38" i="18"/>
  <c r="C40" i="18" s="1"/>
  <c r="B38" i="18"/>
  <c r="B39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E21" i="39" s="1"/>
  <c r="D36" i="18"/>
  <c r="D21" i="39" s="1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L40" i="17"/>
  <c r="I40" i="17"/>
  <c r="H40" i="17"/>
  <c r="C40" i="17"/>
  <c r="O39" i="17"/>
  <c r="H39" i="17"/>
  <c r="Q38" i="17"/>
  <c r="Q39" i="17" s="1"/>
  <c r="P38" i="17"/>
  <c r="P40" i="17" s="1"/>
  <c r="O38" i="17"/>
  <c r="O40" i="17" s="1"/>
  <c r="N38" i="17"/>
  <c r="N39" i="17" s="1"/>
  <c r="M38" i="17"/>
  <c r="M39" i="17" s="1"/>
  <c r="L38" i="17"/>
  <c r="L39" i="17" s="1"/>
  <c r="K38" i="17"/>
  <c r="K39" i="17" s="1"/>
  <c r="J38" i="17"/>
  <c r="J39" i="17" s="1"/>
  <c r="I38" i="17"/>
  <c r="I39" i="17" s="1"/>
  <c r="H38" i="17"/>
  <c r="G38" i="17"/>
  <c r="G39" i="17" s="1"/>
  <c r="F38" i="17"/>
  <c r="F40" i="17" s="1"/>
  <c r="E38" i="17"/>
  <c r="E40" i="17" s="1"/>
  <c r="D38" i="17"/>
  <c r="D40" i="17" s="1"/>
  <c r="C38" i="17"/>
  <c r="C39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J40" i="16"/>
  <c r="I40" i="16"/>
  <c r="H40" i="16"/>
  <c r="Q38" i="16"/>
  <c r="Q40" i="16" s="1"/>
  <c r="P38" i="16"/>
  <c r="P40" i="16" s="1"/>
  <c r="O38" i="16"/>
  <c r="O40" i="16" s="1"/>
  <c r="N38" i="16"/>
  <c r="N39" i="16" s="1"/>
  <c r="M38" i="16"/>
  <c r="M39" i="16" s="1"/>
  <c r="L38" i="16"/>
  <c r="L39" i="16" s="1"/>
  <c r="K38" i="16"/>
  <c r="K39" i="16" s="1"/>
  <c r="J38" i="16"/>
  <c r="J39" i="16" s="1"/>
  <c r="I38" i="16"/>
  <c r="I39" i="16" s="1"/>
  <c r="H38" i="16"/>
  <c r="H39" i="16" s="1"/>
  <c r="G38" i="16"/>
  <c r="G39" i="16" s="1"/>
  <c r="F38" i="16"/>
  <c r="F39" i="16" s="1"/>
  <c r="E38" i="16"/>
  <c r="E40" i="16" s="1"/>
  <c r="D38" i="16"/>
  <c r="D39" i="16" s="1"/>
  <c r="C38" i="16"/>
  <c r="C39" i="16" s="1"/>
  <c r="B38" i="16"/>
  <c r="B39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F19" i="39" s="1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Q38" i="15"/>
  <c r="Q39" i="15" s="1"/>
  <c r="P38" i="15"/>
  <c r="P40" i="15" s="1"/>
  <c r="O38" i="15"/>
  <c r="O40" i="15" s="1"/>
  <c r="N38" i="15"/>
  <c r="N39" i="15" s="1"/>
  <c r="M38" i="15"/>
  <c r="M39" i="15" s="1"/>
  <c r="L38" i="15"/>
  <c r="L39" i="15" s="1"/>
  <c r="K38" i="15"/>
  <c r="K40" i="15" s="1"/>
  <c r="J38" i="15"/>
  <c r="J39" i="15" s="1"/>
  <c r="I38" i="15"/>
  <c r="I39" i="15" s="1"/>
  <c r="H38" i="15"/>
  <c r="H39" i="15" s="1"/>
  <c r="G38" i="15"/>
  <c r="G39" i="15" s="1"/>
  <c r="F38" i="15"/>
  <c r="F39" i="15" s="1"/>
  <c r="E38" i="15"/>
  <c r="E39" i="15" s="1"/>
  <c r="D38" i="15"/>
  <c r="D39" i="15" s="1"/>
  <c r="C38" i="15"/>
  <c r="C39" i="15" s="1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K40" i="14"/>
  <c r="H40" i="14"/>
  <c r="G40" i="14"/>
  <c r="D40" i="14"/>
  <c r="N39" i="14"/>
  <c r="J39" i="14"/>
  <c r="D39" i="14"/>
  <c r="Q40" i="14"/>
  <c r="P38" i="14"/>
  <c r="P39" i="14" s="1"/>
  <c r="O38" i="14"/>
  <c r="O39" i="14" s="1"/>
  <c r="N38" i="14"/>
  <c r="N40" i="14" s="1"/>
  <c r="M38" i="14"/>
  <c r="M39" i="14" s="1"/>
  <c r="L38" i="14"/>
  <c r="L39" i="14" s="1"/>
  <c r="K38" i="14"/>
  <c r="K39" i="14" s="1"/>
  <c r="J38" i="14"/>
  <c r="J40" i="14" s="1"/>
  <c r="I38" i="14"/>
  <c r="I39" i="14" s="1"/>
  <c r="H38" i="14"/>
  <c r="H39" i="14" s="1"/>
  <c r="G38" i="14"/>
  <c r="G39" i="14" s="1"/>
  <c r="F38" i="14"/>
  <c r="F39" i="14" s="1"/>
  <c r="E38" i="14"/>
  <c r="E40" i="14" s="1"/>
  <c r="D38" i="14"/>
  <c r="C38" i="14"/>
  <c r="B38" i="14"/>
  <c r="B39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P36" i="14"/>
  <c r="P17" i="39" s="1"/>
  <c r="O36" i="14"/>
  <c r="O17" i="39" s="1"/>
  <c r="N36" i="14"/>
  <c r="N17" i="39" s="1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Q39" i="13"/>
  <c r="P38" i="13"/>
  <c r="P40" i="13" s="1"/>
  <c r="O38" i="13"/>
  <c r="O39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40" i="13" s="1"/>
  <c r="H38" i="13"/>
  <c r="H40" i="13" s="1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Q40" i="12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I40" i="12" s="1"/>
  <c r="H38" i="12"/>
  <c r="H40" i="12" s="1"/>
  <c r="G38" i="12"/>
  <c r="G40" i="12" s="1"/>
  <c r="F38" i="12"/>
  <c r="F40" i="12" s="1"/>
  <c r="E38" i="12"/>
  <c r="E39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P36" i="12"/>
  <c r="P15" i="39" s="1"/>
  <c r="O36" i="12"/>
  <c r="O15" i="39" s="1"/>
  <c r="N36" i="12"/>
  <c r="N15" i="39" s="1"/>
  <c r="M36" i="12"/>
  <c r="M15" i="39" s="1"/>
  <c r="L36" i="12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Q40" i="11"/>
  <c r="P39" i="11"/>
  <c r="O40" i="11"/>
  <c r="N40" i="11"/>
  <c r="M40" i="11"/>
  <c r="L40" i="11"/>
  <c r="K40" i="11"/>
  <c r="J40" i="11"/>
  <c r="I40" i="11"/>
  <c r="H40" i="11"/>
  <c r="G40" i="11"/>
  <c r="E40" i="11"/>
  <c r="D40" i="11"/>
  <c r="C39" i="11"/>
  <c r="B40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Q38" i="10"/>
  <c r="Q39" i="10" s="1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40" i="10" s="1"/>
  <c r="J38" i="10"/>
  <c r="J40" i="10" s="1"/>
  <c r="I38" i="10"/>
  <c r="I40" i="10" s="1"/>
  <c r="H38" i="10"/>
  <c r="H40" i="10" s="1"/>
  <c r="G38" i="10"/>
  <c r="G40" i="10" s="1"/>
  <c r="F38" i="10"/>
  <c r="F40" i="10" s="1"/>
  <c r="E38" i="10"/>
  <c r="E40" i="10" s="1"/>
  <c r="D38" i="10"/>
  <c r="D40" i="10" s="1"/>
  <c r="C38" i="10"/>
  <c r="C40" i="10" s="1"/>
  <c r="B38" i="10"/>
  <c r="B40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P40" i="9"/>
  <c r="O40" i="9"/>
  <c r="N40" i="9"/>
  <c r="M40" i="9"/>
  <c r="L40" i="9"/>
  <c r="K40" i="9"/>
  <c r="J40" i="9"/>
  <c r="I40" i="9"/>
  <c r="H39" i="9"/>
  <c r="G40" i="9"/>
  <c r="E39" i="9"/>
  <c r="D40" i="9"/>
  <c r="C39" i="9"/>
  <c r="B40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P36" i="9"/>
  <c r="P12" i="39" s="1"/>
  <c r="O36" i="9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Q38" i="8"/>
  <c r="Q40" i="8" s="1"/>
  <c r="P38" i="8"/>
  <c r="P40" i="8" s="1"/>
  <c r="O38" i="8"/>
  <c r="O40" i="8" s="1"/>
  <c r="N38" i="8"/>
  <c r="N40" i="8" s="1"/>
  <c r="M38" i="8"/>
  <c r="M40" i="8" s="1"/>
  <c r="L38" i="8"/>
  <c r="L40" i="8" s="1"/>
  <c r="K38" i="8"/>
  <c r="K40" i="8" s="1"/>
  <c r="J38" i="8"/>
  <c r="J40" i="8" s="1"/>
  <c r="I38" i="8"/>
  <c r="I39" i="8" s="1"/>
  <c r="H38" i="8"/>
  <c r="H40" i="8" s="1"/>
  <c r="G38" i="8"/>
  <c r="G40" i="8" s="1"/>
  <c r="F38" i="8"/>
  <c r="F39" i="8" s="1"/>
  <c r="E38" i="8"/>
  <c r="E40" i="8" s="1"/>
  <c r="D38" i="8"/>
  <c r="D40" i="8" s="1"/>
  <c r="C38" i="8"/>
  <c r="C39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Q38" i="3"/>
  <c r="Q40" i="3" s="1"/>
  <c r="P38" i="3"/>
  <c r="P39" i="3" s="1"/>
  <c r="O38" i="3"/>
  <c r="O40" i="3" s="1"/>
  <c r="N38" i="3"/>
  <c r="N40" i="3" s="1"/>
  <c r="M38" i="3"/>
  <c r="M40" i="3" s="1"/>
  <c r="L38" i="3"/>
  <c r="L40" i="3" s="1"/>
  <c r="K38" i="3"/>
  <c r="K39" i="3" s="1"/>
  <c r="J38" i="3"/>
  <c r="J39" i="3" s="1"/>
  <c r="I38" i="3"/>
  <c r="I40" i="3" s="1"/>
  <c r="H38" i="3"/>
  <c r="H40" i="3" s="1"/>
  <c r="G38" i="3"/>
  <c r="G39" i="3" s="1"/>
  <c r="E38" i="3"/>
  <c r="E39" i="3" s="1"/>
  <c r="D38" i="3"/>
  <c r="D39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38" i="2"/>
  <c r="Q39" i="2" s="1"/>
  <c r="P38" i="2"/>
  <c r="P39" i="2" s="1"/>
  <c r="O38" i="2"/>
  <c r="O40" i="2" s="1"/>
  <c r="N38" i="2"/>
  <c r="N40" i="2" s="1"/>
  <c r="M38" i="2"/>
  <c r="M39" i="2" s="1"/>
  <c r="L38" i="2"/>
  <c r="L40" i="2" s="1"/>
  <c r="K38" i="2"/>
  <c r="K40" i="2" s="1"/>
  <c r="J38" i="2"/>
  <c r="J40" i="2" s="1"/>
  <c r="I38" i="2"/>
  <c r="I40" i="2" s="1"/>
  <c r="H38" i="2"/>
  <c r="H39" i="2" s="1"/>
  <c r="G38" i="2"/>
  <c r="G40" i="2" s="1"/>
  <c r="F40" i="2"/>
  <c r="E38" i="2"/>
  <c r="E40" i="2" s="1"/>
  <c r="D38" i="2"/>
  <c r="D40" i="2" s="1"/>
  <c r="C38" i="2"/>
  <c r="C40" i="2" s="1"/>
  <c r="B38" i="2"/>
  <c r="B40" i="2" s="1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E36" i="2"/>
  <c r="E9" i="39" s="1"/>
  <c r="D36" i="2"/>
  <c r="D9" i="39" s="1"/>
  <c r="C36" i="2"/>
  <c r="C9" i="39" s="1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Q40" i="28" l="1"/>
  <c r="Q39" i="25"/>
  <c r="L39" i="41"/>
  <c r="M40" i="40"/>
  <c r="C39" i="40"/>
  <c r="F39" i="40"/>
  <c r="H39" i="40"/>
  <c r="I39" i="40"/>
  <c r="N39" i="43"/>
  <c r="P39" i="43"/>
  <c r="B40" i="43"/>
  <c r="E39" i="33"/>
  <c r="J39" i="33"/>
  <c r="K39" i="33"/>
  <c r="C40" i="33"/>
  <c r="F40" i="33"/>
  <c r="I40" i="33"/>
  <c r="G40" i="32"/>
  <c r="J40" i="32"/>
  <c r="K40" i="32"/>
  <c r="I40" i="32"/>
  <c r="D39" i="32"/>
  <c r="F40" i="32"/>
  <c r="H39" i="31"/>
  <c r="K39" i="31"/>
  <c r="L39" i="31"/>
  <c r="M40" i="31"/>
  <c r="C39" i="31"/>
  <c r="G39" i="31"/>
  <c r="I39" i="30"/>
  <c r="L39" i="30"/>
  <c r="M39" i="30"/>
  <c r="N39" i="30"/>
  <c r="B40" i="30"/>
  <c r="K40" i="29"/>
  <c r="G39" i="29"/>
  <c r="J39" i="29"/>
  <c r="E40" i="29"/>
  <c r="P40" i="28"/>
  <c r="D39" i="28"/>
  <c r="F39" i="28"/>
  <c r="G39" i="28"/>
  <c r="L39" i="28"/>
  <c r="M39" i="28"/>
  <c r="O39" i="28"/>
  <c r="M40" i="27"/>
  <c r="N40" i="27"/>
  <c r="O40" i="27"/>
  <c r="P40" i="27"/>
  <c r="G39" i="27"/>
  <c r="K39" i="27"/>
  <c r="L40" i="26"/>
  <c r="F39" i="26"/>
  <c r="N39" i="26"/>
  <c r="Q39" i="26"/>
  <c r="B40" i="26"/>
  <c r="C40" i="26"/>
  <c r="O40" i="25"/>
  <c r="K40" i="25"/>
  <c r="I39" i="25"/>
  <c r="D40" i="24"/>
  <c r="J40" i="24"/>
  <c r="K40" i="24"/>
  <c r="N40" i="24"/>
  <c r="H40" i="24"/>
  <c r="P39" i="24"/>
  <c r="C40" i="24"/>
  <c r="P39" i="23"/>
  <c r="M39" i="23"/>
  <c r="Q39" i="23"/>
  <c r="C40" i="23"/>
  <c r="L40" i="23"/>
  <c r="K39" i="23"/>
  <c r="I39" i="22"/>
  <c r="N39" i="22"/>
  <c r="C40" i="22"/>
  <c r="D40" i="22"/>
  <c r="J40" i="22"/>
  <c r="Q40" i="21"/>
  <c r="K40" i="21"/>
  <c r="N39" i="21"/>
  <c r="O39" i="21"/>
  <c r="B40" i="21"/>
  <c r="D40" i="21"/>
  <c r="E40" i="21"/>
  <c r="F40" i="21"/>
  <c r="G40" i="21"/>
  <c r="H40" i="21"/>
  <c r="I40" i="20"/>
  <c r="E40" i="20"/>
  <c r="L40" i="20"/>
  <c r="N40" i="20"/>
  <c r="P40" i="20"/>
  <c r="H40" i="20"/>
  <c r="O39" i="20"/>
  <c r="D40" i="20"/>
  <c r="F40" i="19"/>
  <c r="J40" i="19"/>
  <c r="K40" i="19"/>
  <c r="M40" i="19"/>
  <c r="O40" i="19"/>
  <c r="H39" i="19"/>
  <c r="I39" i="19"/>
  <c r="L39" i="19"/>
  <c r="B40" i="18"/>
  <c r="G40" i="18"/>
  <c r="J40" i="18"/>
  <c r="N40" i="18"/>
  <c r="E39" i="18"/>
  <c r="F39" i="18"/>
  <c r="G40" i="17"/>
  <c r="J40" i="17"/>
  <c r="K40" i="17"/>
  <c r="E39" i="17"/>
  <c r="N40" i="17"/>
  <c r="F39" i="17"/>
  <c r="M40" i="16"/>
  <c r="N40" i="16"/>
  <c r="C40" i="16"/>
  <c r="D40" i="16"/>
  <c r="F40" i="16"/>
  <c r="G40" i="16"/>
  <c r="C40" i="15"/>
  <c r="E40" i="15"/>
  <c r="P39" i="15"/>
  <c r="M41" i="39"/>
  <c r="F40" i="15"/>
  <c r="G40" i="15"/>
  <c r="H40" i="15"/>
  <c r="I40" i="15"/>
  <c r="L40" i="15"/>
  <c r="M40" i="15"/>
  <c r="Q40" i="15"/>
  <c r="K39" i="15"/>
  <c r="O39" i="15"/>
  <c r="F40" i="14"/>
  <c r="E39" i="14"/>
  <c r="L40" i="14"/>
  <c r="O40" i="14"/>
  <c r="P40" i="14"/>
  <c r="O40" i="39"/>
  <c r="Q39" i="14"/>
  <c r="B40" i="14"/>
  <c r="D39" i="10"/>
  <c r="J44" i="39"/>
  <c r="J43" i="39"/>
  <c r="J42" i="39"/>
  <c r="J41" i="39"/>
  <c r="J40" i="39"/>
  <c r="L44" i="39"/>
  <c r="L43" i="39"/>
  <c r="L42" i="39"/>
  <c r="L41" i="39"/>
  <c r="L40" i="39"/>
  <c r="D40" i="3"/>
  <c r="K39" i="20"/>
  <c r="D39" i="25"/>
  <c r="N39" i="13"/>
  <c r="O39" i="16"/>
  <c r="F39" i="2"/>
  <c r="C40" i="9"/>
  <c r="P39" i="12"/>
  <c r="P39" i="16"/>
  <c r="B39" i="17"/>
  <c r="B39" i="27"/>
  <c r="G39" i="43"/>
  <c r="G44" i="39"/>
  <c r="G43" i="39"/>
  <c r="G42" i="39"/>
  <c r="G41" i="39"/>
  <c r="G40" i="39"/>
  <c r="G39" i="2"/>
  <c r="F39" i="3"/>
  <c r="E39" i="8"/>
  <c r="D39" i="9"/>
  <c r="C39" i="10"/>
  <c r="B39" i="11"/>
  <c r="Q39" i="12"/>
  <c r="P39" i="13"/>
  <c r="B40" i="16"/>
  <c r="B39" i="22"/>
  <c r="E40" i="22"/>
  <c r="I39" i="23"/>
  <c r="B40" i="24"/>
  <c r="G39" i="25"/>
  <c r="P39" i="26"/>
  <c r="E39" i="27"/>
  <c r="N39" i="28"/>
  <c r="K39" i="30"/>
  <c r="E39" i="31"/>
  <c r="O39" i="33"/>
  <c r="H39" i="43"/>
  <c r="D39" i="40"/>
  <c r="Q40" i="40"/>
  <c r="E44" i="39"/>
  <c r="E43" i="39"/>
  <c r="E42" i="39"/>
  <c r="E41" i="39"/>
  <c r="E40" i="39"/>
  <c r="Q40" i="10"/>
  <c r="E39" i="23"/>
  <c r="O40" i="13"/>
  <c r="C40" i="11"/>
  <c r="H39" i="3"/>
  <c r="G39" i="8"/>
  <c r="F39" i="9"/>
  <c r="E39" i="10"/>
  <c r="D39" i="11"/>
  <c r="C39" i="12"/>
  <c r="B39" i="13"/>
  <c r="D40" i="15"/>
  <c r="C40" i="21"/>
  <c r="Q40" i="31"/>
  <c r="J39" i="43"/>
  <c r="G39" i="40"/>
  <c r="O39" i="12"/>
  <c r="J39" i="20"/>
  <c r="I44" i="39"/>
  <c r="I43" i="39"/>
  <c r="I42" i="39"/>
  <c r="I41" i="39"/>
  <c r="I40" i="39"/>
  <c r="I39" i="2"/>
  <c r="J39" i="2"/>
  <c r="I39" i="3"/>
  <c r="H39" i="8"/>
  <c r="G39" i="9"/>
  <c r="F39" i="10"/>
  <c r="E39" i="11"/>
  <c r="D39" i="12"/>
  <c r="C39" i="13"/>
  <c r="N39" i="41"/>
  <c r="C40" i="8"/>
  <c r="F43" i="39"/>
  <c r="F42" i="39"/>
  <c r="F41" i="39"/>
  <c r="F40" i="39"/>
  <c r="E40" i="3"/>
  <c r="D39" i="8"/>
  <c r="B39" i="10"/>
  <c r="H44" i="39"/>
  <c r="H43" i="39"/>
  <c r="H42" i="39"/>
  <c r="H41" i="39"/>
  <c r="H40" i="39"/>
  <c r="F40" i="8"/>
  <c r="B39" i="12"/>
  <c r="J40" i="3"/>
  <c r="I40" i="8"/>
  <c r="E40" i="12"/>
  <c r="D39" i="13"/>
  <c r="L39" i="2"/>
  <c r="I39" i="9"/>
  <c r="H39" i="10"/>
  <c r="G39" i="11"/>
  <c r="F39" i="12"/>
  <c r="E39" i="13"/>
  <c r="H40" i="33"/>
  <c r="H40" i="2"/>
  <c r="E40" i="9"/>
  <c r="B39" i="9" s="1"/>
  <c r="Q40" i="13"/>
  <c r="E39" i="16"/>
  <c r="M40" i="2"/>
  <c r="L39" i="3"/>
  <c r="K39" i="8"/>
  <c r="J39" i="9"/>
  <c r="I39" i="10"/>
  <c r="H39" i="11"/>
  <c r="G39" i="12"/>
  <c r="F39" i="13"/>
  <c r="Q40" i="27"/>
  <c r="F40" i="30"/>
  <c r="L40" i="32"/>
  <c r="D40" i="43"/>
  <c r="M40" i="39"/>
  <c r="C40" i="14"/>
  <c r="C39" i="14"/>
  <c r="K40" i="3"/>
  <c r="J39" i="8"/>
  <c r="N44" i="39"/>
  <c r="N43" i="39"/>
  <c r="N42" i="39"/>
  <c r="N41" i="39"/>
  <c r="N40" i="39"/>
  <c r="N39" i="2"/>
  <c r="M39" i="3"/>
  <c r="L39" i="8"/>
  <c r="K39" i="9"/>
  <c r="J39" i="10"/>
  <c r="I39" i="11"/>
  <c r="H39" i="12"/>
  <c r="G39" i="13"/>
  <c r="M40" i="17"/>
  <c r="Q40" i="18"/>
  <c r="C40" i="19"/>
  <c r="L40" i="24"/>
  <c r="J40" i="26"/>
  <c r="H40" i="28"/>
  <c r="O40" i="29"/>
  <c r="H40" i="30"/>
  <c r="P40" i="32"/>
  <c r="P40" i="11"/>
  <c r="O44" i="39"/>
  <c r="O39" i="2"/>
  <c r="N39" i="3"/>
  <c r="M39" i="8"/>
  <c r="L39" i="9"/>
  <c r="K39" i="10"/>
  <c r="J39" i="11"/>
  <c r="I39" i="12"/>
  <c r="H39" i="13"/>
  <c r="I40" i="14"/>
  <c r="J40" i="15"/>
  <c r="K40" i="16"/>
  <c r="F40" i="20"/>
  <c r="I40" i="21"/>
  <c r="P40" i="22"/>
  <c r="J40" i="28"/>
  <c r="P40" i="29"/>
  <c r="E39" i="2"/>
  <c r="K44" i="39"/>
  <c r="K43" i="39"/>
  <c r="K42" i="39"/>
  <c r="K41" i="39"/>
  <c r="K40" i="39"/>
  <c r="P40" i="2"/>
  <c r="O39" i="3"/>
  <c r="N39" i="8"/>
  <c r="M39" i="9"/>
  <c r="L39" i="10"/>
  <c r="K39" i="11"/>
  <c r="J39" i="12"/>
  <c r="I39" i="13"/>
  <c r="L40" i="16"/>
  <c r="E40" i="19"/>
  <c r="G40" i="20"/>
  <c r="J40" i="21"/>
  <c r="Q40" i="22"/>
  <c r="D40" i="23"/>
  <c r="O40" i="24"/>
  <c r="B40" i="25"/>
  <c r="M40" i="26"/>
  <c r="K40" i="28"/>
  <c r="O41" i="39"/>
  <c r="Q39" i="11"/>
  <c r="G40" i="3"/>
  <c r="H40" i="9"/>
  <c r="F39" i="11"/>
  <c r="M44" i="39"/>
  <c r="O39" i="8"/>
  <c r="N39" i="9"/>
  <c r="M39" i="10"/>
  <c r="L39" i="11"/>
  <c r="K39" i="12"/>
  <c r="J39" i="13"/>
  <c r="Q40" i="17"/>
  <c r="C40" i="25"/>
  <c r="M42" i="39"/>
  <c r="G39" i="10"/>
  <c r="Q40" i="2"/>
  <c r="B44" i="39"/>
  <c r="B43" i="39"/>
  <c r="B42" i="39"/>
  <c r="B41" i="39"/>
  <c r="B40" i="39"/>
  <c r="B39" i="2"/>
  <c r="Q39" i="3"/>
  <c r="P39" i="8"/>
  <c r="O39" i="9"/>
  <c r="N39" i="10"/>
  <c r="M39" i="11"/>
  <c r="L39" i="12"/>
  <c r="K39" i="13"/>
  <c r="D40" i="18"/>
  <c r="G40" i="19"/>
  <c r="M40" i="21"/>
  <c r="O42" i="39"/>
  <c r="K39" i="2"/>
  <c r="P40" i="3"/>
  <c r="C44" i="39"/>
  <c r="C43" i="39"/>
  <c r="C42" i="39"/>
  <c r="C41" i="39"/>
  <c r="C40" i="39"/>
  <c r="C39" i="2"/>
  <c r="B39" i="3"/>
  <c r="Q39" i="8"/>
  <c r="P39" i="9"/>
  <c r="O39" i="10"/>
  <c r="N39" i="11"/>
  <c r="M39" i="12"/>
  <c r="L39" i="13"/>
  <c r="M40" i="14"/>
  <c r="N40" i="15"/>
  <c r="M43" i="39"/>
  <c r="P44" i="39"/>
  <c r="P43" i="39"/>
  <c r="P42" i="39"/>
  <c r="P41" i="39"/>
  <c r="P40" i="39"/>
  <c r="Q43" i="39"/>
  <c r="Q42" i="39"/>
  <c r="Q41" i="39"/>
  <c r="Q40" i="39"/>
  <c r="D44" i="39"/>
  <c r="D43" i="39"/>
  <c r="D42" i="39"/>
  <c r="D41" i="39"/>
  <c r="D40" i="39"/>
  <c r="D39" i="2"/>
  <c r="C39" i="3"/>
  <c r="B39" i="8"/>
  <c r="Q39" i="9"/>
  <c r="P39" i="10"/>
  <c r="O39" i="11"/>
  <c r="N39" i="12"/>
  <c r="M39" i="13"/>
  <c r="O43" i="39"/>
  <c r="D39" i="17"/>
  <c r="C39" i="18"/>
  <c r="B39" i="19"/>
  <c r="Q39" i="20"/>
  <c r="P39" i="21"/>
  <c r="O39" i="22"/>
  <c r="N39" i="23"/>
  <c r="M39" i="24"/>
  <c r="L39" i="25"/>
  <c r="K39" i="26"/>
  <c r="J39" i="27"/>
  <c r="I39" i="28"/>
  <c r="H39" i="29"/>
  <c r="G39" i="30"/>
  <c r="F39" i="31"/>
  <c r="E39" i="32"/>
  <c r="D39" i="33"/>
  <c r="C39" i="43"/>
  <c r="B39" i="40"/>
  <c r="Q39" i="41"/>
  <c r="B39" i="41"/>
  <c r="C39" i="41"/>
  <c r="G39" i="33"/>
  <c r="F39" i="43"/>
  <c r="E39" i="40"/>
  <c r="D39" i="41"/>
  <c r="E39" i="41"/>
  <c r="F39" i="41"/>
  <c r="G39" i="41"/>
  <c r="H39" i="41"/>
  <c r="O39" i="30"/>
  <c r="N39" i="31"/>
  <c r="M39" i="32"/>
  <c r="L39" i="33"/>
  <c r="K39" i="43"/>
  <c r="J39" i="40"/>
  <c r="I39" i="41"/>
  <c r="H39" i="22"/>
  <c r="G39" i="23"/>
  <c r="F39" i="24"/>
  <c r="E39" i="25"/>
  <c r="D39" i="26"/>
  <c r="C39" i="27"/>
  <c r="B39" i="28"/>
  <c r="Q39" i="29"/>
  <c r="P39" i="30"/>
  <c r="O39" i="31"/>
  <c r="N39" i="32"/>
  <c r="M39" i="33"/>
  <c r="L39" i="43"/>
  <c r="K39" i="40"/>
  <c r="J39" i="41"/>
  <c r="H39" i="23"/>
  <c r="G39" i="24"/>
  <c r="F39" i="25"/>
  <c r="E39" i="26"/>
  <c r="D39" i="27"/>
  <c r="C39" i="28"/>
  <c r="B39" i="29"/>
  <c r="Q39" i="30"/>
  <c r="P39" i="31"/>
  <c r="O39" i="32"/>
  <c r="N39" i="33"/>
  <c r="M39" i="43"/>
  <c r="L39" i="40"/>
  <c r="K39" i="41"/>
  <c r="B39" i="15"/>
  <c r="Q39" i="16"/>
  <c r="P39" i="17"/>
  <c r="O39" i="18"/>
  <c r="N39" i="19"/>
  <c r="M39" i="20"/>
  <c r="L39" i="21"/>
  <c r="K39" i="22"/>
  <c r="J39" i="23"/>
  <c r="I39" i="24"/>
  <c r="H39" i="25"/>
  <c r="G39" i="26"/>
  <c r="F39" i="27"/>
  <c r="E39" i="28"/>
  <c r="D39" i="29"/>
  <c r="C39" i="30"/>
  <c r="B39" i="31"/>
  <c r="Q39" i="32"/>
  <c r="P39" i="33"/>
  <c r="O39" i="43"/>
  <c r="N39" i="40"/>
  <c r="M39" i="41"/>
  <c r="E39" i="30"/>
  <c r="D39" i="31"/>
  <c r="C39" i="32"/>
  <c r="B39" i="33"/>
  <c r="Q39" i="43"/>
  <c r="P39" i="40"/>
  <c r="O39" i="41"/>
  <c r="P39" i="41"/>
  <c r="B46" i="39" l="1"/>
  <c r="B45" i="39"/>
  <c r="N46" i="39"/>
  <c r="N45" i="39"/>
  <c r="D46" i="39"/>
  <c r="D45" i="39"/>
  <c r="F46" i="39"/>
  <c r="F45" i="39"/>
  <c r="G46" i="39"/>
  <c r="G45" i="39"/>
  <c r="P46" i="39"/>
  <c r="P45" i="39"/>
  <c r="L46" i="39"/>
  <c r="L45" i="39"/>
  <c r="Q46" i="39"/>
  <c r="Q45" i="39"/>
  <c r="E46" i="39"/>
  <c r="E45" i="39"/>
  <c r="C46" i="39"/>
  <c r="C45" i="39"/>
  <c r="K46" i="39"/>
  <c r="K45" i="39"/>
  <c r="H46" i="39"/>
  <c r="H45" i="39"/>
  <c r="M46" i="39"/>
  <c r="M45" i="39"/>
  <c r="I46" i="39"/>
  <c r="I45" i="39"/>
  <c r="O46" i="39"/>
  <c r="O45" i="39"/>
  <c r="J46" i="39"/>
  <c r="J45" i="39"/>
</calcChain>
</file>

<file path=xl/sharedStrings.xml><?xml version="1.0" encoding="utf-8"?>
<sst xmlns="http://schemas.openxmlformats.org/spreadsheetml/2006/main" count="3431" uniqueCount="805">
  <si>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</si>
  <si>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</si>
  <si>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</si>
  <si>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</si>
  <si>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</si>
  <si>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</si>
  <si>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</si>
  <si>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</si>
  <si>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</si>
  <si>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</si>
  <si>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</si>
  <si>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</si>
  <si>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</si>
  <si>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</si>
  <si>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</si>
  <si>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</si>
  <si>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</si>
  <si>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</si>
  <si>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</si>
  <si>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</si>
  <si>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</si>
  <si>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</si>
  <si>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</si>
  <si>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</si>
  <si>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</si>
  <si>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</si>
  <si>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</si>
  <si>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</si>
  <si>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</si>
  <si>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</si>
  <si>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</si>
  <si>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</si>
  <si>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</si>
  <si>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</si>
  <si>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</si>
  <si>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</si>
  <si>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</si>
  <si>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</si>
  <si>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</si>
  <si>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</si>
  <si>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</si>
  <si>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</si>
  <si>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</si>
  <si>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</si>
  <si>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</si>
  <si>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</si>
  <si>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</si>
  <si>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</si>
  <si>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</si>
  <si>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</si>
  <si>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</si>
  <si>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</si>
  <si>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</si>
  <si>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</si>
  <si>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</si>
  <si>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</si>
  <si>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</si>
  <si>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</si>
  <si>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</si>
  <si>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</si>
  <si>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animesh</t>
  </si>
  <si>
    <t>01/01/2025 01:00</t>
  </si>
  <si>
    <t>01/01/2025 02:00</t>
  </si>
  <si>
    <t>01/01/2025 03:00</t>
  </si>
  <si>
    <t>01/01/2025 04:00</t>
  </si>
  <si>
    <t>01/01/2025 05:00</t>
  </si>
  <si>
    <t>01/01/2025 06:00</t>
  </si>
  <si>
    <t>01/01/2025 07:00</t>
  </si>
  <si>
    <t>01/01/2025 08:00</t>
  </si>
  <si>
    <t>01/01/2025 09:00</t>
  </si>
  <si>
    <t>01/01/2025 10:00</t>
  </si>
  <si>
    <t>01/01/2025 11:00</t>
  </si>
  <si>
    <t>01/01/2025 12:00</t>
  </si>
  <si>
    <t>01/01/2025 13:00</t>
  </si>
  <si>
    <t>01/01/2025 14:00</t>
  </si>
  <si>
    <t>01/01/2025 15:00</t>
  </si>
  <si>
    <t>01/01/2025 16:00</t>
  </si>
  <si>
    <t>01/01/2025 17:00</t>
  </si>
  <si>
    <t>01/01/2025 18:00</t>
  </si>
  <si>
    <t>01/01/2025 19:00</t>
  </si>
  <si>
    <t>01/01/2025 20:00</t>
  </si>
  <si>
    <t>01/01/2025 21:00</t>
  </si>
  <si>
    <t>01/01/2025 22:00</t>
  </si>
  <si>
    <t>01/01/2025 23:00</t>
  </si>
  <si>
    <t>01/01/2025 24:00</t>
  </si>
  <si>
    <t>02/01/2025 01:00</t>
  </si>
  <si>
    <t>02/01/2025 02:00</t>
  </si>
  <si>
    <t>02/01/2025 03:00</t>
  </si>
  <si>
    <t>02/01/2025 04:00</t>
  </si>
  <si>
    <t>02/01/2025 05:00</t>
  </si>
  <si>
    <t>02/01/2025 06:00</t>
  </si>
  <si>
    <t>02/01/2025 07:00</t>
  </si>
  <si>
    <t>02/01/2025 08:00</t>
  </si>
  <si>
    <t>02/01/2025 09:00</t>
  </si>
  <si>
    <t>02/01/2025 10:00</t>
  </si>
  <si>
    <t>02/01/2025 11:00</t>
  </si>
  <si>
    <t>02/01/2025 12:00</t>
  </si>
  <si>
    <t>02/01/2025 13:00</t>
  </si>
  <si>
    <t>02/01/2025 14:00</t>
  </si>
  <si>
    <t>02/01/2025 15:00</t>
  </si>
  <si>
    <t>02/01/2025 16:00</t>
  </si>
  <si>
    <t>02/01/2025 17:00</t>
  </si>
  <si>
    <t>02/01/2025 18:00</t>
  </si>
  <si>
    <t>02/01/2025 19:00</t>
  </si>
  <si>
    <t>02/01/2025 20:00</t>
  </si>
  <si>
    <t>02/01/2025 21:00</t>
  </si>
  <si>
    <t>02/01/2025 22:00</t>
  </si>
  <si>
    <t>02/01/2025 23:00</t>
  </si>
  <si>
    <t>02/01/2025 24:00</t>
  </si>
  <si>
    <t>03/01/2025 01:00</t>
  </si>
  <si>
    <t>03/01/2025 02:00</t>
  </si>
  <si>
    <t>03/01/2025 03:00</t>
  </si>
  <si>
    <t>03/01/2025 04:00</t>
  </si>
  <si>
    <t>03/01/2025 05:00</t>
  </si>
  <si>
    <t>03/01/2025 06:00</t>
  </si>
  <si>
    <t>03/01/2025 07:00</t>
  </si>
  <si>
    <t>03/01/2025 08:00</t>
  </si>
  <si>
    <t>03/01/2025 09:00</t>
  </si>
  <si>
    <t>03/01/2025 10:00</t>
  </si>
  <si>
    <t>03/01/2025 11:00</t>
  </si>
  <si>
    <t>03/01/2025 12:00</t>
  </si>
  <si>
    <t>03/01/2025 13:00</t>
  </si>
  <si>
    <t>03/01/2025 14:00</t>
  </si>
  <si>
    <t>03/01/2025 15:00</t>
  </si>
  <si>
    <t>03/01/2025 16:00</t>
  </si>
  <si>
    <t>03/01/2025 17:00</t>
  </si>
  <si>
    <t>03/01/2025 18:00</t>
  </si>
  <si>
    <t>03/01/2025 19:00</t>
  </si>
  <si>
    <t>03/01/2025 20:00</t>
  </si>
  <si>
    <t>03/01/2025 21:00</t>
  </si>
  <si>
    <t>03/01/2025 22:00</t>
  </si>
  <si>
    <t>03/01/2025 23:00</t>
  </si>
  <si>
    <t>03/01/2025 24:00</t>
  </si>
  <si>
    <t>04/01/2025 01:00</t>
  </si>
  <si>
    <t>04/01/2025 02:00</t>
  </si>
  <si>
    <t>04/01/2025 03:00</t>
  </si>
  <si>
    <t>04/01/2025 04:00</t>
  </si>
  <si>
    <t>04/01/2025 05:00</t>
  </si>
  <si>
    <t>04/01/2025 06:00</t>
  </si>
  <si>
    <t>04/01/2025 07:00</t>
  </si>
  <si>
    <t>04/01/2025 08:00</t>
  </si>
  <si>
    <t>04/01/2025 09:00</t>
  </si>
  <si>
    <t>04/01/2025 10:00</t>
  </si>
  <si>
    <t>04/01/2025 11:00</t>
  </si>
  <si>
    <t>04/01/2025 12:00</t>
  </si>
  <si>
    <t>04/01/2025 13:00</t>
  </si>
  <si>
    <t>04/01/2025 14:00</t>
  </si>
  <si>
    <t>04/01/2025 15:00</t>
  </si>
  <si>
    <t>04/01/2025 16:00</t>
  </si>
  <si>
    <t>04/01/2025 17:00</t>
  </si>
  <si>
    <t>04/01/2025 18:00</t>
  </si>
  <si>
    <t>04/01/2025 19:00</t>
  </si>
  <si>
    <t>04/01/2025 20:00</t>
  </si>
  <si>
    <t>04/01/2025 21:00</t>
  </si>
  <si>
    <t>04/01/2025 22:00</t>
  </si>
  <si>
    <t>04/01/2025 23:00</t>
  </si>
  <si>
    <t>04/01/2025 24:00</t>
  </si>
  <si>
    <t>05/01/2025 01:00</t>
  </si>
  <si>
    <t>05/01/2025 02:00</t>
  </si>
  <si>
    <t>05/01/2025 03:00</t>
  </si>
  <si>
    <t>05/01/2025 04:00</t>
  </si>
  <si>
    <t>05/01/2025 05:00</t>
  </si>
  <si>
    <t>05/01/2025 06:00</t>
  </si>
  <si>
    <t>05/01/2025 07:00</t>
  </si>
  <si>
    <t>05/01/2025 08:00</t>
  </si>
  <si>
    <t>05/01/2025 09:00</t>
  </si>
  <si>
    <t>05/01/2025 10:00</t>
  </si>
  <si>
    <t>05/01/2025 11:00</t>
  </si>
  <si>
    <t>05/01/2025 12:00</t>
  </si>
  <si>
    <t>05/01/2025 13:00</t>
  </si>
  <si>
    <t>05/01/2025 14:00</t>
  </si>
  <si>
    <t>05/01/2025 15:00</t>
  </si>
  <si>
    <t>05/01/2025 16:00</t>
  </si>
  <si>
    <t>05/01/2025 17:00</t>
  </si>
  <si>
    <t>05/01/2025 18:00</t>
  </si>
  <si>
    <t>05/01/2025 19:00</t>
  </si>
  <si>
    <t>05/01/2025 20:00</t>
  </si>
  <si>
    <t>05/01/2025 21:00</t>
  </si>
  <si>
    <t>05/01/2025 22:00</t>
  </si>
  <si>
    <t>05/01/2025 23:00</t>
  </si>
  <si>
    <t>05/01/2025 24:00</t>
  </si>
  <si>
    <t>06/01/2025 01:00</t>
  </si>
  <si>
    <t>06/01/2025 02:00</t>
  </si>
  <si>
    <t>06/01/2025 03:00</t>
  </si>
  <si>
    <t>06/01/2025 04:00</t>
  </si>
  <si>
    <t>06/01/2025 05:00</t>
  </si>
  <si>
    <t>06/01/2025 06:00</t>
  </si>
  <si>
    <t>06/01/2025 07:00</t>
  </si>
  <si>
    <t>06/01/2025 08:00</t>
  </si>
  <si>
    <t>06/01/2025 09:00</t>
  </si>
  <si>
    <t>06/01/2025 10:00</t>
  </si>
  <si>
    <t>06/01/2025 11:00</t>
  </si>
  <si>
    <t>06/01/2025 12:00</t>
  </si>
  <si>
    <t>06/01/2025 13:00</t>
  </si>
  <si>
    <t>06/01/2025 14:00</t>
  </si>
  <si>
    <t>06/01/2025 15:00</t>
  </si>
  <si>
    <t>06/01/2025 16:00</t>
  </si>
  <si>
    <t>06/01/2025 17:00</t>
  </si>
  <si>
    <t>06/01/2025 18:00</t>
  </si>
  <si>
    <t>06/01/2025 19:00</t>
  </si>
  <si>
    <t>06/01/2025 20:00</t>
  </si>
  <si>
    <t>06/01/2025 21:00</t>
  </si>
  <si>
    <t>06/01/2025 22:00</t>
  </si>
  <si>
    <t>06/01/2025 23:00</t>
  </si>
  <si>
    <t>06/01/2025 24:00</t>
  </si>
  <si>
    <t>07/01/2025 01:00</t>
  </si>
  <si>
    <t>07/01/2025 02:00</t>
  </si>
  <si>
    <t>07/01/2025 03:00</t>
  </si>
  <si>
    <t>07/01/2025 04:00</t>
  </si>
  <si>
    <t>07/01/2025 05:00</t>
  </si>
  <si>
    <t>07/01/2025 06:00</t>
  </si>
  <si>
    <t>07/01/2025 07:00</t>
  </si>
  <si>
    <t>07/01/2025 08:00</t>
  </si>
  <si>
    <t>07/01/2025 09:00</t>
  </si>
  <si>
    <t>07/01/2025 10:00</t>
  </si>
  <si>
    <t>07/01/2025 11:00</t>
  </si>
  <si>
    <t>07/01/2025 12:00</t>
  </si>
  <si>
    <t>07/01/2025 13:00</t>
  </si>
  <si>
    <t>07/01/2025 14:00</t>
  </si>
  <si>
    <t>07/01/2025 15:00</t>
  </si>
  <si>
    <t>07/01/2025 16:00</t>
  </si>
  <si>
    <t>07/01/2025 17:00</t>
  </si>
  <si>
    <t>07/01/2025 18:00</t>
  </si>
  <si>
    <t>07/01/2025 19:00</t>
  </si>
  <si>
    <t>07/01/2025 20:00</t>
  </si>
  <si>
    <t>07/01/2025 21:00</t>
  </si>
  <si>
    <t>07/01/2025 22:00</t>
  </si>
  <si>
    <t>07/01/2025 23:00</t>
  </si>
  <si>
    <t>07/01/2025 24:00</t>
  </si>
  <si>
    <t>08/01/2025 01:00</t>
  </si>
  <si>
    <t>08/01/2025 02:00</t>
  </si>
  <si>
    <t>08/01/2025 03:00</t>
  </si>
  <si>
    <t>08/01/2025 04:00</t>
  </si>
  <si>
    <t>08/01/2025 05:00</t>
  </si>
  <si>
    <t>08/01/2025 06:00</t>
  </si>
  <si>
    <t>08/01/2025 07:00</t>
  </si>
  <si>
    <t>08/01/2025 08:00</t>
  </si>
  <si>
    <t>08/01/2025 09:00</t>
  </si>
  <si>
    <t>08/01/2025 10:00</t>
  </si>
  <si>
    <t>08/01/2025 11:00</t>
  </si>
  <si>
    <t>08/01/2025 12:00</t>
  </si>
  <si>
    <t>08/01/2025 13:00</t>
  </si>
  <si>
    <t>08/01/2025 14:00</t>
  </si>
  <si>
    <t>08/01/2025 15:00</t>
  </si>
  <si>
    <t>08/01/2025 16:00</t>
  </si>
  <si>
    <t>08/01/2025 17:00</t>
  </si>
  <si>
    <t>08/01/2025 18:00</t>
  </si>
  <si>
    <t>08/01/2025 19:00</t>
  </si>
  <si>
    <t>08/01/2025 20:00</t>
  </si>
  <si>
    <t>08/01/2025 21:00</t>
  </si>
  <si>
    <t>08/01/2025 22:00</t>
  </si>
  <si>
    <t>08/01/2025 23:00</t>
  </si>
  <si>
    <t>08/01/2025 24:00</t>
  </si>
  <si>
    <t>09/01/2025 01:00</t>
  </si>
  <si>
    <t>09/01/2025 02:00</t>
  </si>
  <si>
    <t>09/01/2025 03:00</t>
  </si>
  <si>
    <t>09/01/2025 04:00</t>
  </si>
  <si>
    <t>09/01/2025 05:00</t>
  </si>
  <si>
    <t>09/01/2025 06:00</t>
  </si>
  <si>
    <t>09/01/2025 07:00</t>
  </si>
  <si>
    <t>09/01/2025 08:00</t>
  </si>
  <si>
    <t>09/01/2025 09:00</t>
  </si>
  <si>
    <t>09/01/2025 10:00</t>
  </si>
  <si>
    <t>09/01/2025 11:00</t>
  </si>
  <si>
    <t>09/01/2025 12:00</t>
  </si>
  <si>
    <t>09/01/2025 13:00</t>
  </si>
  <si>
    <t>09/01/2025 14:00</t>
  </si>
  <si>
    <t>09/01/2025 15:00</t>
  </si>
  <si>
    <t>09/01/2025 16:00</t>
  </si>
  <si>
    <t>09/01/2025 17:00</t>
  </si>
  <si>
    <t>09/01/2025 18:00</t>
  </si>
  <si>
    <t>09/01/2025 19:00</t>
  </si>
  <si>
    <t>09/01/2025 20:00</t>
  </si>
  <si>
    <t>09/01/2025 21:00</t>
  </si>
  <si>
    <t>09/01/2025 22:00</t>
  </si>
  <si>
    <t>09/01/2025 23:00</t>
  </si>
  <si>
    <t>09/01/2025 24:00</t>
  </si>
  <si>
    <t>10/01/2025 01:00</t>
  </si>
  <si>
    <t>10/01/2025 02:00</t>
  </si>
  <si>
    <t>10/01/2025 03:00</t>
  </si>
  <si>
    <t>10/01/2025 04:00</t>
  </si>
  <si>
    <t>10/01/2025 05:00</t>
  </si>
  <si>
    <t>10/01/2025 06:00</t>
  </si>
  <si>
    <t>10/01/2025 07:00</t>
  </si>
  <si>
    <t>10/01/2025 08:00</t>
  </si>
  <si>
    <t>10/01/2025 09:00</t>
  </si>
  <si>
    <t>10/01/2025 10:00</t>
  </si>
  <si>
    <t>10/01/2025 11:00</t>
  </si>
  <si>
    <t>10/01/2025 12:00</t>
  </si>
  <si>
    <t>10/01/2025 13:00</t>
  </si>
  <si>
    <t>10/01/2025 14:00</t>
  </si>
  <si>
    <t>10/01/2025 15:00</t>
  </si>
  <si>
    <t>10/01/2025 16:00</t>
  </si>
  <si>
    <t>10/01/2025 17:00</t>
  </si>
  <si>
    <t>10/01/2025 18:00</t>
  </si>
  <si>
    <t>10/01/2025 19:00</t>
  </si>
  <si>
    <t>10/01/2025 20:00</t>
  </si>
  <si>
    <t>10/01/2025 21:00</t>
  </si>
  <si>
    <t>10/01/2025 22:00</t>
  </si>
  <si>
    <t>10/01/2025 23:00</t>
  </si>
  <si>
    <t>10/01/2025 24:00</t>
  </si>
  <si>
    <t>11/01/2025 01:00</t>
  </si>
  <si>
    <t>11/01/2025 02:00</t>
  </si>
  <si>
    <t>11/01/2025 03:00</t>
  </si>
  <si>
    <t>11/01/2025 04:00</t>
  </si>
  <si>
    <t>11/01/2025 05:00</t>
  </si>
  <si>
    <t>11/01/2025 06:00</t>
  </si>
  <si>
    <t>11/01/2025 07:00</t>
  </si>
  <si>
    <t>11/01/2025 08:00</t>
  </si>
  <si>
    <t>11/01/2025 09:00</t>
  </si>
  <si>
    <t>11/01/2025 10:00</t>
  </si>
  <si>
    <t>11/01/2025 11:00</t>
  </si>
  <si>
    <t>11/01/2025 12:00</t>
  </si>
  <si>
    <t>11/01/2025 13:00</t>
  </si>
  <si>
    <t>11/01/2025 14:00</t>
  </si>
  <si>
    <t>11/01/2025 15:00</t>
  </si>
  <si>
    <t>11/01/2025 16:00</t>
  </si>
  <si>
    <t>11/01/2025 17:00</t>
  </si>
  <si>
    <t>11/01/2025 18:00</t>
  </si>
  <si>
    <t>11/01/2025 19:00</t>
  </si>
  <si>
    <t>11/01/2025 20:00</t>
  </si>
  <si>
    <t>11/01/2025 21:00</t>
  </si>
  <si>
    <t>11/01/2025 22:00</t>
  </si>
  <si>
    <t>11/01/2025 23:00</t>
  </si>
  <si>
    <t>11/01/2025 24:00</t>
  </si>
  <si>
    <t>12/01/2025 01:00</t>
  </si>
  <si>
    <t>12/01/2025 02:00</t>
  </si>
  <si>
    <t>12/01/2025 03:00</t>
  </si>
  <si>
    <t>12/01/2025 04:00</t>
  </si>
  <si>
    <t>12/01/2025 05:00</t>
  </si>
  <si>
    <t>12/01/2025 06:00</t>
  </si>
  <si>
    <t>12/01/2025 07:00</t>
  </si>
  <si>
    <t>12/01/2025 08:00</t>
  </si>
  <si>
    <t>12/01/2025 09:00</t>
  </si>
  <si>
    <t>12/01/2025 10:00</t>
  </si>
  <si>
    <t>12/01/2025 11:00</t>
  </si>
  <si>
    <t>12/01/2025 12:00</t>
  </si>
  <si>
    <t>12/01/2025 13:00</t>
  </si>
  <si>
    <t>12/01/2025 14:00</t>
  </si>
  <si>
    <t>12/01/2025 15:00</t>
  </si>
  <si>
    <t>12/01/2025 16:00</t>
  </si>
  <si>
    <t>12/01/2025 17:00</t>
  </si>
  <si>
    <t>12/01/2025 18:00</t>
  </si>
  <si>
    <t>12/01/2025 19:00</t>
  </si>
  <si>
    <t>12/01/2025 20:00</t>
  </si>
  <si>
    <t>12/01/2025 21:00</t>
  </si>
  <si>
    <t>12/01/2025 22:00</t>
  </si>
  <si>
    <t>12/01/2025 23:00</t>
  </si>
  <si>
    <t>12/01/2025 24:00</t>
  </si>
  <si>
    <t>13/01/2025 01:00</t>
  </si>
  <si>
    <t>13/01/2025 02:00</t>
  </si>
  <si>
    <t>13/01/2025 03:00</t>
  </si>
  <si>
    <t>13/01/2025 04:00</t>
  </si>
  <si>
    <t>13/01/2025 05:00</t>
  </si>
  <si>
    <t>13/01/2025 06:00</t>
  </si>
  <si>
    <t>13/01/2025 07:00</t>
  </si>
  <si>
    <t>13/01/2025 08:00</t>
  </si>
  <si>
    <t>13/01/2025 09:00</t>
  </si>
  <si>
    <t>13/01/2025 10:00</t>
  </si>
  <si>
    <t>13/01/2025 11:00</t>
  </si>
  <si>
    <t>13/01/2025 12:00</t>
  </si>
  <si>
    <t>13/01/2025 13:00</t>
  </si>
  <si>
    <t>13/01/2025 14:00</t>
  </si>
  <si>
    <t>13/01/2025 15:00</t>
  </si>
  <si>
    <t>13/01/2025 16:00</t>
  </si>
  <si>
    <t>13/01/2025 17:00</t>
  </si>
  <si>
    <t>13/01/2025 18:00</t>
  </si>
  <si>
    <t>13/01/2025 19:00</t>
  </si>
  <si>
    <t>13/01/2025 20:00</t>
  </si>
  <si>
    <t>13/01/2025 21:00</t>
  </si>
  <si>
    <t>13/01/2025 22:00</t>
  </si>
  <si>
    <t>13/01/2025 23:00</t>
  </si>
  <si>
    <t>13/01/2025 24:00</t>
  </si>
  <si>
    <t>14/01/2025 01:00</t>
  </si>
  <si>
    <t>14/01/2025 02:00</t>
  </si>
  <si>
    <t>14/01/2025 03:00</t>
  </si>
  <si>
    <t>14/01/2025 04:00</t>
  </si>
  <si>
    <t>14/01/2025 05:00</t>
  </si>
  <si>
    <t>14/01/2025 06:00</t>
  </si>
  <si>
    <t>14/01/2025 07:00</t>
  </si>
  <si>
    <t>14/01/2025 08:00</t>
  </si>
  <si>
    <t>14/01/2025 09:00</t>
  </si>
  <si>
    <t>14/01/2025 10:00</t>
  </si>
  <si>
    <t>14/01/2025 11:00</t>
  </si>
  <si>
    <t>14/01/2025 12:00</t>
  </si>
  <si>
    <t>14/01/2025 13:00</t>
  </si>
  <si>
    <t>14/01/2025 14:00</t>
  </si>
  <si>
    <t>14/01/2025 15:00</t>
  </si>
  <si>
    <t>14/01/2025 16:00</t>
  </si>
  <si>
    <t>14/01/2025 17:00</t>
  </si>
  <si>
    <t>14/01/2025 18:00</t>
  </si>
  <si>
    <t>14/01/2025 19:00</t>
  </si>
  <si>
    <t>14/01/2025 20:00</t>
  </si>
  <si>
    <t>14/01/2025 21:00</t>
  </si>
  <si>
    <t>14/01/2025 22:00</t>
  </si>
  <si>
    <t>14/01/2025 23:00</t>
  </si>
  <si>
    <t>14/01/2025 24:00</t>
  </si>
  <si>
    <t>15/01/2025 01:00</t>
  </si>
  <si>
    <t>15/01/2025 02:00</t>
  </si>
  <si>
    <t>15/01/2025 03:00</t>
  </si>
  <si>
    <t>15/01/2025 04:00</t>
  </si>
  <si>
    <t>15/01/2025 05:00</t>
  </si>
  <si>
    <t>15/01/2025 06:00</t>
  </si>
  <si>
    <t>15/01/2025 07:00</t>
  </si>
  <si>
    <t>15/01/2025 08:00</t>
  </si>
  <si>
    <t>15/01/2025 09:00</t>
  </si>
  <si>
    <t>15/01/2025 10:00</t>
  </si>
  <si>
    <t>15/01/2025 11:00</t>
  </si>
  <si>
    <t>15/01/2025 12:00</t>
  </si>
  <si>
    <t>15/01/2025 13:00</t>
  </si>
  <si>
    <t>15/01/2025 14:00</t>
  </si>
  <si>
    <t>15/01/2025 15:00</t>
  </si>
  <si>
    <t>15/01/2025 16:00</t>
  </si>
  <si>
    <t>15/01/2025 17:00</t>
  </si>
  <si>
    <t>15/01/2025 18:00</t>
  </si>
  <si>
    <t>15/01/2025 19:00</t>
  </si>
  <si>
    <t>15/01/2025 20:00</t>
  </si>
  <si>
    <t>15/01/2025 21:00</t>
  </si>
  <si>
    <t>15/01/2025 22:00</t>
  </si>
  <si>
    <t>15/01/2025 23:00</t>
  </si>
  <si>
    <t>15/01/2025 24:00</t>
  </si>
  <si>
    <t>16/01/2025 01:00</t>
  </si>
  <si>
    <t>16/01/2025 02:00</t>
  </si>
  <si>
    <t>16/01/2025 03:00</t>
  </si>
  <si>
    <t>16/01/2025 04:00</t>
  </si>
  <si>
    <t>16/01/2025 05:00</t>
  </si>
  <si>
    <t>16/01/2025 06:00</t>
  </si>
  <si>
    <t>16/01/2025 07:00</t>
  </si>
  <si>
    <t>16/01/2025 08:00</t>
  </si>
  <si>
    <t>16/01/2025 09:00</t>
  </si>
  <si>
    <t>16/01/2025 10:00</t>
  </si>
  <si>
    <t>16/01/2025 11:00</t>
  </si>
  <si>
    <t>16/01/2025 12:00</t>
  </si>
  <si>
    <t>16/01/2025 13:00</t>
  </si>
  <si>
    <t>16/01/2025 14:00</t>
  </si>
  <si>
    <t>16/01/2025 15:00</t>
  </si>
  <si>
    <t>16/01/2025 16:00</t>
  </si>
  <si>
    <t>16/01/2025 17:00</t>
  </si>
  <si>
    <t>16/01/2025 18:00</t>
  </si>
  <si>
    <t>16/01/2025 19:00</t>
  </si>
  <si>
    <t>16/01/2025 20:00</t>
  </si>
  <si>
    <t>16/01/2025 21:00</t>
  </si>
  <si>
    <t>16/01/2025 22:00</t>
  </si>
  <si>
    <t>16/01/2025 23:00</t>
  </si>
  <si>
    <t>16/01/2025 24:00</t>
  </si>
  <si>
    <t>17/01/2025 01:00</t>
  </si>
  <si>
    <t>17/01/2025 02:00</t>
  </si>
  <si>
    <t>17/01/2025 03:00</t>
  </si>
  <si>
    <t>17/01/2025 04:00</t>
  </si>
  <si>
    <t>17/01/2025 05:00</t>
  </si>
  <si>
    <t>17/01/2025 06:00</t>
  </si>
  <si>
    <t>17/01/2025 07:00</t>
  </si>
  <si>
    <t>17/01/2025 08:00</t>
  </si>
  <si>
    <t>17/01/2025 09:00</t>
  </si>
  <si>
    <t>17/01/2025 10:00</t>
  </si>
  <si>
    <t>17/01/2025 11:00</t>
  </si>
  <si>
    <t>17/01/2025 12:00</t>
  </si>
  <si>
    <t>17/01/2025 13:00</t>
  </si>
  <si>
    <t>17/01/2025 14:00</t>
  </si>
  <si>
    <t>17/01/2025 15:00</t>
  </si>
  <si>
    <t>17/01/2025 16:00</t>
  </si>
  <si>
    <t>17/01/2025 17:00</t>
  </si>
  <si>
    <t>17/01/2025 18:00</t>
  </si>
  <si>
    <t>17/01/2025 19:00</t>
  </si>
  <si>
    <t>17/01/2025 20:00</t>
  </si>
  <si>
    <t>17/01/2025 21:00</t>
  </si>
  <si>
    <t>17/01/2025 22:00</t>
  </si>
  <si>
    <t>17/01/2025 23:00</t>
  </si>
  <si>
    <t>17/01/2025 24:00</t>
  </si>
  <si>
    <t>18/01/2025 01:00</t>
  </si>
  <si>
    <t>18/01/2025 02:00</t>
  </si>
  <si>
    <t>18/01/2025 03:00</t>
  </si>
  <si>
    <t>18/01/2025 04:00</t>
  </si>
  <si>
    <t>18/01/2025 05:00</t>
  </si>
  <si>
    <t>18/01/2025 06:00</t>
  </si>
  <si>
    <t>18/01/2025 07:00</t>
  </si>
  <si>
    <t>18/01/2025 08:00</t>
  </si>
  <si>
    <t>18/01/2025 09:00</t>
  </si>
  <si>
    <t>18/01/2025 10:00</t>
  </si>
  <si>
    <t>18/01/2025 11:00</t>
  </si>
  <si>
    <t>18/01/2025 12:00</t>
  </si>
  <si>
    <t>18/01/2025 13:00</t>
  </si>
  <si>
    <t>18/01/2025 14:00</t>
  </si>
  <si>
    <t>18/01/2025 15:00</t>
  </si>
  <si>
    <t>18/01/2025 16:00</t>
  </si>
  <si>
    <t>18/01/2025 17:00</t>
  </si>
  <si>
    <t>18/01/2025 18:00</t>
  </si>
  <si>
    <t>18/01/2025 19:00</t>
  </si>
  <si>
    <t>18/01/2025 20:00</t>
  </si>
  <si>
    <t>18/01/2025 21:00</t>
  </si>
  <si>
    <t>18/01/2025 22:00</t>
  </si>
  <si>
    <t>18/01/2025 23:00</t>
  </si>
  <si>
    <t>18/01/2025 24:00</t>
  </si>
  <si>
    <t>19/01/2025 01:00</t>
  </si>
  <si>
    <t>19/01/2025 02:00</t>
  </si>
  <si>
    <t>19/01/2025 03:00</t>
  </si>
  <si>
    <t>19/01/2025 04:00</t>
  </si>
  <si>
    <t>19/01/2025 05:00</t>
  </si>
  <si>
    <t>19/01/2025 06:00</t>
  </si>
  <si>
    <t>19/01/2025 07:00</t>
  </si>
  <si>
    <t>19/01/2025 08:00</t>
  </si>
  <si>
    <t>19/01/2025 09:00</t>
  </si>
  <si>
    <t>19/01/2025 10:00</t>
  </si>
  <si>
    <t>19/01/2025 11:00</t>
  </si>
  <si>
    <t>19/01/2025 12:00</t>
  </si>
  <si>
    <t>19/01/2025 13:00</t>
  </si>
  <si>
    <t>19/01/2025 14:00</t>
  </si>
  <si>
    <t>19/01/2025 15:00</t>
  </si>
  <si>
    <t>19/01/2025 16:00</t>
  </si>
  <si>
    <t>19/01/2025 17:00</t>
  </si>
  <si>
    <t>19/01/2025 18:00</t>
  </si>
  <si>
    <t>19/01/2025 19:00</t>
  </si>
  <si>
    <t>19/01/2025 20:00</t>
  </si>
  <si>
    <t>19/01/2025 21:00</t>
  </si>
  <si>
    <t>19/01/2025 22:00</t>
  </si>
  <si>
    <t>19/01/2025 23:00</t>
  </si>
  <si>
    <t>19/01/2025 24:00</t>
  </si>
  <si>
    <t>20/01/2025 01:00</t>
  </si>
  <si>
    <t>20/01/2025 02:00</t>
  </si>
  <si>
    <t>20/01/2025 03:00</t>
  </si>
  <si>
    <t>20/01/2025 04:00</t>
  </si>
  <si>
    <t>20/01/2025 05:00</t>
  </si>
  <si>
    <t>20/01/2025 06:00</t>
  </si>
  <si>
    <t>20/01/2025 07:00</t>
  </si>
  <si>
    <t>20/01/2025 08:00</t>
  </si>
  <si>
    <t>20/01/2025 09:00</t>
  </si>
  <si>
    <t>20/01/2025 10:00</t>
  </si>
  <si>
    <t>20/01/2025 11:00</t>
  </si>
  <si>
    <t>20/01/2025 12:00</t>
  </si>
  <si>
    <t>20/01/2025 13:00</t>
  </si>
  <si>
    <t>20/01/2025 14:00</t>
  </si>
  <si>
    <t>20/01/2025 15:00</t>
  </si>
  <si>
    <t>20/01/2025 16:00</t>
  </si>
  <si>
    <t>20/01/2025 17:00</t>
  </si>
  <si>
    <t>20/01/2025 18:00</t>
  </si>
  <si>
    <t>20/01/2025 19:00</t>
  </si>
  <si>
    <t>20/01/2025 20:00</t>
  </si>
  <si>
    <t>20/01/2025 21:00</t>
  </si>
  <si>
    <t>20/01/2025 22:00</t>
  </si>
  <si>
    <t>20/01/2025 23:00</t>
  </si>
  <si>
    <t>20/01/2025 24:00</t>
  </si>
  <si>
    <t>21/01/2025 01:00</t>
  </si>
  <si>
    <t>21/01/2025 02:00</t>
  </si>
  <si>
    <t>21/01/2025 03:00</t>
  </si>
  <si>
    <t>21/01/2025 04:00</t>
  </si>
  <si>
    <t>21/01/2025 05:00</t>
  </si>
  <si>
    <t>21/01/2025 06:00</t>
  </si>
  <si>
    <t>21/01/2025 07:00</t>
  </si>
  <si>
    <t>21/01/2025 08:00</t>
  </si>
  <si>
    <t>21/01/2025 09:00</t>
  </si>
  <si>
    <t>21/01/2025 10:00</t>
  </si>
  <si>
    <t>21/01/2025 11:00</t>
  </si>
  <si>
    <t>21/01/2025 12:00</t>
  </si>
  <si>
    <t>21/01/2025 13:00</t>
  </si>
  <si>
    <t>21/01/2025 14:00</t>
  </si>
  <si>
    <t>21/01/2025 15:00</t>
  </si>
  <si>
    <t>21/01/2025 16:00</t>
  </si>
  <si>
    <t>21/01/2025 17:00</t>
  </si>
  <si>
    <t>21/01/2025 18:00</t>
  </si>
  <si>
    <t>21/01/2025 19:00</t>
  </si>
  <si>
    <t>21/01/2025 20:00</t>
  </si>
  <si>
    <t>21/01/2025 21:00</t>
  </si>
  <si>
    <t>21/01/2025 22:00</t>
  </si>
  <si>
    <t>21/01/2025 23:00</t>
  </si>
  <si>
    <t>21/01/2025 24:00</t>
  </si>
  <si>
    <t>22/01/2025 01:00</t>
  </si>
  <si>
    <t>22/01/2025 02:00</t>
  </si>
  <si>
    <t>22/01/2025 03:00</t>
  </si>
  <si>
    <t>22/01/2025 04:00</t>
  </si>
  <si>
    <t>22/01/2025 05:00</t>
  </si>
  <si>
    <t>22/01/2025 06:00</t>
  </si>
  <si>
    <t>22/01/2025 07:00</t>
  </si>
  <si>
    <t>22/01/2025 08:00</t>
  </si>
  <si>
    <t>22/01/2025 09:00</t>
  </si>
  <si>
    <t>22/01/2025 10:00</t>
  </si>
  <si>
    <t>22/01/2025 11:00</t>
  </si>
  <si>
    <t>22/01/2025 12:00</t>
  </si>
  <si>
    <t>22/01/2025 13:00</t>
  </si>
  <si>
    <t>22/01/2025 14:00</t>
  </si>
  <si>
    <t>22/01/2025 15:00</t>
  </si>
  <si>
    <t>22/01/2025 16:00</t>
  </si>
  <si>
    <t>22/01/2025 17:00</t>
  </si>
  <si>
    <t>22/01/2025 18:00</t>
  </si>
  <si>
    <t>22/01/2025 19:00</t>
  </si>
  <si>
    <t>22/01/2025 20:00</t>
  </si>
  <si>
    <t>22/01/2025 21:00</t>
  </si>
  <si>
    <t>22/01/2025 22:00</t>
  </si>
  <si>
    <t>22/01/2025 23:00</t>
  </si>
  <si>
    <t>22/01/2025 24:00</t>
  </si>
  <si>
    <t>23/01/2025 01:00</t>
  </si>
  <si>
    <t>23/01/2025 02:00</t>
  </si>
  <si>
    <t>23/01/2025 03:00</t>
  </si>
  <si>
    <t>23/01/2025 04:00</t>
  </si>
  <si>
    <t>23/01/2025 05:00</t>
  </si>
  <si>
    <t>23/01/2025 06:00</t>
  </si>
  <si>
    <t>23/01/2025 07:00</t>
  </si>
  <si>
    <t>23/01/2025 08:00</t>
  </si>
  <si>
    <t>23/01/2025 09:00</t>
  </si>
  <si>
    <t>23/01/2025 10:00</t>
  </si>
  <si>
    <t>23/01/2025 11:00</t>
  </si>
  <si>
    <t>23/01/2025 12:00</t>
  </si>
  <si>
    <t>23/01/2025 13:00</t>
  </si>
  <si>
    <t>23/01/2025 14:00</t>
  </si>
  <si>
    <t>23/01/2025 15:00</t>
  </si>
  <si>
    <t>23/01/2025 16:00</t>
  </si>
  <si>
    <t>23/01/2025 17:00</t>
  </si>
  <si>
    <t>23/01/2025 18:00</t>
  </si>
  <si>
    <t>23/01/2025 19:00</t>
  </si>
  <si>
    <t>23/01/2025 20:00</t>
  </si>
  <si>
    <t>23/01/2025 21:00</t>
  </si>
  <si>
    <t>23/01/2025 22:00</t>
  </si>
  <si>
    <t>23/01/2025 23:00</t>
  </si>
  <si>
    <t>23/01/2025 24:00</t>
  </si>
  <si>
    <t>24/01/2025 01:00</t>
  </si>
  <si>
    <t>24/01/2025 02:00</t>
  </si>
  <si>
    <t>24/01/2025 03:00</t>
  </si>
  <si>
    <t>24/01/2025 04:00</t>
  </si>
  <si>
    <t>24/01/2025 05:00</t>
  </si>
  <si>
    <t>24/01/2025 06:00</t>
  </si>
  <si>
    <t>24/01/2025 07:00</t>
  </si>
  <si>
    <t>24/01/2025 08:00</t>
  </si>
  <si>
    <t>24/01/2025 09:00</t>
  </si>
  <si>
    <t>24/01/2025 10:00</t>
  </si>
  <si>
    <t>24/01/2025 11:00</t>
  </si>
  <si>
    <t>24/01/2025 12:00</t>
  </si>
  <si>
    <t>24/01/2025 13:00</t>
  </si>
  <si>
    <t>24/01/2025 14:00</t>
  </si>
  <si>
    <t>24/01/2025 15:00</t>
  </si>
  <si>
    <t>24/01/2025 16:00</t>
  </si>
  <si>
    <t>24/01/2025 17:00</t>
  </si>
  <si>
    <t>24/01/2025 18:00</t>
  </si>
  <si>
    <t>24/01/2025 19:00</t>
  </si>
  <si>
    <t>24/01/2025 20:00</t>
  </si>
  <si>
    <t>24/01/2025 21:00</t>
  </si>
  <si>
    <t>24/01/2025 22:00</t>
  </si>
  <si>
    <t>24/01/2025 23:00</t>
  </si>
  <si>
    <t>24/01/2025 24:00</t>
  </si>
  <si>
    <t>25/01/2025 01:00</t>
  </si>
  <si>
    <t>25/01/2025 02:00</t>
  </si>
  <si>
    <t>25/01/2025 03:00</t>
  </si>
  <si>
    <t>25/01/2025 04:00</t>
  </si>
  <si>
    <t>25/01/2025 05:00</t>
  </si>
  <si>
    <t>25/01/2025 06:00</t>
  </si>
  <si>
    <t>25/01/2025 07:00</t>
  </si>
  <si>
    <t>25/01/2025 08:00</t>
  </si>
  <si>
    <t>25/01/2025 09:00</t>
  </si>
  <si>
    <t>25/01/2025 10:00</t>
  </si>
  <si>
    <t>25/01/2025 11:00</t>
  </si>
  <si>
    <t>25/01/2025 12:00</t>
  </si>
  <si>
    <t>25/01/2025 13:00</t>
  </si>
  <si>
    <t>25/01/2025 14:00</t>
  </si>
  <si>
    <t>25/01/2025 15:00</t>
  </si>
  <si>
    <t>25/01/2025 16:00</t>
  </si>
  <si>
    <t>25/01/2025 17:00</t>
  </si>
  <si>
    <t>25/01/2025 18:00</t>
  </si>
  <si>
    <t>25/01/2025 19:00</t>
  </si>
  <si>
    <t>25/01/2025 20:00</t>
  </si>
  <si>
    <t>25/01/2025 21:00</t>
  </si>
  <si>
    <t>25/01/2025 22:00</t>
  </si>
  <si>
    <t>25/01/2025 23:00</t>
  </si>
  <si>
    <t>25/01/2025 24:00</t>
  </si>
  <si>
    <t>26/01/2025 01:00</t>
  </si>
  <si>
    <t>26/01/2025 02:00</t>
  </si>
  <si>
    <t>26/01/2025 03:00</t>
  </si>
  <si>
    <t>26/01/2025 04:00</t>
  </si>
  <si>
    <t>26/01/2025 05:00</t>
  </si>
  <si>
    <t>26/01/2025 06:00</t>
  </si>
  <si>
    <t>26/01/2025 07:00</t>
  </si>
  <si>
    <t>26/01/2025 08:00</t>
  </si>
  <si>
    <t>26/01/2025 09:00</t>
  </si>
  <si>
    <t>26/01/2025 10:00</t>
  </si>
  <si>
    <t>26/01/2025 11:00</t>
  </si>
  <si>
    <t>26/01/2025 12:00</t>
  </si>
  <si>
    <t>26/01/2025 13:00</t>
  </si>
  <si>
    <t>26/01/2025 14:00</t>
  </si>
  <si>
    <t>26/01/2025 15:00</t>
  </si>
  <si>
    <t>26/01/2025 16:00</t>
  </si>
  <si>
    <t>26/01/2025 17:00</t>
  </si>
  <si>
    <t>26/01/2025 18:00</t>
  </si>
  <si>
    <t>26/01/2025 19:00</t>
  </si>
  <si>
    <t>26/01/2025 20:00</t>
  </si>
  <si>
    <t>26/01/2025 21:00</t>
  </si>
  <si>
    <t>26/01/2025 22:00</t>
  </si>
  <si>
    <t>26/01/2025 23:00</t>
  </si>
  <si>
    <t>26/01/2025 24:00</t>
  </si>
  <si>
    <t>27/01/2025 01:00</t>
  </si>
  <si>
    <t>27/01/2025 02:00</t>
  </si>
  <si>
    <t>27/01/2025 03:00</t>
  </si>
  <si>
    <t>27/01/2025 04:00</t>
  </si>
  <si>
    <t>27/01/2025 05:00</t>
  </si>
  <si>
    <t>27/01/2025 06:00</t>
  </si>
  <si>
    <t>27/01/2025 07:00</t>
  </si>
  <si>
    <t>27/01/2025 08:00</t>
  </si>
  <si>
    <t>27/01/2025 09:00</t>
  </si>
  <si>
    <t>27/01/2025 10:00</t>
  </si>
  <si>
    <t>27/01/2025 11:00</t>
  </si>
  <si>
    <t>27/01/2025 12:00</t>
  </si>
  <si>
    <t>27/01/2025 13:00</t>
  </si>
  <si>
    <t>27/01/2025 14:00</t>
  </si>
  <si>
    <t>27/01/2025 15:00</t>
  </si>
  <si>
    <t>27/01/2025 16:00</t>
  </si>
  <si>
    <t>27/01/2025 17:00</t>
  </si>
  <si>
    <t>27/01/2025 18:00</t>
  </si>
  <si>
    <t>27/01/2025 19:00</t>
  </si>
  <si>
    <t>27/01/2025 20:00</t>
  </si>
  <si>
    <t>27/01/2025 21:00</t>
  </si>
  <si>
    <t>27/01/2025 22:00</t>
  </si>
  <si>
    <t>27/01/2025 23:00</t>
  </si>
  <si>
    <t>27/01/2025 24:00</t>
  </si>
  <si>
    <t>28/01/2025 01:00</t>
  </si>
  <si>
    <t>28/01/2025 02:00</t>
  </si>
  <si>
    <t>28/01/2025 03:00</t>
  </si>
  <si>
    <t>28/01/2025 04:00</t>
  </si>
  <si>
    <t>28/01/2025 05:00</t>
  </si>
  <si>
    <t>28/01/2025 06:00</t>
  </si>
  <si>
    <t>28/01/2025 07:00</t>
  </si>
  <si>
    <t>28/01/2025 08:00</t>
  </si>
  <si>
    <t>28/01/2025 09:00</t>
  </si>
  <si>
    <t>28/01/2025 10:00</t>
  </si>
  <si>
    <t>28/01/2025 11:00</t>
  </si>
  <si>
    <t>28/01/2025 12:00</t>
  </si>
  <si>
    <t>28/01/2025 13:00</t>
  </si>
  <si>
    <t>28/01/2025 14:00</t>
  </si>
  <si>
    <t>28/01/2025 15:00</t>
  </si>
  <si>
    <t>28/01/2025 16:00</t>
  </si>
  <si>
    <t>28/01/2025 17:00</t>
  </si>
  <si>
    <t>28/01/2025 18:00</t>
  </si>
  <si>
    <t>28/01/2025 19:00</t>
  </si>
  <si>
    <t>28/01/2025 20:00</t>
  </si>
  <si>
    <t>28/01/2025 21:00</t>
  </si>
  <si>
    <t>28/01/2025 22:00</t>
  </si>
  <si>
    <t>28/01/2025 23:00</t>
  </si>
  <si>
    <t>28/01/2025 24:00</t>
  </si>
  <si>
    <t>29/01/2025 01:00</t>
  </si>
  <si>
    <t>29/01/2025 02:00</t>
  </si>
  <si>
    <t>29/01/2025 03:00</t>
  </si>
  <si>
    <t>29/01/2025 04:00</t>
  </si>
  <si>
    <t>29/01/2025 05:00</t>
  </si>
  <si>
    <t>29/01/2025 06:00</t>
  </si>
  <si>
    <t>29/01/2025 07:00</t>
  </si>
  <si>
    <t>29/01/2025 08:00</t>
  </si>
  <si>
    <t>29/01/2025 09:00</t>
  </si>
  <si>
    <t>29/01/2025 10:00</t>
  </si>
  <si>
    <t>29/01/2025 11:00</t>
  </si>
  <si>
    <t>29/01/2025 12:00</t>
  </si>
  <si>
    <t>29/01/2025 13:00</t>
  </si>
  <si>
    <t>29/01/2025 14:00</t>
  </si>
  <si>
    <t>29/01/2025 15:00</t>
  </si>
  <si>
    <t>29/01/2025 16:00</t>
  </si>
  <si>
    <t>29/01/2025 17:00</t>
  </si>
  <si>
    <t>29/01/2025 18:00</t>
  </si>
  <si>
    <t>29/01/2025 19:00</t>
  </si>
  <si>
    <t>29/01/2025 20:00</t>
  </si>
  <si>
    <t>29/01/2025 21:00</t>
  </si>
  <si>
    <t>29/01/2025 22:00</t>
  </si>
  <si>
    <t>29/01/2025 23:00</t>
  </si>
  <si>
    <t>29/01/2025 24:00</t>
  </si>
  <si>
    <t>30/01/2025 01:00</t>
  </si>
  <si>
    <t>30/01/2025 02:00</t>
  </si>
  <si>
    <t>30/01/2025 03:00</t>
  </si>
  <si>
    <t>30/01/2025 04:00</t>
  </si>
  <si>
    <t>30/01/2025 05:00</t>
  </si>
  <si>
    <t>30/01/2025 06:00</t>
  </si>
  <si>
    <t>30/01/2025 07:00</t>
  </si>
  <si>
    <t>30/01/2025 08:00</t>
  </si>
  <si>
    <t>30/01/2025 09:00</t>
  </si>
  <si>
    <t>30/01/2025 10:00</t>
  </si>
  <si>
    <t>30/01/2025 11:00</t>
  </si>
  <si>
    <t>30/01/2025 12:00</t>
  </si>
  <si>
    <t>30/01/2025 13:00</t>
  </si>
  <si>
    <t>30/01/2025 14:00</t>
  </si>
  <si>
    <t>30/01/2025 15:00</t>
  </si>
  <si>
    <t>30/01/2025 16:00</t>
  </si>
  <si>
    <t>30/01/2025 17:00</t>
  </si>
  <si>
    <t>30/01/2025 18:00</t>
  </si>
  <si>
    <t>30/01/2025 19:00</t>
  </si>
  <si>
    <t>30/01/2025 20:00</t>
  </si>
  <si>
    <t>30/01/2025 21:00</t>
  </si>
  <si>
    <t>30/01/2025 22:00</t>
  </si>
  <si>
    <t>30/01/2025 23:00</t>
  </si>
  <si>
    <t>30/01/2025 24:00</t>
  </si>
  <si>
    <t>31/01/2025 01:00</t>
  </si>
  <si>
    <t>31/01/2025 02:00</t>
  </si>
  <si>
    <t>31/01/2025 03:00</t>
  </si>
  <si>
    <t>31/01/2025 04:00</t>
  </si>
  <si>
    <t>31/01/2025 05:00</t>
  </si>
  <si>
    <t>31/01/2025 06:00</t>
  </si>
  <si>
    <t>31/01/2025 07:00</t>
  </si>
  <si>
    <t>31/01/2025 08:00</t>
  </si>
  <si>
    <t>31/01/2025 09:00</t>
  </si>
  <si>
    <t>31/01/2025 10:00</t>
  </si>
  <si>
    <t>31/01/2025 11:00</t>
  </si>
  <si>
    <t>31/01/2025 12:00</t>
  </si>
  <si>
    <t>31/01/2025 13:00</t>
  </si>
  <si>
    <t>31/01/2025 14:00</t>
  </si>
  <si>
    <t>31/01/2025 15:00</t>
  </si>
  <si>
    <t>31/01/2025 16:00</t>
  </si>
  <si>
    <t>31/01/2025 17:00</t>
  </si>
  <si>
    <t>31/01/2025 18:00</t>
  </si>
  <si>
    <t>31/01/2025 19:00</t>
  </si>
  <si>
    <t>31/01/2025 20:00</t>
  </si>
  <si>
    <t>31/01/2025 21:00</t>
  </si>
  <si>
    <t>31/01/2025 22:00</t>
  </si>
  <si>
    <t>31/01/2025 23:00</t>
  </si>
  <si>
    <t>31/01/2025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</si>
</sst>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Arial"/>
      <charset val="134"/>
    </font>
    <font>
      <b/>
      <sz val="9"/>
      <name val="Arial"/>
      <charset val="134"/>
    </font>
    <font>
      <b/>
      <i/>
      <sz val="10"/>
      <name val="Arial"/>
      <charset val="134"/>
    </font>
    <font>
      <b/>
      <sz val="10"/>
      <color theme="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rgb="FFFF0000"/>
      <name val="Arial"/>
      <charset val="134"/>
    </font>
    <font>
      <b/>
      <sz val="10"/>
      <color theme="5" tint="-0.249977111117893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2" fontId="7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7" fillId="0" borderId="0" xfId="0" applyNumberFormat="1" applyFont="1" applyAlignment="1">
      <alignment horizontal="center"/>
    </xf>
    <xf numFmtId="17" fontId="3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8" fillId="0" borderId="0" xfId="0" applyFont="1" applyAlignment="1">
      <alignment vertical="center"/>
    </xf>
    <xf numFmtId="0" fontId="11" fillId="3" borderId="0" xfId="0" applyFont="1" applyFill="1"/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"/>
  <sheetViews>
    <sheetView zoomScale="85" zoomScaleNormal="85" workbookViewId="0">
      <pane xSplit="2" ySplit="8" topLeftCell="C12" activePane="bottomRight" state="frozen"/>
      <selection pane="topRight"/>
      <selection pane="bottomLeft"/>
      <selection pane="bottomRight" activeCell="O27" sqref="O27"/>
    </sheetView>
  </sheetViews>
  <sheetFormatPr defaultColWidth="8.85546875" defaultRowHeight="15"/>
  <cols>
    <col min="1" max="1" width="19.5703125" style="1" customWidth="1"/>
    <col min="2" max="2" width="14.42578125" style="1" customWidth="1"/>
    <col min="3" max="3" width="10.42578125" style="1" customWidth="1"/>
    <col min="4" max="4" width="10.140625" style="1" customWidth="1"/>
    <col min="5" max="5" width="10.28515625" style="1" customWidth="1"/>
    <col min="6" max="6" width="9.85546875" style="1" customWidth="1"/>
    <col min="7" max="7" width="11.28515625" style="1" customWidth="1"/>
    <col min="8" max="8" width="12" style="1" customWidth="1"/>
    <col min="9" max="9" width="11.5703125" style="1" customWidth="1"/>
    <col min="10" max="10" width="10.5703125" style="1" customWidth="1"/>
    <col min="11" max="11" width="10" style="1" customWidth="1"/>
    <col min="12" max="12" width="11.140625" style="1" customWidth="1"/>
    <col min="13" max="13" width="11.28515625" style="1" customWidth="1"/>
    <col min="14" max="14" width="9.7109375" style="1" customWidth="1"/>
    <col min="15" max="15" width="10" style="1" customWidth="1"/>
    <col min="16" max="16" width="9.7109375" style="1" customWidth="1"/>
    <col min="17" max="17" width="10.140625" style="1" customWidth="1"/>
    <col min="18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01/01/2025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61</v>
      </c>
      <c r="B9" s="40">
        <v>19.510000000000002</v>
      </c>
      <c r="C9" s="40">
        <v>24.12</v>
      </c>
      <c r="D9" s="40">
        <v>29.6</v>
      </c>
      <c r="E9" s="40">
        <v>9.9700000000000006</v>
      </c>
      <c r="F9" s="27" t="s">
        <v>8</v>
      </c>
      <c r="G9" s="40">
        <v>87.31</v>
      </c>
      <c r="H9" s="40">
        <v>21.41</v>
      </c>
      <c r="I9" s="40">
        <v>11.21</v>
      </c>
      <c r="J9" s="40">
        <v>0.16</v>
      </c>
      <c r="K9" s="40">
        <v>228.46</v>
      </c>
      <c r="L9" s="40">
        <v>16.28</v>
      </c>
      <c r="M9" s="40">
        <v>80.7</v>
      </c>
      <c r="N9" s="40">
        <v>1.3</v>
      </c>
      <c r="O9" s="40">
        <v>0</v>
      </c>
      <c r="P9" s="40">
        <v>0.91</v>
      </c>
      <c r="Q9" s="40">
        <v>13.03</v>
      </c>
      <c r="R9" s="38"/>
      <c r="S9" s="38"/>
      <c r="T9" s="38"/>
      <c r="U9" s="38"/>
    </row>
    <row r="10" spans="1:21" customFormat="1">
      <c r="A10" s="39" t="s">
        <v>62</v>
      </c>
      <c r="B10" s="40">
        <v>16.149999999999999</v>
      </c>
      <c r="C10" s="40">
        <v>22.2</v>
      </c>
      <c r="D10" s="40">
        <v>25.9</v>
      </c>
      <c r="E10" s="40">
        <v>9.48</v>
      </c>
      <c r="F10" s="27" t="s">
        <v>8</v>
      </c>
      <c r="G10" s="40">
        <v>80.09</v>
      </c>
      <c r="H10" s="40">
        <v>22.86</v>
      </c>
      <c r="I10" s="40">
        <v>10.73</v>
      </c>
      <c r="J10" s="40">
        <v>0.17</v>
      </c>
      <c r="K10" s="40">
        <v>212.13</v>
      </c>
      <c r="L10" s="40">
        <v>15.81</v>
      </c>
      <c r="M10" s="40">
        <v>84.25</v>
      </c>
      <c r="N10" s="40">
        <v>1.4</v>
      </c>
      <c r="O10" s="40">
        <v>0</v>
      </c>
      <c r="P10" s="40">
        <v>0.82</v>
      </c>
      <c r="Q10" s="40">
        <v>13</v>
      </c>
      <c r="R10" s="38"/>
      <c r="S10" s="38"/>
      <c r="T10" s="38"/>
      <c r="U10" s="38"/>
    </row>
    <row r="11" spans="1:21" customFormat="1">
      <c r="A11" s="39" t="s">
        <v>63</v>
      </c>
      <c r="B11" s="40">
        <v>13.85</v>
      </c>
      <c r="C11" s="40">
        <v>21.26</v>
      </c>
      <c r="D11" s="40">
        <v>23.57</v>
      </c>
      <c r="E11" s="40">
        <v>8.6</v>
      </c>
      <c r="F11" s="27" t="s">
        <v>8</v>
      </c>
      <c r="G11" s="40">
        <v>75.19</v>
      </c>
      <c r="H11" s="40">
        <v>26.16</v>
      </c>
      <c r="I11" s="40">
        <v>10.58</v>
      </c>
      <c r="J11" s="40">
        <v>0.16</v>
      </c>
      <c r="K11" s="40">
        <v>192.45</v>
      </c>
      <c r="L11" s="40">
        <v>15.21</v>
      </c>
      <c r="M11" s="40">
        <v>87.67</v>
      </c>
      <c r="N11" s="40">
        <v>1.3</v>
      </c>
      <c r="O11" s="40">
        <v>0</v>
      </c>
      <c r="P11" s="40">
        <v>0.81</v>
      </c>
      <c r="Q11" s="40">
        <v>13</v>
      </c>
      <c r="R11" s="38"/>
      <c r="S11" s="38"/>
      <c r="T11" s="38"/>
      <c r="U11" s="38"/>
    </row>
    <row r="12" spans="1:21" customFormat="1">
      <c r="A12" s="39" t="s">
        <v>64</v>
      </c>
      <c r="B12" s="40">
        <v>12.96</v>
      </c>
      <c r="C12" s="40">
        <v>20.5</v>
      </c>
      <c r="D12" s="40">
        <v>22.46</v>
      </c>
      <c r="E12" s="40">
        <v>8.2200000000000006</v>
      </c>
      <c r="F12" s="27" t="s">
        <v>8</v>
      </c>
      <c r="G12" s="40">
        <v>75.36</v>
      </c>
      <c r="H12" s="40">
        <v>26.36</v>
      </c>
      <c r="I12" s="40">
        <v>10.57</v>
      </c>
      <c r="J12" s="40">
        <v>0.14000000000000001</v>
      </c>
      <c r="K12" s="40">
        <v>184.67</v>
      </c>
      <c r="L12" s="40">
        <v>14.74</v>
      </c>
      <c r="M12" s="40">
        <v>88.88</v>
      </c>
      <c r="N12" s="40">
        <v>1.3</v>
      </c>
      <c r="O12" s="40">
        <v>0</v>
      </c>
      <c r="P12" s="40">
        <v>0.81</v>
      </c>
      <c r="Q12" s="40">
        <v>13</v>
      </c>
      <c r="R12" s="38"/>
      <c r="S12" s="38"/>
      <c r="T12" s="38"/>
      <c r="U12" s="38"/>
    </row>
    <row r="13" spans="1:21" customFormat="1">
      <c r="A13" s="39" t="s">
        <v>65</v>
      </c>
      <c r="B13" s="40">
        <v>11.71</v>
      </c>
      <c r="C13" s="40">
        <v>20.38</v>
      </c>
      <c r="D13" s="40">
        <v>21.13</v>
      </c>
      <c r="E13" s="40">
        <v>7.84</v>
      </c>
      <c r="F13" s="27" t="s">
        <v>8</v>
      </c>
      <c r="G13" s="40">
        <v>73.8</v>
      </c>
      <c r="H13" s="40">
        <v>26.81</v>
      </c>
      <c r="I13" s="40">
        <v>10.49</v>
      </c>
      <c r="J13" s="40">
        <v>0.17</v>
      </c>
      <c r="K13" s="40">
        <v>193.71</v>
      </c>
      <c r="L13" s="40">
        <v>14.36</v>
      </c>
      <c r="M13" s="40">
        <v>84.63</v>
      </c>
      <c r="N13" s="40">
        <v>1.3</v>
      </c>
      <c r="O13" s="40">
        <v>0</v>
      </c>
      <c r="P13" s="40">
        <v>0.77</v>
      </c>
      <c r="Q13" s="40">
        <v>13</v>
      </c>
      <c r="R13" s="38"/>
      <c r="S13" s="38"/>
      <c r="T13" s="38"/>
      <c r="U13" s="38"/>
    </row>
    <row r="14" spans="1:21" customFormat="1">
      <c r="A14" s="39" t="s">
        <v>66</v>
      </c>
      <c r="B14" s="40">
        <v>11.22</v>
      </c>
      <c r="C14" s="40">
        <v>20.350000000000001</v>
      </c>
      <c r="D14" s="40">
        <v>20.99</v>
      </c>
      <c r="E14" s="40">
        <v>8.0500000000000007</v>
      </c>
      <c r="F14" s="27" t="s">
        <v>8</v>
      </c>
      <c r="G14" s="40">
        <v>65.2</v>
      </c>
      <c r="H14" s="40">
        <v>23.2</v>
      </c>
      <c r="I14" s="40">
        <v>10.32</v>
      </c>
      <c r="J14" s="40">
        <v>0.15</v>
      </c>
      <c r="K14" s="40">
        <v>214.45</v>
      </c>
      <c r="L14" s="40">
        <v>13.97</v>
      </c>
      <c r="M14" s="40">
        <v>91.91</v>
      </c>
      <c r="N14" s="40">
        <v>1.2</v>
      </c>
      <c r="O14" s="40">
        <v>0</v>
      </c>
      <c r="P14" s="40">
        <v>0.76</v>
      </c>
      <c r="Q14" s="40">
        <v>12.98</v>
      </c>
      <c r="R14" s="38"/>
      <c r="S14" s="38"/>
      <c r="T14" s="38"/>
      <c r="U14" s="38"/>
    </row>
    <row r="15" spans="1:21" customFormat="1">
      <c r="A15" s="39" t="s">
        <v>67</v>
      </c>
      <c r="B15" s="40">
        <v>11.38</v>
      </c>
      <c r="C15" s="40">
        <v>20.82</v>
      </c>
      <c r="D15" s="40">
        <v>21.36</v>
      </c>
      <c r="E15" s="40">
        <v>7.61</v>
      </c>
      <c r="F15" s="27" t="s">
        <v>8</v>
      </c>
      <c r="G15" s="40">
        <v>59.3</v>
      </c>
      <c r="H15" s="40">
        <v>21.85</v>
      </c>
      <c r="I15" s="40">
        <v>9.9600000000000009</v>
      </c>
      <c r="J15" s="40">
        <v>0.2</v>
      </c>
      <c r="K15" s="40">
        <v>191.93</v>
      </c>
      <c r="L15" s="40">
        <v>13.3</v>
      </c>
      <c r="M15" s="40">
        <v>90.7</v>
      </c>
      <c r="N15" s="40">
        <v>13.6</v>
      </c>
      <c r="O15" s="40">
        <v>0</v>
      </c>
      <c r="P15" s="40">
        <v>0.75</v>
      </c>
      <c r="Q15" s="40">
        <v>13</v>
      </c>
      <c r="R15" s="38"/>
      <c r="S15" s="38"/>
      <c r="T15" s="38"/>
      <c r="U15" s="38"/>
    </row>
    <row r="16" spans="1:21" customFormat="1">
      <c r="A16" s="39" t="s">
        <v>68</v>
      </c>
      <c r="B16" s="40">
        <v>13.28</v>
      </c>
      <c r="C16" s="40">
        <v>21.41</v>
      </c>
      <c r="D16" s="40">
        <v>23.17</v>
      </c>
      <c r="E16" s="40">
        <v>7.67</v>
      </c>
      <c r="F16" s="27" t="s">
        <v>8</v>
      </c>
      <c r="G16" s="40">
        <v>57.44</v>
      </c>
      <c r="H16" s="40">
        <v>22.48</v>
      </c>
      <c r="I16" s="40">
        <v>9.89</v>
      </c>
      <c r="J16" s="40">
        <v>0.55000000000000004</v>
      </c>
      <c r="K16" s="40">
        <v>82.37</v>
      </c>
      <c r="L16" s="40">
        <v>15.35</v>
      </c>
      <c r="M16" s="40">
        <v>82.83</v>
      </c>
      <c r="N16" s="40">
        <v>72.099999999999994</v>
      </c>
      <c r="O16" s="40">
        <v>0</v>
      </c>
      <c r="P16" s="40">
        <v>0.76</v>
      </c>
      <c r="Q16" s="40">
        <v>13</v>
      </c>
      <c r="R16" s="38"/>
      <c r="S16" s="38"/>
      <c r="T16" s="38"/>
      <c r="U16" s="38"/>
    </row>
    <row r="17" spans="1:21" customFormat="1">
      <c r="A17" s="39" t="s">
        <v>69</v>
      </c>
      <c r="B17" s="40">
        <v>12.67</v>
      </c>
      <c r="C17" s="40">
        <v>21.68</v>
      </c>
      <c r="D17" s="40">
        <v>22.63</v>
      </c>
      <c r="E17" s="40">
        <v>7.5</v>
      </c>
      <c r="F17" s="27" t="s">
        <v>8</v>
      </c>
      <c r="G17" s="40">
        <v>60.8</v>
      </c>
      <c r="H17" s="40">
        <v>20.48</v>
      </c>
      <c r="I17" s="40">
        <v>9.9700000000000006</v>
      </c>
      <c r="J17" s="40">
        <v>1.04</v>
      </c>
      <c r="K17" s="40">
        <v>65.72</v>
      </c>
      <c r="L17" s="40">
        <v>17.989999999999998</v>
      </c>
      <c r="M17" s="40">
        <v>74.23</v>
      </c>
      <c r="N17" s="40">
        <v>242.6</v>
      </c>
      <c r="O17" s="40">
        <v>0</v>
      </c>
      <c r="P17" s="40">
        <v>0.74</v>
      </c>
      <c r="Q17" s="40">
        <v>12.99</v>
      </c>
      <c r="R17" s="38"/>
      <c r="S17" s="38"/>
      <c r="T17" s="38"/>
      <c r="U17" s="38"/>
    </row>
    <row r="18" spans="1:21" customFormat="1">
      <c r="A18" s="39" t="s">
        <v>70</v>
      </c>
      <c r="B18" s="40">
        <v>13.43</v>
      </c>
      <c r="C18" s="40">
        <v>22.45</v>
      </c>
      <c r="D18" s="40">
        <v>23.85</v>
      </c>
      <c r="E18" s="40">
        <v>7.67</v>
      </c>
      <c r="F18" s="27" t="s">
        <v>8</v>
      </c>
      <c r="G18" s="40">
        <v>63.62</v>
      </c>
      <c r="H18" s="40">
        <v>21.74</v>
      </c>
      <c r="I18" s="40">
        <v>9.86</v>
      </c>
      <c r="J18" s="40">
        <v>1.21</v>
      </c>
      <c r="K18" s="40">
        <v>52.34</v>
      </c>
      <c r="L18" s="40">
        <v>20.78</v>
      </c>
      <c r="M18" s="40">
        <v>61.92</v>
      </c>
      <c r="N18" s="40">
        <v>268</v>
      </c>
      <c r="O18" s="40">
        <v>0</v>
      </c>
      <c r="P18" s="40">
        <v>0.74</v>
      </c>
      <c r="Q18" s="40">
        <v>13</v>
      </c>
      <c r="R18" s="38"/>
      <c r="S18" s="38"/>
      <c r="T18" s="38"/>
      <c r="U18" s="38"/>
    </row>
    <row r="19" spans="1:21" customFormat="1">
      <c r="A19" s="39" t="s">
        <v>71</v>
      </c>
      <c r="B19" s="40">
        <v>14.34</v>
      </c>
      <c r="C19" s="40">
        <v>24.48</v>
      </c>
      <c r="D19" s="40">
        <v>25.39</v>
      </c>
      <c r="E19" s="40">
        <v>11.14</v>
      </c>
      <c r="F19" s="27" t="s">
        <v>8</v>
      </c>
      <c r="G19" s="40">
        <v>65.7</v>
      </c>
      <c r="H19" s="40">
        <v>20.309999999999999</v>
      </c>
      <c r="I19" s="40">
        <v>9.68</v>
      </c>
      <c r="J19" s="40">
        <v>0.98</v>
      </c>
      <c r="K19" s="40">
        <v>359.18</v>
      </c>
      <c r="L19" s="40">
        <v>22.67</v>
      </c>
      <c r="M19" s="40">
        <v>50.64</v>
      </c>
      <c r="N19" s="40">
        <v>468.8</v>
      </c>
      <c r="O19" s="40">
        <v>0</v>
      </c>
      <c r="P19" s="40">
        <v>0.72</v>
      </c>
      <c r="Q19" s="40">
        <v>13.01</v>
      </c>
      <c r="R19" s="38"/>
      <c r="S19" s="38"/>
      <c r="T19" s="38"/>
      <c r="U19" s="38"/>
    </row>
    <row r="20" spans="1:21" customFormat="1">
      <c r="A20" s="39" t="s">
        <v>72</v>
      </c>
      <c r="B20" s="40">
        <v>13.04</v>
      </c>
      <c r="C20" s="40">
        <v>24.85</v>
      </c>
      <c r="D20" s="40">
        <v>24.73</v>
      </c>
      <c r="E20" s="40">
        <v>11.1</v>
      </c>
      <c r="F20" s="27" t="s">
        <v>8</v>
      </c>
      <c r="G20" s="40">
        <v>64.41</v>
      </c>
      <c r="H20" s="40">
        <v>19.61</v>
      </c>
      <c r="I20" s="40">
        <v>9.3000000000000007</v>
      </c>
      <c r="J20" s="40">
        <v>0.68</v>
      </c>
      <c r="K20" s="40">
        <v>111.13</v>
      </c>
      <c r="L20" s="40">
        <v>24.23</v>
      </c>
      <c r="M20" s="40">
        <v>42.24</v>
      </c>
      <c r="N20" s="40">
        <v>525.9</v>
      </c>
      <c r="O20" s="40">
        <v>0</v>
      </c>
      <c r="P20" s="40">
        <v>0.66</v>
      </c>
      <c r="Q20" s="40">
        <v>13.02</v>
      </c>
      <c r="R20" s="38"/>
      <c r="S20" s="38"/>
      <c r="T20" s="38"/>
      <c r="U20" s="38"/>
    </row>
    <row r="21" spans="1:21" customFormat="1">
      <c r="A21" s="39" t="s">
        <v>73</v>
      </c>
      <c r="B21" s="40">
        <v>7.39</v>
      </c>
      <c r="C21" s="40">
        <v>24.51</v>
      </c>
      <c r="D21" s="40">
        <v>20.079999999999998</v>
      </c>
      <c r="E21" s="40">
        <v>11.16</v>
      </c>
      <c r="F21" s="27" t="s">
        <v>8</v>
      </c>
      <c r="G21" s="40">
        <v>57.3</v>
      </c>
      <c r="H21" s="40">
        <v>18.73</v>
      </c>
      <c r="I21" s="40">
        <v>8.5299999999999994</v>
      </c>
      <c r="J21" s="40">
        <v>0.55000000000000004</v>
      </c>
      <c r="K21" s="40">
        <v>57.75</v>
      </c>
      <c r="L21" s="40">
        <v>26.15</v>
      </c>
      <c r="M21" s="40">
        <v>33.799999999999997</v>
      </c>
      <c r="N21" s="40">
        <v>492.5</v>
      </c>
      <c r="O21" s="40">
        <v>0</v>
      </c>
      <c r="P21" s="40">
        <v>0.6</v>
      </c>
      <c r="Q21" s="40">
        <v>13.01</v>
      </c>
      <c r="R21" s="38"/>
      <c r="S21" s="38"/>
      <c r="T21" s="38"/>
      <c r="U21" s="38"/>
    </row>
    <row r="22" spans="1:21" customFormat="1">
      <c r="A22" s="39" t="s">
        <v>74</v>
      </c>
      <c r="B22" s="40">
        <v>4.74</v>
      </c>
      <c r="C22" s="40">
        <v>23.29</v>
      </c>
      <c r="D22" s="40">
        <v>17.32</v>
      </c>
      <c r="E22" s="40">
        <v>11.51</v>
      </c>
      <c r="F22" s="27" t="s">
        <v>8</v>
      </c>
      <c r="G22" s="40">
        <v>51.97</v>
      </c>
      <c r="H22" s="40">
        <v>18.440000000000001</v>
      </c>
      <c r="I22" s="40">
        <v>7.98</v>
      </c>
      <c r="J22" s="40">
        <v>0.86</v>
      </c>
      <c r="K22" s="40">
        <v>353.12</v>
      </c>
      <c r="L22" s="40">
        <v>26.34</v>
      </c>
      <c r="M22" s="40">
        <v>30.4</v>
      </c>
      <c r="N22" s="40">
        <v>482.2</v>
      </c>
      <c r="O22" s="40">
        <v>0</v>
      </c>
      <c r="P22" s="40">
        <v>0.56000000000000005</v>
      </c>
      <c r="Q22" s="40">
        <v>12.98</v>
      </c>
      <c r="R22" s="38"/>
      <c r="S22" s="38"/>
      <c r="T22" s="38"/>
      <c r="U22" s="38"/>
    </row>
    <row r="23" spans="1:21" customFormat="1">
      <c r="A23" s="39" t="s">
        <v>75</v>
      </c>
      <c r="B23" s="40">
        <v>4.51</v>
      </c>
      <c r="C23" s="40">
        <v>22.52</v>
      </c>
      <c r="D23" s="40">
        <v>16.73</v>
      </c>
      <c r="E23" s="40">
        <v>11.53</v>
      </c>
      <c r="F23" s="27" t="s">
        <v>8</v>
      </c>
      <c r="G23" s="40">
        <v>50.15</v>
      </c>
      <c r="H23" s="40">
        <v>18.420000000000002</v>
      </c>
      <c r="I23" s="40">
        <v>7.47</v>
      </c>
      <c r="J23" s="40">
        <v>0.64</v>
      </c>
      <c r="K23" s="40">
        <v>341.91</v>
      </c>
      <c r="L23" s="40">
        <v>26.01</v>
      </c>
      <c r="M23" s="40">
        <v>28.69</v>
      </c>
      <c r="N23" s="40">
        <v>106.9</v>
      </c>
      <c r="O23" s="40">
        <v>0</v>
      </c>
      <c r="P23" s="40">
        <v>0.53</v>
      </c>
      <c r="Q23" s="40">
        <v>12.99</v>
      </c>
      <c r="R23" s="38"/>
      <c r="S23" s="38"/>
      <c r="T23" s="38"/>
      <c r="U23" s="38"/>
    </row>
    <row r="24" spans="1:21" customFormat="1">
      <c r="A24" s="39" t="s">
        <v>76</v>
      </c>
      <c r="B24" s="40">
        <v>5.0199999999999996</v>
      </c>
      <c r="C24" s="40">
        <v>22.47</v>
      </c>
      <c r="D24" s="40">
        <v>16.690000000000001</v>
      </c>
      <c r="E24" s="40">
        <v>11.87</v>
      </c>
      <c r="F24" s="27" t="s">
        <v>8</v>
      </c>
      <c r="G24" s="40">
        <v>47.4</v>
      </c>
      <c r="H24" s="40">
        <v>13.46</v>
      </c>
      <c r="I24" s="40">
        <v>7.14</v>
      </c>
      <c r="J24" s="40">
        <v>0.69</v>
      </c>
      <c r="K24" s="40">
        <v>40.47</v>
      </c>
      <c r="L24" s="40">
        <v>25.95</v>
      </c>
      <c r="M24" s="40">
        <v>23.36</v>
      </c>
      <c r="N24" s="40">
        <v>48.2</v>
      </c>
      <c r="O24" s="40">
        <v>0</v>
      </c>
      <c r="P24" s="40">
        <v>0.56000000000000005</v>
      </c>
      <c r="Q24" s="40">
        <v>12.98</v>
      </c>
      <c r="R24" s="38"/>
      <c r="S24" s="38"/>
      <c r="T24" s="38"/>
      <c r="U24" s="38"/>
    </row>
    <row r="25" spans="1:21" customFormat="1">
      <c r="A25" s="39" t="s">
        <v>77</v>
      </c>
      <c r="B25" s="40">
        <v>5.91</v>
      </c>
      <c r="C25" s="40">
        <v>20.69</v>
      </c>
      <c r="D25" s="40">
        <v>16.77</v>
      </c>
      <c r="E25" s="40">
        <v>11.49</v>
      </c>
      <c r="F25" s="27" t="s">
        <v>8</v>
      </c>
      <c r="G25" s="40">
        <v>44.92</v>
      </c>
      <c r="H25" s="40">
        <v>14.1</v>
      </c>
      <c r="I25" s="40">
        <v>6.92</v>
      </c>
      <c r="J25" s="40">
        <v>0.56999999999999995</v>
      </c>
      <c r="K25" s="40">
        <v>55.27</v>
      </c>
      <c r="L25" s="40">
        <v>25.56</v>
      </c>
      <c r="M25" s="40">
        <v>28.14</v>
      </c>
      <c r="N25" s="40">
        <v>27</v>
      </c>
      <c r="O25" s="40">
        <v>0</v>
      </c>
      <c r="P25" s="40">
        <v>0.56999999999999995</v>
      </c>
      <c r="Q25" s="40">
        <v>12.98</v>
      </c>
      <c r="R25" s="38"/>
      <c r="S25" s="38"/>
      <c r="T25" s="38"/>
      <c r="U25" s="38"/>
    </row>
    <row r="26" spans="1:21" customFormat="1">
      <c r="A26" s="39" t="s">
        <v>78</v>
      </c>
      <c r="B26" s="40">
        <v>6.76</v>
      </c>
      <c r="C26" s="40">
        <v>21.58</v>
      </c>
      <c r="D26" s="40">
        <v>18.05</v>
      </c>
      <c r="E26" s="40">
        <v>11.14</v>
      </c>
      <c r="F26" s="27" t="s">
        <v>8</v>
      </c>
      <c r="G26" s="40">
        <v>45.7</v>
      </c>
      <c r="H26" s="40">
        <v>13.12</v>
      </c>
      <c r="I26" s="40">
        <v>6.98</v>
      </c>
      <c r="J26" s="40">
        <v>0.37</v>
      </c>
      <c r="K26" s="40">
        <v>163.12</v>
      </c>
      <c r="L26" s="40">
        <v>22.72</v>
      </c>
      <c r="M26" s="40">
        <v>50</v>
      </c>
      <c r="N26" s="40">
        <v>5.2</v>
      </c>
      <c r="O26" s="40">
        <v>0</v>
      </c>
      <c r="P26" s="40">
        <v>0.61</v>
      </c>
      <c r="Q26" s="40">
        <v>12.98</v>
      </c>
      <c r="R26" s="38"/>
      <c r="S26" s="38"/>
      <c r="T26" s="38"/>
      <c r="U26" s="38"/>
    </row>
    <row r="27" spans="1:21" customFormat="1">
      <c r="A27" s="39" t="s">
        <v>79</v>
      </c>
      <c r="B27" s="40">
        <v>8.25</v>
      </c>
      <c r="C27" s="40">
        <v>23.39</v>
      </c>
      <c r="D27" s="40">
        <v>20.190000000000001</v>
      </c>
      <c r="E27" s="40">
        <v>9.41</v>
      </c>
      <c r="F27" s="27" t="s">
        <v>8</v>
      </c>
      <c r="G27" s="40">
        <v>66.650000000000006</v>
      </c>
      <c r="H27" s="40">
        <v>16.78</v>
      </c>
      <c r="I27" s="40">
        <v>7.54</v>
      </c>
      <c r="J27" s="40">
        <v>0.24</v>
      </c>
      <c r="K27" s="40">
        <v>174.51</v>
      </c>
      <c r="L27" s="40">
        <v>19.54</v>
      </c>
      <c r="M27" s="40">
        <v>69.55</v>
      </c>
      <c r="N27" s="40">
        <v>1.7</v>
      </c>
      <c r="O27" s="40">
        <v>0</v>
      </c>
      <c r="P27" s="40">
        <v>0.7</v>
      </c>
      <c r="Q27" s="40">
        <v>12.99</v>
      </c>
      <c r="R27" s="38"/>
      <c r="S27" s="38"/>
      <c r="T27" s="38"/>
      <c r="U27" s="38"/>
    </row>
    <row r="28" spans="1:21" customFormat="1">
      <c r="A28" s="39" t="s">
        <v>80</v>
      </c>
      <c r="B28" s="40">
        <v>10.5</v>
      </c>
      <c r="C28" s="40">
        <v>24.01</v>
      </c>
      <c r="D28" s="40">
        <v>22.31</v>
      </c>
      <c r="E28" s="40">
        <v>9.6199999999999992</v>
      </c>
      <c r="F28" s="27" t="s">
        <v>8</v>
      </c>
      <c r="G28" s="40">
        <v>81.92</v>
      </c>
      <c r="H28" s="40">
        <v>17.54</v>
      </c>
      <c r="I28" s="40">
        <v>8.75</v>
      </c>
      <c r="J28" s="40">
        <v>0.21</v>
      </c>
      <c r="K28" s="40">
        <v>180.26</v>
      </c>
      <c r="L28" s="40">
        <v>17.420000000000002</v>
      </c>
      <c r="M28" s="40">
        <v>73.900000000000006</v>
      </c>
      <c r="N28" s="40">
        <v>1.4</v>
      </c>
      <c r="O28" s="40">
        <v>0</v>
      </c>
      <c r="P28" s="40">
        <v>0.79</v>
      </c>
      <c r="Q28" s="40">
        <v>13</v>
      </c>
      <c r="R28" s="38"/>
      <c r="S28" s="38"/>
      <c r="T28" s="38"/>
      <c r="U28" s="38"/>
    </row>
    <row r="29" spans="1:21" customFormat="1">
      <c r="A29" s="39" t="s">
        <v>81</v>
      </c>
      <c r="B29" s="40">
        <v>10.87</v>
      </c>
      <c r="C29" s="40">
        <v>24.01</v>
      </c>
      <c r="D29" s="40">
        <v>22.61</v>
      </c>
      <c r="E29" s="40">
        <v>9.44</v>
      </c>
      <c r="F29" s="27" t="s">
        <v>8</v>
      </c>
      <c r="G29" s="40">
        <v>84.33</v>
      </c>
      <c r="H29" s="40">
        <v>19.07</v>
      </c>
      <c r="I29" s="40">
        <v>9.84</v>
      </c>
      <c r="J29" s="40">
        <v>0.25</v>
      </c>
      <c r="K29" s="40">
        <v>200.88</v>
      </c>
      <c r="L29" s="40">
        <v>16.670000000000002</v>
      </c>
      <c r="M29" s="40">
        <v>79.55</v>
      </c>
      <c r="N29" s="40">
        <v>1.3</v>
      </c>
      <c r="O29" s="40">
        <v>0</v>
      </c>
      <c r="P29" s="40">
        <v>0.83</v>
      </c>
      <c r="Q29" s="40">
        <v>13.02</v>
      </c>
      <c r="R29" s="38"/>
      <c r="S29" s="38"/>
      <c r="T29" s="38"/>
      <c r="U29" s="38"/>
    </row>
    <row r="30" spans="1:21" customFormat="1">
      <c r="A30" s="39" t="s">
        <v>82</v>
      </c>
      <c r="B30" s="40">
        <v>10.78</v>
      </c>
      <c r="C30" s="40">
        <v>23.43</v>
      </c>
      <c r="D30" s="40">
        <v>22.24</v>
      </c>
      <c r="E30" s="40">
        <v>9.2100000000000009</v>
      </c>
      <c r="F30" s="27" t="s">
        <v>8</v>
      </c>
      <c r="G30" s="40">
        <v>85.93</v>
      </c>
      <c r="H30" s="40">
        <v>20.39</v>
      </c>
      <c r="I30" s="40">
        <v>10.41</v>
      </c>
      <c r="J30" s="40">
        <v>0.22</v>
      </c>
      <c r="K30" s="40">
        <v>198.15</v>
      </c>
      <c r="L30" s="40">
        <v>15.5</v>
      </c>
      <c r="M30" s="40">
        <v>80.88</v>
      </c>
      <c r="N30" s="40">
        <v>1.2</v>
      </c>
      <c r="O30" s="40">
        <v>0</v>
      </c>
      <c r="P30" s="40">
        <v>0.87</v>
      </c>
      <c r="Q30" s="40">
        <v>13</v>
      </c>
      <c r="R30" s="38"/>
      <c r="S30" s="38"/>
      <c r="T30" s="38"/>
      <c r="U30" s="38"/>
    </row>
    <row r="31" spans="1:21" customFormat="1">
      <c r="A31" s="39" t="s">
        <v>83</v>
      </c>
      <c r="B31" s="40">
        <v>10.55</v>
      </c>
      <c r="C31" s="40">
        <v>22.38</v>
      </c>
      <c r="D31" s="40">
        <v>21.45</v>
      </c>
      <c r="E31" s="40">
        <v>9.06</v>
      </c>
      <c r="F31" s="27" t="s">
        <v>8</v>
      </c>
      <c r="G31" s="40">
        <v>83.53</v>
      </c>
      <c r="H31" s="40">
        <v>19.64</v>
      </c>
      <c r="I31" s="40">
        <v>10.64</v>
      </c>
      <c r="J31" s="40">
        <v>0.22</v>
      </c>
      <c r="K31" s="40">
        <v>212.38</v>
      </c>
      <c r="L31" s="40">
        <v>15.11</v>
      </c>
      <c r="M31" s="40">
        <v>82.86</v>
      </c>
      <c r="N31" s="40">
        <v>1.3</v>
      </c>
      <c r="O31" s="40">
        <v>0</v>
      </c>
      <c r="P31" s="40">
        <v>0.88</v>
      </c>
      <c r="Q31" s="40">
        <v>13</v>
      </c>
      <c r="R31" s="38"/>
      <c r="S31" s="38"/>
      <c r="T31" s="38"/>
      <c r="U31" s="38"/>
    </row>
    <row r="32" spans="1:21" customFormat="1">
      <c r="A32" s="39" t="s">
        <v>84</v>
      </c>
      <c r="B32" s="40">
        <v>12.31</v>
      </c>
      <c r="C32" s="40">
        <v>21.83</v>
      </c>
      <c r="D32" s="40">
        <v>22.43</v>
      </c>
      <c r="E32" s="40">
        <v>9.34</v>
      </c>
      <c r="F32" s="27" t="s">
        <v>8</v>
      </c>
      <c r="G32" s="40">
        <v>81.06</v>
      </c>
      <c r="H32" s="40">
        <v>25.8</v>
      </c>
      <c r="I32" s="40">
        <v>10.97</v>
      </c>
      <c r="J32" s="40">
        <v>0.21</v>
      </c>
      <c r="K32" s="40">
        <v>215.01</v>
      </c>
      <c r="L32" s="40">
        <v>14.54</v>
      </c>
      <c r="M32" s="40">
        <v>87.42</v>
      </c>
      <c r="N32" s="40">
        <v>1.3</v>
      </c>
      <c r="O32" s="40">
        <v>0</v>
      </c>
      <c r="P32" s="40">
        <v>0.92</v>
      </c>
      <c r="Q32" s="40">
        <v>13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4.51</v>
      </c>
      <c r="C34" s="18">
        <f t="shared" si="0"/>
        <v>20.350000000000001</v>
      </c>
      <c r="D34" s="18">
        <f t="shared" si="0"/>
        <v>16.690000000000001</v>
      </c>
      <c r="E34" s="18">
        <f t="shared" si="0"/>
        <v>7.5</v>
      </c>
      <c r="F34" s="18">
        <f t="shared" si="0"/>
        <v>0</v>
      </c>
      <c r="G34" s="18">
        <f t="shared" si="0"/>
        <v>44.92</v>
      </c>
      <c r="H34" s="18">
        <f t="shared" si="0"/>
        <v>13.12</v>
      </c>
      <c r="I34" s="18">
        <f t="shared" si="0"/>
        <v>6.92</v>
      </c>
      <c r="J34" s="18">
        <f t="shared" si="0"/>
        <v>0.14000000000000001</v>
      </c>
      <c r="K34" s="18">
        <f t="shared" si="0"/>
        <v>40.47</v>
      </c>
      <c r="L34" s="18">
        <f t="shared" si="0"/>
        <v>13.3</v>
      </c>
      <c r="M34" s="18">
        <f t="shared" si="0"/>
        <v>23.36</v>
      </c>
      <c r="N34" s="18">
        <f t="shared" si="0"/>
        <v>1.2</v>
      </c>
      <c r="O34" s="18">
        <f t="shared" si="0"/>
        <v>0</v>
      </c>
      <c r="P34" s="18">
        <f t="shared" si="0"/>
        <v>0.53</v>
      </c>
      <c r="Q34" s="18">
        <f t="shared" si="0"/>
        <v>12.98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19.510000000000002</v>
      </c>
      <c r="C35" s="3">
        <f t="shared" si="1"/>
        <v>24.85</v>
      </c>
      <c r="D35" s="3">
        <f t="shared" si="1"/>
        <v>29.6</v>
      </c>
      <c r="E35" s="3">
        <f t="shared" si="1"/>
        <v>11.87</v>
      </c>
      <c r="F35" s="3">
        <f t="shared" si="1"/>
        <v>0</v>
      </c>
      <c r="G35" s="3">
        <f t="shared" si="1"/>
        <v>87.31</v>
      </c>
      <c r="H35" s="3">
        <f t="shared" si="1"/>
        <v>26.81</v>
      </c>
      <c r="I35" s="3">
        <f t="shared" si="1"/>
        <v>11.21</v>
      </c>
      <c r="J35" s="3">
        <f t="shared" si="1"/>
        <v>1.21</v>
      </c>
      <c r="K35" s="3">
        <f t="shared" si="1"/>
        <v>359.18</v>
      </c>
      <c r="L35" s="3">
        <f t="shared" si="1"/>
        <v>26.34</v>
      </c>
      <c r="M35" s="3">
        <f t="shared" si="1"/>
        <v>91.91</v>
      </c>
      <c r="N35" s="3">
        <f t="shared" si="1"/>
        <v>525.9</v>
      </c>
      <c r="O35" s="3">
        <f t="shared" si="1"/>
        <v>0</v>
      </c>
      <c r="P35" s="3">
        <f t="shared" si="1"/>
        <v>0.92</v>
      </c>
      <c r="Q35" s="3">
        <f t="shared" si="1"/>
        <v>13.03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10.880416666666667</v>
      </c>
      <c r="C36" s="18">
        <f t="shared" si="2"/>
        <v>22.442083333333333</v>
      </c>
      <c r="D36" s="18">
        <f t="shared" si="2"/>
        <v>21.735416666666666</v>
      </c>
      <c r="E36" s="18">
        <f t="shared" si="2"/>
        <v>9.5679166666666671</v>
      </c>
      <c r="F36" s="18" t="e">
        <f t="shared" si="2"/>
        <v>#DIV/0!</v>
      </c>
      <c r="G36" s="18">
        <f t="shared" si="2"/>
        <v>67.045000000000002</v>
      </c>
      <c r="H36" s="18">
        <f t="shared" si="2"/>
        <v>20.365000000000002</v>
      </c>
      <c r="I36" s="18">
        <f t="shared" si="2"/>
        <v>9.4054166666666639</v>
      </c>
      <c r="J36" s="18">
        <f t="shared" si="2"/>
        <v>0.44333333333333341</v>
      </c>
      <c r="K36" s="18">
        <f t="shared" si="2"/>
        <v>178.39041666666665</v>
      </c>
      <c r="L36" s="18">
        <f t="shared" si="2"/>
        <v>19.008333333333336</v>
      </c>
      <c r="M36" s="18">
        <f t="shared" si="2"/>
        <v>66.214583333333323</v>
      </c>
      <c r="N36" s="18">
        <f t="shared" si="2"/>
        <v>115.375</v>
      </c>
      <c r="O36" s="18">
        <f t="shared" si="2"/>
        <v>0</v>
      </c>
      <c r="P36" s="18">
        <f t="shared" si="2"/>
        <v>0.73624999999999996</v>
      </c>
      <c r="Q36" s="18">
        <f t="shared" si="2"/>
        <v>12.99833333333333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3.7547193250820934</v>
      </c>
      <c r="C37" s="18">
        <f t="shared" ref="C37:Q37" si="3">STDEV(C9:C32)</f>
        <v>1.4277558528552141</v>
      </c>
      <c r="D37" s="18">
        <f t="shared" si="3"/>
        <v>3.1560073554312624</v>
      </c>
      <c r="E37" s="18">
        <f t="shared" si="3"/>
        <v>1.4810277840410047</v>
      </c>
      <c r="F37" s="18" t="e">
        <f t="shared" si="3"/>
        <v>#DIV/0!</v>
      </c>
      <c r="G37" s="18">
        <f t="shared" si="3"/>
        <v>13.61074447697075</v>
      </c>
      <c r="H37" s="18">
        <f t="shared" si="3"/>
        <v>3.8319378682445833</v>
      </c>
      <c r="I37" s="18">
        <f t="shared" si="3"/>
        <v>1.378871558689337</v>
      </c>
      <c r="J37" s="18">
        <f t="shared" si="3"/>
        <v>0.32569212811924164</v>
      </c>
      <c r="K37" s="18">
        <f t="shared" si="3"/>
        <v>90.951715736818386</v>
      </c>
      <c r="L37" s="18">
        <f t="shared" si="3"/>
        <v>4.6743571207978514</v>
      </c>
      <c r="M37" s="18">
        <f t="shared" si="3"/>
        <v>23.558079751074189</v>
      </c>
      <c r="N37" s="18">
        <f t="shared" si="3"/>
        <v>186.7961577902966</v>
      </c>
      <c r="O37" s="18">
        <f t="shared" si="3"/>
        <v>0</v>
      </c>
      <c r="P37" s="18">
        <f t="shared" si="3"/>
        <v>0.11586395695702446</v>
      </c>
      <c r="Q37" s="18">
        <f t="shared" si="3"/>
        <v>1.3405601251996442E-2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>COUNT(F9:F32)+24</f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6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F39" sqref="F3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3" width="11" style="1" customWidth="1"/>
    <col min="4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02/01/2025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85</v>
      </c>
      <c r="B9" s="40">
        <v>12.49</v>
      </c>
      <c r="C9" s="40">
        <v>20.92</v>
      </c>
      <c r="D9" s="40">
        <v>22.17</v>
      </c>
      <c r="E9" s="40">
        <v>8.7899999999999991</v>
      </c>
      <c r="F9" s="27" t="s">
        <v>8</v>
      </c>
      <c r="G9" s="40">
        <v>78.16</v>
      </c>
      <c r="H9" s="40">
        <v>25.59</v>
      </c>
      <c r="I9" s="40">
        <v>11.48</v>
      </c>
      <c r="J9" s="40">
        <v>0.21</v>
      </c>
      <c r="K9" s="40">
        <v>234.74</v>
      </c>
      <c r="L9" s="40">
        <v>13.81</v>
      </c>
      <c r="M9" s="40">
        <v>87.55</v>
      </c>
      <c r="N9" s="40">
        <v>1.3</v>
      </c>
      <c r="O9" s="40">
        <v>0</v>
      </c>
      <c r="P9" s="40">
        <v>0.95</v>
      </c>
      <c r="Q9" s="40">
        <v>13.02</v>
      </c>
      <c r="R9" s="38"/>
      <c r="S9" s="38"/>
      <c r="T9" s="38"/>
      <c r="U9" s="38"/>
    </row>
    <row r="10" spans="1:21" customFormat="1">
      <c r="A10" s="39" t="s">
        <v>86</v>
      </c>
      <c r="B10" s="40">
        <v>21.4</v>
      </c>
      <c r="C10" s="40">
        <v>22.47</v>
      </c>
      <c r="D10" s="40">
        <v>30.26</v>
      </c>
      <c r="E10" s="40">
        <v>8.9700000000000006</v>
      </c>
      <c r="F10" s="27" t="s">
        <v>8</v>
      </c>
      <c r="G10" s="40">
        <v>76.53</v>
      </c>
      <c r="H10" s="40">
        <v>24.14</v>
      </c>
      <c r="I10" s="40">
        <v>12.03</v>
      </c>
      <c r="J10" s="40">
        <v>0.14000000000000001</v>
      </c>
      <c r="K10" s="40">
        <v>190.79</v>
      </c>
      <c r="L10" s="40">
        <v>13.79</v>
      </c>
      <c r="M10" s="40">
        <v>82.2</v>
      </c>
      <c r="N10" s="40">
        <v>1</v>
      </c>
      <c r="O10" s="40">
        <v>0</v>
      </c>
      <c r="P10" s="40">
        <v>1.04</v>
      </c>
      <c r="Q10" s="40">
        <v>13.05</v>
      </c>
      <c r="R10" s="38"/>
      <c r="S10" s="38"/>
      <c r="T10" s="38"/>
      <c r="U10" s="38"/>
    </row>
    <row r="11" spans="1:21" customFormat="1">
      <c r="A11" s="39" t="s">
        <v>87</v>
      </c>
      <c r="B11" s="40">
        <v>27</v>
      </c>
      <c r="C11" s="40">
        <v>23.27</v>
      </c>
      <c r="D11" s="40">
        <v>35.159999999999997</v>
      </c>
      <c r="E11" s="40">
        <v>9.89</v>
      </c>
      <c r="F11" s="27" t="s">
        <v>8</v>
      </c>
      <c r="G11" s="40">
        <v>77.19</v>
      </c>
      <c r="H11" s="40">
        <v>21.82</v>
      </c>
      <c r="I11" s="40">
        <v>12.82</v>
      </c>
      <c r="J11" s="40">
        <v>0.23</v>
      </c>
      <c r="K11" s="40">
        <v>204.8</v>
      </c>
      <c r="L11" s="40">
        <v>13.62</v>
      </c>
      <c r="M11" s="40">
        <v>88.51</v>
      </c>
      <c r="N11" s="40">
        <v>1.5</v>
      </c>
      <c r="O11" s="40">
        <v>0</v>
      </c>
      <c r="P11" s="40">
        <v>1.1000000000000001</v>
      </c>
      <c r="Q11" s="40">
        <v>13.06</v>
      </c>
      <c r="R11" s="38"/>
      <c r="S11" s="38"/>
      <c r="T11" s="38"/>
      <c r="U11" s="38"/>
    </row>
    <row r="12" spans="1:21" customFormat="1">
      <c r="A12" s="39" t="s">
        <v>88</v>
      </c>
      <c r="B12" s="40">
        <v>26.48</v>
      </c>
      <c r="C12" s="40">
        <v>22.83</v>
      </c>
      <c r="D12" s="40">
        <v>34.51</v>
      </c>
      <c r="E12" s="40">
        <v>9.6199999999999992</v>
      </c>
      <c r="F12" s="27" t="s">
        <v>8</v>
      </c>
      <c r="G12" s="40">
        <v>75.849999999999994</v>
      </c>
      <c r="H12" s="40">
        <v>23.31</v>
      </c>
      <c r="I12" s="40">
        <v>13.59</v>
      </c>
      <c r="J12" s="40">
        <v>0.21</v>
      </c>
      <c r="K12" s="40">
        <v>223.86</v>
      </c>
      <c r="L12" s="40">
        <v>12.25</v>
      </c>
      <c r="M12" s="40">
        <v>89.81</v>
      </c>
      <c r="N12" s="40">
        <v>1.4</v>
      </c>
      <c r="O12" s="40">
        <v>0</v>
      </c>
      <c r="P12" s="40">
        <v>1.1399999999999999</v>
      </c>
      <c r="Q12" s="40">
        <v>13.06</v>
      </c>
      <c r="R12" s="38"/>
      <c r="S12" s="38"/>
      <c r="T12" s="38"/>
      <c r="U12" s="38"/>
    </row>
    <row r="13" spans="1:21" customFormat="1">
      <c r="A13" s="39" t="s">
        <v>89</v>
      </c>
      <c r="B13" s="40">
        <v>25.99</v>
      </c>
      <c r="C13" s="40">
        <v>21.82</v>
      </c>
      <c r="D13" s="40">
        <v>33.590000000000003</v>
      </c>
      <c r="E13" s="40">
        <v>8.92</v>
      </c>
      <c r="F13" s="27" t="s">
        <v>8</v>
      </c>
      <c r="G13" s="40">
        <v>73.97</v>
      </c>
      <c r="H13" s="40">
        <v>27.22</v>
      </c>
      <c r="I13" s="40">
        <v>13.92</v>
      </c>
      <c r="J13" s="40">
        <v>0.13</v>
      </c>
      <c r="K13" s="40">
        <v>152.38999999999999</v>
      </c>
      <c r="L13" s="40">
        <v>12.08</v>
      </c>
      <c r="M13" s="40">
        <v>91.39</v>
      </c>
      <c r="N13" s="40">
        <v>1.1000000000000001</v>
      </c>
      <c r="O13" s="40">
        <v>0</v>
      </c>
      <c r="P13" s="40">
        <v>1.1399999999999999</v>
      </c>
      <c r="Q13" s="40">
        <v>13.06</v>
      </c>
      <c r="R13" s="38"/>
      <c r="S13" s="38"/>
      <c r="T13" s="38"/>
      <c r="U13" s="38"/>
    </row>
    <row r="14" spans="1:21" customFormat="1">
      <c r="A14" s="39" t="s">
        <v>90</v>
      </c>
      <c r="B14" s="40">
        <v>30.62</v>
      </c>
      <c r="C14" s="40">
        <v>22</v>
      </c>
      <c r="D14" s="40">
        <v>37.36</v>
      </c>
      <c r="E14" s="40">
        <v>8.7799999999999994</v>
      </c>
      <c r="F14" s="27" t="s">
        <v>8</v>
      </c>
      <c r="G14" s="40">
        <v>74.03</v>
      </c>
      <c r="H14" s="40">
        <v>26.28</v>
      </c>
      <c r="I14" s="40">
        <v>14.09</v>
      </c>
      <c r="J14" s="40">
        <v>0.15</v>
      </c>
      <c r="K14" s="40">
        <v>214.67</v>
      </c>
      <c r="L14" s="40">
        <v>12.13</v>
      </c>
      <c r="M14" s="40">
        <v>92.69</v>
      </c>
      <c r="N14" s="40">
        <v>1.1000000000000001</v>
      </c>
      <c r="O14" s="40">
        <v>0</v>
      </c>
      <c r="P14" s="40">
        <v>1.1399999999999999</v>
      </c>
      <c r="Q14" s="40">
        <v>13.07</v>
      </c>
      <c r="R14" s="38"/>
      <c r="S14" s="38"/>
      <c r="T14" s="38"/>
      <c r="U14" s="38"/>
    </row>
    <row r="15" spans="1:21" customFormat="1">
      <c r="A15" s="39" t="s">
        <v>91</v>
      </c>
      <c r="B15" s="40">
        <v>30.31</v>
      </c>
      <c r="C15" s="40">
        <v>21.5</v>
      </c>
      <c r="D15" s="40">
        <v>36.770000000000003</v>
      </c>
      <c r="E15" s="40">
        <v>8.77</v>
      </c>
      <c r="F15" s="27" t="s">
        <v>8</v>
      </c>
      <c r="G15" s="40">
        <v>73.430000000000007</v>
      </c>
      <c r="H15" s="40">
        <v>26.94</v>
      </c>
      <c r="I15" s="40">
        <v>14.22</v>
      </c>
      <c r="J15" s="40">
        <v>0.19</v>
      </c>
      <c r="K15" s="40">
        <v>221.85</v>
      </c>
      <c r="L15" s="40">
        <v>11.76</v>
      </c>
      <c r="M15" s="40">
        <v>94.56</v>
      </c>
      <c r="N15" s="40">
        <v>12.7</v>
      </c>
      <c r="O15" s="40">
        <v>0</v>
      </c>
      <c r="P15" s="40">
        <v>1.07</v>
      </c>
      <c r="Q15" s="40">
        <v>13.07</v>
      </c>
      <c r="R15" s="38"/>
      <c r="S15" s="38"/>
      <c r="T15" s="38"/>
      <c r="U15" s="38"/>
    </row>
    <row r="16" spans="1:21" customFormat="1">
      <c r="A16" s="39" t="s">
        <v>92</v>
      </c>
      <c r="B16" s="40">
        <v>30.39</v>
      </c>
      <c r="C16" s="40">
        <v>20.59</v>
      </c>
      <c r="D16" s="40">
        <v>36.42</v>
      </c>
      <c r="E16" s="40">
        <v>9.27</v>
      </c>
      <c r="F16" s="27" t="s">
        <v>8</v>
      </c>
      <c r="G16" s="40">
        <v>70.64</v>
      </c>
      <c r="H16" s="40">
        <v>26.71</v>
      </c>
      <c r="I16" s="40">
        <v>14.3</v>
      </c>
      <c r="J16" s="40">
        <v>0.75</v>
      </c>
      <c r="K16" s="40">
        <v>160.80000000000001</v>
      </c>
      <c r="L16" s="40">
        <v>15.12</v>
      </c>
      <c r="M16" s="40">
        <v>94.12</v>
      </c>
      <c r="N16" s="40">
        <v>66.099999999999994</v>
      </c>
      <c r="O16" s="40">
        <v>0</v>
      </c>
      <c r="P16" s="40">
        <v>1.05</v>
      </c>
      <c r="Q16" s="40">
        <v>13.06</v>
      </c>
      <c r="R16" s="38"/>
      <c r="S16" s="38"/>
      <c r="T16" s="38"/>
      <c r="U16" s="38"/>
    </row>
    <row r="17" spans="1:21" customFormat="1">
      <c r="A17" s="39" t="s">
        <v>93</v>
      </c>
      <c r="B17" s="40">
        <v>29.11</v>
      </c>
      <c r="C17" s="40">
        <v>22.66</v>
      </c>
      <c r="D17" s="40">
        <v>35.78</v>
      </c>
      <c r="E17" s="40">
        <v>9.17</v>
      </c>
      <c r="F17" s="27" t="s">
        <v>8</v>
      </c>
      <c r="G17" s="40">
        <v>67.03</v>
      </c>
      <c r="H17" s="40">
        <v>23.96</v>
      </c>
      <c r="I17" s="40">
        <v>14.29</v>
      </c>
      <c r="J17" s="40">
        <v>1.25</v>
      </c>
      <c r="K17" s="40">
        <v>56.38</v>
      </c>
      <c r="L17" s="40">
        <v>18.82</v>
      </c>
      <c r="M17" s="40">
        <v>66.47</v>
      </c>
      <c r="N17" s="40">
        <v>286.8</v>
      </c>
      <c r="O17" s="40">
        <v>0</v>
      </c>
      <c r="P17" s="40">
        <v>1.02</v>
      </c>
      <c r="Q17" s="40">
        <v>13.06</v>
      </c>
      <c r="R17" s="38"/>
      <c r="S17" s="38"/>
      <c r="T17" s="38"/>
      <c r="U17" s="38"/>
    </row>
    <row r="18" spans="1:21" customFormat="1">
      <c r="A18" s="39" t="s">
        <v>94</v>
      </c>
      <c r="B18" s="40">
        <v>24.71</v>
      </c>
      <c r="C18" s="40">
        <v>24.29</v>
      </c>
      <c r="D18" s="40">
        <v>33.28</v>
      </c>
      <c r="E18" s="40">
        <v>9</v>
      </c>
      <c r="F18" s="27" t="s">
        <v>8</v>
      </c>
      <c r="G18" s="40">
        <v>63.05</v>
      </c>
      <c r="H18" s="40">
        <v>22.76</v>
      </c>
      <c r="I18" s="40">
        <v>13.71</v>
      </c>
      <c r="J18" s="40">
        <v>1.06</v>
      </c>
      <c r="K18" s="40">
        <v>83.33</v>
      </c>
      <c r="L18" s="40">
        <v>22.4</v>
      </c>
      <c r="M18" s="40">
        <v>53.19</v>
      </c>
      <c r="N18" s="40">
        <v>276.10000000000002</v>
      </c>
      <c r="O18" s="40">
        <v>0</v>
      </c>
      <c r="P18" s="40">
        <v>0.93</v>
      </c>
      <c r="Q18" s="40">
        <v>13.05</v>
      </c>
      <c r="R18" s="38"/>
      <c r="S18" s="38"/>
      <c r="T18" s="38"/>
      <c r="U18" s="38"/>
    </row>
    <row r="19" spans="1:21" customFormat="1">
      <c r="A19" s="39" t="s">
        <v>95</v>
      </c>
      <c r="B19" s="40">
        <v>18.63</v>
      </c>
      <c r="C19" s="40">
        <v>25.34</v>
      </c>
      <c r="D19" s="40">
        <v>29.06</v>
      </c>
      <c r="E19" s="40">
        <v>8.73</v>
      </c>
      <c r="F19" s="27" t="s">
        <v>8</v>
      </c>
      <c r="G19" s="40">
        <v>59.83</v>
      </c>
      <c r="H19" s="40">
        <v>20.75</v>
      </c>
      <c r="I19" s="40">
        <v>12.4</v>
      </c>
      <c r="J19" s="40">
        <v>0.72</v>
      </c>
      <c r="K19" s="40">
        <v>353.34</v>
      </c>
      <c r="L19" s="40">
        <v>24.24</v>
      </c>
      <c r="M19" s="40">
        <v>40.770000000000003</v>
      </c>
      <c r="N19" s="40">
        <v>488.7</v>
      </c>
      <c r="O19" s="40">
        <v>0</v>
      </c>
      <c r="P19" s="40">
        <v>0.84</v>
      </c>
      <c r="Q19" s="40">
        <v>13.06</v>
      </c>
      <c r="R19" s="38"/>
      <c r="S19" s="38"/>
      <c r="T19" s="38"/>
      <c r="U19" s="38"/>
    </row>
    <row r="20" spans="1:21" customFormat="1">
      <c r="A20" s="39" t="s">
        <v>96</v>
      </c>
      <c r="B20" s="40">
        <v>12.3</v>
      </c>
      <c r="C20" s="40">
        <v>25.03</v>
      </c>
      <c r="D20" s="40">
        <v>24.29</v>
      </c>
      <c r="E20" s="40">
        <v>11.64</v>
      </c>
      <c r="F20" s="27" t="s">
        <v>8</v>
      </c>
      <c r="G20" s="40">
        <v>56.15</v>
      </c>
      <c r="H20" s="40">
        <v>23.29</v>
      </c>
      <c r="I20" s="40">
        <v>11.21</v>
      </c>
      <c r="J20" s="40">
        <v>0.54</v>
      </c>
      <c r="K20" s="40">
        <v>316.88</v>
      </c>
      <c r="L20" s="40">
        <v>26.07</v>
      </c>
      <c r="M20" s="40">
        <v>33.43</v>
      </c>
      <c r="N20" s="40">
        <v>519</v>
      </c>
      <c r="O20" s="40">
        <v>0</v>
      </c>
      <c r="P20" s="40">
        <v>0.82</v>
      </c>
      <c r="Q20" s="40">
        <v>13.01</v>
      </c>
      <c r="R20" s="38"/>
      <c r="S20" s="38"/>
      <c r="T20" s="38"/>
      <c r="U20" s="38"/>
    </row>
    <row r="21" spans="1:21" customFormat="1">
      <c r="A21" s="39" t="s">
        <v>97</v>
      </c>
      <c r="B21" s="40">
        <v>5.2</v>
      </c>
      <c r="C21" s="40">
        <v>23.74</v>
      </c>
      <c r="D21" s="40">
        <v>17.93</v>
      </c>
      <c r="E21" s="40">
        <v>12.68</v>
      </c>
      <c r="F21" s="27" t="s">
        <v>8</v>
      </c>
      <c r="G21" s="40">
        <v>52.73</v>
      </c>
      <c r="H21" s="40">
        <v>18.420000000000002</v>
      </c>
      <c r="I21" s="40">
        <v>10.32</v>
      </c>
      <c r="J21" s="40">
        <v>0.64</v>
      </c>
      <c r="K21" s="40">
        <v>103.88</v>
      </c>
      <c r="L21" s="40">
        <v>27.2</v>
      </c>
      <c r="M21" s="40">
        <v>28.19</v>
      </c>
      <c r="N21" s="40">
        <v>471.3</v>
      </c>
      <c r="O21" s="40">
        <v>0</v>
      </c>
      <c r="P21" s="40">
        <v>0.71</v>
      </c>
      <c r="Q21" s="40">
        <v>13.01</v>
      </c>
      <c r="R21" s="38"/>
      <c r="S21" s="38"/>
      <c r="T21" s="38"/>
      <c r="U21" s="38"/>
    </row>
    <row r="22" spans="1:21" customFormat="1">
      <c r="A22" s="39" t="s">
        <v>98</v>
      </c>
      <c r="B22" s="40">
        <v>3.97</v>
      </c>
      <c r="C22" s="40">
        <v>24.48</v>
      </c>
      <c r="D22" s="40">
        <v>17.28</v>
      </c>
      <c r="E22" s="40">
        <v>18.25</v>
      </c>
      <c r="F22" s="27" t="s">
        <v>8</v>
      </c>
      <c r="G22" s="40">
        <v>54.16</v>
      </c>
      <c r="H22" s="40">
        <v>17.899999999999999</v>
      </c>
      <c r="I22" s="40">
        <v>8.26</v>
      </c>
      <c r="J22" s="40">
        <v>0.52</v>
      </c>
      <c r="K22" s="40">
        <v>341.03</v>
      </c>
      <c r="L22" s="40">
        <v>27.24</v>
      </c>
      <c r="M22" s="40">
        <v>24.86</v>
      </c>
      <c r="N22" s="40">
        <v>437</v>
      </c>
      <c r="O22" s="40">
        <v>0</v>
      </c>
      <c r="P22" s="40">
        <v>0.65</v>
      </c>
      <c r="Q22" s="40">
        <v>13.01</v>
      </c>
      <c r="R22" s="38"/>
      <c r="S22" s="38"/>
      <c r="T22" s="38"/>
      <c r="U22" s="38"/>
    </row>
    <row r="23" spans="1:21" customFormat="1">
      <c r="A23" s="39" t="s">
        <v>99</v>
      </c>
      <c r="B23" s="40">
        <v>3.77</v>
      </c>
      <c r="C23" s="40">
        <v>24.96</v>
      </c>
      <c r="D23" s="40">
        <v>17.34</v>
      </c>
      <c r="E23" s="40">
        <v>16.079999999999998</v>
      </c>
      <c r="F23" s="27" t="s">
        <v>8</v>
      </c>
      <c r="G23" s="40">
        <v>54.22</v>
      </c>
      <c r="H23" s="40">
        <v>17.53</v>
      </c>
      <c r="I23" s="40">
        <v>7.39</v>
      </c>
      <c r="J23" s="40">
        <v>0.76</v>
      </c>
      <c r="K23" s="40">
        <v>127.83</v>
      </c>
      <c r="L23" s="40">
        <v>27.04</v>
      </c>
      <c r="M23" s="40">
        <v>21.84</v>
      </c>
      <c r="N23" s="40">
        <v>108</v>
      </c>
      <c r="O23" s="40">
        <v>0</v>
      </c>
      <c r="P23" s="40">
        <v>0.57999999999999996</v>
      </c>
      <c r="Q23" s="40">
        <v>13</v>
      </c>
      <c r="R23" s="38"/>
      <c r="S23" s="38"/>
      <c r="T23" s="38"/>
      <c r="U23" s="38"/>
    </row>
    <row r="24" spans="1:21" customFormat="1">
      <c r="A24" s="39" t="s">
        <v>100</v>
      </c>
      <c r="B24" s="40">
        <v>3.86</v>
      </c>
      <c r="C24" s="40">
        <v>23.74</v>
      </c>
      <c r="D24" s="40">
        <v>16.52</v>
      </c>
      <c r="E24" s="40">
        <v>14.34</v>
      </c>
      <c r="F24" s="27" t="s">
        <v>8</v>
      </c>
      <c r="G24" s="40">
        <v>50.96</v>
      </c>
      <c r="H24" s="40">
        <v>17.48</v>
      </c>
      <c r="I24" s="40">
        <v>6.54</v>
      </c>
      <c r="J24" s="40">
        <v>0.76</v>
      </c>
      <c r="K24" s="40">
        <v>318.60000000000002</v>
      </c>
      <c r="L24" s="40">
        <v>27.18</v>
      </c>
      <c r="M24" s="40">
        <v>22.23</v>
      </c>
      <c r="N24" s="40">
        <v>44.9</v>
      </c>
      <c r="O24" s="40">
        <v>0</v>
      </c>
      <c r="P24" s="40">
        <v>0.56000000000000005</v>
      </c>
      <c r="Q24" s="40">
        <v>12.97</v>
      </c>
      <c r="R24" s="38"/>
      <c r="S24" s="38"/>
      <c r="T24" s="38"/>
      <c r="U24" s="38"/>
    </row>
    <row r="25" spans="1:21" customFormat="1">
      <c r="A25" s="39" t="s">
        <v>101</v>
      </c>
      <c r="B25" s="40">
        <v>3.85</v>
      </c>
      <c r="C25" s="40">
        <v>23.82</v>
      </c>
      <c r="D25" s="40">
        <v>16.88</v>
      </c>
      <c r="E25" s="40">
        <v>8.7200000000000006</v>
      </c>
      <c r="F25" s="27" t="s">
        <v>8</v>
      </c>
      <c r="G25" s="40">
        <v>48.21</v>
      </c>
      <c r="H25" s="40">
        <v>15.58</v>
      </c>
      <c r="I25" s="40">
        <v>5.78</v>
      </c>
      <c r="J25" s="40">
        <v>0.52</v>
      </c>
      <c r="K25" s="40">
        <v>160.72</v>
      </c>
      <c r="L25" s="40">
        <v>26.88</v>
      </c>
      <c r="M25" s="40">
        <v>33.53</v>
      </c>
      <c r="N25" s="40">
        <v>29.7</v>
      </c>
      <c r="O25" s="40">
        <v>0</v>
      </c>
      <c r="P25" s="40">
        <v>0.49</v>
      </c>
      <c r="Q25" s="40">
        <v>12.99</v>
      </c>
      <c r="R25" s="38"/>
      <c r="S25" s="38"/>
      <c r="T25" s="38"/>
      <c r="U25" s="38"/>
    </row>
    <row r="26" spans="1:21" customFormat="1">
      <c r="A26" s="39" t="s">
        <v>102</v>
      </c>
      <c r="B26" s="40">
        <v>5.5</v>
      </c>
      <c r="C26" s="40">
        <v>25.99</v>
      </c>
      <c r="D26" s="40">
        <v>19.34</v>
      </c>
      <c r="E26" s="40">
        <v>7.48</v>
      </c>
      <c r="F26" s="27" t="s">
        <v>8</v>
      </c>
      <c r="G26" s="40">
        <v>54.49</v>
      </c>
      <c r="H26" s="40">
        <v>17.05</v>
      </c>
      <c r="I26" s="40">
        <v>6.11</v>
      </c>
      <c r="J26" s="40">
        <v>0.35</v>
      </c>
      <c r="K26" s="40">
        <v>168.72</v>
      </c>
      <c r="L26" s="40">
        <v>23.24</v>
      </c>
      <c r="M26" s="40">
        <v>50.56</v>
      </c>
      <c r="N26" s="40">
        <v>5.9</v>
      </c>
      <c r="O26" s="40">
        <v>0</v>
      </c>
      <c r="P26" s="40">
        <v>0.56999999999999995</v>
      </c>
      <c r="Q26" s="40">
        <v>12.99</v>
      </c>
      <c r="R26" s="38"/>
      <c r="S26" s="38"/>
      <c r="T26" s="38"/>
      <c r="U26" s="38"/>
    </row>
    <row r="27" spans="1:21" customFormat="1">
      <c r="A27" s="39" t="s">
        <v>103</v>
      </c>
      <c r="B27" s="40">
        <v>8.0299999999999994</v>
      </c>
      <c r="C27" s="40">
        <v>26.77</v>
      </c>
      <c r="D27" s="40">
        <v>21.78</v>
      </c>
      <c r="E27" s="40">
        <v>7.89</v>
      </c>
      <c r="F27" s="27" t="s">
        <v>8</v>
      </c>
      <c r="G27" s="40">
        <v>78.47</v>
      </c>
      <c r="H27" s="40">
        <v>19.84</v>
      </c>
      <c r="I27" s="40">
        <v>7.13</v>
      </c>
      <c r="J27" s="40">
        <v>0.26</v>
      </c>
      <c r="K27" s="40">
        <v>200.07</v>
      </c>
      <c r="L27" s="40">
        <v>19.88</v>
      </c>
      <c r="M27" s="40">
        <v>61.05</v>
      </c>
      <c r="N27" s="40">
        <v>1.8</v>
      </c>
      <c r="O27" s="40">
        <v>0</v>
      </c>
      <c r="P27" s="40">
        <v>0.67</v>
      </c>
      <c r="Q27" s="40">
        <v>13</v>
      </c>
      <c r="R27" s="38"/>
      <c r="S27" s="38"/>
      <c r="T27" s="38"/>
      <c r="U27" s="38"/>
    </row>
    <row r="28" spans="1:21" customFormat="1">
      <c r="A28" s="39" t="s">
        <v>104</v>
      </c>
      <c r="B28" s="40">
        <v>13.21</v>
      </c>
      <c r="C28" s="40">
        <v>27.05</v>
      </c>
      <c r="D28" s="40">
        <v>25.99</v>
      </c>
      <c r="E28" s="40">
        <v>8.26</v>
      </c>
      <c r="F28" s="27" t="s">
        <v>8</v>
      </c>
      <c r="G28" s="40">
        <v>91.85</v>
      </c>
      <c r="H28" s="40">
        <v>22.74</v>
      </c>
      <c r="I28" s="40">
        <v>8.75</v>
      </c>
      <c r="J28" s="40">
        <v>0.27</v>
      </c>
      <c r="K28" s="40">
        <v>174.19</v>
      </c>
      <c r="L28" s="40">
        <v>18.12</v>
      </c>
      <c r="M28" s="40">
        <v>71.17</v>
      </c>
      <c r="N28" s="40">
        <v>1.3</v>
      </c>
      <c r="O28" s="40">
        <v>0</v>
      </c>
      <c r="P28" s="40">
        <v>0.77</v>
      </c>
      <c r="Q28" s="40">
        <v>13.03</v>
      </c>
      <c r="R28" s="38"/>
      <c r="S28" s="38"/>
      <c r="T28" s="38"/>
      <c r="U28" s="38"/>
    </row>
    <row r="29" spans="1:21" customFormat="1">
      <c r="A29" s="39" t="s">
        <v>105</v>
      </c>
      <c r="B29" s="40">
        <v>16.600000000000001</v>
      </c>
      <c r="C29" s="40">
        <v>26.65</v>
      </c>
      <c r="D29" s="40">
        <v>28.27</v>
      </c>
      <c r="E29" s="40">
        <v>8.75</v>
      </c>
      <c r="F29" s="27" t="s">
        <v>8</v>
      </c>
      <c r="G29" s="40">
        <v>95.87</v>
      </c>
      <c r="H29" s="40">
        <v>22.67</v>
      </c>
      <c r="I29" s="40">
        <v>10.33</v>
      </c>
      <c r="J29" s="40">
        <v>0.24</v>
      </c>
      <c r="K29" s="40">
        <v>179.24</v>
      </c>
      <c r="L29" s="40">
        <v>16.940000000000001</v>
      </c>
      <c r="M29" s="40">
        <v>75.33</v>
      </c>
      <c r="N29" s="40">
        <v>1.4</v>
      </c>
      <c r="O29" s="40">
        <v>0</v>
      </c>
      <c r="P29" s="40">
        <v>0.93</v>
      </c>
      <c r="Q29" s="40">
        <v>13.04</v>
      </c>
      <c r="R29" s="38"/>
      <c r="S29" s="38"/>
      <c r="T29" s="38"/>
      <c r="U29" s="38"/>
    </row>
    <row r="30" spans="1:21" customFormat="1">
      <c r="A30" s="39" t="s">
        <v>106</v>
      </c>
      <c r="B30" s="40">
        <v>21.88</v>
      </c>
      <c r="C30" s="40">
        <v>25.58</v>
      </c>
      <c r="D30" s="40">
        <v>31.88</v>
      </c>
      <c r="E30" s="40">
        <v>8.4600000000000009</v>
      </c>
      <c r="F30" s="27" t="s">
        <v>8</v>
      </c>
      <c r="G30" s="40">
        <v>97.57</v>
      </c>
      <c r="H30" s="40">
        <v>22.19</v>
      </c>
      <c r="I30" s="40">
        <v>11.36</v>
      </c>
      <c r="J30" s="40">
        <v>0.22</v>
      </c>
      <c r="K30" s="40">
        <v>222.23</v>
      </c>
      <c r="L30" s="40">
        <v>16.14</v>
      </c>
      <c r="M30" s="40">
        <v>77.790000000000006</v>
      </c>
      <c r="N30" s="40">
        <v>1.4</v>
      </c>
      <c r="O30" s="40">
        <v>0</v>
      </c>
      <c r="P30" s="40">
        <v>1.01</v>
      </c>
      <c r="Q30" s="40">
        <v>13.03</v>
      </c>
      <c r="R30" s="38"/>
      <c r="S30" s="38"/>
      <c r="T30" s="38"/>
      <c r="U30" s="38"/>
    </row>
    <row r="31" spans="1:21" customFormat="1">
      <c r="A31" s="39" t="s">
        <v>107</v>
      </c>
      <c r="B31" s="40">
        <v>29.34</v>
      </c>
      <c r="C31" s="40">
        <v>24.73</v>
      </c>
      <c r="D31" s="40">
        <v>37.35</v>
      </c>
      <c r="E31" s="40">
        <v>9.2100000000000009</v>
      </c>
      <c r="F31" s="27" t="s">
        <v>8</v>
      </c>
      <c r="G31" s="40">
        <v>101.23</v>
      </c>
      <c r="H31" s="40">
        <v>24.86</v>
      </c>
      <c r="I31" s="40">
        <v>12.39</v>
      </c>
      <c r="J31" s="40">
        <v>0.23</v>
      </c>
      <c r="K31" s="40">
        <v>191.27</v>
      </c>
      <c r="L31" s="40">
        <v>15.82</v>
      </c>
      <c r="M31" s="40">
        <v>82.06</v>
      </c>
      <c r="N31" s="40">
        <v>1.6</v>
      </c>
      <c r="O31" s="40">
        <v>0</v>
      </c>
      <c r="P31" s="40">
        <v>1.1000000000000001</v>
      </c>
      <c r="Q31" s="40">
        <v>13.06</v>
      </c>
      <c r="R31" s="38"/>
      <c r="S31" s="38"/>
      <c r="T31" s="38"/>
      <c r="U31" s="38"/>
    </row>
    <row r="32" spans="1:21" customFormat="1">
      <c r="A32" s="39" t="s">
        <v>108</v>
      </c>
      <c r="B32" s="40">
        <v>36.65</v>
      </c>
      <c r="C32" s="40">
        <v>24.24</v>
      </c>
      <c r="D32" s="40">
        <v>43.4</v>
      </c>
      <c r="E32" s="40">
        <v>9.1</v>
      </c>
      <c r="F32" s="27" t="s">
        <v>8</v>
      </c>
      <c r="G32" s="40">
        <v>99.49</v>
      </c>
      <c r="H32" s="40">
        <v>27.28</v>
      </c>
      <c r="I32" s="40">
        <v>13.1</v>
      </c>
      <c r="J32" s="40">
        <v>0.18</v>
      </c>
      <c r="K32" s="40">
        <v>196.2</v>
      </c>
      <c r="L32" s="40">
        <v>15.39</v>
      </c>
      <c r="M32" s="40">
        <v>78.27</v>
      </c>
      <c r="N32" s="40">
        <v>1.4</v>
      </c>
      <c r="O32" s="40">
        <v>0</v>
      </c>
      <c r="P32" s="40">
        <v>1.1599999999999999</v>
      </c>
      <c r="Q32" s="40">
        <v>13.09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3.77</v>
      </c>
      <c r="C34" s="18">
        <f t="shared" si="0"/>
        <v>20.59</v>
      </c>
      <c r="D34" s="18">
        <f t="shared" si="0"/>
        <v>16.52</v>
      </c>
      <c r="E34" s="18">
        <f t="shared" si="0"/>
        <v>7.48</v>
      </c>
      <c r="F34" s="18">
        <f t="shared" si="0"/>
        <v>0</v>
      </c>
      <c r="G34" s="18">
        <f t="shared" si="0"/>
        <v>48.21</v>
      </c>
      <c r="H34" s="18">
        <f t="shared" si="0"/>
        <v>15.58</v>
      </c>
      <c r="I34" s="18">
        <f t="shared" si="0"/>
        <v>5.78</v>
      </c>
      <c r="J34" s="18">
        <f t="shared" si="0"/>
        <v>0.13</v>
      </c>
      <c r="K34" s="18">
        <f t="shared" si="0"/>
        <v>56.38</v>
      </c>
      <c r="L34" s="18">
        <f t="shared" si="0"/>
        <v>11.76</v>
      </c>
      <c r="M34" s="18">
        <f t="shared" si="0"/>
        <v>21.84</v>
      </c>
      <c r="N34" s="18">
        <f t="shared" si="0"/>
        <v>1</v>
      </c>
      <c r="O34" s="18">
        <f t="shared" si="0"/>
        <v>0</v>
      </c>
      <c r="P34" s="18">
        <f t="shared" si="0"/>
        <v>0.49</v>
      </c>
      <c r="Q34" s="18">
        <f t="shared" si="0"/>
        <v>12.97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36.65</v>
      </c>
      <c r="C35" s="3">
        <f t="shared" si="1"/>
        <v>27.05</v>
      </c>
      <c r="D35" s="3">
        <f t="shared" si="1"/>
        <v>43.4</v>
      </c>
      <c r="E35" s="3">
        <f t="shared" si="1"/>
        <v>18.25</v>
      </c>
      <c r="F35" s="3">
        <f t="shared" si="1"/>
        <v>0</v>
      </c>
      <c r="G35" s="3">
        <f t="shared" si="1"/>
        <v>101.23</v>
      </c>
      <c r="H35" s="3">
        <f t="shared" si="1"/>
        <v>27.28</v>
      </c>
      <c r="I35" s="3">
        <f t="shared" si="1"/>
        <v>14.3</v>
      </c>
      <c r="J35" s="3">
        <f t="shared" si="1"/>
        <v>1.25</v>
      </c>
      <c r="K35" s="3">
        <f t="shared" si="1"/>
        <v>353.34</v>
      </c>
      <c r="L35" s="3">
        <f t="shared" si="1"/>
        <v>27.24</v>
      </c>
      <c r="M35" s="3">
        <f t="shared" si="1"/>
        <v>94.56</v>
      </c>
      <c r="N35" s="3">
        <f t="shared" si="1"/>
        <v>519</v>
      </c>
      <c r="O35" s="3">
        <f t="shared" si="1"/>
        <v>0</v>
      </c>
      <c r="P35" s="3">
        <f t="shared" si="1"/>
        <v>1.1599999999999999</v>
      </c>
      <c r="Q35" s="3">
        <f t="shared" si="1"/>
        <v>13.09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18.387083333333333</v>
      </c>
      <c r="C36" s="18">
        <f t="shared" si="2"/>
        <v>23.936250000000001</v>
      </c>
      <c r="D36" s="18">
        <f t="shared" si="2"/>
        <v>28.442083333333329</v>
      </c>
      <c r="E36" s="18">
        <f t="shared" si="2"/>
        <v>10.032083333333333</v>
      </c>
      <c r="F36" s="18" t="e">
        <f t="shared" si="2"/>
        <v>#DIV/0!</v>
      </c>
      <c r="G36" s="18">
        <f t="shared" si="2"/>
        <v>71.879583333333343</v>
      </c>
      <c r="H36" s="18">
        <f t="shared" si="2"/>
        <v>22.346250000000001</v>
      </c>
      <c r="I36" s="18">
        <f t="shared" si="2"/>
        <v>11.063333333333334</v>
      </c>
      <c r="J36" s="18">
        <f t="shared" si="2"/>
        <v>0.43874999999999997</v>
      </c>
      <c r="K36" s="18">
        <f t="shared" si="2"/>
        <v>199.90874999999997</v>
      </c>
      <c r="L36" s="18">
        <f t="shared" si="2"/>
        <v>19.048333333333332</v>
      </c>
      <c r="M36" s="18">
        <f t="shared" si="2"/>
        <v>64.232083333333335</v>
      </c>
      <c r="N36" s="18">
        <f t="shared" si="2"/>
        <v>115.10416666666669</v>
      </c>
      <c r="O36" s="18">
        <f t="shared" si="2"/>
        <v>0</v>
      </c>
      <c r="P36" s="18">
        <f t="shared" si="2"/>
        <v>0.89333333333333353</v>
      </c>
      <c r="Q36" s="18">
        <f t="shared" si="2"/>
        <v>13.035416666666665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10.746270729953221</v>
      </c>
      <c r="C37" s="18">
        <f t="shared" ref="C37:Q37" si="3">STDEV(C9:C32)</f>
        <v>1.834011551099179</v>
      </c>
      <c r="D37" s="18">
        <f t="shared" si="3"/>
        <v>8.1849564972771294</v>
      </c>
      <c r="E37" s="18">
        <f t="shared" si="3"/>
        <v>2.6803017013285948</v>
      </c>
      <c r="F37" s="18" t="e">
        <f t="shared" si="3"/>
        <v>#DIV/0!</v>
      </c>
      <c r="G37" s="18">
        <f t="shared" si="3"/>
        <v>16.42699143619809</v>
      </c>
      <c r="H37" s="18">
        <f t="shared" si="3"/>
        <v>3.5731605939888218</v>
      </c>
      <c r="I37" s="18">
        <f t="shared" si="3"/>
        <v>2.8721672875263002</v>
      </c>
      <c r="J37" s="18">
        <f t="shared" si="3"/>
        <v>0.311703768232652</v>
      </c>
      <c r="K37" s="18">
        <f t="shared" si="3"/>
        <v>75.296169907355818</v>
      </c>
      <c r="L37" s="18">
        <f t="shared" si="3"/>
        <v>5.7634581004256678</v>
      </c>
      <c r="M37" s="18">
        <f t="shared" si="3"/>
        <v>25.974072855222488</v>
      </c>
      <c r="N37" s="18">
        <f t="shared" si="3"/>
        <v>184.26607293275114</v>
      </c>
      <c r="O37" s="18">
        <f t="shared" si="3"/>
        <v>0</v>
      </c>
      <c r="P37" s="18">
        <f t="shared" si="3"/>
        <v>0.21814766970357727</v>
      </c>
      <c r="Q37" s="18">
        <f t="shared" si="3"/>
        <v>3.1757117198411296E-2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>COUNT(F9:F32)+24</f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6"/>
  <sheetViews>
    <sheetView zoomScale="85" zoomScaleNormal="85" workbookViewId="0">
      <pane xSplit="2" ySplit="8" topLeftCell="C25" activePane="bottomRight" state="frozen"/>
      <selection activeCell="G19" sqref="G19"/>
      <selection pane="topRight" activeCell="G19" sqref="G19"/>
      <selection pane="bottomLeft" activeCell="G19" sqref="G19"/>
      <selection pane="bottomRight" activeCell="J26" sqref="J26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03/01/2025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109</v>
      </c>
      <c r="B9" s="40">
        <v>42.8</v>
      </c>
      <c r="C9" s="40">
        <v>24.88</v>
      </c>
      <c r="D9" s="40">
        <v>48.67</v>
      </c>
      <c r="E9" s="40">
        <v>9.5</v>
      </c>
      <c r="F9" s="42">
        <v>5.04</v>
      </c>
      <c r="G9" s="40">
        <v>106.78</v>
      </c>
      <c r="H9" s="40">
        <v>29.47</v>
      </c>
      <c r="I9" s="40">
        <v>13.54</v>
      </c>
      <c r="J9" s="40">
        <v>0.25</v>
      </c>
      <c r="K9" s="40">
        <v>198.4</v>
      </c>
      <c r="L9" s="40">
        <v>15.47</v>
      </c>
      <c r="M9" s="40">
        <v>77.61</v>
      </c>
      <c r="N9" s="40">
        <v>1.4</v>
      </c>
      <c r="O9" s="40">
        <v>0</v>
      </c>
      <c r="P9" s="40">
        <v>1.17</v>
      </c>
      <c r="Q9" s="40">
        <v>13.11</v>
      </c>
      <c r="R9" s="38"/>
      <c r="S9" s="38"/>
      <c r="T9" s="38"/>
      <c r="U9" s="38"/>
    </row>
    <row r="10" spans="1:21" customFormat="1">
      <c r="A10" s="39" t="s">
        <v>110</v>
      </c>
      <c r="B10" s="40">
        <v>42.64</v>
      </c>
      <c r="C10" s="40">
        <v>24.68</v>
      </c>
      <c r="D10" s="40">
        <v>48.44</v>
      </c>
      <c r="E10" s="40">
        <v>9.2799999999999994</v>
      </c>
      <c r="F10" s="42">
        <v>5.26</v>
      </c>
      <c r="G10" s="40">
        <v>108.54</v>
      </c>
      <c r="H10" s="40">
        <v>28.66</v>
      </c>
      <c r="I10" s="40">
        <v>13.51</v>
      </c>
      <c r="J10" s="40">
        <v>0.2</v>
      </c>
      <c r="K10" s="40">
        <v>224.63</v>
      </c>
      <c r="L10" s="40">
        <v>14.57</v>
      </c>
      <c r="M10" s="40">
        <v>79.47</v>
      </c>
      <c r="N10" s="40">
        <v>1.5</v>
      </c>
      <c r="O10" s="40">
        <v>0</v>
      </c>
      <c r="P10" s="40">
        <v>1.1399999999999999</v>
      </c>
      <c r="Q10" s="40">
        <v>13.11</v>
      </c>
      <c r="R10" s="38"/>
      <c r="S10" s="38"/>
      <c r="T10" s="38"/>
      <c r="U10" s="38"/>
    </row>
    <row r="11" spans="1:21" customFormat="1">
      <c r="A11" s="39" t="s">
        <v>111</v>
      </c>
      <c r="B11" s="40">
        <v>38.92</v>
      </c>
      <c r="C11" s="40">
        <v>23.8</v>
      </c>
      <c r="D11" s="40">
        <v>45</v>
      </c>
      <c r="E11" s="40">
        <v>7.55</v>
      </c>
      <c r="F11" s="42">
        <v>5.33</v>
      </c>
      <c r="G11" s="40">
        <v>101.57</v>
      </c>
      <c r="H11" s="40">
        <v>25.86</v>
      </c>
      <c r="I11" s="40">
        <v>13.93</v>
      </c>
      <c r="J11" s="40">
        <v>0.18</v>
      </c>
      <c r="K11" s="40">
        <v>237.29</v>
      </c>
      <c r="L11" s="40">
        <v>13.92</v>
      </c>
      <c r="M11" s="40">
        <v>85.57</v>
      </c>
      <c r="N11" s="40">
        <v>1.3</v>
      </c>
      <c r="O11" s="40">
        <v>0</v>
      </c>
      <c r="P11" s="40">
        <v>1.04</v>
      </c>
      <c r="Q11" s="40">
        <v>13.1</v>
      </c>
      <c r="R11" s="38"/>
      <c r="S11" s="38"/>
      <c r="T11" s="38"/>
      <c r="U11" s="38"/>
    </row>
    <row r="12" spans="1:21" customFormat="1">
      <c r="A12" s="39" t="s">
        <v>112</v>
      </c>
      <c r="B12" s="40">
        <v>33.020000000000003</v>
      </c>
      <c r="C12" s="40">
        <v>22.35</v>
      </c>
      <c r="D12" s="40">
        <v>39.51</v>
      </c>
      <c r="E12" s="40">
        <v>7.42</v>
      </c>
      <c r="F12" s="42">
        <v>5.24</v>
      </c>
      <c r="G12" s="40">
        <v>93.72</v>
      </c>
      <c r="H12" s="40">
        <v>24.45</v>
      </c>
      <c r="I12" s="40">
        <v>14.09</v>
      </c>
      <c r="J12" s="40">
        <v>0.18</v>
      </c>
      <c r="K12" s="40">
        <v>230.88</v>
      </c>
      <c r="L12" s="40">
        <v>13.13</v>
      </c>
      <c r="M12" s="40">
        <v>87.28</v>
      </c>
      <c r="N12" s="40">
        <v>1.3</v>
      </c>
      <c r="O12" s="40">
        <v>0</v>
      </c>
      <c r="P12" s="40">
        <v>1</v>
      </c>
      <c r="Q12" s="40">
        <v>13.09</v>
      </c>
      <c r="R12" s="38"/>
      <c r="S12" s="38"/>
      <c r="T12" s="38"/>
      <c r="U12" s="38"/>
    </row>
    <row r="13" spans="1:21" customFormat="1">
      <c r="A13" s="39" t="s">
        <v>113</v>
      </c>
      <c r="B13" s="40">
        <v>29.05</v>
      </c>
      <c r="C13" s="40">
        <v>21.17</v>
      </c>
      <c r="D13" s="40">
        <v>35.700000000000003</v>
      </c>
      <c r="E13" s="40">
        <v>7.16</v>
      </c>
      <c r="F13" s="42">
        <v>5.0599999999999996</v>
      </c>
      <c r="G13" s="40">
        <v>86.14</v>
      </c>
      <c r="H13" s="40">
        <v>24.19</v>
      </c>
      <c r="I13" s="40">
        <v>14.16</v>
      </c>
      <c r="J13" s="40">
        <v>0.2</v>
      </c>
      <c r="K13" s="40">
        <v>236.1</v>
      </c>
      <c r="L13" s="40">
        <v>12.46</v>
      </c>
      <c r="M13" s="40">
        <v>91.05</v>
      </c>
      <c r="N13" s="40">
        <v>1.3</v>
      </c>
      <c r="O13" s="40">
        <v>0</v>
      </c>
      <c r="P13" s="40">
        <v>0.97</v>
      </c>
      <c r="Q13" s="40">
        <v>13.05</v>
      </c>
      <c r="R13" s="38"/>
      <c r="S13" s="38"/>
      <c r="T13" s="38"/>
      <c r="U13" s="38"/>
    </row>
    <row r="14" spans="1:21" customFormat="1">
      <c r="A14" s="39" t="s">
        <v>114</v>
      </c>
      <c r="B14" s="40">
        <v>23.88</v>
      </c>
      <c r="C14" s="40">
        <v>20.05</v>
      </c>
      <c r="D14" s="40">
        <v>30.98</v>
      </c>
      <c r="E14" s="40">
        <v>7.12</v>
      </c>
      <c r="F14" s="42">
        <v>4.8600000000000003</v>
      </c>
      <c r="G14" s="40">
        <v>79.84</v>
      </c>
      <c r="H14" s="40">
        <v>23.88</v>
      </c>
      <c r="I14" s="40">
        <v>14.05</v>
      </c>
      <c r="J14" s="40">
        <v>0.21</v>
      </c>
      <c r="K14" s="40">
        <v>210.6</v>
      </c>
      <c r="L14" s="40">
        <v>12.04</v>
      </c>
      <c r="M14" s="40">
        <v>91.4</v>
      </c>
      <c r="N14" s="40">
        <v>1.2</v>
      </c>
      <c r="O14" s="40">
        <v>0</v>
      </c>
      <c r="P14" s="40">
        <v>0.93</v>
      </c>
      <c r="Q14" s="40">
        <v>13.04</v>
      </c>
      <c r="R14" s="38"/>
      <c r="S14" s="38"/>
      <c r="T14" s="38"/>
      <c r="U14" s="38"/>
    </row>
    <row r="15" spans="1:21" customFormat="1">
      <c r="A15" s="39" t="s">
        <v>115</v>
      </c>
      <c r="B15" s="40">
        <v>19.600000000000001</v>
      </c>
      <c r="C15" s="40">
        <v>18.75</v>
      </c>
      <c r="D15" s="40">
        <v>26.87</v>
      </c>
      <c r="E15" s="40">
        <v>6.73</v>
      </c>
      <c r="F15" s="42">
        <v>4.82</v>
      </c>
      <c r="G15" s="40">
        <v>73.459999999999994</v>
      </c>
      <c r="H15" s="40">
        <v>22.79</v>
      </c>
      <c r="I15" s="40">
        <v>13.54</v>
      </c>
      <c r="J15" s="40">
        <v>0.15</v>
      </c>
      <c r="K15" s="40">
        <v>171.73</v>
      </c>
      <c r="L15" s="40">
        <v>11.43</v>
      </c>
      <c r="M15" s="40">
        <v>93.4</v>
      </c>
      <c r="N15" s="40">
        <v>10.7</v>
      </c>
      <c r="O15" s="40">
        <v>0</v>
      </c>
      <c r="P15" s="40">
        <v>0.92</v>
      </c>
      <c r="Q15" s="40">
        <v>13.03</v>
      </c>
      <c r="R15" s="38"/>
      <c r="S15" s="38"/>
      <c r="T15" s="38"/>
      <c r="U15" s="38"/>
    </row>
    <row r="16" spans="1:21" customFormat="1">
      <c r="A16" s="39" t="s">
        <v>116</v>
      </c>
      <c r="B16" s="40">
        <v>17.510000000000002</v>
      </c>
      <c r="C16" s="40">
        <v>18.75</v>
      </c>
      <c r="D16" s="40">
        <v>25.16</v>
      </c>
      <c r="E16" s="40">
        <v>6.53</v>
      </c>
      <c r="F16" s="42">
        <v>4.9000000000000004</v>
      </c>
      <c r="G16" s="40">
        <v>70.19</v>
      </c>
      <c r="H16" s="40">
        <v>21.88</v>
      </c>
      <c r="I16" s="40">
        <v>13.14</v>
      </c>
      <c r="J16" s="40">
        <v>0.28000000000000003</v>
      </c>
      <c r="K16" s="40">
        <v>170.63</v>
      </c>
      <c r="L16" s="40">
        <v>14.48</v>
      </c>
      <c r="M16" s="40">
        <v>93.27</v>
      </c>
      <c r="N16" s="40">
        <v>63.5</v>
      </c>
      <c r="O16" s="40">
        <v>0</v>
      </c>
      <c r="P16" s="40">
        <v>0.92</v>
      </c>
      <c r="Q16" s="40">
        <v>13.01</v>
      </c>
      <c r="R16" s="38"/>
      <c r="S16" s="38"/>
      <c r="T16" s="38"/>
      <c r="U16" s="38"/>
    </row>
    <row r="17" spans="1:21" customFormat="1">
      <c r="A17" s="39" t="s">
        <v>117</v>
      </c>
      <c r="B17" s="40">
        <v>17.559999999999999</v>
      </c>
      <c r="C17" s="40">
        <v>21.71</v>
      </c>
      <c r="D17" s="40">
        <v>26.1</v>
      </c>
      <c r="E17" s="40">
        <v>7.11</v>
      </c>
      <c r="F17" s="42">
        <v>4.99</v>
      </c>
      <c r="G17" s="40">
        <v>72.27</v>
      </c>
      <c r="H17" s="40">
        <v>22.67</v>
      </c>
      <c r="I17" s="40">
        <v>13.28</v>
      </c>
      <c r="J17" s="40">
        <v>0.34</v>
      </c>
      <c r="K17" s="40">
        <v>253.47</v>
      </c>
      <c r="L17" s="40">
        <v>20.51</v>
      </c>
      <c r="M17" s="40">
        <v>61.4</v>
      </c>
      <c r="N17" s="40">
        <v>298.89999999999998</v>
      </c>
      <c r="O17" s="40">
        <v>0</v>
      </c>
      <c r="P17" s="40">
        <v>0.93</v>
      </c>
      <c r="Q17" s="40">
        <v>13.02</v>
      </c>
      <c r="R17" s="38"/>
      <c r="S17" s="38"/>
      <c r="T17" s="38"/>
      <c r="U17" s="38"/>
    </row>
    <row r="18" spans="1:21" customFormat="1">
      <c r="A18" s="39" t="s">
        <v>118</v>
      </c>
      <c r="B18" s="40">
        <v>15.73</v>
      </c>
      <c r="C18" s="40">
        <v>22.31</v>
      </c>
      <c r="D18" s="40">
        <v>25.49</v>
      </c>
      <c r="E18" s="40">
        <v>7.7</v>
      </c>
      <c r="F18" s="42">
        <v>5.05</v>
      </c>
      <c r="G18" s="40">
        <v>74.569999999999993</v>
      </c>
      <c r="H18" s="40">
        <v>21.5</v>
      </c>
      <c r="I18" s="40">
        <v>13.45</v>
      </c>
      <c r="J18" s="40">
        <v>0.69</v>
      </c>
      <c r="K18" s="40">
        <v>221.14</v>
      </c>
      <c r="L18" s="40">
        <v>23.11</v>
      </c>
      <c r="M18" s="40">
        <v>46.24</v>
      </c>
      <c r="N18" s="40">
        <v>283.3</v>
      </c>
      <c r="O18" s="40">
        <v>0</v>
      </c>
      <c r="P18" s="40">
        <v>0.91</v>
      </c>
      <c r="Q18" s="40">
        <v>13.02</v>
      </c>
      <c r="R18" s="38"/>
      <c r="S18" s="38"/>
      <c r="T18" s="38"/>
      <c r="U18" s="38"/>
    </row>
    <row r="19" spans="1:21" customFormat="1">
      <c r="A19" s="39" t="s">
        <v>119</v>
      </c>
      <c r="B19" s="40">
        <v>16</v>
      </c>
      <c r="C19" s="40">
        <v>22.39</v>
      </c>
      <c r="D19" s="40">
        <v>25.83</v>
      </c>
      <c r="E19" s="40">
        <v>9.84</v>
      </c>
      <c r="F19" s="42">
        <v>5.2</v>
      </c>
      <c r="G19" s="40">
        <v>72.7</v>
      </c>
      <c r="H19" s="40">
        <v>20.95</v>
      </c>
      <c r="I19" s="40">
        <v>13.03</v>
      </c>
      <c r="J19" s="40">
        <v>0.5</v>
      </c>
      <c r="K19" s="40">
        <v>78.83</v>
      </c>
      <c r="L19" s="40">
        <v>25.4</v>
      </c>
      <c r="M19" s="40">
        <v>30.26</v>
      </c>
      <c r="N19" s="40">
        <v>497.1</v>
      </c>
      <c r="O19" s="40">
        <v>0</v>
      </c>
      <c r="P19" s="40">
        <v>0.89</v>
      </c>
      <c r="Q19" s="40">
        <v>13.02</v>
      </c>
      <c r="R19" s="38"/>
      <c r="S19" s="38"/>
      <c r="T19" s="38"/>
      <c r="U19" s="38"/>
    </row>
    <row r="20" spans="1:21" customFormat="1">
      <c r="A20" s="39" t="s">
        <v>120</v>
      </c>
      <c r="B20" s="40">
        <v>16.170000000000002</v>
      </c>
      <c r="C20" s="40">
        <v>24.29</v>
      </c>
      <c r="D20" s="40">
        <v>26.28</v>
      </c>
      <c r="E20" s="40">
        <v>9.42</v>
      </c>
      <c r="F20" s="42">
        <v>8.42</v>
      </c>
      <c r="G20" s="40">
        <v>68.97</v>
      </c>
      <c r="H20" s="40">
        <v>21.2</v>
      </c>
      <c r="I20" s="40">
        <v>12.25</v>
      </c>
      <c r="J20" s="40">
        <v>0.57999999999999996</v>
      </c>
      <c r="K20" s="40">
        <v>317.02</v>
      </c>
      <c r="L20" s="40">
        <v>27.22</v>
      </c>
      <c r="M20" s="40">
        <v>24.69</v>
      </c>
      <c r="N20" s="40">
        <v>532</v>
      </c>
      <c r="O20" s="40">
        <v>0</v>
      </c>
      <c r="P20" s="40">
        <v>0.82</v>
      </c>
      <c r="Q20" s="40">
        <v>13.03</v>
      </c>
      <c r="R20" s="38"/>
      <c r="S20" s="38"/>
      <c r="T20" s="38"/>
      <c r="U20" s="38"/>
    </row>
    <row r="21" spans="1:21" customFormat="1">
      <c r="A21" s="39" t="s">
        <v>121</v>
      </c>
      <c r="B21" s="40">
        <v>13.7</v>
      </c>
      <c r="C21" s="40">
        <v>25.25</v>
      </c>
      <c r="D21" s="40">
        <v>25.28</v>
      </c>
      <c r="E21" s="40">
        <v>10.130000000000001</v>
      </c>
      <c r="F21" s="42">
        <v>6.34</v>
      </c>
      <c r="G21" s="40">
        <v>61.75</v>
      </c>
      <c r="H21" s="40">
        <v>19.96</v>
      </c>
      <c r="I21" s="40">
        <v>11.22</v>
      </c>
      <c r="J21" s="40">
        <v>0.51</v>
      </c>
      <c r="K21" s="40">
        <v>343.28</v>
      </c>
      <c r="L21" s="40">
        <v>28.31</v>
      </c>
      <c r="M21" s="40">
        <v>23.2</v>
      </c>
      <c r="N21" s="40">
        <v>498.2</v>
      </c>
      <c r="O21" s="40">
        <v>0</v>
      </c>
      <c r="P21" s="40">
        <v>0.69</v>
      </c>
      <c r="Q21" s="40">
        <v>13.03</v>
      </c>
      <c r="R21" s="38"/>
      <c r="S21" s="38"/>
      <c r="T21" s="38"/>
      <c r="U21" s="38"/>
    </row>
    <row r="22" spans="1:21" customFormat="1">
      <c r="A22" s="39" t="s">
        <v>122</v>
      </c>
      <c r="B22" s="40">
        <v>9.02</v>
      </c>
      <c r="C22" s="40">
        <v>26.36</v>
      </c>
      <c r="D22" s="40">
        <v>21.89</v>
      </c>
      <c r="E22" s="40">
        <v>11.39</v>
      </c>
      <c r="F22" s="42">
        <v>6.77</v>
      </c>
      <c r="G22" s="40">
        <v>61.27</v>
      </c>
      <c r="H22" s="40">
        <v>18.75</v>
      </c>
      <c r="I22" s="40">
        <v>10.14</v>
      </c>
      <c r="J22" s="40">
        <v>0.57999999999999996</v>
      </c>
      <c r="K22" s="40">
        <v>344.4</v>
      </c>
      <c r="L22" s="40">
        <v>28.77</v>
      </c>
      <c r="M22" s="40">
        <v>22.68</v>
      </c>
      <c r="N22" s="40">
        <v>427.5</v>
      </c>
      <c r="O22" s="40">
        <v>0</v>
      </c>
      <c r="P22" s="40">
        <v>0.66</v>
      </c>
      <c r="Q22" s="40">
        <v>13.01</v>
      </c>
      <c r="R22" s="38"/>
      <c r="S22" s="38"/>
      <c r="T22" s="38"/>
      <c r="U22" s="38"/>
    </row>
    <row r="23" spans="1:21" customFormat="1">
      <c r="A23" s="39" t="s">
        <v>123</v>
      </c>
      <c r="B23" s="40">
        <v>6.27</v>
      </c>
      <c r="C23" s="40">
        <v>27.16</v>
      </c>
      <c r="D23" s="40">
        <v>20.34</v>
      </c>
      <c r="E23" s="40">
        <v>14.6</v>
      </c>
      <c r="F23" s="42">
        <v>11.55</v>
      </c>
      <c r="G23" s="40">
        <v>73.52</v>
      </c>
      <c r="H23" s="40">
        <v>17.559999999999999</v>
      </c>
      <c r="I23" s="40">
        <v>9.36</v>
      </c>
      <c r="J23" s="40">
        <v>0.57999999999999996</v>
      </c>
      <c r="K23" s="40">
        <v>347.17</v>
      </c>
      <c r="L23" s="40">
        <v>28</v>
      </c>
      <c r="M23" s="40">
        <v>21.69</v>
      </c>
      <c r="N23" s="40">
        <v>107.4</v>
      </c>
      <c r="O23" s="40">
        <v>0</v>
      </c>
      <c r="P23" s="40">
        <v>0.66</v>
      </c>
      <c r="Q23" s="40">
        <v>13.01</v>
      </c>
      <c r="R23" s="38"/>
      <c r="S23" s="38"/>
      <c r="T23" s="38"/>
      <c r="U23" s="38"/>
    </row>
    <row r="24" spans="1:21" customFormat="1">
      <c r="A24" s="39" t="s">
        <v>124</v>
      </c>
      <c r="B24" s="40">
        <v>4.8099999999999996</v>
      </c>
      <c r="C24" s="40">
        <v>26.79</v>
      </c>
      <c r="D24" s="40">
        <v>19.21</v>
      </c>
      <c r="E24" s="40">
        <v>14.88</v>
      </c>
      <c r="F24" s="42">
        <v>9.4</v>
      </c>
      <c r="G24" s="40">
        <v>74.06</v>
      </c>
      <c r="H24" s="40">
        <v>18.63</v>
      </c>
      <c r="I24" s="40">
        <v>8.8000000000000007</v>
      </c>
      <c r="J24" s="40">
        <v>0.73</v>
      </c>
      <c r="K24" s="40">
        <v>356.98</v>
      </c>
      <c r="L24" s="40">
        <v>27.79</v>
      </c>
      <c r="M24" s="40">
        <v>20.82</v>
      </c>
      <c r="N24" s="40">
        <v>45.6</v>
      </c>
      <c r="O24" s="40">
        <v>0</v>
      </c>
      <c r="P24" s="40">
        <v>0.65</v>
      </c>
      <c r="Q24" s="40">
        <v>13</v>
      </c>
      <c r="R24" s="38"/>
      <c r="S24" s="38"/>
      <c r="T24" s="38"/>
      <c r="U24" s="38"/>
    </row>
    <row r="25" spans="1:21" customFormat="1">
      <c r="A25" s="39" t="s">
        <v>125</v>
      </c>
      <c r="B25" s="40">
        <v>5.26</v>
      </c>
      <c r="C25" s="40">
        <v>25.52</v>
      </c>
      <c r="D25" s="40">
        <v>18.260000000000002</v>
      </c>
      <c r="E25" s="40">
        <v>9.9</v>
      </c>
      <c r="F25" s="42">
        <v>7.15</v>
      </c>
      <c r="G25" s="40">
        <v>67.790000000000006</v>
      </c>
      <c r="H25" s="40">
        <v>17.21</v>
      </c>
      <c r="I25" s="40">
        <v>8.0299999999999994</v>
      </c>
      <c r="J25" s="40">
        <v>0.73</v>
      </c>
      <c r="K25" s="40">
        <v>168.37</v>
      </c>
      <c r="L25" s="40">
        <v>27.45</v>
      </c>
      <c r="M25" s="40">
        <v>29.74</v>
      </c>
      <c r="N25" s="40">
        <v>37.200000000000003</v>
      </c>
      <c r="O25" s="40">
        <v>0</v>
      </c>
      <c r="P25" s="40">
        <v>0.68</v>
      </c>
      <c r="Q25" s="40">
        <v>12.98</v>
      </c>
      <c r="R25" s="38"/>
      <c r="S25" s="38"/>
      <c r="T25" s="38"/>
      <c r="U25" s="38"/>
    </row>
    <row r="26" spans="1:21" customFormat="1">
      <c r="A26" s="39" t="s">
        <v>126</v>
      </c>
      <c r="B26" s="40">
        <v>8.11</v>
      </c>
      <c r="C26" s="40">
        <v>24.17</v>
      </c>
      <c r="D26" s="40">
        <v>20.48</v>
      </c>
      <c r="E26" s="40">
        <v>8.85</v>
      </c>
      <c r="F26" s="42">
        <v>5.81</v>
      </c>
      <c r="G26" s="40">
        <v>63.94</v>
      </c>
      <c r="H26" s="40">
        <v>15.99</v>
      </c>
      <c r="I26" s="40">
        <v>7.59</v>
      </c>
      <c r="J26" s="40">
        <v>0.32</v>
      </c>
      <c r="K26" s="40">
        <v>172.93</v>
      </c>
      <c r="L26" s="40">
        <v>23.62</v>
      </c>
      <c r="M26" s="40">
        <v>46.71</v>
      </c>
      <c r="N26" s="40">
        <v>6.6</v>
      </c>
      <c r="O26" s="40">
        <v>0</v>
      </c>
      <c r="P26" s="40">
        <v>0.71</v>
      </c>
      <c r="Q26" s="40">
        <v>12.99</v>
      </c>
      <c r="R26" s="38"/>
      <c r="S26" s="38"/>
      <c r="T26" s="38"/>
      <c r="U26" s="38"/>
    </row>
    <row r="27" spans="1:21" customFormat="1">
      <c r="A27" s="39" t="s">
        <v>127</v>
      </c>
      <c r="B27" s="40">
        <v>11.18</v>
      </c>
      <c r="C27" s="40">
        <v>24.61</v>
      </c>
      <c r="D27" s="40">
        <v>23.18</v>
      </c>
      <c r="E27" s="40">
        <v>8.99</v>
      </c>
      <c r="F27" s="42">
        <v>5.04</v>
      </c>
      <c r="G27" s="40">
        <v>82.94</v>
      </c>
      <c r="H27" s="40">
        <v>17.100000000000001</v>
      </c>
      <c r="I27" s="40">
        <v>7.86</v>
      </c>
      <c r="J27" s="40">
        <v>0.33</v>
      </c>
      <c r="K27" s="40">
        <v>186.86</v>
      </c>
      <c r="L27" s="40">
        <v>20.39</v>
      </c>
      <c r="M27" s="40">
        <v>64.42</v>
      </c>
      <c r="N27" s="40">
        <v>1.9</v>
      </c>
      <c r="O27" s="40">
        <v>0</v>
      </c>
      <c r="P27" s="40">
        <v>0.77</v>
      </c>
      <c r="Q27" s="40">
        <v>13.01</v>
      </c>
      <c r="R27" s="38"/>
      <c r="S27" s="38"/>
      <c r="T27" s="38"/>
      <c r="U27" s="38"/>
    </row>
    <row r="28" spans="1:21" customFormat="1">
      <c r="A28" s="39" t="s">
        <v>128</v>
      </c>
      <c r="B28" s="40">
        <v>12.86</v>
      </c>
      <c r="C28" s="40">
        <v>24.56</v>
      </c>
      <c r="D28" s="40">
        <v>24.37</v>
      </c>
      <c r="E28" s="40">
        <v>9.0299999999999994</v>
      </c>
      <c r="F28" s="42">
        <v>4.8499999999999996</v>
      </c>
      <c r="G28" s="40">
        <v>84.74</v>
      </c>
      <c r="H28" s="40">
        <v>20.96</v>
      </c>
      <c r="I28" s="40">
        <v>8.81</v>
      </c>
      <c r="J28" s="40">
        <v>0.25</v>
      </c>
      <c r="K28" s="40">
        <v>186.78</v>
      </c>
      <c r="L28" s="40">
        <v>18.149999999999999</v>
      </c>
      <c r="M28" s="40">
        <v>72.069999999999993</v>
      </c>
      <c r="N28" s="40">
        <v>1.5</v>
      </c>
      <c r="O28" s="40">
        <v>0</v>
      </c>
      <c r="P28" s="40">
        <v>0.83</v>
      </c>
      <c r="Q28" s="40">
        <v>13.02</v>
      </c>
      <c r="R28" s="38"/>
      <c r="S28" s="38"/>
      <c r="T28" s="38"/>
      <c r="U28" s="38"/>
    </row>
    <row r="29" spans="1:21" customFormat="1">
      <c r="A29" s="39" t="s">
        <v>129</v>
      </c>
      <c r="B29" s="40">
        <v>13.13</v>
      </c>
      <c r="C29" s="40">
        <v>24.06</v>
      </c>
      <c r="D29" s="40">
        <v>24.45</v>
      </c>
      <c r="E29" s="40">
        <v>8.98</v>
      </c>
      <c r="F29" s="42">
        <v>4.7300000000000004</v>
      </c>
      <c r="G29" s="40">
        <v>83.73</v>
      </c>
      <c r="H29" s="40">
        <v>15.57</v>
      </c>
      <c r="I29" s="40">
        <v>9.32</v>
      </c>
      <c r="J29" s="40">
        <v>0.21</v>
      </c>
      <c r="K29" s="40">
        <v>195.02</v>
      </c>
      <c r="L29" s="40">
        <v>16.920000000000002</v>
      </c>
      <c r="M29" s="40">
        <v>74.959999999999994</v>
      </c>
      <c r="N29" s="40">
        <v>1.3</v>
      </c>
      <c r="O29" s="40">
        <v>0</v>
      </c>
      <c r="P29" s="40">
        <v>0.86</v>
      </c>
      <c r="Q29" s="40">
        <v>13.02</v>
      </c>
      <c r="R29" s="38"/>
      <c r="S29" s="38"/>
      <c r="T29" s="38"/>
      <c r="U29" s="38"/>
    </row>
    <row r="30" spans="1:21" customFormat="1">
      <c r="A30" s="39" t="s">
        <v>130</v>
      </c>
      <c r="B30" s="40">
        <v>12.71</v>
      </c>
      <c r="C30" s="40">
        <v>23.46</v>
      </c>
      <c r="D30" s="40">
        <v>23.81</v>
      </c>
      <c r="E30" s="40">
        <v>9.07</v>
      </c>
      <c r="F30" s="42">
        <v>4.63</v>
      </c>
      <c r="G30" s="40">
        <v>82.69</v>
      </c>
      <c r="H30" s="40">
        <v>18.62</v>
      </c>
      <c r="I30" s="40">
        <v>9.5500000000000007</v>
      </c>
      <c r="J30" s="40">
        <v>0.18</v>
      </c>
      <c r="K30" s="40">
        <v>216.89</v>
      </c>
      <c r="L30" s="40">
        <v>16.329999999999998</v>
      </c>
      <c r="M30" s="40">
        <v>76.91</v>
      </c>
      <c r="N30" s="40">
        <v>1.4</v>
      </c>
      <c r="O30" s="40">
        <v>0</v>
      </c>
      <c r="P30" s="40">
        <v>0.82</v>
      </c>
      <c r="Q30" s="40">
        <v>13.01</v>
      </c>
      <c r="R30" s="38"/>
      <c r="S30" s="38"/>
      <c r="T30" s="38"/>
      <c r="U30" s="38"/>
    </row>
    <row r="31" spans="1:21" customFormat="1">
      <c r="A31" s="39" t="s">
        <v>131</v>
      </c>
      <c r="B31" s="40">
        <v>12.95</v>
      </c>
      <c r="C31" s="40">
        <v>23.07</v>
      </c>
      <c r="D31" s="40">
        <v>23.3</v>
      </c>
      <c r="E31" s="40">
        <v>9.24</v>
      </c>
      <c r="F31" s="42">
        <v>4.76</v>
      </c>
      <c r="G31" s="40">
        <v>84.74</v>
      </c>
      <c r="H31" s="40">
        <v>18.61</v>
      </c>
      <c r="I31" s="40">
        <v>10.06</v>
      </c>
      <c r="J31" s="40">
        <v>0.2</v>
      </c>
      <c r="K31" s="40">
        <v>189.63</v>
      </c>
      <c r="L31" s="40">
        <v>15.4</v>
      </c>
      <c r="M31" s="40">
        <v>83.49</v>
      </c>
      <c r="N31" s="40">
        <v>1.3</v>
      </c>
      <c r="O31" s="40">
        <v>0</v>
      </c>
      <c r="P31" s="40">
        <v>0.88</v>
      </c>
      <c r="Q31" s="40">
        <v>13.02</v>
      </c>
      <c r="R31" s="38"/>
      <c r="S31" s="38"/>
      <c r="T31" s="38"/>
      <c r="U31" s="38"/>
    </row>
    <row r="32" spans="1:21" customFormat="1">
      <c r="A32" s="39" t="s">
        <v>132</v>
      </c>
      <c r="B32" s="40">
        <v>16.57</v>
      </c>
      <c r="C32" s="40">
        <v>22.13</v>
      </c>
      <c r="D32" s="40">
        <v>26.2</v>
      </c>
      <c r="E32" s="40">
        <v>9.43</v>
      </c>
      <c r="F32" s="42">
        <v>4.68</v>
      </c>
      <c r="G32" s="40">
        <v>93.42</v>
      </c>
      <c r="H32" s="40">
        <v>22.69</v>
      </c>
      <c r="I32" s="40">
        <v>11.63</v>
      </c>
      <c r="J32" s="40">
        <v>0.2</v>
      </c>
      <c r="K32" s="40">
        <v>200.05</v>
      </c>
      <c r="L32" s="40">
        <v>15.06</v>
      </c>
      <c r="M32" s="40">
        <v>84.03</v>
      </c>
      <c r="N32" s="40">
        <v>1.2</v>
      </c>
      <c r="O32" s="40">
        <v>0</v>
      </c>
      <c r="P32" s="40">
        <v>1.02</v>
      </c>
      <c r="Q32" s="40">
        <v>13.03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4.8099999999999996</v>
      </c>
      <c r="C34" s="18">
        <f t="shared" si="0"/>
        <v>18.75</v>
      </c>
      <c r="D34" s="18">
        <f t="shared" si="0"/>
        <v>18.260000000000002</v>
      </c>
      <c r="E34" s="18">
        <f t="shared" si="0"/>
        <v>6.53</v>
      </c>
      <c r="F34" s="18">
        <f t="shared" si="0"/>
        <v>4.63</v>
      </c>
      <c r="G34" s="18">
        <f t="shared" si="0"/>
        <v>61.27</v>
      </c>
      <c r="H34" s="18">
        <f t="shared" si="0"/>
        <v>15.57</v>
      </c>
      <c r="I34" s="18">
        <f t="shared" si="0"/>
        <v>7.59</v>
      </c>
      <c r="J34" s="18">
        <f t="shared" si="0"/>
        <v>0.15</v>
      </c>
      <c r="K34" s="18">
        <f t="shared" si="0"/>
        <v>78.83</v>
      </c>
      <c r="L34" s="18">
        <f t="shared" si="0"/>
        <v>11.43</v>
      </c>
      <c r="M34" s="18">
        <f t="shared" si="0"/>
        <v>20.82</v>
      </c>
      <c r="N34" s="18">
        <f t="shared" si="0"/>
        <v>1.2</v>
      </c>
      <c r="O34" s="18">
        <f t="shared" si="0"/>
        <v>0</v>
      </c>
      <c r="P34" s="18">
        <f t="shared" si="0"/>
        <v>0.65</v>
      </c>
      <c r="Q34" s="18">
        <f t="shared" si="0"/>
        <v>12.98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42.8</v>
      </c>
      <c r="C35" s="3">
        <f t="shared" si="1"/>
        <v>27.16</v>
      </c>
      <c r="D35" s="3">
        <f t="shared" si="1"/>
        <v>48.67</v>
      </c>
      <c r="E35" s="3">
        <f t="shared" si="1"/>
        <v>14.88</v>
      </c>
      <c r="F35" s="3">
        <f t="shared" si="1"/>
        <v>11.55</v>
      </c>
      <c r="G35" s="3">
        <f t="shared" si="1"/>
        <v>108.54</v>
      </c>
      <c r="H35" s="3">
        <f t="shared" si="1"/>
        <v>29.47</v>
      </c>
      <c r="I35" s="3">
        <f t="shared" si="1"/>
        <v>14.16</v>
      </c>
      <c r="J35" s="3">
        <f t="shared" si="1"/>
        <v>0.73</v>
      </c>
      <c r="K35" s="3">
        <f t="shared" si="1"/>
        <v>356.98</v>
      </c>
      <c r="L35" s="3">
        <f t="shared" si="1"/>
        <v>28.77</v>
      </c>
      <c r="M35" s="3">
        <f t="shared" si="1"/>
        <v>93.4</v>
      </c>
      <c r="N35" s="3">
        <f t="shared" si="1"/>
        <v>532</v>
      </c>
      <c r="O35" s="3">
        <f t="shared" si="1"/>
        <v>0</v>
      </c>
      <c r="P35" s="3">
        <f t="shared" si="1"/>
        <v>1.17</v>
      </c>
      <c r="Q35" s="3">
        <f t="shared" si="1"/>
        <v>13.11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18.310416666666665</v>
      </c>
      <c r="C36" s="18">
        <f t="shared" si="2"/>
        <v>23.427916666666675</v>
      </c>
      <c r="D36" s="18">
        <f t="shared" si="2"/>
        <v>28.11666666666666</v>
      </c>
      <c r="E36" s="18">
        <f t="shared" si="2"/>
        <v>9.1604166666666664</v>
      </c>
      <c r="F36" s="18">
        <f t="shared" si="2"/>
        <v>5.828333333333334</v>
      </c>
      <c r="G36" s="18">
        <f t="shared" si="2"/>
        <v>80.139166666666668</v>
      </c>
      <c r="H36" s="18">
        <f t="shared" si="2"/>
        <v>21.21458333333333</v>
      </c>
      <c r="I36" s="18">
        <f t="shared" si="2"/>
        <v>11.430833333333334</v>
      </c>
      <c r="J36" s="18">
        <f t="shared" si="2"/>
        <v>0.35749999999999998</v>
      </c>
      <c r="K36" s="18">
        <f t="shared" si="2"/>
        <v>227.4616666666667</v>
      </c>
      <c r="L36" s="18">
        <f t="shared" si="2"/>
        <v>19.580416666666665</v>
      </c>
      <c r="M36" s="18">
        <f t="shared" si="2"/>
        <v>61.765000000000008</v>
      </c>
      <c r="N36" s="18">
        <f t="shared" si="2"/>
        <v>117.69166666666666</v>
      </c>
      <c r="O36" s="18">
        <f t="shared" si="2"/>
        <v>0</v>
      </c>
      <c r="P36" s="18">
        <f t="shared" si="2"/>
        <v>0.86958333333333326</v>
      </c>
      <c r="Q36" s="18">
        <f t="shared" si="2"/>
        <v>13.031666666666665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11.186707359986274</v>
      </c>
      <c r="C37" s="18">
        <f t="shared" ref="C37:Q37" si="3">STDEV(C9:C32)</f>
        <v>2.2673600415397228</v>
      </c>
      <c r="D37" s="18">
        <f t="shared" si="3"/>
        <v>8.8102517689271576</v>
      </c>
      <c r="E37" s="18">
        <f t="shared" si="3"/>
        <v>2.1124094612276463</v>
      </c>
      <c r="F37" s="18">
        <f t="shared" si="3"/>
        <v>1.7249641878240123</v>
      </c>
      <c r="G37" s="18">
        <f t="shared" si="3"/>
        <v>13.267550121702307</v>
      </c>
      <c r="H37" s="18">
        <f t="shared" si="3"/>
        <v>3.6851747397266026</v>
      </c>
      <c r="I37" s="18">
        <f t="shared" si="3"/>
        <v>2.3149906876827604</v>
      </c>
      <c r="J37" s="18">
        <f t="shared" si="3"/>
        <v>0.19693852494800412</v>
      </c>
      <c r="K37" s="18">
        <f t="shared" si="3"/>
        <v>69.09148287449824</v>
      </c>
      <c r="L37" s="18">
        <f t="shared" si="3"/>
        <v>6.1029091275260443</v>
      </c>
      <c r="M37" s="18">
        <f t="shared" si="3"/>
        <v>27.309627383508662</v>
      </c>
      <c r="N37" s="18">
        <f t="shared" si="3"/>
        <v>188.52652198763343</v>
      </c>
      <c r="O37" s="18">
        <f t="shared" si="3"/>
        <v>0</v>
      </c>
      <c r="P37" s="18">
        <f t="shared" si="3"/>
        <v>0.14786830705693571</v>
      </c>
      <c r="Q37" s="18">
        <f t="shared" si="3"/>
        <v>3.5712215260895977E-2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6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H18" sqref="H18"/>
    </sheetView>
  </sheetViews>
  <sheetFormatPr defaultColWidth="8.85546875" defaultRowHeight="15"/>
  <cols>
    <col min="1" max="1" width="15.140625" style="1" customWidth="1"/>
    <col min="2" max="2" width="14.42578125" style="1" customWidth="1"/>
    <col min="3" max="3" width="10.140625" style="1" customWidth="1"/>
    <col min="4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04/01/2025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1" t="s">
        <v>133</v>
      </c>
      <c r="B9" s="42">
        <v>39.53</v>
      </c>
      <c r="C9" s="42">
        <v>28.26</v>
      </c>
      <c r="D9" s="42">
        <v>47.63</v>
      </c>
      <c r="E9" s="42">
        <v>9.89</v>
      </c>
      <c r="F9" s="42">
        <v>1.3</v>
      </c>
      <c r="G9" s="42">
        <v>146.88999999999999</v>
      </c>
      <c r="H9" s="42">
        <v>35.79</v>
      </c>
      <c r="I9" s="42">
        <v>15.54</v>
      </c>
      <c r="J9" s="42">
        <v>0.14000000000000001</v>
      </c>
      <c r="K9" s="42">
        <v>213.15</v>
      </c>
      <c r="L9" s="42">
        <v>13.6</v>
      </c>
      <c r="M9" s="42">
        <v>83.6</v>
      </c>
      <c r="N9" s="42">
        <v>1.4</v>
      </c>
      <c r="O9" s="42">
        <v>0</v>
      </c>
      <c r="P9" s="42">
        <v>1.26</v>
      </c>
      <c r="Q9" s="27" t="s">
        <v>8</v>
      </c>
      <c r="R9" s="38"/>
      <c r="S9" s="38"/>
      <c r="T9" s="38"/>
      <c r="U9" s="38"/>
    </row>
    <row r="10" spans="1:21" customFormat="1">
      <c r="A10" s="41" t="s">
        <v>134</v>
      </c>
      <c r="B10" s="42">
        <v>43</v>
      </c>
      <c r="C10" s="42">
        <v>27.73</v>
      </c>
      <c r="D10" s="42">
        <v>49.93</v>
      </c>
      <c r="E10" s="42">
        <v>10.06</v>
      </c>
      <c r="F10" s="42">
        <v>1.6</v>
      </c>
      <c r="G10" s="42">
        <v>134.05000000000001</v>
      </c>
      <c r="H10" s="42">
        <v>37.520000000000003</v>
      </c>
      <c r="I10" s="42">
        <v>16.23</v>
      </c>
      <c r="J10" s="42">
        <v>0.28000000000000003</v>
      </c>
      <c r="K10" s="42">
        <v>190.22</v>
      </c>
      <c r="L10" s="42">
        <v>12.85</v>
      </c>
      <c r="M10" s="42">
        <v>86.86</v>
      </c>
      <c r="N10" s="42">
        <v>1.4</v>
      </c>
      <c r="O10" s="42">
        <v>0</v>
      </c>
      <c r="P10" s="42">
        <v>1.25</v>
      </c>
      <c r="Q10" s="27" t="s">
        <v>8</v>
      </c>
      <c r="R10" s="38"/>
      <c r="S10" s="38"/>
      <c r="T10" s="38"/>
      <c r="U10" s="38"/>
    </row>
    <row r="11" spans="1:21" customFormat="1">
      <c r="A11" s="41" t="s">
        <v>135</v>
      </c>
      <c r="B11" s="42">
        <v>56.07</v>
      </c>
      <c r="C11" s="42">
        <v>28.38</v>
      </c>
      <c r="D11" s="42">
        <v>61.14</v>
      </c>
      <c r="E11" s="42">
        <v>10.050000000000001</v>
      </c>
      <c r="F11" s="42">
        <v>1.5</v>
      </c>
      <c r="G11" s="42">
        <v>120.51</v>
      </c>
      <c r="H11" s="42">
        <v>34.200000000000003</v>
      </c>
      <c r="I11" s="42">
        <v>16.84</v>
      </c>
      <c r="J11" s="42">
        <v>0.16</v>
      </c>
      <c r="K11" s="42">
        <v>183.74</v>
      </c>
      <c r="L11" s="42">
        <v>12.87</v>
      </c>
      <c r="M11" s="42">
        <v>80.75</v>
      </c>
      <c r="N11" s="42">
        <v>1</v>
      </c>
      <c r="O11" s="42">
        <v>0</v>
      </c>
      <c r="P11" s="42">
        <v>1.24</v>
      </c>
      <c r="Q11" s="27" t="s">
        <v>8</v>
      </c>
      <c r="R11" s="38"/>
      <c r="S11" s="38"/>
      <c r="T11" s="38"/>
      <c r="U11" s="38"/>
    </row>
    <row r="12" spans="1:21" customFormat="1">
      <c r="A12" s="41" t="s">
        <v>136</v>
      </c>
      <c r="B12" s="42">
        <v>57.37</v>
      </c>
      <c r="C12" s="42">
        <v>28.41</v>
      </c>
      <c r="D12" s="42">
        <v>61.98</v>
      </c>
      <c r="E12" s="42">
        <v>10.07</v>
      </c>
      <c r="F12" s="42">
        <v>3.2</v>
      </c>
      <c r="G12" s="42">
        <v>123.06</v>
      </c>
      <c r="H12" s="42">
        <v>36.1</v>
      </c>
      <c r="I12" s="42">
        <v>17.55</v>
      </c>
      <c r="J12" s="42">
        <v>0.17</v>
      </c>
      <c r="K12" s="42">
        <v>182.55</v>
      </c>
      <c r="L12" s="42">
        <v>12.96</v>
      </c>
      <c r="M12" s="42">
        <v>83.52</v>
      </c>
      <c r="N12" s="42">
        <v>1.2</v>
      </c>
      <c r="O12" s="42">
        <v>0</v>
      </c>
      <c r="P12" s="42">
        <v>1.26</v>
      </c>
      <c r="Q12" s="27" t="s">
        <v>8</v>
      </c>
      <c r="R12" s="38"/>
      <c r="S12" s="38"/>
      <c r="T12" s="38"/>
      <c r="U12" s="38"/>
    </row>
    <row r="13" spans="1:21" customFormat="1">
      <c r="A13" s="41" t="s">
        <v>137</v>
      </c>
      <c r="B13" s="42">
        <v>54.71</v>
      </c>
      <c r="C13" s="42">
        <v>27.67</v>
      </c>
      <c r="D13" s="42">
        <v>59.68</v>
      </c>
      <c r="E13" s="42">
        <v>9.6199999999999992</v>
      </c>
      <c r="F13" s="42">
        <v>3.5</v>
      </c>
      <c r="G13" s="42">
        <v>120.61</v>
      </c>
      <c r="H13" s="42">
        <v>39.79</v>
      </c>
      <c r="I13" s="42">
        <v>18</v>
      </c>
      <c r="J13" s="42">
        <v>0.28999999999999998</v>
      </c>
      <c r="K13" s="42">
        <v>198</v>
      </c>
      <c r="L13" s="42">
        <v>12.03</v>
      </c>
      <c r="M13" s="42">
        <v>88.09</v>
      </c>
      <c r="N13" s="42">
        <v>1.8</v>
      </c>
      <c r="O13" s="42">
        <v>0</v>
      </c>
      <c r="P13" s="42">
        <v>1.26</v>
      </c>
      <c r="Q13" s="27" t="s">
        <v>8</v>
      </c>
      <c r="R13" s="38"/>
      <c r="S13" s="38"/>
      <c r="T13" s="38"/>
      <c r="U13" s="38"/>
    </row>
    <row r="14" spans="1:21" customFormat="1">
      <c r="A14" s="41" t="s">
        <v>138</v>
      </c>
      <c r="B14" s="42">
        <v>51.77</v>
      </c>
      <c r="C14" s="42">
        <v>26.71</v>
      </c>
      <c r="D14" s="42">
        <v>56.82</v>
      </c>
      <c r="E14" s="42">
        <v>9.56</v>
      </c>
      <c r="F14" s="42">
        <v>6.5</v>
      </c>
      <c r="G14" s="42">
        <v>119.68</v>
      </c>
      <c r="H14" s="42">
        <v>37.83</v>
      </c>
      <c r="I14" s="42">
        <v>18.07</v>
      </c>
      <c r="J14" s="42">
        <v>0.26</v>
      </c>
      <c r="K14" s="42">
        <v>206.28</v>
      </c>
      <c r="L14" s="42">
        <v>11.31</v>
      </c>
      <c r="M14" s="42">
        <v>86.58</v>
      </c>
      <c r="N14" s="42">
        <v>1.1000000000000001</v>
      </c>
      <c r="O14" s="42">
        <v>0</v>
      </c>
      <c r="P14" s="42">
        <v>1.23</v>
      </c>
      <c r="Q14" s="27" t="s">
        <v>8</v>
      </c>
      <c r="R14" s="38"/>
      <c r="S14" s="38"/>
      <c r="T14" s="38"/>
      <c r="U14" s="38"/>
    </row>
    <row r="15" spans="1:21" customFormat="1">
      <c r="A15" s="41" t="s">
        <v>139</v>
      </c>
      <c r="B15" s="42">
        <v>52.33</v>
      </c>
      <c r="C15" s="42">
        <v>26.4</v>
      </c>
      <c r="D15" s="42">
        <v>57.11</v>
      </c>
      <c r="E15" s="42">
        <v>9.65</v>
      </c>
      <c r="F15" s="42">
        <v>2.6</v>
      </c>
      <c r="G15" s="42">
        <v>116.76</v>
      </c>
      <c r="H15" s="42">
        <v>37.47</v>
      </c>
      <c r="I15" s="42">
        <v>17.54</v>
      </c>
      <c r="J15" s="42">
        <v>0.21</v>
      </c>
      <c r="K15" s="42">
        <v>216.74</v>
      </c>
      <c r="L15" s="42">
        <v>10.6</v>
      </c>
      <c r="M15" s="42">
        <v>93</v>
      </c>
      <c r="N15" s="42">
        <v>12</v>
      </c>
      <c r="O15" s="42">
        <v>0</v>
      </c>
      <c r="P15" s="42">
        <v>1.25</v>
      </c>
      <c r="Q15" s="27" t="s">
        <v>8</v>
      </c>
      <c r="R15" s="38"/>
      <c r="S15" s="38"/>
      <c r="T15" s="38"/>
      <c r="U15" s="38"/>
    </row>
    <row r="16" spans="1:21" customFormat="1">
      <c r="A16" s="41" t="s">
        <v>140</v>
      </c>
      <c r="B16" s="42">
        <v>47.18</v>
      </c>
      <c r="C16" s="42">
        <v>25.87</v>
      </c>
      <c r="D16" s="42">
        <v>52.47</v>
      </c>
      <c r="E16" s="42">
        <v>9.4600000000000009</v>
      </c>
      <c r="F16" s="42">
        <v>2.6</v>
      </c>
      <c r="G16" s="42">
        <v>104.63</v>
      </c>
      <c r="H16" s="42">
        <v>35.659999999999997</v>
      </c>
      <c r="I16" s="42">
        <v>17.48</v>
      </c>
      <c r="J16" s="42">
        <v>0.77</v>
      </c>
      <c r="K16" s="42">
        <v>147.02000000000001</v>
      </c>
      <c r="L16" s="42">
        <v>14.47</v>
      </c>
      <c r="M16" s="42">
        <v>93.81</v>
      </c>
      <c r="N16" s="42">
        <v>52.7</v>
      </c>
      <c r="O16" s="42">
        <v>0</v>
      </c>
      <c r="P16" s="42">
        <v>1.27</v>
      </c>
      <c r="Q16" s="27" t="s">
        <v>8</v>
      </c>
      <c r="R16" s="38"/>
      <c r="S16" s="38"/>
      <c r="T16" s="38"/>
      <c r="U16" s="38"/>
    </row>
    <row r="17" spans="1:21" customFormat="1">
      <c r="A17" s="41" t="s">
        <v>141</v>
      </c>
      <c r="B17" s="42">
        <v>45.15</v>
      </c>
      <c r="C17" s="42">
        <v>29.44</v>
      </c>
      <c r="D17" s="42">
        <v>51.77</v>
      </c>
      <c r="E17" s="42">
        <v>9.92</v>
      </c>
      <c r="F17" s="42">
        <v>2.6</v>
      </c>
      <c r="G17" s="42">
        <v>125.56</v>
      </c>
      <c r="H17" s="42">
        <v>33.86</v>
      </c>
      <c r="I17" s="42">
        <v>21.32</v>
      </c>
      <c r="J17" s="42">
        <v>0.85</v>
      </c>
      <c r="K17" s="42">
        <v>71.06</v>
      </c>
      <c r="L17" s="42">
        <v>18.600000000000001</v>
      </c>
      <c r="M17" s="42">
        <v>57.71</v>
      </c>
      <c r="N17" s="42">
        <v>277.2</v>
      </c>
      <c r="O17" s="42">
        <v>0</v>
      </c>
      <c r="P17" s="42">
        <v>1.28</v>
      </c>
      <c r="Q17" s="27" t="s">
        <v>8</v>
      </c>
      <c r="R17" s="38"/>
      <c r="S17" s="38"/>
      <c r="T17" s="38"/>
      <c r="U17" s="38"/>
    </row>
    <row r="18" spans="1:21" customFormat="1">
      <c r="A18" s="41" t="s">
        <v>142</v>
      </c>
      <c r="B18" s="42">
        <v>33.47</v>
      </c>
      <c r="C18" s="42">
        <v>29.75</v>
      </c>
      <c r="D18" s="42">
        <v>43.72</v>
      </c>
      <c r="E18" s="42">
        <v>10.16</v>
      </c>
      <c r="F18" s="42">
        <v>2.6</v>
      </c>
      <c r="G18" s="42">
        <v>123.3</v>
      </c>
      <c r="H18" s="42">
        <v>34.33</v>
      </c>
      <c r="I18" s="42">
        <v>21.43</v>
      </c>
      <c r="J18" s="42">
        <v>0.68</v>
      </c>
      <c r="K18" s="42">
        <v>88.83</v>
      </c>
      <c r="L18" s="42">
        <v>22.01</v>
      </c>
      <c r="M18" s="42">
        <v>46.19</v>
      </c>
      <c r="N18" s="42">
        <v>304.5</v>
      </c>
      <c r="O18" s="42">
        <v>0</v>
      </c>
      <c r="P18" s="42">
        <v>1.2</v>
      </c>
      <c r="Q18" s="27" t="s">
        <v>8</v>
      </c>
      <c r="R18" s="38"/>
      <c r="S18" s="38"/>
      <c r="T18" s="38"/>
      <c r="U18" s="38"/>
    </row>
    <row r="19" spans="1:21" customFormat="1">
      <c r="A19" s="41" t="s">
        <v>143</v>
      </c>
      <c r="B19" s="42">
        <v>24.82</v>
      </c>
      <c r="C19" s="42">
        <v>29.02</v>
      </c>
      <c r="D19" s="42">
        <v>36.42</v>
      </c>
      <c r="E19" s="42">
        <v>8.9700000000000006</v>
      </c>
      <c r="F19" s="42">
        <v>2.6</v>
      </c>
      <c r="G19" s="42">
        <v>113.36</v>
      </c>
      <c r="H19" s="42">
        <v>33.450000000000003</v>
      </c>
      <c r="I19" s="42">
        <v>19.88</v>
      </c>
      <c r="J19" s="42">
        <v>0.59</v>
      </c>
      <c r="K19" s="42">
        <v>125.98</v>
      </c>
      <c r="L19" s="42">
        <v>24.2</v>
      </c>
      <c r="M19" s="42">
        <v>37.97</v>
      </c>
      <c r="N19" s="42">
        <v>427.3</v>
      </c>
      <c r="O19" s="42">
        <v>0</v>
      </c>
      <c r="P19" s="42">
        <v>1.1299999999999999</v>
      </c>
      <c r="Q19" s="27" t="s">
        <v>8</v>
      </c>
      <c r="R19" s="38"/>
      <c r="S19" s="38"/>
      <c r="T19" s="38"/>
      <c r="U19" s="38"/>
    </row>
    <row r="20" spans="1:21" customFormat="1">
      <c r="A20" s="41" t="s">
        <v>144</v>
      </c>
      <c r="B20" s="42">
        <v>16.12</v>
      </c>
      <c r="C20" s="42">
        <v>31.69</v>
      </c>
      <c r="D20" s="42">
        <v>29.75</v>
      </c>
      <c r="E20" s="42">
        <v>9.11</v>
      </c>
      <c r="F20" s="42">
        <v>2.6</v>
      </c>
      <c r="G20" s="42">
        <v>96.86</v>
      </c>
      <c r="H20" s="42">
        <v>32.130000000000003</v>
      </c>
      <c r="I20" s="42">
        <v>18.18</v>
      </c>
      <c r="J20" s="42">
        <v>0.5</v>
      </c>
      <c r="K20" s="42">
        <v>118.81</v>
      </c>
      <c r="L20" s="42">
        <v>26.21</v>
      </c>
      <c r="M20" s="42">
        <v>31.62</v>
      </c>
      <c r="N20" s="42">
        <v>461</v>
      </c>
      <c r="O20" s="42">
        <v>0</v>
      </c>
      <c r="P20" s="42">
        <v>1</v>
      </c>
      <c r="Q20" s="27" t="s">
        <v>8</v>
      </c>
      <c r="R20" s="38"/>
      <c r="S20" s="38"/>
      <c r="T20" s="38"/>
      <c r="U20" s="38"/>
    </row>
    <row r="21" spans="1:21" customFormat="1">
      <c r="A21" s="41" t="s">
        <v>145</v>
      </c>
      <c r="B21" s="42">
        <v>6.25</v>
      </c>
      <c r="C21" s="42">
        <v>31.51</v>
      </c>
      <c r="D21" s="42">
        <v>22.83</v>
      </c>
      <c r="E21" s="42">
        <v>9.4600000000000009</v>
      </c>
      <c r="F21" s="42">
        <v>2.6</v>
      </c>
      <c r="G21" s="42">
        <v>82.44</v>
      </c>
      <c r="H21" s="42">
        <v>30.19</v>
      </c>
      <c r="I21" s="42">
        <v>16.010000000000002</v>
      </c>
      <c r="J21" s="42">
        <v>0.8</v>
      </c>
      <c r="K21" s="42">
        <v>60.02</v>
      </c>
      <c r="L21" s="42">
        <v>27.06</v>
      </c>
      <c r="M21" s="42">
        <v>24.92</v>
      </c>
      <c r="N21" s="42">
        <v>423.3</v>
      </c>
      <c r="O21" s="42">
        <v>0</v>
      </c>
      <c r="P21" s="42">
        <v>0.89</v>
      </c>
      <c r="Q21" s="27" t="s">
        <v>8</v>
      </c>
      <c r="R21" s="38"/>
      <c r="S21" s="38"/>
      <c r="T21" s="38"/>
      <c r="U21" s="38"/>
    </row>
    <row r="22" spans="1:21" customFormat="1">
      <c r="A22" s="41" t="s">
        <v>146</v>
      </c>
      <c r="B22" s="42">
        <v>4.2300000000000004</v>
      </c>
      <c r="C22" s="42">
        <v>28.39</v>
      </c>
      <c r="D22" s="42">
        <v>19.579999999999998</v>
      </c>
      <c r="E22" s="42">
        <v>9.6199999999999992</v>
      </c>
      <c r="F22" s="42">
        <v>2.6</v>
      </c>
      <c r="G22" s="42">
        <v>70.47</v>
      </c>
      <c r="H22" s="42">
        <v>28.79</v>
      </c>
      <c r="I22" s="42">
        <v>14.01</v>
      </c>
      <c r="J22" s="42">
        <v>0.42</v>
      </c>
      <c r="K22" s="42">
        <v>154.24</v>
      </c>
      <c r="L22" s="42">
        <v>27.67</v>
      </c>
      <c r="M22" s="42">
        <v>24.27</v>
      </c>
      <c r="N22" s="42">
        <v>428.9</v>
      </c>
      <c r="O22" s="42">
        <v>0</v>
      </c>
      <c r="P22" s="42">
        <v>0.8</v>
      </c>
      <c r="Q22" s="27" t="s">
        <v>8</v>
      </c>
      <c r="R22" s="38"/>
      <c r="S22" s="38"/>
      <c r="T22" s="38"/>
      <c r="U22" s="38"/>
    </row>
    <row r="23" spans="1:21" customFormat="1">
      <c r="A23" s="41" t="s">
        <v>147</v>
      </c>
      <c r="B23" s="42">
        <v>4.01</v>
      </c>
      <c r="C23" s="42">
        <v>25.22</v>
      </c>
      <c r="D23" s="42">
        <v>17.739999999999998</v>
      </c>
      <c r="E23" s="42">
        <v>9.74</v>
      </c>
      <c r="F23" s="42">
        <v>2.6</v>
      </c>
      <c r="G23" s="42">
        <v>59.72</v>
      </c>
      <c r="H23" s="42">
        <v>27.3</v>
      </c>
      <c r="I23" s="42">
        <v>12.41</v>
      </c>
      <c r="J23" s="42">
        <v>0.55000000000000004</v>
      </c>
      <c r="K23" s="42">
        <v>85.55</v>
      </c>
      <c r="L23" s="42">
        <v>27.13</v>
      </c>
      <c r="M23" s="42">
        <v>21.45</v>
      </c>
      <c r="N23" s="42">
        <v>115.3</v>
      </c>
      <c r="O23" s="42">
        <v>0</v>
      </c>
      <c r="P23" s="42">
        <v>0.71</v>
      </c>
      <c r="Q23" s="27" t="s">
        <v>8</v>
      </c>
      <c r="R23" s="38"/>
      <c r="S23" s="38"/>
      <c r="T23" s="38"/>
      <c r="U23" s="38"/>
    </row>
    <row r="24" spans="1:21" customFormat="1">
      <c r="A24" s="41" t="s">
        <v>148</v>
      </c>
      <c r="B24" s="42">
        <v>3.91</v>
      </c>
      <c r="C24" s="42">
        <v>23.23</v>
      </c>
      <c r="D24" s="42">
        <v>16.600000000000001</v>
      </c>
      <c r="E24" s="42">
        <v>10.25</v>
      </c>
      <c r="F24" s="42">
        <v>1.2</v>
      </c>
      <c r="G24" s="42">
        <v>55.37</v>
      </c>
      <c r="H24" s="42">
        <v>23.65</v>
      </c>
      <c r="I24" s="42">
        <v>10.9</v>
      </c>
      <c r="J24" s="42">
        <v>0.62</v>
      </c>
      <c r="K24" s="42">
        <v>104.41</v>
      </c>
      <c r="L24" s="42">
        <v>26.7</v>
      </c>
      <c r="M24" s="42">
        <v>23.39</v>
      </c>
      <c r="N24" s="42">
        <v>55.1</v>
      </c>
      <c r="O24" s="42">
        <v>0</v>
      </c>
      <c r="P24" s="42">
        <v>0.66</v>
      </c>
      <c r="Q24" s="27" t="s">
        <v>8</v>
      </c>
      <c r="R24" s="38"/>
      <c r="S24" s="38"/>
      <c r="T24" s="38"/>
      <c r="U24" s="38"/>
    </row>
    <row r="25" spans="1:21" customFormat="1">
      <c r="A25" s="41" t="s">
        <v>149</v>
      </c>
      <c r="B25" s="42">
        <v>4.3499999999999996</v>
      </c>
      <c r="C25" s="42">
        <v>22.3</v>
      </c>
      <c r="D25" s="42">
        <v>16.18</v>
      </c>
      <c r="E25" s="42">
        <v>9.65</v>
      </c>
      <c r="F25" s="42">
        <v>1.9</v>
      </c>
      <c r="G25" s="42">
        <v>53.75</v>
      </c>
      <c r="H25" s="42">
        <v>24.43</v>
      </c>
      <c r="I25" s="42">
        <v>9.73</v>
      </c>
      <c r="J25" s="42">
        <v>0.24</v>
      </c>
      <c r="K25" s="42">
        <v>167.02</v>
      </c>
      <c r="L25" s="42">
        <v>25.74</v>
      </c>
      <c r="M25" s="42">
        <v>25.01</v>
      </c>
      <c r="N25" s="42">
        <v>30.9</v>
      </c>
      <c r="O25" s="42">
        <v>0</v>
      </c>
      <c r="P25" s="42">
        <v>0.67</v>
      </c>
      <c r="Q25" s="27" t="s">
        <v>8</v>
      </c>
      <c r="R25" s="38"/>
      <c r="S25" s="38"/>
      <c r="T25" s="38"/>
      <c r="U25" s="38"/>
    </row>
    <row r="26" spans="1:21" customFormat="1">
      <c r="A26" s="41" t="s">
        <v>150</v>
      </c>
      <c r="B26" s="8" t="s">
        <v>4</v>
      </c>
      <c r="C26" s="8" t="s">
        <v>4</v>
      </c>
      <c r="D26" s="8" t="s">
        <v>4</v>
      </c>
      <c r="E26" s="8" t="s">
        <v>4</v>
      </c>
      <c r="F26" s="8" t="s">
        <v>4</v>
      </c>
      <c r="G26" s="8" t="s">
        <v>4</v>
      </c>
      <c r="H26" s="8" t="s">
        <v>4</v>
      </c>
      <c r="I26" s="8" t="s">
        <v>4</v>
      </c>
      <c r="J26" s="8" t="s">
        <v>4</v>
      </c>
      <c r="K26" s="8" t="s">
        <v>4</v>
      </c>
      <c r="L26" s="8" t="s">
        <v>4</v>
      </c>
      <c r="M26" s="8" t="s">
        <v>4</v>
      </c>
      <c r="N26" s="8" t="s">
        <v>4</v>
      </c>
      <c r="O26" s="8" t="s">
        <v>4</v>
      </c>
      <c r="P26" s="8" t="s">
        <v>4</v>
      </c>
      <c r="Q26" s="8" t="s">
        <v>4</v>
      </c>
      <c r="R26" s="38"/>
      <c r="S26" s="38"/>
      <c r="T26" s="38"/>
      <c r="U26" s="38"/>
    </row>
    <row r="27" spans="1:21" customFormat="1">
      <c r="A27" s="41" t="s">
        <v>151</v>
      </c>
      <c r="B27" s="8" t="s">
        <v>4</v>
      </c>
      <c r="C27" s="8" t="s">
        <v>4</v>
      </c>
      <c r="D27" s="8" t="s">
        <v>4</v>
      </c>
      <c r="E27" s="8" t="s">
        <v>4</v>
      </c>
      <c r="F27" s="8" t="s">
        <v>4</v>
      </c>
      <c r="G27" s="8" t="s">
        <v>4</v>
      </c>
      <c r="H27" s="8" t="s">
        <v>4</v>
      </c>
      <c r="I27" s="8" t="s">
        <v>4</v>
      </c>
      <c r="J27" s="8" t="s">
        <v>4</v>
      </c>
      <c r="K27" s="8" t="s">
        <v>4</v>
      </c>
      <c r="L27" s="8" t="s">
        <v>4</v>
      </c>
      <c r="M27" s="8" t="s">
        <v>4</v>
      </c>
      <c r="N27" s="8" t="s">
        <v>4</v>
      </c>
      <c r="O27" s="8" t="s">
        <v>4</v>
      </c>
      <c r="P27" s="8" t="s">
        <v>4</v>
      </c>
      <c r="Q27" s="8" t="s">
        <v>4</v>
      </c>
      <c r="R27" s="38"/>
      <c r="S27" s="38"/>
      <c r="T27" s="38"/>
      <c r="U27" s="38"/>
    </row>
    <row r="28" spans="1:21" customFormat="1">
      <c r="A28" s="41" t="s">
        <v>152</v>
      </c>
      <c r="B28" s="8" t="s">
        <v>4</v>
      </c>
      <c r="C28" s="8" t="s">
        <v>4</v>
      </c>
      <c r="D28" s="8" t="s">
        <v>4</v>
      </c>
      <c r="E28" s="8" t="s">
        <v>4</v>
      </c>
      <c r="F28" s="8" t="s">
        <v>4</v>
      </c>
      <c r="G28" s="8" t="s">
        <v>4</v>
      </c>
      <c r="H28" s="8" t="s">
        <v>4</v>
      </c>
      <c r="I28" s="8" t="s">
        <v>4</v>
      </c>
      <c r="J28" s="8" t="s">
        <v>4</v>
      </c>
      <c r="K28" s="8" t="s">
        <v>4</v>
      </c>
      <c r="L28" s="8" t="s">
        <v>4</v>
      </c>
      <c r="M28" s="8" t="s">
        <v>4</v>
      </c>
      <c r="N28" s="8" t="s">
        <v>4</v>
      </c>
      <c r="O28" s="8" t="s">
        <v>4</v>
      </c>
      <c r="P28" s="8" t="s">
        <v>4</v>
      </c>
      <c r="Q28" s="8" t="s">
        <v>4</v>
      </c>
      <c r="R28" s="38"/>
      <c r="S28" s="38"/>
      <c r="T28" s="38"/>
      <c r="U28" s="38"/>
    </row>
    <row r="29" spans="1:21" customFormat="1">
      <c r="A29" s="41" t="s">
        <v>153</v>
      </c>
      <c r="B29" s="8" t="s">
        <v>4</v>
      </c>
      <c r="C29" s="8" t="s">
        <v>4</v>
      </c>
      <c r="D29" s="8" t="s">
        <v>4</v>
      </c>
      <c r="E29" s="8" t="s">
        <v>4</v>
      </c>
      <c r="F29" s="8" t="s">
        <v>4</v>
      </c>
      <c r="G29" s="8" t="s">
        <v>4</v>
      </c>
      <c r="H29" s="8" t="s">
        <v>4</v>
      </c>
      <c r="I29" s="8" t="s">
        <v>4</v>
      </c>
      <c r="J29" s="8" t="s">
        <v>4</v>
      </c>
      <c r="K29" s="8" t="s">
        <v>4</v>
      </c>
      <c r="L29" s="8" t="s">
        <v>4</v>
      </c>
      <c r="M29" s="8" t="s">
        <v>4</v>
      </c>
      <c r="N29" s="8" t="s">
        <v>4</v>
      </c>
      <c r="O29" s="8" t="s">
        <v>4</v>
      </c>
      <c r="P29" s="8" t="s">
        <v>4</v>
      </c>
      <c r="Q29" s="8" t="s">
        <v>4</v>
      </c>
      <c r="R29" s="38"/>
      <c r="S29" s="38"/>
      <c r="T29" s="38"/>
      <c r="U29" s="38"/>
    </row>
    <row r="30" spans="1:21" customFormat="1">
      <c r="A30" s="41" t="s">
        <v>154</v>
      </c>
      <c r="B30" s="8" t="s">
        <v>4</v>
      </c>
      <c r="C30" s="8" t="s">
        <v>4</v>
      </c>
      <c r="D30" s="8" t="s">
        <v>4</v>
      </c>
      <c r="E30" s="8" t="s">
        <v>4</v>
      </c>
      <c r="F30" s="8" t="s">
        <v>4</v>
      </c>
      <c r="G30" s="8" t="s">
        <v>4</v>
      </c>
      <c r="H30" s="8" t="s">
        <v>4</v>
      </c>
      <c r="I30" s="8" t="s">
        <v>4</v>
      </c>
      <c r="J30" s="8" t="s">
        <v>4</v>
      </c>
      <c r="K30" s="8" t="s">
        <v>4</v>
      </c>
      <c r="L30" s="8" t="s">
        <v>4</v>
      </c>
      <c r="M30" s="8" t="s">
        <v>4</v>
      </c>
      <c r="N30" s="8" t="s">
        <v>4</v>
      </c>
      <c r="O30" s="8" t="s">
        <v>4</v>
      </c>
      <c r="P30" s="8" t="s">
        <v>4</v>
      </c>
      <c r="Q30" s="8" t="s">
        <v>4</v>
      </c>
      <c r="R30" s="38"/>
      <c r="S30" s="38"/>
      <c r="T30" s="38"/>
      <c r="U30" s="38"/>
    </row>
    <row r="31" spans="1:21" customFormat="1">
      <c r="A31" s="41" t="s">
        <v>155</v>
      </c>
      <c r="B31" s="8" t="s">
        <v>4</v>
      </c>
      <c r="C31" s="8" t="s">
        <v>4</v>
      </c>
      <c r="D31" s="8" t="s">
        <v>4</v>
      </c>
      <c r="E31" s="8" t="s">
        <v>4</v>
      </c>
      <c r="F31" s="8" t="s">
        <v>4</v>
      </c>
      <c r="G31" s="8" t="s">
        <v>4</v>
      </c>
      <c r="H31" s="8" t="s">
        <v>4</v>
      </c>
      <c r="I31" s="8" t="s">
        <v>4</v>
      </c>
      <c r="J31" s="8" t="s">
        <v>4</v>
      </c>
      <c r="K31" s="8" t="s">
        <v>4</v>
      </c>
      <c r="L31" s="8" t="s">
        <v>4</v>
      </c>
      <c r="M31" s="8" t="s">
        <v>4</v>
      </c>
      <c r="N31" s="8" t="s">
        <v>4</v>
      </c>
      <c r="O31" s="8" t="s">
        <v>4</v>
      </c>
      <c r="P31" s="8" t="s">
        <v>4</v>
      </c>
      <c r="Q31" s="8" t="s">
        <v>4</v>
      </c>
      <c r="R31" s="38"/>
      <c r="S31" s="38"/>
      <c r="T31" s="38"/>
      <c r="U31" s="38"/>
    </row>
    <row r="32" spans="1:21" customFormat="1">
      <c r="A32" s="41" t="s">
        <v>156</v>
      </c>
      <c r="B32" s="8" t="s">
        <v>4</v>
      </c>
      <c r="C32" s="8" t="s">
        <v>4</v>
      </c>
      <c r="D32" s="8" t="s">
        <v>4</v>
      </c>
      <c r="E32" s="8" t="s">
        <v>4</v>
      </c>
      <c r="F32" s="8" t="s">
        <v>4</v>
      </c>
      <c r="G32" s="8" t="s">
        <v>4</v>
      </c>
      <c r="H32" s="8" t="s">
        <v>4</v>
      </c>
      <c r="I32" s="8" t="s">
        <v>4</v>
      </c>
      <c r="J32" s="8" t="s">
        <v>4</v>
      </c>
      <c r="K32" s="8" t="s">
        <v>4</v>
      </c>
      <c r="L32" s="8" t="s">
        <v>4</v>
      </c>
      <c r="M32" s="8" t="s">
        <v>4</v>
      </c>
      <c r="N32" s="8" t="s">
        <v>4</v>
      </c>
      <c r="O32" s="8" t="s">
        <v>4</v>
      </c>
      <c r="P32" s="8" t="s">
        <v>4</v>
      </c>
      <c r="Q32" s="8" t="s">
        <v>4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3.91</v>
      </c>
      <c r="C34" s="18">
        <f t="shared" si="0"/>
        <v>22.3</v>
      </c>
      <c r="D34" s="18">
        <f t="shared" si="0"/>
        <v>16.18</v>
      </c>
      <c r="E34" s="18">
        <f t="shared" si="0"/>
        <v>8.9700000000000006</v>
      </c>
      <c r="F34" s="18">
        <f t="shared" si="0"/>
        <v>1.2</v>
      </c>
      <c r="G34" s="18">
        <f t="shared" si="0"/>
        <v>53.75</v>
      </c>
      <c r="H34" s="18">
        <f t="shared" si="0"/>
        <v>23.65</v>
      </c>
      <c r="I34" s="18">
        <f t="shared" si="0"/>
        <v>9.73</v>
      </c>
      <c r="J34" s="18">
        <f t="shared" si="0"/>
        <v>0.14000000000000001</v>
      </c>
      <c r="K34" s="18">
        <f t="shared" si="0"/>
        <v>60.02</v>
      </c>
      <c r="L34" s="18">
        <f t="shared" si="0"/>
        <v>10.6</v>
      </c>
      <c r="M34" s="18">
        <f t="shared" si="0"/>
        <v>21.45</v>
      </c>
      <c r="N34" s="18">
        <f t="shared" si="0"/>
        <v>1</v>
      </c>
      <c r="O34" s="18">
        <f t="shared" si="0"/>
        <v>0</v>
      </c>
      <c r="P34" s="18">
        <f t="shared" si="0"/>
        <v>0.66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57.37</v>
      </c>
      <c r="C35" s="3">
        <f t="shared" si="1"/>
        <v>31.69</v>
      </c>
      <c r="D35" s="3">
        <f t="shared" si="1"/>
        <v>61.98</v>
      </c>
      <c r="E35" s="3">
        <f t="shared" si="1"/>
        <v>10.25</v>
      </c>
      <c r="F35" s="3">
        <f t="shared" si="1"/>
        <v>6.5</v>
      </c>
      <c r="G35" s="3">
        <f t="shared" si="1"/>
        <v>146.88999999999999</v>
      </c>
      <c r="H35" s="3">
        <f t="shared" si="1"/>
        <v>39.79</v>
      </c>
      <c r="I35" s="3">
        <f t="shared" si="1"/>
        <v>21.43</v>
      </c>
      <c r="J35" s="3">
        <f t="shared" si="1"/>
        <v>0.85</v>
      </c>
      <c r="K35" s="3">
        <f t="shared" si="1"/>
        <v>216.74</v>
      </c>
      <c r="L35" s="3">
        <f t="shared" si="1"/>
        <v>27.67</v>
      </c>
      <c r="M35" s="3">
        <f t="shared" si="1"/>
        <v>93.81</v>
      </c>
      <c r="N35" s="3">
        <f t="shared" si="1"/>
        <v>461</v>
      </c>
      <c r="O35" s="3">
        <f t="shared" si="1"/>
        <v>0</v>
      </c>
      <c r="P35" s="3">
        <f t="shared" si="1"/>
        <v>1.28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32.015882352941169</v>
      </c>
      <c r="C36" s="18">
        <f t="shared" si="2"/>
        <v>27.645882352941175</v>
      </c>
      <c r="D36" s="18">
        <f t="shared" si="2"/>
        <v>41.255882352941178</v>
      </c>
      <c r="E36" s="18">
        <f t="shared" si="2"/>
        <v>9.7200000000000024</v>
      </c>
      <c r="F36" s="18">
        <f t="shared" si="2"/>
        <v>2.5941176470588245</v>
      </c>
      <c r="G36" s="18">
        <f t="shared" si="2"/>
        <v>103.94235294117645</v>
      </c>
      <c r="H36" s="18">
        <f t="shared" si="2"/>
        <v>33.087647058823521</v>
      </c>
      <c r="I36" s="18">
        <f t="shared" si="2"/>
        <v>16.536470588235289</v>
      </c>
      <c r="J36" s="18">
        <f t="shared" si="2"/>
        <v>0.44294117647058823</v>
      </c>
      <c r="K36" s="18">
        <f t="shared" si="2"/>
        <v>147.85999999999999</v>
      </c>
      <c r="L36" s="18">
        <f t="shared" si="2"/>
        <v>19.177058823529411</v>
      </c>
      <c r="M36" s="18">
        <f t="shared" si="2"/>
        <v>58.161176470588231</v>
      </c>
      <c r="N36" s="18">
        <f t="shared" si="2"/>
        <v>152.71176470588236</v>
      </c>
      <c r="O36" s="18">
        <f t="shared" si="2"/>
        <v>0</v>
      </c>
      <c r="P36" s="18">
        <f t="shared" si="2"/>
        <v>1.08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21.214813532890048</v>
      </c>
      <c r="C37" s="18">
        <f t="shared" ref="C37:Q37" si="3">STDEV(C9:C32)</f>
        <v>2.5301582431330494</v>
      </c>
      <c r="D37" s="18">
        <f t="shared" si="3"/>
        <v>17.268091983056316</v>
      </c>
      <c r="E37" s="18">
        <f t="shared" si="3"/>
        <v>0.35496478698597694</v>
      </c>
      <c r="F37" s="18">
        <f t="shared" si="3"/>
        <v>1.191884321272042</v>
      </c>
      <c r="G37" s="18">
        <f t="shared" si="3"/>
        <v>29.024769492928812</v>
      </c>
      <c r="H37" s="18">
        <f t="shared" si="3"/>
        <v>4.7306771838339854</v>
      </c>
      <c r="I37" s="18">
        <f t="shared" si="3"/>
        <v>3.2700553152364247</v>
      </c>
      <c r="J37" s="18">
        <f t="shared" si="3"/>
        <v>0.24363817193438603</v>
      </c>
      <c r="K37" s="18">
        <f t="shared" si="3"/>
        <v>52.332788598544994</v>
      </c>
      <c r="L37" s="18">
        <f t="shared" si="3"/>
        <v>6.7938260250630167</v>
      </c>
      <c r="M37" s="18">
        <f t="shared" si="3"/>
        <v>29.556081202172461</v>
      </c>
      <c r="N37" s="18">
        <f t="shared" si="3"/>
        <v>185.66880419968558</v>
      </c>
      <c r="O37" s="18">
        <f t="shared" si="3"/>
        <v>0</v>
      </c>
      <c r="P37" s="18">
        <f t="shared" si="3"/>
        <v>0.2369599122214551</v>
      </c>
      <c r="Q37" s="18" t="e">
        <f t="shared" si="3"/>
        <v>#DIV/0!</v>
      </c>
      <c r="R37" s="18"/>
      <c r="S37" s="18"/>
      <c r="T37" s="18"/>
      <c r="U37" s="18"/>
    </row>
    <row r="38" spans="1:21">
      <c r="A38" s="34" t="s">
        <v>52</v>
      </c>
      <c r="B38" s="34">
        <f>COUNT(B9:B32)+7</f>
        <v>24</v>
      </c>
      <c r="C38" s="34">
        <f t="shared" ref="C38:P38" si="4">COUNT(C9:C32)+7</f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>COUNT(Q9:Q32)+24</f>
        <v>24</v>
      </c>
      <c r="R38" s="34"/>
      <c r="S38" s="34"/>
      <c r="T38" s="34"/>
      <c r="U38" s="34"/>
    </row>
    <row r="39" spans="1:21">
      <c r="A39" s="3" t="s">
        <v>53</v>
      </c>
      <c r="B39" s="3" t="str">
        <f>E40</f>
        <v>OK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6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H25" sqref="H2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05/01/2025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157</v>
      </c>
      <c r="B9" s="40">
        <v>21.46</v>
      </c>
      <c r="C9" s="40">
        <v>22.06</v>
      </c>
      <c r="D9" s="40">
        <v>30.01</v>
      </c>
      <c r="E9" s="40">
        <v>7.61</v>
      </c>
      <c r="F9" s="42">
        <v>4.62</v>
      </c>
      <c r="G9" s="40">
        <v>147.74</v>
      </c>
      <c r="H9" s="40">
        <v>30.17</v>
      </c>
      <c r="I9" s="40">
        <v>14</v>
      </c>
      <c r="J9" s="40">
        <v>0.2</v>
      </c>
      <c r="K9" s="40">
        <v>190.47</v>
      </c>
      <c r="L9" s="40">
        <v>14.41</v>
      </c>
      <c r="M9" s="40">
        <v>83.62</v>
      </c>
      <c r="N9" s="40">
        <v>1.3</v>
      </c>
      <c r="O9" s="40">
        <v>0</v>
      </c>
      <c r="P9" s="40">
        <v>1.06</v>
      </c>
      <c r="Q9" s="40">
        <v>13.04</v>
      </c>
      <c r="R9" s="38"/>
      <c r="S9" s="38"/>
      <c r="T9" s="38"/>
      <c r="U9" s="38"/>
    </row>
    <row r="10" spans="1:21" customFormat="1">
      <c r="A10" s="39" t="s">
        <v>158</v>
      </c>
      <c r="B10" s="40">
        <v>37.92</v>
      </c>
      <c r="C10" s="40">
        <v>23.53</v>
      </c>
      <c r="D10" s="40">
        <v>44.06</v>
      </c>
      <c r="E10" s="40">
        <v>7.99</v>
      </c>
      <c r="F10" s="42">
        <v>4.79</v>
      </c>
      <c r="G10" s="40">
        <v>120.85</v>
      </c>
      <c r="H10" s="40">
        <v>29.64</v>
      </c>
      <c r="I10" s="40">
        <v>14.22</v>
      </c>
      <c r="J10" s="40">
        <v>0.18</v>
      </c>
      <c r="K10" s="40">
        <v>220.83</v>
      </c>
      <c r="L10" s="40">
        <v>14.33</v>
      </c>
      <c r="M10" s="40">
        <v>85.8</v>
      </c>
      <c r="N10" s="40">
        <v>1.4</v>
      </c>
      <c r="O10" s="40">
        <v>0</v>
      </c>
      <c r="P10" s="40">
        <v>1.1000000000000001</v>
      </c>
      <c r="Q10" s="40">
        <v>13.09</v>
      </c>
      <c r="R10" s="38"/>
      <c r="S10" s="38"/>
      <c r="T10" s="38"/>
      <c r="U10" s="38"/>
    </row>
    <row r="11" spans="1:21" customFormat="1">
      <c r="A11" s="39" t="s">
        <v>159</v>
      </c>
      <c r="B11" s="40">
        <v>41.93</v>
      </c>
      <c r="C11" s="40">
        <v>23.58</v>
      </c>
      <c r="D11" s="40">
        <v>46.97</v>
      </c>
      <c r="E11" s="40">
        <v>8.64</v>
      </c>
      <c r="F11" s="42">
        <v>4.9000000000000004</v>
      </c>
      <c r="G11" s="40">
        <v>113.9</v>
      </c>
      <c r="H11" s="40">
        <v>28.46</v>
      </c>
      <c r="I11" s="40">
        <v>14.44</v>
      </c>
      <c r="J11" s="40">
        <v>0.19</v>
      </c>
      <c r="K11" s="40">
        <v>227.4</v>
      </c>
      <c r="L11" s="40">
        <v>12.94</v>
      </c>
      <c r="M11" s="40">
        <v>90.07</v>
      </c>
      <c r="N11" s="40">
        <v>1.4</v>
      </c>
      <c r="O11" s="40">
        <v>0</v>
      </c>
      <c r="P11" s="40">
        <v>1.1000000000000001</v>
      </c>
      <c r="Q11" s="40">
        <v>13.11</v>
      </c>
      <c r="R11" s="38"/>
      <c r="S11" s="38"/>
      <c r="T11" s="38"/>
      <c r="U11" s="38"/>
    </row>
    <row r="12" spans="1:21" customFormat="1">
      <c r="A12" s="39" t="s">
        <v>160</v>
      </c>
      <c r="B12" s="40">
        <v>41.4</v>
      </c>
      <c r="C12" s="40">
        <v>22.31</v>
      </c>
      <c r="D12" s="40">
        <v>46.2</v>
      </c>
      <c r="E12" s="40">
        <v>8.99</v>
      </c>
      <c r="F12" s="42">
        <v>4.8</v>
      </c>
      <c r="G12" s="40">
        <v>98.89</v>
      </c>
      <c r="H12" s="40">
        <v>28.15</v>
      </c>
      <c r="I12" s="40">
        <v>15.19</v>
      </c>
      <c r="J12" s="40">
        <v>0.19</v>
      </c>
      <c r="K12" s="40">
        <v>158.29</v>
      </c>
      <c r="L12" s="40">
        <v>12.54</v>
      </c>
      <c r="M12" s="40">
        <v>92.2</v>
      </c>
      <c r="N12" s="40">
        <v>1.2</v>
      </c>
      <c r="O12" s="40">
        <v>0</v>
      </c>
      <c r="P12" s="40">
        <v>1.0900000000000001</v>
      </c>
      <c r="Q12" s="40">
        <v>13.12</v>
      </c>
      <c r="R12" s="38"/>
      <c r="S12" s="38"/>
      <c r="T12" s="38"/>
      <c r="U12" s="38"/>
    </row>
    <row r="13" spans="1:21" customFormat="1">
      <c r="A13" s="39" t="s">
        <v>161</v>
      </c>
      <c r="B13" s="40">
        <v>37.450000000000003</v>
      </c>
      <c r="C13" s="40">
        <v>20.69</v>
      </c>
      <c r="D13" s="40">
        <v>42.2</v>
      </c>
      <c r="E13" s="40">
        <v>8.6199999999999992</v>
      </c>
      <c r="F13" s="42">
        <v>4.84</v>
      </c>
      <c r="G13" s="40">
        <v>84.01</v>
      </c>
      <c r="H13" s="40">
        <v>26.24</v>
      </c>
      <c r="I13" s="40">
        <v>15.36</v>
      </c>
      <c r="J13" s="40">
        <v>0.17</v>
      </c>
      <c r="K13" s="40">
        <v>203.32</v>
      </c>
      <c r="L13" s="40">
        <v>12.41</v>
      </c>
      <c r="M13" s="40">
        <v>91.15</v>
      </c>
      <c r="N13" s="40">
        <v>1.1000000000000001</v>
      </c>
      <c r="O13" s="40">
        <v>0</v>
      </c>
      <c r="P13" s="40">
        <v>1.07</v>
      </c>
      <c r="Q13" s="40">
        <v>13.08</v>
      </c>
      <c r="R13" s="38"/>
      <c r="S13" s="38"/>
      <c r="T13" s="38"/>
      <c r="U13" s="38"/>
    </row>
    <row r="14" spans="1:21" customFormat="1">
      <c r="A14" s="39" t="s">
        <v>162</v>
      </c>
      <c r="B14" s="40">
        <v>35.22</v>
      </c>
      <c r="C14" s="40">
        <v>20.3</v>
      </c>
      <c r="D14" s="40">
        <v>40.200000000000003</v>
      </c>
      <c r="E14" s="40">
        <v>8.5399999999999991</v>
      </c>
      <c r="F14" s="42">
        <v>4.9000000000000004</v>
      </c>
      <c r="G14" s="40">
        <v>68.63</v>
      </c>
      <c r="H14" s="40">
        <v>23.84</v>
      </c>
      <c r="I14" s="40">
        <v>14.8</v>
      </c>
      <c r="J14" s="40">
        <v>0.23</v>
      </c>
      <c r="K14" s="40">
        <v>158.09</v>
      </c>
      <c r="L14" s="40">
        <v>12.12</v>
      </c>
      <c r="M14" s="40">
        <v>91.78</v>
      </c>
      <c r="N14" s="40">
        <v>1.1000000000000001</v>
      </c>
      <c r="O14" s="40">
        <v>0</v>
      </c>
      <c r="P14" s="40">
        <v>0.99</v>
      </c>
      <c r="Q14" s="40">
        <v>13.07</v>
      </c>
      <c r="R14" s="38"/>
      <c r="S14" s="38"/>
      <c r="T14" s="38"/>
      <c r="U14" s="38"/>
    </row>
    <row r="15" spans="1:21" customFormat="1">
      <c r="A15" s="39" t="s">
        <v>163</v>
      </c>
      <c r="B15" s="40">
        <v>43.39</v>
      </c>
      <c r="C15" s="40">
        <v>20.56</v>
      </c>
      <c r="D15" s="40">
        <v>46.72</v>
      </c>
      <c r="E15" s="40">
        <v>8.59</v>
      </c>
      <c r="F15" s="42">
        <v>4.8499999999999996</v>
      </c>
      <c r="G15" s="40">
        <v>60.43</v>
      </c>
      <c r="H15" s="40">
        <v>27.73</v>
      </c>
      <c r="I15" s="40">
        <v>14.13</v>
      </c>
      <c r="J15" s="40">
        <v>0.17</v>
      </c>
      <c r="K15" s="40">
        <v>201.54</v>
      </c>
      <c r="L15" s="40">
        <v>11.96</v>
      </c>
      <c r="M15" s="40">
        <v>95.82</v>
      </c>
      <c r="N15" s="40">
        <v>12.7</v>
      </c>
      <c r="O15" s="40">
        <v>0</v>
      </c>
      <c r="P15" s="40">
        <v>0.96</v>
      </c>
      <c r="Q15" s="40">
        <v>13.11</v>
      </c>
      <c r="R15" s="38"/>
      <c r="S15" s="38"/>
      <c r="T15" s="38"/>
      <c r="U15" s="38"/>
    </row>
    <row r="16" spans="1:21" customFormat="1">
      <c r="A16" s="39" t="s">
        <v>164</v>
      </c>
      <c r="B16" s="40">
        <v>44.63</v>
      </c>
      <c r="C16" s="40">
        <v>21.83</v>
      </c>
      <c r="D16" s="40">
        <v>48.02</v>
      </c>
      <c r="E16" s="40">
        <v>8.84</v>
      </c>
      <c r="F16" s="42">
        <v>4.83</v>
      </c>
      <c r="G16" s="40">
        <v>77.05</v>
      </c>
      <c r="H16" s="40">
        <v>26.69</v>
      </c>
      <c r="I16" s="40">
        <v>14.71</v>
      </c>
      <c r="J16" s="40">
        <v>0.67</v>
      </c>
      <c r="K16" s="40">
        <v>170.42</v>
      </c>
      <c r="L16" s="40">
        <v>15.8</v>
      </c>
      <c r="M16" s="40">
        <v>96.19</v>
      </c>
      <c r="N16" s="40">
        <v>58.8</v>
      </c>
      <c r="O16" s="40">
        <v>0</v>
      </c>
      <c r="P16" s="40">
        <v>1.03</v>
      </c>
      <c r="Q16" s="40">
        <v>13.11</v>
      </c>
      <c r="R16" s="38"/>
      <c r="S16" s="38"/>
      <c r="T16" s="38"/>
      <c r="U16" s="38"/>
    </row>
    <row r="17" spans="1:21" customFormat="1">
      <c r="A17" s="39" t="s">
        <v>165</v>
      </c>
      <c r="B17" s="40">
        <v>40.53</v>
      </c>
      <c r="C17" s="40">
        <v>24.24</v>
      </c>
      <c r="D17" s="40">
        <v>45.64</v>
      </c>
      <c r="E17" s="40">
        <v>9.3000000000000007</v>
      </c>
      <c r="F17" s="42">
        <v>5.01</v>
      </c>
      <c r="G17" s="40">
        <v>88.16</v>
      </c>
      <c r="H17" s="40">
        <v>28.27</v>
      </c>
      <c r="I17" s="40">
        <v>14.89</v>
      </c>
      <c r="J17" s="40">
        <v>1.07</v>
      </c>
      <c r="K17" s="40">
        <v>56.08</v>
      </c>
      <c r="L17" s="40">
        <v>19.190000000000001</v>
      </c>
      <c r="M17" s="40">
        <v>67.91</v>
      </c>
      <c r="N17" s="40">
        <v>285.5</v>
      </c>
      <c r="O17" s="40">
        <v>0</v>
      </c>
      <c r="P17" s="40">
        <v>1.03</v>
      </c>
      <c r="Q17" s="40">
        <v>13.1</v>
      </c>
      <c r="R17" s="38"/>
      <c r="S17" s="38"/>
      <c r="T17" s="38"/>
      <c r="U17" s="38"/>
    </row>
    <row r="18" spans="1:21" customFormat="1">
      <c r="A18" s="39" t="s">
        <v>166</v>
      </c>
      <c r="B18" s="40">
        <v>31.83</v>
      </c>
      <c r="C18" s="40">
        <v>24.83</v>
      </c>
      <c r="D18" s="40">
        <v>39.67</v>
      </c>
      <c r="E18" s="40">
        <v>9.5299999999999994</v>
      </c>
      <c r="F18" s="42">
        <v>4.99</v>
      </c>
      <c r="G18" s="40">
        <v>96.83</v>
      </c>
      <c r="H18" s="40">
        <v>35.67</v>
      </c>
      <c r="I18" s="40">
        <v>14.62</v>
      </c>
      <c r="J18" s="40">
        <v>0.84</v>
      </c>
      <c r="K18" s="40">
        <v>54.39</v>
      </c>
      <c r="L18" s="40">
        <v>22.78</v>
      </c>
      <c r="M18" s="40">
        <v>56.53</v>
      </c>
      <c r="N18" s="40">
        <v>282.5</v>
      </c>
      <c r="O18" s="40">
        <v>0</v>
      </c>
      <c r="P18" s="40">
        <v>1</v>
      </c>
      <c r="Q18" s="40">
        <v>13.08</v>
      </c>
      <c r="R18" s="38"/>
      <c r="S18" s="38"/>
      <c r="T18" s="38"/>
      <c r="U18" s="38"/>
    </row>
    <row r="19" spans="1:21" customFormat="1">
      <c r="A19" s="39" t="s">
        <v>167</v>
      </c>
      <c r="B19" s="40">
        <v>25.48</v>
      </c>
      <c r="C19" s="40">
        <v>25.42</v>
      </c>
      <c r="D19" s="40">
        <v>34.76</v>
      </c>
      <c r="E19" s="40">
        <v>11.04</v>
      </c>
      <c r="F19" s="42">
        <v>5.3</v>
      </c>
      <c r="G19" s="40">
        <v>90.93</v>
      </c>
      <c r="H19" s="40">
        <v>41.39</v>
      </c>
      <c r="I19" s="40">
        <v>14.13</v>
      </c>
      <c r="J19" s="40">
        <v>0.61</v>
      </c>
      <c r="K19" s="40">
        <v>71.53</v>
      </c>
      <c r="L19" s="40">
        <v>25.53</v>
      </c>
      <c r="M19" s="40">
        <v>43.98</v>
      </c>
      <c r="N19" s="40">
        <v>464.3</v>
      </c>
      <c r="O19" s="40">
        <v>0</v>
      </c>
      <c r="P19" s="40">
        <v>0.98</v>
      </c>
      <c r="Q19" s="40">
        <v>13.06</v>
      </c>
      <c r="R19" s="38"/>
      <c r="S19" s="38"/>
      <c r="T19" s="38"/>
      <c r="U19" s="38"/>
    </row>
    <row r="20" spans="1:21" customFormat="1">
      <c r="A20" s="39" t="s">
        <v>168</v>
      </c>
      <c r="B20" s="40">
        <v>18.39</v>
      </c>
      <c r="C20" s="40">
        <v>25.69</v>
      </c>
      <c r="D20" s="40">
        <v>29.46</v>
      </c>
      <c r="E20" s="40">
        <v>11.34</v>
      </c>
      <c r="F20" s="42">
        <v>5.34</v>
      </c>
      <c r="G20" s="40">
        <v>88.84</v>
      </c>
      <c r="H20" s="40">
        <v>40.46</v>
      </c>
      <c r="I20" s="40">
        <v>13.55</v>
      </c>
      <c r="J20" s="40">
        <v>0.41</v>
      </c>
      <c r="K20" s="40">
        <v>328.76</v>
      </c>
      <c r="L20" s="40">
        <v>27.03</v>
      </c>
      <c r="M20" s="40">
        <v>34.11</v>
      </c>
      <c r="N20" s="40">
        <v>497.6</v>
      </c>
      <c r="O20" s="40">
        <v>0</v>
      </c>
      <c r="P20" s="40">
        <v>0.93</v>
      </c>
      <c r="Q20" s="40">
        <v>13.05</v>
      </c>
      <c r="R20" s="38"/>
      <c r="S20" s="38"/>
      <c r="T20" s="38"/>
      <c r="U20" s="38"/>
    </row>
    <row r="21" spans="1:21" customFormat="1">
      <c r="A21" s="39" t="s">
        <v>169</v>
      </c>
      <c r="B21" s="40">
        <v>11.96</v>
      </c>
      <c r="C21" s="40">
        <v>27.39</v>
      </c>
      <c r="D21" s="40">
        <v>24.35</v>
      </c>
      <c r="E21" s="40">
        <v>14.08</v>
      </c>
      <c r="F21" s="42">
        <v>5.96</v>
      </c>
      <c r="G21" s="40">
        <v>71.84</v>
      </c>
      <c r="H21" s="40">
        <v>37.78</v>
      </c>
      <c r="I21" s="40">
        <v>12.76</v>
      </c>
      <c r="J21" s="40">
        <v>0.83</v>
      </c>
      <c r="K21" s="40">
        <v>352.52</v>
      </c>
      <c r="L21" s="40">
        <v>28.23</v>
      </c>
      <c r="M21" s="40">
        <v>29.98</v>
      </c>
      <c r="N21" s="40">
        <v>478.1</v>
      </c>
      <c r="O21" s="40">
        <v>0</v>
      </c>
      <c r="P21" s="40">
        <v>0.87</v>
      </c>
      <c r="Q21" s="40">
        <v>13.03</v>
      </c>
      <c r="R21" s="38"/>
      <c r="S21" s="38"/>
      <c r="T21" s="38"/>
      <c r="U21" s="38"/>
    </row>
    <row r="22" spans="1:21" customFormat="1">
      <c r="A22" s="39" t="s">
        <v>170</v>
      </c>
      <c r="B22" s="40">
        <v>5.56</v>
      </c>
      <c r="C22" s="40">
        <v>27.61</v>
      </c>
      <c r="D22" s="40">
        <v>20.23</v>
      </c>
      <c r="E22" s="40">
        <v>11.21</v>
      </c>
      <c r="F22" s="42">
        <v>6.05</v>
      </c>
      <c r="G22" s="40">
        <v>57.91</v>
      </c>
      <c r="H22" s="40">
        <v>36.770000000000003</v>
      </c>
      <c r="I22" s="40">
        <v>11.66</v>
      </c>
      <c r="J22" s="40">
        <v>0.45</v>
      </c>
      <c r="K22" s="40">
        <v>301.43</v>
      </c>
      <c r="L22" s="40">
        <v>27.79</v>
      </c>
      <c r="M22" s="40">
        <v>27.69</v>
      </c>
      <c r="N22" s="40">
        <v>415.8</v>
      </c>
      <c r="O22" s="40">
        <v>0</v>
      </c>
      <c r="P22" s="40">
        <v>0.75</v>
      </c>
      <c r="Q22" s="40">
        <v>13.02</v>
      </c>
      <c r="R22" s="38"/>
      <c r="S22" s="38"/>
      <c r="T22" s="38"/>
      <c r="U22" s="38"/>
    </row>
    <row r="23" spans="1:21" customFormat="1">
      <c r="A23" s="39" t="s">
        <v>171</v>
      </c>
      <c r="B23" s="40">
        <v>3.74</v>
      </c>
      <c r="C23" s="40">
        <v>25</v>
      </c>
      <c r="D23" s="40">
        <v>17.41</v>
      </c>
      <c r="E23" s="40">
        <v>11.77</v>
      </c>
      <c r="F23" s="42">
        <v>6.94</v>
      </c>
      <c r="G23" s="40">
        <v>53.38</v>
      </c>
      <c r="H23" s="40">
        <v>35.590000000000003</v>
      </c>
      <c r="I23" s="40">
        <v>10.58</v>
      </c>
      <c r="J23" s="40">
        <v>0.75</v>
      </c>
      <c r="K23" s="40">
        <v>217.16</v>
      </c>
      <c r="L23" s="40">
        <v>27.74</v>
      </c>
      <c r="M23" s="40">
        <v>28.95</v>
      </c>
      <c r="N23" s="40">
        <v>122.9</v>
      </c>
      <c r="O23" s="40">
        <v>0</v>
      </c>
      <c r="P23" s="40">
        <v>0.67</v>
      </c>
      <c r="Q23" s="40">
        <v>13</v>
      </c>
      <c r="R23" s="38"/>
      <c r="S23" s="38"/>
      <c r="T23" s="38"/>
      <c r="U23" s="38"/>
    </row>
    <row r="24" spans="1:21" customFormat="1">
      <c r="A24" s="39" t="s">
        <v>172</v>
      </c>
      <c r="B24" s="40">
        <v>3.6</v>
      </c>
      <c r="C24" s="40">
        <v>22.98</v>
      </c>
      <c r="D24" s="40">
        <v>16.239999999999998</v>
      </c>
      <c r="E24" s="40">
        <v>11.23</v>
      </c>
      <c r="F24" s="42">
        <v>8.09</v>
      </c>
      <c r="G24" s="40">
        <v>62.7</v>
      </c>
      <c r="H24" s="40">
        <v>34.6</v>
      </c>
      <c r="I24" s="40">
        <v>9.65</v>
      </c>
      <c r="J24" s="40">
        <v>0.43</v>
      </c>
      <c r="K24" s="40">
        <v>139.27000000000001</v>
      </c>
      <c r="L24" s="40">
        <v>27.49</v>
      </c>
      <c r="M24" s="40">
        <v>28.98</v>
      </c>
      <c r="N24" s="40">
        <v>54.7</v>
      </c>
      <c r="O24" s="40">
        <v>0</v>
      </c>
      <c r="P24" s="40">
        <v>0.64</v>
      </c>
      <c r="Q24" s="40">
        <v>12.99</v>
      </c>
      <c r="R24" s="38"/>
      <c r="S24" s="38"/>
      <c r="T24" s="38"/>
      <c r="U24" s="38"/>
    </row>
    <row r="25" spans="1:21" customFormat="1">
      <c r="A25" s="39" t="s">
        <v>173</v>
      </c>
      <c r="B25" s="40">
        <v>3.73</v>
      </c>
      <c r="C25" s="40">
        <v>21.3</v>
      </c>
      <c r="D25" s="40">
        <v>15.39</v>
      </c>
      <c r="E25" s="40">
        <v>12.25</v>
      </c>
      <c r="F25" s="42">
        <v>8.0399999999999991</v>
      </c>
      <c r="G25" s="40">
        <v>69.62</v>
      </c>
      <c r="H25" s="40">
        <v>30.88</v>
      </c>
      <c r="I25" s="40">
        <v>8.94</v>
      </c>
      <c r="J25" s="40">
        <v>0.31</v>
      </c>
      <c r="K25" s="40">
        <v>168.01</v>
      </c>
      <c r="L25" s="40">
        <v>26.78</v>
      </c>
      <c r="M25" s="40">
        <v>40.4</v>
      </c>
      <c r="N25" s="40">
        <v>34.700000000000003</v>
      </c>
      <c r="O25" s="40">
        <v>0</v>
      </c>
      <c r="P25" s="40">
        <v>0.61</v>
      </c>
      <c r="Q25" s="40">
        <v>12.98</v>
      </c>
      <c r="R25" s="38"/>
      <c r="S25" s="38"/>
      <c r="T25" s="38"/>
      <c r="U25" s="38"/>
    </row>
    <row r="26" spans="1:21" customFormat="1">
      <c r="A26" s="39" t="s">
        <v>174</v>
      </c>
      <c r="B26" s="40">
        <v>4.34</v>
      </c>
      <c r="C26" s="40">
        <v>22.4</v>
      </c>
      <c r="D26" s="40">
        <v>16.53</v>
      </c>
      <c r="E26" s="40">
        <v>10.92</v>
      </c>
      <c r="F26" s="42">
        <v>5.39</v>
      </c>
      <c r="G26" s="40">
        <v>70.36</v>
      </c>
      <c r="H26" s="40">
        <v>33.01</v>
      </c>
      <c r="I26" s="40">
        <v>8.5</v>
      </c>
      <c r="J26" s="40">
        <v>0.33</v>
      </c>
      <c r="K26" s="40">
        <v>169.36</v>
      </c>
      <c r="L26" s="40">
        <v>23.6</v>
      </c>
      <c r="M26" s="40">
        <v>58.1</v>
      </c>
      <c r="N26" s="40">
        <v>6.7</v>
      </c>
      <c r="O26" s="40">
        <v>0</v>
      </c>
      <c r="P26" s="40">
        <v>0.7</v>
      </c>
      <c r="Q26" s="40">
        <v>12.97</v>
      </c>
      <c r="R26" s="38"/>
      <c r="S26" s="38"/>
      <c r="T26" s="38"/>
      <c r="U26" s="38"/>
    </row>
    <row r="27" spans="1:21" customFormat="1">
      <c r="A27" s="39" t="s">
        <v>175</v>
      </c>
      <c r="B27" s="40">
        <v>7.04</v>
      </c>
      <c r="C27" s="40">
        <v>26.02</v>
      </c>
      <c r="D27" s="40">
        <v>20.6</v>
      </c>
      <c r="E27" s="40">
        <v>9.3699999999999992</v>
      </c>
      <c r="F27" s="42">
        <v>4.8499999999999996</v>
      </c>
      <c r="G27" s="40">
        <v>96.81</v>
      </c>
      <c r="H27" s="40">
        <v>35.36</v>
      </c>
      <c r="I27" s="40">
        <v>9.23</v>
      </c>
      <c r="J27" s="40">
        <v>0.3</v>
      </c>
      <c r="K27" s="40">
        <v>169.44</v>
      </c>
      <c r="L27" s="40">
        <v>20.8</v>
      </c>
      <c r="M27" s="40">
        <v>65.430000000000007</v>
      </c>
      <c r="N27" s="40">
        <v>2</v>
      </c>
      <c r="O27" s="40">
        <v>0</v>
      </c>
      <c r="P27" s="40">
        <v>0.85</v>
      </c>
      <c r="Q27" s="40">
        <v>13</v>
      </c>
      <c r="R27" s="38"/>
      <c r="S27" s="38"/>
      <c r="T27" s="38"/>
      <c r="U27" s="38"/>
    </row>
    <row r="28" spans="1:21" customFormat="1">
      <c r="A28" s="39" t="s">
        <v>176</v>
      </c>
      <c r="B28" s="40">
        <v>8.2100000000000009</v>
      </c>
      <c r="C28" s="40">
        <v>27.48</v>
      </c>
      <c r="D28" s="40">
        <v>22.3</v>
      </c>
      <c r="E28" s="40">
        <v>9.31</v>
      </c>
      <c r="F28" s="42">
        <v>4.72</v>
      </c>
      <c r="G28" s="40">
        <v>120.03</v>
      </c>
      <c r="H28" s="40">
        <v>36.67</v>
      </c>
      <c r="I28" s="40">
        <v>10.38</v>
      </c>
      <c r="J28" s="40">
        <v>0.25</v>
      </c>
      <c r="K28" s="40">
        <v>188.82</v>
      </c>
      <c r="L28" s="40">
        <v>19.309999999999999</v>
      </c>
      <c r="M28" s="40">
        <v>73.83</v>
      </c>
      <c r="N28" s="40">
        <v>1.7</v>
      </c>
      <c r="O28" s="40">
        <v>0</v>
      </c>
      <c r="P28" s="40">
        <v>0.95</v>
      </c>
      <c r="Q28" s="40">
        <v>13.01</v>
      </c>
      <c r="R28" s="38"/>
      <c r="S28" s="38"/>
      <c r="T28" s="38"/>
      <c r="U28" s="38"/>
    </row>
    <row r="29" spans="1:21" customFormat="1">
      <c r="A29" s="39" t="s">
        <v>177</v>
      </c>
      <c r="B29" s="40">
        <v>9.9600000000000009</v>
      </c>
      <c r="C29" s="40">
        <v>27.3</v>
      </c>
      <c r="D29" s="40">
        <v>23.44</v>
      </c>
      <c r="E29" s="40">
        <v>9.11</v>
      </c>
      <c r="F29" s="42">
        <v>4.79</v>
      </c>
      <c r="G29" s="40">
        <v>124.17</v>
      </c>
      <c r="H29" s="40">
        <v>36.78</v>
      </c>
      <c r="I29" s="40">
        <v>11.57</v>
      </c>
      <c r="J29" s="40">
        <v>0.33</v>
      </c>
      <c r="K29" s="40">
        <v>174.63</v>
      </c>
      <c r="L29" s="40">
        <v>18.12</v>
      </c>
      <c r="M29" s="40">
        <v>76.930000000000007</v>
      </c>
      <c r="N29" s="40">
        <v>1.4</v>
      </c>
      <c r="O29" s="40">
        <v>0</v>
      </c>
      <c r="P29" s="40">
        <v>1.05</v>
      </c>
      <c r="Q29" s="40">
        <v>13.02</v>
      </c>
      <c r="R29" s="38"/>
      <c r="S29" s="38"/>
      <c r="T29" s="38"/>
      <c r="U29" s="38"/>
    </row>
    <row r="30" spans="1:21" customFormat="1">
      <c r="A30" s="39" t="s">
        <v>178</v>
      </c>
      <c r="B30" s="40">
        <v>17.55</v>
      </c>
      <c r="C30" s="40">
        <v>28.01</v>
      </c>
      <c r="D30" s="40">
        <v>30.06</v>
      </c>
      <c r="E30" s="40">
        <v>9.35</v>
      </c>
      <c r="F30" s="42">
        <v>4.82</v>
      </c>
      <c r="G30" s="40">
        <v>132.97999999999999</v>
      </c>
      <c r="H30" s="40">
        <v>39.08</v>
      </c>
      <c r="I30" s="40">
        <v>13.24</v>
      </c>
      <c r="J30" s="40">
        <v>0.38</v>
      </c>
      <c r="K30" s="40">
        <v>208.29</v>
      </c>
      <c r="L30" s="40">
        <v>18.38</v>
      </c>
      <c r="M30" s="40">
        <v>78.05</v>
      </c>
      <c r="N30" s="40">
        <v>1.8</v>
      </c>
      <c r="O30" s="40">
        <v>0</v>
      </c>
      <c r="P30" s="40">
        <v>1.22</v>
      </c>
      <c r="Q30" s="40">
        <v>13.03</v>
      </c>
      <c r="R30" s="38"/>
      <c r="S30" s="38"/>
      <c r="T30" s="38"/>
      <c r="U30" s="38"/>
    </row>
    <row r="31" spans="1:21" customFormat="1">
      <c r="A31" s="39" t="s">
        <v>179</v>
      </c>
      <c r="B31" s="40">
        <v>20.11</v>
      </c>
      <c r="C31" s="40">
        <v>28.3</v>
      </c>
      <c r="D31" s="40">
        <v>32.270000000000003</v>
      </c>
      <c r="E31" s="40">
        <v>9.2799999999999994</v>
      </c>
      <c r="F31" s="42">
        <v>4.76</v>
      </c>
      <c r="G31" s="40">
        <v>132.75</v>
      </c>
      <c r="H31" s="40">
        <v>41.02</v>
      </c>
      <c r="I31" s="40">
        <v>14.55</v>
      </c>
      <c r="J31" s="40">
        <v>0.21</v>
      </c>
      <c r="K31" s="40">
        <v>186.55</v>
      </c>
      <c r="L31" s="40">
        <v>16.75</v>
      </c>
      <c r="M31" s="40">
        <v>82.2</v>
      </c>
      <c r="N31" s="40">
        <v>1.4</v>
      </c>
      <c r="O31" s="40">
        <v>0</v>
      </c>
      <c r="P31" s="40">
        <v>1.26</v>
      </c>
      <c r="Q31" s="40">
        <v>13.06</v>
      </c>
      <c r="R31" s="38"/>
      <c r="S31" s="38"/>
      <c r="T31" s="38"/>
      <c r="U31" s="38"/>
    </row>
    <row r="32" spans="1:21" customFormat="1">
      <c r="A32" s="39" t="s">
        <v>180</v>
      </c>
      <c r="B32" s="40">
        <v>20.69</v>
      </c>
      <c r="C32" s="40">
        <v>28.31</v>
      </c>
      <c r="D32" s="40">
        <v>32.729999999999997</v>
      </c>
      <c r="E32" s="40">
        <v>9.36</v>
      </c>
      <c r="F32" s="42">
        <v>4.7300000000000004</v>
      </c>
      <c r="G32" s="40">
        <v>135.35</v>
      </c>
      <c r="H32" s="40">
        <v>45.05</v>
      </c>
      <c r="I32" s="40">
        <v>15.54</v>
      </c>
      <c r="J32" s="40">
        <v>0.2</v>
      </c>
      <c r="K32" s="40">
        <v>209.63</v>
      </c>
      <c r="L32" s="40">
        <v>15.94</v>
      </c>
      <c r="M32" s="40">
        <v>87.53</v>
      </c>
      <c r="N32" s="40">
        <v>1.6</v>
      </c>
      <c r="O32" s="40">
        <v>0</v>
      </c>
      <c r="P32" s="40">
        <v>1.3</v>
      </c>
      <c r="Q32" s="40">
        <v>13.08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</v>
      </c>
      <c r="C34" s="18">
        <f t="shared" si="0"/>
        <v>20.3</v>
      </c>
      <c r="D34" s="18">
        <f t="shared" si="0"/>
        <v>15.39</v>
      </c>
      <c r="E34" s="18">
        <f t="shared" si="0"/>
        <v>7.61</v>
      </c>
      <c r="F34" s="18">
        <f t="shared" si="0"/>
        <v>4.62</v>
      </c>
      <c r="G34" s="18">
        <f t="shared" si="0"/>
        <v>53.38</v>
      </c>
      <c r="H34" s="18">
        <f t="shared" si="0"/>
        <v>23.84</v>
      </c>
      <c r="I34" s="18">
        <f t="shared" si="0"/>
        <v>8.5</v>
      </c>
      <c r="J34" s="18">
        <f t="shared" si="0"/>
        <v>0.17</v>
      </c>
      <c r="K34" s="18">
        <f t="shared" si="0"/>
        <v>54.39</v>
      </c>
      <c r="L34" s="18">
        <f t="shared" si="0"/>
        <v>11.96</v>
      </c>
      <c r="M34" s="18">
        <f t="shared" si="0"/>
        <v>27.69</v>
      </c>
      <c r="N34" s="18">
        <f t="shared" si="0"/>
        <v>1.1000000000000001</v>
      </c>
      <c r="O34" s="18">
        <f t="shared" si="0"/>
        <v>0</v>
      </c>
      <c r="P34" s="18">
        <f t="shared" si="0"/>
        <v>0.61</v>
      </c>
      <c r="Q34" s="18">
        <f t="shared" si="0"/>
        <v>12.97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44.63</v>
      </c>
      <c r="C35" s="3">
        <f t="shared" si="1"/>
        <v>28.31</v>
      </c>
      <c r="D35" s="3">
        <f t="shared" si="1"/>
        <v>48.02</v>
      </c>
      <c r="E35" s="3">
        <f t="shared" si="1"/>
        <v>14.08</v>
      </c>
      <c r="F35" s="3">
        <f t="shared" si="1"/>
        <v>8.09</v>
      </c>
      <c r="G35" s="3">
        <f t="shared" si="1"/>
        <v>147.74</v>
      </c>
      <c r="H35" s="3">
        <f t="shared" si="1"/>
        <v>45.05</v>
      </c>
      <c r="I35" s="3">
        <f t="shared" si="1"/>
        <v>15.54</v>
      </c>
      <c r="J35" s="3">
        <f t="shared" si="1"/>
        <v>1.07</v>
      </c>
      <c r="K35" s="3">
        <f t="shared" si="1"/>
        <v>352.52</v>
      </c>
      <c r="L35" s="3">
        <f t="shared" si="1"/>
        <v>28.23</v>
      </c>
      <c r="M35" s="3">
        <f t="shared" si="1"/>
        <v>96.19</v>
      </c>
      <c r="N35" s="3">
        <f t="shared" si="1"/>
        <v>497.6</v>
      </c>
      <c r="O35" s="3">
        <f t="shared" si="1"/>
        <v>0</v>
      </c>
      <c r="P35" s="3">
        <f t="shared" si="1"/>
        <v>1.3</v>
      </c>
      <c r="Q35" s="3">
        <f t="shared" si="1"/>
        <v>13.12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22.338333333333338</v>
      </c>
      <c r="C36" s="18">
        <f t="shared" si="2"/>
        <v>24.464166666666667</v>
      </c>
      <c r="D36" s="18">
        <f t="shared" si="2"/>
        <v>31.894166666666663</v>
      </c>
      <c r="E36" s="18">
        <f t="shared" si="2"/>
        <v>9.8445833333333326</v>
      </c>
      <c r="F36" s="18">
        <f t="shared" si="2"/>
        <v>5.3462500000000004</v>
      </c>
      <c r="G36" s="18">
        <f t="shared" si="2"/>
        <v>94.339999999999989</v>
      </c>
      <c r="H36" s="18">
        <f t="shared" si="2"/>
        <v>33.720833333333331</v>
      </c>
      <c r="I36" s="18">
        <f t="shared" si="2"/>
        <v>12.943333333333335</v>
      </c>
      <c r="J36" s="18">
        <f t="shared" si="2"/>
        <v>0.40416666666666673</v>
      </c>
      <c r="K36" s="18">
        <f t="shared" si="2"/>
        <v>188.5929166666667</v>
      </c>
      <c r="L36" s="18">
        <f t="shared" si="2"/>
        <v>19.665416666666669</v>
      </c>
      <c r="M36" s="18">
        <f t="shared" si="2"/>
        <v>66.967916666666682</v>
      </c>
      <c r="N36" s="18">
        <f t="shared" si="2"/>
        <v>113.82083333333333</v>
      </c>
      <c r="O36" s="18">
        <f t="shared" si="2"/>
        <v>0</v>
      </c>
      <c r="P36" s="18">
        <f t="shared" si="2"/>
        <v>0.96708333333333341</v>
      </c>
      <c r="Q36" s="18">
        <f t="shared" si="2"/>
        <v>13.050416666666665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14.957268312172468</v>
      </c>
      <c r="C37" s="18">
        <f t="shared" ref="C37:Q37" si="3">STDEV(C9:C32)</f>
        <v>2.6808125255417541</v>
      </c>
      <c r="D37" s="18">
        <f t="shared" si="3"/>
        <v>11.332196117283718</v>
      </c>
      <c r="E37" s="18">
        <f t="shared" si="3"/>
        <v>1.5418903676322462</v>
      </c>
      <c r="F37" s="18">
        <f t="shared" si="3"/>
        <v>0.99326782806092795</v>
      </c>
      <c r="G37" s="18">
        <f t="shared" si="3"/>
        <v>28.102978799253773</v>
      </c>
      <c r="H37" s="18">
        <f t="shared" si="3"/>
        <v>5.6504712513487965</v>
      </c>
      <c r="I37" s="18">
        <f t="shared" si="3"/>
        <v>2.2628102317533028</v>
      </c>
      <c r="J37" s="18">
        <f t="shared" si="3"/>
        <v>0.25607262330400937</v>
      </c>
      <c r="K37" s="18">
        <f t="shared" si="3"/>
        <v>71.952907937681005</v>
      </c>
      <c r="L37" s="18">
        <f t="shared" si="3"/>
        <v>5.8764452277284551</v>
      </c>
      <c r="M37" s="18">
        <f t="shared" si="3"/>
        <v>24.598636402498354</v>
      </c>
      <c r="N37" s="18">
        <f t="shared" si="3"/>
        <v>179.13219791458525</v>
      </c>
      <c r="O37" s="18">
        <f t="shared" si="3"/>
        <v>0</v>
      </c>
      <c r="P37" s="18">
        <f t="shared" si="3"/>
        <v>0.18799813057966622</v>
      </c>
      <c r="Q37" s="18">
        <f t="shared" si="3"/>
        <v>4.5346891621258115E-2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96"/>
  <sheetViews>
    <sheetView zoomScale="85" zoomScaleNormal="85" workbookViewId="0">
      <pane xSplit="2" ySplit="8" topLeftCell="C21" activePane="bottomRight" state="frozen"/>
      <selection activeCell="G19" sqref="G19"/>
      <selection pane="topRight" activeCell="G19" sqref="G19"/>
      <selection pane="bottomLeft" activeCell="G19" sqref="G19"/>
      <selection pane="bottomRight" activeCell="I15" sqref="I1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06/01/2025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181</v>
      </c>
      <c r="B9" s="40">
        <v>20.95</v>
      </c>
      <c r="C9" s="40">
        <v>27.73</v>
      </c>
      <c r="D9" s="40">
        <v>32.53</v>
      </c>
      <c r="E9" s="40">
        <v>9.2899999999999991</v>
      </c>
      <c r="F9" s="40">
        <v>2.6</v>
      </c>
      <c r="G9" s="40">
        <v>128.61000000000001</v>
      </c>
      <c r="H9" s="40">
        <v>44.61</v>
      </c>
      <c r="I9" s="40">
        <v>16.36</v>
      </c>
      <c r="J9" s="40">
        <v>0.21</v>
      </c>
      <c r="K9" s="40">
        <v>219.2</v>
      </c>
      <c r="L9" s="40">
        <v>15.39</v>
      </c>
      <c r="M9" s="40">
        <v>89.69</v>
      </c>
      <c r="N9" s="40">
        <v>1.3</v>
      </c>
      <c r="O9" s="40">
        <v>0</v>
      </c>
      <c r="P9" s="40">
        <v>1.31</v>
      </c>
      <c r="Q9" s="40">
        <v>13.05</v>
      </c>
      <c r="R9" s="38"/>
      <c r="S9" s="38"/>
      <c r="T9" s="38"/>
      <c r="U9" s="38"/>
    </row>
    <row r="10" spans="1:21" customFormat="1">
      <c r="A10" s="39" t="s">
        <v>182</v>
      </c>
      <c r="B10" s="40">
        <v>20.61</v>
      </c>
      <c r="C10" s="40">
        <v>27.19</v>
      </c>
      <c r="D10" s="40">
        <v>32.08</v>
      </c>
      <c r="E10" s="40">
        <v>8.91</v>
      </c>
      <c r="F10" s="40">
        <v>2.4</v>
      </c>
      <c r="G10" s="40">
        <v>125.63</v>
      </c>
      <c r="H10" s="40">
        <v>47.01</v>
      </c>
      <c r="I10" s="40">
        <v>16.649999999999999</v>
      </c>
      <c r="J10" s="40">
        <v>0.19</v>
      </c>
      <c r="K10" s="40">
        <v>223.38</v>
      </c>
      <c r="L10" s="40">
        <v>14.7</v>
      </c>
      <c r="M10" s="40">
        <v>91.33</v>
      </c>
      <c r="N10" s="40">
        <v>1.3</v>
      </c>
      <c r="O10" s="40">
        <v>0</v>
      </c>
      <c r="P10" s="40">
        <v>1.31</v>
      </c>
      <c r="Q10" s="40">
        <v>13.06</v>
      </c>
      <c r="R10" s="38"/>
      <c r="S10" s="38"/>
      <c r="T10" s="38"/>
      <c r="U10" s="38"/>
    </row>
    <row r="11" spans="1:21" customFormat="1">
      <c r="A11" s="39" t="s">
        <v>183</v>
      </c>
      <c r="B11" s="40">
        <v>18.11</v>
      </c>
      <c r="C11" s="40">
        <v>25.65</v>
      </c>
      <c r="D11" s="40">
        <v>29.28</v>
      </c>
      <c r="E11" s="40">
        <v>8.1999999999999993</v>
      </c>
      <c r="F11" s="40">
        <v>2.8</v>
      </c>
      <c r="G11" s="40">
        <v>120.88</v>
      </c>
      <c r="H11" s="40">
        <v>44.31</v>
      </c>
      <c r="I11" s="40">
        <v>16.739999999999998</v>
      </c>
      <c r="J11" s="40">
        <v>0.2</v>
      </c>
      <c r="K11" s="40">
        <v>217.7</v>
      </c>
      <c r="L11" s="40">
        <v>14.4</v>
      </c>
      <c r="M11" s="40">
        <v>92.25</v>
      </c>
      <c r="N11" s="40">
        <v>1.4</v>
      </c>
      <c r="O11" s="40">
        <v>0</v>
      </c>
      <c r="P11" s="40">
        <v>1.29</v>
      </c>
      <c r="Q11" s="40">
        <v>13.04</v>
      </c>
      <c r="R11" s="38"/>
      <c r="S11" s="38"/>
      <c r="T11" s="38"/>
      <c r="U11" s="38"/>
    </row>
    <row r="12" spans="1:21" customFormat="1">
      <c r="A12" s="39" t="s">
        <v>184</v>
      </c>
      <c r="B12" s="40">
        <v>18.29</v>
      </c>
      <c r="C12" s="40">
        <v>25.65</v>
      </c>
      <c r="D12" s="40">
        <v>29.42</v>
      </c>
      <c r="E12" s="40">
        <v>8.11</v>
      </c>
      <c r="F12" s="40">
        <v>2.4</v>
      </c>
      <c r="G12" s="40">
        <v>115.21</v>
      </c>
      <c r="H12" s="40">
        <v>45.35</v>
      </c>
      <c r="I12" s="40">
        <v>16.91</v>
      </c>
      <c r="J12" s="40">
        <v>0.17</v>
      </c>
      <c r="K12" s="40">
        <v>240.36</v>
      </c>
      <c r="L12" s="40">
        <v>13.97</v>
      </c>
      <c r="M12" s="40">
        <v>91.43</v>
      </c>
      <c r="N12" s="40">
        <v>1.3</v>
      </c>
      <c r="O12" s="40">
        <v>0</v>
      </c>
      <c r="P12" s="40">
        <v>1.29</v>
      </c>
      <c r="Q12" s="40">
        <v>13.05</v>
      </c>
      <c r="R12" s="38"/>
      <c r="S12" s="38"/>
      <c r="T12" s="38"/>
      <c r="U12" s="38"/>
    </row>
    <row r="13" spans="1:21" customFormat="1">
      <c r="A13" s="39" t="s">
        <v>185</v>
      </c>
      <c r="B13" s="40">
        <v>22.53</v>
      </c>
      <c r="C13" s="40">
        <v>26.03</v>
      </c>
      <c r="D13" s="40">
        <v>32.880000000000003</v>
      </c>
      <c r="E13" s="40">
        <v>8.33</v>
      </c>
      <c r="F13" s="40">
        <v>2.6</v>
      </c>
      <c r="G13" s="40">
        <v>117.31</v>
      </c>
      <c r="H13" s="40">
        <v>48.19</v>
      </c>
      <c r="I13" s="40">
        <v>16.84</v>
      </c>
      <c r="J13" s="40">
        <v>0.19</v>
      </c>
      <c r="K13" s="40">
        <v>177.44</v>
      </c>
      <c r="L13" s="40">
        <v>14.14</v>
      </c>
      <c r="M13" s="40">
        <v>94.56</v>
      </c>
      <c r="N13" s="40">
        <v>1.4</v>
      </c>
      <c r="O13" s="40">
        <v>0</v>
      </c>
      <c r="P13" s="40">
        <v>1.29</v>
      </c>
      <c r="Q13" s="40">
        <v>13.06</v>
      </c>
      <c r="R13" s="38"/>
      <c r="S13" s="38"/>
      <c r="T13" s="38"/>
      <c r="U13" s="38"/>
    </row>
    <row r="14" spans="1:21" customFormat="1">
      <c r="A14" s="39" t="s">
        <v>186</v>
      </c>
      <c r="B14" s="40">
        <v>22.87</v>
      </c>
      <c r="C14" s="40">
        <v>25.46</v>
      </c>
      <c r="D14" s="40">
        <v>33</v>
      </c>
      <c r="E14" s="40">
        <v>8.19</v>
      </c>
      <c r="F14" s="40">
        <v>2.5</v>
      </c>
      <c r="G14" s="40">
        <v>114.82</v>
      </c>
      <c r="H14" s="40">
        <v>44.62</v>
      </c>
      <c r="I14" s="40">
        <v>16.89</v>
      </c>
      <c r="J14" s="40">
        <v>0.21</v>
      </c>
      <c r="K14" s="40">
        <v>199.02</v>
      </c>
      <c r="L14" s="40">
        <v>13.29</v>
      </c>
      <c r="M14" s="40">
        <v>97.45</v>
      </c>
      <c r="N14" s="40">
        <v>1.5</v>
      </c>
      <c r="O14" s="40">
        <v>0</v>
      </c>
      <c r="P14" s="40">
        <v>1.28</v>
      </c>
      <c r="Q14" s="40">
        <v>13.05</v>
      </c>
      <c r="R14" s="38"/>
      <c r="S14" s="38"/>
      <c r="T14" s="38"/>
      <c r="U14" s="38"/>
    </row>
    <row r="15" spans="1:21" customFormat="1">
      <c r="A15" s="39" t="s">
        <v>187</v>
      </c>
      <c r="B15" s="40">
        <v>20.8</v>
      </c>
      <c r="C15" s="40">
        <v>24.21</v>
      </c>
      <c r="D15" s="40">
        <v>30.68</v>
      </c>
      <c r="E15" s="40">
        <v>7.89</v>
      </c>
      <c r="F15" s="40">
        <v>2.4</v>
      </c>
      <c r="G15" s="40">
        <v>111.43</v>
      </c>
      <c r="H15" s="40">
        <v>44.08</v>
      </c>
      <c r="I15" s="40">
        <v>16.690000000000001</v>
      </c>
      <c r="J15" s="40">
        <v>0.22</v>
      </c>
      <c r="K15" s="40">
        <v>203.11</v>
      </c>
      <c r="L15" s="40">
        <v>12.99</v>
      </c>
      <c r="M15" s="40">
        <v>99.19</v>
      </c>
      <c r="N15" s="40">
        <v>13.3</v>
      </c>
      <c r="O15" s="40">
        <v>0</v>
      </c>
      <c r="P15" s="40">
        <v>1.28</v>
      </c>
      <c r="Q15" s="40">
        <v>13.03</v>
      </c>
      <c r="R15" s="38"/>
      <c r="S15" s="38"/>
      <c r="T15" s="38"/>
      <c r="U15" s="38"/>
    </row>
    <row r="16" spans="1:21" customFormat="1">
      <c r="A16" s="39" t="s">
        <v>188</v>
      </c>
      <c r="B16" s="40">
        <v>17.940000000000001</v>
      </c>
      <c r="C16" s="40">
        <v>23.08</v>
      </c>
      <c r="D16" s="40">
        <v>27.68</v>
      </c>
      <c r="E16" s="40">
        <v>7.86</v>
      </c>
      <c r="F16" s="40">
        <v>3.1</v>
      </c>
      <c r="G16" s="40">
        <v>109.51</v>
      </c>
      <c r="H16" s="40">
        <v>46.75</v>
      </c>
      <c r="I16" s="40">
        <v>16.329999999999998</v>
      </c>
      <c r="J16" s="40">
        <v>0.19</v>
      </c>
      <c r="K16" s="40">
        <v>260.58</v>
      </c>
      <c r="L16" s="40">
        <v>15.2</v>
      </c>
      <c r="M16" s="40">
        <v>98.5</v>
      </c>
      <c r="N16" s="40">
        <v>58.8</v>
      </c>
      <c r="O16" s="40">
        <v>0</v>
      </c>
      <c r="P16" s="40">
        <v>1.26</v>
      </c>
      <c r="Q16" s="40">
        <v>13.02</v>
      </c>
      <c r="R16" s="38"/>
      <c r="S16" s="38"/>
      <c r="T16" s="38"/>
      <c r="U16" s="38"/>
    </row>
    <row r="17" spans="1:21" customFormat="1">
      <c r="A17" s="39" t="s">
        <v>189</v>
      </c>
      <c r="B17" s="40">
        <v>19.71</v>
      </c>
      <c r="C17" s="40">
        <v>24.96</v>
      </c>
      <c r="D17" s="40">
        <v>29.7</v>
      </c>
      <c r="E17" s="40">
        <v>8.09</v>
      </c>
      <c r="F17" s="40">
        <v>3.6</v>
      </c>
      <c r="G17" s="40">
        <v>120.45</v>
      </c>
      <c r="H17" s="40">
        <v>47.42</v>
      </c>
      <c r="I17" s="40">
        <v>16.41</v>
      </c>
      <c r="J17" s="40">
        <v>0.3</v>
      </c>
      <c r="K17" s="40">
        <v>191.83</v>
      </c>
      <c r="L17" s="40">
        <v>19.579999999999998</v>
      </c>
      <c r="M17" s="40">
        <v>83.49</v>
      </c>
      <c r="N17" s="40">
        <v>214.3</v>
      </c>
      <c r="O17" s="40">
        <v>0</v>
      </c>
      <c r="P17" s="40">
        <v>1.23</v>
      </c>
      <c r="Q17" s="40">
        <v>13.04</v>
      </c>
      <c r="R17" s="38"/>
      <c r="S17" s="38"/>
      <c r="T17" s="38"/>
      <c r="U17" s="38"/>
    </row>
    <row r="18" spans="1:21" customFormat="1">
      <c r="A18" s="39" t="s">
        <v>190</v>
      </c>
      <c r="B18" s="40">
        <v>15.08</v>
      </c>
      <c r="C18" s="40">
        <v>26.49</v>
      </c>
      <c r="D18" s="40">
        <v>26.64</v>
      </c>
      <c r="E18" s="40">
        <v>8.5500000000000007</v>
      </c>
      <c r="F18" s="40">
        <v>3.6</v>
      </c>
      <c r="G18" s="40">
        <v>121.43</v>
      </c>
      <c r="H18" s="40">
        <v>46.51</v>
      </c>
      <c r="I18" s="40">
        <v>16.18</v>
      </c>
      <c r="J18" s="40">
        <v>0.39</v>
      </c>
      <c r="K18" s="40">
        <v>239.34</v>
      </c>
      <c r="L18" s="40">
        <v>23.42</v>
      </c>
      <c r="M18" s="40">
        <v>61.67</v>
      </c>
      <c r="N18" s="40">
        <v>246.2</v>
      </c>
      <c r="O18" s="40">
        <v>0</v>
      </c>
      <c r="P18" s="40">
        <v>1.19</v>
      </c>
      <c r="Q18" s="40">
        <v>13.03</v>
      </c>
      <c r="R18" s="38"/>
      <c r="S18" s="38"/>
      <c r="T18" s="38"/>
      <c r="U18" s="38"/>
    </row>
    <row r="19" spans="1:21" customFormat="1">
      <c r="A19" s="39" t="s">
        <v>191</v>
      </c>
      <c r="B19" s="40">
        <v>6.82</v>
      </c>
      <c r="C19" s="40">
        <v>26.73</v>
      </c>
      <c r="D19" s="40">
        <v>20.79</v>
      </c>
      <c r="E19" s="40">
        <v>7.96</v>
      </c>
      <c r="F19" s="40">
        <v>3.6</v>
      </c>
      <c r="G19" s="40">
        <v>118.98</v>
      </c>
      <c r="H19" s="40">
        <v>47.89</v>
      </c>
      <c r="I19" s="40">
        <v>15.58</v>
      </c>
      <c r="J19" s="40">
        <v>0.44</v>
      </c>
      <c r="K19" s="40">
        <v>287.29000000000002</v>
      </c>
      <c r="L19" s="40">
        <v>25.06</v>
      </c>
      <c r="M19" s="40">
        <v>48.39</v>
      </c>
      <c r="N19" s="40">
        <v>370.4</v>
      </c>
      <c r="O19" s="40">
        <v>0</v>
      </c>
      <c r="P19" s="40">
        <v>1.1399999999999999</v>
      </c>
      <c r="Q19" s="40">
        <v>13.03</v>
      </c>
      <c r="R19" s="38"/>
      <c r="S19" s="38"/>
      <c r="T19" s="38"/>
      <c r="U19" s="38"/>
    </row>
    <row r="20" spans="1:21" customFormat="1">
      <c r="A20" s="39" t="s">
        <v>192</v>
      </c>
      <c r="B20" s="40">
        <v>3.55</v>
      </c>
      <c r="C20" s="40">
        <v>24.43</v>
      </c>
      <c r="D20" s="40">
        <v>16.96</v>
      </c>
      <c r="E20" s="40">
        <v>7.89</v>
      </c>
      <c r="F20" s="40">
        <v>3.6</v>
      </c>
      <c r="G20" s="40">
        <v>107.75</v>
      </c>
      <c r="H20" s="40">
        <v>44.46</v>
      </c>
      <c r="I20" s="40">
        <v>14.38</v>
      </c>
      <c r="J20" s="40">
        <v>0.31</v>
      </c>
      <c r="K20" s="40">
        <v>301.47000000000003</v>
      </c>
      <c r="L20" s="40">
        <v>26.35</v>
      </c>
      <c r="M20" s="40">
        <v>41.45</v>
      </c>
      <c r="N20" s="40">
        <v>392.7</v>
      </c>
      <c r="O20" s="40">
        <v>0</v>
      </c>
      <c r="P20" s="40">
        <v>1.05</v>
      </c>
      <c r="Q20" s="40">
        <v>13</v>
      </c>
      <c r="R20" s="38"/>
      <c r="S20" s="38"/>
      <c r="T20" s="38"/>
      <c r="U20" s="38"/>
    </row>
    <row r="21" spans="1:21" customFormat="1">
      <c r="A21" s="39" t="s">
        <v>193</v>
      </c>
      <c r="B21" s="8" t="s">
        <v>4</v>
      </c>
      <c r="C21" s="8" t="s">
        <v>4</v>
      </c>
      <c r="D21" s="8" t="s">
        <v>4</v>
      </c>
      <c r="E21" s="8" t="s">
        <v>4</v>
      </c>
      <c r="F21" s="8" t="s">
        <v>4</v>
      </c>
      <c r="G21" s="8" t="s">
        <v>4</v>
      </c>
      <c r="H21" s="8" t="s">
        <v>4</v>
      </c>
      <c r="I21" s="8" t="s">
        <v>4</v>
      </c>
      <c r="J21" s="8" t="s">
        <v>4</v>
      </c>
      <c r="K21" s="8" t="s">
        <v>4</v>
      </c>
      <c r="L21" s="8" t="s">
        <v>4</v>
      </c>
      <c r="M21" s="8" t="s">
        <v>4</v>
      </c>
      <c r="N21" s="8" t="s">
        <v>4</v>
      </c>
      <c r="O21" s="8" t="s">
        <v>4</v>
      </c>
      <c r="P21" s="8" t="s">
        <v>4</v>
      </c>
      <c r="Q21" s="8" t="s">
        <v>4</v>
      </c>
      <c r="R21" s="38"/>
      <c r="S21" s="38"/>
      <c r="T21" s="38"/>
      <c r="U21" s="38"/>
    </row>
    <row r="22" spans="1:21" customFormat="1">
      <c r="A22" s="39" t="s">
        <v>194</v>
      </c>
      <c r="B22" s="26" t="s">
        <v>21</v>
      </c>
      <c r="C22" s="26" t="s">
        <v>21</v>
      </c>
      <c r="D22" s="26" t="s">
        <v>21</v>
      </c>
      <c r="E22" s="26" t="s">
        <v>21</v>
      </c>
      <c r="F22" s="26" t="s">
        <v>21</v>
      </c>
      <c r="G22" s="40">
        <v>91.97</v>
      </c>
      <c r="H22" s="40">
        <v>36.799999999999997</v>
      </c>
      <c r="I22" s="26" t="s">
        <v>21</v>
      </c>
      <c r="J22" s="40">
        <v>0.53</v>
      </c>
      <c r="K22" s="40">
        <v>273.39999999999998</v>
      </c>
      <c r="L22" s="40">
        <v>26.81</v>
      </c>
      <c r="M22" s="40">
        <v>35.799999999999997</v>
      </c>
      <c r="N22" s="40">
        <v>149.9</v>
      </c>
      <c r="O22" s="40">
        <v>0</v>
      </c>
      <c r="P22" s="40">
        <v>0.79</v>
      </c>
      <c r="Q22" s="24" t="s">
        <v>14</v>
      </c>
      <c r="R22" s="38"/>
      <c r="S22" s="38"/>
      <c r="T22" s="38"/>
      <c r="U22" s="38"/>
    </row>
    <row r="23" spans="1:21" customFormat="1">
      <c r="A23" s="39" t="s">
        <v>195</v>
      </c>
      <c r="B23" s="40">
        <v>3.89</v>
      </c>
      <c r="C23" s="40">
        <v>22.23</v>
      </c>
      <c r="D23" s="40">
        <v>15.04</v>
      </c>
      <c r="E23" s="40">
        <v>2.72</v>
      </c>
      <c r="F23" s="40">
        <v>2.6</v>
      </c>
      <c r="G23" s="40">
        <v>97.3</v>
      </c>
      <c r="H23" s="40">
        <v>25.33</v>
      </c>
      <c r="I23" s="40">
        <v>12.72</v>
      </c>
      <c r="J23" s="40">
        <v>0.33</v>
      </c>
      <c r="K23" s="40">
        <v>261.27999999999997</v>
      </c>
      <c r="L23" s="40">
        <v>26.93</v>
      </c>
      <c r="M23" s="40">
        <v>36.54</v>
      </c>
      <c r="N23" s="40">
        <v>121.7</v>
      </c>
      <c r="O23" s="40">
        <v>0</v>
      </c>
      <c r="P23" s="40">
        <v>0.86</v>
      </c>
      <c r="Q23" s="24" t="s">
        <v>14</v>
      </c>
      <c r="R23" s="38"/>
      <c r="S23" s="38"/>
      <c r="T23" s="38"/>
      <c r="U23" s="38"/>
    </row>
    <row r="24" spans="1:21" customFormat="1">
      <c r="A24" s="39" t="s">
        <v>196</v>
      </c>
      <c r="B24" s="40">
        <v>1.77</v>
      </c>
      <c r="C24" s="40">
        <v>21.47</v>
      </c>
      <c r="D24" s="40">
        <v>13.94</v>
      </c>
      <c r="E24" s="40">
        <v>2.72</v>
      </c>
      <c r="F24" s="40">
        <v>3.5</v>
      </c>
      <c r="G24" s="40">
        <v>102.83</v>
      </c>
      <c r="H24" s="40">
        <v>35.31</v>
      </c>
      <c r="I24" s="40">
        <v>12.44</v>
      </c>
      <c r="J24" s="40">
        <v>0.33</v>
      </c>
      <c r="K24" s="40">
        <v>164.98</v>
      </c>
      <c r="L24" s="40">
        <v>26.8</v>
      </c>
      <c r="M24" s="40">
        <v>39.36</v>
      </c>
      <c r="N24" s="40">
        <v>65.900000000000006</v>
      </c>
      <c r="O24" s="40">
        <v>0</v>
      </c>
      <c r="P24" s="40">
        <v>0.76</v>
      </c>
      <c r="Q24" s="24" t="s">
        <v>14</v>
      </c>
      <c r="R24" s="38"/>
      <c r="S24" s="38"/>
      <c r="T24" s="38"/>
      <c r="U24" s="38"/>
    </row>
    <row r="25" spans="1:21" customFormat="1">
      <c r="A25" s="39" t="s">
        <v>197</v>
      </c>
      <c r="B25" s="40">
        <v>1.84</v>
      </c>
      <c r="C25" s="40">
        <v>20.010000000000002</v>
      </c>
      <c r="D25" s="40">
        <v>13.22</v>
      </c>
      <c r="E25" s="40">
        <v>2.72</v>
      </c>
      <c r="F25" s="40">
        <v>56</v>
      </c>
      <c r="G25" s="40">
        <v>99.01</v>
      </c>
      <c r="H25" s="40">
        <v>37.229999999999997</v>
      </c>
      <c r="I25" s="40">
        <v>12.02</v>
      </c>
      <c r="J25" s="40">
        <v>0.26</v>
      </c>
      <c r="K25" s="40">
        <v>176.01</v>
      </c>
      <c r="L25" s="40">
        <v>25.63</v>
      </c>
      <c r="M25" s="40">
        <v>46.14</v>
      </c>
      <c r="N25" s="40">
        <v>34.4</v>
      </c>
      <c r="O25" s="40">
        <v>0</v>
      </c>
      <c r="P25" s="40">
        <v>0.74</v>
      </c>
      <c r="Q25" s="24" t="s">
        <v>14</v>
      </c>
      <c r="R25" s="38"/>
      <c r="S25" s="38"/>
      <c r="T25" s="38"/>
      <c r="U25" s="38"/>
    </row>
    <row r="26" spans="1:21" customFormat="1">
      <c r="A26" s="39" t="s">
        <v>198</v>
      </c>
      <c r="B26" s="40">
        <v>2.13</v>
      </c>
      <c r="C26" s="40">
        <v>20.96</v>
      </c>
      <c r="D26" s="40">
        <v>14.01</v>
      </c>
      <c r="E26" s="40">
        <v>2.72</v>
      </c>
      <c r="F26" s="40">
        <v>3.1</v>
      </c>
      <c r="G26" s="40">
        <v>101.47</v>
      </c>
      <c r="H26" s="40">
        <v>38.93</v>
      </c>
      <c r="I26" s="40">
        <v>11.76</v>
      </c>
      <c r="J26" s="40">
        <v>0.31</v>
      </c>
      <c r="K26" s="40">
        <v>170.89</v>
      </c>
      <c r="L26" s="40">
        <v>23.24</v>
      </c>
      <c r="M26" s="40">
        <v>67.95</v>
      </c>
      <c r="N26" s="40">
        <v>5.5</v>
      </c>
      <c r="O26" s="40">
        <v>0</v>
      </c>
      <c r="P26" s="40">
        <v>0.74</v>
      </c>
      <c r="Q26" s="24" t="s">
        <v>14</v>
      </c>
      <c r="R26" s="38"/>
      <c r="S26" s="38"/>
      <c r="T26" s="38"/>
      <c r="U26" s="38"/>
    </row>
    <row r="27" spans="1:21" customFormat="1">
      <c r="A27" s="39" t="s">
        <v>199</v>
      </c>
      <c r="B27" s="40">
        <v>2.4</v>
      </c>
      <c r="C27" s="40">
        <v>23.7</v>
      </c>
      <c r="D27" s="40">
        <v>15.52</v>
      </c>
      <c r="E27" s="40">
        <v>12.61</v>
      </c>
      <c r="F27" s="40">
        <v>3.2</v>
      </c>
      <c r="G27" s="40">
        <v>127.36</v>
      </c>
      <c r="H27" s="40">
        <v>40.25</v>
      </c>
      <c r="I27" s="40">
        <v>11.89</v>
      </c>
      <c r="J27" s="40">
        <v>0.23</v>
      </c>
      <c r="K27" s="40">
        <v>187.95</v>
      </c>
      <c r="L27" s="40">
        <v>20.74</v>
      </c>
      <c r="M27" s="40">
        <v>67.52</v>
      </c>
      <c r="N27" s="40">
        <v>2</v>
      </c>
      <c r="O27" s="40">
        <v>0</v>
      </c>
      <c r="P27" s="40">
        <v>0.77</v>
      </c>
      <c r="Q27" s="24" t="s">
        <v>14</v>
      </c>
      <c r="R27" s="38"/>
      <c r="S27" s="38"/>
      <c r="T27" s="38"/>
      <c r="U27" s="38"/>
    </row>
    <row r="28" spans="1:21" customFormat="1">
      <c r="A28" s="39" t="s">
        <v>200</v>
      </c>
      <c r="B28" s="40">
        <v>2.06</v>
      </c>
      <c r="C28" s="40">
        <v>23.82</v>
      </c>
      <c r="D28" s="40">
        <v>15.45</v>
      </c>
      <c r="E28" s="40">
        <v>11.89</v>
      </c>
      <c r="F28" s="40">
        <v>2.6</v>
      </c>
      <c r="G28" s="40">
        <v>132.1</v>
      </c>
      <c r="H28" s="40">
        <v>44.83</v>
      </c>
      <c r="I28" s="40">
        <v>11.95</v>
      </c>
      <c r="J28" s="40">
        <v>0.22</v>
      </c>
      <c r="K28" s="40">
        <v>207.96</v>
      </c>
      <c r="L28" s="40">
        <v>19.66</v>
      </c>
      <c r="M28" s="40">
        <v>73.42</v>
      </c>
      <c r="N28" s="40">
        <v>1.7</v>
      </c>
      <c r="O28" s="40">
        <v>0</v>
      </c>
      <c r="P28" s="40">
        <v>0.74</v>
      </c>
      <c r="Q28" s="24" t="s">
        <v>14</v>
      </c>
      <c r="R28" s="38"/>
      <c r="S28" s="38"/>
      <c r="T28" s="38"/>
      <c r="U28" s="38"/>
    </row>
    <row r="29" spans="1:21" customFormat="1">
      <c r="A29" s="39" t="s">
        <v>201</v>
      </c>
      <c r="B29" s="40">
        <v>2.17</v>
      </c>
      <c r="C29" s="40">
        <v>23.26</v>
      </c>
      <c r="D29" s="40">
        <v>15.12</v>
      </c>
      <c r="E29" s="40">
        <v>11.47</v>
      </c>
      <c r="F29" s="40">
        <v>3.5</v>
      </c>
      <c r="G29" s="40">
        <v>133.44</v>
      </c>
      <c r="H29" s="40">
        <v>43.76</v>
      </c>
      <c r="I29" s="40">
        <v>12.2</v>
      </c>
      <c r="J29" s="40">
        <v>0.19</v>
      </c>
      <c r="K29" s="40">
        <v>180.59</v>
      </c>
      <c r="L29" s="40">
        <v>18.239999999999998</v>
      </c>
      <c r="M29" s="40">
        <v>80.23</v>
      </c>
      <c r="N29" s="40">
        <v>1.4</v>
      </c>
      <c r="O29" s="40">
        <v>0</v>
      </c>
      <c r="P29" s="40">
        <v>0.77</v>
      </c>
      <c r="Q29" s="24" t="s">
        <v>14</v>
      </c>
      <c r="R29" s="38"/>
      <c r="S29" s="38"/>
      <c r="T29" s="38"/>
      <c r="U29" s="38"/>
    </row>
    <row r="30" spans="1:21" customFormat="1">
      <c r="A30" s="39" t="s">
        <v>202</v>
      </c>
      <c r="B30" s="40">
        <v>2.42</v>
      </c>
      <c r="C30" s="40">
        <v>22.13</v>
      </c>
      <c r="D30" s="40">
        <v>14.71</v>
      </c>
      <c r="E30" s="40">
        <v>11.26</v>
      </c>
      <c r="F30" s="40">
        <v>3.5</v>
      </c>
      <c r="G30" s="40">
        <v>129.63</v>
      </c>
      <c r="H30" s="40">
        <v>44.24</v>
      </c>
      <c r="I30" s="40">
        <v>12.58</v>
      </c>
      <c r="J30" s="40">
        <v>0.25</v>
      </c>
      <c r="K30" s="40">
        <v>185.27</v>
      </c>
      <c r="L30" s="40">
        <v>17.79</v>
      </c>
      <c r="M30" s="40">
        <v>83.9</v>
      </c>
      <c r="N30" s="40">
        <v>1.4</v>
      </c>
      <c r="O30" s="40">
        <v>0</v>
      </c>
      <c r="P30" s="40">
        <v>0.79</v>
      </c>
      <c r="Q30" s="24" t="s">
        <v>14</v>
      </c>
      <c r="R30" s="38"/>
      <c r="S30" s="38"/>
      <c r="T30" s="38"/>
      <c r="U30" s="38"/>
    </row>
    <row r="31" spans="1:21" customFormat="1">
      <c r="A31" s="39" t="s">
        <v>203</v>
      </c>
      <c r="B31" s="40">
        <v>2.46</v>
      </c>
      <c r="C31" s="40">
        <v>21.22</v>
      </c>
      <c r="D31" s="40">
        <v>14.41</v>
      </c>
      <c r="E31" s="40">
        <v>10.61</v>
      </c>
      <c r="F31" s="40">
        <v>2.6</v>
      </c>
      <c r="G31" s="40">
        <v>118.96</v>
      </c>
      <c r="H31" s="40">
        <v>42.47</v>
      </c>
      <c r="I31" s="40">
        <v>12.88</v>
      </c>
      <c r="J31" s="40">
        <v>0.25</v>
      </c>
      <c r="K31" s="40">
        <v>201.78</v>
      </c>
      <c r="L31" s="40">
        <v>17.260000000000002</v>
      </c>
      <c r="M31" s="40">
        <v>83.53</v>
      </c>
      <c r="N31" s="40">
        <v>1.5</v>
      </c>
      <c r="O31" s="40">
        <v>0</v>
      </c>
      <c r="P31" s="40">
        <v>0.79</v>
      </c>
      <c r="Q31" s="24" t="s">
        <v>14</v>
      </c>
      <c r="R31" s="38"/>
      <c r="S31" s="38"/>
      <c r="T31" s="38"/>
      <c r="U31" s="38"/>
    </row>
    <row r="32" spans="1:21" customFormat="1">
      <c r="A32" s="39" t="s">
        <v>204</v>
      </c>
      <c r="B32" s="40">
        <v>2.63</v>
      </c>
      <c r="C32" s="40">
        <v>20.49</v>
      </c>
      <c r="D32" s="40">
        <v>14.16</v>
      </c>
      <c r="E32" s="40">
        <v>10.7</v>
      </c>
      <c r="F32" s="40">
        <v>2.6</v>
      </c>
      <c r="G32" s="40">
        <v>106.95</v>
      </c>
      <c r="H32" s="40">
        <v>41.29</v>
      </c>
      <c r="I32" s="40">
        <v>12.81</v>
      </c>
      <c r="J32" s="40">
        <v>0.22</v>
      </c>
      <c r="K32" s="40">
        <v>229.27</v>
      </c>
      <c r="L32" s="40">
        <v>16.71</v>
      </c>
      <c r="M32" s="40">
        <v>86.53</v>
      </c>
      <c r="N32" s="40">
        <v>1.5</v>
      </c>
      <c r="O32" s="40">
        <v>0</v>
      </c>
      <c r="P32" s="40">
        <v>0.8</v>
      </c>
      <c r="Q32" s="24" t="s">
        <v>14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1.77</v>
      </c>
      <c r="C34" s="18">
        <f t="shared" si="0"/>
        <v>20.010000000000002</v>
      </c>
      <c r="D34" s="18">
        <f t="shared" si="0"/>
        <v>13.22</v>
      </c>
      <c r="E34" s="18">
        <f t="shared" si="0"/>
        <v>2.72</v>
      </c>
      <c r="F34" s="18">
        <f t="shared" si="0"/>
        <v>2.4</v>
      </c>
      <c r="G34" s="18">
        <f t="shared" si="0"/>
        <v>91.97</v>
      </c>
      <c r="H34" s="18">
        <f t="shared" si="0"/>
        <v>25.33</v>
      </c>
      <c r="I34" s="18">
        <f t="shared" si="0"/>
        <v>11.76</v>
      </c>
      <c r="J34" s="18">
        <f t="shared" si="0"/>
        <v>0.17</v>
      </c>
      <c r="K34" s="18">
        <f t="shared" si="0"/>
        <v>164.98</v>
      </c>
      <c r="L34" s="18">
        <f t="shared" si="0"/>
        <v>12.99</v>
      </c>
      <c r="M34" s="18">
        <f t="shared" si="0"/>
        <v>35.799999999999997</v>
      </c>
      <c r="N34" s="18">
        <f t="shared" si="0"/>
        <v>1.3</v>
      </c>
      <c r="O34" s="18">
        <f t="shared" si="0"/>
        <v>0</v>
      </c>
      <c r="P34" s="18">
        <f t="shared" si="0"/>
        <v>0.74</v>
      </c>
      <c r="Q34" s="18">
        <f t="shared" si="0"/>
        <v>13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22.87</v>
      </c>
      <c r="C35" s="3">
        <f t="shared" si="1"/>
        <v>27.73</v>
      </c>
      <c r="D35" s="3">
        <f t="shared" si="1"/>
        <v>33</v>
      </c>
      <c r="E35" s="3">
        <f t="shared" si="1"/>
        <v>12.61</v>
      </c>
      <c r="F35" s="3">
        <f t="shared" si="1"/>
        <v>56</v>
      </c>
      <c r="G35" s="3">
        <f t="shared" si="1"/>
        <v>133.44</v>
      </c>
      <c r="H35" s="3">
        <f t="shared" si="1"/>
        <v>48.19</v>
      </c>
      <c r="I35" s="3">
        <f t="shared" si="1"/>
        <v>16.91</v>
      </c>
      <c r="J35" s="3">
        <f t="shared" si="1"/>
        <v>0.53</v>
      </c>
      <c r="K35" s="3">
        <f t="shared" si="1"/>
        <v>301.47000000000003</v>
      </c>
      <c r="L35" s="3">
        <f t="shared" si="1"/>
        <v>26.93</v>
      </c>
      <c r="M35" s="3">
        <f t="shared" si="1"/>
        <v>99.19</v>
      </c>
      <c r="N35" s="3">
        <f t="shared" si="1"/>
        <v>392.7</v>
      </c>
      <c r="O35" s="3">
        <f t="shared" si="1"/>
        <v>0</v>
      </c>
      <c r="P35" s="3">
        <f t="shared" si="1"/>
        <v>1.31</v>
      </c>
      <c r="Q35" s="3">
        <f t="shared" si="1"/>
        <v>13.06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10.501363636363637</v>
      </c>
      <c r="C36" s="18">
        <f t="shared" si="2"/>
        <v>23.95</v>
      </c>
      <c r="D36" s="18">
        <f t="shared" si="2"/>
        <v>22.146363636363638</v>
      </c>
      <c r="E36" s="18">
        <f t="shared" si="2"/>
        <v>8.1222727272727244</v>
      </c>
      <c r="F36" s="18">
        <f t="shared" si="2"/>
        <v>5.3818181818181818</v>
      </c>
      <c r="G36" s="18">
        <f t="shared" si="2"/>
        <v>115.34913043478262</v>
      </c>
      <c r="H36" s="18">
        <f t="shared" si="2"/>
        <v>42.679999999999993</v>
      </c>
      <c r="I36" s="18">
        <f t="shared" si="2"/>
        <v>14.509545454545453</v>
      </c>
      <c r="J36" s="18">
        <f t="shared" si="2"/>
        <v>0.26695652173913043</v>
      </c>
      <c r="K36" s="18">
        <f t="shared" si="2"/>
        <v>217.39565217391305</v>
      </c>
      <c r="L36" s="18">
        <f t="shared" si="2"/>
        <v>19.491304347826087</v>
      </c>
      <c r="M36" s="18">
        <f t="shared" si="2"/>
        <v>73.492173913043487</v>
      </c>
      <c r="N36" s="18">
        <f t="shared" si="2"/>
        <v>73.513043478260883</v>
      </c>
      <c r="O36" s="18">
        <f t="shared" si="2"/>
        <v>0</v>
      </c>
      <c r="P36" s="18">
        <f t="shared" si="2"/>
        <v>1.0204347826086955</v>
      </c>
      <c r="Q36" s="18">
        <f t="shared" si="2"/>
        <v>13.038333333333334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8.78280912619568</v>
      </c>
      <c r="C37" s="18">
        <f t="shared" ref="C37:Q37" si="3">STDEV(C9:C32)</f>
        <v>2.2917283974369758</v>
      </c>
      <c r="D37" s="18">
        <f t="shared" si="3"/>
        <v>7.9687308814811768</v>
      </c>
      <c r="E37" s="18">
        <f t="shared" si="3"/>
        <v>2.9871533380352484</v>
      </c>
      <c r="F37" s="18">
        <f t="shared" si="3"/>
        <v>11.315334574673281</v>
      </c>
      <c r="G37" s="18">
        <f t="shared" si="3"/>
        <v>11.731857914182948</v>
      </c>
      <c r="H37" s="18">
        <f t="shared" si="3"/>
        <v>5.2316328061306612</v>
      </c>
      <c r="I37" s="18">
        <f t="shared" si="3"/>
        <v>2.123914798023709</v>
      </c>
      <c r="J37" s="18">
        <f t="shared" si="3"/>
        <v>9.0374714012307317E-2</v>
      </c>
      <c r="K37" s="18">
        <f t="shared" si="3"/>
        <v>38.771705337560228</v>
      </c>
      <c r="L37" s="18">
        <f t="shared" si="3"/>
        <v>5.0012092213672883</v>
      </c>
      <c r="M37" s="18">
        <f t="shared" si="3"/>
        <v>21.996364979969158</v>
      </c>
      <c r="N37" s="18">
        <f t="shared" si="3"/>
        <v>120.6329380029571</v>
      </c>
      <c r="O37" s="18">
        <f t="shared" si="3"/>
        <v>0</v>
      </c>
      <c r="P37" s="18">
        <f t="shared" si="3"/>
        <v>0.24573596807936998</v>
      </c>
      <c r="Q37" s="18">
        <f t="shared" si="3"/>
        <v>1.7494587907710725E-2</v>
      </c>
      <c r="R37" s="18"/>
      <c r="S37" s="18"/>
      <c r="T37" s="18"/>
      <c r="U37" s="18"/>
    </row>
    <row r="38" spans="1:21">
      <c r="A38" s="34" t="s">
        <v>52</v>
      </c>
      <c r="B38" s="34">
        <f>COUNT(B9:B32)+2</f>
        <v>24</v>
      </c>
      <c r="C38" s="34">
        <f t="shared" ref="C38:F38" si="4">COUNT(C9:C32)+2</f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>COUNT(G9:G32)+1</f>
        <v>24</v>
      </c>
      <c r="H38" s="34">
        <f>COUNT(H9:H32)+1</f>
        <v>24</v>
      </c>
      <c r="I38" s="34">
        <f>COUNT(I9:I32)+2</f>
        <v>24</v>
      </c>
      <c r="J38" s="34">
        <f>COUNT(J9:J32)+1</f>
        <v>24</v>
      </c>
      <c r="K38" s="34">
        <f t="shared" ref="K38:P38" si="5">COUNT(K9:K32)+1</f>
        <v>24</v>
      </c>
      <c r="L38" s="34">
        <f t="shared" si="5"/>
        <v>24</v>
      </c>
      <c r="M38" s="34">
        <f t="shared" si="5"/>
        <v>24</v>
      </c>
      <c r="N38" s="34">
        <f t="shared" si="5"/>
        <v>24</v>
      </c>
      <c r="O38" s="34">
        <f t="shared" si="5"/>
        <v>24</v>
      </c>
      <c r="P38" s="34">
        <f t="shared" si="5"/>
        <v>24</v>
      </c>
      <c r="Q38" s="34">
        <f>COUNT(Q9:Q32)+12</f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6">IF(C38&gt;=22,"&gt;90%",IF(C38&lt;=22,"&lt;90%"))</f>
        <v>&gt;90%</v>
      </c>
      <c r="D39" s="3" t="str">
        <f t="shared" si="6"/>
        <v>&gt;90%</v>
      </c>
      <c r="E39" s="3" t="str">
        <f t="shared" si="6"/>
        <v>&gt;90%</v>
      </c>
      <c r="F39" s="3" t="str">
        <f t="shared" si="6"/>
        <v>&gt;90%</v>
      </c>
      <c r="G39" s="3" t="str">
        <f t="shared" si="6"/>
        <v>&gt;90%</v>
      </c>
      <c r="H39" s="3" t="str">
        <f t="shared" si="6"/>
        <v>&gt;90%</v>
      </c>
      <c r="I39" s="3" t="str">
        <f t="shared" si="6"/>
        <v>&gt;90%</v>
      </c>
      <c r="J39" s="3" t="str">
        <f t="shared" si="6"/>
        <v>&gt;90%</v>
      </c>
      <c r="K39" s="3" t="str">
        <f t="shared" si="6"/>
        <v>&gt;90%</v>
      </c>
      <c r="L39" s="3" t="str">
        <f t="shared" si="6"/>
        <v>&gt;90%</v>
      </c>
      <c r="M39" s="3" t="str">
        <f t="shared" si="6"/>
        <v>&gt;90%</v>
      </c>
      <c r="N39" s="3" t="str">
        <f t="shared" si="6"/>
        <v>&gt;90%</v>
      </c>
      <c r="O39" s="3" t="str">
        <f t="shared" si="6"/>
        <v>&gt;90%</v>
      </c>
      <c r="P39" s="3" t="str">
        <f t="shared" si="6"/>
        <v>&gt;90%</v>
      </c>
      <c r="Q39" s="3" t="str">
        <f t="shared" si="6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7">IF(C38&gt;=22,"OK",IF(C38&lt;=22,"LESS"))</f>
        <v>OK</v>
      </c>
      <c r="D40" s="3" t="str">
        <f t="shared" si="7"/>
        <v>OK</v>
      </c>
      <c r="E40" s="3" t="str">
        <f t="shared" si="7"/>
        <v>OK</v>
      </c>
      <c r="F40" s="3" t="str">
        <f t="shared" si="7"/>
        <v>OK</v>
      </c>
      <c r="G40" s="3" t="str">
        <f t="shared" si="7"/>
        <v>OK</v>
      </c>
      <c r="H40" s="3" t="str">
        <f t="shared" si="7"/>
        <v>OK</v>
      </c>
      <c r="I40" s="3" t="str">
        <f t="shared" si="7"/>
        <v>OK</v>
      </c>
      <c r="J40" s="3" t="str">
        <f t="shared" si="7"/>
        <v>OK</v>
      </c>
      <c r="K40" s="3" t="str">
        <f t="shared" si="7"/>
        <v>OK</v>
      </c>
      <c r="L40" s="3" t="str">
        <f t="shared" si="7"/>
        <v>OK</v>
      </c>
      <c r="M40" s="3" t="str">
        <f t="shared" si="7"/>
        <v>OK</v>
      </c>
      <c r="N40" s="3" t="str">
        <f t="shared" si="7"/>
        <v>OK</v>
      </c>
      <c r="O40" s="3" t="str">
        <f t="shared" si="7"/>
        <v>OK</v>
      </c>
      <c r="P40" s="3" t="str">
        <f t="shared" si="7"/>
        <v>OK</v>
      </c>
      <c r="Q40" s="3" t="str">
        <f t="shared" si="7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96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I23" sqref="I2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07/01/2025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205</v>
      </c>
      <c r="B9" s="40">
        <v>5.23</v>
      </c>
      <c r="C9" s="40">
        <v>20.76</v>
      </c>
      <c r="D9" s="40">
        <v>16.13</v>
      </c>
      <c r="E9" s="40">
        <v>10.37</v>
      </c>
      <c r="F9" s="42">
        <v>4.6500000000000004</v>
      </c>
      <c r="G9" s="40">
        <v>93.92</v>
      </c>
      <c r="H9" s="40">
        <v>41.11</v>
      </c>
      <c r="I9" s="40">
        <v>12.8</v>
      </c>
      <c r="J9" s="40">
        <v>0.14000000000000001</v>
      </c>
      <c r="K9" s="40">
        <v>170.22</v>
      </c>
      <c r="L9" s="40">
        <v>16.010000000000002</v>
      </c>
      <c r="M9" s="40">
        <v>89.38</v>
      </c>
      <c r="N9" s="40">
        <v>1.4</v>
      </c>
      <c r="O9" s="40">
        <v>0</v>
      </c>
      <c r="P9" s="40">
        <v>0.82</v>
      </c>
      <c r="Q9" s="27" t="s">
        <v>8</v>
      </c>
      <c r="R9" s="38"/>
      <c r="S9" s="38"/>
      <c r="T9" s="38"/>
      <c r="U9" s="38"/>
    </row>
    <row r="10" spans="1:21" customFormat="1">
      <c r="A10" s="39" t="s">
        <v>206</v>
      </c>
      <c r="B10" s="40">
        <v>5.31</v>
      </c>
      <c r="C10" s="40">
        <v>19.940000000000001</v>
      </c>
      <c r="D10" s="40">
        <v>15.98</v>
      </c>
      <c r="E10" s="40">
        <v>10.32</v>
      </c>
      <c r="F10" s="42">
        <v>4.6399999999999997</v>
      </c>
      <c r="G10" s="40">
        <v>85.42</v>
      </c>
      <c r="H10" s="40">
        <v>41.05</v>
      </c>
      <c r="I10" s="40">
        <v>13.03</v>
      </c>
      <c r="J10" s="40">
        <v>0.16</v>
      </c>
      <c r="K10" s="40">
        <v>214.55</v>
      </c>
      <c r="L10" s="40">
        <v>15.63</v>
      </c>
      <c r="M10" s="40">
        <v>91.61</v>
      </c>
      <c r="N10" s="40">
        <v>1.4</v>
      </c>
      <c r="O10" s="40">
        <v>0</v>
      </c>
      <c r="P10" s="40">
        <v>0.83</v>
      </c>
      <c r="Q10" s="27" t="s">
        <v>8</v>
      </c>
      <c r="R10" s="38"/>
      <c r="S10" s="38"/>
      <c r="T10" s="38"/>
      <c r="U10" s="38"/>
    </row>
    <row r="11" spans="1:21" customFormat="1">
      <c r="A11" s="39" t="s">
        <v>207</v>
      </c>
      <c r="B11" s="40">
        <v>5.39</v>
      </c>
      <c r="C11" s="40">
        <v>19.57</v>
      </c>
      <c r="D11" s="40">
        <v>15.79</v>
      </c>
      <c r="E11" s="40">
        <v>8.69</v>
      </c>
      <c r="F11" s="42">
        <v>4.68</v>
      </c>
      <c r="G11" s="40">
        <v>80.5</v>
      </c>
      <c r="H11" s="40">
        <v>39.57</v>
      </c>
      <c r="I11" s="40">
        <v>13.15</v>
      </c>
      <c r="J11" s="40">
        <v>0.14000000000000001</v>
      </c>
      <c r="K11" s="40">
        <v>243.86</v>
      </c>
      <c r="L11" s="40">
        <v>14.82</v>
      </c>
      <c r="M11" s="40">
        <v>93.39</v>
      </c>
      <c r="N11" s="40">
        <v>1.5</v>
      </c>
      <c r="O11" s="40">
        <v>0</v>
      </c>
      <c r="P11" s="40">
        <v>0.83</v>
      </c>
      <c r="Q11" s="27" t="s">
        <v>8</v>
      </c>
      <c r="R11" s="38"/>
      <c r="S11" s="38"/>
      <c r="T11" s="38"/>
      <c r="U11" s="38"/>
    </row>
    <row r="12" spans="1:21" customFormat="1">
      <c r="A12" s="39" t="s">
        <v>208</v>
      </c>
      <c r="B12" s="40">
        <v>5.26</v>
      </c>
      <c r="C12" s="40">
        <v>18.88</v>
      </c>
      <c r="D12" s="40">
        <v>15.39</v>
      </c>
      <c r="E12" s="40">
        <v>8.3800000000000008</v>
      </c>
      <c r="F12" s="42">
        <v>4.6100000000000003</v>
      </c>
      <c r="G12" s="40">
        <v>74.8</v>
      </c>
      <c r="H12" s="40">
        <v>38.44</v>
      </c>
      <c r="I12" s="40">
        <v>13.21</v>
      </c>
      <c r="J12" s="40">
        <v>0.15</v>
      </c>
      <c r="K12" s="40">
        <v>211.87</v>
      </c>
      <c r="L12" s="40">
        <v>14.89</v>
      </c>
      <c r="M12" s="40">
        <v>92.33</v>
      </c>
      <c r="N12" s="40">
        <v>1.2</v>
      </c>
      <c r="O12" s="40">
        <v>0</v>
      </c>
      <c r="P12" s="40">
        <v>0.83</v>
      </c>
      <c r="Q12" s="27" t="s">
        <v>8</v>
      </c>
      <c r="R12" s="38"/>
      <c r="S12" s="38"/>
      <c r="T12" s="38"/>
      <c r="U12" s="38"/>
    </row>
    <row r="13" spans="1:21" customFormat="1">
      <c r="A13" s="39" t="s">
        <v>209</v>
      </c>
      <c r="B13" s="40">
        <v>4.96</v>
      </c>
      <c r="C13" s="40">
        <v>18.63</v>
      </c>
      <c r="D13" s="40">
        <v>15.06</v>
      </c>
      <c r="E13" s="40">
        <v>8.4499999999999993</v>
      </c>
      <c r="F13" s="42">
        <v>4.6100000000000003</v>
      </c>
      <c r="G13" s="40">
        <v>75.87</v>
      </c>
      <c r="H13" s="40">
        <v>37.39</v>
      </c>
      <c r="I13" s="40">
        <v>13.11</v>
      </c>
      <c r="J13" s="40">
        <v>0.17</v>
      </c>
      <c r="K13" s="40">
        <v>242.1</v>
      </c>
      <c r="L13" s="40">
        <v>14.92</v>
      </c>
      <c r="M13" s="40">
        <v>91.12</v>
      </c>
      <c r="N13" s="40">
        <v>1.4</v>
      </c>
      <c r="O13" s="40">
        <v>0</v>
      </c>
      <c r="P13" s="40">
        <v>0.83</v>
      </c>
      <c r="Q13" s="27" t="s">
        <v>8</v>
      </c>
      <c r="R13" s="38"/>
      <c r="S13" s="38"/>
      <c r="T13" s="38"/>
      <c r="U13" s="38"/>
    </row>
    <row r="14" spans="1:21" customFormat="1">
      <c r="A14" s="39" t="s">
        <v>210</v>
      </c>
      <c r="B14" s="40">
        <v>4.5199999999999996</v>
      </c>
      <c r="C14" s="40">
        <v>17.97</v>
      </c>
      <c r="D14" s="40">
        <v>14.36</v>
      </c>
      <c r="E14" s="40">
        <v>8.1199999999999992</v>
      </c>
      <c r="F14" s="42">
        <v>4.63</v>
      </c>
      <c r="G14" s="40">
        <v>74.33</v>
      </c>
      <c r="H14" s="40">
        <v>33.799999999999997</v>
      </c>
      <c r="I14" s="40">
        <v>13.17</v>
      </c>
      <c r="J14" s="40">
        <v>0.09</v>
      </c>
      <c r="K14" s="40">
        <v>215.71</v>
      </c>
      <c r="L14" s="40">
        <v>14.43</v>
      </c>
      <c r="M14" s="40">
        <v>96.04</v>
      </c>
      <c r="N14" s="40">
        <v>1.4</v>
      </c>
      <c r="O14" s="40">
        <v>0</v>
      </c>
      <c r="P14" s="40">
        <v>0.79</v>
      </c>
      <c r="Q14" s="27" t="s">
        <v>8</v>
      </c>
      <c r="R14" s="38"/>
      <c r="S14" s="38"/>
      <c r="T14" s="38"/>
      <c r="U14" s="38"/>
    </row>
    <row r="15" spans="1:21" customFormat="1">
      <c r="A15" s="39" t="s">
        <v>211</v>
      </c>
      <c r="B15" s="40">
        <v>4.9000000000000004</v>
      </c>
      <c r="C15" s="40">
        <v>17.43</v>
      </c>
      <c r="D15" s="40">
        <v>14.32</v>
      </c>
      <c r="E15" s="40">
        <v>8.1300000000000008</v>
      </c>
      <c r="F15" s="42">
        <v>4.6399999999999997</v>
      </c>
      <c r="G15" s="40">
        <v>72.97</v>
      </c>
      <c r="H15" s="40">
        <v>36.270000000000003</v>
      </c>
      <c r="I15" s="40">
        <v>13.69</v>
      </c>
      <c r="J15" s="40">
        <v>0.18</v>
      </c>
      <c r="K15" s="40">
        <v>160.93</v>
      </c>
      <c r="L15" s="40">
        <v>14.1</v>
      </c>
      <c r="M15" s="40">
        <v>96.89</v>
      </c>
      <c r="N15" s="40">
        <v>12.6</v>
      </c>
      <c r="O15" s="40">
        <v>0</v>
      </c>
      <c r="P15" s="40">
        <v>0.83</v>
      </c>
      <c r="Q15" s="27" t="s">
        <v>8</v>
      </c>
      <c r="R15" s="38"/>
      <c r="S15" s="38"/>
      <c r="T15" s="38"/>
      <c r="U15" s="38"/>
    </row>
    <row r="16" spans="1:21" customFormat="1">
      <c r="A16" s="39" t="s">
        <v>212</v>
      </c>
      <c r="B16" s="40">
        <v>8.27</v>
      </c>
      <c r="C16" s="40">
        <v>18.79</v>
      </c>
      <c r="D16" s="40">
        <v>17.8</v>
      </c>
      <c r="E16" s="40">
        <v>8.1300000000000008</v>
      </c>
      <c r="F16" s="42">
        <v>4.53</v>
      </c>
      <c r="G16" s="40">
        <v>70.930000000000007</v>
      </c>
      <c r="H16" s="40">
        <v>36.619999999999997</v>
      </c>
      <c r="I16" s="40">
        <v>14.75</v>
      </c>
      <c r="J16" s="40">
        <v>0.19</v>
      </c>
      <c r="K16" s="40">
        <v>181.63</v>
      </c>
      <c r="L16" s="40">
        <v>16.739999999999998</v>
      </c>
      <c r="M16" s="40">
        <v>96.71</v>
      </c>
      <c r="N16" s="40">
        <v>55.3</v>
      </c>
      <c r="O16" s="40">
        <v>0</v>
      </c>
      <c r="P16" s="40">
        <v>0.93</v>
      </c>
      <c r="Q16" s="27" t="s">
        <v>8</v>
      </c>
      <c r="R16" s="38"/>
      <c r="S16" s="38"/>
      <c r="T16" s="38"/>
      <c r="U16" s="38"/>
    </row>
    <row r="17" spans="1:21" customFormat="1">
      <c r="A17" s="39" t="s">
        <v>213</v>
      </c>
      <c r="B17" s="40">
        <v>10.48</v>
      </c>
      <c r="C17" s="40">
        <v>24.43</v>
      </c>
      <c r="D17" s="40">
        <v>22.52</v>
      </c>
      <c r="E17" s="40">
        <v>8.48</v>
      </c>
      <c r="F17" s="42">
        <v>4.8099999999999996</v>
      </c>
      <c r="G17" s="40">
        <v>92.77</v>
      </c>
      <c r="H17" s="40">
        <v>45.57</v>
      </c>
      <c r="I17" s="40">
        <v>17.3</v>
      </c>
      <c r="J17" s="40">
        <v>0.85</v>
      </c>
      <c r="K17" s="40">
        <v>48.57</v>
      </c>
      <c r="L17" s="40">
        <v>19.600000000000001</v>
      </c>
      <c r="M17" s="40">
        <v>78.069999999999993</v>
      </c>
      <c r="N17" s="40">
        <v>195.9</v>
      </c>
      <c r="O17" s="40">
        <v>0</v>
      </c>
      <c r="P17" s="40">
        <v>1.08</v>
      </c>
      <c r="Q17" s="27" t="s">
        <v>8</v>
      </c>
      <c r="R17" s="38"/>
      <c r="S17" s="38"/>
      <c r="T17" s="38"/>
      <c r="U17" s="38"/>
    </row>
    <row r="18" spans="1:21" customFormat="1">
      <c r="A18" s="39" t="s">
        <v>214</v>
      </c>
      <c r="B18" s="40">
        <v>10.16</v>
      </c>
      <c r="C18" s="40">
        <v>27.52</v>
      </c>
      <c r="D18" s="40">
        <v>23.13</v>
      </c>
      <c r="E18" s="40">
        <v>10.07</v>
      </c>
      <c r="F18" s="42">
        <v>5.09</v>
      </c>
      <c r="G18" s="40">
        <v>209.69</v>
      </c>
      <c r="H18" s="40">
        <v>56.82</v>
      </c>
      <c r="I18" s="40">
        <v>17.53</v>
      </c>
      <c r="J18" s="40">
        <v>0.71</v>
      </c>
      <c r="K18" s="40">
        <v>357.9</v>
      </c>
      <c r="L18" s="40">
        <v>22.48</v>
      </c>
      <c r="M18" s="40">
        <v>69.52</v>
      </c>
      <c r="N18" s="40">
        <v>242.1</v>
      </c>
      <c r="O18" s="40">
        <v>0</v>
      </c>
      <c r="P18" s="40">
        <v>1.1499999999999999</v>
      </c>
      <c r="Q18" s="27" t="s">
        <v>8</v>
      </c>
      <c r="R18" s="38"/>
      <c r="S18" s="38"/>
      <c r="T18" s="38"/>
      <c r="U18" s="38"/>
    </row>
    <row r="19" spans="1:21" customFormat="1">
      <c r="A19" s="39" t="s">
        <v>215</v>
      </c>
      <c r="B19" s="40">
        <v>8.65</v>
      </c>
      <c r="C19" s="40">
        <v>27.42</v>
      </c>
      <c r="D19" s="40">
        <v>22.61</v>
      </c>
      <c r="E19" s="40">
        <v>11.81</v>
      </c>
      <c r="F19" s="42">
        <v>5.25</v>
      </c>
      <c r="G19" s="40">
        <v>173.32</v>
      </c>
      <c r="H19" s="40">
        <v>54.17</v>
      </c>
      <c r="I19" s="40">
        <v>17.079999999999998</v>
      </c>
      <c r="J19" s="40">
        <v>0.92</v>
      </c>
      <c r="K19" s="40">
        <v>51.97</v>
      </c>
      <c r="L19" s="40">
        <v>24.85</v>
      </c>
      <c r="M19" s="40">
        <v>59.37</v>
      </c>
      <c r="N19" s="40">
        <v>361.5</v>
      </c>
      <c r="O19" s="40">
        <v>0</v>
      </c>
      <c r="P19" s="40">
        <v>1.1499999999999999</v>
      </c>
      <c r="Q19" s="27" t="s">
        <v>8</v>
      </c>
      <c r="R19" s="38"/>
      <c r="S19" s="38"/>
      <c r="T19" s="38"/>
      <c r="U19" s="38"/>
    </row>
    <row r="20" spans="1:21" customFormat="1">
      <c r="A20" s="39" t="s">
        <v>216</v>
      </c>
      <c r="B20" s="40">
        <v>6.9</v>
      </c>
      <c r="C20" s="40">
        <v>27.18</v>
      </c>
      <c r="D20" s="40">
        <v>21.08</v>
      </c>
      <c r="E20" s="40">
        <v>12.55</v>
      </c>
      <c r="F20" s="42">
        <v>5.89</v>
      </c>
      <c r="G20" s="40">
        <v>134.93</v>
      </c>
      <c r="H20" s="40">
        <v>53.71</v>
      </c>
      <c r="I20" s="40">
        <v>16.47</v>
      </c>
      <c r="J20" s="40">
        <v>0.83</v>
      </c>
      <c r="K20" s="40">
        <v>351.29</v>
      </c>
      <c r="L20" s="40">
        <v>26.62</v>
      </c>
      <c r="M20" s="40">
        <v>47.65</v>
      </c>
      <c r="N20" s="40">
        <v>382.7</v>
      </c>
      <c r="O20" s="40">
        <v>0</v>
      </c>
      <c r="P20" s="40">
        <v>1.1200000000000001</v>
      </c>
      <c r="Q20" s="27" t="s">
        <v>8</v>
      </c>
      <c r="R20" s="38"/>
      <c r="S20" s="38"/>
      <c r="T20" s="38"/>
      <c r="U20" s="38"/>
    </row>
    <row r="21" spans="1:21" customFormat="1">
      <c r="A21" s="39" t="s">
        <v>217</v>
      </c>
      <c r="B21" s="40">
        <v>5.35</v>
      </c>
      <c r="C21" s="40">
        <v>26.37</v>
      </c>
      <c r="D21" s="40">
        <v>19.420000000000002</v>
      </c>
      <c r="E21" s="40">
        <v>13.62</v>
      </c>
      <c r="F21" s="42">
        <v>6.74</v>
      </c>
      <c r="G21" s="40">
        <v>117.07</v>
      </c>
      <c r="H21" s="40">
        <v>49.85</v>
      </c>
      <c r="I21" s="40">
        <v>15.69</v>
      </c>
      <c r="J21" s="40">
        <v>1.17</v>
      </c>
      <c r="K21" s="40">
        <v>358.76</v>
      </c>
      <c r="L21" s="40">
        <v>27.1</v>
      </c>
      <c r="M21" s="40">
        <v>41.21</v>
      </c>
      <c r="N21" s="40">
        <v>390.4</v>
      </c>
      <c r="O21" s="40">
        <v>0</v>
      </c>
      <c r="P21" s="40">
        <v>1.06</v>
      </c>
      <c r="Q21" s="27" t="s">
        <v>8</v>
      </c>
      <c r="R21" s="38"/>
      <c r="S21" s="38"/>
      <c r="T21" s="38"/>
      <c r="U21" s="38"/>
    </row>
    <row r="22" spans="1:21" customFormat="1">
      <c r="A22" s="39" t="s">
        <v>218</v>
      </c>
      <c r="B22" s="40">
        <v>4.41</v>
      </c>
      <c r="C22" s="40">
        <v>24.32</v>
      </c>
      <c r="D22" s="40">
        <v>17.59</v>
      </c>
      <c r="E22" s="40">
        <v>11.43</v>
      </c>
      <c r="F22" s="42">
        <v>6.26</v>
      </c>
      <c r="G22" s="40">
        <v>96.1</v>
      </c>
      <c r="H22" s="40">
        <v>44.53</v>
      </c>
      <c r="I22" s="40">
        <v>14.44</v>
      </c>
      <c r="J22" s="40">
        <v>0.64</v>
      </c>
      <c r="K22" s="40">
        <v>341.63</v>
      </c>
      <c r="L22" s="40">
        <v>27.39</v>
      </c>
      <c r="M22" s="40">
        <v>39.4</v>
      </c>
      <c r="N22" s="40">
        <v>333.7</v>
      </c>
      <c r="O22" s="40">
        <v>0</v>
      </c>
      <c r="P22" s="40">
        <v>0.95</v>
      </c>
      <c r="Q22" s="27" t="s">
        <v>8</v>
      </c>
      <c r="R22" s="38"/>
      <c r="S22" s="38"/>
      <c r="T22" s="38"/>
      <c r="U22" s="38"/>
    </row>
    <row r="23" spans="1:21" customFormat="1">
      <c r="A23" s="39" t="s">
        <v>219</v>
      </c>
      <c r="B23" s="40">
        <v>4.2300000000000004</v>
      </c>
      <c r="C23" s="40">
        <v>22.94</v>
      </c>
      <c r="D23" s="40">
        <v>16.600000000000001</v>
      </c>
      <c r="E23" s="40">
        <v>10.82</v>
      </c>
      <c r="F23" s="42">
        <v>6.8</v>
      </c>
      <c r="G23" s="40">
        <v>72.430000000000007</v>
      </c>
      <c r="H23" s="40">
        <v>37.15</v>
      </c>
      <c r="I23" s="40">
        <v>13.41</v>
      </c>
      <c r="J23" s="40">
        <v>0.94</v>
      </c>
      <c r="K23" s="40">
        <v>348.9</v>
      </c>
      <c r="L23" s="40">
        <v>27.35</v>
      </c>
      <c r="M23" s="40">
        <v>36.93</v>
      </c>
      <c r="N23" s="40">
        <v>119.3</v>
      </c>
      <c r="O23" s="40">
        <v>0</v>
      </c>
      <c r="P23" s="40">
        <v>0.92</v>
      </c>
      <c r="Q23" s="27" t="s">
        <v>8</v>
      </c>
      <c r="R23" s="38"/>
      <c r="S23" s="38"/>
      <c r="T23" s="38"/>
      <c r="U23" s="38"/>
    </row>
    <row r="24" spans="1:21" customFormat="1">
      <c r="A24" s="39" t="s">
        <v>220</v>
      </c>
      <c r="B24" s="40">
        <v>4.03</v>
      </c>
      <c r="C24" s="40">
        <v>23.31</v>
      </c>
      <c r="D24" s="40">
        <v>16.72</v>
      </c>
      <c r="E24" s="40">
        <v>10.66</v>
      </c>
      <c r="F24" s="42">
        <v>8.18</v>
      </c>
      <c r="G24" s="40">
        <v>58.63</v>
      </c>
      <c r="H24" s="40">
        <v>33.4</v>
      </c>
      <c r="I24" s="40">
        <v>12.19</v>
      </c>
      <c r="J24" s="40">
        <v>0.65</v>
      </c>
      <c r="K24" s="40">
        <v>356.06</v>
      </c>
      <c r="L24" s="40">
        <v>27.24</v>
      </c>
      <c r="M24" s="40">
        <v>36.94</v>
      </c>
      <c r="N24" s="40">
        <v>76.7</v>
      </c>
      <c r="O24" s="40">
        <v>0</v>
      </c>
      <c r="P24" s="40">
        <v>0.8</v>
      </c>
      <c r="Q24" s="27" t="s">
        <v>8</v>
      </c>
      <c r="R24" s="38"/>
      <c r="S24" s="38"/>
      <c r="T24" s="38"/>
      <c r="U24" s="38"/>
    </row>
    <row r="25" spans="1:21" customFormat="1">
      <c r="A25" s="39" t="s">
        <v>221</v>
      </c>
      <c r="B25" s="40">
        <v>4.28</v>
      </c>
      <c r="C25" s="40">
        <v>24.45</v>
      </c>
      <c r="D25" s="40">
        <v>17.559999999999999</v>
      </c>
      <c r="E25" s="40">
        <v>10.78</v>
      </c>
      <c r="F25" s="42">
        <v>7.63</v>
      </c>
      <c r="G25" s="40">
        <v>64.319999999999993</v>
      </c>
      <c r="H25" s="40">
        <v>30.29</v>
      </c>
      <c r="I25" s="40">
        <v>10.95</v>
      </c>
      <c r="J25" s="40">
        <v>0.43</v>
      </c>
      <c r="K25" s="40">
        <v>53.48</v>
      </c>
      <c r="L25" s="40">
        <v>26.59</v>
      </c>
      <c r="M25" s="40">
        <v>42.49</v>
      </c>
      <c r="N25" s="40">
        <v>36.4</v>
      </c>
      <c r="O25" s="40">
        <v>0</v>
      </c>
      <c r="P25" s="40">
        <v>0.71</v>
      </c>
      <c r="Q25" s="27" t="s">
        <v>8</v>
      </c>
      <c r="R25" s="38"/>
      <c r="S25" s="38"/>
      <c r="T25" s="38"/>
      <c r="U25" s="38"/>
    </row>
    <row r="26" spans="1:21" customFormat="1">
      <c r="A26" s="39" t="s">
        <v>222</v>
      </c>
      <c r="B26" s="40">
        <v>5.0199999999999996</v>
      </c>
      <c r="C26" s="40">
        <v>26.34</v>
      </c>
      <c r="D26" s="40">
        <v>19.14</v>
      </c>
      <c r="E26" s="40">
        <v>9.84</v>
      </c>
      <c r="F26" s="42">
        <v>6</v>
      </c>
      <c r="G26" s="40">
        <v>75.06</v>
      </c>
      <c r="H26" s="40">
        <v>29.23</v>
      </c>
      <c r="I26" s="40">
        <v>10.1</v>
      </c>
      <c r="J26" s="40">
        <v>0.32</v>
      </c>
      <c r="K26" s="40">
        <v>340.3</v>
      </c>
      <c r="L26" s="40">
        <v>25.45</v>
      </c>
      <c r="M26" s="40">
        <v>41.02</v>
      </c>
      <c r="N26" s="40">
        <v>7.9</v>
      </c>
      <c r="O26" s="40">
        <v>0</v>
      </c>
      <c r="P26" s="40">
        <v>0.68</v>
      </c>
      <c r="Q26" s="27" t="s">
        <v>8</v>
      </c>
      <c r="R26" s="38"/>
      <c r="S26" s="38"/>
      <c r="T26" s="38"/>
      <c r="U26" s="38"/>
    </row>
    <row r="27" spans="1:21" customFormat="1">
      <c r="A27" s="39" t="s">
        <v>223</v>
      </c>
      <c r="B27" s="40">
        <v>5.83</v>
      </c>
      <c r="C27" s="40">
        <v>27.31</v>
      </c>
      <c r="D27" s="40">
        <v>20.29</v>
      </c>
      <c r="E27" s="40">
        <v>9.69</v>
      </c>
      <c r="F27" s="42">
        <v>4.99</v>
      </c>
      <c r="G27" s="40">
        <v>69.17</v>
      </c>
      <c r="H27" s="40">
        <v>25.49</v>
      </c>
      <c r="I27" s="40">
        <v>9.7799999999999994</v>
      </c>
      <c r="J27" s="40">
        <v>0.55000000000000004</v>
      </c>
      <c r="K27" s="40">
        <v>314.83999999999997</v>
      </c>
      <c r="L27" s="40">
        <v>23.69</v>
      </c>
      <c r="M27" s="40">
        <v>42.36</v>
      </c>
      <c r="N27" s="40">
        <v>1.8</v>
      </c>
      <c r="O27" s="40">
        <v>0</v>
      </c>
      <c r="P27" s="40">
        <v>0.68</v>
      </c>
      <c r="Q27" s="27" t="s">
        <v>8</v>
      </c>
      <c r="R27" s="38"/>
      <c r="S27" s="38"/>
      <c r="T27" s="38"/>
      <c r="U27" s="38"/>
    </row>
    <row r="28" spans="1:21" customFormat="1">
      <c r="A28" s="39" t="s">
        <v>224</v>
      </c>
      <c r="B28" s="40">
        <v>7.81</v>
      </c>
      <c r="C28" s="40">
        <v>27.44</v>
      </c>
      <c r="D28" s="40">
        <v>21.55</v>
      </c>
      <c r="E28" s="40">
        <v>9.61</v>
      </c>
      <c r="F28" s="42">
        <v>4.7699999999999996</v>
      </c>
      <c r="G28" s="40">
        <v>75.58</v>
      </c>
      <c r="H28" s="40">
        <v>24.15</v>
      </c>
      <c r="I28" s="40">
        <v>10.1</v>
      </c>
      <c r="J28" s="40">
        <v>0.62</v>
      </c>
      <c r="K28" s="40">
        <v>72.290000000000006</v>
      </c>
      <c r="L28" s="40">
        <v>21.97</v>
      </c>
      <c r="M28" s="40">
        <v>44.18</v>
      </c>
      <c r="N28" s="40">
        <v>1.7</v>
      </c>
      <c r="O28" s="40">
        <v>0</v>
      </c>
      <c r="P28" s="40">
        <v>0.75</v>
      </c>
      <c r="Q28" s="27" t="s">
        <v>8</v>
      </c>
      <c r="R28" s="38"/>
      <c r="S28" s="38"/>
      <c r="T28" s="38"/>
      <c r="U28" s="38"/>
    </row>
    <row r="29" spans="1:21" customFormat="1">
      <c r="A29" s="39" t="s">
        <v>225</v>
      </c>
      <c r="B29" s="40">
        <v>8.85</v>
      </c>
      <c r="C29" s="40">
        <v>26.19</v>
      </c>
      <c r="D29" s="40">
        <v>21.58</v>
      </c>
      <c r="E29" s="40">
        <v>9.57</v>
      </c>
      <c r="F29" s="42">
        <v>4.57</v>
      </c>
      <c r="G29" s="40">
        <v>70.94</v>
      </c>
      <c r="H29" s="40">
        <v>23.69</v>
      </c>
      <c r="I29" s="40">
        <v>10.19</v>
      </c>
      <c r="J29" s="40">
        <v>0.79</v>
      </c>
      <c r="K29" s="40">
        <v>46.23</v>
      </c>
      <c r="L29" s="40">
        <v>21.19</v>
      </c>
      <c r="M29" s="40">
        <v>44.39</v>
      </c>
      <c r="N29" s="40">
        <v>1.6</v>
      </c>
      <c r="O29" s="40">
        <v>0</v>
      </c>
      <c r="P29" s="40">
        <v>0.75</v>
      </c>
      <c r="Q29" s="27" t="s">
        <v>8</v>
      </c>
      <c r="R29" s="38"/>
      <c r="S29" s="38"/>
      <c r="T29" s="38"/>
      <c r="U29" s="38"/>
    </row>
    <row r="30" spans="1:21" customFormat="1">
      <c r="A30" s="39" t="s">
        <v>226</v>
      </c>
      <c r="B30" s="40">
        <v>11.21</v>
      </c>
      <c r="C30" s="40">
        <v>25.02</v>
      </c>
      <c r="D30" s="40">
        <v>23.41</v>
      </c>
      <c r="E30" s="40">
        <v>9.8000000000000007</v>
      </c>
      <c r="F30" s="42">
        <v>4.67</v>
      </c>
      <c r="G30" s="40">
        <v>64.47</v>
      </c>
      <c r="H30" s="40">
        <v>22.18</v>
      </c>
      <c r="I30" s="40">
        <v>10.07</v>
      </c>
      <c r="J30" s="40">
        <v>0.65</v>
      </c>
      <c r="K30" s="40">
        <v>56.39</v>
      </c>
      <c r="L30" s="40">
        <v>20.12</v>
      </c>
      <c r="M30" s="40">
        <v>49.22</v>
      </c>
      <c r="N30" s="40">
        <v>1.3</v>
      </c>
      <c r="O30" s="40">
        <v>0</v>
      </c>
      <c r="P30" s="40">
        <v>0.78</v>
      </c>
      <c r="Q30" s="27" t="s">
        <v>8</v>
      </c>
      <c r="R30" s="38"/>
      <c r="S30" s="38"/>
      <c r="T30" s="38"/>
      <c r="U30" s="38"/>
    </row>
    <row r="31" spans="1:21" customFormat="1">
      <c r="A31" s="39" t="s">
        <v>227</v>
      </c>
      <c r="B31" s="40">
        <v>14.64</v>
      </c>
      <c r="C31" s="40">
        <v>24.97</v>
      </c>
      <c r="D31" s="40">
        <v>26</v>
      </c>
      <c r="E31" s="40">
        <v>9.7799999999999994</v>
      </c>
      <c r="F31" s="42">
        <v>4.6500000000000004</v>
      </c>
      <c r="G31" s="40">
        <v>76.75</v>
      </c>
      <c r="H31" s="40">
        <v>21.1</v>
      </c>
      <c r="I31" s="40">
        <v>9.69</v>
      </c>
      <c r="J31" s="40">
        <v>0.6</v>
      </c>
      <c r="K31" s="40">
        <v>59.29</v>
      </c>
      <c r="L31" s="40">
        <v>18.850000000000001</v>
      </c>
      <c r="M31" s="40">
        <v>53.94</v>
      </c>
      <c r="N31" s="40">
        <v>1.6</v>
      </c>
      <c r="O31" s="40">
        <v>0</v>
      </c>
      <c r="P31" s="40">
        <v>0.83</v>
      </c>
      <c r="Q31" s="27" t="s">
        <v>8</v>
      </c>
      <c r="R31" s="38"/>
      <c r="S31" s="38"/>
      <c r="T31" s="38"/>
      <c r="U31" s="38"/>
    </row>
    <row r="32" spans="1:21" customFormat="1">
      <c r="A32" s="39" t="s">
        <v>228</v>
      </c>
      <c r="B32" s="40">
        <v>16.36</v>
      </c>
      <c r="C32" s="40">
        <v>24.74</v>
      </c>
      <c r="D32" s="40">
        <v>27.07</v>
      </c>
      <c r="E32" s="40">
        <v>8.92</v>
      </c>
      <c r="F32" s="42">
        <v>4.66</v>
      </c>
      <c r="G32" s="40">
        <v>79.709999999999994</v>
      </c>
      <c r="H32" s="40">
        <v>22.74</v>
      </c>
      <c r="I32" s="40">
        <v>9.74</v>
      </c>
      <c r="J32" s="40">
        <v>0.32</v>
      </c>
      <c r="K32" s="40">
        <v>54.49</v>
      </c>
      <c r="L32" s="40">
        <v>17.73</v>
      </c>
      <c r="M32" s="40">
        <v>55.93</v>
      </c>
      <c r="N32" s="40">
        <v>1.2</v>
      </c>
      <c r="O32" s="40">
        <v>0</v>
      </c>
      <c r="P32" s="40">
        <v>0.83</v>
      </c>
      <c r="Q32" s="27" t="s">
        <v>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4.03</v>
      </c>
      <c r="C34" s="18">
        <f t="shared" si="0"/>
        <v>17.43</v>
      </c>
      <c r="D34" s="18">
        <f t="shared" si="0"/>
        <v>14.32</v>
      </c>
      <c r="E34" s="18">
        <f t="shared" si="0"/>
        <v>8.1199999999999992</v>
      </c>
      <c r="F34" s="18">
        <f t="shared" si="0"/>
        <v>4.53</v>
      </c>
      <c r="G34" s="18">
        <f t="shared" si="0"/>
        <v>58.63</v>
      </c>
      <c r="H34" s="18">
        <f t="shared" si="0"/>
        <v>21.1</v>
      </c>
      <c r="I34" s="18">
        <f t="shared" si="0"/>
        <v>9.69</v>
      </c>
      <c r="J34" s="18">
        <f t="shared" si="0"/>
        <v>0.09</v>
      </c>
      <c r="K34" s="18">
        <f t="shared" si="0"/>
        <v>46.23</v>
      </c>
      <c r="L34" s="18">
        <f t="shared" si="0"/>
        <v>14.1</v>
      </c>
      <c r="M34" s="18">
        <f t="shared" si="0"/>
        <v>36.93</v>
      </c>
      <c r="N34" s="18">
        <f t="shared" si="0"/>
        <v>1.2</v>
      </c>
      <c r="O34" s="18">
        <f t="shared" si="0"/>
        <v>0</v>
      </c>
      <c r="P34" s="18">
        <f t="shared" si="0"/>
        <v>0.68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16.36</v>
      </c>
      <c r="C35" s="3">
        <f t="shared" si="1"/>
        <v>27.52</v>
      </c>
      <c r="D35" s="3">
        <f t="shared" si="1"/>
        <v>27.07</v>
      </c>
      <c r="E35" s="3">
        <f t="shared" si="1"/>
        <v>13.62</v>
      </c>
      <c r="F35" s="3">
        <f t="shared" si="1"/>
        <v>8.18</v>
      </c>
      <c r="G35" s="3">
        <f t="shared" si="1"/>
        <v>209.69</v>
      </c>
      <c r="H35" s="3">
        <f t="shared" si="1"/>
        <v>56.82</v>
      </c>
      <c r="I35" s="3">
        <f t="shared" si="1"/>
        <v>17.53</v>
      </c>
      <c r="J35" s="3">
        <f t="shared" si="1"/>
        <v>1.17</v>
      </c>
      <c r="K35" s="3">
        <f t="shared" si="1"/>
        <v>358.76</v>
      </c>
      <c r="L35" s="3">
        <f t="shared" si="1"/>
        <v>27.39</v>
      </c>
      <c r="M35" s="3">
        <f t="shared" si="1"/>
        <v>96.89</v>
      </c>
      <c r="N35" s="3">
        <f t="shared" si="1"/>
        <v>390.4</v>
      </c>
      <c r="O35" s="3">
        <f t="shared" si="1"/>
        <v>0</v>
      </c>
      <c r="P35" s="3">
        <f t="shared" si="1"/>
        <v>1.1499999999999999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7.1687500000000002</v>
      </c>
      <c r="C36" s="18">
        <f t="shared" si="2"/>
        <v>23.413333333333338</v>
      </c>
      <c r="D36" s="18">
        <f t="shared" si="2"/>
        <v>19.212500000000002</v>
      </c>
      <c r="E36" s="18">
        <f t="shared" si="2"/>
        <v>9.9174999999999986</v>
      </c>
      <c r="F36" s="18">
        <f t="shared" si="2"/>
        <v>5.3312499999999989</v>
      </c>
      <c r="G36" s="18">
        <f t="shared" si="2"/>
        <v>89.986666666666679</v>
      </c>
      <c r="H36" s="18">
        <f t="shared" si="2"/>
        <v>36.596666666666664</v>
      </c>
      <c r="I36" s="18">
        <f t="shared" si="2"/>
        <v>12.984999999999999</v>
      </c>
      <c r="J36" s="18">
        <f t="shared" si="2"/>
        <v>0.50875000000000004</v>
      </c>
      <c r="K36" s="18">
        <f t="shared" si="2"/>
        <v>202.21916666666664</v>
      </c>
      <c r="L36" s="18">
        <f t="shared" si="2"/>
        <v>20.823333333333334</v>
      </c>
      <c r="M36" s="18">
        <f t="shared" si="2"/>
        <v>63.753750000000018</v>
      </c>
      <c r="N36" s="18">
        <f t="shared" si="2"/>
        <v>93</v>
      </c>
      <c r="O36" s="18">
        <f t="shared" si="2"/>
        <v>0</v>
      </c>
      <c r="P36" s="18">
        <f t="shared" si="2"/>
        <v>0.87208333333333332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3.3523688088327597</v>
      </c>
      <c r="C37" s="18">
        <f t="shared" ref="C37:Q37" si="3">STDEV(C9:C32)</f>
        <v>3.4738960294154428</v>
      </c>
      <c r="D37" s="18">
        <f t="shared" si="3"/>
        <v>3.6737804838447183</v>
      </c>
      <c r="E37" s="18">
        <f t="shared" si="3"/>
        <v>1.4449349315874886</v>
      </c>
      <c r="F37" s="18">
        <f t="shared" si="3"/>
        <v>1.0607803218877834</v>
      </c>
      <c r="G37" s="18">
        <f t="shared" si="3"/>
        <v>35.895134424630804</v>
      </c>
      <c r="H37" s="18">
        <f t="shared" si="3"/>
        <v>10.591629454090356</v>
      </c>
      <c r="I37" s="18">
        <f t="shared" si="3"/>
        <v>2.5620083833824152</v>
      </c>
      <c r="J37" s="18">
        <f t="shared" si="3"/>
        <v>0.31695991380065969</v>
      </c>
      <c r="K37" s="18">
        <f t="shared" si="3"/>
        <v>122.87756327254017</v>
      </c>
      <c r="L37" s="18">
        <f t="shared" si="3"/>
        <v>4.9238299573883735</v>
      </c>
      <c r="M37" s="18">
        <f t="shared" si="3"/>
        <v>23.510490870636016</v>
      </c>
      <c r="N37" s="18">
        <f t="shared" si="3"/>
        <v>140.66119022240144</v>
      </c>
      <c r="O37" s="18">
        <f t="shared" si="3"/>
        <v>0</v>
      </c>
      <c r="P37" s="18">
        <f t="shared" si="3"/>
        <v>0.14319276052464006</v>
      </c>
      <c r="Q37" s="18" t="e">
        <f t="shared" si="3"/>
        <v>#DIV/0!</v>
      </c>
      <c r="R37" s="18"/>
      <c r="S37" s="18"/>
      <c r="T37" s="18"/>
      <c r="U37" s="18"/>
    </row>
    <row r="38" spans="1:21">
      <c r="A38" s="34" t="s">
        <v>52</v>
      </c>
      <c r="B38" s="34">
        <f t="shared" ref="B38:P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>COUNT(Q9:Q32)+24</f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96"/>
  <sheetViews>
    <sheetView zoomScale="85" zoomScaleNormal="85" workbookViewId="0">
      <pane xSplit="2" ySplit="8" topLeftCell="C24" activePane="bottomRight" state="frozen"/>
      <selection activeCell="G19" sqref="G19"/>
      <selection pane="topRight" activeCell="G19" sqref="G19"/>
      <selection pane="bottomLeft" activeCell="G19" sqref="G19"/>
      <selection pane="bottomRight" activeCell="I24" sqref="I2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08/01/2025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229</v>
      </c>
      <c r="B9" s="40">
        <v>17.079999999999998</v>
      </c>
      <c r="C9" s="40">
        <v>24.14</v>
      </c>
      <c r="D9" s="40">
        <v>27.65</v>
      </c>
      <c r="E9" s="40">
        <v>8.9700000000000006</v>
      </c>
      <c r="F9" s="42">
        <v>4.5999999999999996</v>
      </c>
      <c r="G9" s="40">
        <v>77.7</v>
      </c>
      <c r="H9" s="40">
        <v>21.43</v>
      </c>
      <c r="I9" s="40">
        <v>9.7100000000000009</v>
      </c>
      <c r="J9" s="40">
        <v>0.63</v>
      </c>
      <c r="K9" s="40">
        <v>44.77</v>
      </c>
      <c r="L9" s="40">
        <v>17.09</v>
      </c>
      <c r="M9" s="40">
        <v>60.62</v>
      </c>
      <c r="N9" s="40">
        <v>1.3</v>
      </c>
      <c r="O9" s="40">
        <v>0</v>
      </c>
      <c r="P9" s="40">
        <v>0.79</v>
      </c>
      <c r="Q9" s="27" t="s">
        <v>8</v>
      </c>
      <c r="R9" s="38"/>
      <c r="S9" s="38"/>
      <c r="T9" s="38"/>
      <c r="U9" s="38"/>
    </row>
    <row r="10" spans="1:21" customFormat="1">
      <c r="A10" s="39" t="s">
        <v>230</v>
      </c>
      <c r="B10" s="40">
        <v>15.72</v>
      </c>
      <c r="C10" s="40">
        <v>24.04</v>
      </c>
      <c r="D10" s="40">
        <v>26.52</v>
      </c>
      <c r="E10" s="40">
        <v>8.4499999999999993</v>
      </c>
      <c r="F10" s="42">
        <v>4.6399999999999997</v>
      </c>
      <c r="G10" s="40">
        <v>69.510000000000005</v>
      </c>
      <c r="H10" s="40">
        <v>20.22</v>
      </c>
      <c r="I10" s="40">
        <v>9.4700000000000006</v>
      </c>
      <c r="J10" s="40">
        <v>0.62</v>
      </c>
      <c r="K10" s="40">
        <v>48.06</v>
      </c>
      <c r="L10" s="40">
        <v>16.02</v>
      </c>
      <c r="M10" s="40">
        <v>64.59</v>
      </c>
      <c r="N10" s="40">
        <v>1.4</v>
      </c>
      <c r="O10" s="40">
        <v>0</v>
      </c>
      <c r="P10" s="40">
        <v>0.72</v>
      </c>
      <c r="Q10" s="27" t="s">
        <v>8</v>
      </c>
      <c r="R10" s="38"/>
      <c r="S10" s="38"/>
      <c r="T10" s="38"/>
      <c r="U10" s="38"/>
    </row>
    <row r="11" spans="1:21" customFormat="1">
      <c r="A11" s="39" t="s">
        <v>231</v>
      </c>
      <c r="B11" s="40">
        <v>13.73</v>
      </c>
      <c r="C11" s="40">
        <v>23.75</v>
      </c>
      <c r="D11" s="40">
        <v>24.77</v>
      </c>
      <c r="E11" s="40">
        <v>9.1999999999999993</v>
      </c>
      <c r="F11" s="42">
        <v>4.6500000000000004</v>
      </c>
      <c r="G11" s="40">
        <v>56.7</v>
      </c>
      <c r="H11" s="40">
        <v>15.85</v>
      </c>
      <c r="I11" s="40">
        <v>9.2899999999999991</v>
      </c>
      <c r="J11" s="40">
        <v>0.53</v>
      </c>
      <c r="K11" s="40">
        <v>100.49</v>
      </c>
      <c r="L11" s="40">
        <v>15.3</v>
      </c>
      <c r="M11" s="40">
        <v>70.56</v>
      </c>
      <c r="N11" s="40">
        <v>1.3</v>
      </c>
      <c r="O11" s="40">
        <v>0</v>
      </c>
      <c r="P11" s="40">
        <v>0.68</v>
      </c>
      <c r="Q11" s="27" t="s">
        <v>8</v>
      </c>
      <c r="R11" s="38"/>
      <c r="S11" s="38"/>
      <c r="T11" s="38"/>
      <c r="U11" s="38"/>
    </row>
    <row r="12" spans="1:21" customFormat="1">
      <c r="A12" s="39" t="s">
        <v>232</v>
      </c>
      <c r="B12" s="40">
        <v>11.71</v>
      </c>
      <c r="C12" s="40">
        <v>23.19</v>
      </c>
      <c r="D12" s="40">
        <v>22.86</v>
      </c>
      <c r="E12" s="40">
        <v>9.11</v>
      </c>
      <c r="F12" s="42">
        <v>4.66</v>
      </c>
      <c r="G12" s="40">
        <v>46.23</v>
      </c>
      <c r="H12" s="40">
        <v>16.36</v>
      </c>
      <c r="I12" s="40">
        <v>9.1999999999999993</v>
      </c>
      <c r="J12" s="40">
        <v>0.22</v>
      </c>
      <c r="K12" s="40">
        <v>210.53</v>
      </c>
      <c r="L12" s="40">
        <v>14.25</v>
      </c>
      <c r="M12" s="40">
        <v>84.71</v>
      </c>
      <c r="N12" s="40">
        <v>1.5</v>
      </c>
      <c r="O12" s="40">
        <v>0</v>
      </c>
      <c r="P12" s="40">
        <v>0.63</v>
      </c>
      <c r="Q12" s="27" t="s">
        <v>8</v>
      </c>
      <c r="R12" s="38"/>
      <c r="S12" s="38"/>
      <c r="T12" s="38"/>
      <c r="U12" s="38"/>
    </row>
    <row r="13" spans="1:21" customFormat="1">
      <c r="A13" s="39" t="s">
        <v>233</v>
      </c>
      <c r="B13" s="40">
        <v>9.7899999999999991</v>
      </c>
      <c r="C13" s="40">
        <v>21.81</v>
      </c>
      <c r="D13" s="40">
        <v>20.6</v>
      </c>
      <c r="E13" s="40">
        <v>8.2799999999999994</v>
      </c>
      <c r="F13" s="42">
        <v>4.6100000000000003</v>
      </c>
      <c r="G13" s="40">
        <v>43.24</v>
      </c>
      <c r="H13" s="40">
        <v>15.3</v>
      </c>
      <c r="I13" s="40">
        <v>8.9</v>
      </c>
      <c r="J13" s="40">
        <v>0.21</v>
      </c>
      <c r="K13" s="40">
        <v>189.05</v>
      </c>
      <c r="L13" s="40">
        <v>12.89</v>
      </c>
      <c r="M13" s="40">
        <v>89.18</v>
      </c>
      <c r="N13" s="40">
        <v>1.3</v>
      </c>
      <c r="O13" s="40">
        <v>0</v>
      </c>
      <c r="P13" s="40">
        <v>0.6</v>
      </c>
      <c r="Q13" s="27" t="s">
        <v>8</v>
      </c>
      <c r="R13" s="38"/>
      <c r="S13" s="38"/>
      <c r="T13" s="38"/>
      <c r="U13" s="38"/>
    </row>
    <row r="14" spans="1:21" customFormat="1">
      <c r="A14" s="39" t="s">
        <v>234</v>
      </c>
      <c r="B14" s="40">
        <v>13.6</v>
      </c>
      <c r="C14" s="40">
        <v>21.8</v>
      </c>
      <c r="D14" s="40">
        <v>23.64</v>
      </c>
      <c r="E14" s="40">
        <v>8.3699999999999992</v>
      </c>
      <c r="F14" s="42">
        <v>4.7300000000000004</v>
      </c>
      <c r="G14" s="40">
        <v>41.08</v>
      </c>
      <c r="H14" s="40">
        <v>14.82</v>
      </c>
      <c r="I14" s="40">
        <v>8.91</v>
      </c>
      <c r="J14" s="40">
        <v>0.21</v>
      </c>
      <c r="K14" s="40">
        <v>192</v>
      </c>
      <c r="L14" s="40">
        <v>12.24</v>
      </c>
      <c r="M14" s="40">
        <v>89.97</v>
      </c>
      <c r="N14" s="40">
        <v>1</v>
      </c>
      <c r="O14" s="40">
        <v>0</v>
      </c>
      <c r="P14" s="40">
        <v>0.65</v>
      </c>
      <c r="Q14" s="27" t="s">
        <v>8</v>
      </c>
      <c r="R14" s="38"/>
      <c r="S14" s="38"/>
      <c r="T14" s="38"/>
      <c r="U14" s="38"/>
    </row>
    <row r="15" spans="1:21" customFormat="1">
      <c r="A15" s="39" t="s">
        <v>235</v>
      </c>
      <c r="B15" s="40">
        <v>13.68</v>
      </c>
      <c r="C15" s="40">
        <v>21.78</v>
      </c>
      <c r="D15" s="40">
        <v>23.7</v>
      </c>
      <c r="E15" s="40">
        <v>8.2200000000000006</v>
      </c>
      <c r="F15" s="42">
        <v>4.6900000000000004</v>
      </c>
      <c r="G15" s="40">
        <v>44.01</v>
      </c>
      <c r="H15" s="40">
        <v>15.45</v>
      </c>
      <c r="I15" s="40">
        <v>9.1</v>
      </c>
      <c r="J15" s="40">
        <v>0.2</v>
      </c>
      <c r="K15" s="40">
        <v>255.21</v>
      </c>
      <c r="L15" s="40">
        <v>11.48</v>
      </c>
      <c r="M15" s="40">
        <v>92.47</v>
      </c>
      <c r="N15" s="40">
        <v>12.8</v>
      </c>
      <c r="O15" s="40">
        <v>0</v>
      </c>
      <c r="P15" s="40">
        <v>0.65</v>
      </c>
      <c r="Q15" s="27" t="s">
        <v>8</v>
      </c>
      <c r="R15" s="38"/>
      <c r="S15" s="38"/>
      <c r="T15" s="38"/>
      <c r="U15" s="38"/>
    </row>
    <row r="16" spans="1:21" customFormat="1">
      <c r="A16" s="39" t="s">
        <v>236</v>
      </c>
      <c r="B16" s="40">
        <v>12.26</v>
      </c>
      <c r="C16" s="40">
        <v>19.79</v>
      </c>
      <c r="D16" s="40">
        <v>21.53</v>
      </c>
      <c r="E16" s="40">
        <v>7.85</v>
      </c>
      <c r="F16" s="42">
        <v>4.63</v>
      </c>
      <c r="G16" s="40">
        <v>48.6</v>
      </c>
      <c r="H16" s="40">
        <v>17.559999999999999</v>
      </c>
      <c r="I16" s="40">
        <v>9.33</v>
      </c>
      <c r="J16" s="40">
        <v>0.23</v>
      </c>
      <c r="K16" s="40">
        <v>176.32</v>
      </c>
      <c r="L16" s="40">
        <v>14.2</v>
      </c>
      <c r="M16" s="40">
        <v>92.63</v>
      </c>
      <c r="N16" s="40">
        <v>57.6</v>
      </c>
      <c r="O16" s="40">
        <v>0</v>
      </c>
      <c r="P16" s="40">
        <v>0.67</v>
      </c>
      <c r="Q16" s="27" t="s">
        <v>8</v>
      </c>
      <c r="R16" s="38"/>
      <c r="S16" s="38"/>
      <c r="T16" s="38"/>
      <c r="U16" s="38"/>
    </row>
    <row r="17" spans="1:21" customFormat="1">
      <c r="A17" s="39" t="s">
        <v>237</v>
      </c>
      <c r="B17" s="40">
        <v>11.35</v>
      </c>
      <c r="C17" s="40">
        <v>22.36</v>
      </c>
      <c r="D17" s="40">
        <v>21.56</v>
      </c>
      <c r="E17" s="40">
        <v>8.0500000000000007</v>
      </c>
      <c r="F17" s="42">
        <v>4.72</v>
      </c>
      <c r="G17" s="40">
        <v>54.35</v>
      </c>
      <c r="H17" s="40">
        <v>19.48</v>
      </c>
      <c r="I17" s="40">
        <v>9.77</v>
      </c>
      <c r="J17" s="40">
        <v>0.63</v>
      </c>
      <c r="K17" s="40">
        <v>70.77</v>
      </c>
      <c r="L17" s="40">
        <v>18</v>
      </c>
      <c r="M17" s="40">
        <v>69.33</v>
      </c>
      <c r="N17" s="40">
        <v>273.7</v>
      </c>
      <c r="O17" s="40">
        <v>0</v>
      </c>
      <c r="P17" s="40">
        <v>0.7</v>
      </c>
      <c r="Q17" s="27" t="s">
        <v>8</v>
      </c>
      <c r="R17" s="38"/>
      <c r="S17" s="38"/>
      <c r="T17" s="38"/>
      <c r="U17" s="38"/>
    </row>
    <row r="18" spans="1:21" customFormat="1">
      <c r="A18" s="39" t="s">
        <v>238</v>
      </c>
      <c r="B18" s="40">
        <v>10.4</v>
      </c>
      <c r="C18" s="40">
        <v>23.71</v>
      </c>
      <c r="D18" s="40">
        <v>21.8</v>
      </c>
      <c r="E18" s="40">
        <v>8.51</v>
      </c>
      <c r="F18" s="42">
        <v>4.9000000000000004</v>
      </c>
      <c r="G18" s="40">
        <v>66.92</v>
      </c>
      <c r="H18" s="40">
        <v>21.46</v>
      </c>
      <c r="I18" s="40">
        <v>9.8000000000000007</v>
      </c>
      <c r="J18" s="40">
        <v>0.56999999999999995</v>
      </c>
      <c r="K18" s="40">
        <v>86.28</v>
      </c>
      <c r="L18" s="40">
        <v>20.49</v>
      </c>
      <c r="M18" s="40">
        <v>54.36</v>
      </c>
      <c r="N18" s="40">
        <v>300.3</v>
      </c>
      <c r="O18" s="40">
        <v>0</v>
      </c>
      <c r="P18" s="40">
        <v>0.7</v>
      </c>
      <c r="Q18" s="27" t="s">
        <v>8</v>
      </c>
      <c r="R18" s="38"/>
      <c r="S18" s="38"/>
      <c r="T18" s="38"/>
      <c r="U18" s="38"/>
    </row>
    <row r="19" spans="1:21" customFormat="1">
      <c r="A19" s="39" t="s">
        <v>239</v>
      </c>
      <c r="B19" s="40">
        <v>9.74</v>
      </c>
      <c r="C19" s="40">
        <v>26.06</v>
      </c>
      <c r="D19" s="40">
        <v>21.92</v>
      </c>
      <c r="E19" s="40">
        <v>8.35</v>
      </c>
      <c r="F19" s="42">
        <v>5.1100000000000003</v>
      </c>
      <c r="G19" s="40">
        <v>67.87</v>
      </c>
      <c r="H19" s="40">
        <v>22.27</v>
      </c>
      <c r="I19" s="40">
        <v>9.59</v>
      </c>
      <c r="J19" s="40">
        <v>0.62</v>
      </c>
      <c r="K19" s="40">
        <v>356.31</v>
      </c>
      <c r="L19" s="40">
        <v>22.58</v>
      </c>
      <c r="M19" s="40">
        <v>44.47</v>
      </c>
      <c r="N19" s="40">
        <v>450</v>
      </c>
      <c r="O19" s="40">
        <v>0</v>
      </c>
      <c r="P19" s="40">
        <v>0.63</v>
      </c>
      <c r="Q19" s="27" t="s">
        <v>8</v>
      </c>
      <c r="R19" s="38"/>
      <c r="S19" s="38"/>
      <c r="T19" s="38"/>
      <c r="U19" s="38"/>
    </row>
    <row r="20" spans="1:21" customFormat="1">
      <c r="A20" s="39" t="s">
        <v>240</v>
      </c>
      <c r="B20" s="40">
        <v>7.79</v>
      </c>
      <c r="C20" s="40">
        <v>26.66</v>
      </c>
      <c r="D20" s="40">
        <v>21.25</v>
      </c>
      <c r="E20" s="40">
        <v>8.2899999999999991</v>
      </c>
      <c r="F20" s="42">
        <v>5.37</v>
      </c>
      <c r="G20" s="40">
        <v>63.65</v>
      </c>
      <c r="H20" s="40">
        <v>20.85</v>
      </c>
      <c r="I20" s="40">
        <v>9.18</v>
      </c>
      <c r="J20" s="40">
        <v>0.65</v>
      </c>
      <c r="K20" s="40">
        <v>353.36</v>
      </c>
      <c r="L20" s="40">
        <v>23.87</v>
      </c>
      <c r="M20" s="40">
        <v>37.17</v>
      </c>
      <c r="N20" s="40">
        <v>475.2</v>
      </c>
      <c r="O20" s="40">
        <v>0</v>
      </c>
      <c r="P20" s="40">
        <v>0.6</v>
      </c>
      <c r="Q20" s="27" t="s">
        <v>8</v>
      </c>
      <c r="R20" s="38"/>
      <c r="S20" s="38"/>
      <c r="T20" s="38"/>
      <c r="U20" s="38"/>
    </row>
    <row r="21" spans="1:21" customFormat="1">
      <c r="A21" s="39" t="s">
        <v>241</v>
      </c>
      <c r="B21" s="40">
        <v>5.67</v>
      </c>
      <c r="C21" s="40">
        <v>26.5</v>
      </c>
      <c r="D21" s="40">
        <v>19.66</v>
      </c>
      <c r="E21" s="40">
        <v>8.25</v>
      </c>
      <c r="F21" s="42">
        <v>5.69</v>
      </c>
      <c r="G21" s="40">
        <v>68.7</v>
      </c>
      <c r="H21" s="40">
        <v>19.600000000000001</v>
      </c>
      <c r="I21" s="40">
        <v>8.7100000000000009</v>
      </c>
      <c r="J21" s="40">
        <v>0.68</v>
      </c>
      <c r="K21" s="40">
        <v>332.79</v>
      </c>
      <c r="L21" s="40">
        <v>25.37</v>
      </c>
      <c r="M21" s="40">
        <v>34.68</v>
      </c>
      <c r="N21" s="40">
        <v>479.9</v>
      </c>
      <c r="O21" s="40">
        <v>0</v>
      </c>
      <c r="P21" s="40">
        <v>0.56999999999999995</v>
      </c>
      <c r="Q21" s="27" t="s">
        <v>8</v>
      </c>
      <c r="R21" s="38"/>
      <c r="S21" s="38"/>
      <c r="T21" s="38"/>
      <c r="U21" s="38"/>
    </row>
    <row r="22" spans="1:21" customFormat="1">
      <c r="A22" s="39" t="s">
        <v>242</v>
      </c>
      <c r="B22" s="40">
        <v>3.76</v>
      </c>
      <c r="C22" s="40">
        <v>24.61</v>
      </c>
      <c r="D22" s="40">
        <v>17.23</v>
      </c>
      <c r="E22" s="40">
        <v>9.1999999999999993</v>
      </c>
      <c r="F22" s="42">
        <v>6.67</v>
      </c>
      <c r="G22" s="40">
        <v>63.03</v>
      </c>
      <c r="H22" s="40">
        <v>20.64</v>
      </c>
      <c r="I22" s="40">
        <v>8.1300000000000008</v>
      </c>
      <c r="J22" s="40">
        <v>0.7</v>
      </c>
      <c r="K22" s="40">
        <v>299.39</v>
      </c>
      <c r="L22" s="40">
        <v>25.34</v>
      </c>
      <c r="M22" s="40">
        <v>30.46</v>
      </c>
      <c r="N22" s="40">
        <v>441.5</v>
      </c>
      <c r="O22" s="40">
        <v>0</v>
      </c>
      <c r="P22" s="40">
        <v>0.52</v>
      </c>
      <c r="Q22" s="27" t="s">
        <v>8</v>
      </c>
      <c r="R22" s="38"/>
      <c r="S22" s="38"/>
      <c r="T22" s="38"/>
      <c r="U22" s="38"/>
    </row>
    <row r="23" spans="1:21" customFormat="1">
      <c r="A23" s="39" t="s">
        <v>243</v>
      </c>
      <c r="B23" s="40">
        <v>3.72</v>
      </c>
      <c r="C23" s="40">
        <v>22.96</v>
      </c>
      <c r="D23" s="40">
        <v>16.329999999999998</v>
      </c>
      <c r="E23" s="40">
        <v>10.09</v>
      </c>
      <c r="F23" s="42">
        <v>8.02</v>
      </c>
      <c r="G23" s="40">
        <v>67.53</v>
      </c>
      <c r="H23" s="40">
        <v>18.68</v>
      </c>
      <c r="I23" s="40">
        <v>7.91</v>
      </c>
      <c r="J23" s="40">
        <v>0.49</v>
      </c>
      <c r="K23" s="40">
        <v>330.83</v>
      </c>
      <c r="L23" s="40">
        <v>24.85</v>
      </c>
      <c r="M23" s="40">
        <v>31.1</v>
      </c>
      <c r="N23" s="40">
        <v>117.8</v>
      </c>
      <c r="O23" s="40">
        <v>0</v>
      </c>
      <c r="P23" s="40">
        <v>0.67</v>
      </c>
      <c r="Q23" s="27" t="s">
        <v>8</v>
      </c>
      <c r="R23" s="38"/>
      <c r="S23" s="38"/>
      <c r="T23" s="38"/>
      <c r="U23" s="38"/>
    </row>
    <row r="24" spans="1:21" customFormat="1">
      <c r="A24" s="39" t="s">
        <v>244</v>
      </c>
      <c r="B24" s="40">
        <v>4.5599999999999996</v>
      </c>
      <c r="C24" s="40">
        <v>23.11</v>
      </c>
      <c r="D24" s="40">
        <v>16.84</v>
      </c>
      <c r="E24" s="40">
        <v>10.1</v>
      </c>
      <c r="F24" s="42">
        <v>9.61</v>
      </c>
      <c r="G24" s="40">
        <v>84.16</v>
      </c>
      <c r="H24" s="40">
        <v>21.78</v>
      </c>
      <c r="I24" s="40">
        <v>8.1300000000000008</v>
      </c>
      <c r="J24" s="40">
        <v>0.57999999999999996</v>
      </c>
      <c r="K24" s="40">
        <v>339.19</v>
      </c>
      <c r="L24" s="40">
        <v>24.6</v>
      </c>
      <c r="M24" s="40">
        <v>28.77</v>
      </c>
      <c r="N24" s="40">
        <v>58</v>
      </c>
      <c r="O24" s="40">
        <v>0</v>
      </c>
      <c r="P24" s="40">
        <v>0.75</v>
      </c>
      <c r="Q24" s="27" t="s">
        <v>8</v>
      </c>
      <c r="R24" s="38"/>
      <c r="S24" s="38"/>
      <c r="T24" s="38"/>
      <c r="U24" s="38"/>
    </row>
    <row r="25" spans="1:21" customFormat="1">
      <c r="A25" s="39" t="s">
        <v>245</v>
      </c>
      <c r="B25" s="40">
        <v>5.63</v>
      </c>
      <c r="C25" s="40">
        <v>23.14</v>
      </c>
      <c r="D25" s="40">
        <v>17.95</v>
      </c>
      <c r="E25" s="40">
        <v>9.8000000000000007</v>
      </c>
      <c r="F25" s="42">
        <v>9.58</v>
      </c>
      <c r="G25" s="40">
        <v>83.1</v>
      </c>
      <c r="H25" s="40">
        <v>21.29</v>
      </c>
      <c r="I25" s="40">
        <v>8.42</v>
      </c>
      <c r="J25" s="40">
        <v>0.41</v>
      </c>
      <c r="K25" s="40">
        <v>348.56</v>
      </c>
      <c r="L25" s="40">
        <v>24.21</v>
      </c>
      <c r="M25" s="40">
        <v>30.05</v>
      </c>
      <c r="N25" s="40">
        <v>31.5</v>
      </c>
      <c r="O25" s="40">
        <v>0</v>
      </c>
      <c r="P25" s="40">
        <v>0.78</v>
      </c>
      <c r="Q25" s="27" t="s">
        <v>8</v>
      </c>
      <c r="R25" s="38"/>
      <c r="S25" s="38"/>
      <c r="T25" s="38"/>
      <c r="U25" s="38"/>
    </row>
    <row r="26" spans="1:21" customFormat="1">
      <c r="A26" s="39" t="s">
        <v>246</v>
      </c>
      <c r="B26" s="40">
        <v>7.58</v>
      </c>
      <c r="C26" s="40">
        <v>24.96</v>
      </c>
      <c r="D26" s="40">
        <v>20.47</v>
      </c>
      <c r="E26" s="40">
        <v>9.2100000000000009</v>
      </c>
      <c r="F26" s="42">
        <v>7.05</v>
      </c>
      <c r="G26" s="40">
        <v>89.68</v>
      </c>
      <c r="H26" s="40">
        <v>23.42</v>
      </c>
      <c r="I26" s="40">
        <v>8.75</v>
      </c>
      <c r="J26" s="40">
        <v>0.41</v>
      </c>
      <c r="K26" s="40">
        <v>128.58000000000001</v>
      </c>
      <c r="L26" s="40">
        <v>22.8</v>
      </c>
      <c r="M26" s="40">
        <v>47.45</v>
      </c>
      <c r="N26" s="40">
        <v>6.8</v>
      </c>
      <c r="O26" s="40">
        <v>0</v>
      </c>
      <c r="P26" s="40">
        <v>0.84</v>
      </c>
      <c r="Q26" s="27" t="s">
        <v>8</v>
      </c>
      <c r="R26" s="38"/>
      <c r="S26" s="38"/>
      <c r="T26" s="38"/>
      <c r="U26" s="38"/>
    </row>
    <row r="27" spans="1:21" customFormat="1">
      <c r="A27" s="39" t="s">
        <v>247</v>
      </c>
      <c r="B27" s="40">
        <v>9</v>
      </c>
      <c r="C27" s="40">
        <v>25.68</v>
      </c>
      <c r="D27" s="40">
        <v>21.99</v>
      </c>
      <c r="E27" s="40">
        <v>10.85</v>
      </c>
      <c r="F27" s="42">
        <v>4.88</v>
      </c>
      <c r="G27" s="40">
        <v>106.72</v>
      </c>
      <c r="H27" s="40">
        <v>26.11</v>
      </c>
      <c r="I27" s="40">
        <v>11.84</v>
      </c>
      <c r="J27" s="40">
        <v>0.28999999999999998</v>
      </c>
      <c r="K27" s="40">
        <v>177.58</v>
      </c>
      <c r="L27" s="40">
        <v>18.8</v>
      </c>
      <c r="M27" s="40">
        <v>69.48</v>
      </c>
      <c r="N27" s="40">
        <v>2</v>
      </c>
      <c r="O27" s="40">
        <v>0</v>
      </c>
      <c r="P27" s="40">
        <v>0.93</v>
      </c>
      <c r="Q27" s="27" t="s">
        <v>8</v>
      </c>
      <c r="R27" s="38"/>
      <c r="S27" s="38"/>
      <c r="T27" s="38"/>
      <c r="U27" s="38"/>
    </row>
    <row r="28" spans="1:21" customFormat="1">
      <c r="A28" s="39" t="s">
        <v>248</v>
      </c>
      <c r="B28" s="40">
        <v>11.15</v>
      </c>
      <c r="C28" s="40">
        <v>26.39</v>
      </c>
      <c r="D28" s="40">
        <v>24.05</v>
      </c>
      <c r="E28" s="40">
        <v>10.9</v>
      </c>
      <c r="F28" s="42">
        <v>4.6399999999999997</v>
      </c>
      <c r="G28" s="40">
        <v>120.15</v>
      </c>
      <c r="H28" s="40">
        <v>30.38</v>
      </c>
      <c r="I28" s="40">
        <v>16.63</v>
      </c>
      <c r="J28" s="40">
        <v>0.28000000000000003</v>
      </c>
      <c r="K28" s="40">
        <v>198.63</v>
      </c>
      <c r="L28" s="40">
        <v>16.57</v>
      </c>
      <c r="M28" s="40">
        <v>71.36</v>
      </c>
      <c r="N28" s="40">
        <v>1.4</v>
      </c>
      <c r="O28" s="40">
        <v>0</v>
      </c>
      <c r="P28" s="40">
        <v>1.04</v>
      </c>
      <c r="Q28" s="27" t="s">
        <v>8</v>
      </c>
      <c r="R28" s="38"/>
      <c r="S28" s="38"/>
      <c r="T28" s="38"/>
      <c r="U28" s="38"/>
    </row>
    <row r="29" spans="1:21" customFormat="1">
      <c r="A29" s="39" t="s">
        <v>249</v>
      </c>
      <c r="B29" s="40">
        <v>10.78</v>
      </c>
      <c r="C29" s="40">
        <v>26.21</v>
      </c>
      <c r="D29" s="40">
        <v>23.69</v>
      </c>
      <c r="E29" s="40">
        <v>10.89</v>
      </c>
      <c r="F29" s="42">
        <v>4.54</v>
      </c>
      <c r="G29" s="40">
        <v>119.92</v>
      </c>
      <c r="H29" s="40">
        <v>29.26</v>
      </c>
      <c r="I29" s="40">
        <v>16.989999999999998</v>
      </c>
      <c r="J29" s="40">
        <v>0.21</v>
      </c>
      <c r="K29" s="40">
        <v>213.86</v>
      </c>
      <c r="L29" s="40">
        <v>15.55</v>
      </c>
      <c r="M29" s="40">
        <v>72.94</v>
      </c>
      <c r="N29" s="40">
        <v>1.1000000000000001</v>
      </c>
      <c r="O29" s="40">
        <v>0</v>
      </c>
      <c r="P29" s="40">
        <v>1</v>
      </c>
      <c r="Q29" s="27" t="s">
        <v>8</v>
      </c>
      <c r="R29" s="38"/>
      <c r="S29" s="38"/>
      <c r="T29" s="38"/>
      <c r="U29" s="38"/>
    </row>
    <row r="30" spans="1:21" customFormat="1">
      <c r="A30" s="39" t="s">
        <v>250</v>
      </c>
      <c r="B30" s="40">
        <v>9.9</v>
      </c>
      <c r="C30" s="40">
        <v>26.28</v>
      </c>
      <c r="D30" s="40">
        <v>23.02</v>
      </c>
      <c r="E30" s="40">
        <v>10.48</v>
      </c>
      <c r="F30" s="42">
        <v>4.3899999999999997</v>
      </c>
      <c r="G30" s="40">
        <v>132.22</v>
      </c>
      <c r="H30" s="40">
        <v>30.24</v>
      </c>
      <c r="I30" s="40">
        <v>16.260000000000002</v>
      </c>
      <c r="J30" s="40">
        <v>0.17</v>
      </c>
      <c r="K30" s="40">
        <v>202.63</v>
      </c>
      <c r="L30" s="40">
        <v>14.68</v>
      </c>
      <c r="M30" s="40">
        <v>78.16</v>
      </c>
      <c r="N30" s="40">
        <v>1.3</v>
      </c>
      <c r="O30" s="40">
        <v>0</v>
      </c>
      <c r="P30" s="40">
        <v>0.98</v>
      </c>
      <c r="Q30" s="27" t="s">
        <v>8</v>
      </c>
      <c r="R30" s="38"/>
      <c r="S30" s="38"/>
      <c r="T30" s="38"/>
      <c r="U30" s="38"/>
    </row>
    <row r="31" spans="1:21" customFormat="1">
      <c r="A31" s="39" t="s">
        <v>251</v>
      </c>
      <c r="B31" s="40">
        <v>10</v>
      </c>
      <c r="C31" s="40">
        <v>26.36</v>
      </c>
      <c r="D31" s="40">
        <v>23.15</v>
      </c>
      <c r="E31" s="40">
        <v>11.12</v>
      </c>
      <c r="F31" s="42">
        <v>4.5199999999999996</v>
      </c>
      <c r="G31" s="40">
        <v>155.34</v>
      </c>
      <c r="H31" s="40">
        <v>30.15</v>
      </c>
      <c r="I31" s="40">
        <v>15.41</v>
      </c>
      <c r="J31" s="40">
        <v>0.2</v>
      </c>
      <c r="K31" s="40">
        <v>228.96</v>
      </c>
      <c r="L31" s="40">
        <v>14.13</v>
      </c>
      <c r="M31" s="40">
        <v>82.23</v>
      </c>
      <c r="N31" s="40">
        <v>1.3</v>
      </c>
      <c r="O31" s="40">
        <v>0</v>
      </c>
      <c r="P31" s="40">
        <v>0.98</v>
      </c>
      <c r="Q31" s="27" t="s">
        <v>8</v>
      </c>
      <c r="R31" s="38"/>
      <c r="S31" s="38"/>
      <c r="T31" s="38"/>
      <c r="U31" s="38"/>
    </row>
    <row r="32" spans="1:21" customFormat="1">
      <c r="A32" s="39" t="s">
        <v>252</v>
      </c>
      <c r="B32" s="40">
        <v>9.65</v>
      </c>
      <c r="C32" s="40">
        <v>25.34</v>
      </c>
      <c r="D32" s="40">
        <v>22.09</v>
      </c>
      <c r="E32" s="40">
        <v>10.41</v>
      </c>
      <c r="F32" s="42">
        <v>4.63</v>
      </c>
      <c r="G32" s="40">
        <v>148.79</v>
      </c>
      <c r="H32" s="40">
        <v>31.26</v>
      </c>
      <c r="I32" s="40">
        <v>14.85</v>
      </c>
      <c r="J32" s="40">
        <v>0.18</v>
      </c>
      <c r="K32" s="40">
        <v>219.27</v>
      </c>
      <c r="L32" s="40">
        <v>13.37</v>
      </c>
      <c r="M32" s="40">
        <v>83.53</v>
      </c>
      <c r="N32" s="40">
        <v>1.1000000000000001</v>
      </c>
      <c r="O32" s="40">
        <v>0</v>
      </c>
      <c r="P32" s="40">
        <v>0.98</v>
      </c>
      <c r="Q32" s="27" t="s">
        <v>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3.72</v>
      </c>
      <c r="C34" s="18">
        <f t="shared" si="0"/>
        <v>19.79</v>
      </c>
      <c r="D34" s="18">
        <f t="shared" si="0"/>
        <v>16.329999999999998</v>
      </c>
      <c r="E34" s="18">
        <f t="shared" si="0"/>
        <v>7.85</v>
      </c>
      <c r="F34" s="18">
        <f t="shared" si="0"/>
        <v>4.3899999999999997</v>
      </c>
      <c r="G34" s="18">
        <f t="shared" si="0"/>
        <v>41.08</v>
      </c>
      <c r="H34" s="18">
        <f t="shared" si="0"/>
        <v>14.82</v>
      </c>
      <c r="I34" s="18">
        <f t="shared" si="0"/>
        <v>7.91</v>
      </c>
      <c r="J34" s="18">
        <f t="shared" si="0"/>
        <v>0.17</v>
      </c>
      <c r="K34" s="18">
        <f t="shared" si="0"/>
        <v>44.77</v>
      </c>
      <c r="L34" s="18">
        <f t="shared" si="0"/>
        <v>11.48</v>
      </c>
      <c r="M34" s="18">
        <f t="shared" si="0"/>
        <v>28.77</v>
      </c>
      <c r="N34" s="18">
        <f t="shared" si="0"/>
        <v>1</v>
      </c>
      <c r="O34" s="18">
        <f t="shared" si="0"/>
        <v>0</v>
      </c>
      <c r="P34" s="18">
        <f t="shared" si="0"/>
        <v>0.52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17.079999999999998</v>
      </c>
      <c r="C35" s="3">
        <f t="shared" si="1"/>
        <v>26.66</v>
      </c>
      <c r="D35" s="3">
        <f t="shared" si="1"/>
        <v>27.65</v>
      </c>
      <c r="E35" s="3">
        <f t="shared" si="1"/>
        <v>11.12</v>
      </c>
      <c r="F35" s="3">
        <f t="shared" si="1"/>
        <v>9.61</v>
      </c>
      <c r="G35" s="3">
        <f t="shared" si="1"/>
        <v>155.34</v>
      </c>
      <c r="H35" s="3">
        <f t="shared" si="1"/>
        <v>31.26</v>
      </c>
      <c r="I35" s="3">
        <f t="shared" si="1"/>
        <v>16.989999999999998</v>
      </c>
      <c r="J35" s="3">
        <f t="shared" si="1"/>
        <v>0.7</v>
      </c>
      <c r="K35" s="3">
        <f t="shared" si="1"/>
        <v>356.31</v>
      </c>
      <c r="L35" s="3">
        <f t="shared" si="1"/>
        <v>25.37</v>
      </c>
      <c r="M35" s="3">
        <f t="shared" si="1"/>
        <v>92.63</v>
      </c>
      <c r="N35" s="3">
        <f t="shared" si="1"/>
        <v>479.9</v>
      </c>
      <c r="O35" s="3">
        <f t="shared" si="1"/>
        <v>0</v>
      </c>
      <c r="P35" s="3">
        <f t="shared" si="1"/>
        <v>1.04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9.9270833333333339</v>
      </c>
      <c r="C36" s="18">
        <f t="shared" si="2"/>
        <v>24.192916666666665</v>
      </c>
      <c r="D36" s="18">
        <f t="shared" si="2"/>
        <v>21.844583333333333</v>
      </c>
      <c r="E36" s="18">
        <f t="shared" si="2"/>
        <v>9.2895833333333329</v>
      </c>
      <c r="F36" s="18">
        <f t="shared" si="2"/>
        <v>5.4804166666666658</v>
      </c>
      <c r="G36" s="18">
        <f t="shared" si="2"/>
        <v>79.966666666666669</v>
      </c>
      <c r="H36" s="18">
        <f t="shared" si="2"/>
        <v>21.827500000000001</v>
      </c>
      <c r="I36" s="18">
        <f t="shared" si="2"/>
        <v>10.594999999999999</v>
      </c>
      <c r="J36" s="18">
        <f t="shared" si="2"/>
        <v>0.41333333333333327</v>
      </c>
      <c r="K36" s="18">
        <f t="shared" si="2"/>
        <v>212.64250000000001</v>
      </c>
      <c r="L36" s="18">
        <f t="shared" si="2"/>
        <v>18.278333333333336</v>
      </c>
      <c r="M36" s="18">
        <f t="shared" si="2"/>
        <v>62.927916666666668</v>
      </c>
      <c r="N36" s="18">
        <f t="shared" si="2"/>
        <v>113.37916666666671</v>
      </c>
      <c r="O36" s="18">
        <f t="shared" si="2"/>
        <v>0</v>
      </c>
      <c r="P36" s="18">
        <f t="shared" si="2"/>
        <v>0.75250000000000006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3.5684468417392572</v>
      </c>
      <c r="C37" s="18">
        <f t="shared" ref="C37:Q37" si="3">STDEV(C9:C32)</f>
        <v>1.8924023819902358</v>
      </c>
      <c r="D37" s="18">
        <f t="shared" si="3"/>
        <v>2.8278490507138665</v>
      </c>
      <c r="E37" s="18">
        <f t="shared" si="3"/>
        <v>1.0677179206003089</v>
      </c>
      <c r="F37" s="18">
        <f t="shared" si="3"/>
        <v>1.5547304510307678</v>
      </c>
      <c r="G37" s="18">
        <f t="shared" si="3"/>
        <v>33.580444576732695</v>
      </c>
      <c r="H37" s="18">
        <f t="shared" si="3"/>
        <v>5.1944780463404507</v>
      </c>
      <c r="I37" s="18">
        <f t="shared" si="3"/>
        <v>2.9699114318517159</v>
      </c>
      <c r="J37" s="18">
        <f t="shared" si="3"/>
        <v>0.19705807280588916</v>
      </c>
      <c r="K37" s="18">
        <f t="shared" si="3"/>
        <v>99.525642675644178</v>
      </c>
      <c r="L37" s="18">
        <f t="shared" si="3"/>
        <v>4.7480793981371523</v>
      </c>
      <c r="M37" s="18">
        <f t="shared" si="3"/>
        <v>22.292979783889979</v>
      </c>
      <c r="N37" s="18">
        <f t="shared" si="3"/>
        <v>178.38648803179802</v>
      </c>
      <c r="O37" s="18">
        <f t="shared" si="3"/>
        <v>0</v>
      </c>
      <c r="P37" s="18">
        <f t="shared" si="3"/>
        <v>0.15475787540542144</v>
      </c>
      <c r="Q37" s="18" t="e">
        <f t="shared" si="3"/>
        <v>#DIV/0!</v>
      </c>
      <c r="R37" s="18"/>
      <c r="S37" s="18"/>
      <c r="T37" s="18"/>
      <c r="U37" s="18"/>
    </row>
    <row r="38" spans="1:21">
      <c r="A38" s="34" t="s">
        <v>52</v>
      </c>
      <c r="B38" s="34">
        <f t="shared" ref="B38:P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>COUNT(Q9:Q32)+24</f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96"/>
  <sheetViews>
    <sheetView zoomScale="85" zoomScaleNormal="85" workbookViewId="0">
      <pane xSplit="2" ySplit="8" topLeftCell="C24" activePane="bottomRight" state="frozen"/>
      <selection activeCell="G19" sqref="G19"/>
      <selection pane="topRight" activeCell="G19" sqref="G19"/>
      <selection pane="bottomLeft" activeCell="G19" sqref="G19"/>
      <selection pane="bottomRight" activeCell="M29" sqref="M2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09/01/2025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253</v>
      </c>
      <c r="B9" s="40">
        <v>27.33</v>
      </c>
      <c r="C9" s="40">
        <v>27.11</v>
      </c>
      <c r="D9" s="40">
        <v>37.43</v>
      </c>
      <c r="E9" s="40">
        <v>10.49</v>
      </c>
      <c r="F9" s="42">
        <v>4.6500000000000004</v>
      </c>
      <c r="G9" s="40">
        <v>125.55</v>
      </c>
      <c r="H9" s="40">
        <v>31.11</v>
      </c>
      <c r="I9" s="40">
        <v>14.66</v>
      </c>
      <c r="J9" s="40">
        <v>0.17</v>
      </c>
      <c r="K9" s="40">
        <v>209.64</v>
      </c>
      <c r="L9" s="40">
        <v>13.39</v>
      </c>
      <c r="M9" s="40">
        <v>83.93</v>
      </c>
      <c r="N9" s="40">
        <v>1.3</v>
      </c>
      <c r="O9" s="40">
        <v>0</v>
      </c>
      <c r="P9" s="40">
        <v>1.07</v>
      </c>
      <c r="Q9" s="27" t="s">
        <v>8</v>
      </c>
      <c r="R9" s="38"/>
      <c r="S9" s="38"/>
      <c r="T9" s="38"/>
      <c r="U9" s="38"/>
    </row>
    <row r="10" spans="1:21" customFormat="1">
      <c r="A10" s="39" t="s">
        <v>254</v>
      </c>
      <c r="B10" s="40">
        <v>34.24</v>
      </c>
      <c r="C10" s="40">
        <v>27.23</v>
      </c>
      <c r="D10" s="40">
        <v>42.68</v>
      </c>
      <c r="E10" s="40">
        <v>10.34</v>
      </c>
      <c r="F10" s="42">
        <v>4.71</v>
      </c>
      <c r="G10" s="40">
        <v>117.16</v>
      </c>
      <c r="H10" s="40">
        <v>31.05</v>
      </c>
      <c r="I10" s="40">
        <v>14.97</v>
      </c>
      <c r="J10" s="40">
        <v>0.18</v>
      </c>
      <c r="K10" s="40">
        <v>202.49</v>
      </c>
      <c r="L10" s="40">
        <v>12.64</v>
      </c>
      <c r="M10" s="40">
        <v>86.27</v>
      </c>
      <c r="N10" s="40">
        <v>1.4</v>
      </c>
      <c r="O10" s="40">
        <v>0</v>
      </c>
      <c r="P10" s="40">
        <v>1.1100000000000001</v>
      </c>
      <c r="Q10" s="27" t="s">
        <v>8</v>
      </c>
      <c r="R10" s="38"/>
      <c r="S10" s="38"/>
      <c r="T10" s="38"/>
      <c r="U10" s="38"/>
    </row>
    <row r="11" spans="1:21" customFormat="1">
      <c r="A11" s="39" t="s">
        <v>255</v>
      </c>
      <c r="B11" s="40">
        <v>37.979999999999997</v>
      </c>
      <c r="C11" s="40">
        <v>26.54</v>
      </c>
      <c r="D11" s="40">
        <v>45.25</v>
      </c>
      <c r="E11" s="40">
        <v>7.47</v>
      </c>
      <c r="F11" s="42">
        <v>4.53</v>
      </c>
      <c r="G11" s="40">
        <v>112</v>
      </c>
      <c r="H11" s="40">
        <v>29.48</v>
      </c>
      <c r="I11" s="40">
        <v>15.51</v>
      </c>
      <c r="J11" s="40">
        <v>0.21</v>
      </c>
      <c r="K11" s="40">
        <v>201.82</v>
      </c>
      <c r="L11" s="40">
        <v>12.44</v>
      </c>
      <c r="M11" s="40">
        <v>87.87</v>
      </c>
      <c r="N11" s="40">
        <v>1.3</v>
      </c>
      <c r="O11" s="40">
        <v>0</v>
      </c>
      <c r="P11" s="40">
        <v>1.17</v>
      </c>
      <c r="Q11" s="27" t="s">
        <v>8</v>
      </c>
      <c r="R11" s="38"/>
      <c r="S11" s="38"/>
      <c r="T11" s="38"/>
      <c r="U11" s="38"/>
    </row>
    <row r="12" spans="1:21" customFormat="1">
      <c r="A12" s="39" t="s">
        <v>256</v>
      </c>
      <c r="B12" s="40">
        <v>37.86</v>
      </c>
      <c r="C12" s="40">
        <v>25.44</v>
      </c>
      <c r="D12" s="40">
        <v>45</v>
      </c>
      <c r="E12" s="40">
        <v>7.28</v>
      </c>
      <c r="F12" s="42">
        <v>4.5999999999999996</v>
      </c>
      <c r="G12" s="40">
        <v>103.26</v>
      </c>
      <c r="H12" s="40">
        <v>29.98</v>
      </c>
      <c r="I12" s="40">
        <v>15.89</v>
      </c>
      <c r="J12" s="40">
        <v>0.26</v>
      </c>
      <c r="K12" s="40">
        <v>182.71</v>
      </c>
      <c r="L12" s="40">
        <v>11.5</v>
      </c>
      <c r="M12" s="40">
        <v>91.08</v>
      </c>
      <c r="N12" s="40">
        <v>1.6</v>
      </c>
      <c r="O12" s="40">
        <v>0</v>
      </c>
      <c r="P12" s="40">
        <v>1.18</v>
      </c>
      <c r="Q12" s="27" t="s">
        <v>8</v>
      </c>
      <c r="R12" s="38"/>
      <c r="S12" s="38"/>
      <c r="T12" s="38"/>
      <c r="U12" s="38"/>
    </row>
    <row r="13" spans="1:21" customFormat="1">
      <c r="A13" s="39" t="s">
        <v>257</v>
      </c>
      <c r="B13" s="40">
        <v>36.94</v>
      </c>
      <c r="C13" s="40">
        <v>23.54</v>
      </c>
      <c r="D13" s="40">
        <v>43.28</v>
      </c>
      <c r="E13" s="40">
        <v>6.9</v>
      </c>
      <c r="F13" s="42">
        <v>4.45</v>
      </c>
      <c r="G13" s="40">
        <v>97.73</v>
      </c>
      <c r="H13" s="40">
        <v>29.71</v>
      </c>
      <c r="I13" s="40">
        <v>15.96</v>
      </c>
      <c r="J13" s="40">
        <v>0.15</v>
      </c>
      <c r="K13" s="40">
        <v>167.19</v>
      </c>
      <c r="L13" s="40">
        <v>11.36</v>
      </c>
      <c r="M13" s="40">
        <v>89.7</v>
      </c>
      <c r="N13" s="40">
        <v>1</v>
      </c>
      <c r="O13" s="40">
        <v>0</v>
      </c>
      <c r="P13" s="40">
        <v>1.19</v>
      </c>
      <c r="Q13" s="27" t="s">
        <v>8</v>
      </c>
      <c r="R13" s="38"/>
      <c r="S13" s="38"/>
      <c r="T13" s="38"/>
      <c r="U13" s="38"/>
    </row>
    <row r="14" spans="1:21" customFormat="1">
      <c r="A14" s="39" t="s">
        <v>258</v>
      </c>
      <c r="B14" s="40">
        <v>44.92</v>
      </c>
      <c r="C14" s="40">
        <v>24.13</v>
      </c>
      <c r="D14" s="40">
        <v>49.98</v>
      </c>
      <c r="E14" s="40">
        <v>6.67</v>
      </c>
      <c r="F14" s="42">
        <v>4.59</v>
      </c>
      <c r="G14" s="40">
        <v>97.7</v>
      </c>
      <c r="H14" s="40">
        <v>31.74</v>
      </c>
      <c r="I14" s="40">
        <v>15.94</v>
      </c>
      <c r="J14" s="40">
        <v>0.19</v>
      </c>
      <c r="K14" s="40">
        <v>143.59</v>
      </c>
      <c r="L14" s="40">
        <v>11.46</v>
      </c>
      <c r="M14" s="40">
        <v>88.19</v>
      </c>
      <c r="N14" s="40">
        <v>1.1000000000000001</v>
      </c>
      <c r="O14" s="40">
        <v>0</v>
      </c>
      <c r="P14" s="40">
        <v>1.18</v>
      </c>
      <c r="Q14" s="27" t="s">
        <v>8</v>
      </c>
      <c r="R14" s="38"/>
      <c r="S14" s="38"/>
      <c r="T14" s="38"/>
      <c r="U14" s="38"/>
    </row>
    <row r="15" spans="1:21" customFormat="1">
      <c r="A15" s="39" t="s">
        <v>259</v>
      </c>
      <c r="B15" s="40">
        <v>46.14</v>
      </c>
      <c r="C15" s="40">
        <v>25.3</v>
      </c>
      <c r="D15" s="40">
        <v>51.5</v>
      </c>
      <c r="E15" s="40">
        <v>6.48</v>
      </c>
      <c r="F15" s="42">
        <v>4.54</v>
      </c>
      <c r="G15" s="40">
        <v>104.6</v>
      </c>
      <c r="H15" s="40">
        <v>34.08</v>
      </c>
      <c r="I15" s="40">
        <v>16.93</v>
      </c>
      <c r="J15" s="40">
        <v>0.64</v>
      </c>
      <c r="K15" s="40">
        <v>73.930000000000007</v>
      </c>
      <c r="L15" s="40">
        <v>11.98</v>
      </c>
      <c r="M15" s="40">
        <v>80.58</v>
      </c>
      <c r="N15" s="40">
        <v>12.2</v>
      </c>
      <c r="O15" s="40">
        <v>0</v>
      </c>
      <c r="P15" s="40">
        <v>1.31</v>
      </c>
      <c r="Q15" s="27" t="s">
        <v>8</v>
      </c>
      <c r="R15" s="38"/>
      <c r="S15" s="38"/>
      <c r="T15" s="38"/>
      <c r="U15" s="38"/>
    </row>
    <row r="16" spans="1:21" customFormat="1">
      <c r="A16" s="39" t="s">
        <v>260</v>
      </c>
      <c r="B16" s="40">
        <v>45.94</v>
      </c>
      <c r="C16" s="40">
        <v>26.91</v>
      </c>
      <c r="D16" s="40">
        <v>51.68</v>
      </c>
      <c r="E16" s="40">
        <v>7</v>
      </c>
      <c r="F16" s="42">
        <v>4.5199999999999996</v>
      </c>
      <c r="G16" s="40">
        <v>203.78</v>
      </c>
      <c r="H16" s="40">
        <v>37.33</v>
      </c>
      <c r="I16" s="40">
        <v>17.5</v>
      </c>
      <c r="J16" s="40">
        <v>0.56000000000000005</v>
      </c>
      <c r="K16" s="40">
        <v>70.8</v>
      </c>
      <c r="L16" s="40">
        <v>13.76</v>
      </c>
      <c r="M16" s="40">
        <v>75.099999999999994</v>
      </c>
      <c r="N16" s="40">
        <v>54.4</v>
      </c>
      <c r="O16" s="40">
        <v>0</v>
      </c>
      <c r="P16" s="40">
        <v>1.38</v>
      </c>
      <c r="Q16" s="27" t="s">
        <v>8</v>
      </c>
      <c r="R16" s="38"/>
      <c r="S16" s="38"/>
      <c r="T16" s="38"/>
      <c r="U16" s="38"/>
    </row>
    <row r="17" spans="1:21" customFormat="1">
      <c r="A17" s="39" t="s">
        <v>261</v>
      </c>
      <c r="B17" s="40">
        <v>41.44</v>
      </c>
      <c r="C17" s="40">
        <v>27.81</v>
      </c>
      <c r="D17" s="40">
        <v>48.72</v>
      </c>
      <c r="E17" s="40">
        <v>6.53</v>
      </c>
      <c r="F17" s="42">
        <v>4.71</v>
      </c>
      <c r="G17" s="40">
        <v>170.91</v>
      </c>
      <c r="H17" s="40">
        <v>36.380000000000003</v>
      </c>
      <c r="I17" s="40">
        <v>17.46</v>
      </c>
      <c r="J17" s="40">
        <v>0.72</v>
      </c>
      <c r="K17" s="40">
        <v>63.58</v>
      </c>
      <c r="L17" s="40">
        <v>17.5</v>
      </c>
      <c r="M17" s="40">
        <v>65.41</v>
      </c>
      <c r="N17" s="40">
        <v>281.39999999999998</v>
      </c>
      <c r="O17" s="40">
        <v>0</v>
      </c>
      <c r="P17" s="40">
        <v>1.37</v>
      </c>
      <c r="Q17" s="27" t="s">
        <v>8</v>
      </c>
      <c r="R17" s="38"/>
      <c r="S17" s="38"/>
      <c r="T17" s="38"/>
      <c r="U17" s="38"/>
    </row>
    <row r="18" spans="1:21" customFormat="1">
      <c r="A18" s="39" t="s">
        <v>262</v>
      </c>
      <c r="B18" s="40">
        <v>33.61</v>
      </c>
      <c r="C18" s="40">
        <v>29.64</v>
      </c>
      <c r="D18" s="40">
        <v>43.38</v>
      </c>
      <c r="E18" s="40">
        <v>7.33</v>
      </c>
      <c r="F18" s="42">
        <v>4.9400000000000004</v>
      </c>
      <c r="G18" s="40">
        <v>110.51</v>
      </c>
      <c r="H18" s="40">
        <v>34.450000000000003</v>
      </c>
      <c r="I18" s="40">
        <v>16.72</v>
      </c>
      <c r="J18" s="40">
        <v>0.75</v>
      </c>
      <c r="K18" s="40">
        <v>98.34</v>
      </c>
      <c r="L18" s="40">
        <v>21.14</v>
      </c>
      <c r="M18" s="40">
        <v>47.64</v>
      </c>
      <c r="N18" s="40">
        <v>314.39999999999998</v>
      </c>
      <c r="O18" s="40">
        <v>0</v>
      </c>
      <c r="P18" s="40">
        <v>1.25</v>
      </c>
      <c r="Q18" s="27" t="s">
        <v>8</v>
      </c>
      <c r="R18" s="38"/>
      <c r="S18" s="38"/>
      <c r="T18" s="38"/>
      <c r="U18" s="38"/>
    </row>
    <row r="19" spans="1:21" customFormat="1">
      <c r="A19" s="39" t="s">
        <v>263</v>
      </c>
      <c r="B19" s="40">
        <v>28.33</v>
      </c>
      <c r="C19" s="40">
        <v>30.08</v>
      </c>
      <c r="D19" s="40">
        <v>39.64</v>
      </c>
      <c r="E19" s="40">
        <v>10.14</v>
      </c>
      <c r="F19" s="42">
        <v>5.14</v>
      </c>
      <c r="G19" s="40">
        <v>80.16</v>
      </c>
      <c r="H19" s="40">
        <v>32.090000000000003</v>
      </c>
      <c r="I19" s="40">
        <v>15.42</v>
      </c>
      <c r="J19" s="40">
        <v>0.64</v>
      </c>
      <c r="K19" s="40">
        <v>85.06</v>
      </c>
      <c r="L19" s="40">
        <v>23.73</v>
      </c>
      <c r="M19" s="40">
        <v>35.39</v>
      </c>
      <c r="N19" s="40">
        <v>452.3</v>
      </c>
      <c r="O19" s="40">
        <v>0</v>
      </c>
      <c r="P19" s="40">
        <v>1.1399999999999999</v>
      </c>
      <c r="Q19" s="27" t="s">
        <v>8</v>
      </c>
      <c r="R19" s="38"/>
      <c r="S19" s="38"/>
      <c r="T19" s="38"/>
      <c r="U19" s="38"/>
    </row>
    <row r="20" spans="1:21" customFormat="1">
      <c r="A20" s="39" t="s">
        <v>264</v>
      </c>
      <c r="B20" s="40">
        <v>20.28</v>
      </c>
      <c r="C20" s="40">
        <v>28.7</v>
      </c>
      <c r="D20" s="40">
        <v>32.61</v>
      </c>
      <c r="E20" s="40">
        <v>10.76</v>
      </c>
      <c r="F20" s="42">
        <v>5.84</v>
      </c>
      <c r="G20" s="40">
        <v>71.39</v>
      </c>
      <c r="H20" s="40">
        <v>29.76</v>
      </c>
      <c r="I20" s="40">
        <v>13.97</v>
      </c>
      <c r="J20" s="40">
        <v>1.06</v>
      </c>
      <c r="K20" s="40">
        <v>67.33</v>
      </c>
      <c r="L20" s="40">
        <v>24.69</v>
      </c>
      <c r="M20" s="40">
        <v>30.61</v>
      </c>
      <c r="N20" s="40">
        <v>494.2</v>
      </c>
      <c r="O20" s="40">
        <v>0</v>
      </c>
      <c r="P20" s="40">
        <v>1.0900000000000001</v>
      </c>
      <c r="Q20" s="27" t="s">
        <v>8</v>
      </c>
      <c r="R20" s="38"/>
      <c r="S20" s="38"/>
      <c r="T20" s="38"/>
      <c r="U20" s="38"/>
    </row>
    <row r="21" spans="1:21" customFormat="1">
      <c r="A21" s="39" t="s">
        <v>265</v>
      </c>
      <c r="B21" s="40">
        <v>15.27</v>
      </c>
      <c r="C21" s="40">
        <v>27</v>
      </c>
      <c r="D21" s="40">
        <v>27.71</v>
      </c>
      <c r="E21" s="40">
        <v>10.78</v>
      </c>
      <c r="F21" s="42">
        <v>7.55</v>
      </c>
      <c r="G21" s="40">
        <v>60.98</v>
      </c>
      <c r="H21" s="40">
        <v>26.62</v>
      </c>
      <c r="I21" s="40">
        <v>13.04</v>
      </c>
      <c r="J21" s="40">
        <v>0.56999999999999995</v>
      </c>
      <c r="K21" s="40">
        <v>83.47</v>
      </c>
      <c r="L21" s="40">
        <v>26.39</v>
      </c>
      <c r="M21" s="40">
        <v>24.28</v>
      </c>
      <c r="N21" s="40">
        <v>496.8</v>
      </c>
      <c r="O21" s="40">
        <v>0</v>
      </c>
      <c r="P21" s="40">
        <v>1</v>
      </c>
      <c r="Q21" s="27" t="s">
        <v>8</v>
      </c>
      <c r="R21" s="38"/>
      <c r="S21" s="38"/>
      <c r="T21" s="38"/>
      <c r="U21" s="38"/>
    </row>
    <row r="22" spans="1:21" customFormat="1">
      <c r="A22" s="39" t="s">
        <v>266</v>
      </c>
      <c r="B22" s="40">
        <v>10.52</v>
      </c>
      <c r="C22" s="40">
        <v>25.32</v>
      </c>
      <c r="D22" s="40">
        <v>23.01</v>
      </c>
      <c r="E22" s="40">
        <v>10.6</v>
      </c>
      <c r="F22" s="42">
        <v>6.96</v>
      </c>
      <c r="G22" s="40">
        <v>52.2</v>
      </c>
      <c r="H22" s="40">
        <v>27.23</v>
      </c>
      <c r="I22" s="40">
        <v>11.94</v>
      </c>
      <c r="J22" s="40">
        <v>0.76</v>
      </c>
      <c r="K22" s="40">
        <v>82.29</v>
      </c>
      <c r="L22" s="40">
        <v>26.74</v>
      </c>
      <c r="M22" s="40">
        <v>22.04</v>
      </c>
      <c r="N22" s="40">
        <v>450.8</v>
      </c>
      <c r="O22" s="40">
        <v>0</v>
      </c>
      <c r="P22" s="40">
        <v>0.94</v>
      </c>
      <c r="Q22" s="27" t="s">
        <v>8</v>
      </c>
      <c r="R22" s="38"/>
      <c r="S22" s="38"/>
      <c r="T22" s="38"/>
      <c r="U22" s="38"/>
    </row>
    <row r="23" spans="1:21" customFormat="1">
      <c r="A23" s="39" t="s">
        <v>267</v>
      </c>
      <c r="B23" s="40">
        <v>7.4</v>
      </c>
      <c r="C23" s="40">
        <v>24.09</v>
      </c>
      <c r="D23" s="40">
        <v>19.87</v>
      </c>
      <c r="E23" s="40">
        <v>10.65</v>
      </c>
      <c r="F23" s="42">
        <v>6.41</v>
      </c>
      <c r="G23" s="40">
        <v>43.37</v>
      </c>
      <c r="H23" s="40">
        <v>20.21</v>
      </c>
      <c r="I23" s="40">
        <v>11.07</v>
      </c>
      <c r="J23" s="40">
        <v>0.31</v>
      </c>
      <c r="K23" s="40">
        <v>212.14</v>
      </c>
      <c r="L23" s="40">
        <v>25.92</v>
      </c>
      <c r="M23" s="40">
        <v>24.04</v>
      </c>
      <c r="N23" s="40">
        <v>108.2</v>
      </c>
      <c r="O23" s="40">
        <v>0</v>
      </c>
      <c r="P23" s="40">
        <v>0.77</v>
      </c>
      <c r="Q23" s="27" t="s">
        <v>8</v>
      </c>
      <c r="R23" s="38"/>
      <c r="S23" s="38"/>
      <c r="T23" s="38"/>
      <c r="U23" s="38"/>
    </row>
    <row r="24" spans="1:21" customFormat="1">
      <c r="A24" s="39" t="s">
        <v>268</v>
      </c>
      <c r="B24" s="40">
        <v>5.74</v>
      </c>
      <c r="C24" s="40">
        <v>23</v>
      </c>
      <c r="D24" s="40">
        <v>17.57</v>
      </c>
      <c r="E24" s="40">
        <v>11.18</v>
      </c>
      <c r="F24" s="42">
        <v>7.5</v>
      </c>
      <c r="G24" s="40">
        <v>46.06</v>
      </c>
      <c r="H24" s="40">
        <v>19.510000000000002</v>
      </c>
      <c r="I24" s="40">
        <v>10.45</v>
      </c>
      <c r="J24" s="40">
        <v>0.45</v>
      </c>
      <c r="K24" s="40">
        <v>176.58</v>
      </c>
      <c r="L24" s="40">
        <v>25.79</v>
      </c>
      <c r="M24" s="40">
        <v>22.87</v>
      </c>
      <c r="N24" s="40">
        <v>53.4</v>
      </c>
      <c r="O24" s="40">
        <v>0</v>
      </c>
      <c r="P24" s="40">
        <v>0.74</v>
      </c>
      <c r="Q24" s="27" t="s">
        <v>8</v>
      </c>
      <c r="R24" s="38"/>
      <c r="S24" s="38"/>
      <c r="T24" s="38"/>
      <c r="U24" s="38"/>
    </row>
    <row r="25" spans="1:21" customFormat="1">
      <c r="A25" s="39" t="s">
        <v>269</v>
      </c>
      <c r="B25" s="40">
        <v>4.41</v>
      </c>
      <c r="C25" s="40">
        <v>22.96</v>
      </c>
      <c r="D25" s="40">
        <v>16.89</v>
      </c>
      <c r="E25" s="40">
        <v>10.1</v>
      </c>
      <c r="F25" s="42">
        <v>8.16</v>
      </c>
      <c r="G25" s="40">
        <v>50.49</v>
      </c>
      <c r="H25" s="40">
        <v>19.059999999999999</v>
      </c>
      <c r="I25" s="40">
        <v>9.82</v>
      </c>
      <c r="J25" s="40">
        <v>0.33</v>
      </c>
      <c r="K25" s="40">
        <v>165.34</v>
      </c>
      <c r="L25" s="40">
        <v>25.18</v>
      </c>
      <c r="M25" s="40">
        <v>29.13</v>
      </c>
      <c r="N25" s="40">
        <v>29.8</v>
      </c>
      <c r="O25" s="40">
        <v>0</v>
      </c>
      <c r="P25" s="40">
        <v>0.64</v>
      </c>
      <c r="Q25" s="27" t="s">
        <v>8</v>
      </c>
      <c r="R25" s="38"/>
      <c r="S25" s="38"/>
      <c r="T25" s="38"/>
      <c r="U25" s="38"/>
    </row>
    <row r="26" spans="1:21" customFormat="1">
      <c r="A26" s="39" t="s">
        <v>270</v>
      </c>
      <c r="B26" s="40">
        <v>5.12</v>
      </c>
      <c r="C26" s="40">
        <v>24.66</v>
      </c>
      <c r="D26" s="40">
        <v>18.34</v>
      </c>
      <c r="E26" s="40">
        <v>9.77</v>
      </c>
      <c r="F26" s="42">
        <v>5.69</v>
      </c>
      <c r="G26" s="40">
        <v>58.31</v>
      </c>
      <c r="H26" s="40">
        <v>19.54</v>
      </c>
      <c r="I26" s="40">
        <v>9.11</v>
      </c>
      <c r="J26" s="40">
        <v>0.36</v>
      </c>
      <c r="K26" s="40">
        <v>178.12</v>
      </c>
      <c r="L26" s="40">
        <v>22.39</v>
      </c>
      <c r="M26" s="40">
        <v>44.18</v>
      </c>
      <c r="N26" s="40">
        <v>7.7</v>
      </c>
      <c r="O26" s="40">
        <v>0</v>
      </c>
      <c r="P26" s="40">
        <v>0.63</v>
      </c>
      <c r="Q26" s="27" t="s">
        <v>8</v>
      </c>
      <c r="R26" s="38"/>
      <c r="S26" s="38"/>
      <c r="T26" s="38"/>
      <c r="U26" s="38"/>
    </row>
    <row r="27" spans="1:21" customFormat="1">
      <c r="A27" s="39" t="s">
        <v>271</v>
      </c>
      <c r="B27" s="40">
        <v>10.23</v>
      </c>
      <c r="C27" s="40">
        <v>28.9</v>
      </c>
      <c r="D27" s="40">
        <v>24.66</v>
      </c>
      <c r="E27" s="40">
        <v>9.8699999999999992</v>
      </c>
      <c r="F27" s="42">
        <v>5.03</v>
      </c>
      <c r="G27" s="40">
        <v>115.26</v>
      </c>
      <c r="H27" s="40">
        <v>21.88</v>
      </c>
      <c r="I27" s="40">
        <v>10.23</v>
      </c>
      <c r="J27" s="40">
        <v>0.27</v>
      </c>
      <c r="K27" s="40">
        <v>172.98</v>
      </c>
      <c r="L27" s="40">
        <v>19.68</v>
      </c>
      <c r="M27" s="40">
        <v>63.2</v>
      </c>
      <c r="N27" s="40">
        <v>1.6</v>
      </c>
      <c r="O27" s="40">
        <v>0</v>
      </c>
      <c r="P27" s="40">
        <v>0.75</v>
      </c>
      <c r="Q27" s="27" t="s">
        <v>8</v>
      </c>
      <c r="R27" s="38"/>
      <c r="S27" s="38"/>
      <c r="T27" s="38"/>
      <c r="U27" s="38"/>
    </row>
    <row r="28" spans="1:21" customFormat="1">
      <c r="A28" s="39" t="s">
        <v>272</v>
      </c>
      <c r="B28" s="40">
        <v>12.79</v>
      </c>
      <c r="C28" s="40">
        <v>30.06</v>
      </c>
      <c r="D28" s="40">
        <v>27.31</v>
      </c>
      <c r="E28" s="40">
        <v>10.39</v>
      </c>
      <c r="F28" s="42">
        <v>4.95</v>
      </c>
      <c r="G28" s="40">
        <v>139.26</v>
      </c>
      <c r="H28" s="40">
        <v>25.84</v>
      </c>
      <c r="I28" s="40">
        <v>12.16</v>
      </c>
      <c r="J28" s="40">
        <v>0.28000000000000003</v>
      </c>
      <c r="K28" s="40">
        <v>177.77</v>
      </c>
      <c r="L28" s="40">
        <v>17.579999999999998</v>
      </c>
      <c r="M28" s="40">
        <v>67.680000000000007</v>
      </c>
      <c r="N28" s="40">
        <v>1.4</v>
      </c>
      <c r="O28" s="40">
        <v>0</v>
      </c>
      <c r="P28" s="40">
        <v>0.87</v>
      </c>
      <c r="Q28" s="27" t="s">
        <v>8</v>
      </c>
      <c r="R28" s="38"/>
      <c r="S28" s="38"/>
      <c r="T28" s="38"/>
      <c r="U28" s="38"/>
    </row>
    <row r="29" spans="1:21" customFormat="1">
      <c r="A29" s="39" t="s">
        <v>273</v>
      </c>
      <c r="B29" s="40">
        <v>15.67</v>
      </c>
      <c r="C29" s="40">
        <v>30.6</v>
      </c>
      <c r="D29" s="40">
        <v>29.84</v>
      </c>
      <c r="E29" s="40">
        <v>9.84</v>
      </c>
      <c r="F29" s="42">
        <v>4.79</v>
      </c>
      <c r="G29" s="40">
        <v>130.21</v>
      </c>
      <c r="H29" s="40">
        <v>25.54</v>
      </c>
      <c r="I29" s="40">
        <v>13.66</v>
      </c>
      <c r="J29" s="40">
        <v>0.23</v>
      </c>
      <c r="K29" s="40">
        <v>203.28</v>
      </c>
      <c r="L29" s="40">
        <v>16.489999999999998</v>
      </c>
      <c r="M29" s="40">
        <v>73.650000000000006</v>
      </c>
      <c r="N29" s="40">
        <v>1.5</v>
      </c>
      <c r="O29" s="40">
        <v>0</v>
      </c>
      <c r="P29" s="40">
        <v>1.04</v>
      </c>
      <c r="Q29" s="27" t="s">
        <v>8</v>
      </c>
      <c r="R29" s="38"/>
      <c r="S29" s="38"/>
      <c r="T29" s="38"/>
      <c r="U29" s="38"/>
    </row>
    <row r="30" spans="1:21" customFormat="1">
      <c r="A30" s="39" t="s">
        <v>274</v>
      </c>
      <c r="B30" s="40">
        <v>14.91</v>
      </c>
      <c r="C30" s="40">
        <v>29.32</v>
      </c>
      <c r="D30" s="40">
        <v>28.63</v>
      </c>
      <c r="E30" s="40">
        <v>9.81</v>
      </c>
      <c r="F30" s="42">
        <v>4.82</v>
      </c>
      <c r="G30" s="40">
        <v>120.29</v>
      </c>
      <c r="H30" s="40">
        <v>26.72</v>
      </c>
      <c r="I30" s="40">
        <v>14.45</v>
      </c>
      <c r="J30" s="40">
        <v>0.17</v>
      </c>
      <c r="K30" s="40">
        <v>184.32</v>
      </c>
      <c r="L30" s="40">
        <v>14.72</v>
      </c>
      <c r="M30" s="40">
        <v>79.44</v>
      </c>
      <c r="N30" s="40">
        <v>1.3</v>
      </c>
      <c r="O30" s="40">
        <v>0</v>
      </c>
      <c r="P30" s="40">
        <v>1.1100000000000001</v>
      </c>
      <c r="Q30" s="27" t="s">
        <v>8</v>
      </c>
      <c r="R30" s="38"/>
      <c r="S30" s="38"/>
      <c r="T30" s="38"/>
      <c r="U30" s="38"/>
    </row>
    <row r="31" spans="1:21" customFormat="1">
      <c r="A31" s="39" t="s">
        <v>275</v>
      </c>
      <c r="B31" s="40">
        <v>13.3</v>
      </c>
      <c r="C31" s="40">
        <v>26.69</v>
      </c>
      <c r="D31" s="40">
        <v>25.96</v>
      </c>
      <c r="E31" s="40">
        <v>9.48</v>
      </c>
      <c r="F31" s="42">
        <v>4.58</v>
      </c>
      <c r="G31" s="40">
        <v>115.01</v>
      </c>
      <c r="H31" s="40">
        <v>30.24</v>
      </c>
      <c r="I31" s="40">
        <v>14.68</v>
      </c>
      <c r="J31" s="40">
        <v>0.21</v>
      </c>
      <c r="K31" s="40">
        <v>218.72</v>
      </c>
      <c r="L31" s="40">
        <v>14.11</v>
      </c>
      <c r="M31" s="40">
        <v>77.11</v>
      </c>
      <c r="N31" s="40">
        <v>1.1000000000000001</v>
      </c>
      <c r="O31" s="40">
        <v>0</v>
      </c>
      <c r="P31" s="40">
        <v>1.1200000000000001</v>
      </c>
      <c r="Q31" s="27" t="s">
        <v>8</v>
      </c>
      <c r="R31" s="38"/>
      <c r="S31" s="38"/>
      <c r="T31" s="38"/>
      <c r="U31" s="38"/>
    </row>
    <row r="32" spans="1:21" customFormat="1">
      <c r="A32" s="39" t="s">
        <v>276</v>
      </c>
      <c r="B32" s="40">
        <v>26.17</v>
      </c>
      <c r="C32" s="40">
        <v>27.22</v>
      </c>
      <c r="D32" s="40">
        <v>36.56</v>
      </c>
      <c r="E32" s="40">
        <v>9.65</v>
      </c>
      <c r="F32" s="42">
        <v>4.57</v>
      </c>
      <c r="G32" s="40">
        <v>119.59</v>
      </c>
      <c r="H32" s="40">
        <v>33.619999999999997</v>
      </c>
      <c r="I32" s="40">
        <v>14.7</v>
      </c>
      <c r="J32" s="40">
        <v>0.24</v>
      </c>
      <c r="K32" s="40">
        <v>163.01</v>
      </c>
      <c r="L32" s="40">
        <v>13.95</v>
      </c>
      <c r="M32" s="40">
        <v>79.89</v>
      </c>
      <c r="N32" s="40">
        <v>1.3</v>
      </c>
      <c r="O32" s="40">
        <v>0</v>
      </c>
      <c r="P32" s="40">
        <v>1.19</v>
      </c>
      <c r="Q32" s="27" t="s">
        <v>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4.41</v>
      </c>
      <c r="C34" s="18">
        <f t="shared" si="0"/>
        <v>22.96</v>
      </c>
      <c r="D34" s="18">
        <f t="shared" si="0"/>
        <v>16.89</v>
      </c>
      <c r="E34" s="18">
        <f t="shared" si="0"/>
        <v>6.48</v>
      </c>
      <c r="F34" s="18">
        <f t="shared" si="0"/>
        <v>4.45</v>
      </c>
      <c r="G34" s="18">
        <f t="shared" si="0"/>
        <v>43.37</v>
      </c>
      <c r="H34" s="18">
        <f t="shared" si="0"/>
        <v>19.059999999999999</v>
      </c>
      <c r="I34" s="18">
        <f t="shared" si="0"/>
        <v>9.11</v>
      </c>
      <c r="J34" s="18">
        <f t="shared" si="0"/>
        <v>0.15</v>
      </c>
      <c r="K34" s="18">
        <f t="shared" si="0"/>
        <v>63.58</v>
      </c>
      <c r="L34" s="18">
        <f t="shared" si="0"/>
        <v>11.36</v>
      </c>
      <c r="M34" s="18">
        <f t="shared" si="0"/>
        <v>22.04</v>
      </c>
      <c r="N34" s="18">
        <f t="shared" si="0"/>
        <v>1</v>
      </c>
      <c r="O34" s="18">
        <f t="shared" si="0"/>
        <v>0</v>
      </c>
      <c r="P34" s="18">
        <f t="shared" si="0"/>
        <v>0.63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46.14</v>
      </c>
      <c r="C35" s="3">
        <f t="shared" si="1"/>
        <v>30.6</v>
      </c>
      <c r="D35" s="3">
        <f t="shared" si="1"/>
        <v>51.68</v>
      </c>
      <c r="E35" s="3">
        <f t="shared" si="1"/>
        <v>11.18</v>
      </c>
      <c r="F35" s="3">
        <f t="shared" si="1"/>
        <v>8.16</v>
      </c>
      <c r="G35" s="3">
        <f t="shared" si="1"/>
        <v>203.78</v>
      </c>
      <c r="H35" s="3">
        <f t="shared" si="1"/>
        <v>37.33</v>
      </c>
      <c r="I35" s="3">
        <f t="shared" si="1"/>
        <v>17.5</v>
      </c>
      <c r="J35" s="3">
        <f t="shared" si="1"/>
        <v>1.06</v>
      </c>
      <c r="K35" s="3">
        <f t="shared" si="1"/>
        <v>218.72</v>
      </c>
      <c r="L35" s="3">
        <f t="shared" si="1"/>
        <v>26.74</v>
      </c>
      <c r="M35" s="3">
        <f t="shared" si="1"/>
        <v>91.08</v>
      </c>
      <c r="N35" s="3">
        <f t="shared" si="1"/>
        <v>496.8</v>
      </c>
      <c r="O35" s="3">
        <f t="shared" si="1"/>
        <v>0</v>
      </c>
      <c r="P35" s="3">
        <f t="shared" si="1"/>
        <v>1.38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24.022499999999994</v>
      </c>
      <c r="C36" s="18">
        <f t="shared" si="2"/>
        <v>26.760416666666668</v>
      </c>
      <c r="D36" s="18">
        <f t="shared" si="2"/>
        <v>34.479166666666664</v>
      </c>
      <c r="E36" s="18">
        <f t="shared" si="2"/>
        <v>9.1462500000000002</v>
      </c>
      <c r="F36" s="18">
        <f t="shared" si="2"/>
        <v>5.3429166666666665</v>
      </c>
      <c r="G36" s="18">
        <f t="shared" si="2"/>
        <v>101.90750000000001</v>
      </c>
      <c r="H36" s="18">
        <f t="shared" si="2"/>
        <v>28.465416666666666</v>
      </c>
      <c r="I36" s="18">
        <f t="shared" si="2"/>
        <v>14.01</v>
      </c>
      <c r="J36" s="18">
        <f t="shared" si="2"/>
        <v>0.40458333333333329</v>
      </c>
      <c r="K36" s="18">
        <f t="shared" si="2"/>
        <v>149.35416666666666</v>
      </c>
      <c r="L36" s="18">
        <f t="shared" si="2"/>
        <v>18.10541666666667</v>
      </c>
      <c r="M36" s="18">
        <f t="shared" si="2"/>
        <v>61.220000000000006</v>
      </c>
      <c r="N36" s="18">
        <f t="shared" si="2"/>
        <v>115.47916666666669</v>
      </c>
      <c r="O36" s="18">
        <f t="shared" si="2"/>
        <v>0</v>
      </c>
      <c r="P36" s="18">
        <f t="shared" si="2"/>
        <v>1.0516666666666667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14.29932629911969</v>
      </c>
      <c r="C37" s="18">
        <f t="shared" ref="C37:Q37" si="3">STDEV(C9:C32)</f>
        <v>2.3311640666836602</v>
      </c>
      <c r="D37" s="18">
        <f t="shared" si="3"/>
        <v>11.506403100832193</v>
      </c>
      <c r="E37" s="18">
        <f t="shared" si="3"/>
        <v>1.6416820973305517</v>
      </c>
      <c r="F37" s="18">
        <f t="shared" si="3"/>
        <v>1.1224177288207</v>
      </c>
      <c r="G37" s="18">
        <f t="shared" si="3"/>
        <v>39.55628694602818</v>
      </c>
      <c r="H37" s="18">
        <f t="shared" si="3"/>
        <v>5.3796516609120673</v>
      </c>
      <c r="I37" s="18">
        <f t="shared" si="3"/>
        <v>2.4992155290949962</v>
      </c>
      <c r="J37" s="18">
        <f t="shared" si="3"/>
        <v>0.24801786693470423</v>
      </c>
      <c r="K37" s="18">
        <f t="shared" si="3"/>
        <v>54.555250408200372</v>
      </c>
      <c r="L37" s="18">
        <f t="shared" si="3"/>
        <v>5.6731365292675635</v>
      </c>
      <c r="M37" s="18">
        <f t="shared" si="3"/>
        <v>25.420981064090906</v>
      </c>
      <c r="N37" s="18">
        <f t="shared" si="3"/>
        <v>183.61803685952239</v>
      </c>
      <c r="O37" s="18">
        <f t="shared" si="3"/>
        <v>0</v>
      </c>
      <c r="P37" s="18">
        <f t="shared" si="3"/>
        <v>0.21714885030413072</v>
      </c>
      <c r="Q37" s="18" t="e">
        <f t="shared" si="3"/>
        <v>#DIV/0!</v>
      </c>
      <c r="R37" s="18"/>
      <c r="S37" s="18"/>
      <c r="T37" s="18"/>
      <c r="U37" s="18"/>
    </row>
    <row r="38" spans="1:21">
      <c r="A38" s="34" t="s">
        <v>52</v>
      </c>
      <c r="B38" s="34">
        <f t="shared" ref="B38:P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>COUNT(Q9:Q32)+24</f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96"/>
  <sheetViews>
    <sheetView zoomScale="85" zoomScaleNormal="85" workbookViewId="0">
      <pane xSplit="2" ySplit="8" topLeftCell="C22" activePane="bottomRight" state="frozen"/>
      <selection activeCell="G19" sqref="G19"/>
      <selection pane="topRight" activeCell="G19" sqref="G19"/>
      <selection pane="bottomLeft" activeCell="G19" sqref="G19"/>
      <selection pane="bottomRight" activeCell="J30" sqref="J30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10/01/2025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277</v>
      </c>
      <c r="B9" s="40">
        <v>39.53</v>
      </c>
      <c r="C9" s="40">
        <v>28.26</v>
      </c>
      <c r="D9" s="40">
        <v>47.63</v>
      </c>
      <c r="E9" s="40">
        <v>9.89</v>
      </c>
      <c r="F9" s="42">
        <v>4.6399999999999997</v>
      </c>
      <c r="G9" s="40">
        <v>146.88999999999999</v>
      </c>
      <c r="H9" s="40">
        <v>35.79</v>
      </c>
      <c r="I9" s="40">
        <v>15.54</v>
      </c>
      <c r="J9" s="40">
        <v>0.14000000000000001</v>
      </c>
      <c r="K9" s="40">
        <v>213.15</v>
      </c>
      <c r="L9" s="40">
        <v>13.6</v>
      </c>
      <c r="M9" s="40">
        <v>83.6</v>
      </c>
      <c r="N9" s="40">
        <v>1.4</v>
      </c>
      <c r="O9" s="40">
        <v>0</v>
      </c>
      <c r="P9" s="40">
        <v>1.26</v>
      </c>
      <c r="Q9" s="28" t="s">
        <v>15</v>
      </c>
      <c r="R9" s="38"/>
      <c r="S9" s="38"/>
      <c r="T9" s="38"/>
      <c r="U9" s="38"/>
    </row>
    <row r="10" spans="1:21" customFormat="1">
      <c r="A10" s="39" t="s">
        <v>278</v>
      </c>
      <c r="B10" s="40">
        <v>43</v>
      </c>
      <c r="C10" s="40">
        <v>27.73</v>
      </c>
      <c r="D10" s="40">
        <v>49.93</v>
      </c>
      <c r="E10" s="40">
        <v>10.06</v>
      </c>
      <c r="F10" s="42">
        <v>4.57</v>
      </c>
      <c r="G10" s="40">
        <v>134.05000000000001</v>
      </c>
      <c r="H10" s="40">
        <v>37.520000000000003</v>
      </c>
      <c r="I10" s="40">
        <v>16.23</v>
      </c>
      <c r="J10" s="40">
        <v>0.28000000000000003</v>
      </c>
      <c r="K10" s="40">
        <v>190.22</v>
      </c>
      <c r="L10" s="40">
        <v>12.85</v>
      </c>
      <c r="M10" s="40">
        <v>86.86</v>
      </c>
      <c r="N10" s="40">
        <v>1.4</v>
      </c>
      <c r="O10" s="40">
        <v>0</v>
      </c>
      <c r="P10" s="40">
        <v>1.25</v>
      </c>
      <c r="Q10" s="28" t="s">
        <v>15</v>
      </c>
      <c r="R10" s="38"/>
      <c r="S10" s="38"/>
      <c r="T10" s="38"/>
      <c r="U10" s="38"/>
    </row>
    <row r="11" spans="1:21" customFormat="1">
      <c r="A11" s="39" t="s">
        <v>279</v>
      </c>
      <c r="B11" s="40">
        <v>56.07</v>
      </c>
      <c r="C11" s="40">
        <v>28.38</v>
      </c>
      <c r="D11" s="40">
        <v>61.14</v>
      </c>
      <c r="E11" s="40">
        <v>10.050000000000001</v>
      </c>
      <c r="F11" s="42">
        <v>4.57</v>
      </c>
      <c r="G11" s="40">
        <v>120.51</v>
      </c>
      <c r="H11" s="40">
        <v>34.200000000000003</v>
      </c>
      <c r="I11" s="40">
        <v>16.84</v>
      </c>
      <c r="J11" s="40">
        <v>0.16</v>
      </c>
      <c r="K11" s="40">
        <v>183.74</v>
      </c>
      <c r="L11" s="40">
        <v>12.87</v>
      </c>
      <c r="M11" s="40">
        <v>80.75</v>
      </c>
      <c r="N11" s="40">
        <v>1</v>
      </c>
      <c r="O11" s="40">
        <v>0</v>
      </c>
      <c r="P11" s="40">
        <v>1.24</v>
      </c>
      <c r="Q11" s="28" t="s">
        <v>15</v>
      </c>
      <c r="R11" s="38"/>
      <c r="S11" s="38"/>
      <c r="T11" s="38"/>
      <c r="U11" s="38"/>
    </row>
    <row r="12" spans="1:21" customFormat="1">
      <c r="A12" s="39" t="s">
        <v>280</v>
      </c>
      <c r="B12" s="40">
        <v>57.37</v>
      </c>
      <c r="C12" s="40">
        <v>28.41</v>
      </c>
      <c r="D12" s="40">
        <v>61.98</v>
      </c>
      <c r="E12" s="40">
        <v>10.07</v>
      </c>
      <c r="F12" s="42">
        <v>4.72</v>
      </c>
      <c r="G12" s="40">
        <v>123.06</v>
      </c>
      <c r="H12" s="40">
        <v>36.1</v>
      </c>
      <c r="I12" s="40">
        <v>17.55</v>
      </c>
      <c r="J12" s="40">
        <v>0.17</v>
      </c>
      <c r="K12" s="40">
        <v>182.55</v>
      </c>
      <c r="L12" s="40">
        <v>12.96</v>
      </c>
      <c r="M12" s="40">
        <v>83.52</v>
      </c>
      <c r="N12" s="40">
        <v>1.2</v>
      </c>
      <c r="O12" s="40">
        <v>0</v>
      </c>
      <c r="P12" s="40">
        <v>1.26</v>
      </c>
      <c r="Q12" s="28" t="s">
        <v>15</v>
      </c>
      <c r="R12" s="38"/>
      <c r="S12" s="38"/>
      <c r="T12" s="38"/>
      <c r="U12" s="38"/>
    </row>
    <row r="13" spans="1:21" customFormat="1">
      <c r="A13" s="39" t="s">
        <v>281</v>
      </c>
      <c r="B13" s="40">
        <v>54.71</v>
      </c>
      <c r="C13" s="40">
        <v>27.67</v>
      </c>
      <c r="D13" s="40">
        <v>59.68</v>
      </c>
      <c r="E13" s="40">
        <v>9.6199999999999992</v>
      </c>
      <c r="F13" s="42">
        <v>4.3899999999999997</v>
      </c>
      <c r="G13" s="40">
        <v>120.61</v>
      </c>
      <c r="H13" s="40">
        <v>39.79</v>
      </c>
      <c r="I13" s="40">
        <v>18</v>
      </c>
      <c r="J13" s="40">
        <v>0.28999999999999998</v>
      </c>
      <c r="K13" s="40">
        <v>198</v>
      </c>
      <c r="L13" s="40">
        <v>12.03</v>
      </c>
      <c r="M13" s="40">
        <v>88.09</v>
      </c>
      <c r="N13" s="40">
        <v>1.8</v>
      </c>
      <c r="O13" s="40">
        <v>0</v>
      </c>
      <c r="P13" s="40">
        <v>1.26</v>
      </c>
      <c r="Q13" s="28" t="s">
        <v>15</v>
      </c>
      <c r="R13" s="38"/>
      <c r="S13" s="38"/>
      <c r="T13" s="38"/>
      <c r="U13" s="38"/>
    </row>
    <row r="14" spans="1:21" customFormat="1">
      <c r="A14" s="39" t="s">
        <v>282</v>
      </c>
      <c r="B14" s="40">
        <v>51.77</v>
      </c>
      <c r="C14" s="40">
        <v>26.71</v>
      </c>
      <c r="D14" s="40">
        <v>56.82</v>
      </c>
      <c r="E14" s="40">
        <v>9.56</v>
      </c>
      <c r="F14" s="42">
        <v>4.66</v>
      </c>
      <c r="G14" s="40">
        <v>119.68</v>
      </c>
      <c r="H14" s="40">
        <v>37.83</v>
      </c>
      <c r="I14" s="40">
        <v>18.07</v>
      </c>
      <c r="J14" s="40">
        <v>0.26</v>
      </c>
      <c r="K14" s="40">
        <v>206.28</v>
      </c>
      <c r="L14" s="40">
        <v>11.31</v>
      </c>
      <c r="M14" s="40">
        <v>86.58</v>
      </c>
      <c r="N14" s="40">
        <v>1.1000000000000001</v>
      </c>
      <c r="O14" s="40">
        <v>0</v>
      </c>
      <c r="P14" s="40">
        <v>1.23</v>
      </c>
      <c r="Q14" s="28" t="s">
        <v>15</v>
      </c>
      <c r="R14" s="38"/>
      <c r="S14" s="38"/>
      <c r="T14" s="38"/>
      <c r="U14" s="38"/>
    </row>
    <row r="15" spans="1:21" customFormat="1">
      <c r="A15" s="39" t="s">
        <v>283</v>
      </c>
      <c r="B15" s="40">
        <v>52.33</v>
      </c>
      <c r="C15" s="40">
        <v>26.4</v>
      </c>
      <c r="D15" s="40">
        <v>57.11</v>
      </c>
      <c r="E15" s="40">
        <v>9.65</v>
      </c>
      <c r="F15" s="42">
        <v>4.53</v>
      </c>
      <c r="G15" s="40">
        <v>116.76</v>
      </c>
      <c r="H15" s="40">
        <v>37.47</v>
      </c>
      <c r="I15" s="40">
        <v>17.54</v>
      </c>
      <c r="J15" s="40">
        <v>0.21</v>
      </c>
      <c r="K15" s="40">
        <v>216.74</v>
      </c>
      <c r="L15" s="40">
        <v>10.6</v>
      </c>
      <c r="M15" s="40">
        <v>93</v>
      </c>
      <c r="N15" s="40">
        <v>12</v>
      </c>
      <c r="O15" s="40">
        <v>0</v>
      </c>
      <c r="P15" s="40">
        <v>1.25</v>
      </c>
      <c r="Q15" s="28" t="s">
        <v>15</v>
      </c>
      <c r="R15" s="38"/>
      <c r="S15" s="38"/>
      <c r="T15" s="38"/>
      <c r="U15" s="38"/>
    </row>
    <row r="16" spans="1:21" customFormat="1">
      <c r="A16" s="39" t="s">
        <v>284</v>
      </c>
      <c r="B16" s="40">
        <v>47.18</v>
      </c>
      <c r="C16" s="40">
        <v>25.87</v>
      </c>
      <c r="D16" s="40">
        <v>52.47</v>
      </c>
      <c r="E16" s="40">
        <v>9.4600000000000009</v>
      </c>
      <c r="F16" s="42">
        <v>4.4400000000000004</v>
      </c>
      <c r="G16" s="40">
        <v>104.63</v>
      </c>
      <c r="H16" s="40">
        <v>35.659999999999997</v>
      </c>
      <c r="I16" s="40">
        <v>17.48</v>
      </c>
      <c r="J16" s="40">
        <v>0.77</v>
      </c>
      <c r="K16" s="40">
        <v>147.02000000000001</v>
      </c>
      <c r="L16" s="40">
        <v>14.47</v>
      </c>
      <c r="M16" s="40">
        <v>93.81</v>
      </c>
      <c r="N16" s="40">
        <v>52.7</v>
      </c>
      <c r="O16" s="40">
        <v>0</v>
      </c>
      <c r="P16" s="40">
        <v>1.27</v>
      </c>
      <c r="Q16" s="28" t="s">
        <v>15</v>
      </c>
      <c r="R16" s="38"/>
      <c r="S16" s="38"/>
      <c r="T16" s="38"/>
      <c r="U16" s="38"/>
    </row>
    <row r="17" spans="1:21" customFormat="1">
      <c r="A17" s="39" t="s">
        <v>285</v>
      </c>
      <c r="B17" s="40">
        <v>45.15</v>
      </c>
      <c r="C17" s="40">
        <v>29.44</v>
      </c>
      <c r="D17" s="40">
        <v>51.77</v>
      </c>
      <c r="E17" s="40">
        <v>9.92</v>
      </c>
      <c r="F17" s="42">
        <v>4.72</v>
      </c>
      <c r="G17" s="40">
        <v>125.56</v>
      </c>
      <c r="H17" s="40">
        <v>33.86</v>
      </c>
      <c r="I17" s="40">
        <v>21.32</v>
      </c>
      <c r="J17" s="40">
        <v>0.85</v>
      </c>
      <c r="K17" s="40">
        <v>71.06</v>
      </c>
      <c r="L17" s="40">
        <v>18.600000000000001</v>
      </c>
      <c r="M17" s="40">
        <v>57.71</v>
      </c>
      <c r="N17" s="40">
        <v>277.2</v>
      </c>
      <c r="O17" s="40">
        <v>0</v>
      </c>
      <c r="P17" s="40">
        <v>1.28</v>
      </c>
      <c r="Q17" s="28" t="s">
        <v>15</v>
      </c>
      <c r="R17" s="38"/>
      <c r="S17" s="38"/>
      <c r="T17" s="38"/>
      <c r="U17" s="38"/>
    </row>
    <row r="18" spans="1:21" customFormat="1">
      <c r="A18" s="39" t="s">
        <v>286</v>
      </c>
      <c r="B18" s="40">
        <v>33.47</v>
      </c>
      <c r="C18" s="40">
        <v>29.75</v>
      </c>
      <c r="D18" s="40">
        <v>43.72</v>
      </c>
      <c r="E18" s="40">
        <v>10.16</v>
      </c>
      <c r="F18" s="42">
        <v>5.12</v>
      </c>
      <c r="G18" s="40">
        <v>123.3</v>
      </c>
      <c r="H18" s="40">
        <v>34.33</v>
      </c>
      <c r="I18" s="40">
        <v>21.43</v>
      </c>
      <c r="J18" s="40">
        <v>0.68</v>
      </c>
      <c r="K18" s="40">
        <v>88.83</v>
      </c>
      <c r="L18" s="40">
        <v>22.01</v>
      </c>
      <c r="M18" s="40">
        <v>46.19</v>
      </c>
      <c r="N18" s="40">
        <v>304.5</v>
      </c>
      <c r="O18" s="40">
        <v>0</v>
      </c>
      <c r="P18" s="40">
        <v>1.2</v>
      </c>
      <c r="Q18" s="28" t="s">
        <v>15</v>
      </c>
      <c r="R18" s="38"/>
      <c r="S18" s="38"/>
      <c r="T18" s="38"/>
      <c r="U18" s="38"/>
    </row>
    <row r="19" spans="1:21" customFormat="1">
      <c r="A19" s="39" t="s">
        <v>287</v>
      </c>
      <c r="B19" s="40">
        <v>24.82</v>
      </c>
      <c r="C19" s="40">
        <v>29.02</v>
      </c>
      <c r="D19" s="40">
        <v>36.42</v>
      </c>
      <c r="E19" s="40">
        <v>8.9700000000000006</v>
      </c>
      <c r="F19" s="42">
        <v>5.63</v>
      </c>
      <c r="G19" s="40">
        <v>113.36</v>
      </c>
      <c r="H19" s="40">
        <v>33.450000000000003</v>
      </c>
      <c r="I19" s="40">
        <v>19.88</v>
      </c>
      <c r="J19" s="40">
        <v>0.59</v>
      </c>
      <c r="K19" s="40">
        <v>125.98</v>
      </c>
      <c r="L19" s="40">
        <v>24.2</v>
      </c>
      <c r="M19" s="40">
        <v>37.97</v>
      </c>
      <c r="N19" s="40">
        <v>427.3</v>
      </c>
      <c r="O19" s="40">
        <v>0</v>
      </c>
      <c r="P19" s="40">
        <v>1.1299999999999999</v>
      </c>
      <c r="Q19" s="28" t="s">
        <v>15</v>
      </c>
      <c r="R19" s="38"/>
      <c r="S19" s="38"/>
      <c r="T19" s="38"/>
      <c r="U19" s="38"/>
    </row>
    <row r="20" spans="1:21" customFormat="1">
      <c r="A20" s="39" t="s">
        <v>288</v>
      </c>
      <c r="B20" s="40">
        <v>16.12</v>
      </c>
      <c r="C20" s="40">
        <v>31.69</v>
      </c>
      <c r="D20" s="40">
        <v>29.75</v>
      </c>
      <c r="E20" s="40">
        <v>9.11</v>
      </c>
      <c r="F20" s="42">
        <v>9.24</v>
      </c>
      <c r="G20" s="40">
        <v>96.86</v>
      </c>
      <c r="H20" s="40">
        <v>32.130000000000003</v>
      </c>
      <c r="I20" s="40">
        <v>18.18</v>
      </c>
      <c r="J20" s="40">
        <v>0.5</v>
      </c>
      <c r="K20" s="40">
        <v>118.81</v>
      </c>
      <c r="L20" s="40">
        <v>26.21</v>
      </c>
      <c r="M20" s="40">
        <v>31.62</v>
      </c>
      <c r="N20" s="40">
        <v>461</v>
      </c>
      <c r="O20" s="40">
        <v>0</v>
      </c>
      <c r="P20" s="40">
        <v>1</v>
      </c>
      <c r="Q20" s="28" t="s">
        <v>15</v>
      </c>
      <c r="R20" s="38"/>
      <c r="S20" s="38"/>
      <c r="T20" s="38"/>
      <c r="U20" s="38"/>
    </row>
    <row r="21" spans="1:21" customFormat="1">
      <c r="A21" s="39" t="s">
        <v>289</v>
      </c>
      <c r="B21" s="40">
        <v>6.25</v>
      </c>
      <c r="C21" s="40">
        <v>31.51</v>
      </c>
      <c r="D21" s="40">
        <v>22.83</v>
      </c>
      <c r="E21" s="40">
        <v>9.4600000000000009</v>
      </c>
      <c r="F21" s="42">
        <v>9.1</v>
      </c>
      <c r="G21" s="40">
        <v>82.44</v>
      </c>
      <c r="H21" s="40">
        <v>30.19</v>
      </c>
      <c r="I21" s="40">
        <v>16.010000000000002</v>
      </c>
      <c r="J21" s="40">
        <v>0.8</v>
      </c>
      <c r="K21" s="40">
        <v>60.02</v>
      </c>
      <c r="L21" s="40">
        <v>27.06</v>
      </c>
      <c r="M21" s="40">
        <v>24.92</v>
      </c>
      <c r="N21" s="40">
        <v>423.3</v>
      </c>
      <c r="O21" s="40">
        <v>0</v>
      </c>
      <c r="P21" s="40">
        <v>0.89</v>
      </c>
      <c r="Q21" s="28" t="s">
        <v>15</v>
      </c>
      <c r="R21" s="38"/>
      <c r="S21" s="38"/>
      <c r="T21" s="38"/>
      <c r="U21" s="38"/>
    </row>
    <row r="22" spans="1:21" customFormat="1">
      <c r="A22" s="39" t="s">
        <v>290</v>
      </c>
      <c r="B22" s="40">
        <v>4.2300000000000004</v>
      </c>
      <c r="C22" s="40">
        <v>28.39</v>
      </c>
      <c r="D22" s="40">
        <v>19.579999999999998</v>
      </c>
      <c r="E22" s="40">
        <v>9.6199999999999992</v>
      </c>
      <c r="F22" s="42">
        <v>10.37</v>
      </c>
      <c r="G22" s="40">
        <v>70.47</v>
      </c>
      <c r="H22" s="40">
        <v>28.79</v>
      </c>
      <c r="I22" s="40">
        <v>14.01</v>
      </c>
      <c r="J22" s="40">
        <v>0.42</v>
      </c>
      <c r="K22" s="40">
        <v>154.24</v>
      </c>
      <c r="L22" s="40">
        <v>27.67</v>
      </c>
      <c r="M22" s="40">
        <v>24.27</v>
      </c>
      <c r="N22" s="40">
        <v>428.9</v>
      </c>
      <c r="O22" s="40">
        <v>0</v>
      </c>
      <c r="P22" s="40">
        <v>0.8</v>
      </c>
      <c r="Q22" s="28" t="s">
        <v>15</v>
      </c>
      <c r="R22" s="38"/>
      <c r="S22" s="38"/>
      <c r="T22" s="38"/>
      <c r="U22" s="38"/>
    </row>
    <row r="23" spans="1:21" customFormat="1">
      <c r="A23" s="39" t="s">
        <v>291</v>
      </c>
      <c r="B23" s="40">
        <v>4.01</v>
      </c>
      <c r="C23" s="40">
        <v>25.22</v>
      </c>
      <c r="D23" s="40">
        <v>17.739999999999998</v>
      </c>
      <c r="E23" s="40">
        <v>9.74</v>
      </c>
      <c r="F23" s="42">
        <v>12.27</v>
      </c>
      <c r="G23" s="40">
        <v>59.72</v>
      </c>
      <c r="H23" s="40">
        <v>27.3</v>
      </c>
      <c r="I23" s="40">
        <v>12.41</v>
      </c>
      <c r="J23" s="40">
        <v>0.55000000000000004</v>
      </c>
      <c r="K23" s="40">
        <v>85.55</v>
      </c>
      <c r="L23" s="40">
        <v>27.13</v>
      </c>
      <c r="M23" s="40">
        <v>21.45</v>
      </c>
      <c r="N23" s="40">
        <v>115.3</v>
      </c>
      <c r="O23" s="40">
        <v>0</v>
      </c>
      <c r="P23" s="40">
        <v>0.71</v>
      </c>
      <c r="Q23" s="28" t="s">
        <v>15</v>
      </c>
      <c r="R23" s="38"/>
      <c r="S23" s="38"/>
      <c r="T23" s="38"/>
      <c r="U23" s="38"/>
    </row>
    <row r="24" spans="1:21" customFormat="1">
      <c r="A24" s="39" t="s">
        <v>292</v>
      </c>
      <c r="B24" s="40">
        <v>3.91</v>
      </c>
      <c r="C24" s="40">
        <v>23.23</v>
      </c>
      <c r="D24" s="40">
        <v>16.600000000000001</v>
      </c>
      <c r="E24" s="40">
        <v>10.25</v>
      </c>
      <c r="F24" s="42">
        <v>10.94</v>
      </c>
      <c r="G24" s="40">
        <v>55.37</v>
      </c>
      <c r="H24" s="40">
        <v>23.65</v>
      </c>
      <c r="I24" s="40">
        <v>10.9</v>
      </c>
      <c r="J24" s="40">
        <v>0.62</v>
      </c>
      <c r="K24" s="40">
        <v>104.41</v>
      </c>
      <c r="L24" s="40">
        <v>26.7</v>
      </c>
      <c r="M24" s="40">
        <v>23.39</v>
      </c>
      <c r="N24" s="40">
        <v>55.1</v>
      </c>
      <c r="O24" s="40">
        <v>0</v>
      </c>
      <c r="P24" s="40">
        <v>0.66</v>
      </c>
      <c r="Q24" s="28" t="s">
        <v>15</v>
      </c>
      <c r="R24" s="38"/>
      <c r="S24" s="38"/>
      <c r="T24" s="38"/>
      <c r="U24" s="38"/>
    </row>
    <row r="25" spans="1:21" customFormat="1">
      <c r="A25" s="39" t="s">
        <v>293</v>
      </c>
      <c r="B25" s="40">
        <v>4.4400000000000004</v>
      </c>
      <c r="C25" s="40">
        <v>22.3</v>
      </c>
      <c r="D25" s="40">
        <v>16.18</v>
      </c>
      <c r="E25" s="40">
        <v>9.65</v>
      </c>
      <c r="F25" s="42">
        <v>11.05</v>
      </c>
      <c r="G25" s="40">
        <v>53.75</v>
      </c>
      <c r="H25" s="40">
        <v>24.43</v>
      </c>
      <c r="I25" s="40">
        <v>9.73</v>
      </c>
      <c r="J25" s="40">
        <v>0.28999999999999998</v>
      </c>
      <c r="K25" s="40">
        <v>174.02</v>
      </c>
      <c r="L25" s="40">
        <v>25.74</v>
      </c>
      <c r="M25" s="40">
        <v>29.4</v>
      </c>
      <c r="N25" s="40">
        <v>30.9</v>
      </c>
      <c r="O25" s="40">
        <v>0</v>
      </c>
      <c r="P25" s="40">
        <v>0.67</v>
      </c>
      <c r="Q25" s="28" t="s">
        <v>15</v>
      </c>
      <c r="R25" s="38"/>
      <c r="S25" s="38"/>
      <c r="T25" s="38"/>
      <c r="U25" s="38"/>
    </row>
    <row r="26" spans="1:21" customFormat="1">
      <c r="A26" s="39" t="s">
        <v>294</v>
      </c>
      <c r="B26" s="40">
        <v>5.86</v>
      </c>
      <c r="C26" s="40">
        <v>23.01</v>
      </c>
      <c r="D26" s="40">
        <v>18.07</v>
      </c>
      <c r="E26" s="40">
        <v>9.19</v>
      </c>
      <c r="F26" s="42">
        <v>7.52</v>
      </c>
      <c r="G26" s="40">
        <v>61.83</v>
      </c>
      <c r="H26" s="40">
        <v>23.47</v>
      </c>
      <c r="I26" s="40">
        <v>9.2200000000000006</v>
      </c>
      <c r="J26" s="40">
        <v>0.26</v>
      </c>
      <c r="K26" s="40">
        <v>172.84</v>
      </c>
      <c r="L26" s="40">
        <v>22.98</v>
      </c>
      <c r="M26" s="40">
        <v>44.19</v>
      </c>
      <c r="N26" s="40">
        <v>7.9</v>
      </c>
      <c r="O26" s="40">
        <v>0</v>
      </c>
      <c r="P26" s="40">
        <v>0.71</v>
      </c>
      <c r="Q26" s="28" t="s">
        <v>15</v>
      </c>
      <c r="R26" s="38"/>
      <c r="S26" s="38"/>
      <c r="T26" s="38"/>
      <c r="U26" s="38"/>
    </row>
    <row r="27" spans="1:21" customFormat="1">
      <c r="A27" s="39" t="s">
        <v>295</v>
      </c>
      <c r="B27" s="40">
        <v>11.26</v>
      </c>
      <c r="C27" s="40">
        <v>27.71</v>
      </c>
      <c r="D27" s="40">
        <v>24.86</v>
      </c>
      <c r="E27" s="40">
        <v>10.31</v>
      </c>
      <c r="F27" s="42">
        <v>4.99</v>
      </c>
      <c r="G27" s="40">
        <v>94.66</v>
      </c>
      <c r="H27" s="40">
        <v>25.94</v>
      </c>
      <c r="I27" s="40">
        <v>9.69</v>
      </c>
      <c r="J27" s="40">
        <v>0.3</v>
      </c>
      <c r="K27" s="40">
        <v>171.92</v>
      </c>
      <c r="L27" s="40">
        <v>20.43</v>
      </c>
      <c r="M27" s="40">
        <v>58.37</v>
      </c>
      <c r="N27" s="40">
        <v>2</v>
      </c>
      <c r="O27" s="40">
        <v>0</v>
      </c>
      <c r="P27" s="40">
        <v>0.82</v>
      </c>
      <c r="Q27" s="28" t="s">
        <v>15</v>
      </c>
      <c r="R27" s="38"/>
      <c r="S27" s="38"/>
      <c r="T27" s="38"/>
      <c r="U27" s="38"/>
    </row>
    <row r="28" spans="1:21" customFormat="1">
      <c r="A28" s="39" t="s">
        <v>296</v>
      </c>
      <c r="B28" s="40">
        <v>11.91</v>
      </c>
      <c r="C28" s="40">
        <v>28.66</v>
      </c>
      <c r="D28" s="40">
        <v>25.8</v>
      </c>
      <c r="E28" s="40">
        <v>9.56</v>
      </c>
      <c r="F28" s="42">
        <v>4.72</v>
      </c>
      <c r="G28" s="40">
        <v>110.01</v>
      </c>
      <c r="H28" s="40">
        <v>28.24</v>
      </c>
      <c r="I28" s="40">
        <v>11.68</v>
      </c>
      <c r="J28" s="40">
        <v>0.28000000000000003</v>
      </c>
      <c r="K28" s="40">
        <v>190.15</v>
      </c>
      <c r="L28" s="40">
        <v>18.059999999999999</v>
      </c>
      <c r="M28" s="40">
        <v>66.44</v>
      </c>
      <c r="N28" s="40">
        <v>1.9</v>
      </c>
      <c r="O28" s="40">
        <v>0</v>
      </c>
      <c r="P28" s="40">
        <v>0.91</v>
      </c>
      <c r="Q28" s="28" t="s">
        <v>15</v>
      </c>
      <c r="R28" s="38"/>
      <c r="S28" s="38"/>
      <c r="T28" s="38"/>
      <c r="U28" s="38"/>
    </row>
    <row r="29" spans="1:21" customFormat="1">
      <c r="A29" s="39" t="s">
        <v>297</v>
      </c>
      <c r="B29" s="40">
        <v>17.97</v>
      </c>
      <c r="C29" s="40">
        <v>30.53</v>
      </c>
      <c r="D29" s="40">
        <v>31.71</v>
      </c>
      <c r="E29" s="40">
        <v>9.94</v>
      </c>
      <c r="F29" s="42">
        <v>4.5999999999999996</v>
      </c>
      <c r="G29" s="40">
        <v>122.12</v>
      </c>
      <c r="H29" s="40">
        <v>31.63</v>
      </c>
      <c r="I29" s="40">
        <v>12.36</v>
      </c>
      <c r="J29" s="40">
        <v>0.21</v>
      </c>
      <c r="K29" s="40">
        <v>194.79</v>
      </c>
      <c r="L29" s="40">
        <v>17.29</v>
      </c>
      <c r="M29" s="40">
        <v>69.97</v>
      </c>
      <c r="N29" s="40">
        <v>1.5</v>
      </c>
      <c r="O29" s="40">
        <v>0</v>
      </c>
      <c r="P29" s="40">
        <v>1.04</v>
      </c>
      <c r="Q29" s="28" t="s">
        <v>15</v>
      </c>
      <c r="R29" s="38"/>
      <c r="S29" s="38"/>
      <c r="T29" s="38"/>
      <c r="U29" s="38"/>
    </row>
    <row r="30" spans="1:21" customFormat="1">
      <c r="A30" s="39" t="s">
        <v>298</v>
      </c>
      <c r="B30" s="40">
        <v>22.78</v>
      </c>
      <c r="C30" s="40">
        <v>31.39</v>
      </c>
      <c r="D30" s="40">
        <v>36.020000000000003</v>
      </c>
      <c r="E30" s="40">
        <v>10</v>
      </c>
      <c r="F30" s="42">
        <v>4.47</v>
      </c>
      <c r="G30" s="40">
        <v>148.41999999999999</v>
      </c>
      <c r="H30" s="40">
        <v>33.83</v>
      </c>
      <c r="I30" s="40">
        <v>13.68</v>
      </c>
      <c r="J30" s="40">
        <v>0.26</v>
      </c>
      <c r="K30" s="40">
        <v>176.66</v>
      </c>
      <c r="L30" s="40">
        <v>16.239999999999998</v>
      </c>
      <c r="M30" s="40">
        <v>75.34</v>
      </c>
      <c r="N30" s="40">
        <v>1.4</v>
      </c>
      <c r="O30" s="40">
        <v>0</v>
      </c>
      <c r="P30" s="40">
        <v>1.0900000000000001</v>
      </c>
      <c r="Q30" s="28" t="s">
        <v>15</v>
      </c>
      <c r="R30" s="38"/>
      <c r="S30" s="38"/>
      <c r="T30" s="38"/>
      <c r="U30" s="38"/>
    </row>
    <row r="31" spans="1:21" customFormat="1">
      <c r="A31" s="39" t="s">
        <v>299</v>
      </c>
      <c r="B31" s="40">
        <v>25.41</v>
      </c>
      <c r="C31" s="40">
        <v>31.7</v>
      </c>
      <c r="D31" s="40">
        <v>38.28</v>
      </c>
      <c r="E31" s="40">
        <v>9.84</v>
      </c>
      <c r="F31" s="42">
        <v>4.3600000000000003</v>
      </c>
      <c r="G31" s="40">
        <v>148.41999999999999</v>
      </c>
      <c r="H31" s="40">
        <v>38.08</v>
      </c>
      <c r="I31" s="40">
        <v>14.84</v>
      </c>
      <c r="J31" s="40">
        <v>0.23</v>
      </c>
      <c r="K31" s="40">
        <v>199.34</v>
      </c>
      <c r="L31" s="40">
        <v>15.65</v>
      </c>
      <c r="M31" s="40">
        <v>79.92</v>
      </c>
      <c r="N31" s="40">
        <v>1.5</v>
      </c>
      <c r="O31" s="40">
        <v>0</v>
      </c>
      <c r="P31" s="40">
        <v>1.17</v>
      </c>
      <c r="Q31" s="28" t="s">
        <v>15</v>
      </c>
      <c r="R31" s="38"/>
      <c r="S31" s="38"/>
      <c r="T31" s="38"/>
      <c r="U31" s="38"/>
    </row>
    <row r="32" spans="1:21" customFormat="1">
      <c r="A32" s="39" t="s">
        <v>300</v>
      </c>
      <c r="B32" s="40">
        <v>24.52</v>
      </c>
      <c r="C32" s="40">
        <v>31.3</v>
      </c>
      <c r="D32" s="40">
        <v>37.36</v>
      </c>
      <c r="E32" s="40">
        <v>9.91</v>
      </c>
      <c r="F32" s="42">
        <v>4.33</v>
      </c>
      <c r="G32" s="40">
        <v>140.22999999999999</v>
      </c>
      <c r="H32" s="40">
        <v>39.869999999999997</v>
      </c>
      <c r="I32" s="40">
        <v>15.5</v>
      </c>
      <c r="J32" s="40">
        <v>0.21</v>
      </c>
      <c r="K32" s="40">
        <v>217.27</v>
      </c>
      <c r="L32" s="40">
        <v>14.87</v>
      </c>
      <c r="M32" s="40">
        <v>79.849999999999994</v>
      </c>
      <c r="N32" s="40">
        <v>1.4</v>
      </c>
      <c r="O32" s="40">
        <v>0</v>
      </c>
      <c r="P32" s="40">
        <v>1.18</v>
      </c>
      <c r="Q32" s="28" t="s">
        <v>15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3.91</v>
      </c>
      <c r="C34" s="18">
        <f t="shared" si="0"/>
        <v>22.3</v>
      </c>
      <c r="D34" s="18">
        <f t="shared" si="0"/>
        <v>16.18</v>
      </c>
      <c r="E34" s="18">
        <f t="shared" si="0"/>
        <v>8.9700000000000006</v>
      </c>
      <c r="F34" s="18">
        <f t="shared" si="0"/>
        <v>4.33</v>
      </c>
      <c r="G34" s="18">
        <f t="shared" si="0"/>
        <v>53.75</v>
      </c>
      <c r="H34" s="18">
        <f t="shared" si="0"/>
        <v>23.47</v>
      </c>
      <c r="I34" s="18">
        <f t="shared" si="0"/>
        <v>9.2200000000000006</v>
      </c>
      <c r="J34" s="18">
        <f t="shared" si="0"/>
        <v>0.14000000000000001</v>
      </c>
      <c r="K34" s="18">
        <f t="shared" si="0"/>
        <v>60.02</v>
      </c>
      <c r="L34" s="18">
        <f t="shared" si="0"/>
        <v>10.6</v>
      </c>
      <c r="M34" s="18">
        <f t="shared" si="0"/>
        <v>21.45</v>
      </c>
      <c r="N34" s="18">
        <f t="shared" si="0"/>
        <v>1</v>
      </c>
      <c r="O34" s="18">
        <f t="shared" si="0"/>
        <v>0</v>
      </c>
      <c r="P34" s="18">
        <f t="shared" si="0"/>
        <v>0.66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57.37</v>
      </c>
      <c r="C35" s="3">
        <f t="shared" si="1"/>
        <v>31.7</v>
      </c>
      <c r="D35" s="3">
        <f t="shared" si="1"/>
        <v>61.98</v>
      </c>
      <c r="E35" s="3">
        <f t="shared" si="1"/>
        <v>10.31</v>
      </c>
      <c r="F35" s="3">
        <f t="shared" si="1"/>
        <v>12.27</v>
      </c>
      <c r="G35" s="3">
        <f t="shared" si="1"/>
        <v>148.41999999999999</v>
      </c>
      <c r="H35" s="3">
        <f t="shared" si="1"/>
        <v>39.869999999999997</v>
      </c>
      <c r="I35" s="3">
        <f t="shared" si="1"/>
        <v>21.43</v>
      </c>
      <c r="J35" s="3">
        <f t="shared" si="1"/>
        <v>0.85</v>
      </c>
      <c r="K35" s="3">
        <f t="shared" si="1"/>
        <v>217.27</v>
      </c>
      <c r="L35" s="3">
        <f t="shared" si="1"/>
        <v>27.67</v>
      </c>
      <c r="M35" s="3">
        <f t="shared" si="1"/>
        <v>93.81</v>
      </c>
      <c r="N35" s="3">
        <f t="shared" si="1"/>
        <v>461</v>
      </c>
      <c r="O35" s="3">
        <f t="shared" si="1"/>
        <v>0</v>
      </c>
      <c r="P35" s="3">
        <f t="shared" si="1"/>
        <v>1.28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27.669583333333325</v>
      </c>
      <c r="C36" s="18">
        <f t="shared" si="2"/>
        <v>28.094999999999995</v>
      </c>
      <c r="D36" s="18">
        <f t="shared" si="2"/>
        <v>38.060416666666669</v>
      </c>
      <c r="E36" s="18">
        <f t="shared" si="2"/>
        <v>9.7495833333333355</v>
      </c>
      <c r="F36" s="18">
        <f t="shared" si="2"/>
        <v>6.2479166666666677</v>
      </c>
      <c r="G36" s="18">
        <f t="shared" si="2"/>
        <v>108.02958333333333</v>
      </c>
      <c r="H36" s="18">
        <f t="shared" si="2"/>
        <v>32.647916666666667</v>
      </c>
      <c r="I36" s="18">
        <f t="shared" si="2"/>
        <v>15.337083333333332</v>
      </c>
      <c r="J36" s="18">
        <f t="shared" si="2"/>
        <v>0.3887500000000001</v>
      </c>
      <c r="K36" s="18">
        <f t="shared" si="2"/>
        <v>160.14958333333334</v>
      </c>
      <c r="L36" s="18">
        <f t="shared" si="2"/>
        <v>18.813750000000002</v>
      </c>
      <c r="M36" s="18">
        <f t="shared" si="2"/>
        <v>61.133749999999992</v>
      </c>
      <c r="N36" s="18">
        <f t="shared" si="2"/>
        <v>108.90416666666668</v>
      </c>
      <c r="O36" s="18">
        <f t="shared" si="2"/>
        <v>0</v>
      </c>
      <c r="P36" s="18">
        <f t="shared" si="2"/>
        <v>1.0533333333333335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19.386628399193249</v>
      </c>
      <c r="C37" s="18">
        <f t="shared" ref="C37:Q37" si="3">STDEV(C9:C32)</f>
        <v>2.7365099956919106</v>
      </c>
      <c r="D37" s="18">
        <f t="shared" si="3"/>
        <v>15.761530625067071</v>
      </c>
      <c r="E37" s="18">
        <f t="shared" si="3"/>
        <v>0.35058310639954354</v>
      </c>
      <c r="F37" s="18">
        <f t="shared" si="3"/>
        <v>2.6441600608768425</v>
      </c>
      <c r="G37" s="18">
        <f t="shared" si="3"/>
        <v>29.911635147717117</v>
      </c>
      <c r="H37" s="18">
        <f t="shared" si="3"/>
        <v>5.0824317862927098</v>
      </c>
      <c r="I37" s="18">
        <f t="shared" si="3"/>
        <v>3.5515599501782584</v>
      </c>
      <c r="J37" s="18">
        <f t="shared" si="3"/>
        <v>0.22158151900647621</v>
      </c>
      <c r="K37" s="18">
        <f t="shared" si="3"/>
        <v>48.455757990434236</v>
      </c>
      <c r="L37" s="18">
        <f t="shared" si="3"/>
        <v>5.8821305017085859</v>
      </c>
      <c r="M37" s="18">
        <f t="shared" si="3"/>
        <v>25.652625225856756</v>
      </c>
      <c r="N37" s="18">
        <f t="shared" si="3"/>
        <v>169.84098823968222</v>
      </c>
      <c r="O37" s="18">
        <f t="shared" si="3"/>
        <v>0</v>
      </c>
      <c r="P37" s="18">
        <f t="shared" si="3"/>
        <v>0.22209803293114488</v>
      </c>
      <c r="Q37" s="18" t="e">
        <f t="shared" si="3"/>
        <v>#DIV/0!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0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LESS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96"/>
  <sheetViews>
    <sheetView zoomScale="85" zoomScaleNormal="85" workbookViewId="0">
      <pane xSplit="2" ySplit="8" topLeftCell="C21" activePane="bottomRight" state="frozen"/>
      <selection activeCell="G19" sqref="G19"/>
      <selection pane="topRight" activeCell="G19" sqref="G19"/>
      <selection pane="bottomLeft" activeCell="G19" sqref="G19"/>
      <selection pane="bottomRight" activeCell="K28" sqref="K28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 ht="25.5" customHeight="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11/01/2025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301</v>
      </c>
      <c r="B9" s="40">
        <v>23.79</v>
      </c>
      <c r="C9" s="40">
        <v>30.8</v>
      </c>
      <c r="D9" s="40">
        <v>36.520000000000003</v>
      </c>
      <c r="E9" s="40">
        <v>9.65</v>
      </c>
      <c r="F9" s="42">
        <v>4.55</v>
      </c>
      <c r="G9" s="40">
        <v>140.22999999999999</v>
      </c>
      <c r="H9" s="40">
        <v>41.44</v>
      </c>
      <c r="I9" s="40">
        <v>15.72</v>
      </c>
      <c r="J9" s="40">
        <v>0.19</v>
      </c>
      <c r="K9" s="40">
        <v>204.95</v>
      </c>
      <c r="L9" s="40">
        <v>13.97</v>
      </c>
      <c r="M9" s="40">
        <v>84.11</v>
      </c>
      <c r="N9" s="40">
        <v>1.4</v>
      </c>
      <c r="O9" s="40">
        <v>0</v>
      </c>
      <c r="P9" s="40">
        <v>1.18</v>
      </c>
      <c r="Q9" s="28" t="s">
        <v>15</v>
      </c>
      <c r="R9" s="38"/>
      <c r="S9" s="38"/>
      <c r="T9" s="38"/>
      <c r="U9" s="38"/>
    </row>
    <row r="10" spans="1:21" customFormat="1">
      <c r="A10" s="39" t="s">
        <v>302</v>
      </c>
      <c r="B10" s="40">
        <v>25.94</v>
      </c>
      <c r="C10" s="40">
        <v>29.78</v>
      </c>
      <c r="D10" s="40">
        <v>37.71</v>
      </c>
      <c r="E10" s="40">
        <v>9.93</v>
      </c>
      <c r="F10" s="42">
        <v>4.5199999999999996</v>
      </c>
      <c r="G10" s="40">
        <v>124.16</v>
      </c>
      <c r="H10" s="40">
        <v>40.82</v>
      </c>
      <c r="I10" s="40">
        <v>15.49</v>
      </c>
      <c r="J10" s="40">
        <v>0.18</v>
      </c>
      <c r="K10" s="40">
        <v>201.45</v>
      </c>
      <c r="L10" s="40">
        <v>13.78</v>
      </c>
      <c r="M10" s="40">
        <v>82.21</v>
      </c>
      <c r="N10" s="40">
        <v>1.3</v>
      </c>
      <c r="O10" s="40">
        <v>0</v>
      </c>
      <c r="P10" s="40">
        <v>1.18</v>
      </c>
      <c r="Q10" s="28" t="s">
        <v>15</v>
      </c>
      <c r="R10" s="38"/>
      <c r="S10" s="38"/>
      <c r="T10" s="38"/>
      <c r="U10" s="38"/>
    </row>
    <row r="11" spans="1:21" customFormat="1">
      <c r="A11" s="39" t="s">
        <v>303</v>
      </c>
      <c r="B11" s="40">
        <v>36.880000000000003</v>
      </c>
      <c r="C11" s="40">
        <v>30.94</v>
      </c>
      <c r="D11" s="40">
        <v>46.97</v>
      </c>
      <c r="E11" s="40">
        <v>8.86</v>
      </c>
      <c r="F11" s="42">
        <v>4.53</v>
      </c>
      <c r="G11" s="40">
        <v>117.99</v>
      </c>
      <c r="H11" s="40">
        <v>38.9</v>
      </c>
      <c r="I11" s="40">
        <v>15.29</v>
      </c>
      <c r="J11" s="40">
        <v>0.24</v>
      </c>
      <c r="K11" s="40">
        <v>244.04</v>
      </c>
      <c r="L11" s="40">
        <v>13.26</v>
      </c>
      <c r="M11" s="40">
        <v>85.96</v>
      </c>
      <c r="N11" s="40">
        <v>1.6</v>
      </c>
      <c r="O11" s="40">
        <v>0</v>
      </c>
      <c r="P11" s="40">
        <v>1.22</v>
      </c>
      <c r="Q11" s="28" t="s">
        <v>15</v>
      </c>
      <c r="R11" s="38"/>
      <c r="S11" s="38"/>
      <c r="T11" s="38"/>
      <c r="U11" s="38"/>
    </row>
    <row r="12" spans="1:21" customFormat="1">
      <c r="A12" s="39" t="s">
        <v>304</v>
      </c>
      <c r="B12" s="40">
        <v>42</v>
      </c>
      <c r="C12" s="40">
        <v>30.49</v>
      </c>
      <c r="D12" s="40">
        <v>50.73</v>
      </c>
      <c r="E12" s="40">
        <v>8.61</v>
      </c>
      <c r="F12" s="42">
        <v>4.4800000000000004</v>
      </c>
      <c r="G12" s="40">
        <v>111</v>
      </c>
      <c r="H12" s="40">
        <v>37.53</v>
      </c>
      <c r="I12" s="40">
        <v>15.08</v>
      </c>
      <c r="J12" s="40">
        <v>0.16</v>
      </c>
      <c r="K12" s="40">
        <v>200.18</v>
      </c>
      <c r="L12" s="40">
        <v>12.73</v>
      </c>
      <c r="M12" s="40">
        <v>91.07</v>
      </c>
      <c r="N12" s="40">
        <v>1.4</v>
      </c>
      <c r="O12" s="40">
        <v>0</v>
      </c>
      <c r="P12" s="40">
        <v>1.26</v>
      </c>
      <c r="Q12" s="28" t="s">
        <v>15</v>
      </c>
      <c r="R12" s="38"/>
      <c r="S12" s="38"/>
      <c r="T12" s="38"/>
      <c r="U12" s="38"/>
    </row>
    <row r="13" spans="1:21" customFormat="1">
      <c r="A13" s="39" t="s">
        <v>305</v>
      </c>
      <c r="B13" s="40">
        <v>41.68</v>
      </c>
      <c r="C13" s="40">
        <v>29.07</v>
      </c>
      <c r="D13" s="40">
        <v>49.96</v>
      </c>
      <c r="E13" s="40">
        <v>7.97</v>
      </c>
      <c r="F13" s="42">
        <v>4.4800000000000004</v>
      </c>
      <c r="G13" s="40">
        <v>109.2</v>
      </c>
      <c r="H13" s="40">
        <v>39.65</v>
      </c>
      <c r="I13" s="40">
        <v>15.24</v>
      </c>
      <c r="J13" s="40">
        <v>0.28999999999999998</v>
      </c>
      <c r="K13" s="40">
        <v>175.95</v>
      </c>
      <c r="L13" s="40">
        <v>12.02</v>
      </c>
      <c r="M13" s="40">
        <v>91.19</v>
      </c>
      <c r="N13" s="40">
        <v>1.4</v>
      </c>
      <c r="O13" s="40">
        <v>0</v>
      </c>
      <c r="P13" s="40">
        <v>1.26</v>
      </c>
      <c r="Q13" s="28" t="s">
        <v>15</v>
      </c>
      <c r="R13" s="38"/>
      <c r="S13" s="38"/>
      <c r="T13" s="38"/>
      <c r="U13" s="38"/>
    </row>
    <row r="14" spans="1:21" customFormat="1">
      <c r="A14" s="39" t="s">
        <v>306</v>
      </c>
      <c r="B14" s="40">
        <v>35.11</v>
      </c>
      <c r="C14" s="40">
        <v>27.39</v>
      </c>
      <c r="D14" s="40">
        <v>43.81</v>
      </c>
      <c r="E14" s="40">
        <v>7.94</v>
      </c>
      <c r="F14" s="42">
        <v>4.5</v>
      </c>
      <c r="G14" s="40">
        <v>106.23</v>
      </c>
      <c r="H14" s="40">
        <v>37.44</v>
      </c>
      <c r="I14" s="40">
        <v>15.04</v>
      </c>
      <c r="J14" s="40">
        <v>0.2</v>
      </c>
      <c r="K14" s="40">
        <v>238.13</v>
      </c>
      <c r="L14" s="40">
        <v>11.95</v>
      </c>
      <c r="M14" s="40">
        <v>90.86</v>
      </c>
      <c r="N14" s="40">
        <v>1.3</v>
      </c>
      <c r="O14" s="40">
        <v>0</v>
      </c>
      <c r="P14" s="40">
        <v>1.23</v>
      </c>
      <c r="Q14" s="28" t="s">
        <v>15</v>
      </c>
      <c r="R14" s="38"/>
      <c r="S14" s="38"/>
      <c r="T14" s="38"/>
      <c r="U14" s="38"/>
    </row>
    <row r="15" spans="1:21" customFormat="1">
      <c r="A15" s="39" t="s">
        <v>307</v>
      </c>
      <c r="B15" s="40">
        <v>27.98</v>
      </c>
      <c r="C15" s="40">
        <v>25.44</v>
      </c>
      <c r="D15" s="40">
        <v>37.08</v>
      </c>
      <c r="E15" s="40">
        <v>7.64</v>
      </c>
      <c r="F15" s="42">
        <v>4.5</v>
      </c>
      <c r="G15" s="40">
        <v>98.25</v>
      </c>
      <c r="H15" s="40">
        <v>37.26</v>
      </c>
      <c r="I15" s="40">
        <v>14.55</v>
      </c>
      <c r="J15" s="40">
        <v>0.18</v>
      </c>
      <c r="K15" s="40">
        <v>209.81</v>
      </c>
      <c r="L15" s="40">
        <v>11.89</v>
      </c>
      <c r="M15" s="40">
        <v>90.61</v>
      </c>
      <c r="N15" s="40">
        <v>7.6</v>
      </c>
      <c r="O15" s="40">
        <v>0</v>
      </c>
      <c r="P15" s="40">
        <v>1.17</v>
      </c>
      <c r="Q15" s="28" t="s">
        <v>15</v>
      </c>
      <c r="R15" s="38"/>
      <c r="S15" s="38"/>
      <c r="T15" s="38"/>
      <c r="U15" s="38"/>
    </row>
    <row r="16" spans="1:21" customFormat="1">
      <c r="A16" s="39" t="s">
        <v>308</v>
      </c>
      <c r="B16" s="40">
        <v>37</v>
      </c>
      <c r="C16" s="40">
        <v>27.07</v>
      </c>
      <c r="D16" s="40">
        <v>45.13</v>
      </c>
      <c r="E16" s="40">
        <v>8.2799999999999994</v>
      </c>
      <c r="F16" s="42">
        <v>4.58</v>
      </c>
      <c r="G16" s="40">
        <v>100.57</v>
      </c>
      <c r="H16" s="40">
        <v>38.35</v>
      </c>
      <c r="I16" s="40">
        <v>14.88</v>
      </c>
      <c r="J16" s="40">
        <v>0.6</v>
      </c>
      <c r="K16" s="40">
        <v>123.39</v>
      </c>
      <c r="L16" s="40">
        <v>14.1</v>
      </c>
      <c r="M16" s="40">
        <v>87.2</v>
      </c>
      <c r="N16" s="40">
        <v>40.799999999999997</v>
      </c>
      <c r="O16" s="40">
        <v>0</v>
      </c>
      <c r="P16" s="40">
        <v>1.1499999999999999</v>
      </c>
      <c r="Q16" s="28" t="s">
        <v>15</v>
      </c>
      <c r="R16" s="38"/>
      <c r="S16" s="38"/>
      <c r="T16" s="38"/>
      <c r="U16" s="38"/>
    </row>
    <row r="17" spans="1:21" customFormat="1">
      <c r="A17" s="39" t="s">
        <v>309</v>
      </c>
      <c r="B17" s="40">
        <v>36.020000000000003</v>
      </c>
      <c r="C17" s="40">
        <v>30.45</v>
      </c>
      <c r="D17" s="40">
        <v>45</v>
      </c>
      <c r="E17" s="40">
        <v>8.18</v>
      </c>
      <c r="F17" s="42">
        <v>4.7699999999999996</v>
      </c>
      <c r="G17" s="40">
        <v>106.46</v>
      </c>
      <c r="H17" s="40">
        <v>39.74</v>
      </c>
      <c r="I17" s="40">
        <v>15.63</v>
      </c>
      <c r="J17" s="40">
        <v>1.05</v>
      </c>
      <c r="K17" s="40">
        <v>61.52</v>
      </c>
      <c r="L17" s="40">
        <v>17.54</v>
      </c>
      <c r="M17" s="40">
        <v>75.760000000000005</v>
      </c>
      <c r="N17" s="40">
        <v>199.1</v>
      </c>
      <c r="O17" s="40">
        <v>0</v>
      </c>
      <c r="P17" s="40">
        <v>1.17</v>
      </c>
      <c r="Q17" s="28" t="s">
        <v>15</v>
      </c>
      <c r="R17" s="38"/>
      <c r="S17" s="38"/>
      <c r="T17" s="38"/>
      <c r="U17" s="38"/>
    </row>
    <row r="18" spans="1:21" customFormat="1">
      <c r="A18" s="39" t="s">
        <v>310</v>
      </c>
      <c r="B18" s="40">
        <v>27.96</v>
      </c>
      <c r="C18" s="40">
        <v>32.299999999999997</v>
      </c>
      <c r="D18" s="40">
        <v>39.950000000000003</v>
      </c>
      <c r="E18" s="40">
        <v>8.6</v>
      </c>
      <c r="F18" s="42">
        <v>5.32</v>
      </c>
      <c r="G18" s="40">
        <v>115.85</v>
      </c>
      <c r="H18" s="40">
        <v>38.630000000000003</v>
      </c>
      <c r="I18" s="40">
        <v>15.44</v>
      </c>
      <c r="J18" s="40">
        <v>0.69</v>
      </c>
      <c r="K18" s="40">
        <v>78.739999999999995</v>
      </c>
      <c r="L18" s="40">
        <v>21.96</v>
      </c>
      <c r="M18" s="40">
        <v>58.72</v>
      </c>
      <c r="N18" s="40">
        <v>261.10000000000002</v>
      </c>
      <c r="O18" s="40">
        <v>0</v>
      </c>
      <c r="P18" s="40">
        <v>1.1399999999999999</v>
      </c>
      <c r="Q18" s="28" t="s">
        <v>15</v>
      </c>
      <c r="R18" s="38"/>
      <c r="S18" s="38"/>
      <c r="T18" s="38"/>
      <c r="U18" s="38"/>
    </row>
    <row r="19" spans="1:21" customFormat="1">
      <c r="A19" s="39" t="s">
        <v>311</v>
      </c>
      <c r="B19" s="40">
        <v>18.36</v>
      </c>
      <c r="C19" s="40">
        <v>33.79</v>
      </c>
      <c r="D19" s="40">
        <v>33.229999999999997</v>
      </c>
      <c r="E19" s="40">
        <v>9.9700000000000006</v>
      </c>
      <c r="F19" s="42">
        <v>6.35</v>
      </c>
      <c r="G19" s="40">
        <v>114.25</v>
      </c>
      <c r="H19" s="40">
        <v>37.74</v>
      </c>
      <c r="I19" s="40">
        <v>14.3</v>
      </c>
      <c r="J19" s="40">
        <v>0.75</v>
      </c>
      <c r="K19" s="40">
        <v>63.43</v>
      </c>
      <c r="L19" s="40">
        <v>24.58</v>
      </c>
      <c r="M19" s="40">
        <v>43.09</v>
      </c>
      <c r="N19" s="40">
        <v>403.6</v>
      </c>
      <c r="O19" s="40">
        <v>0</v>
      </c>
      <c r="P19" s="40">
        <v>1.08</v>
      </c>
      <c r="Q19" s="28" t="s">
        <v>15</v>
      </c>
      <c r="R19" s="38"/>
      <c r="S19" s="38"/>
      <c r="T19" s="38"/>
      <c r="U19" s="38"/>
    </row>
    <row r="20" spans="1:21" customFormat="1">
      <c r="A20" s="39" t="s">
        <v>312</v>
      </c>
      <c r="B20" s="40">
        <v>9.91</v>
      </c>
      <c r="C20" s="40">
        <v>34.049999999999997</v>
      </c>
      <c r="D20" s="40">
        <v>27.09</v>
      </c>
      <c r="E20" s="40">
        <v>9.59</v>
      </c>
      <c r="F20" s="42">
        <v>8.09</v>
      </c>
      <c r="G20" s="40">
        <v>104.04</v>
      </c>
      <c r="H20" s="40">
        <v>35.159999999999997</v>
      </c>
      <c r="I20" s="40">
        <v>13.03</v>
      </c>
      <c r="J20" s="40">
        <v>0.59</v>
      </c>
      <c r="K20" s="40">
        <v>86.3</v>
      </c>
      <c r="L20" s="40">
        <v>26.29</v>
      </c>
      <c r="M20" s="40">
        <v>40.21</v>
      </c>
      <c r="N20" s="40">
        <v>429</v>
      </c>
      <c r="O20" s="40">
        <v>0</v>
      </c>
      <c r="P20" s="40">
        <v>0.97</v>
      </c>
      <c r="Q20" s="28" t="s">
        <v>15</v>
      </c>
      <c r="R20" s="38"/>
      <c r="S20" s="38"/>
      <c r="T20" s="38"/>
      <c r="U20" s="38"/>
    </row>
    <row r="21" spans="1:21" customFormat="1">
      <c r="A21" s="39" t="s">
        <v>313</v>
      </c>
      <c r="B21" s="40">
        <v>4.9800000000000004</v>
      </c>
      <c r="C21" s="40">
        <v>31.64</v>
      </c>
      <c r="D21" s="40">
        <v>21.87</v>
      </c>
      <c r="E21" s="40">
        <v>10.11</v>
      </c>
      <c r="F21" s="42">
        <v>9.98</v>
      </c>
      <c r="G21" s="40">
        <v>86.82</v>
      </c>
      <c r="H21" s="40">
        <v>31.91</v>
      </c>
      <c r="I21" s="40">
        <v>11.73</v>
      </c>
      <c r="J21" s="40">
        <v>0.83</v>
      </c>
      <c r="K21" s="40">
        <v>72.27</v>
      </c>
      <c r="L21" s="40">
        <v>27.1</v>
      </c>
      <c r="M21" s="40">
        <v>35.67</v>
      </c>
      <c r="N21" s="40">
        <v>433.5</v>
      </c>
      <c r="O21" s="40">
        <v>0</v>
      </c>
      <c r="P21" s="40">
        <v>0.93</v>
      </c>
      <c r="Q21" s="28" t="s">
        <v>15</v>
      </c>
      <c r="R21" s="38"/>
      <c r="S21" s="38"/>
      <c r="T21" s="38"/>
      <c r="U21" s="38"/>
    </row>
    <row r="22" spans="1:21" customFormat="1">
      <c r="A22" s="39" t="s">
        <v>314</v>
      </c>
      <c r="B22" s="40">
        <v>4.7300000000000004</v>
      </c>
      <c r="C22" s="40">
        <v>26.46</v>
      </c>
      <c r="D22" s="40">
        <v>18.97</v>
      </c>
      <c r="E22" s="40">
        <v>9.9700000000000006</v>
      </c>
      <c r="F22" s="42">
        <v>11.6</v>
      </c>
      <c r="G22" s="40">
        <v>71.790000000000006</v>
      </c>
      <c r="H22" s="40">
        <v>30.06</v>
      </c>
      <c r="I22" s="40">
        <v>11.04</v>
      </c>
      <c r="J22" s="40">
        <v>0.63</v>
      </c>
      <c r="K22" s="40">
        <v>78.540000000000006</v>
      </c>
      <c r="L22" s="40">
        <v>27.79</v>
      </c>
      <c r="M22" s="40">
        <v>32.65</v>
      </c>
      <c r="N22" s="40">
        <v>409.4</v>
      </c>
      <c r="O22" s="40">
        <v>0</v>
      </c>
      <c r="P22" s="40">
        <v>0.87</v>
      </c>
      <c r="Q22" s="28" t="s">
        <v>15</v>
      </c>
      <c r="R22" s="38"/>
      <c r="S22" s="38"/>
      <c r="T22" s="38"/>
      <c r="U22" s="38"/>
    </row>
    <row r="23" spans="1:21" customFormat="1">
      <c r="A23" s="39" t="s">
        <v>315</v>
      </c>
      <c r="B23" s="40">
        <v>4.59</v>
      </c>
      <c r="C23" s="40">
        <v>23.6</v>
      </c>
      <c r="D23" s="40">
        <v>17.36</v>
      </c>
      <c r="E23" s="40">
        <v>10.28</v>
      </c>
      <c r="F23" s="42">
        <v>11.38</v>
      </c>
      <c r="G23" s="40">
        <v>56.18</v>
      </c>
      <c r="H23" s="40">
        <v>26.87</v>
      </c>
      <c r="I23" s="40">
        <v>10.27</v>
      </c>
      <c r="J23" s="40">
        <v>0.69</v>
      </c>
      <c r="K23" s="40">
        <v>82.7</v>
      </c>
      <c r="L23" s="40">
        <v>27.4</v>
      </c>
      <c r="M23" s="40">
        <v>29.43</v>
      </c>
      <c r="N23" s="40">
        <v>185.7</v>
      </c>
      <c r="O23" s="40">
        <v>0</v>
      </c>
      <c r="P23" s="40">
        <v>0.78</v>
      </c>
      <c r="Q23" s="28" t="s">
        <v>15</v>
      </c>
      <c r="R23" s="38"/>
      <c r="S23" s="38"/>
      <c r="T23" s="38"/>
      <c r="U23" s="38"/>
    </row>
    <row r="24" spans="1:21" customFormat="1">
      <c r="A24" s="39" t="s">
        <v>316</v>
      </c>
      <c r="B24" s="40">
        <v>4.6100000000000003</v>
      </c>
      <c r="C24" s="40">
        <v>21.47</v>
      </c>
      <c r="D24" s="40">
        <v>16.2</v>
      </c>
      <c r="E24" s="40">
        <v>10.9</v>
      </c>
      <c r="F24" s="42">
        <v>10.23</v>
      </c>
      <c r="G24" s="40">
        <v>44.6</v>
      </c>
      <c r="H24" s="40">
        <v>22.11</v>
      </c>
      <c r="I24" s="40">
        <v>9.58</v>
      </c>
      <c r="J24" s="40">
        <v>0.93</v>
      </c>
      <c r="K24" s="40">
        <v>83.77</v>
      </c>
      <c r="L24" s="40">
        <v>27.1</v>
      </c>
      <c r="M24" s="40">
        <v>31.21</v>
      </c>
      <c r="N24" s="40">
        <v>63.8</v>
      </c>
      <c r="O24" s="40">
        <v>0</v>
      </c>
      <c r="P24" s="40">
        <v>0.75</v>
      </c>
      <c r="Q24" s="28" t="s">
        <v>15</v>
      </c>
      <c r="R24" s="38"/>
      <c r="S24" s="38"/>
      <c r="T24" s="38"/>
      <c r="U24" s="38"/>
    </row>
    <row r="25" spans="1:21" customFormat="1">
      <c r="A25" s="39" t="s">
        <v>317</v>
      </c>
      <c r="B25" s="40">
        <v>4.63</v>
      </c>
      <c r="C25" s="40">
        <v>20.78</v>
      </c>
      <c r="D25" s="40">
        <v>15.92</v>
      </c>
      <c r="E25" s="40">
        <v>10.4</v>
      </c>
      <c r="F25" s="42">
        <v>10.3</v>
      </c>
      <c r="G25" s="40">
        <v>45.87</v>
      </c>
      <c r="H25" s="40">
        <v>19.7</v>
      </c>
      <c r="I25" s="40">
        <v>8.85</v>
      </c>
      <c r="J25" s="40">
        <v>0.26</v>
      </c>
      <c r="K25" s="40">
        <v>151.75</v>
      </c>
      <c r="L25" s="40">
        <v>26.5</v>
      </c>
      <c r="M25" s="40">
        <v>37.42</v>
      </c>
      <c r="N25" s="40">
        <v>35.5</v>
      </c>
      <c r="O25" s="40">
        <v>0</v>
      </c>
      <c r="P25" s="40">
        <v>0.73</v>
      </c>
      <c r="Q25" s="28" t="s">
        <v>15</v>
      </c>
      <c r="R25" s="38"/>
      <c r="S25" s="38"/>
      <c r="T25" s="38"/>
      <c r="U25" s="38"/>
    </row>
    <row r="26" spans="1:21" customFormat="1">
      <c r="A26" s="39" t="s">
        <v>318</v>
      </c>
      <c r="B26" s="40">
        <v>4.07</v>
      </c>
      <c r="C26" s="40">
        <v>19.59</v>
      </c>
      <c r="D26" s="40">
        <v>14.85</v>
      </c>
      <c r="E26" s="40">
        <v>10.130000000000001</v>
      </c>
      <c r="F26" s="42">
        <v>9.92</v>
      </c>
      <c r="G26" s="40">
        <v>45.39</v>
      </c>
      <c r="H26" s="40">
        <v>21.62</v>
      </c>
      <c r="I26" s="40">
        <v>8.5</v>
      </c>
      <c r="J26" s="40">
        <v>0.3</v>
      </c>
      <c r="K26" s="40">
        <v>173.54</v>
      </c>
      <c r="L26" s="40">
        <v>24.65</v>
      </c>
      <c r="M26" s="40">
        <v>55.37</v>
      </c>
      <c r="N26" s="40">
        <v>14.4</v>
      </c>
      <c r="O26" s="40">
        <v>0</v>
      </c>
      <c r="P26" s="40">
        <v>0.63</v>
      </c>
      <c r="Q26" s="28" t="s">
        <v>15</v>
      </c>
      <c r="R26" s="38"/>
      <c r="S26" s="38"/>
      <c r="T26" s="38"/>
      <c r="U26" s="38"/>
    </row>
    <row r="27" spans="1:21" customFormat="1">
      <c r="A27" s="39" t="s">
        <v>319</v>
      </c>
      <c r="B27" s="40">
        <v>4.8899999999999997</v>
      </c>
      <c r="C27" s="40">
        <v>21.6</v>
      </c>
      <c r="D27" s="40">
        <v>16.559999999999999</v>
      </c>
      <c r="E27" s="40">
        <v>9.07</v>
      </c>
      <c r="F27" s="42">
        <v>6.61</v>
      </c>
      <c r="G27" s="40">
        <v>52.78</v>
      </c>
      <c r="H27" s="40">
        <v>22.67</v>
      </c>
      <c r="I27" s="40">
        <v>7.95</v>
      </c>
      <c r="J27" s="40">
        <v>0.31</v>
      </c>
      <c r="K27" s="40">
        <v>166.04</v>
      </c>
      <c r="L27" s="40">
        <v>21.44</v>
      </c>
      <c r="M27" s="40">
        <v>65.16</v>
      </c>
      <c r="N27" s="40">
        <v>1.9</v>
      </c>
      <c r="O27" s="40">
        <v>0</v>
      </c>
      <c r="P27" s="40">
        <v>0.66</v>
      </c>
      <c r="Q27" s="28" t="s">
        <v>15</v>
      </c>
      <c r="R27" s="38"/>
      <c r="S27" s="38"/>
      <c r="T27" s="38"/>
      <c r="U27" s="38"/>
    </row>
    <row r="28" spans="1:21" customFormat="1">
      <c r="A28" s="39" t="s">
        <v>320</v>
      </c>
      <c r="B28" s="40">
        <v>5.58</v>
      </c>
      <c r="C28" s="40">
        <v>23.28</v>
      </c>
      <c r="D28" s="40">
        <v>17.989999999999998</v>
      </c>
      <c r="E28" s="40">
        <v>9.25</v>
      </c>
      <c r="F28" s="42">
        <v>5.23</v>
      </c>
      <c r="G28" s="40">
        <v>74.87</v>
      </c>
      <c r="H28" s="40">
        <v>27.76</v>
      </c>
      <c r="I28" s="40">
        <v>10.54</v>
      </c>
      <c r="J28" s="40">
        <v>0.26</v>
      </c>
      <c r="K28" s="40">
        <v>187.33</v>
      </c>
      <c r="L28" s="40">
        <v>19.98</v>
      </c>
      <c r="M28" s="40">
        <v>68.849999999999994</v>
      </c>
      <c r="N28" s="40">
        <v>1.9</v>
      </c>
      <c r="O28" s="40">
        <v>0</v>
      </c>
      <c r="P28" s="40">
        <v>0.74</v>
      </c>
      <c r="Q28" s="28" t="s">
        <v>15</v>
      </c>
      <c r="R28" s="38"/>
      <c r="S28" s="38"/>
      <c r="T28" s="38"/>
      <c r="U28" s="38"/>
    </row>
    <row r="29" spans="1:21" customFormat="1">
      <c r="A29" s="39" t="s">
        <v>321</v>
      </c>
      <c r="B29" s="40">
        <v>6.85</v>
      </c>
      <c r="C29" s="40">
        <v>24.95</v>
      </c>
      <c r="D29" s="40">
        <v>19.88</v>
      </c>
      <c r="E29" s="40">
        <v>9.39</v>
      </c>
      <c r="F29" s="42">
        <v>4.84</v>
      </c>
      <c r="G29" s="40">
        <v>78.540000000000006</v>
      </c>
      <c r="H29" s="40">
        <v>26.53</v>
      </c>
      <c r="I29" s="40">
        <v>10.85</v>
      </c>
      <c r="J29" s="40">
        <v>0.2</v>
      </c>
      <c r="K29" s="40">
        <v>180.44</v>
      </c>
      <c r="L29" s="40">
        <v>19.96</v>
      </c>
      <c r="M29" s="40">
        <v>66.849999999999994</v>
      </c>
      <c r="N29" s="40">
        <v>1.7</v>
      </c>
      <c r="O29" s="40">
        <v>0</v>
      </c>
      <c r="P29" s="40">
        <v>0.78</v>
      </c>
      <c r="Q29" s="28" t="s">
        <v>15</v>
      </c>
      <c r="R29" s="38"/>
      <c r="S29" s="38"/>
      <c r="T29" s="38"/>
      <c r="U29" s="38"/>
    </row>
    <row r="30" spans="1:21" customFormat="1">
      <c r="A30" s="39" t="s">
        <v>322</v>
      </c>
      <c r="B30" s="40">
        <v>13.39</v>
      </c>
      <c r="C30" s="40">
        <v>26.48</v>
      </c>
      <c r="D30" s="40">
        <v>25.93</v>
      </c>
      <c r="E30" s="40">
        <v>9.3699999999999992</v>
      </c>
      <c r="F30" s="42">
        <v>4.67</v>
      </c>
      <c r="G30" s="40">
        <v>84</v>
      </c>
      <c r="H30" s="40">
        <v>25.44</v>
      </c>
      <c r="I30" s="40">
        <v>11.24</v>
      </c>
      <c r="J30" s="40">
        <v>0.23</v>
      </c>
      <c r="K30" s="40">
        <v>168.03</v>
      </c>
      <c r="L30" s="40">
        <v>18.3</v>
      </c>
      <c r="M30" s="40">
        <v>74.48</v>
      </c>
      <c r="N30" s="40">
        <v>1.7</v>
      </c>
      <c r="O30" s="40">
        <v>0</v>
      </c>
      <c r="P30" s="40">
        <v>0.9</v>
      </c>
      <c r="Q30" s="28" t="s">
        <v>15</v>
      </c>
      <c r="R30" s="38"/>
      <c r="S30" s="38"/>
      <c r="T30" s="38"/>
      <c r="U30" s="38"/>
    </row>
    <row r="31" spans="1:21" customFormat="1">
      <c r="A31" s="39" t="s">
        <v>323</v>
      </c>
      <c r="B31" s="40">
        <v>20.29</v>
      </c>
      <c r="C31" s="40">
        <v>27.46</v>
      </c>
      <c r="D31" s="40">
        <v>31.97</v>
      </c>
      <c r="E31" s="40">
        <v>9.74</v>
      </c>
      <c r="F31" s="42">
        <v>4.68</v>
      </c>
      <c r="G31" s="40">
        <v>96.15</v>
      </c>
      <c r="H31" s="40">
        <v>30.42</v>
      </c>
      <c r="I31" s="40">
        <v>12.18</v>
      </c>
      <c r="J31" s="40">
        <v>0.37</v>
      </c>
      <c r="K31" s="40">
        <v>57.17</v>
      </c>
      <c r="L31" s="40">
        <v>18.809999999999999</v>
      </c>
      <c r="M31" s="40">
        <v>64.52</v>
      </c>
      <c r="N31" s="40">
        <v>1.4</v>
      </c>
      <c r="O31" s="40">
        <v>0</v>
      </c>
      <c r="P31" s="40">
        <v>1.03</v>
      </c>
      <c r="Q31" s="28" t="s">
        <v>15</v>
      </c>
      <c r="R31" s="38"/>
      <c r="S31" s="38"/>
      <c r="T31" s="38"/>
      <c r="U31" s="38"/>
    </row>
    <row r="32" spans="1:21" customFormat="1">
      <c r="A32" s="39" t="s">
        <v>324</v>
      </c>
      <c r="B32" s="40">
        <v>23.97</v>
      </c>
      <c r="C32" s="40">
        <v>27.61</v>
      </c>
      <c r="D32" s="40">
        <v>35</v>
      </c>
      <c r="E32" s="40">
        <v>9.6300000000000008</v>
      </c>
      <c r="F32" s="42">
        <v>4.43</v>
      </c>
      <c r="G32" s="40">
        <v>119.26</v>
      </c>
      <c r="H32" s="40">
        <v>32.32</v>
      </c>
      <c r="I32" s="40">
        <v>14</v>
      </c>
      <c r="J32" s="40">
        <v>0.19</v>
      </c>
      <c r="K32" s="40">
        <v>111.07</v>
      </c>
      <c r="L32" s="40">
        <v>18.27</v>
      </c>
      <c r="M32" s="40">
        <v>70.69</v>
      </c>
      <c r="N32" s="40">
        <v>1.7</v>
      </c>
      <c r="O32" s="40">
        <v>0</v>
      </c>
      <c r="P32" s="40">
        <v>1.1000000000000001</v>
      </c>
      <c r="Q32" s="28" t="s">
        <v>15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4.07</v>
      </c>
      <c r="C34" s="18">
        <f t="shared" si="0"/>
        <v>19.59</v>
      </c>
      <c r="D34" s="18">
        <f t="shared" si="0"/>
        <v>14.85</v>
      </c>
      <c r="E34" s="18">
        <f t="shared" si="0"/>
        <v>7.64</v>
      </c>
      <c r="F34" s="18">
        <f t="shared" si="0"/>
        <v>4.43</v>
      </c>
      <c r="G34" s="18">
        <f t="shared" si="0"/>
        <v>44.6</v>
      </c>
      <c r="H34" s="18">
        <f t="shared" si="0"/>
        <v>19.7</v>
      </c>
      <c r="I34" s="18">
        <f t="shared" si="0"/>
        <v>7.95</v>
      </c>
      <c r="J34" s="18">
        <f t="shared" si="0"/>
        <v>0.16</v>
      </c>
      <c r="K34" s="18">
        <f t="shared" si="0"/>
        <v>57.17</v>
      </c>
      <c r="L34" s="18">
        <f t="shared" si="0"/>
        <v>11.89</v>
      </c>
      <c r="M34" s="18">
        <f t="shared" si="0"/>
        <v>29.43</v>
      </c>
      <c r="N34" s="18">
        <f t="shared" si="0"/>
        <v>1.3</v>
      </c>
      <c r="O34" s="18">
        <f t="shared" si="0"/>
        <v>0</v>
      </c>
      <c r="P34" s="18">
        <f t="shared" si="0"/>
        <v>0.63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42</v>
      </c>
      <c r="C35" s="3">
        <f t="shared" si="1"/>
        <v>34.049999999999997</v>
      </c>
      <c r="D35" s="3">
        <f t="shared" si="1"/>
        <v>50.73</v>
      </c>
      <c r="E35" s="3">
        <f t="shared" si="1"/>
        <v>10.9</v>
      </c>
      <c r="F35" s="3">
        <f t="shared" si="1"/>
        <v>11.6</v>
      </c>
      <c r="G35" s="3">
        <f t="shared" si="1"/>
        <v>140.22999999999999</v>
      </c>
      <c r="H35" s="3">
        <f t="shared" si="1"/>
        <v>41.44</v>
      </c>
      <c r="I35" s="3">
        <f t="shared" si="1"/>
        <v>15.72</v>
      </c>
      <c r="J35" s="3">
        <f t="shared" si="1"/>
        <v>1.05</v>
      </c>
      <c r="K35" s="3">
        <f t="shared" si="1"/>
        <v>244.04</v>
      </c>
      <c r="L35" s="3">
        <f t="shared" si="1"/>
        <v>27.79</v>
      </c>
      <c r="M35" s="3">
        <f t="shared" si="1"/>
        <v>91.19</v>
      </c>
      <c r="N35" s="3">
        <f t="shared" si="1"/>
        <v>433.5</v>
      </c>
      <c r="O35" s="3">
        <f t="shared" si="1"/>
        <v>0</v>
      </c>
      <c r="P35" s="3">
        <f t="shared" si="1"/>
        <v>1.26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19.383750000000003</v>
      </c>
      <c r="C36" s="18">
        <f t="shared" si="2"/>
        <v>27.353750000000002</v>
      </c>
      <c r="D36" s="18">
        <f t="shared" si="2"/>
        <v>31.069999999999997</v>
      </c>
      <c r="E36" s="18">
        <f t="shared" si="2"/>
        <v>9.3108333333333331</v>
      </c>
      <c r="F36" s="18">
        <f t="shared" si="2"/>
        <v>6.439166666666666</v>
      </c>
      <c r="G36" s="18">
        <f t="shared" si="2"/>
        <v>91.853333333333339</v>
      </c>
      <c r="H36" s="18">
        <f t="shared" si="2"/>
        <v>32.502916666666671</v>
      </c>
      <c r="I36" s="18">
        <f t="shared" si="2"/>
        <v>12.7675</v>
      </c>
      <c r="J36" s="18">
        <f t="shared" si="2"/>
        <v>0.42999999999999994</v>
      </c>
      <c r="K36" s="18">
        <f t="shared" si="2"/>
        <v>141.68916666666667</v>
      </c>
      <c r="L36" s="18">
        <f t="shared" si="2"/>
        <v>19.640416666666663</v>
      </c>
      <c r="M36" s="18">
        <f t="shared" si="2"/>
        <v>64.720416666666665</v>
      </c>
      <c r="N36" s="18">
        <f t="shared" si="2"/>
        <v>104.25833333333333</v>
      </c>
      <c r="O36" s="18">
        <f t="shared" si="2"/>
        <v>0</v>
      </c>
      <c r="P36" s="18">
        <f t="shared" si="2"/>
        <v>0.99624999999999997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13.794746578033745</v>
      </c>
      <c r="C37" s="18">
        <f t="shared" ref="C37:Q37" si="3">STDEV(C9:C32)</f>
        <v>4.1449653195171479</v>
      </c>
      <c r="D37" s="18">
        <f t="shared" si="3"/>
        <v>12.232752543177224</v>
      </c>
      <c r="E37" s="18">
        <f t="shared" si="3"/>
        <v>0.87906529740483408</v>
      </c>
      <c r="F37" s="18">
        <f t="shared" si="3"/>
        <v>2.601078232390273</v>
      </c>
      <c r="G37" s="18">
        <f t="shared" si="3"/>
        <v>27.605816757353512</v>
      </c>
      <c r="H37" s="18">
        <f t="shared" si="3"/>
        <v>6.9452689428419676</v>
      </c>
      <c r="I37" s="18">
        <f t="shared" si="3"/>
        <v>2.5923973293157605</v>
      </c>
      <c r="J37" s="18">
        <f t="shared" si="3"/>
        <v>0.27455893483121652</v>
      </c>
      <c r="K37" s="18">
        <f t="shared" si="3"/>
        <v>61.223638864388818</v>
      </c>
      <c r="L37" s="18">
        <f t="shared" si="3"/>
        <v>5.7454575472747349</v>
      </c>
      <c r="M37" s="18">
        <f t="shared" si="3"/>
        <v>21.709088355113963</v>
      </c>
      <c r="N37" s="18">
        <f t="shared" si="3"/>
        <v>160.32277203156156</v>
      </c>
      <c r="O37" s="18">
        <f t="shared" si="3"/>
        <v>0</v>
      </c>
      <c r="P37" s="18">
        <f t="shared" si="3"/>
        <v>0.20884386720601902</v>
      </c>
      <c r="Q37" s="18" t="e">
        <f t="shared" si="3"/>
        <v>#DIV/0!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0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LESS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60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96"/>
  <sheetViews>
    <sheetView zoomScale="85" zoomScaleNormal="85" workbookViewId="0">
      <pane xSplit="2" ySplit="8" topLeftCell="C21" activePane="bottomRight" state="frozen"/>
      <selection activeCell="G19" sqref="G19"/>
      <selection pane="topRight" activeCell="G19" sqref="G19"/>
      <selection pane="bottomLeft" activeCell="G19" sqref="G19"/>
      <selection pane="bottomRight" activeCell="I32" sqref="I3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12/01/2025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325</v>
      </c>
      <c r="B9" s="40">
        <v>24.55</v>
      </c>
      <c r="C9" s="40">
        <v>27.56</v>
      </c>
      <c r="D9" s="40">
        <v>35.44</v>
      </c>
      <c r="E9" s="40">
        <v>9.48</v>
      </c>
      <c r="F9" s="42">
        <v>4.42</v>
      </c>
      <c r="G9" s="40">
        <v>118.61</v>
      </c>
      <c r="H9" s="40">
        <v>31.91</v>
      </c>
      <c r="I9" s="40">
        <v>14.48</v>
      </c>
      <c r="J9" s="40">
        <v>0.22</v>
      </c>
      <c r="K9" s="40">
        <v>202.21</v>
      </c>
      <c r="L9" s="40">
        <v>16.920000000000002</v>
      </c>
      <c r="M9" s="40">
        <v>85.12</v>
      </c>
      <c r="N9" s="40">
        <v>1.9</v>
      </c>
      <c r="O9" s="40">
        <v>0</v>
      </c>
      <c r="P9" s="40">
        <v>1.1200000000000001</v>
      </c>
      <c r="Q9" s="28" t="s">
        <v>15</v>
      </c>
      <c r="R9" s="38"/>
      <c r="S9" s="38"/>
      <c r="T9" s="38"/>
      <c r="U9" s="38"/>
    </row>
    <row r="10" spans="1:21" customFormat="1">
      <c r="A10" s="39" t="s">
        <v>326</v>
      </c>
      <c r="B10" s="40">
        <v>22.34</v>
      </c>
      <c r="C10" s="40">
        <v>25.97</v>
      </c>
      <c r="D10" s="40">
        <v>32.83</v>
      </c>
      <c r="E10" s="40">
        <v>9.33</v>
      </c>
      <c r="F10" s="42">
        <v>4.43</v>
      </c>
      <c r="G10" s="40">
        <v>112.13</v>
      </c>
      <c r="H10" s="40">
        <v>32.79</v>
      </c>
      <c r="I10" s="40">
        <v>14.41</v>
      </c>
      <c r="J10" s="40">
        <v>0.19</v>
      </c>
      <c r="K10" s="40">
        <v>201.67</v>
      </c>
      <c r="L10" s="40">
        <v>15.46</v>
      </c>
      <c r="M10" s="40">
        <v>88.18</v>
      </c>
      <c r="N10" s="40">
        <v>1.6</v>
      </c>
      <c r="O10" s="40">
        <v>0</v>
      </c>
      <c r="P10" s="40">
        <v>1.1200000000000001</v>
      </c>
      <c r="Q10" s="28" t="s">
        <v>15</v>
      </c>
      <c r="R10" s="38"/>
      <c r="S10" s="38"/>
      <c r="T10" s="38"/>
      <c r="U10" s="38"/>
    </row>
    <row r="11" spans="1:21" customFormat="1">
      <c r="A11" s="39" t="s">
        <v>327</v>
      </c>
      <c r="B11" s="40">
        <v>20.2</v>
      </c>
      <c r="C11" s="40">
        <v>25.02</v>
      </c>
      <c r="D11" s="40">
        <v>30.62</v>
      </c>
      <c r="E11" s="40">
        <v>7.12</v>
      </c>
      <c r="F11" s="42">
        <v>4.5599999999999996</v>
      </c>
      <c r="G11" s="40">
        <v>107.98</v>
      </c>
      <c r="H11" s="40">
        <v>30.95</v>
      </c>
      <c r="I11" s="40">
        <v>14.25</v>
      </c>
      <c r="J11" s="40">
        <v>0.16</v>
      </c>
      <c r="K11" s="40">
        <v>191.57</v>
      </c>
      <c r="L11" s="40">
        <v>14.96</v>
      </c>
      <c r="M11" s="40">
        <v>87.01</v>
      </c>
      <c r="N11" s="40">
        <v>1.4</v>
      </c>
      <c r="O11" s="40">
        <v>0</v>
      </c>
      <c r="P11" s="40">
        <v>1.1100000000000001</v>
      </c>
      <c r="Q11" s="28" t="s">
        <v>15</v>
      </c>
      <c r="R11" s="38"/>
      <c r="S11" s="38"/>
      <c r="T11" s="38"/>
      <c r="U11" s="38"/>
    </row>
    <row r="12" spans="1:21" customFormat="1">
      <c r="A12" s="39" t="s">
        <v>328</v>
      </c>
      <c r="B12" s="40">
        <v>17.05</v>
      </c>
      <c r="C12" s="40">
        <v>24.01</v>
      </c>
      <c r="D12" s="40">
        <v>27.56</v>
      </c>
      <c r="E12" s="40">
        <v>7.18</v>
      </c>
      <c r="F12" s="42">
        <v>4.3499999999999996</v>
      </c>
      <c r="G12" s="40">
        <v>104.2</v>
      </c>
      <c r="H12" s="40">
        <v>29.95</v>
      </c>
      <c r="I12" s="40">
        <v>13.71</v>
      </c>
      <c r="J12" s="40">
        <v>0.18</v>
      </c>
      <c r="K12" s="40">
        <v>238.4</v>
      </c>
      <c r="L12" s="40">
        <v>15.15</v>
      </c>
      <c r="M12" s="40">
        <v>85.68</v>
      </c>
      <c r="N12" s="40">
        <v>1.5</v>
      </c>
      <c r="O12" s="40">
        <v>0</v>
      </c>
      <c r="P12" s="40">
        <v>1.01</v>
      </c>
      <c r="Q12" s="28" t="s">
        <v>15</v>
      </c>
      <c r="R12" s="38"/>
      <c r="S12" s="38"/>
      <c r="T12" s="38"/>
      <c r="U12" s="38"/>
    </row>
    <row r="13" spans="1:21" customFormat="1">
      <c r="A13" s="39" t="s">
        <v>329</v>
      </c>
      <c r="B13" s="40">
        <v>18.010000000000002</v>
      </c>
      <c r="C13" s="40">
        <v>25.76</v>
      </c>
      <c r="D13" s="40">
        <v>29.25</v>
      </c>
      <c r="E13" s="40">
        <v>6.9</v>
      </c>
      <c r="F13" s="42">
        <v>4.2699999999999996</v>
      </c>
      <c r="G13" s="40">
        <v>100.13</v>
      </c>
      <c r="H13" s="40">
        <v>29.27</v>
      </c>
      <c r="I13" s="40">
        <v>12.85</v>
      </c>
      <c r="J13" s="40">
        <v>0.21</v>
      </c>
      <c r="K13" s="40">
        <v>210.79</v>
      </c>
      <c r="L13" s="40">
        <v>14.96</v>
      </c>
      <c r="M13" s="40">
        <v>86.57</v>
      </c>
      <c r="N13" s="40">
        <v>1.4</v>
      </c>
      <c r="O13" s="40">
        <v>0</v>
      </c>
      <c r="P13" s="40">
        <v>0.94</v>
      </c>
      <c r="Q13" s="28" t="s">
        <v>15</v>
      </c>
      <c r="R13" s="38"/>
      <c r="S13" s="38"/>
      <c r="T13" s="38"/>
      <c r="U13" s="38"/>
    </row>
    <row r="14" spans="1:21" customFormat="1">
      <c r="A14" s="39" t="s">
        <v>330</v>
      </c>
      <c r="B14" s="40">
        <v>22.62</v>
      </c>
      <c r="C14" s="40">
        <v>26.84</v>
      </c>
      <c r="D14" s="40">
        <v>33.42</v>
      </c>
      <c r="E14" s="40">
        <v>7.12</v>
      </c>
      <c r="F14" s="42">
        <v>4.25</v>
      </c>
      <c r="G14" s="40">
        <v>92.94</v>
      </c>
      <c r="H14" s="40">
        <v>28.37</v>
      </c>
      <c r="I14" s="40">
        <v>12.15</v>
      </c>
      <c r="J14" s="40">
        <v>0.5</v>
      </c>
      <c r="K14" s="40">
        <v>108.48</v>
      </c>
      <c r="L14" s="40">
        <v>15.04</v>
      </c>
      <c r="M14" s="40">
        <v>86.63</v>
      </c>
      <c r="N14" s="40">
        <v>1.4</v>
      </c>
      <c r="O14" s="40">
        <v>0</v>
      </c>
      <c r="P14" s="40">
        <v>0.89</v>
      </c>
      <c r="Q14" s="28" t="s">
        <v>15</v>
      </c>
      <c r="R14" s="38"/>
      <c r="S14" s="38"/>
      <c r="T14" s="38"/>
      <c r="U14" s="38"/>
    </row>
    <row r="15" spans="1:21" customFormat="1">
      <c r="A15" s="39" t="s">
        <v>331</v>
      </c>
      <c r="B15" s="40">
        <v>21.64</v>
      </c>
      <c r="C15" s="40">
        <v>27.19</v>
      </c>
      <c r="D15" s="40">
        <v>32.89</v>
      </c>
      <c r="E15" s="40">
        <v>7.05</v>
      </c>
      <c r="F15" s="42">
        <v>4.63</v>
      </c>
      <c r="G15" s="40">
        <v>101.76</v>
      </c>
      <c r="H15" s="40">
        <v>29.74</v>
      </c>
      <c r="I15" s="40">
        <v>11.94</v>
      </c>
      <c r="J15" s="40">
        <v>0.39</v>
      </c>
      <c r="K15" s="40">
        <v>233.65</v>
      </c>
      <c r="L15" s="40">
        <v>14.96</v>
      </c>
      <c r="M15" s="40">
        <v>87.86</v>
      </c>
      <c r="N15" s="40">
        <v>10.3</v>
      </c>
      <c r="O15" s="40">
        <v>0</v>
      </c>
      <c r="P15" s="40">
        <v>0.86</v>
      </c>
      <c r="Q15" s="28" t="s">
        <v>15</v>
      </c>
      <c r="R15" s="38"/>
      <c r="S15" s="38"/>
      <c r="T15" s="38"/>
      <c r="U15" s="38"/>
    </row>
    <row r="16" spans="1:21" customFormat="1">
      <c r="A16" s="39" t="s">
        <v>332</v>
      </c>
      <c r="B16" s="40">
        <v>17.3</v>
      </c>
      <c r="C16" s="40">
        <v>26.75</v>
      </c>
      <c r="D16" s="40">
        <v>29.02</v>
      </c>
      <c r="E16" s="40">
        <v>6.86</v>
      </c>
      <c r="F16" s="42">
        <v>4.55</v>
      </c>
      <c r="G16" s="40">
        <v>99.56</v>
      </c>
      <c r="H16" s="40">
        <v>32.200000000000003</v>
      </c>
      <c r="I16" s="40">
        <v>13.86</v>
      </c>
      <c r="J16" s="40">
        <v>0.25</v>
      </c>
      <c r="K16" s="40">
        <v>196.26</v>
      </c>
      <c r="L16" s="40">
        <v>16.190000000000001</v>
      </c>
      <c r="M16" s="40">
        <v>86.33</v>
      </c>
      <c r="N16" s="40">
        <v>47.7</v>
      </c>
      <c r="O16" s="40">
        <v>0</v>
      </c>
      <c r="P16" s="40">
        <v>0.91</v>
      </c>
      <c r="Q16" s="28" t="s">
        <v>15</v>
      </c>
      <c r="R16" s="38"/>
      <c r="S16" s="38"/>
      <c r="T16" s="38"/>
      <c r="U16" s="38"/>
    </row>
    <row r="17" spans="1:21" customFormat="1">
      <c r="A17" s="39" t="s">
        <v>333</v>
      </c>
      <c r="B17" s="40">
        <v>15.88</v>
      </c>
      <c r="C17" s="40">
        <v>27.22</v>
      </c>
      <c r="D17" s="40">
        <v>28.19</v>
      </c>
      <c r="E17" s="40">
        <v>7.02</v>
      </c>
      <c r="F17" s="42">
        <v>4.74</v>
      </c>
      <c r="G17" s="40">
        <v>96.55</v>
      </c>
      <c r="H17" s="40">
        <v>33.71</v>
      </c>
      <c r="I17" s="40">
        <v>14.29</v>
      </c>
      <c r="J17" s="40">
        <v>0.41</v>
      </c>
      <c r="K17" s="40">
        <v>139.18</v>
      </c>
      <c r="L17" s="40">
        <v>19.68</v>
      </c>
      <c r="M17" s="40">
        <v>75.33</v>
      </c>
      <c r="N17" s="40">
        <v>145.6</v>
      </c>
      <c r="O17" s="40">
        <v>0</v>
      </c>
      <c r="P17" s="40">
        <v>0.92</v>
      </c>
      <c r="Q17" s="28" t="s">
        <v>15</v>
      </c>
      <c r="R17" s="38"/>
      <c r="S17" s="38"/>
      <c r="T17" s="38"/>
      <c r="U17" s="38"/>
    </row>
    <row r="18" spans="1:21" customFormat="1">
      <c r="A18" s="39" t="s">
        <v>334</v>
      </c>
      <c r="B18" s="40">
        <v>12.04</v>
      </c>
      <c r="C18" s="40">
        <v>26.92</v>
      </c>
      <c r="D18" s="40">
        <v>25.07</v>
      </c>
      <c r="E18" s="40">
        <v>7.13</v>
      </c>
      <c r="F18" s="42">
        <v>4.87</v>
      </c>
      <c r="G18" s="40">
        <v>89.94</v>
      </c>
      <c r="H18" s="40">
        <v>32.21</v>
      </c>
      <c r="I18" s="40">
        <v>13.86</v>
      </c>
      <c r="J18" s="40">
        <v>0.38</v>
      </c>
      <c r="K18" s="40">
        <v>323.81</v>
      </c>
      <c r="L18" s="40">
        <v>22.7</v>
      </c>
      <c r="M18" s="40">
        <v>59.1</v>
      </c>
      <c r="N18" s="40">
        <v>216.1</v>
      </c>
      <c r="O18" s="40">
        <v>0</v>
      </c>
      <c r="P18" s="40">
        <v>0.91</v>
      </c>
      <c r="Q18" s="28" t="s">
        <v>15</v>
      </c>
      <c r="R18" s="38"/>
      <c r="S18" s="38"/>
      <c r="T18" s="38"/>
      <c r="U18" s="38"/>
    </row>
    <row r="19" spans="1:21" customFormat="1">
      <c r="A19" s="39" t="s">
        <v>335</v>
      </c>
      <c r="B19" s="40">
        <v>9.02</v>
      </c>
      <c r="C19" s="40">
        <v>25.36</v>
      </c>
      <c r="D19" s="40">
        <v>21.84</v>
      </c>
      <c r="E19" s="40">
        <v>10.16</v>
      </c>
      <c r="F19" s="42">
        <v>5.57</v>
      </c>
      <c r="G19" s="40">
        <v>79.42</v>
      </c>
      <c r="H19" s="40">
        <v>29.19</v>
      </c>
      <c r="I19" s="40">
        <v>12.95</v>
      </c>
      <c r="J19" s="40">
        <v>0.42</v>
      </c>
      <c r="K19" s="40">
        <v>349.17</v>
      </c>
      <c r="L19" s="40">
        <v>24.33</v>
      </c>
      <c r="M19" s="40">
        <v>51.23</v>
      </c>
      <c r="N19" s="40">
        <v>310.3</v>
      </c>
      <c r="O19" s="40">
        <v>0</v>
      </c>
      <c r="P19" s="40">
        <v>0.88</v>
      </c>
      <c r="Q19" s="28" t="s">
        <v>15</v>
      </c>
      <c r="R19" s="38"/>
      <c r="S19" s="38"/>
      <c r="T19" s="38"/>
      <c r="U19" s="38"/>
    </row>
    <row r="20" spans="1:21" customFormat="1">
      <c r="A20" s="39" t="s">
        <v>336</v>
      </c>
      <c r="B20" s="40">
        <v>7.29</v>
      </c>
      <c r="C20" s="40">
        <v>24.39</v>
      </c>
      <c r="D20" s="40">
        <v>19.940000000000001</v>
      </c>
      <c r="E20" s="40">
        <v>10.050000000000001</v>
      </c>
      <c r="F20" s="42">
        <v>10.31</v>
      </c>
      <c r="G20" s="40">
        <v>72.7</v>
      </c>
      <c r="H20" s="40">
        <v>29.5</v>
      </c>
      <c r="I20" s="40">
        <v>12.42</v>
      </c>
      <c r="J20" s="40">
        <v>0.8</v>
      </c>
      <c r="K20" s="40">
        <v>325.08999999999997</v>
      </c>
      <c r="L20" s="40">
        <v>25.68</v>
      </c>
      <c r="M20" s="40">
        <v>44.91</v>
      </c>
      <c r="N20" s="40">
        <v>400.6</v>
      </c>
      <c r="O20" s="40">
        <v>0</v>
      </c>
      <c r="P20" s="40">
        <v>0.86</v>
      </c>
      <c r="Q20" s="28" t="s">
        <v>15</v>
      </c>
      <c r="R20" s="38"/>
      <c r="S20" s="38"/>
      <c r="T20" s="38"/>
      <c r="U20" s="38"/>
    </row>
    <row r="21" spans="1:21" customFormat="1">
      <c r="A21" s="39" t="s">
        <v>337</v>
      </c>
      <c r="B21" s="40">
        <v>5.55</v>
      </c>
      <c r="C21" s="40">
        <v>23.26</v>
      </c>
      <c r="D21" s="40">
        <v>17.96</v>
      </c>
      <c r="E21" s="40">
        <v>10.41</v>
      </c>
      <c r="F21" s="42">
        <v>16.16</v>
      </c>
      <c r="G21" s="40">
        <v>67.89</v>
      </c>
      <c r="H21" s="40">
        <v>28.01</v>
      </c>
      <c r="I21" s="40">
        <v>11.83</v>
      </c>
      <c r="J21" s="40">
        <v>0.44</v>
      </c>
      <c r="K21" s="40">
        <v>326.89999999999998</v>
      </c>
      <c r="L21" s="40">
        <v>26.92</v>
      </c>
      <c r="M21" s="40">
        <v>40.880000000000003</v>
      </c>
      <c r="N21" s="40">
        <v>403.8</v>
      </c>
      <c r="O21" s="40">
        <v>0</v>
      </c>
      <c r="P21" s="40">
        <v>0.83</v>
      </c>
      <c r="Q21" s="28" t="s">
        <v>15</v>
      </c>
      <c r="R21" s="38"/>
      <c r="S21" s="38"/>
      <c r="T21" s="38"/>
      <c r="U21" s="38"/>
    </row>
    <row r="22" spans="1:21" customFormat="1">
      <c r="A22" s="39" t="s">
        <v>338</v>
      </c>
      <c r="B22" s="40">
        <v>4.13</v>
      </c>
      <c r="C22" s="40">
        <v>22.99</v>
      </c>
      <c r="D22" s="40">
        <v>16.47</v>
      </c>
      <c r="E22" s="40">
        <v>10.89</v>
      </c>
      <c r="F22" s="42">
        <v>21.66</v>
      </c>
      <c r="G22" s="40">
        <v>59.7</v>
      </c>
      <c r="H22" s="40">
        <v>26.68</v>
      </c>
      <c r="I22" s="40">
        <v>10.97</v>
      </c>
      <c r="J22" s="40">
        <v>0.69</v>
      </c>
      <c r="K22" s="40">
        <v>345.36</v>
      </c>
      <c r="L22" s="40">
        <v>27.26</v>
      </c>
      <c r="M22" s="40">
        <v>39.14</v>
      </c>
      <c r="N22" s="40">
        <v>358.8</v>
      </c>
      <c r="O22" s="40">
        <v>0</v>
      </c>
      <c r="P22" s="40">
        <v>0.74</v>
      </c>
      <c r="Q22" s="28" t="s">
        <v>15</v>
      </c>
      <c r="R22" s="38"/>
      <c r="S22" s="38"/>
      <c r="T22" s="38"/>
      <c r="U22" s="38"/>
    </row>
    <row r="23" spans="1:21" customFormat="1">
      <c r="A23" s="39" t="s">
        <v>339</v>
      </c>
      <c r="B23" s="40">
        <v>3.79</v>
      </c>
      <c r="C23" s="40">
        <v>23.31</v>
      </c>
      <c r="D23" s="40">
        <v>16.57</v>
      </c>
      <c r="E23" s="40">
        <v>11.08</v>
      </c>
      <c r="F23" s="42">
        <v>41.44</v>
      </c>
      <c r="G23" s="40">
        <v>59.28</v>
      </c>
      <c r="H23" s="40">
        <v>25.48</v>
      </c>
      <c r="I23" s="40">
        <v>11.61</v>
      </c>
      <c r="J23" s="40">
        <v>0.64</v>
      </c>
      <c r="K23" s="40">
        <v>329.84</v>
      </c>
      <c r="L23" s="40">
        <v>27.07</v>
      </c>
      <c r="M23" s="40">
        <v>39.64</v>
      </c>
      <c r="N23" s="40">
        <v>201.3</v>
      </c>
      <c r="O23" s="40">
        <v>0</v>
      </c>
      <c r="P23" s="40">
        <v>0.81</v>
      </c>
      <c r="Q23" s="28" t="s">
        <v>15</v>
      </c>
      <c r="R23" s="38"/>
      <c r="S23" s="38"/>
      <c r="T23" s="38"/>
      <c r="U23" s="38"/>
    </row>
    <row r="24" spans="1:21" customFormat="1">
      <c r="A24" s="39" t="s">
        <v>340</v>
      </c>
      <c r="B24" s="40">
        <v>3.82</v>
      </c>
      <c r="C24" s="40">
        <v>22.93</v>
      </c>
      <c r="D24" s="40">
        <v>16.37</v>
      </c>
      <c r="E24" s="40">
        <v>11.18</v>
      </c>
      <c r="F24" s="42">
        <v>49.56</v>
      </c>
      <c r="G24" s="40">
        <v>65.69</v>
      </c>
      <c r="H24" s="40">
        <v>27.65</v>
      </c>
      <c r="I24" s="40">
        <v>12.02</v>
      </c>
      <c r="J24" s="40">
        <v>0.79</v>
      </c>
      <c r="K24" s="40">
        <v>328.7</v>
      </c>
      <c r="L24" s="40">
        <v>27.02</v>
      </c>
      <c r="M24" s="40">
        <v>43.02</v>
      </c>
      <c r="N24" s="40">
        <v>76.599999999999994</v>
      </c>
      <c r="O24" s="40">
        <v>0</v>
      </c>
      <c r="P24" s="40">
        <v>0.81</v>
      </c>
      <c r="Q24" s="28" t="s">
        <v>15</v>
      </c>
      <c r="R24" s="38"/>
      <c r="S24" s="38"/>
      <c r="T24" s="38"/>
      <c r="U24" s="38"/>
    </row>
    <row r="25" spans="1:21" customFormat="1">
      <c r="A25" s="39" t="s">
        <v>341</v>
      </c>
      <c r="B25" s="40">
        <v>4.07</v>
      </c>
      <c r="C25" s="40">
        <v>25.01</v>
      </c>
      <c r="D25" s="40">
        <v>17.68</v>
      </c>
      <c r="E25" s="40">
        <v>11.55</v>
      </c>
      <c r="F25" s="42">
        <v>10.58</v>
      </c>
      <c r="G25" s="40">
        <v>69.900000000000006</v>
      </c>
      <c r="H25" s="40">
        <v>28.85</v>
      </c>
      <c r="I25" s="40">
        <v>11.67</v>
      </c>
      <c r="J25" s="40">
        <v>0.85</v>
      </c>
      <c r="K25" s="40">
        <v>319.83</v>
      </c>
      <c r="L25" s="40">
        <v>26.53</v>
      </c>
      <c r="M25" s="40">
        <v>46.28</v>
      </c>
      <c r="N25" s="40">
        <v>43.1</v>
      </c>
      <c r="O25" s="40">
        <v>0</v>
      </c>
      <c r="P25" s="40">
        <v>0.81</v>
      </c>
      <c r="Q25" s="28" t="s">
        <v>15</v>
      </c>
      <c r="R25" s="38"/>
      <c r="S25" s="38"/>
      <c r="T25" s="38"/>
      <c r="U25" s="38"/>
    </row>
    <row r="26" spans="1:21" customFormat="1">
      <c r="A26" s="39" t="s">
        <v>342</v>
      </c>
      <c r="B26" s="40">
        <v>5.0999999999999996</v>
      </c>
      <c r="C26" s="40">
        <v>26.88</v>
      </c>
      <c r="D26" s="40">
        <v>19.48</v>
      </c>
      <c r="E26" s="40">
        <v>11.67</v>
      </c>
      <c r="F26" s="42">
        <v>8.02</v>
      </c>
      <c r="G26" s="40">
        <v>75.31</v>
      </c>
      <c r="H26" s="40">
        <v>27.27</v>
      </c>
      <c r="I26" s="40">
        <v>11.34</v>
      </c>
      <c r="J26" s="40">
        <v>0.68</v>
      </c>
      <c r="K26" s="40">
        <v>58.92</v>
      </c>
      <c r="L26" s="40">
        <v>25.45</v>
      </c>
      <c r="M26" s="40">
        <v>51.24</v>
      </c>
      <c r="N26" s="40">
        <v>12</v>
      </c>
      <c r="O26" s="40">
        <v>0</v>
      </c>
      <c r="P26" s="40">
        <v>0.91</v>
      </c>
      <c r="Q26" s="28" t="s">
        <v>15</v>
      </c>
      <c r="R26" s="38"/>
      <c r="S26" s="38"/>
      <c r="T26" s="38"/>
      <c r="U26" s="38"/>
    </row>
    <row r="27" spans="1:21" customFormat="1">
      <c r="A27" s="39" t="s">
        <v>343</v>
      </c>
      <c r="B27" s="40">
        <v>5.92</v>
      </c>
      <c r="C27" s="40">
        <v>27.33</v>
      </c>
      <c r="D27" s="40">
        <v>20.309999999999999</v>
      </c>
      <c r="E27" s="40">
        <v>11.25</v>
      </c>
      <c r="F27" s="42">
        <v>4.43</v>
      </c>
      <c r="G27" s="40">
        <v>86.19</v>
      </c>
      <c r="H27" s="40">
        <v>30.28</v>
      </c>
      <c r="I27" s="40">
        <v>11.98</v>
      </c>
      <c r="J27" s="40">
        <v>0.62</v>
      </c>
      <c r="K27" s="40">
        <v>168.48</v>
      </c>
      <c r="L27" s="40">
        <v>23.63</v>
      </c>
      <c r="M27" s="40">
        <v>67.099999999999994</v>
      </c>
      <c r="N27" s="40">
        <v>2.4</v>
      </c>
      <c r="O27" s="40">
        <v>0</v>
      </c>
      <c r="P27" s="40">
        <v>0.98</v>
      </c>
      <c r="Q27" s="28" t="s">
        <v>15</v>
      </c>
      <c r="R27" s="38"/>
      <c r="S27" s="38"/>
      <c r="T27" s="38"/>
      <c r="U27" s="38"/>
    </row>
    <row r="28" spans="1:21" customFormat="1">
      <c r="A28" s="39" t="s">
        <v>344</v>
      </c>
      <c r="B28" s="40">
        <v>6.22</v>
      </c>
      <c r="C28" s="40">
        <v>27.13</v>
      </c>
      <c r="D28" s="40">
        <v>20.51</v>
      </c>
      <c r="E28" s="40">
        <v>11.09</v>
      </c>
      <c r="F28" s="42">
        <v>4.3</v>
      </c>
      <c r="G28" s="40">
        <v>106.98</v>
      </c>
      <c r="H28" s="40">
        <v>33.31</v>
      </c>
      <c r="I28" s="40">
        <v>12.33</v>
      </c>
      <c r="J28" s="40">
        <v>0.28999999999999998</v>
      </c>
      <c r="K28" s="40">
        <v>262.3</v>
      </c>
      <c r="L28" s="40">
        <v>20.97</v>
      </c>
      <c r="M28" s="40">
        <v>71.489999999999995</v>
      </c>
      <c r="N28" s="40">
        <v>1.9</v>
      </c>
      <c r="O28" s="40">
        <v>0</v>
      </c>
      <c r="P28" s="40">
        <v>1.04</v>
      </c>
      <c r="Q28" s="28" t="s">
        <v>15</v>
      </c>
      <c r="R28" s="38"/>
      <c r="S28" s="38"/>
      <c r="T28" s="38"/>
      <c r="U28" s="38"/>
    </row>
    <row r="29" spans="1:21" customFormat="1">
      <c r="A29" s="39" t="s">
        <v>345</v>
      </c>
      <c r="B29" s="40">
        <v>7.23</v>
      </c>
      <c r="C29" s="40">
        <v>27.25</v>
      </c>
      <c r="D29" s="40">
        <v>21.39</v>
      </c>
      <c r="E29" s="40">
        <v>11.27</v>
      </c>
      <c r="F29" s="42">
        <v>4.0999999999999996</v>
      </c>
      <c r="G29" s="40">
        <v>114.73</v>
      </c>
      <c r="H29" s="40">
        <v>32.31</v>
      </c>
      <c r="I29" s="40">
        <v>12.78</v>
      </c>
      <c r="J29" s="40">
        <v>0.25</v>
      </c>
      <c r="K29" s="40">
        <v>208.75</v>
      </c>
      <c r="L29" s="40">
        <v>20.2</v>
      </c>
      <c r="M29" s="40">
        <v>75.81</v>
      </c>
      <c r="N29" s="40">
        <v>1.7</v>
      </c>
      <c r="O29" s="40">
        <v>0</v>
      </c>
      <c r="P29" s="40">
        <v>1.1100000000000001</v>
      </c>
      <c r="Q29" s="28" t="s">
        <v>15</v>
      </c>
      <c r="R29" s="38"/>
      <c r="S29" s="38"/>
      <c r="T29" s="38"/>
      <c r="U29" s="38"/>
    </row>
    <row r="30" spans="1:21" customFormat="1">
      <c r="A30" s="39" t="s">
        <v>346</v>
      </c>
      <c r="B30" s="40">
        <v>7.79</v>
      </c>
      <c r="C30" s="40">
        <v>27.23</v>
      </c>
      <c r="D30" s="40">
        <v>21.79</v>
      </c>
      <c r="E30" s="40">
        <v>11.32</v>
      </c>
      <c r="F30" s="42">
        <v>4.08</v>
      </c>
      <c r="G30" s="40">
        <v>128.76</v>
      </c>
      <c r="H30" s="40">
        <v>36.94</v>
      </c>
      <c r="I30" s="40">
        <v>13.22</v>
      </c>
      <c r="J30" s="40">
        <v>0.2</v>
      </c>
      <c r="K30" s="40">
        <v>201.29</v>
      </c>
      <c r="L30" s="40">
        <v>19.05</v>
      </c>
      <c r="M30" s="40">
        <v>80.52</v>
      </c>
      <c r="N30" s="40">
        <v>1.9</v>
      </c>
      <c r="O30" s="40">
        <v>0</v>
      </c>
      <c r="P30" s="40">
        <v>1.1599999999999999</v>
      </c>
      <c r="Q30" s="28" t="s">
        <v>15</v>
      </c>
      <c r="R30" s="38"/>
      <c r="S30" s="38"/>
      <c r="T30" s="38"/>
      <c r="U30" s="38"/>
    </row>
    <row r="31" spans="1:21" customFormat="1">
      <c r="A31" s="39" t="s">
        <v>347</v>
      </c>
      <c r="B31" s="40">
        <v>13.41</v>
      </c>
      <c r="C31" s="40">
        <v>28.5</v>
      </c>
      <c r="D31" s="40">
        <v>26.99</v>
      </c>
      <c r="E31" s="40">
        <v>11.06</v>
      </c>
      <c r="F31" s="42">
        <v>4</v>
      </c>
      <c r="G31" s="40">
        <v>128.51</v>
      </c>
      <c r="H31" s="40">
        <v>40.479999999999997</v>
      </c>
      <c r="I31" s="40">
        <v>13.57</v>
      </c>
      <c r="J31" s="40">
        <v>0.33</v>
      </c>
      <c r="K31" s="40">
        <v>186.03</v>
      </c>
      <c r="L31" s="40">
        <v>19.5</v>
      </c>
      <c r="M31" s="40">
        <v>79.55</v>
      </c>
      <c r="N31" s="40">
        <v>1.8</v>
      </c>
      <c r="O31" s="40">
        <v>0</v>
      </c>
      <c r="P31" s="40">
        <v>1.19</v>
      </c>
      <c r="Q31" s="28" t="s">
        <v>15</v>
      </c>
      <c r="R31" s="38"/>
      <c r="S31" s="38"/>
      <c r="T31" s="38"/>
      <c r="U31" s="38"/>
    </row>
    <row r="32" spans="1:21" customFormat="1">
      <c r="A32" s="39" t="s">
        <v>348</v>
      </c>
      <c r="B32" s="40">
        <v>17.190000000000001</v>
      </c>
      <c r="C32" s="40">
        <v>29.61</v>
      </c>
      <c r="D32" s="40">
        <v>30.61</v>
      </c>
      <c r="E32" s="40">
        <v>11.05</v>
      </c>
      <c r="F32" s="42">
        <v>4.09</v>
      </c>
      <c r="G32" s="40">
        <v>137.38</v>
      </c>
      <c r="H32" s="40">
        <v>41.94</v>
      </c>
      <c r="I32" s="40">
        <v>14.2</v>
      </c>
      <c r="J32" s="40">
        <v>0.2</v>
      </c>
      <c r="K32" s="40">
        <v>178.87</v>
      </c>
      <c r="L32" s="40">
        <v>19.11</v>
      </c>
      <c r="M32" s="40">
        <v>80.55</v>
      </c>
      <c r="N32" s="40">
        <v>1.8</v>
      </c>
      <c r="O32" s="40">
        <v>0</v>
      </c>
      <c r="P32" s="40">
        <v>1.23</v>
      </c>
      <c r="Q32" s="28" t="s">
        <v>15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3.79</v>
      </c>
      <c r="C34" s="18">
        <f t="shared" si="0"/>
        <v>22.93</v>
      </c>
      <c r="D34" s="18">
        <f t="shared" si="0"/>
        <v>16.37</v>
      </c>
      <c r="E34" s="18">
        <f t="shared" si="0"/>
        <v>6.86</v>
      </c>
      <c r="F34" s="18">
        <f t="shared" si="0"/>
        <v>4</v>
      </c>
      <c r="G34" s="18">
        <f t="shared" si="0"/>
        <v>59.28</v>
      </c>
      <c r="H34" s="18">
        <f t="shared" si="0"/>
        <v>25.48</v>
      </c>
      <c r="I34" s="18">
        <f t="shared" si="0"/>
        <v>10.97</v>
      </c>
      <c r="J34" s="18">
        <f t="shared" si="0"/>
        <v>0.16</v>
      </c>
      <c r="K34" s="18">
        <f t="shared" si="0"/>
        <v>58.92</v>
      </c>
      <c r="L34" s="18">
        <f t="shared" si="0"/>
        <v>14.96</v>
      </c>
      <c r="M34" s="18">
        <f t="shared" si="0"/>
        <v>39.14</v>
      </c>
      <c r="N34" s="18">
        <f t="shared" si="0"/>
        <v>1.4</v>
      </c>
      <c r="O34" s="18">
        <f t="shared" si="0"/>
        <v>0</v>
      </c>
      <c r="P34" s="18">
        <f t="shared" si="0"/>
        <v>0.74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24.55</v>
      </c>
      <c r="C35" s="3">
        <f t="shared" si="1"/>
        <v>29.61</v>
      </c>
      <c r="D35" s="3">
        <f t="shared" si="1"/>
        <v>35.44</v>
      </c>
      <c r="E35" s="3">
        <f t="shared" si="1"/>
        <v>11.67</v>
      </c>
      <c r="F35" s="3">
        <f t="shared" si="1"/>
        <v>49.56</v>
      </c>
      <c r="G35" s="3">
        <f t="shared" si="1"/>
        <v>137.38</v>
      </c>
      <c r="H35" s="3">
        <f t="shared" si="1"/>
        <v>41.94</v>
      </c>
      <c r="I35" s="3">
        <f t="shared" si="1"/>
        <v>14.48</v>
      </c>
      <c r="J35" s="3">
        <f t="shared" si="1"/>
        <v>0.85</v>
      </c>
      <c r="K35" s="3">
        <f t="shared" si="1"/>
        <v>349.17</v>
      </c>
      <c r="L35" s="3">
        <f t="shared" si="1"/>
        <v>27.26</v>
      </c>
      <c r="M35" s="3">
        <f t="shared" si="1"/>
        <v>88.18</v>
      </c>
      <c r="N35" s="3">
        <f t="shared" si="1"/>
        <v>403.8</v>
      </c>
      <c r="O35" s="3">
        <f t="shared" si="1"/>
        <v>0</v>
      </c>
      <c r="P35" s="3">
        <f t="shared" si="1"/>
        <v>1.23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12.173333333333334</v>
      </c>
      <c r="C36" s="18">
        <f t="shared" si="2"/>
        <v>26.017499999999998</v>
      </c>
      <c r="D36" s="18">
        <f t="shared" si="2"/>
        <v>24.675000000000001</v>
      </c>
      <c r="E36" s="18">
        <f t="shared" si="2"/>
        <v>9.5508333333333333</v>
      </c>
      <c r="F36" s="18">
        <f t="shared" si="2"/>
        <v>9.7237500000000008</v>
      </c>
      <c r="G36" s="18">
        <f t="shared" si="2"/>
        <v>94.843333333333362</v>
      </c>
      <c r="H36" s="18">
        <f t="shared" si="2"/>
        <v>31.207916666666666</v>
      </c>
      <c r="I36" s="18">
        <f t="shared" si="2"/>
        <v>12.862083333333333</v>
      </c>
      <c r="J36" s="18">
        <f t="shared" si="2"/>
        <v>0.42041666666666649</v>
      </c>
      <c r="K36" s="18">
        <f t="shared" si="2"/>
        <v>234.81458333333333</v>
      </c>
      <c r="L36" s="18">
        <f t="shared" si="2"/>
        <v>20.780833333333334</v>
      </c>
      <c r="M36" s="18">
        <f t="shared" si="2"/>
        <v>68.298749999999998</v>
      </c>
      <c r="N36" s="18">
        <f t="shared" si="2"/>
        <v>93.620833333333351</v>
      </c>
      <c r="O36" s="18">
        <f t="shared" si="2"/>
        <v>0</v>
      </c>
      <c r="P36" s="18">
        <f t="shared" si="2"/>
        <v>0.96458333333333346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7.1036149197106839</v>
      </c>
      <c r="C37" s="18">
        <f t="shared" ref="C37:Q37" si="3">STDEV(C9:C32)</f>
        <v>1.8155421995263203</v>
      </c>
      <c r="D37" s="18">
        <f t="shared" si="3"/>
        <v>6.1569642434930643</v>
      </c>
      <c r="E37" s="18">
        <f t="shared" si="3"/>
        <v>1.8971189063755478</v>
      </c>
      <c r="F37" s="18">
        <f t="shared" si="3"/>
        <v>11.8979551814587</v>
      </c>
      <c r="G37" s="18">
        <f t="shared" si="3"/>
        <v>22.622957494480989</v>
      </c>
      <c r="H37" s="18">
        <f t="shared" si="3"/>
        <v>4.0195738246590542</v>
      </c>
      <c r="I37" s="18">
        <f t="shared" si="3"/>
        <v>1.0914130416740637</v>
      </c>
      <c r="J37" s="18">
        <f t="shared" si="3"/>
        <v>0.22324638692566226</v>
      </c>
      <c r="K37" s="18">
        <f t="shared" si="3"/>
        <v>80.634041305208896</v>
      </c>
      <c r="L37" s="18">
        <f t="shared" si="3"/>
        <v>4.6672726573418588</v>
      </c>
      <c r="M37" s="18">
        <f t="shared" si="3"/>
        <v>18.664985892562758</v>
      </c>
      <c r="N37" s="18">
        <f t="shared" si="3"/>
        <v>140.94543186812672</v>
      </c>
      <c r="O37" s="18">
        <f t="shared" si="3"/>
        <v>0</v>
      </c>
      <c r="P37" s="18">
        <f t="shared" si="3"/>
        <v>0.13900200707548885</v>
      </c>
      <c r="Q37" s="18" t="e">
        <f t="shared" si="3"/>
        <v>#DIV/0!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0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LESS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96"/>
  <sheetViews>
    <sheetView zoomScale="85" zoomScaleNormal="85" workbookViewId="0">
      <pane xSplit="2" ySplit="8" topLeftCell="C15" activePane="bottomRight" state="frozen"/>
      <selection activeCell="G19" sqref="G19"/>
      <selection pane="topRight" activeCell="G19" sqref="G19"/>
      <selection pane="bottomLeft" activeCell="G19" sqref="G19"/>
      <selection pane="bottomRight" activeCell="O26" sqref="O26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13/01/2025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349</v>
      </c>
      <c r="B9" s="40">
        <v>18.399999999999999</v>
      </c>
      <c r="C9" s="40">
        <v>29.85</v>
      </c>
      <c r="D9" s="40">
        <v>31.68</v>
      </c>
      <c r="E9" s="40">
        <v>11.34</v>
      </c>
      <c r="F9" s="42">
        <v>4.09</v>
      </c>
      <c r="G9" s="40">
        <v>139.94999999999999</v>
      </c>
      <c r="H9" s="40">
        <v>41.36</v>
      </c>
      <c r="I9" s="40">
        <v>14.49</v>
      </c>
      <c r="J9" s="40">
        <v>0.37</v>
      </c>
      <c r="K9" s="40">
        <v>199.13</v>
      </c>
      <c r="L9" s="40">
        <v>18.77</v>
      </c>
      <c r="M9" s="40">
        <v>80.64</v>
      </c>
      <c r="N9" s="40">
        <v>1.8</v>
      </c>
      <c r="O9" s="40">
        <v>0</v>
      </c>
      <c r="P9" s="40">
        <v>1.24</v>
      </c>
      <c r="Q9" s="28" t="s">
        <v>15</v>
      </c>
      <c r="R9" s="38"/>
      <c r="S9" s="38"/>
      <c r="T9" s="38"/>
      <c r="U9" s="38"/>
    </row>
    <row r="10" spans="1:21" customFormat="1">
      <c r="A10" s="39" t="s">
        <v>350</v>
      </c>
      <c r="B10" s="40">
        <v>17.13</v>
      </c>
      <c r="C10" s="40">
        <v>29.54</v>
      </c>
      <c r="D10" s="40">
        <v>30.52</v>
      </c>
      <c r="E10" s="40">
        <v>11.23</v>
      </c>
      <c r="F10" s="42">
        <v>4.1399999999999997</v>
      </c>
      <c r="G10" s="40">
        <v>136.94999999999999</v>
      </c>
      <c r="H10" s="40">
        <v>43.77</v>
      </c>
      <c r="I10" s="40">
        <v>14.42</v>
      </c>
      <c r="J10" s="40">
        <v>0.43</v>
      </c>
      <c r="K10" s="40">
        <v>86.22</v>
      </c>
      <c r="L10" s="40">
        <v>18.54</v>
      </c>
      <c r="M10" s="40">
        <v>74.06</v>
      </c>
      <c r="N10" s="40">
        <v>1.6</v>
      </c>
      <c r="O10" s="40">
        <v>0</v>
      </c>
      <c r="P10" s="40">
        <v>1.22</v>
      </c>
      <c r="Q10" s="28" t="s">
        <v>15</v>
      </c>
      <c r="R10" s="38"/>
      <c r="S10" s="38"/>
      <c r="T10" s="38"/>
      <c r="U10" s="38"/>
    </row>
    <row r="11" spans="1:21" customFormat="1">
      <c r="A11" s="39" t="s">
        <v>351</v>
      </c>
      <c r="B11" s="40">
        <v>14.11</v>
      </c>
      <c r="C11" s="40">
        <v>28.97</v>
      </c>
      <c r="D11" s="40">
        <v>27.8</v>
      </c>
      <c r="E11" s="40">
        <v>9.39</v>
      </c>
      <c r="F11" s="42">
        <v>4.1500000000000004</v>
      </c>
      <c r="G11" s="40">
        <v>141.13999999999999</v>
      </c>
      <c r="H11" s="40">
        <v>40.479999999999997</v>
      </c>
      <c r="I11" s="40">
        <v>14.05</v>
      </c>
      <c r="J11" s="40">
        <v>0.52</v>
      </c>
      <c r="K11" s="40">
        <v>223.1</v>
      </c>
      <c r="L11" s="40">
        <v>18.309999999999999</v>
      </c>
      <c r="M11" s="40">
        <v>74.09</v>
      </c>
      <c r="N11" s="40">
        <v>2</v>
      </c>
      <c r="O11" s="40">
        <v>0</v>
      </c>
      <c r="P11" s="40">
        <v>1.1499999999999999</v>
      </c>
      <c r="Q11" s="28" t="s">
        <v>15</v>
      </c>
      <c r="R11" s="38"/>
      <c r="S11" s="38"/>
      <c r="T11" s="38"/>
      <c r="U11" s="38"/>
    </row>
    <row r="12" spans="1:21" customFormat="1">
      <c r="A12" s="39" t="s">
        <v>352</v>
      </c>
      <c r="B12" s="40">
        <v>11.52</v>
      </c>
      <c r="C12" s="40">
        <v>28.33</v>
      </c>
      <c r="D12" s="40">
        <v>25.39</v>
      </c>
      <c r="E12" s="40">
        <v>9.0500000000000007</v>
      </c>
      <c r="F12" s="42">
        <v>4.13</v>
      </c>
      <c r="G12" s="40">
        <v>129.69</v>
      </c>
      <c r="H12" s="40">
        <v>38.26</v>
      </c>
      <c r="I12" s="40">
        <v>13.36</v>
      </c>
      <c r="J12" s="40">
        <v>0.25</v>
      </c>
      <c r="K12" s="40">
        <v>210.82</v>
      </c>
      <c r="L12" s="40">
        <v>18.12</v>
      </c>
      <c r="M12" s="40">
        <v>78.95</v>
      </c>
      <c r="N12" s="40">
        <v>2.1</v>
      </c>
      <c r="O12" s="40">
        <v>0</v>
      </c>
      <c r="P12" s="40">
        <v>1.1200000000000001</v>
      </c>
      <c r="Q12" s="28" t="s">
        <v>15</v>
      </c>
      <c r="R12" s="38"/>
      <c r="S12" s="38"/>
      <c r="T12" s="38"/>
      <c r="U12" s="38"/>
    </row>
    <row r="13" spans="1:21" customFormat="1">
      <c r="A13" s="39" t="s">
        <v>353</v>
      </c>
      <c r="B13" s="40">
        <v>10.41</v>
      </c>
      <c r="C13" s="40">
        <v>27.38</v>
      </c>
      <c r="D13" s="40">
        <v>24.01</v>
      </c>
      <c r="E13" s="40">
        <v>8.84</v>
      </c>
      <c r="F13" s="42">
        <v>4.03</v>
      </c>
      <c r="G13" s="40">
        <v>114.22</v>
      </c>
      <c r="H13" s="40">
        <v>38.82</v>
      </c>
      <c r="I13" s="40">
        <v>12.8</v>
      </c>
      <c r="J13" s="40">
        <v>0.18</v>
      </c>
      <c r="K13" s="40">
        <v>180.05</v>
      </c>
      <c r="L13" s="40">
        <v>17.14</v>
      </c>
      <c r="M13" s="40">
        <v>86.62</v>
      </c>
      <c r="N13" s="40">
        <v>1.9</v>
      </c>
      <c r="O13" s="40">
        <v>0</v>
      </c>
      <c r="P13" s="40">
        <v>1.0900000000000001</v>
      </c>
      <c r="Q13" s="28" t="s">
        <v>15</v>
      </c>
      <c r="R13" s="38"/>
      <c r="S13" s="38"/>
      <c r="T13" s="38"/>
      <c r="U13" s="38"/>
    </row>
    <row r="14" spans="1:21" customFormat="1">
      <c r="A14" s="39" t="s">
        <v>354</v>
      </c>
      <c r="B14" s="40">
        <v>10.09</v>
      </c>
      <c r="C14" s="40">
        <v>25.67</v>
      </c>
      <c r="D14" s="40">
        <v>22.84</v>
      </c>
      <c r="E14" s="40">
        <v>8.7100000000000009</v>
      </c>
      <c r="F14" s="42">
        <v>4.09</v>
      </c>
      <c r="G14" s="40">
        <v>104.16</v>
      </c>
      <c r="H14" s="40">
        <v>37.35</v>
      </c>
      <c r="I14" s="40">
        <v>12.29</v>
      </c>
      <c r="J14" s="40">
        <v>0.14000000000000001</v>
      </c>
      <c r="K14" s="40">
        <v>219.91</v>
      </c>
      <c r="L14" s="40">
        <v>16.670000000000002</v>
      </c>
      <c r="M14" s="40">
        <v>88.09</v>
      </c>
      <c r="N14" s="40">
        <v>1.7</v>
      </c>
      <c r="O14" s="40">
        <v>0</v>
      </c>
      <c r="P14" s="40">
        <v>1.06</v>
      </c>
      <c r="Q14" s="28" t="s">
        <v>15</v>
      </c>
      <c r="R14" s="38"/>
      <c r="S14" s="38"/>
      <c r="T14" s="38"/>
      <c r="U14" s="38"/>
    </row>
    <row r="15" spans="1:21" customFormat="1">
      <c r="A15" s="39" t="s">
        <v>355</v>
      </c>
      <c r="B15" s="40">
        <v>16.29</v>
      </c>
      <c r="C15" s="40">
        <v>26.14</v>
      </c>
      <c r="D15" s="40">
        <v>28.07</v>
      </c>
      <c r="E15" s="40">
        <v>8.89</v>
      </c>
      <c r="F15" s="42">
        <v>4.09</v>
      </c>
      <c r="G15" s="40">
        <v>95.07</v>
      </c>
      <c r="H15" s="40">
        <v>35.869999999999997</v>
      </c>
      <c r="I15" s="40">
        <v>11.96</v>
      </c>
      <c r="J15" s="40">
        <v>0.36</v>
      </c>
      <c r="K15" s="40">
        <v>59.61</v>
      </c>
      <c r="L15" s="40">
        <v>16.690000000000001</v>
      </c>
      <c r="M15" s="40">
        <v>86.89</v>
      </c>
      <c r="N15" s="40">
        <v>6.2</v>
      </c>
      <c r="O15" s="40">
        <v>0</v>
      </c>
      <c r="P15" s="40">
        <v>1.04</v>
      </c>
      <c r="Q15" s="28" t="s">
        <v>15</v>
      </c>
      <c r="R15" s="38"/>
      <c r="S15" s="38"/>
      <c r="T15" s="38"/>
      <c r="U15" s="38"/>
    </row>
    <row r="16" spans="1:21" customFormat="1">
      <c r="A16" s="39" t="s">
        <v>356</v>
      </c>
      <c r="B16" s="40">
        <v>17.82</v>
      </c>
      <c r="C16" s="40">
        <v>26.82</v>
      </c>
      <c r="D16" s="40">
        <v>29.65</v>
      </c>
      <c r="E16" s="40">
        <v>8.7899999999999991</v>
      </c>
      <c r="F16" s="42">
        <v>3.95</v>
      </c>
      <c r="G16" s="40">
        <v>95.59</v>
      </c>
      <c r="H16" s="40">
        <v>35.32</v>
      </c>
      <c r="I16" s="40">
        <v>12.53</v>
      </c>
      <c r="J16" s="40">
        <v>0.43</v>
      </c>
      <c r="K16" s="40">
        <v>59.26</v>
      </c>
      <c r="L16" s="40">
        <v>17.71</v>
      </c>
      <c r="M16" s="40">
        <v>80.06</v>
      </c>
      <c r="N16" s="40">
        <v>41.4</v>
      </c>
      <c r="O16" s="40">
        <v>0</v>
      </c>
      <c r="P16" s="40">
        <v>1.1200000000000001</v>
      </c>
      <c r="Q16" s="28" t="s">
        <v>15</v>
      </c>
      <c r="R16" s="38"/>
      <c r="S16" s="38"/>
      <c r="T16" s="38"/>
      <c r="U16" s="38"/>
    </row>
    <row r="17" spans="1:21" customFormat="1">
      <c r="A17" s="39" t="s">
        <v>357</v>
      </c>
      <c r="B17" s="40">
        <v>18.16</v>
      </c>
      <c r="C17" s="40">
        <v>27.74</v>
      </c>
      <c r="D17" s="40">
        <v>29.99</v>
      </c>
      <c r="E17" s="40">
        <v>9.0299999999999994</v>
      </c>
      <c r="F17" s="42">
        <v>4.32</v>
      </c>
      <c r="G17" s="40">
        <v>110.97</v>
      </c>
      <c r="H17" s="40">
        <v>38.11</v>
      </c>
      <c r="I17" s="40">
        <v>13.23</v>
      </c>
      <c r="J17" s="40">
        <v>0.89</v>
      </c>
      <c r="K17" s="40">
        <v>44.42</v>
      </c>
      <c r="L17" s="40">
        <v>19.559999999999999</v>
      </c>
      <c r="M17" s="40">
        <v>75.38</v>
      </c>
      <c r="N17" s="40">
        <v>110.1</v>
      </c>
      <c r="O17" s="40">
        <v>0</v>
      </c>
      <c r="P17" s="40">
        <v>1.1399999999999999</v>
      </c>
      <c r="Q17" s="28" t="s">
        <v>15</v>
      </c>
      <c r="R17" s="38"/>
      <c r="S17" s="38"/>
      <c r="T17" s="38"/>
      <c r="U17" s="38"/>
    </row>
    <row r="18" spans="1:21" customFormat="1">
      <c r="A18" s="39" t="s">
        <v>358</v>
      </c>
      <c r="B18" s="40">
        <v>16.260000000000002</v>
      </c>
      <c r="C18" s="40">
        <v>29.98</v>
      </c>
      <c r="D18" s="40">
        <v>29.14</v>
      </c>
      <c r="E18" s="40">
        <v>9.17</v>
      </c>
      <c r="F18" s="42">
        <v>4.4400000000000004</v>
      </c>
      <c r="G18" s="40">
        <v>114.02</v>
      </c>
      <c r="H18" s="40">
        <v>38.92</v>
      </c>
      <c r="I18" s="40">
        <v>13.3</v>
      </c>
      <c r="J18" s="40">
        <v>0.9</v>
      </c>
      <c r="K18" s="40">
        <v>93.32</v>
      </c>
      <c r="L18" s="40">
        <v>21.89</v>
      </c>
      <c r="M18" s="40">
        <v>64.78</v>
      </c>
      <c r="N18" s="40">
        <v>160.69999999999999</v>
      </c>
      <c r="O18" s="40">
        <v>0</v>
      </c>
      <c r="P18" s="40">
        <v>1.1399999999999999</v>
      </c>
      <c r="Q18" s="28" t="s">
        <v>15</v>
      </c>
      <c r="R18" s="38"/>
      <c r="S18" s="38"/>
      <c r="T18" s="38"/>
      <c r="U18" s="38"/>
    </row>
    <row r="19" spans="1:21" customFormat="1">
      <c r="A19" s="39" t="s">
        <v>359</v>
      </c>
      <c r="B19" s="40">
        <v>15.87</v>
      </c>
      <c r="C19" s="40">
        <v>32.22</v>
      </c>
      <c r="D19" s="40">
        <v>30.74</v>
      </c>
      <c r="E19" s="40">
        <v>10.51</v>
      </c>
      <c r="F19" s="42">
        <v>5.0599999999999996</v>
      </c>
      <c r="G19" s="40">
        <v>112.39</v>
      </c>
      <c r="H19" s="40">
        <v>39.71</v>
      </c>
      <c r="I19" s="40">
        <v>12.85</v>
      </c>
      <c r="J19" s="40">
        <v>0.84</v>
      </c>
      <c r="K19" s="40">
        <v>53.73</v>
      </c>
      <c r="L19" s="40">
        <v>23.64</v>
      </c>
      <c r="M19" s="40">
        <v>56.96</v>
      </c>
      <c r="N19" s="40">
        <v>232.5</v>
      </c>
      <c r="O19" s="40">
        <v>0</v>
      </c>
      <c r="P19" s="40">
        <v>1.0900000000000001</v>
      </c>
      <c r="Q19" s="28" t="s">
        <v>15</v>
      </c>
      <c r="R19" s="38"/>
      <c r="S19" s="38"/>
      <c r="T19" s="38"/>
      <c r="U19" s="38"/>
    </row>
    <row r="20" spans="1:21" customFormat="1">
      <c r="A20" s="39" t="s">
        <v>360</v>
      </c>
      <c r="B20" s="40">
        <v>14.44</v>
      </c>
      <c r="C20" s="40">
        <v>33.76</v>
      </c>
      <c r="D20" s="40">
        <v>29.98</v>
      </c>
      <c r="E20" s="40">
        <v>10.9</v>
      </c>
      <c r="F20" s="42">
        <v>7.61</v>
      </c>
      <c r="G20" s="40">
        <v>113.47</v>
      </c>
      <c r="H20" s="40">
        <v>40.14</v>
      </c>
      <c r="I20" s="40">
        <v>12.5</v>
      </c>
      <c r="J20" s="40">
        <v>0.76</v>
      </c>
      <c r="K20" s="40">
        <v>351.8</v>
      </c>
      <c r="L20" s="40">
        <v>25.18</v>
      </c>
      <c r="M20" s="40">
        <v>50.97</v>
      </c>
      <c r="N20" s="40">
        <v>251.5</v>
      </c>
      <c r="O20" s="40">
        <v>0</v>
      </c>
      <c r="P20" s="40">
        <v>1.06</v>
      </c>
      <c r="Q20" s="28" t="s">
        <v>15</v>
      </c>
      <c r="R20" s="38"/>
      <c r="S20" s="38"/>
      <c r="T20" s="38"/>
      <c r="U20" s="38"/>
    </row>
    <row r="21" spans="1:21" customFormat="1">
      <c r="A21" s="39" t="s">
        <v>361</v>
      </c>
      <c r="B21" s="40">
        <v>11.27</v>
      </c>
      <c r="C21" s="40">
        <v>35.68</v>
      </c>
      <c r="D21" s="40">
        <v>28.54</v>
      </c>
      <c r="E21" s="40">
        <v>11.88</v>
      </c>
      <c r="F21" s="42">
        <v>7.53</v>
      </c>
      <c r="G21" s="40">
        <v>111.94</v>
      </c>
      <c r="H21" s="40">
        <v>39.78</v>
      </c>
      <c r="I21" s="40">
        <v>11.98</v>
      </c>
      <c r="J21" s="40">
        <v>0.87</v>
      </c>
      <c r="K21" s="40">
        <v>359.98</v>
      </c>
      <c r="L21" s="40">
        <v>25.7</v>
      </c>
      <c r="M21" s="40">
        <v>47.16</v>
      </c>
      <c r="N21" s="40">
        <v>276.7</v>
      </c>
      <c r="O21" s="40">
        <v>0</v>
      </c>
      <c r="P21" s="40">
        <v>1.02</v>
      </c>
      <c r="Q21" s="28" t="s">
        <v>15</v>
      </c>
      <c r="R21" s="38"/>
      <c r="S21" s="38"/>
      <c r="T21" s="38"/>
      <c r="U21" s="38"/>
    </row>
    <row r="22" spans="1:21" customFormat="1">
      <c r="A22" s="39" t="s">
        <v>362</v>
      </c>
      <c r="B22" s="40">
        <v>9.34</v>
      </c>
      <c r="C22" s="40">
        <v>37.32</v>
      </c>
      <c r="D22" s="40">
        <v>27.57</v>
      </c>
      <c r="E22" s="40">
        <v>20.21</v>
      </c>
      <c r="F22" s="42">
        <v>7.05</v>
      </c>
      <c r="G22" s="40">
        <v>106.17</v>
      </c>
      <c r="H22" s="40">
        <v>38.71</v>
      </c>
      <c r="I22" s="40">
        <v>11.65</v>
      </c>
      <c r="J22" s="40">
        <v>1.04</v>
      </c>
      <c r="K22" s="40">
        <v>56.94</v>
      </c>
      <c r="L22" s="40">
        <v>26.09</v>
      </c>
      <c r="M22" s="40">
        <v>45.54</v>
      </c>
      <c r="N22" s="40">
        <v>246.5</v>
      </c>
      <c r="O22" s="40">
        <v>0</v>
      </c>
      <c r="P22" s="40">
        <v>1.03</v>
      </c>
      <c r="Q22" s="40">
        <v>13.03</v>
      </c>
      <c r="R22" s="38"/>
      <c r="S22" s="38"/>
      <c r="T22" s="38"/>
      <c r="U22" s="38"/>
    </row>
    <row r="23" spans="1:21" customFormat="1">
      <c r="A23" s="39" t="s">
        <v>363</v>
      </c>
      <c r="B23" s="40">
        <v>4.79</v>
      </c>
      <c r="C23" s="40">
        <v>37.33</v>
      </c>
      <c r="D23" s="40">
        <v>24.7</v>
      </c>
      <c r="E23" s="40">
        <v>18.940000000000001</v>
      </c>
      <c r="F23" s="42">
        <v>7.97</v>
      </c>
      <c r="G23" s="10" t="s">
        <v>12</v>
      </c>
      <c r="H23" s="10" t="s">
        <v>12</v>
      </c>
      <c r="I23" s="40">
        <v>10.83</v>
      </c>
      <c r="J23" s="40">
        <v>0.8</v>
      </c>
      <c r="K23" s="40">
        <v>44.24</v>
      </c>
      <c r="L23" s="40">
        <v>26.29</v>
      </c>
      <c r="M23" s="40">
        <v>44.78</v>
      </c>
      <c r="N23" s="40">
        <v>202.6</v>
      </c>
      <c r="O23" s="40">
        <v>0</v>
      </c>
      <c r="P23" s="40">
        <v>0.94</v>
      </c>
      <c r="Q23" s="40">
        <v>13.01</v>
      </c>
      <c r="R23" s="38"/>
      <c r="S23" s="38"/>
      <c r="T23" s="38"/>
      <c r="U23" s="38"/>
    </row>
    <row r="24" spans="1:21" customFormat="1">
      <c r="A24" s="39" t="s">
        <v>364</v>
      </c>
      <c r="B24" s="40">
        <v>3.85</v>
      </c>
      <c r="C24" s="40">
        <v>32.42</v>
      </c>
      <c r="D24" s="40">
        <v>21.36</v>
      </c>
      <c r="E24" s="40">
        <v>14.98</v>
      </c>
      <c r="F24" s="42">
        <v>9.2799999999999994</v>
      </c>
      <c r="G24" s="40">
        <v>53.7</v>
      </c>
      <c r="H24" s="40">
        <v>10.92</v>
      </c>
      <c r="I24" s="40">
        <v>10.24</v>
      </c>
      <c r="J24" s="40">
        <v>0.57999999999999996</v>
      </c>
      <c r="K24" s="40">
        <v>101.11</v>
      </c>
      <c r="L24" s="40">
        <v>26.26</v>
      </c>
      <c r="M24" s="40">
        <v>45.45</v>
      </c>
      <c r="N24" s="40">
        <v>88.1</v>
      </c>
      <c r="O24" s="40">
        <v>0</v>
      </c>
      <c r="P24" s="40">
        <v>0.9</v>
      </c>
      <c r="Q24" s="40">
        <v>13</v>
      </c>
      <c r="R24" s="38"/>
      <c r="S24" s="38"/>
      <c r="T24" s="38"/>
      <c r="U24" s="38"/>
    </row>
    <row r="25" spans="1:21" customFormat="1">
      <c r="A25" s="39" t="s">
        <v>365</v>
      </c>
      <c r="B25" s="40">
        <v>4.68</v>
      </c>
      <c r="C25" s="40">
        <v>30.77</v>
      </c>
      <c r="D25" s="40">
        <v>20.61</v>
      </c>
      <c r="E25" s="40">
        <v>13.51</v>
      </c>
      <c r="F25" s="42">
        <v>10.06</v>
      </c>
      <c r="G25" s="40">
        <v>70.709999999999994</v>
      </c>
      <c r="H25" s="40">
        <v>23.81</v>
      </c>
      <c r="I25" s="40">
        <v>9.7200000000000006</v>
      </c>
      <c r="J25" s="40">
        <v>0.69</v>
      </c>
      <c r="K25" s="40">
        <v>67.64</v>
      </c>
      <c r="L25" s="40">
        <v>25.92</v>
      </c>
      <c r="M25" s="40">
        <v>49.22</v>
      </c>
      <c r="N25" s="40">
        <v>46.3</v>
      </c>
      <c r="O25" s="40">
        <v>0</v>
      </c>
      <c r="P25" s="40">
        <v>0.92</v>
      </c>
      <c r="Q25" s="40">
        <v>13.01</v>
      </c>
      <c r="R25" s="38"/>
      <c r="S25" s="38"/>
      <c r="T25" s="38"/>
      <c r="U25" s="38"/>
    </row>
    <row r="26" spans="1:21" customFormat="1">
      <c r="A26" s="39" t="s">
        <v>366</v>
      </c>
      <c r="B26" s="40">
        <v>5.64</v>
      </c>
      <c r="C26" s="40">
        <v>29.08</v>
      </c>
      <c r="D26" s="40">
        <v>21.07</v>
      </c>
      <c r="E26" s="40">
        <v>10.84</v>
      </c>
      <c r="F26" s="42">
        <v>7.68</v>
      </c>
      <c r="G26" s="40">
        <v>82.87</v>
      </c>
      <c r="H26" s="40">
        <v>26.99</v>
      </c>
      <c r="I26" s="40">
        <v>10.36</v>
      </c>
      <c r="J26" s="40">
        <v>0.52</v>
      </c>
      <c r="K26" s="40">
        <v>61.54</v>
      </c>
      <c r="L26" s="40">
        <v>24.83</v>
      </c>
      <c r="M26" s="40">
        <v>56.13</v>
      </c>
      <c r="N26" s="40">
        <v>12.6</v>
      </c>
      <c r="O26" s="40">
        <v>0</v>
      </c>
      <c r="P26" s="40">
        <v>0.98</v>
      </c>
      <c r="Q26" s="40">
        <v>13.01</v>
      </c>
      <c r="R26" s="38"/>
      <c r="S26" s="38"/>
      <c r="T26" s="38"/>
      <c r="U26" s="38"/>
    </row>
    <row r="27" spans="1:21" customFormat="1">
      <c r="A27" s="39" t="s">
        <v>367</v>
      </c>
      <c r="B27" s="40">
        <v>6.22</v>
      </c>
      <c r="C27" s="40">
        <v>31.81</v>
      </c>
      <c r="D27" s="40">
        <v>22.96</v>
      </c>
      <c r="E27" s="40">
        <v>6.63</v>
      </c>
      <c r="F27" s="42">
        <v>5.95</v>
      </c>
      <c r="G27" s="40">
        <v>105.34</v>
      </c>
      <c r="H27" s="40">
        <v>32.36</v>
      </c>
      <c r="I27" s="40">
        <v>12.09</v>
      </c>
      <c r="J27" s="40">
        <v>0.28000000000000003</v>
      </c>
      <c r="K27" s="40">
        <v>171.55</v>
      </c>
      <c r="L27" s="40">
        <v>22.61</v>
      </c>
      <c r="M27" s="40">
        <v>70.290000000000006</v>
      </c>
      <c r="N27" s="40">
        <v>2.1</v>
      </c>
      <c r="O27" s="40">
        <v>0</v>
      </c>
      <c r="P27" s="40">
        <v>1.05</v>
      </c>
      <c r="Q27" s="40">
        <v>13.01</v>
      </c>
      <c r="R27" s="38"/>
      <c r="S27" s="38"/>
      <c r="T27" s="38"/>
      <c r="U27" s="38"/>
    </row>
    <row r="28" spans="1:21" customFormat="1">
      <c r="A28" s="39" t="s">
        <v>368</v>
      </c>
      <c r="B28" s="40">
        <v>8.7100000000000009</v>
      </c>
      <c r="C28" s="40">
        <v>33.090000000000003</v>
      </c>
      <c r="D28" s="40">
        <v>25.63</v>
      </c>
      <c r="E28" s="40">
        <v>6.93</v>
      </c>
      <c r="F28" s="42">
        <v>4.2699999999999996</v>
      </c>
      <c r="G28" s="40">
        <v>124.78</v>
      </c>
      <c r="H28" s="40">
        <v>43.34</v>
      </c>
      <c r="I28" s="40">
        <v>14.14</v>
      </c>
      <c r="J28" s="40">
        <v>0.37</v>
      </c>
      <c r="K28" s="40">
        <v>156.55000000000001</v>
      </c>
      <c r="L28" s="40">
        <v>21.43</v>
      </c>
      <c r="M28" s="40">
        <v>72.3</v>
      </c>
      <c r="N28" s="40">
        <v>1.7</v>
      </c>
      <c r="O28" s="40">
        <v>0</v>
      </c>
      <c r="P28" s="40">
        <v>1.18</v>
      </c>
      <c r="Q28" s="40">
        <v>13.03</v>
      </c>
      <c r="R28" s="38"/>
      <c r="S28" s="38"/>
      <c r="T28" s="38"/>
      <c r="U28" s="38"/>
    </row>
    <row r="29" spans="1:21" customFormat="1">
      <c r="A29" s="39" t="s">
        <v>369</v>
      </c>
      <c r="B29" s="40">
        <v>10.33</v>
      </c>
      <c r="C29" s="40">
        <v>33.74</v>
      </c>
      <c r="D29" s="40">
        <v>27.26</v>
      </c>
      <c r="E29" s="40">
        <v>7.1</v>
      </c>
      <c r="F29" s="42">
        <v>4</v>
      </c>
      <c r="G29" s="40">
        <v>153.4</v>
      </c>
      <c r="H29" s="40">
        <v>51.96</v>
      </c>
      <c r="I29" s="40">
        <v>16.350000000000001</v>
      </c>
      <c r="J29" s="40">
        <v>0.44</v>
      </c>
      <c r="K29" s="40">
        <v>58.5</v>
      </c>
      <c r="L29" s="40">
        <v>21.17</v>
      </c>
      <c r="M29" s="40">
        <v>68.510000000000005</v>
      </c>
      <c r="N29" s="40">
        <v>1.7</v>
      </c>
      <c r="O29" s="40">
        <v>0</v>
      </c>
      <c r="P29" s="40">
        <v>1.29</v>
      </c>
      <c r="Q29" s="40">
        <v>13.04</v>
      </c>
      <c r="R29" s="38"/>
      <c r="S29" s="38"/>
      <c r="T29" s="38"/>
      <c r="U29" s="38"/>
    </row>
    <row r="30" spans="1:21" customFormat="1">
      <c r="A30" s="39" t="s">
        <v>370</v>
      </c>
      <c r="B30" s="40">
        <v>10.050000000000001</v>
      </c>
      <c r="C30" s="40">
        <v>33.44</v>
      </c>
      <c r="D30" s="40">
        <v>26.88</v>
      </c>
      <c r="E30" s="40">
        <v>7.07</v>
      </c>
      <c r="F30" s="42">
        <v>4.09</v>
      </c>
      <c r="G30" s="40">
        <v>153.4</v>
      </c>
      <c r="H30" s="40">
        <v>54.14</v>
      </c>
      <c r="I30" s="40">
        <v>17.14</v>
      </c>
      <c r="J30" s="40">
        <v>0.8</v>
      </c>
      <c r="K30" s="40">
        <v>181.16</v>
      </c>
      <c r="L30" s="40">
        <v>20.11</v>
      </c>
      <c r="M30" s="40">
        <v>77.8</v>
      </c>
      <c r="N30" s="40">
        <v>2.2999999999999998</v>
      </c>
      <c r="O30" s="40">
        <v>0</v>
      </c>
      <c r="P30" s="40">
        <v>1.32</v>
      </c>
      <c r="Q30" s="40">
        <v>13.01</v>
      </c>
      <c r="R30" s="38"/>
      <c r="S30" s="38"/>
      <c r="T30" s="38"/>
      <c r="U30" s="38"/>
    </row>
    <row r="31" spans="1:21" customFormat="1">
      <c r="A31" s="39" t="s">
        <v>371</v>
      </c>
      <c r="B31" s="40">
        <v>10.14</v>
      </c>
      <c r="C31" s="40">
        <v>33.229999999999997</v>
      </c>
      <c r="D31" s="40">
        <v>26.63</v>
      </c>
      <c r="E31" s="40">
        <v>7.08</v>
      </c>
      <c r="F31" s="42">
        <v>4.09</v>
      </c>
      <c r="G31" s="40">
        <v>146.38999999999999</v>
      </c>
      <c r="H31" s="40">
        <v>54.14</v>
      </c>
      <c r="I31" s="40">
        <v>17.41</v>
      </c>
      <c r="J31" s="40">
        <v>0.71</v>
      </c>
      <c r="K31" s="40">
        <v>68.63</v>
      </c>
      <c r="L31" s="40">
        <v>19.64</v>
      </c>
      <c r="M31" s="40">
        <v>75.989999999999995</v>
      </c>
      <c r="N31" s="40">
        <v>1.8</v>
      </c>
      <c r="O31" s="40">
        <v>0</v>
      </c>
      <c r="P31" s="40">
        <v>1.31</v>
      </c>
      <c r="Q31" s="40">
        <v>13.01</v>
      </c>
      <c r="R31" s="38"/>
      <c r="S31" s="38"/>
      <c r="T31" s="38"/>
      <c r="U31" s="38"/>
    </row>
    <row r="32" spans="1:21" customFormat="1">
      <c r="A32" s="39" t="s">
        <v>372</v>
      </c>
      <c r="B32" s="40">
        <v>10.41</v>
      </c>
      <c r="C32" s="40">
        <v>32.299999999999997</v>
      </c>
      <c r="D32" s="40">
        <v>26.56</v>
      </c>
      <c r="E32" s="40">
        <v>7.37</v>
      </c>
      <c r="F32" s="42">
        <v>4.07</v>
      </c>
      <c r="G32" s="40">
        <v>143.68</v>
      </c>
      <c r="H32" s="40">
        <v>52.24</v>
      </c>
      <c r="I32" s="40">
        <v>16.940000000000001</v>
      </c>
      <c r="J32" s="40">
        <v>0.92</v>
      </c>
      <c r="K32" s="40">
        <v>51.98</v>
      </c>
      <c r="L32" s="40">
        <v>18.559999999999999</v>
      </c>
      <c r="M32" s="40">
        <v>76.66</v>
      </c>
      <c r="N32" s="40">
        <v>1.8</v>
      </c>
      <c r="O32" s="40">
        <v>0</v>
      </c>
      <c r="P32" s="40">
        <v>1.24</v>
      </c>
      <c r="Q32" s="40">
        <v>13.01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3.85</v>
      </c>
      <c r="C34" s="18">
        <f t="shared" si="0"/>
        <v>25.67</v>
      </c>
      <c r="D34" s="18">
        <f t="shared" si="0"/>
        <v>20.61</v>
      </c>
      <c r="E34" s="18">
        <f t="shared" si="0"/>
        <v>6.63</v>
      </c>
      <c r="F34" s="18">
        <f t="shared" si="0"/>
        <v>3.95</v>
      </c>
      <c r="G34" s="18">
        <f t="shared" si="0"/>
        <v>53.7</v>
      </c>
      <c r="H34" s="18">
        <f t="shared" si="0"/>
        <v>10.92</v>
      </c>
      <c r="I34" s="18">
        <f t="shared" si="0"/>
        <v>9.7200000000000006</v>
      </c>
      <c r="J34" s="18">
        <f t="shared" si="0"/>
        <v>0.14000000000000001</v>
      </c>
      <c r="K34" s="18">
        <f t="shared" si="0"/>
        <v>44.24</v>
      </c>
      <c r="L34" s="18">
        <f t="shared" si="0"/>
        <v>16.670000000000002</v>
      </c>
      <c r="M34" s="18">
        <f t="shared" si="0"/>
        <v>44.78</v>
      </c>
      <c r="N34" s="18">
        <f t="shared" si="0"/>
        <v>1.6</v>
      </c>
      <c r="O34" s="18">
        <f t="shared" si="0"/>
        <v>0</v>
      </c>
      <c r="P34" s="18">
        <f t="shared" si="0"/>
        <v>0.9</v>
      </c>
      <c r="Q34" s="18">
        <f t="shared" si="0"/>
        <v>13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18.399999999999999</v>
      </c>
      <c r="C35" s="3">
        <f t="shared" si="1"/>
        <v>37.33</v>
      </c>
      <c r="D35" s="3">
        <f t="shared" si="1"/>
        <v>31.68</v>
      </c>
      <c r="E35" s="3">
        <f t="shared" si="1"/>
        <v>20.21</v>
      </c>
      <c r="F35" s="3">
        <f t="shared" si="1"/>
        <v>10.06</v>
      </c>
      <c r="G35" s="3">
        <f t="shared" si="1"/>
        <v>153.4</v>
      </c>
      <c r="H35" s="3">
        <f t="shared" si="1"/>
        <v>54.14</v>
      </c>
      <c r="I35" s="3">
        <f t="shared" si="1"/>
        <v>17.41</v>
      </c>
      <c r="J35" s="3">
        <f t="shared" si="1"/>
        <v>1.04</v>
      </c>
      <c r="K35" s="3">
        <f t="shared" si="1"/>
        <v>359.98</v>
      </c>
      <c r="L35" s="3">
        <f t="shared" si="1"/>
        <v>26.29</v>
      </c>
      <c r="M35" s="3">
        <f t="shared" si="1"/>
        <v>88.09</v>
      </c>
      <c r="N35" s="3">
        <f t="shared" si="1"/>
        <v>276.7</v>
      </c>
      <c r="O35" s="3">
        <f t="shared" si="1"/>
        <v>0</v>
      </c>
      <c r="P35" s="3">
        <f t="shared" si="1"/>
        <v>1.32</v>
      </c>
      <c r="Q35" s="3">
        <f t="shared" si="1"/>
        <v>13.04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11.497083333333334</v>
      </c>
      <c r="C36" s="18">
        <f t="shared" si="2"/>
        <v>31.108749999999997</v>
      </c>
      <c r="D36" s="18">
        <f t="shared" si="2"/>
        <v>26.64916666666667</v>
      </c>
      <c r="E36" s="18">
        <f t="shared" si="2"/>
        <v>10.349583333333333</v>
      </c>
      <c r="F36" s="18">
        <f t="shared" si="2"/>
        <v>5.4225000000000003</v>
      </c>
      <c r="G36" s="18">
        <f t="shared" si="2"/>
        <v>115.65217391304348</v>
      </c>
      <c r="H36" s="18">
        <f t="shared" si="2"/>
        <v>38.978260869565219</v>
      </c>
      <c r="I36" s="18">
        <f t="shared" si="2"/>
        <v>13.192916666666669</v>
      </c>
      <c r="J36" s="18">
        <f t="shared" si="2"/>
        <v>0.58708333333333329</v>
      </c>
      <c r="K36" s="18">
        <f t="shared" si="2"/>
        <v>131.71625</v>
      </c>
      <c r="L36" s="18">
        <f t="shared" si="2"/>
        <v>21.284583333333334</v>
      </c>
      <c r="M36" s="18">
        <f t="shared" si="2"/>
        <v>67.805000000000007</v>
      </c>
      <c r="N36" s="18">
        <f t="shared" si="2"/>
        <v>70.737499999999983</v>
      </c>
      <c r="O36" s="18">
        <f t="shared" si="2"/>
        <v>0</v>
      </c>
      <c r="P36" s="18">
        <f t="shared" si="2"/>
        <v>1.1104166666666666</v>
      </c>
      <c r="Q36" s="18">
        <f t="shared" si="2"/>
        <v>13.015454545454547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4.5598641085459777</v>
      </c>
      <c r="C37" s="18">
        <f t="shared" ref="C37:Q37" si="3">STDEV(C9:C32)</f>
        <v>3.3009686490089032</v>
      </c>
      <c r="D37" s="18">
        <f t="shared" si="3"/>
        <v>3.2287821323172152</v>
      </c>
      <c r="E37" s="18">
        <f t="shared" si="3"/>
        <v>3.543543398752242</v>
      </c>
      <c r="F37" s="18">
        <f t="shared" si="3"/>
        <v>1.9284985148397509</v>
      </c>
      <c r="G37" s="18">
        <f t="shared" si="3"/>
        <v>25.846541347049556</v>
      </c>
      <c r="H37" s="18">
        <f t="shared" si="3"/>
        <v>9.7433537497357641</v>
      </c>
      <c r="I37" s="18">
        <f t="shared" si="3"/>
        <v>2.138836496315442</v>
      </c>
      <c r="J37" s="18">
        <f t="shared" si="3"/>
        <v>0.26336417449189486</v>
      </c>
      <c r="K37" s="18">
        <f t="shared" si="3"/>
        <v>93.497656367395919</v>
      </c>
      <c r="L37" s="18">
        <f t="shared" si="3"/>
        <v>3.4192167666150266</v>
      </c>
      <c r="M37" s="18">
        <f t="shared" si="3"/>
        <v>14.477535822033406</v>
      </c>
      <c r="N37" s="18">
        <f t="shared" si="3"/>
        <v>98.993846152611709</v>
      </c>
      <c r="O37" s="18">
        <f t="shared" si="3"/>
        <v>0</v>
      </c>
      <c r="P37" s="18">
        <f t="shared" si="3"/>
        <v>0.11899869077345894</v>
      </c>
      <c r="Q37" s="18">
        <f t="shared" si="3"/>
        <v>1.2135597524338099E-2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>COUNT(G9:G32)+1</f>
        <v>24</v>
      </c>
      <c r="H38" s="34">
        <f>COUNT(H9:H32)+1</f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11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LESS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F39" sqref="F3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14/01/2025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373</v>
      </c>
      <c r="B9" s="40">
        <v>10.48</v>
      </c>
      <c r="C9" s="40">
        <v>29.47</v>
      </c>
      <c r="D9" s="40">
        <v>24.93</v>
      </c>
      <c r="E9" s="40">
        <v>7.41</v>
      </c>
      <c r="F9" s="27" t="s">
        <v>8</v>
      </c>
      <c r="G9" s="40">
        <v>126.66</v>
      </c>
      <c r="H9" s="40">
        <v>45.79</v>
      </c>
      <c r="I9" s="40">
        <v>15.72</v>
      </c>
      <c r="J9" s="40">
        <v>0.53</v>
      </c>
      <c r="K9" s="40">
        <v>55.75</v>
      </c>
      <c r="L9" s="40">
        <v>17.82</v>
      </c>
      <c r="M9" s="40">
        <v>80.12</v>
      </c>
      <c r="N9" s="40">
        <v>1.7</v>
      </c>
      <c r="O9" s="40">
        <v>0</v>
      </c>
      <c r="P9" s="40">
        <v>1.1599999999999999</v>
      </c>
      <c r="Q9" s="40">
        <v>13</v>
      </c>
      <c r="R9" s="38"/>
      <c r="S9" s="38"/>
      <c r="T9" s="38"/>
      <c r="U9" s="38"/>
    </row>
    <row r="10" spans="1:21" customFormat="1">
      <c r="A10" s="39" t="s">
        <v>374</v>
      </c>
      <c r="B10" s="40">
        <v>10.43</v>
      </c>
      <c r="C10" s="40">
        <v>28.67</v>
      </c>
      <c r="D10" s="40">
        <v>24.69</v>
      </c>
      <c r="E10" s="40">
        <v>6.91</v>
      </c>
      <c r="F10" s="27" t="s">
        <v>8</v>
      </c>
      <c r="G10" s="40">
        <v>99.74</v>
      </c>
      <c r="H10" s="40">
        <v>41.5</v>
      </c>
      <c r="I10" s="40">
        <v>14.61</v>
      </c>
      <c r="J10" s="40">
        <v>0.68</v>
      </c>
      <c r="K10" s="40">
        <v>45.9</v>
      </c>
      <c r="L10" s="40">
        <v>17.170000000000002</v>
      </c>
      <c r="M10" s="40">
        <v>82.95</v>
      </c>
      <c r="N10" s="40">
        <v>1.7</v>
      </c>
      <c r="O10" s="40">
        <v>0</v>
      </c>
      <c r="P10" s="40">
        <v>1.1000000000000001</v>
      </c>
      <c r="Q10" s="40">
        <v>13.01</v>
      </c>
      <c r="R10" s="38"/>
      <c r="S10" s="38"/>
      <c r="T10" s="38"/>
      <c r="U10" s="38"/>
    </row>
    <row r="11" spans="1:21" customFormat="1">
      <c r="A11" s="39" t="s">
        <v>375</v>
      </c>
      <c r="B11" s="40">
        <v>10.15</v>
      </c>
      <c r="C11" s="40">
        <v>27.17</v>
      </c>
      <c r="D11" s="40">
        <v>23.63</v>
      </c>
      <c r="E11" s="40">
        <v>10.26</v>
      </c>
      <c r="F11" s="27" t="s">
        <v>8</v>
      </c>
      <c r="G11" s="40">
        <v>92.09</v>
      </c>
      <c r="H11" s="40">
        <v>39.409999999999997</v>
      </c>
      <c r="I11" s="40">
        <v>13.8</v>
      </c>
      <c r="J11" s="40">
        <v>0.52</v>
      </c>
      <c r="K11" s="40">
        <v>75.12</v>
      </c>
      <c r="L11" s="40">
        <v>16.52</v>
      </c>
      <c r="M11" s="40">
        <v>85.49</v>
      </c>
      <c r="N11" s="40">
        <v>1.7</v>
      </c>
      <c r="O11" s="40">
        <v>0</v>
      </c>
      <c r="P11" s="40">
        <v>1.05</v>
      </c>
      <c r="Q11" s="40">
        <v>13</v>
      </c>
      <c r="R11" s="38"/>
      <c r="S11" s="38"/>
      <c r="T11" s="38"/>
      <c r="U11" s="38"/>
    </row>
    <row r="12" spans="1:21" customFormat="1">
      <c r="A12" s="39" t="s">
        <v>376</v>
      </c>
      <c r="B12" s="40">
        <v>9.98</v>
      </c>
      <c r="C12" s="40">
        <v>26.32</v>
      </c>
      <c r="D12" s="40">
        <v>23.11</v>
      </c>
      <c r="E12" s="40">
        <v>9.85</v>
      </c>
      <c r="F12" s="27" t="s">
        <v>8</v>
      </c>
      <c r="G12" s="40">
        <v>87.88</v>
      </c>
      <c r="H12" s="40">
        <v>38.61</v>
      </c>
      <c r="I12" s="40">
        <v>12.86</v>
      </c>
      <c r="J12" s="40">
        <v>0.82</v>
      </c>
      <c r="K12" s="40">
        <v>50.46</v>
      </c>
      <c r="L12" s="40">
        <v>16.07</v>
      </c>
      <c r="M12" s="40">
        <v>85.78</v>
      </c>
      <c r="N12" s="40">
        <v>1.7</v>
      </c>
      <c r="O12" s="40">
        <v>0</v>
      </c>
      <c r="P12" s="40">
        <v>1</v>
      </c>
      <c r="Q12" s="40">
        <v>12.99</v>
      </c>
      <c r="R12" s="38"/>
      <c r="S12" s="38"/>
      <c r="T12" s="38"/>
      <c r="U12" s="38"/>
    </row>
    <row r="13" spans="1:21" customFormat="1">
      <c r="A13" s="39" t="s">
        <v>377</v>
      </c>
      <c r="B13" s="40">
        <v>9.3800000000000008</v>
      </c>
      <c r="C13" s="40">
        <v>25.37</v>
      </c>
      <c r="D13" s="40">
        <v>22.13</v>
      </c>
      <c r="E13" s="40">
        <v>9.69</v>
      </c>
      <c r="F13" s="27" t="s">
        <v>8</v>
      </c>
      <c r="G13" s="40">
        <v>84.75</v>
      </c>
      <c r="H13" s="40">
        <v>36.6</v>
      </c>
      <c r="I13" s="40">
        <v>12.43</v>
      </c>
      <c r="J13" s="40">
        <v>0.8</v>
      </c>
      <c r="K13" s="40">
        <v>55.77</v>
      </c>
      <c r="L13" s="40">
        <v>16</v>
      </c>
      <c r="M13" s="40">
        <v>86.14</v>
      </c>
      <c r="N13" s="40">
        <v>1.7</v>
      </c>
      <c r="O13" s="40">
        <v>0</v>
      </c>
      <c r="P13" s="40">
        <v>0.97</v>
      </c>
      <c r="Q13" s="40">
        <v>13.01</v>
      </c>
      <c r="R13" s="38"/>
      <c r="S13" s="38"/>
      <c r="T13" s="38"/>
      <c r="U13" s="38"/>
    </row>
    <row r="14" spans="1:21" customFormat="1">
      <c r="A14" s="39" t="s">
        <v>378</v>
      </c>
      <c r="B14" s="40">
        <v>8.9700000000000006</v>
      </c>
      <c r="C14" s="40">
        <v>25.09</v>
      </c>
      <c r="D14" s="40">
        <v>21.65</v>
      </c>
      <c r="E14" s="40">
        <v>9.24</v>
      </c>
      <c r="F14" s="27" t="s">
        <v>8</v>
      </c>
      <c r="G14" s="40">
        <v>84.75</v>
      </c>
      <c r="H14" s="40">
        <v>33.11</v>
      </c>
      <c r="I14" s="40">
        <v>11.85</v>
      </c>
      <c r="J14" s="40">
        <v>0.95</v>
      </c>
      <c r="K14" s="40">
        <v>72.58</v>
      </c>
      <c r="L14" s="40">
        <v>15.69</v>
      </c>
      <c r="M14" s="40">
        <v>86.2</v>
      </c>
      <c r="N14" s="40">
        <v>1.8</v>
      </c>
      <c r="O14" s="40">
        <v>0</v>
      </c>
      <c r="P14" s="40">
        <v>0.93</v>
      </c>
      <c r="Q14" s="40">
        <v>12.98</v>
      </c>
      <c r="R14" s="38"/>
      <c r="S14" s="38"/>
      <c r="T14" s="38"/>
      <c r="U14" s="38"/>
    </row>
    <row r="15" spans="1:21" customFormat="1">
      <c r="A15" s="39" t="s">
        <v>379</v>
      </c>
      <c r="B15" s="40">
        <v>8.91</v>
      </c>
      <c r="C15" s="40">
        <v>24.95</v>
      </c>
      <c r="D15" s="40">
        <v>21.53</v>
      </c>
      <c r="E15" s="40">
        <v>9.68</v>
      </c>
      <c r="F15" s="27" t="s">
        <v>8</v>
      </c>
      <c r="G15" s="40">
        <v>85.82</v>
      </c>
      <c r="H15" s="40">
        <v>33.659999999999997</v>
      </c>
      <c r="I15" s="40">
        <v>11.34</v>
      </c>
      <c r="J15" s="40">
        <v>0.41</v>
      </c>
      <c r="K15" s="40">
        <v>168.03</v>
      </c>
      <c r="L15" s="40">
        <v>15.17</v>
      </c>
      <c r="M15" s="40">
        <v>90.77</v>
      </c>
      <c r="N15" s="40">
        <v>6.5</v>
      </c>
      <c r="O15" s="40">
        <v>0</v>
      </c>
      <c r="P15" s="40">
        <v>0.89</v>
      </c>
      <c r="Q15" s="40">
        <v>12.99</v>
      </c>
      <c r="R15" s="38"/>
      <c r="S15" s="38"/>
      <c r="T15" s="38"/>
      <c r="U15" s="38"/>
    </row>
    <row r="16" spans="1:21" customFormat="1">
      <c r="A16" s="39" t="s">
        <v>380</v>
      </c>
      <c r="B16" s="40">
        <v>11</v>
      </c>
      <c r="C16" s="40">
        <v>24.92</v>
      </c>
      <c r="D16" s="40">
        <v>23.18</v>
      </c>
      <c r="E16" s="40">
        <v>9.44</v>
      </c>
      <c r="F16" s="27" t="s">
        <v>8</v>
      </c>
      <c r="G16" s="40">
        <v>85.82</v>
      </c>
      <c r="H16" s="40">
        <v>33.659999999999997</v>
      </c>
      <c r="I16" s="40">
        <v>11.06</v>
      </c>
      <c r="J16" s="40">
        <v>0.33</v>
      </c>
      <c r="K16" s="40">
        <v>226.48</v>
      </c>
      <c r="L16" s="40">
        <v>16.05</v>
      </c>
      <c r="M16" s="40">
        <v>89.18</v>
      </c>
      <c r="N16" s="40">
        <v>43.3</v>
      </c>
      <c r="O16" s="40">
        <v>0</v>
      </c>
      <c r="P16" s="40">
        <v>0.88</v>
      </c>
      <c r="Q16" s="40">
        <v>13.01</v>
      </c>
      <c r="R16" s="38"/>
      <c r="S16" s="38"/>
      <c r="T16" s="38"/>
      <c r="U16" s="38"/>
    </row>
    <row r="17" spans="1:21" customFormat="1">
      <c r="A17" s="39" t="s">
        <v>381</v>
      </c>
      <c r="B17" s="40">
        <v>11.05</v>
      </c>
      <c r="C17" s="40">
        <v>25.15</v>
      </c>
      <c r="D17" s="40">
        <v>23.18</v>
      </c>
      <c r="E17" s="40">
        <v>9.8000000000000007</v>
      </c>
      <c r="F17" s="27" t="s">
        <v>8</v>
      </c>
      <c r="G17" s="40">
        <v>82.55</v>
      </c>
      <c r="H17" s="40">
        <v>33.72</v>
      </c>
      <c r="I17" s="40">
        <v>11.09</v>
      </c>
      <c r="J17" s="40">
        <v>0.59</v>
      </c>
      <c r="K17" s="40">
        <v>89.5</v>
      </c>
      <c r="L17" s="40">
        <v>17.739999999999998</v>
      </c>
      <c r="M17" s="40">
        <v>84.56</v>
      </c>
      <c r="N17" s="40">
        <v>120.8</v>
      </c>
      <c r="O17" s="40">
        <v>0</v>
      </c>
      <c r="P17" s="40">
        <v>0.89</v>
      </c>
      <c r="Q17" s="40">
        <v>12.99</v>
      </c>
      <c r="R17" s="38"/>
      <c r="S17" s="38"/>
      <c r="T17" s="38"/>
      <c r="U17" s="38"/>
    </row>
    <row r="18" spans="1:21" customFormat="1">
      <c r="A18" s="39" t="s">
        <v>382</v>
      </c>
      <c r="B18" s="40">
        <v>9.94</v>
      </c>
      <c r="C18" s="40">
        <v>25.25</v>
      </c>
      <c r="D18" s="40">
        <v>22.52</v>
      </c>
      <c r="E18" s="40">
        <v>10.18</v>
      </c>
      <c r="F18" s="27" t="s">
        <v>8</v>
      </c>
      <c r="G18" s="40">
        <v>82.55</v>
      </c>
      <c r="H18" s="40">
        <v>33.72</v>
      </c>
      <c r="I18" s="40">
        <v>11.02</v>
      </c>
      <c r="J18" s="40">
        <v>0.87</v>
      </c>
      <c r="K18" s="40">
        <v>75.3</v>
      </c>
      <c r="L18" s="40">
        <v>19.79</v>
      </c>
      <c r="M18" s="40">
        <v>75.849999999999994</v>
      </c>
      <c r="N18" s="40">
        <v>168.8</v>
      </c>
      <c r="O18" s="40">
        <v>0</v>
      </c>
      <c r="P18" s="40">
        <v>0.87</v>
      </c>
      <c r="Q18" s="40">
        <v>12.98</v>
      </c>
      <c r="R18" s="38"/>
      <c r="S18" s="38"/>
      <c r="T18" s="38"/>
      <c r="U18" s="38"/>
    </row>
    <row r="19" spans="1:21" customFormat="1">
      <c r="A19" s="39" t="s">
        <v>383</v>
      </c>
      <c r="B19" s="40">
        <v>8.99</v>
      </c>
      <c r="C19" s="40">
        <v>24.69</v>
      </c>
      <c r="D19" s="40">
        <v>21.46</v>
      </c>
      <c r="E19" s="40">
        <v>8.7899999999999991</v>
      </c>
      <c r="F19" s="27" t="s">
        <v>8</v>
      </c>
      <c r="G19" s="40">
        <v>80.930000000000007</v>
      </c>
      <c r="H19" s="40">
        <v>34.130000000000003</v>
      </c>
      <c r="I19" s="40">
        <v>10.75</v>
      </c>
      <c r="J19" s="40">
        <v>1.3</v>
      </c>
      <c r="K19" s="40">
        <v>61.89</v>
      </c>
      <c r="L19" s="40">
        <v>22.35</v>
      </c>
      <c r="M19" s="40">
        <v>66.8</v>
      </c>
      <c r="N19" s="40">
        <v>273.3</v>
      </c>
      <c r="O19" s="40">
        <v>0</v>
      </c>
      <c r="P19" s="40">
        <v>0.87</v>
      </c>
      <c r="Q19" s="40">
        <v>12.98</v>
      </c>
      <c r="R19" s="38"/>
      <c r="S19" s="38"/>
      <c r="T19" s="38"/>
      <c r="U19" s="38"/>
    </row>
    <row r="20" spans="1:21" customFormat="1">
      <c r="A20" s="39" t="s">
        <v>384</v>
      </c>
      <c r="B20" s="40">
        <v>8.0399999999999991</v>
      </c>
      <c r="C20" s="40">
        <v>24.36</v>
      </c>
      <c r="D20" s="40">
        <v>20.53</v>
      </c>
      <c r="E20" s="40">
        <v>9.66</v>
      </c>
      <c r="F20" s="27" t="s">
        <v>8</v>
      </c>
      <c r="G20" s="40">
        <v>82.69</v>
      </c>
      <c r="H20" s="40">
        <v>36.46</v>
      </c>
      <c r="I20" s="40">
        <v>10.66</v>
      </c>
      <c r="J20" s="40">
        <v>0.89</v>
      </c>
      <c r="K20" s="40">
        <v>49.26</v>
      </c>
      <c r="L20" s="40">
        <v>24.25</v>
      </c>
      <c r="M20" s="40">
        <v>58.51</v>
      </c>
      <c r="N20" s="40">
        <v>316.39999999999998</v>
      </c>
      <c r="O20" s="40">
        <v>0</v>
      </c>
      <c r="P20" s="40">
        <v>0.88</v>
      </c>
      <c r="Q20" s="40">
        <v>12.99</v>
      </c>
      <c r="R20" s="38"/>
      <c r="S20" s="38"/>
      <c r="T20" s="38"/>
      <c r="U20" s="38"/>
    </row>
    <row r="21" spans="1:21" customFormat="1">
      <c r="A21" s="39" t="s">
        <v>385</v>
      </c>
      <c r="B21" s="40">
        <v>7.31</v>
      </c>
      <c r="C21" s="40">
        <v>24.44</v>
      </c>
      <c r="D21" s="40">
        <v>19.89</v>
      </c>
      <c r="E21" s="40">
        <v>10.09</v>
      </c>
      <c r="F21" s="27" t="s">
        <v>8</v>
      </c>
      <c r="G21" s="40">
        <v>86.82</v>
      </c>
      <c r="H21" s="40">
        <v>36.46</v>
      </c>
      <c r="I21" s="40">
        <v>10.25</v>
      </c>
      <c r="J21" s="40">
        <v>1.06</v>
      </c>
      <c r="K21" s="40">
        <v>54.95</v>
      </c>
      <c r="L21" s="40">
        <v>25.78</v>
      </c>
      <c r="M21" s="40">
        <v>54.66</v>
      </c>
      <c r="N21" s="40">
        <v>315.39999999999998</v>
      </c>
      <c r="O21" s="40">
        <v>0</v>
      </c>
      <c r="P21" s="40">
        <v>0.88</v>
      </c>
      <c r="Q21" s="40">
        <v>13</v>
      </c>
      <c r="R21" s="38"/>
      <c r="S21" s="38"/>
      <c r="T21" s="38"/>
      <c r="U21" s="38"/>
    </row>
    <row r="22" spans="1:21" customFormat="1">
      <c r="A22" s="39" t="s">
        <v>386</v>
      </c>
      <c r="B22" s="40">
        <v>5.79</v>
      </c>
      <c r="C22" s="40">
        <v>24.55</v>
      </c>
      <c r="D22" s="40">
        <v>18.68</v>
      </c>
      <c r="E22" s="40">
        <v>10.84</v>
      </c>
      <c r="F22" s="40">
        <v>2.6</v>
      </c>
      <c r="G22" s="40">
        <v>87.47</v>
      </c>
      <c r="H22" s="40">
        <v>36.299999999999997</v>
      </c>
      <c r="I22" s="40">
        <v>10.15</v>
      </c>
      <c r="J22" s="40">
        <v>0.44</v>
      </c>
      <c r="K22" s="40">
        <v>81.05</v>
      </c>
      <c r="L22" s="40">
        <v>26.76</v>
      </c>
      <c r="M22" s="40">
        <v>49.62</v>
      </c>
      <c r="N22" s="40">
        <v>286.8</v>
      </c>
      <c r="O22" s="40">
        <v>0</v>
      </c>
      <c r="P22" s="40">
        <v>0.9</v>
      </c>
      <c r="Q22" s="40">
        <v>12.99</v>
      </c>
      <c r="R22" s="38"/>
      <c r="S22" s="38"/>
      <c r="T22" s="38"/>
      <c r="U22" s="38"/>
    </row>
    <row r="23" spans="1:21" customFormat="1">
      <c r="A23" s="39" t="s">
        <v>387</v>
      </c>
      <c r="B23" s="40">
        <v>3.81</v>
      </c>
      <c r="C23" s="40">
        <v>24.5</v>
      </c>
      <c r="D23" s="40">
        <v>17.21</v>
      </c>
      <c r="E23" s="40">
        <v>11</v>
      </c>
      <c r="F23" s="40">
        <v>2.2999999999999998</v>
      </c>
      <c r="G23" s="40">
        <v>88.84</v>
      </c>
      <c r="H23" s="40">
        <v>36.299999999999997</v>
      </c>
      <c r="I23" s="40">
        <v>9.9</v>
      </c>
      <c r="J23" s="40">
        <v>0.39</v>
      </c>
      <c r="K23" s="40">
        <v>133.99</v>
      </c>
      <c r="L23" s="40">
        <v>27.22</v>
      </c>
      <c r="M23" s="40">
        <v>48.14</v>
      </c>
      <c r="N23" s="40">
        <v>240.1</v>
      </c>
      <c r="O23" s="40">
        <v>0</v>
      </c>
      <c r="P23" s="40">
        <v>0.78</v>
      </c>
      <c r="Q23" s="40">
        <v>12.97</v>
      </c>
      <c r="R23" s="38"/>
      <c r="S23" s="38"/>
      <c r="T23" s="38"/>
      <c r="U23" s="38"/>
    </row>
    <row r="24" spans="1:21" customFormat="1">
      <c r="A24" s="39" t="s">
        <v>388</v>
      </c>
      <c r="B24" s="40">
        <v>3.52</v>
      </c>
      <c r="C24" s="40">
        <v>23.24</v>
      </c>
      <c r="D24" s="40">
        <v>16.32</v>
      </c>
      <c r="E24" s="40">
        <v>10.82</v>
      </c>
      <c r="F24" s="40">
        <v>4.5999999999999996</v>
      </c>
      <c r="G24" s="40">
        <v>88.84</v>
      </c>
      <c r="H24" s="40">
        <v>36.03</v>
      </c>
      <c r="I24" s="40">
        <v>9.51</v>
      </c>
      <c r="J24" s="40">
        <v>0.56999999999999995</v>
      </c>
      <c r="K24" s="40">
        <v>85.17</v>
      </c>
      <c r="L24" s="40">
        <v>26.8</v>
      </c>
      <c r="M24" s="40">
        <v>46.64</v>
      </c>
      <c r="N24" s="40">
        <v>87.1</v>
      </c>
      <c r="O24" s="40">
        <v>0</v>
      </c>
      <c r="P24" s="40">
        <v>0.77</v>
      </c>
      <c r="Q24" s="40">
        <v>12.97</v>
      </c>
      <c r="R24" s="38"/>
      <c r="S24" s="38"/>
      <c r="T24" s="38"/>
      <c r="U24" s="38"/>
    </row>
    <row r="25" spans="1:21" customFormat="1">
      <c r="A25" s="39" t="s">
        <v>389</v>
      </c>
      <c r="B25" s="40">
        <v>3.64</v>
      </c>
      <c r="C25" s="40">
        <v>24.08</v>
      </c>
      <c r="D25" s="40">
        <v>16.850000000000001</v>
      </c>
      <c r="E25" s="40">
        <v>10.95</v>
      </c>
      <c r="F25" s="40">
        <v>4.5</v>
      </c>
      <c r="G25" s="40">
        <v>84.32</v>
      </c>
      <c r="H25" s="40">
        <v>35.32</v>
      </c>
      <c r="I25" s="40">
        <v>9.2100000000000009</v>
      </c>
      <c r="J25" s="40">
        <v>0.5</v>
      </c>
      <c r="K25" s="40">
        <v>266.88</v>
      </c>
      <c r="L25" s="40">
        <v>26.19</v>
      </c>
      <c r="M25" s="40">
        <v>48.2</v>
      </c>
      <c r="N25" s="40">
        <v>48.5</v>
      </c>
      <c r="O25" s="40">
        <v>0</v>
      </c>
      <c r="P25" s="40">
        <v>0.75</v>
      </c>
      <c r="Q25" s="40">
        <v>12.96</v>
      </c>
      <c r="R25" s="38"/>
      <c r="S25" s="38"/>
      <c r="T25" s="38"/>
      <c r="U25" s="38"/>
    </row>
    <row r="26" spans="1:21" customFormat="1">
      <c r="A26" s="39" t="s">
        <v>390</v>
      </c>
      <c r="B26" s="40">
        <v>4.0199999999999996</v>
      </c>
      <c r="C26" s="40">
        <v>26.33</v>
      </c>
      <c r="D26" s="40">
        <v>18.329999999999998</v>
      </c>
      <c r="E26" s="40">
        <v>10.43</v>
      </c>
      <c r="F26" s="40">
        <v>5.6</v>
      </c>
      <c r="G26" s="40">
        <v>86.98</v>
      </c>
      <c r="H26" s="40">
        <v>36.729999999999997</v>
      </c>
      <c r="I26" s="40">
        <v>9.07</v>
      </c>
      <c r="J26" s="40">
        <v>0.32</v>
      </c>
      <c r="K26" s="40">
        <v>172.56</v>
      </c>
      <c r="L26" s="40">
        <v>25.18</v>
      </c>
      <c r="M26" s="40">
        <v>63.06</v>
      </c>
      <c r="N26" s="40">
        <v>12.3</v>
      </c>
      <c r="O26" s="40">
        <v>0</v>
      </c>
      <c r="P26" s="40">
        <v>0.8</v>
      </c>
      <c r="Q26" s="40">
        <v>12.97</v>
      </c>
      <c r="R26" s="38"/>
      <c r="S26" s="38"/>
      <c r="T26" s="38"/>
      <c r="U26" s="38"/>
    </row>
    <row r="27" spans="1:21" customFormat="1">
      <c r="A27" s="39" t="s">
        <v>391</v>
      </c>
      <c r="B27" s="40">
        <v>6.22</v>
      </c>
      <c r="C27" s="40">
        <v>28.98</v>
      </c>
      <c r="D27" s="40">
        <v>21.48</v>
      </c>
      <c r="E27" s="40">
        <v>9.32</v>
      </c>
      <c r="F27" s="40">
        <v>5.6</v>
      </c>
      <c r="G27" s="40">
        <v>100.9</v>
      </c>
      <c r="H27" s="40">
        <v>36.86</v>
      </c>
      <c r="I27" s="40">
        <v>9.91</v>
      </c>
      <c r="J27" s="40">
        <v>0.28999999999999998</v>
      </c>
      <c r="K27" s="40">
        <v>162.53</v>
      </c>
      <c r="L27" s="40">
        <v>22.06</v>
      </c>
      <c r="M27" s="40">
        <v>70.11</v>
      </c>
      <c r="N27" s="40">
        <v>2.1</v>
      </c>
      <c r="O27" s="40">
        <v>0</v>
      </c>
      <c r="P27" s="40">
        <v>0.88</v>
      </c>
      <c r="Q27" s="40">
        <v>12.97</v>
      </c>
      <c r="R27" s="38"/>
      <c r="S27" s="38"/>
      <c r="T27" s="38"/>
      <c r="U27" s="38"/>
    </row>
    <row r="28" spans="1:21" customFormat="1">
      <c r="A28" s="39" t="s">
        <v>392</v>
      </c>
      <c r="B28" s="40">
        <v>6.99</v>
      </c>
      <c r="C28" s="40">
        <v>29.36</v>
      </c>
      <c r="D28" s="40">
        <v>22.27</v>
      </c>
      <c r="E28" s="40">
        <v>9.5</v>
      </c>
      <c r="F28" s="40">
        <v>5.6</v>
      </c>
      <c r="G28" s="40">
        <v>127.46</v>
      </c>
      <c r="H28" s="40">
        <v>40.98</v>
      </c>
      <c r="I28" s="40">
        <v>11</v>
      </c>
      <c r="J28" s="40">
        <v>0.56000000000000005</v>
      </c>
      <c r="K28" s="40">
        <v>148.01</v>
      </c>
      <c r="L28" s="40">
        <v>21.92</v>
      </c>
      <c r="M28" s="40">
        <v>67.66</v>
      </c>
      <c r="N28" s="40">
        <v>1.5</v>
      </c>
      <c r="O28" s="40">
        <v>0</v>
      </c>
      <c r="P28" s="40">
        <v>0.93</v>
      </c>
      <c r="Q28" s="40">
        <v>12.99</v>
      </c>
      <c r="R28" s="38"/>
      <c r="S28" s="38"/>
      <c r="T28" s="38"/>
      <c r="U28" s="38"/>
    </row>
    <row r="29" spans="1:21" customFormat="1">
      <c r="A29" s="39" t="s">
        <v>393</v>
      </c>
      <c r="B29" s="40">
        <v>6.97</v>
      </c>
      <c r="C29" s="40">
        <v>28.69</v>
      </c>
      <c r="D29" s="40">
        <v>21.93</v>
      </c>
      <c r="E29" s="40">
        <v>9.74</v>
      </c>
      <c r="F29" s="40">
        <v>5.6</v>
      </c>
      <c r="G29" s="40">
        <v>127.46</v>
      </c>
      <c r="H29" s="40">
        <v>40.98</v>
      </c>
      <c r="I29" s="40">
        <v>11.26</v>
      </c>
      <c r="J29" s="40">
        <v>0.52</v>
      </c>
      <c r="K29" s="40">
        <v>166.77</v>
      </c>
      <c r="L29" s="40">
        <v>21.72</v>
      </c>
      <c r="M29" s="40">
        <v>68.38</v>
      </c>
      <c r="N29" s="40">
        <v>2</v>
      </c>
      <c r="O29" s="40">
        <v>0</v>
      </c>
      <c r="P29" s="40">
        <v>0.95</v>
      </c>
      <c r="Q29" s="40">
        <v>12.98</v>
      </c>
      <c r="R29" s="38"/>
      <c r="S29" s="38"/>
      <c r="T29" s="38"/>
      <c r="U29" s="38"/>
    </row>
    <row r="30" spans="1:21" customFormat="1">
      <c r="A30" s="39" t="s">
        <v>394</v>
      </c>
      <c r="B30" s="40">
        <v>5.95</v>
      </c>
      <c r="C30" s="40">
        <v>27.67</v>
      </c>
      <c r="D30" s="40">
        <v>20.58</v>
      </c>
      <c r="E30" s="40">
        <v>9.7200000000000006</v>
      </c>
      <c r="F30" s="40">
        <v>5.6</v>
      </c>
      <c r="G30" s="40">
        <v>123.67</v>
      </c>
      <c r="H30" s="40">
        <v>39.92</v>
      </c>
      <c r="I30" s="40">
        <v>11.23</v>
      </c>
      <c r="J30" s="40">
        <v>0.21</v>
      </c>
      <c r="K30" s="40">
        <v>236.42</v>
      </c>
      <c r="L30" s="40">
        <v>19.89</v>
      </c>
      <c r="M30" s="40">
        <v>78.3</v>
      </c>
      <c r="N30" s="40">
        <v>2</v>
      </c>
      <c r="O30" s="40">
        <v>0</v>
      </c>
      <c r="P30" s="40">
        <v>0.96</v>
      </c>
      <c r="Q30" s="40">
        <v>12.98</v>
      </c>
      <c r="R30" s="38"/>
      <c r="S30" s="38"/>
      <c r="T30" s="38"/>
      <c r="U30" s="38"/>
    </row>
    <row r="31" spans="1:21" customFormat="1">
      <c r="A31" s="39" t="s">
        <v>395</v>
      </c>
      <c r="B31" s="40">
        <v>6.95</v>
      </c>
      <c r="C31" s="40">
        <v>27.9</v>
      </c>
      <c r="D31" s="40">
        <v>21.3</v>
      </c>
      <c r="E31" s="40">
        <v>9.51</v>
      </c>
      <c r="F31" s="40">
        <v>5.6</v>
      </c>
      <c r="G31" s="40">
        <v>124.11</v>
      </c>
      <c r="H31" s="40">
        <v>42.2</v>
      </c>
      <c r="I31" s="40">
        <v>11.17</v>
      </c>
      <c r="J31" s="40">
        <v>0.21</v>
      </c>
      <c r="K31" s="40">
        <v>199.13</v>
      </c>
      <c r="L31" s="40">
        <v>18.579999999999998</v>
      </c>
      <c r="M31" s="40">
        <v>85.62</v>
      </c>
      <c r="N31" s="40">
        <v>1.7</v>
      </c>
      <c r="O31" s="40">
        <v>0</v>
      </c>
      <c r="P31" s="40">
        <v>0.98</v>
      </c>
      <c r="Q31" s="40">
        <v>12.98</v>
      </c>
      <c r="R31" s="38"/>
      <c r="S31" s="38"/>
      <c r="T31" s="38"/>
      <c r="U31" s="38"/>
    </row>
    <row r="32" spans="1:21" customFormat="1">
      <c r="A32" s="39" t="s">
        <v>396</v>
      </c>
      <c r="B32" s="40">
        <v>8.08</v>
      </c>
      <c r="C32" s="40">
        <v>29</v>
      </c>
      <c r="D32" s="40">
        <v>22.98</v>
      </c>
      <c r="E32" s="40">
        <v>9.43</v>
      </c>
      <c r="F32" s="40">
        <v>5.6</v>
      </c>
      <c r="G32" s="40">
        <v>124.11</v>
      </c>
      <c r="H32" s="40">
        <v>42.2</v>
      </c>
      <c r="I32" s="40">
        <v>11.24</v>
      </c>
      <c r="J32" s="40">
        <v>0.52</v>
      </c>
      <c r="K32" s="40">
        <v>106.2</v>
      </c>
      <c r="L32" s="40">
        <v>18.75</v>
      </c>
      <c r="M32" s="40">
        <v>78.47</v>
      </c>
      <c r="N32" s="40">
        <v>1.6</v>
      </c>
      <c r="O32" s="40">
        <v>0</v>
      </c>
      <c r="P32" s="40">
        <v>1.01</v>
      </c>
      <c r="Q32" s="40">
        <v>13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3.52</v>
      </c>
      <c r="C34" s="18">
        <f t="shared" si="0"/>
        <v>23.24</v>
      </c>
      <c r="D34" s="18">
        <f t="shared" si="0"/>
        <v>16.32</v>
      </c>
      <c r="E34" s="18">
        <f t="shared" si="0"/>
        <v>6.91</v>
      </c>
      <c r="F34" s="18">
        <f t="shared" si="0"/>
        <v>2.2999999999999998</v>
      </c>
      <c r="G34" s="18">
        <f t="shared" si="0"/>
        <v>80.930000000000007</v>
      </c>
      <c r="H34" s="18">
        <f t="shared" si="0"/>
        <v>33.11</v>
      </c>
      <c r="I34" s="18">
        <f t="shared" si="0"/>
        <v>9.07</v>
      </c>
      <c r="J34" s="18">
        <f t="shared" si="0"/>
        <v>0.21</v>
      </c>
      <c r="K34" s="18">
        <f t="shared" si="0"/>
        <v>45.9</v>
      </c>
      <c r="L34" s="18">
        <f t="shared" si="0"/>
        <v>15.17</v>
      </c>
      <c r="M34" s="18">
        <f t="shared" si="0"/>
        <v>46.64</v>
      </c>
      <c r="N34" s="18">
        <f t="shared" si="0"/>
        <v>1.5</v>
      </c>
      <c r="O34" s="18">
        <f t="shared" si="0"/>
        <v>0</v>
      </c>
      <c r="P34" s="18">
        <f t="shared" si="0"/>
        <v>0.75</v>
      </c>
      <c r="Q34" s="18">
        <f t="shared" si="0"/>
        <v>12.96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11.05</v>
      </c>
      <c r="C35" s="3">
        <f t="shared" si="1"/>
        <v>29.47</v>
      </c>
      <c r="D35" s="3">
        <f t="shared" si="1"/>
        <v>24.93</v>
      </c>
      <c r="E35" s="3">
        <f t="shared" si="1"/>
        <v>11</v>
      </c>
      <c r="F35" s="3">
        <f t="shared" si="1"/>
        <v>5.6</v>
      </c>
      <c r="G35" s="3">
        <f t="shared" si="1"/>
        <v>127.46</v>
      </c>
      <c r="H35" s="3">
        <f t="shared" si="1"/>
        <v>45.79</v>
      </c>
      <c r="I35" s="3">
        <f t="shared" si="1"/>
        <v>15.72</v>
      </c>
      <c r="J35" s="3">
        <f t="shared" si="1"/>
        <v>1.3</v>
      </c>
      <c r="K35" s="3">
        <f t="shared" si="1"/>
        <v>266.88</v>
      </c>
      <c r="L35" s="3">
        <f t="shared" si="1"/>
        <v>27.22</v>
      </c>
      <c r="M35" s="3">
        <f t="shared" si="1"/>
        <v>90.77</v>
      </c>
      <c r="N35" s="3">
        <f t="shared" si="1"/>
        <v>316.39999999999998</v>
      </c>
      <c r="O35" s="3">
        <f t="shared" si="1"/>
        <v>0</v>
      </c>
      <c r="P35" s="3">
        <f t="shared" si="1"/>
        <v>1.1599999999999999</v>
      </c>
      <c r="Q35" s="3">
        <f t="shared" si="1"/>
        <v>13.01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7.7737499999999997</v>
      </c>
      <c r="C36" s="18">
        <f t="shared" si="2"/>
        <v>26.256249999999998</v>
      </c>
      <c r="D36" s="18">
        <f t="shared" si="2"/>
        <v>21.265000000000001</v>
      </c>
      <c r="E36" s="18">
        <f t="shared" si="2"/>
        <v>9.6775000000000002</v>
      </c>
      <c r="F36" s="18">
        <f t="shared" si="2"/>
        <v>4.8363636363636369</v>
      </c>
      <c r="G36" s="18">
        <f t="shared" si="2"/>
        <v>96.967083333333335</v>
      </c>
      <c r="H36" s="18">
        <f t="shared" si="2"/>
        <v>37.52708333333333</v>
      </c>
      <c r="I36" s="18">
        <f t="shared" si="2"/>
        <v>11.295416666666666</v>
      </c>
      <c r="J36" s="18">
        <f t="shared" si="2"/>
        <v>0.59500000000000008</v>
      </c>
      <c r="K36" s="18">
        <f t="shared" si="2"/>
        <v>118.32083333333333</v>
      </c>
      <c r="L36" s="18">
        <f t="shared" si="2"/>
        <v>20.644583333333333</v>
      </c>
      <c r="M36" s="18">
        <f t="shared" si="2"/>
        <v>72.133750000000006</v>
      </c>
      <c r="N36" s="18">
        <f t="shared" si="2"/>
        <v>80.854166666666643</v>
      </c>
      <c r="O36" s="18">
        <f t="shared" si="2"/>
        <v>0</v>
      </c>
      <c r="P36" s="18">
        <f t="shared" si="2"/>
        <v>0.91999999999999993</v>
      </c>
      <c r="Q36" s="18">
        <f t="shared" si="2"/>
        <v>12.987083333333336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2.4181232616836641</v>
      </c>
      <c r="C37" s="18">
        <f t="shared" ref="C37:Q37" si="3">STDEV(C9:C32)</f>
        <v>1.969923442564512</v>
      </c>
      <c r="D37" s="18">
        <f t="shared" si="3"/>
        <v>2.3507630583539627</v>
      </c>
      <c r="E37" s="18">
        <f t="shared" si="3"/>
        <v>0.9665908266101827</v>
      </c>
      <c r="F37" s="18">
        <f t="shared" si="3"/>
        <v>1.2524158472909219</v>
      </c>
      <c r="G37" s="18">
        <f t="shared" si="3"/>
        <v>17.527678851057168</v>
      </c>
      <c r="H37" s="18">
        <f t="shared" si="3"/>
        <v>3.4027475844071078</v>
      </c>
      <c r="I37" s="18">
        <f t="shared" si="3"/>
        <v>1.6235762436179475</v>
      </c>
      <c r="J37" s="18">
        <f t="shared" si="3"/>
        <v>0.27736336236534315</v>
      </c>
      <c r="K37" s="18">
        <f t="shared" si="3"/>
        <v>67.247000121658346</v>
      </c>
      <c r="L37" s="18">
        <f t="shared" si="3"/>
        <v>4.1162002097403709</v>
      </c>
      <c r="M37" s="18">
        <f t="shared" si="3"/>
        <v>14.671500564166781</v>
      </c>
      <c r="N37" s="18">
        <f t="shared" si="3"/>
        <v>116.54719506507324</v>
      </c>
      <c r="O37" s="18">
        <f t="shared" si="3"/>
        <v>0</v>
      </c>
      <c r="P37" s="18">
        <f t="shared" si="3"/>
        <v>9.9825935464209134E-2</v>
      </c>
      <c r="Q37" s="18">
        <f t="shared" si="3"/>
        <v>1.3981094896063945E-2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>COUNT(F9:F32)+13</f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96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I23" sqref="I2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15/01/2025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397</v>
      </c>
      <c r="B9" s="40">
        <v>7.93</v>
      </c>
      <c r="C9" s="40">
        <v>29.87</v>
      </c>
      <c r="D9" s="40">
        <v>23.25</v>
      </c>
      <c r="E9" s="40">
        <v>9</v>
      </c>
      <c r="F9" s="42">
        <v>4.09</v>
      </c>
      <c r="G9" s="40">
        <v>122.84</v>
      </c>
      <c r="H9" s="40">
        <v>41.97</v>
      </c>
      <c r="I9" s="40">
        <v>11.64</v>
      </c>
      <c r="J9" s="40">
        <v>0.3</v>
      </c>
      <c r="K9" s="40">
        <v>70.42</v>
      </c>
      <c r="L9" s="40">
        <v>18.32</v>
      </c>
      <c r="M9" s="40">
        <v>77.55</v>
      </c>
      <c r="N9" s="40">
        <v>1.5</v>
      </c>
      <c r="O9" s="40">
        <v>0</v>
      </c>
      <c r="P9" s="40">
        <v>1.01</v>
      </c>
      <c r="Q9" s="40">
        <v>13</v>
      </c>
      <c r="R9" s="38"/>
      <c r="S9" s="38"/>
      <c r="T9" s="38"/>
      <c r="U9" s="38"/>
    </row>
    <row r="10" spans="1:21" customFormat="1">
      <c r="A10" s="39" t="s">
        <v>398</v>
      </c>
      <c r="B10" s="40">
        <v>7.19</v>
      </c>
      <c r="C10" s="40">
        <v>29.61</v>
      </c>
      <c r="D10" s="40">
        <v>22.59</v>
      </c>
      <c r="E10" s="40">
        <v>8.67</v>
      </c>
      <c r="F10" s="42">
        <v>4.1399999999999997</v>
      </c>
      <c r="G10" s="40">
        <v>122.84</v>
      </c>
      <c r="H10" s="40">
        <v>45.74</v>
      </c>
      <c r="I10" s="40">
        <v>11.79</v>
      </c>
      <c r="J10" s="40">
        <v>0.37</v>
      </c>
      <c r="K10" s="40">
        <v>62.76</v>
      </c>
      <c r="L10" s="40">
        <v>18.22</v>
      </c>
      <c r="M10" s="40">
        <v>73.37</v>
      </c>
      <c r="N10" s="40">
        <v>1.6</v>
      </c>
      <c r="O10" s="40">
        <v>0</v>
      </c>
      <c r="P10" s="40">
        <v>1</v>
      </c>
      <c r="Q10" s="40">
        <v>12.99</v>
      </c>
      <c r="R10" s="38"/>
      <c r="S10" s="38"/>
      <c r="T10" s="38"/>
      <c r="U10" s="38"/>
    </row>
    <row r="11" spans="1:21" customFormat="1">
      <c r="A11" s="39" t="s">
        <v>399</v>
      </c>
      <c r="B11" s="40">
        <v>6.75</v>
      </c>
      <c r="C11" s="40">
        <v>28.33</v>
      </c>
      <c r="D11" s="40">
        <v>21.3</v>
      </c>
      <c r="E11" s="40">
        <v>8.2799999999999994</v>
      </c>
      <c r="F11" s="42">
        <v>4.1500000000000004</v>
      </c>
      <c r="G11" s="40">
        <v>116.54</v>
      </c>
      <c r="H11" s="40">
        <v>45.74</v>
      </c>
      <c r="I11" s="40">
        <v>11.63</v>
      </c>
      <c r="J11" s="40">
        <v>0.24</v>
      </c>
      <c r="K11" s="40">
        <v>123.1</v>
      </c>
      <c r="L11" s="40">
        <v>17.32</v>
      </c>
      <c r="M11" s="40">
        <v>77.64</v>
      </c>
      <c r="N11" s="40">
        <v>2</v>
      </c>
      <c r="O11" s="40">
        <v>0</v>
      </c>
      <c r="P11" s="40">
        <v>0.94</v>
      </c>
      <c r="Q11" s="40">
        <v>12.99</v>
      </c>
      <c r="R11" s="38"/>
      <c r="S11" s="38"/>
      <c r="T11" s="38"/>
      <c r="U11" s="38"/>
    </row>
    <row r="12" spans="1:21" customFormat="1">
      <c r="A12" s="39" t="s">
        <v>400</v>
      </c>
      <c r="B12" s="40">
        <v>6.95</v>
      </c>
      <c r="C12" s="40">
        <v>27.64</v>
      </c>
      <c r="D12" s="40">
        <v>21.33</v>
      </c>
      <c r="E12" s="40">
        <v>8.3000000000000007</v>
      </c>
      <c r="F12" s="42">
        <v>4.13</v>
      </c>
      <c r="G12" s="40">
        <v>107.31</v>
      </c>
      <c r="H12" s="40">
        <v>42.61</v>
      </c>
      <c r="I12" s="40">
        <v>11.15</v>
      </c>
      <c r="J12" s="40">
        <v>0.33</v>
      </c>
      <c r="K12" s="40">
        <v>61.91</v>
      </c>
      <c r="L12" s="40">
        <v>17.13</v>
      </c>
      <c r="M12" s="40">
        <v>77.58</v>
      </c>
      <c r="N12" s="40">
        <v>1.6</v>
      </c>
      <c r="O12" s="40">
        <v>0</v>
      </c>
      <c r="P12" s="40">
        <v>0.89</v>
      </c>
      <c r="Q12" s="40">
        <v>12.98</v>
      </c>
      <c r="R12" s="38"/>
      <c r="S12" s="38"/>
      <c r="T12" s="38"/>
      <c r="U12" s="38"/>
    </row>
    <row r="13" spans="1:21" customFormat="1">
      <c r="A13" s="39" t="s">
        <v>401</v>
      </c>
      <c r="B13" s="40">
        <v>7.74</v>
      </c>
      <c r="C13" s="40">
        <v>26.71</v>
      </c>
      <c r="D13" s="40">
        <v>21.51</v>
      </c>
      <c r="E13" s="40">
        <v>8.33</v>
      </c>
      <c r="F13" s="42">
        <v>4.03</v>
      </c>
      <c r="G13" s="40">
        <v>96.75</v>
      </c>
      <c r="H13" s="40">
        <v>37.520000000000003</v>
      </c>
      <c r="I13" s="40">
        <v>10.66</v>
      </c>
      <c r="J13" s="40">
        <v>0.73</v>
      </c>
      <c r="K13" s="40">
        <v>70.31</v>
      </c>
      <c r="L13" s="40">
        <v>16.71</v>
      </c>
      <c r="M13" s="40">
        <v>83.51</v>
      </c>
      <c r="N13" s="40">
        <v>1.6</v>
      </c>
      <c r="O13" s="40">
        <v>0</v>
      </c>
      <c r="P13" s="40">
        <v>0.85</v>
      </c>
      <c r="Q13" s="40">
        <v>12.98</v>
      </c>
      <c r="R13" s="38"/>
      <c r="S13" s="38"/>
      <c r="T13" s="38"/>
      <c r="U13" s="38"/>
    </row>
    <row r="14" spans="1:21" customFormat="1">
      <c r="A14" s="39" t="s">
        <v>402</v>
      </c>
      <c r="B14" s="40">
        <v>10.06</v>
      </c>
      <c r="C14" s="40">
        <v>26.75</v>
      </c>
      <c r="D14" s="40">
        <v>23.25</v>
      </c>
      <c r="E14" s="40">
        <v>8.32</v>
      </c>
      <c r="F14" s="42">
        <v>4.09</v>
      </c>
      <c r="G14" s="40">
        <v>100.31</v>
      </c>
      <c r="H14" s="40">
        <v>37.950000000000003</v>
      </c>
      <c r="I14" s="40">
        <v>10.54</v>
      </c>
      <c r="J14" s="40">
        <v>0.44</v>
      </c>
      <c r="K14" s="40">
        <v>264.58</v>
      </c>
      <c r="L14" s="40">
        <v>15.99</v>
      </c>
      <c r="M14" s="40">
        <v>86.21</v>
      </c>
      <c r="N14" s="40">
        <v>1.5</v>
      </c>
      <c r="O14" s="40">
        <v>0</v>
      </c>
      <c r="P14" s="40">
        <v>0.85</v>
      </c>
      <c r="Q14" s="40">
        <v>12.98</v>
      </c>
      <c r="R14" s="38"/>
      <c r="S14" s="38"/>
      <c r="T14" s="38"/>
      <c r="U14" s="38"/>
    </row>
    <row r="15" spans="1:21" customFormat="1">
      <c r="A15" s="39" t="s">
        <v>403</v>
      </c>
      <c r="B15" s="40">
        <v>13.72</v>
      </c>
      <c r="C15" s="40">
        <v>26.87</v>
      </c>
      <c r="D15" s="40">
        <v>26.39</v>
      </c>
      <c r="E15" s="40">
        <v>8.48</v>
      </c>
      <c r="F15" s="42">
        <v>4.09</v>
      </c>
      <c r="G15" s="40">
        <v>101.38</v>
      </c>
      <c r="H15" s="40">
        <v>37.950000000000003</v>
      </c>
      <c r="I15" s="40">
        <v>11.6</v>
      </c>
      <c r="J15" s="40">
        <v>0.42</v>
      </c>
      <c r="K15" s="40">
        <v>357.11</v>
      </c>
      <c r="L15" s="40">
        <v>15.84</v>
      </c>
      <c r="M15" s="40">
        <v>86.41</v>
      </c>
      <c r="N15" s="40">
        <v>7.3</v>
      </c>
      <c r="O15" s="40">
        <v>0</v>
      </c>
      <c r="P15" s="40">
        <v>0.91</v>
      </c>
      <c r="Q15" s="40">
        <v>12.99</v>
      </c>
      <c r="R15" s="38"/>
      <c r="S15" s="38"/>
      <c r="T15" s="38"/>
      <c r="U15" s="38"/>
    </row>
    <row r="16" spans="1:21" customFormat="1">
      <c r="A16" s="39" t="s">
        <v>404</v>
      </c>
      <c r="B16" s="40">
        <v>16.63</v>
      </c>
      <c r="C16" s="40">
        <v>26.81</v>
      </c>
      <c r="D16" s="40">
        <v>28.68</v>
      </c>
      <c r="E16" s="40">
        <v>8.11</v>
      </c>
      <c r="F16" s="42">
        <v>3.95</v>
      </c>
      <c r="G16" s="40">
        <v>110.19</v>
      </c>
      <c r="H16" s="40">
        <v>38.51</v>
      </c>
      <c r="I16" s="40">
        <v>12.78</v>
      </c>
      <c r="J16" s="40">
        <v>0.65</v>
      </c>
      <c r="K16" s="40">
        <v>93.78</v>
      </c>
      <c r="L16" s="40">
        <v>16.899999999999999</v>
      </c>
      <c r="M16" s="40">
        <v>88.04</v>
      </c>
      <c r="N16" s="40">
        <v>44.2</v>
      </c>
      <c r="O16" s="40">
        <v>0</v>
      </c>
      <c r="P16" s="40">
        <v>1.01</v>
      </c>
      <c r="Q16" s="40">
        <v>13.01</v>
      </c>
      <c r="R16" s="38"/>
      <c r="S16" s="38"/>
      <c r="T16" s="38"/>
      <c r="U16" s="38"/>
    </row>
    <row r="17" spans="1:21" customFormat="1">
      <c r="A17" s="39" t="s">
        <v>405</v>
      </c>
      <c r="B17" s="40">
        <v>16.510000000000002</v>
      </c>
      <c r="C17" s="40">
        <v>27.03</v>
      </c>
      <c r="D17" s="40">
        <v>28.59</v>
      </c>
      <c r="E17" s="40">
        <v>8.0299999999999994</v>
      </c>
      <c r="F17" s="42">
        <v>4.32</v>
      </c>
      <c r="G17" s="40">
        <v>110.19</v>
      </c>
      <c r="H17" s="40">
        <v>38.53</v>
      </c>
      <c r="I17" s="40">
        <v>13.44</v>
      </c>
      <c r="J17" s="40">
        <v>0.71</v>
      </c>
      <c r="K17" s="40">
        <v>65.52</v>
      </c>
      <c r="L17" s="40">
        <v>19.3</v>
      </c>
      <c r="M17" s="40">
        <v>78.569999999999993</v>
      </c>
      <c r="N17" s="40">
        <v>135.5</v>
      </c>
      <c r="O17" s="40">
        <v>0</v>
      </c>
      <c r="P17" s="40">
        <v>1.03</v>
      </c>
      <c r="Q17" s="40">
        <v>13.02</v>
      </c>
      <c r="R17" s="38"/>
      <c r="S17" s="38"/>
      <c r="T17" s="38"/>
      <c r="U17" s="38"/>
    </row>
    <row r="18" spans="1:21" customFormat="1">
      <c r="A18" s="39" t="s">
        <v>406</v>
      </c>
      <c r="B18" s="40">
        <v>15.59</v>
      </c>
      <c r="C18" s="40">
        <v>29.52</v>
      </c>
      <c r="D18" s="40">
        <v>29.11</v>
      </c>
      <c r="E18" s="40">
        <v>8.32</v>
      </c>
      <c r="F18" s="42">
        <v>4.4400000000000004</v>
      </c>
      <c r="G18" s="40">
        <v>109.73</v>
      </c>
      <c r="H18" s="40">
        <v>38.53</v>
      </c>
      <c r="I18" s="40">
        <v>14.73</v>
      </c>
      <c r="J18" s="40">
        <v>0.84</v>
      </c>
      <c r="K18" s="40">
        <v>71.87</v>
      </c>
      <c r="L18" s="40">
        <v>22.63</v>
      </c>
      <c r="M18" s="40">
        <v>63.46</v>
      </c>
      <c r="N18" s="40">
        <v>206.8</v>
      </c>
      <c r="O18" s="40">
        <v>0</v>
      </c>
      <c r="P18" s="40">
        <v>1.1399999999999999</v>
      </c>
      <c r="Q18" s="40">
        <v>13.02</v>
      </c>
      <c r="R18" s="38"/>
      <c r="S18" s="38"/>
      <c r="T18" s="38"/>
      <c r="U18" s="38"/>
    </row>
    <row r="19" spans="1:21" customFormat="1">
      <c r="A19" s="39" t="s">
        <v>407</v>
      </c>
      <c r="B19" s="40">
        <v>14.26</v>
      </c>
      <c r="C19" s="40">
        <v>30.3</v>
      </c>
      <c r="D19" s="40">
        <v>28.36</v>
      </c>
      <c r="E19" s="40">
        <v>7.8</v>
      </c>
      <c r="F19" s="42">
        <v>5.0599999999999996</v>
      </c>
      <c r="G19" s="40">
        <v>125.55</v>
      </c>
      <c r="H19" s="40">
        <v>45.09</v>
      </c>
      <c r="I19" s="40">
        <v>16.03</v>
      </c>
      <c r="J19" s="40">
        <v>0.83</v>
      </c>
      <c r="K19" s="40">
        <v>105.16</v>
      </c>
      <c r="L19" s="40">
        <v>25.36</v>
      </c>
      <c r="M19" s="40">
        <v>51.45</v>
      </c>
      <c r="N19" s="40">
        <v>309.2</v>
      </c>
      <c r="O19" s="40">
        <v>0</v>
      </c>
      <c r="P19" s="40">
        <v>1.1100000000000001</v>
      </c>
      <c r="Q19" s="40">
        <v>13.01</v>
      </c>
      <c r="R19" s="38"/>
      <c r="S19" s="38"/>
      <c r="T19" s="38"/>
      <c r="U19" s="38"/>
    </row>
    <row r="20" spans="1:21" customFormat="1">
      <c r="A20" s="39" t="s">
        <v>408</v>
      </c>
      <c r="B20" s="40">
        <v>7.72</v>
      </c>
      <c r="C20" s="40">
        <v>30.13</v>
      </c>
      <c r="D20" s="40">
        <v>23.28</v>
      </c>
      <c r="E20" s="40">
        <v>8.85</v>
      </c>
      <c r="F20" s="42">
        <v>7.61</v>
      </c>
      <c r="G20" s="40">
        <v>125.55</v>
      </c>
      <c r="H20" s="40">
        <v>45.09</v>
      </c>
      <c r="I20" s="40">
        <v>14.7</v>
      </c>
      <c r="J20" s="40">
        <v>0.67</v>
      </c>
      <c r="K20" s="40">
        <v>85.16</v>
      </c>
      <c r="L20" s="40">
        <v>26.55</v>
      </c>
      <c r="M20" s="40">
        <v>44.45</v>
      </c>
      <c r="N20" s="40">
        <v>349</v>
      </c>
      <c r="O20" s="40">
        <v>0</v>
      </c>
      <c r="P20" s="40">
        <v>1.01</v>
      </c>
      <c r="Q20" s="40">
        <v>12.99</v>
      </c>
      <c r="R20" s="38"/>
      <c r="S20" s="38"/>
      <c r="T20" s="38"/>
      <c r="U20" s="38"/>
    </row>
    <row r="21" spans="1:21" customFormat="1">
      <c r="A21" s="39" t="s">
        <v>409</v>
      </c>
      <c r="B21" s="40">
        <v>4.58</v>
      </c>
      <c r="C21" s="40">
        <v>29.32</v>
      </c>
      <c r="D21" s="40">
        <v>20.34</v>
      </c>
      <c r="E21" s="40">
        <v>9.3000000000000007</v>
      </c>
      <c r="F21" s="42">
        <v>7.53</v>
      </c>
      <c r="G21" s="40">
        <v>106.71</v>
      </c>
      <c r="H21" s="40">
        <v>42.47</v>
      </c>
      <c r="I21" s="40">
        <v>13.22</v>
      </c>
      <c r="J21" s="40">
        <v>0.94</v>
      </c>
      <c r="K21" s="40">
        <v>151.84</v>
      </c>
      <c r="L21" s="40">
        <v>27.31</v>
      </c>
      <c r="M21" s="40">
        <v>39.44</v>
      </c>
      <c r="N21" s="40">
        <v>322.8</v>
      </c>
      <c r="O21" s="40">
        <v>0</v>
      </c>
      <c r="P21" s="40">
        <v>0.92</v>
      </c>
      <c r="Q21" s="40">
        <v>12.98</v>
      </c>
      <c r="R21" s="38"/>
      <c r="S21" s="38"/>
      <c r="T21" s="38"/>
      <c r="U21" s="38"/>
    </row>
    <row r="22" spans="1:21" customFormat="1">
      <c r="A22" s="39" t="s">
        <v>410</v>
      </c>
      <c r="B22" s="40">
        <v>3.83</v>
      </c>
      <c r="C22" s="40">
        <v>26.49</v>
      </c>
      <c r="D22" s="40">
        <v>18.18</v>
      </c>
      <c r="E22" s="40">
        <v>8.9</v>
      </c>
      <c r="F22" s="42">
        <v>7.05</v>
      </c>
      <c r="G22" s="40">
        <v>88.81</v>
      </c>
      <c r="H22" s="40">
        <v>37.51</v>
      </c>
      <c r="I22" s="40">
        <v>11.76</v>
      </c>
      <c r="J22" s="40">
        <v>0.94</v>
      </c>
      <c r="K22" s="40">
        <v>356.07</v>
      </c>
      <c r="L22" s="40">
        <v>27.46</v>
      </c>
      <c r="M22" s="40">
        <v>35.39</v>
      </c>
      <c r="N22" s="40">
        <v>328.6</v>
      </c>
      <c r="O22" s="40">
        <v>0</v>
      </c>
      <c r="P22" s="40">
        <v>0.82</v>
      </c>
      <c r="Q22" s="40">
        <v>12.97</v>
      </c>
      <c r="R22" s="38"/>
      <c r="S22" s="38"/>
      <c r="T22" s="38"/>
      <c r="U22" s="38"/>
    </row>
    <row r="23" spans="1:21" customFormat="1">
      <c r="A23" s="39" t="s">
        <v>411</v>
      </c>
      <c r="B23" s="40">
        <v>4.21</v>
      </c>
      <c r="C23" s="40">
        <v>25.24</v>
      </c>
      <c r="D23" s="40">
        <v>17.71</v>
      </c>
      <c r="E23" s="40">
        <v>8.7200000000000006</v>
      </c>
      <c r="F23" s="42">
        <v>7.97</v>
      </c>
      <c r="G23" s="40">
        <v>68.010000000000005</v>
      </c>
      <c r="H23" s="40">
        <v>35.299999999999997</v>
      </c>
      <c r="I23" s="40">
        <v>10.42</v>
      </c>
      <c r="J23" s="40">
        <v>0.44</v>
      </c>
      <c r="K23" s="40">
        <v>141.34</v>
      </c>
      <c r="L23" s="40">
        <v>27.01</v>
      </c>
      <c r="M23" s="40">
        <v>35.229999999999997</v>
      </c>
      <c r="N23" s="40">
        <v>167.4</v>
      </c>
      <c r="O23" s="40">
        <v>0</v>
      </c>
      <c r="P23" s="40">
        <v>0.74</v>
      </c>
      <c r="Q23" s="40">
        <v>12.97</v>
      </c>
      <c r="R23" s="38"/>
      <c r="S23" s="38"/>
      <c r="T23" s="38"/>
      <c r="U23" s="38"/>
    </row>
    <row r="24" spans="1:21" customFormat="1">
      <c r="A24" s="39" t="s">
        <v>412</v>
      </c>
      <c r="B24" s="40">
        <v>4.6100000000000003</v>
      </c>
      <c r="C24" s="40">
        <v>23.35</v>
      </c>
      <c r="D24" s="40">
        <v>16.97</v>
      </c>
      <c r="E24" s="40">
        <v>9.2100000000000009</v>
      </c>
      <c r="F24" s="42">
        <v>9.2799999999999994</v>
      </c>
      <c r="G24" s="40">
        <v>68.010000000000005</v>
      </c>
      <c r="H24" s="40">
        <v>30.66</v>
      </c>
      <c r="I24" s="40">
        <v>9.5299999999999994</v>
      </c>
      <c r="J24" s="40">
        <v>0.85</v>
      </c>
      <c r="K24" s="40">
        <v>50.71</v>
      </c>
      <c r="L24" s="40">
        <v>26.7</v>
      </c>
      <c r="M24" s="40">
        <v>36.07</v>
      </c>
      <c r="N24" s="40">
        <v>94.7</v>
      </c>
      <c r="O24" s="40">
        <v>0</v>
      </c>
      <c r="P24" s="40">
        <v>0.7</v>
      </c>
      <c r="Q24" s="40">
        <v>12.96</v>
      </c>
      <c r="R24" s="38"/>
      <c r="S24" s="38"/>
      <c r="T24" s="38"/>
      <c r="U24" s="38"/>
    </row>
    <row r="25" spans="1:21" customFormat="1">
      <c r="A25" s="39" t="s">
        <v>413</v>
      </c>
      <c r="B25" s="40">
        <v>5.35</v>
      </c>
      <c r="C25" s="40">
        <v>23.53</v>
      </c>
      <c r="D25" s="40">
        <v>17.940000000000001</v>
      </c>
      <c r="E25" s="40">
        <v>9.2799999999999994</v>
      </c>
      <c r="F25" s="42">
        <v>10.06</v>
      </c>
      <c r="G25" s="40">
        <v>62.41</v>
      </c>
      <c r="H25" s="40">
        <v>26.96</v>
      </c>
      <c r="I25" s="40">
        <v>9.1</v>
      </c>
      <c r="J25" s="40">
        <v>0.87</v>
      </c>
      <c r="K25" s="40">
        <v>48.2</v>
      </c>
      <c r="L25" s="40">
        <v>25.85</v>
      </c>
      <c r="M25" s="40">
        <v>39.950000000000003</v>
      </c>
      <c r="N25" s="40">
        <v>53.7</v>
      </c>
      <c r="O25" s="40">
        <v>0</v>
      </c>
      <c r="P25" s="40">
        <v>0.68</v>
      </c>
      <c r="Q25" s="40">
        <v>12.95</v>
      </c>
      <c r="R25" s="38"/>
      <c r="S25" s="38"/>
      <c r="T25" s="38"/>
      <c r="U25" s="38"/>
    </row>
    <row r="26" spans="1:21" customFormat="1">
      <c r="A26" s="39" t="s">
        <v>414</v>
      </c>
      <c r="B26" s="40">
        <v>6.42</v>
      </c>
      <c r="C26" s="40">
        <v>24.12</v>
      </c>
      <c r="D26" s="40">
        <v>19.04</v>
      </c>
      <c r="E26" s="40">
        <v>9.07</v>
      </c>
      <c r="F26" s="42">
        <v>7.68</v>
      </c>
      <c r="G26" s="40">
        <v>69.930000000000007</v>
      </c>
      <c r="H26" s="40">
        <v>26.96</v>
      </c>
      <c r="I26" s="40">
        <v>8.82</v>
      </c>
      <c r="J26" s="40">
        <v>0.51</v>
      </c>
      <c r="K26" s="40">
        <v>175.12</v>
      </c>
      <c r="L26" s="40">
        <v>24.93</v>
      </c>
      <c r="M26" s="40">
        <v>60.17</v>
      </c>
      <c r="N26" s="40">
        <v>20.399999999999999</v>
      </c>
      <c r="O26" s="40">
        <v>0</v>
      </c>
      <c r="P26" s="40">
        <v>0.7</v>
      </c>
      <c r="Q26" s="40">
        <v>12.96</v>
      </c>
      <c r="R26" s="38"/>
      <c r="S26" s="38"/>
      <c r="T26" s="38"/>
      <c r="U26" s="38"/>
    </row>
    <row r="27" spans="1:21" customFormat="1">
      <c r="A27" s="39" t="s">
        <v>415</v>
      </c>
      <c r="B27" s="40">
        <v>7.56</v>
      </c>
      <c r="C27" s="40">
        <v>24.48</v>
      </c>
      <c r="D27" s="40">
        <v>20.2</v>
      </c>
      <c r="E27" s="40">
        <v>10.56</v>
      </c>
      <c r="F27" s="42">
        <v>5.95</v>
      </c>
      <c r="G27" s="40">
        <v>94.2</v>
      </c>
      <c r="H27" s="40">
        <v>30.17</v>
      </c>
      <c r="I27" s="40">
        <v>8.85</v>
      </c>
      <c r="J27" s="40">
        <v>0.23</v>
      </c>
      <c r="K27" s="40">
        <v>183.66</v>
      </c>
      <c r="L27" s="40">
        <v>21.08</v>
      </c>
      <c r="M27" s="40">
        <v>68.64</v>
      </c>
      <c r="N27" s="40">
        <v>2</v>
      </c>
      <c r="O27" s="40">
        <v>0</v>
      </c>
      <c r="P27" s="40">
        <v>0.74</v>
      </c>
      <c r="Q27" s="40">
        <v>12.96</v>
      </c>
      <c r="R27" s="38"/>
      <c r="S27" s="38"/>
      <c r="T27" s="38"/>
      <c r="U27" s="38"/>
    </row>
    <row r="28" spans="1:21" customFormat="1">
      <c r="A28" s="39" t="s">
        <v>416</v>
      </c>
      <c r="B28" s="40">
        <v>7.73</v>
      </c>
      <c r="C28" s="40">
        <v>25.84</v>
      </c>
      <c r="D28" s="40">
        <v>20.93</v>
      </c>
      <c r="E28" s="40">
        <v>10.220000000000001</v>
      </c>
      <c r="F28" s="42">
        <v>4.2699999999999996</v>
      </c>
      <c r="G28" s="40">
        <v>97.16</v>
      </c>
      <c r="H28" s="40">
        <v>30.17</v>
      </c>
      <c r="I28" s="40">
        <v>9.1999999999999993</v>
      </c>
      <c r="J28" s="40">
        <v>0.22</v>
      </c>
      <c r="K28" s="40">
        <v>197.98</v>
      </c>
      <c r="L28" s="40">
        <v>19.579999999999998</v>
      </c>
      <c r="M28" s="40">
        <v>70.239999999999995</v>
      </c>
      <c r="N28" s="40">
        <v>1.7</v>
      </c>
      <c r="O28" s="40">
        <v>0</v>
      </c>
      <c r="P28" s="40">
        <v>0.81</v>
      </c>
      <c r="Q28" s="40">
        <v>12.99</v>
      </c>
      <c r="R28" s="38"/>
      <c r="S28" s="38"/>
      <c r="T28" s="38"/>
      <c r="U28" s="38"/>
    </row>
    <row r="29" spans="1:21" customFormat="1">
      <c r="A29" s="39" t="s">
        <v>417</v>
      </c>
      <c r="B29" s="40">
        <v>7.8</v>
      </c>
      <c r="C29" s="40">
        <v>26.33</v>
      </c>
      <c r="D29" s="40">
        <v>21.34</v>
      </c>
      <c r="E29" s="40">
        <v>10.29</v>
      </c>
      <c r="F29" s="42">
        <v>4</v>
      </c>
      <c r="G29" s="40">
        <v>97.16</v>
      </c>
      <c r="H29" s="40">
        <v>30.9</v>
      </c>
      <c r="I29" s="40">
        <v>10.14</v>
      </c>
      <c r="J29" s="40">
        <v>0.2</v>
      </c>
      <c r="K29" s="40">
        <v>205.36</v>
      </c>
      <c r="L29" s="40">
        <v>18.45</v>
      </c>
      <c r="M29" s="40">
        <v>78.91</v>
      </c>
      <c r="N29" s="40">
        <v>1.7</v>
      </c>
      <c r="O29" s="40">
        <v>0</v>
      </c>
      <c r="P29" s="40">
        <v>0.83</v>
      </c>
      <c r="Q29" s="40">
        <v>13</v>
      </c>
      <c r="R29" s="38"/>
      <c r="S29" s="38"/>
      <c r="T29" s="38"/>
      <c r="U29" s="38"/>
    </row>
    <row r="30" spans="1:21" customFormat="1">
      <c r="A30" s="39" t="s">
        <v>418</v>
      </c>
      <c r="B30" s="40">
        <v>10.42</v>
      </c>
      <c r="C30" s="40">
        <v>25.97</v>
      </c>
      <c r="D30" s="40">
        <v>23.27</v>
      </c>
      <c r="E30" s="40">
        <v>10.25</v>
      </c>
      <c r="F30" s="42">
        <v>4.09</v>
      </c>
      <c r="G30" s="40">
        <v>96.32</v>
      </c>
      <c r="H30" s="40">
        <v>30.9</v>
      </c>
      <c r="I30" s="40">
        <v>10.65</v>
      </c>
      <c r="J30" s="40">
        <v>0.19</v>
      </c>
      <c r="K30" s="40">
        <v>167.69</v>
      </c>
      <c r="L30" s="40">
        <v>17.63</v>
      </c>
      <c r="M30" s="40">
        <v>78.38</v>
      </c>
      <c r="N30" s="40">
        <v>1.3</v>
      </c>
      <c r="O30" s="40">
        <v>0</v>
      </c>
      <c r="P30" s="40">
        <v>0.88</v>
      </c>
      <c r="Q30" s="40">
        <v>12.99</v>
      </c>
      <c r="R30" s="38"/>
      <c r="S30" s="38"/>
      <c r="T30" s="38"/>
      <c r="U30" s="38"/>
    </row>
    <row r="31" spans="1:21" customFormat="1">
      <c r="A31" s="39" t="s">
        <v>419</v>
      </c>
      <c r="B31" s="40">
        <v>22.71</v>
      </c>
      <c r="C31" s="40">
        <v>28.3</v>
      </c>
      <c r="D31" s="40">
        <v>34.35</v>
      </c>
      <c r="E31" s="40">
        <v>10.029999999999999</v>
      </c>
      <c r="F31" s="42">
        <v>4.09</v>
      </c>
      <c r="G31" s="40">
        <v>110.93</v>
      </c>
      <c r="H31" s="40">
        <v>31.01</v>
      </c>
      <c r="I31" s="40">
        <v>12.46</v>
      </c>
      <c r="J31" s="40">
        <v>0.18</v>
      </c>
      <c r="K31" s="40">
        <v>172.85</v>
      </c>
      <c r="L31" s="40">
        <v>18.100000000000001</v>
      </c>
      <c r="M31" s="40">
        <v>75.239999999999995</v>
      </c>
      <c r="N31" s="40">
        <v>1.5</v>
      </c>
      <c r="O31" s="40">
        <v>0</v>
      </c>
      <c r="P31" s="40">
        <v>1.01</v>
      </c>
      <c r="Q31" s="40">
        <v>13.04</v>
      </c>
      <c r="R31" s="38"/>
      <c r="S31" s="38"/>
      <c r="T31" s="38"/>
      <c r="U31" s="38"/>
    </row>
    <row r="32" spans="1:21" customFormat="1">
      <c r="A32" s="39" t="s">
        <v>420</v>
      </c>
      <c r="B32" s="40">
        <v>29.79</v>
      </c>
      <c r="C32" s="40">
        <v>28.34</v>
      </c>
      <c r="D32" s="40">
        <v>40</v>
      </c>
      <c r="E32" s="40">
        <v>10.1</v>
      </c>
      <c r="F32" s="42">
        <v>4.07</v>
      </c>
      <c r="G32" s="40">
        <v>116.3</v>
      </c>
      <c r="H32" s="40">
        <v>35.880000000000003</v>
      </c>
      <c r="I32" s="40">
        <v>14.12</v>
      </c>
      <c r="J32" s="40">
        <v>0.26</v>
      </c>
      <c r="K32" s="40">
        <v>172.9</v>
      </c>
      <c r="L32" s="40">
        <v>18.170000000000002</v>
      </c>
      <c r="M32" s="40">
        <v>80.98</v>
      </c>
      <c r="N32" s="40">
        <v>1.8</v>
      </c>
      <c r="O32" s="40">
        <v>0</v>
      </c>
      <c r="P32" s="40">
        <v>1.0900000000000001</v>
      </c>
      <c r="Q32" s="40">
        <v>13.06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3.83</v>
      </c>
      <c r="C34" s="18">
        <f t="shared" si="0"/>
        <v>23.35</v>
      </c>
      <c r="D34" s="18">
        <f t="shared" si="0"/>
        <v>16.97</v>
      </c>
      <c r="E34" s="18">
        <f t="shared" si="0"/>
        <v>7.8</v>
      </c>
      <c r="F34" s="18">
        <f t="shared" si="0"/>
        <v>3.95</v>
      </c>
      <c r="G34" s="18">
        <f t="shared" si="0"/>
        <v>62.41</v>
      </c>
      <c r="H34" s="18">
        <f t="shared" si="0"/>
        <v>26.96</v>
      </c>
      <c r="I34" s="18">
        <f t="shared" si="0"/>
        <v>8.82</v>
      </c>
      <c r="J34" s="18">
        <f t="shared" si="0"/>
        <v>0.18</v>
      </c>
      <c r="K34" s="18">
        <f t="shared" si="0"/>
        <v>48.2</v>
      </c>
      <c r="L34" s="18">
        <f t="shared" si="0"/>
        <v>15.84</v>
      </c>
      <c r="M34" s="18">
        <f t="shared" si="0"/>
        <v>35.229999999999997</v>
      </c>
      <c r="N34" s="18">
        <f t="shared" si="0"/>
        <v>1.3</v>
      </c>
      <c r="O34" s="18">
        <f t="shared" si="0"/>
        <v>0</v>
      </c>
      <c r="P34" s="18">
        <f t="shared" si="0"/>
        <v>0.68</v>
      </c>
      <c r="Q34" s="18">
        <f t="shared" si="0"/>
        <v>12.95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29.79</v>
      </c>
      <c r="C35" s="3">
        <f t="shared" si="1"/>
        <v>30.3</v>
      </c>
      <c r="D35" s="3">
        <f t="shared" si="1"/>
        <v>40</v>
      </c>
      <c r="E35" s="3">
        <f t="shared" si="1"/>
        <v>10.56</v>
      </c>
      <c r="F35" s="3">
        <f t="shared" si="1"/>
        <v>10.06</v>
      </c>
      <c r="G35" s="3">
        <f t="shared" si="1"/>
        <v>125.55</v>
      </c>
      <c r="H35" s="3">
        <f t="shared" si="1"/>
        <v>45.74</v>
      </c>
      <c r="I35" s="3">
        <f t="shared" si="1"/>
        <v>16.03</v>
      </c>
      <c r="J35" s="3">
        <f t="shared" si="1"/>
        <v>0.94</v>
      </c>
      <c r="K35" s="3">
        <f t="shared" si="1"/>
        <v>357.11</v>
      </c>
      <c r="L35" s="3">
        <f t="shared" si="1"/>
        <v>27.46</v>
      </c>
      <c r="M35" s="3">
        <f t="shared" si="1"/>
        <v>88.04</v>
      </c>
      <c r="N35" s="3">
        <f t="shared" si="1"/>
        <v>349</v>
      </c>
      <c r="O35" s="3">
        <f t="shared" si="1"/>
        <v>0</v>
      </c>
      <c r="P35" s="3">
        <f t="shared" si="1"/>
        <v>1.1399999999999999</v>
      </c>
      <c r="Q35" s="3">
        <f t="shared" si="1"/>
        <v>13.06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10.252500000000001</v>
      </c>
      <c r="C36" s="18">
        <f t="shared" si="2"/>
        <v>27.120000000000005</v>
      </c>
      <c r="D36" s="18">
        <f t="shared" si="2"/>
        <v>23.662916666666661</v>
      </c>
      <c r="E36" s="18">
        <f t="shared" si="2"/>
        <v>9.0175000000000001</v>
      </c>
      <c r="F36" s="18">
        <f t="shared" si="2"/>
        <v>5.4225000000000003</v>
      </c>
      <c r="G36" s="18">
        <f t="shared" si="2"/>
        <v>101.04708333333333</v>
      </c>
      <c r="H36" s="18">
        <f t="shared" si="2"/>
        <v>36.838333333333331</v>
      </c>
      <c r="I36" s="18">
        <f t="shared" si="2"/>
        <v>11.623333333333333</v>
      </c>
      <c r="J36" s="18">
        <f t="shared" si="2"/>
        <v>0.51499999999999979</v>
      </c>
      <c r="K36" s="18">
        <f t="shared" si="2"/>
        <v>143.97499999999999</v>
      </c>
      <c r="L36" s="18">
        <f t="shared" si="2"/>
        <v>20.939166666666665</v>
      </c>
      <c r="M36" s="18">
        <f t="shared" si="2"/>
        <v>66.120000000000019</v>
      </c>
      <c r="N36" s="18">
        <f t="shared" si="2"/>
        <v>85.808333333333337</v>
      </c>
      <c r="O36" s="18">
        <f t="shared" si="2"/>
        <v>0</v>
      </c>
      <c r="P36" s="18">
        <f t="shared" si="2"/>
        <v>0.90291666666666648</v>
      </c>
      <c r="Q36" s="18">
        <f t="shared" si="2"/>
        <v>12.991250000000001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6.3388657948577318</v>
      </c>
      <c r="C37" s="18">
        <f t="shared" ref="C37:Q37" si="3">STDEV(C9:C32)</f>
        <v>2.0768810227378687</v>
      </c>
      <c r="D37" s="18">
        <f t="shared" si="3"/>
        <v>5.5462556732226043</v>
      </c>
      <c r="E37" s="18">
        <f t="shared" si="3"/>
        <v>0.82553934939002427</v>
      </c>
      <c r="F37" s="18">
        <f t="shared" si="3"/>
        <v>1.9284985148397509</v>
      </c>
      <c r="G37" s="18">
        <f t="shared" si="3"/>
        <v>18.588426385012095</v>
      </c>
      <c r="H37" s="18">
        <f t="shared" si="3"/>
        <v>5.9999149752430458</v>
      </c>
      <c r="I37" s="18">
        <f t="shared" si="3"/>
        <v>1.9977958869206696</v>
      </c>
      <c r="J37" s="18">
        <f t="shared" si="3"/>
        <v>0.27015293575242205</v>
      </c>
      <c r="K37" s="18">
        <f t="shared" si="3"/>
        <v>87.923293495696782</v>
      </c>
      <c r="L37" s="18">
        <f t="shared" si="3"/>
        <v>4.227582222651086</v>
      </c>
      <c r="M37" s="18">
        <f t="shared" si="3"/>
        <v>18.376672121493286</v>
      </c>
      <c r="N37" s="18">
        <f t="shared" si="3"/>
        <v>124.46878748493943</v>
      </c>
      <c r="O37" s="18">
        <f t="shared" si="3"/>
        <v>0</v>
      </c>
      <c r="P37" s="18">
        <f t="shared" si="3"/>
        <v>0.13505165410080228</v>
      </c>
      <c r="Q37" s="18">
        <f t="shared" si="3"/>
        <v>2.6095560175431246E-2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96"/>
  <sheetViews>
    <sheetView zoomScale="85" zoomScaleNormal="85" workbookViewId="0">
      <pane xSplit="1" ySplit="8" topLeftCell="B15" activePane="bottomRight" state="frozen"/>
      <selection activeCell="G19" sqref="G19"/>
      <selection pane="topRight" activeCell="G19" sqref="G19"/>
      <selection pane="bottomLeft" activeCell="G19" sqref="G19"/>
      <selection pane="bottomRight" activeCell="U25" sqref="U2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16/01/2025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421</v>
      </c>
      <c r="B9" s="40">
        <v>36.24</v>
      </c>
      <c r="C9" s="40">
        <v>28.45</v>
      </c>
      <c r="D9" s="40">
        <v>45.17</v>
      </c>
      <c r="E9" s="40">
        <v>10.55</v>
      </c>
      <c r="F9" s="42">
        <v>4.04</v>
      </c>
      <c r="G9" s="40">
        <v>121.85</v>
      </c>
      <c r="H9" s="40">
        <v>36.96</v>
      </c>
      <c r="I9" s="40">
        <v>15.33</v>
      </c>
      <c r="J9" s="40">
        <v>0.22</v>
      </c>
      <c r="K9" s="40">
        <v>177.37</v>
      </c>
      <c r="L9" s="40">
        <v>17.84</v>
      </c>
      <c r="M9" s="40">
        <v>81.59</v>
      </c>
      <c r="N9" s="40">
        <v>2</v>
      </c>
      <c r="O9" s="40">
        <v>0</v>
      </c>
      <c r="P9" s="40">
        <v>1.17</v>
      </c>
      <c r="Q9" s="40">
        <v>13.08</v>
      </c>
      <c r="R9" s="38"/>
      <c r="S9" s="38"/>
      <c r="T9" s="38"/>
      <c r="U9" s="38"/>
    </row>
    <row r="10" spans="1:21" customFormat="1">
      <c r="A10" s="39" t="s">
        <v>422</v>
      </c>
      <c r="B10" s="40">
        <v>40.83</v>
      </c>
      <c r="C10" s="40">
        <v>28.37</v>
      </c>
      <c r="D10" s="40">
        <v>48.66</v>
      </c>
      <c r="E10" s="40">
        <v>10.94</v>
      </c>
      <c r="F10" s="42">
        <v>4.07</v>
      </c>
      <c r="G10" s="40">
        <v>126.71</v>
      </c>
      <c r="H10" s="40">
        <v>38.04</v>
      </c>
      <c r="I10" s="40">
        <v>16.43</v>
      </c>
      <c r="J10" s="40">
        <v>0.23</v>
      </c>
      <c r="K10" s="40">
        <v>202.86</v>
      </c>
      <c r="L10" s="40">
        <v>18.13</v>
      </c>
      <c r="M10" s="40">
        <v>79.930000000000007</v>
      </c>
      <c r="N10" s="40">
        <v>2</v>
      </c>
      <c r="O10" s="40">
        <v>0</v>
      </c>
      <c r="P10" s="40">
        <v>1.25</v>
      </c>
      <c r="Q10" s="40">
        <v>13.1</v>
      </c>
      <c r="R10" s="38"/>
      <c r="S10" s="38"/>
      <c r="T10" s="38"/>
      <c r="U10" s="38"/>
    </row>
    <row r="11" spans="1:21" customFormat="1">
      <c r="A11" s="39" t="s">
        <v>423</v>
      </c>
      <c r="B11" s="40">
        <v>40.99</v>
      </c>
      <c r="C11" s="40">
        <v>27.73</v>
      </c>
      <c r="D11" s="40">
        <v>48.72</v>
      </c>
      <c r="E11" s="40">
        <v>11.41</v>
      </c>
      <c r="F11" s="42">
        <v>4.0599999999999996</v>
      </c>
      <c r="G11" s="40">
        <v>126.72</v>
      </c>
      <c r="H11" s="40">
        <v>38.04</v>
      </c>
      <c r="I11" s="40">
        <v>17.170000000000002</v>
      </c>
      <c r="J11" s="40">
        <v>0.17</v>
      </c>
      <c r="K11" s="40">
        <v>199.57</v>
      </c>
      <c r="L11" s="40">
        <v>17.37</v>
      </c>
      <c r="M11" s="40">
        <v>86.2</v>
      </c>
      <c r="N11" s="40">
        <v>1.8</v>
      </c>
      <c r="O11" s="40">
        <v>0</v>
      </c>
      <c r="P11" s="40">
        <v>1.29</v>
      </c>
      <c r="Q11" s="40">
        <v>13.11</v>
      </c>
      <c r="R11" s="38"/>
      <c r="S11" s="38"/>
      <c r="T11" s="38"/>
      <c r="U11" s="38"/>
    </row>
    <row r="12" spans="1:21" customFormat="1">
      <c r="A12" s="39" t="s">
        <v>424</v>
      </c>
      <c r="B12" s="40">
        <v>40.1</v>
      </c>
      <c r="C12" s="40">
        <v>26.63</v>
      </c>
      <c r="D12" s="40">
        <v>47.42</v>
      </c>
      <c r="E12" s="40">
        <v>11.39</v>
      </c>
      <c r="F12" s="42">
        <v>3.87</v>
      </c>
      <c r="G12" s="40">
        <v>126.72</v>
      </c>
      <c r="H12" s="40">
        <v>37.880000000000003</v>
      </c>
      <c r="I12" s="40">
        <v>17.62</v>
      </c>
      <c r="J12" s="40">
        <v>0.12</v>
      </c>
      <c r="K12" s="40">
        <v>192.02</v>
      </c>
      <c r="L12" s="40">
        <v>16.45</v>
      </c>
      <c r="M12" s="40">
        <v>89.19</v>
      </c>
      <c r="N12" s="40">
        <v>1.7</v>
      </c>
      <c r="O12" s="40">
        <v>0</v>
      </c>
      <c r="P12" s="40">
        <v>1.32</v>
      </c>
      <c r="Q12" s="40">
        <v>13.08</v>
      </c>
      <c r="R12" s="38"/>
      <c r="S12" s="38"/>
      <c r="T12" s="38"/>
      <c r="U12" s="38"/>
    </row>
    <row r="13" spans="1:21" customFormat="1">
      <c r="A13" s="39" t="s">
        <v>425</v>
      </c>
      <c r="B13" s="40">
        <v>38.340000000000003</v>
      </c>
      <c r="C13" s="40">
        <v>25.58</v>
      </c>
      <c r="D13" s="40">
        <v>45.47</v>
      </c>
      <c r="E13" s="40">
        <v>11.44</v>
      </c>
      <c r="F13" s="42">
        <v>3.95</v>
      </c>
      <c r="G13" s="40">
        <v>121.19</v>
      </c>
      <c r="H13" s="40">
        <v>36.01</v>
      </c>
      <c r="I13" s="40">
        <v>18.149999999999999</v>
      </c>
      <c r="J13" s="40">
        <v>0.38</v>
      </c>
      <c r="K13" s="40">
        <v>203.09</v>
      </c>
      <c r="L13" s="40">
        <v>16.350000000000001</v>
      </c>
      <c r="M13" s="40">
        <v>89.45</v>
      </c>
      <c r="N13" s="40">
        <v>1.7</v>
      </c>
      <c r="O13" s="40">
        <v>0</v>
      </c>
      <c r="P13" s="40">
        <v>1.32</v>
      </c>
      <c r="Q13" s="40">
        <v>13.07</v>
      </c>
      <c r="R13" s="38"/>
      <c r="S13" s="38"/>
      <c r="T13" s="38"/>
      <c r="U13" s="38"/>
    </row>
    <row r="14" spans="1:21" customFormat="1">
      <c r="A14" s="39" t="s">
        <v>426</v>
      </c>
      <c r="B14" s="40">
        <v>38.25</v>
      </c>
      <c r="C14" s="40">
        <v>24.35</v>
      </c>
      <c r="D14" s="40">
        <v>44.72</v>
      </c>
      <c r="E14" s="40">
        <v>11.13</v>
      </c>
      <c r="F14" s="42">
        <v>4.04</v>
      </c>
      <c r="G14" s="40">
        <v>110.61</v>
      </c>
      <c r="H14" s="40">
        <v>36.01</v>
      </c>
      <c r="I14" s="40">
        <v>18.27</v>
      </c>
      <c r="J14" s="40">
        <v>0.21</v>
      </c>
      <c r="K14" s="40">
        <v>325.66000000000003</v>
      </c>
      <c r="L14" s="40">
        <v>16.309999999999999</v>
      </c>
      <c r="M14" s="40">
        <v>86.26</v>
      </c>
      <c r="N14" s="40">
        <v>1.9</v>
      </c>
      <c r="O14" s="40">
        <v>0</v>
      </c>
      <c r="P14" s="40">
        <v>1.32</v>
      </c>
      <c r="Q14" s="40">
        <v>13.08</v>
      </c>
      <c r="R14" s="38"/>
      <c r="S14" s="38"/>
      <c r="T14" s="38"/>
      <c r="U14" s="38"/>
    </row>
    <row r="15" spans="1:21" customFormat="1">
      <c r="A15" s="39" t="s">
        <v>427</v>
      </c>
      <c r="B15" s="40">
        <v>39.67</v>
      </c>
      <c r="C15" s="40">
        <v>24.74</v>
      </c>
      <c r="D15" s="40">
        <v>46.07</v>
      </c>
      <c r="E15" s="40">
        <v>11.26</v>
      </c>
      <c r="F15" s="42">
        <v>3.87</v>
      </c>
      <c r="G15" s="40">
        <v>106.55</v>
      </c>
      <c r="H15" s="40">
        <v>34.659999999999997</v>
      </c>
      <c r="I15" s="40">
        <v>18.34</v>
      </c>
      <c r="J15" s="40">
        <v>0.22</v>
      </c>
      <c r="K15" s="40">
        <v>200.56</v>
      </c>
      <c r="L15" s="40">
        <v>16.670000000000002</v>
      </c>
      <c r="M15" s="40">
        <v>86.7</v>
      </c>
      <c r="N15" s="40">
        <v>11.4</v>
      </c>
      <c r="O15" s="40">
        <v>0</v>
      </c>
      <c r="P15" s="40">
        <v>1.31</v>
      </c>
      <c r="Q15" s="40">
        <v>13.09</v>
      </c>
      <c r="R15" s="38"/>
      <c r="S15" s="38"/>
      <c r="T15" s="38"/>
      <c r="U15" s="38"/>
    </row>
    <row r="16" spans="1:21" customFormat="1">
      <c r="A16" s="39" t="s">
        <v>428</v>
      </c>
      <c r="B16" s="40">
        <v>39.21</v>
      </c>
      <c r="C16" s="40">
        <v>25.13</v>
      </c>
      <c r="D16" s="40">
        <v>45.86</v>
      </c>
      <c r="E16" s="40">
        <v>11.11</v>
      </c>
      <c r="F16" s="42">
        <v>4.03</v>
      </c>
      <c r="G16" s="40">
        <v>111.84</v>
      </c>
      <c r="H16" s="40">
        <v>36.979999999999997</v>
      </c>
      <c r="I16" s="40">
        <v>18.239999999999998</v>
      </c>
      <c r="J16" s="40">
        <v>0.22</v>
      </c>
      <c r="K16" s="40">
        <v>183.94</v>
      </c>
      <c r="L16" s="40">
        <v>17.95</v>
      </c>
      <c r="M16" s="40">
        <v>85.69</v>
      </c>
      <c r="N16" s="40">
        <v>59.5</v>
      </c>
      <c r="O16" s="40">
        <v>0</v>
      </c>
      <c r="P16" s="40">
        <v>1.27</v>
      </c>
      <c r="Q16" s="40">
        <v>13.09</v>
      </c>
      <c r="R16" s="38"/>
      <c r="S16" s="38"/>
      <c r="T16" s="38"/>
      <c r="U16" s="38"/>
    </row>
    <row r="17" spans="1:21" customFormat="1">
      <c r="A17" s="39" t="s">
        <v>429</v>
      </c>
      <c r="B17" s="40">
        <v>33.19</v>
      </c>
      <c r="C17" s="40">
        <v>27.3</v>
      </c>
      <c r="D17" s="40">
        <v>41.14</v>
      </c>
      <c r="E17" s="40">
        <v>11.28</v>
      </c>
      <c r="F17" s="42">
        <v>4.43</v>
      </c>
      <c r="G17" s="40">
        <v>111.84</v>
      </c>
      <c r="H17" s="40">
        <v>36.979999999999997</v>
      </c>
      <c r="I17" s="40">
        <v>17.760000000000002</v>
      </c>
      <c r="J17" s="40">
        <v>0.66</v>
      </c>
      <c r="K17" s="40">
        <v>110.94</v>
      </c>
      <c r="L17" s="40">
        <v>22.01</v>
      </c>
      <c r="M17" s="40">
        <v>70.75</v>
      </c>
      <c r="N17" s="40">
        <v>142.9</v>
      </c>
      <c r="O17" s="40">
        <v>0</v>
      </c>
      <c r="P17" s="40">
        <v>1.22</v>
      </c>
      <c r="Q17" s="40">
        <v>13.08</v>
      </c>
      <c r="R17" s="38"/>
      <c r="S17" s="38"/>
      <c r="T17" s="38"/>
      <c r="U17" s="38"/>
    </row>
    <row r="18" spans="1:21" customFormat="1">
      <c r="A18" s="39" t="s">
        <v>430</v>
      </c>
      <c r="B18" s="40">
        <v>25.03</v>
      </c>
      <c r="C18" s="40">
        <v>30.54</v>
      </c>
      <c r="D18" s="40">
        <v>36.159999999999997</v>
      </c>
      <c r="E18" s="40">
        <v>11.39</v>
      </c>
      <c r="F18" s="42">
        <v>5.04</v>
      </c>
      <c r="G18" s="40">
        <v>110.6</v>
      </c>
      <c r="H18" s="40">
        <v>36.450000000000003</v>
      </c>
      <c r="I18" s="40">
        <v>16.78</v>
      </c>
      <c r="J18" s="40">
        <v>0.6</v>
      </c>
      <c r="K18" s="40">
        <v>153.71</v>
      </c>
      <c r="L18" s="40">
        <v>24.35</v>
      </c>
      <c r="M18" s="40">
        <v>54.72</v>
      </c>
      <c r="N18" s="40">
        <v>211.3</v>
      </c>
      <c r="O18" s="40">
        <v>0</v>
      </c>
      <c r="P18" s="40">
        <v>1.1499999999999999</v>
      </c>
      <c r="Q18" s="40">
        <v>13.04</v>
      </c>
      <c r="R18" s="38"/>
      <c r="S18" s="38"/>
      <c r="T18" s="38"/>
      <c r="U18" s="38"/>
    </row>
    <row r="19" spans="1:21" customFormat="1">
      <c r="A19" s="39" t="s">
        <v>431</v>
      </c>
      <c r="B19" s="40">
        <v>16.940000000000001</v>
      </c>
      <c r="C19" s="40">
        <v>30.61</v>
      </c>
      <c r="D19" s="40">
        <v>30.93</v>
      </c>
      <c r="E19" s="40">
        <v>9.33</v>
      </c>
      <c r="F19" s="42">
        <v>6.01</v>
      </c>
      <c r="G19" s="40">
        <v>100.73</v>
      </c>
      <c r="H19" s="40">
        <v>35.590000000000003</v>
      </c>
      <c r="I19" s="40">
        <v>15.23</v>
      </c>
      <c r="J19" s="40">
        <v>0.39</v>
      </c>
      <c r="K19" s="40">
        <v>207.15</v>
      </c>
      <c r="L19" s="40">
        <v>26.31</v>
      </c>
      <c r="M19" s="40">
        <v>48.38</v>
      </c>
      <c r="N19" s="40">
        <v>361.8</v>
      </c>
      <c r="O19" s="40">
        <v>0</v>
      </c>
      <c r="P19" s="40">
        <v>1.06</v>
      </c>
      <c r="Q19" s="40">
        <v>13.02</v>
      </c>
      <c r="R19" s="38"/>
      <c r="S19" s="38"/>
      <c r="T19" s="38"/>
      <c r="U19" s="38"/>
    </row>
    <row r="20" spans="1:21" customFormat="1">
      <c r="A20" s="39" t="s">
        <v>432</v>
      </c>
      <c r="B20" s="40">
        <v>11.94</v>
      </c>
      <c r="C20" s="40">
        <v>28.63</v>
      </c>
      <c r="D20" s="40">
        <v>25.89</v>
      </c>
      <c r="E20" s="40">
        <v>9.7200000000000006</v>
      </c>
      <c r="F20" s="42">
        <v>9.1199999999999992</v>
      </c>
      <c r="G20" s="40">
        <v>94.1</v>
      </c>
      <c r="H20" s="40">
        <v>31.81</v>
      </c>
      <c r="I20" s="40">
        <v>14.18</v>
      </c>
      <c r="J20" s="40">
        <v>0.39</v>
      </c>
      <c r="K20" s="40">
        <v>153.69999999999999</v>
      </c>
      <c r="L20" s="40">
        <v>27.33</v>
      </c>
      <c r="M20" s="40">
        <v>40.799999999999997</v>
      </c>
      <c r="N20" s="40">
        <v>391.8</v>
      </c>
      <c r="O20" s="40">
        <v>0</v>
      </c>
      <c r="P20" s="40">
        <v>0.97</v>
      </c>
      <c r="Q20" s="40">
        <v>13.01</v>
      </c>
      <c r="R20" s="38"/>
      <c r="S20" s="38"/>
      <c r="T20" s="38"/>
      <c r="U20" s="38"/>
    </row>
    <row r="21" spans="1:21" customFormat="1">
      <c r="A21" s="39" t="s">
        <v>433</v>
      </c>
      <c r="B21" s="40">
        <v>5.42</v>
      </c>
      <c r="C21" s="40">
        <v>12.82</v>
      </c>
      <c r="D21" s="40">
        <v>12.4</v>
      </c>
      <c r="E21" s="40">
        <v>9.2100000000000009</v>
      </c>
      <c r="F21" s="42">
        <v>8.77</v>
      </c>
      <c r="G21" s="40">
        <v>88.47</v>
      </c>
      <c r="H21" s="40">
        <v>31.81</v>
      </c>
      <c r="I21" s="24" t="s">
        <v>14</v>
      </c>
      <c r="J21" s="40">
        <v>0.67</v>
      </c>
      <c r="K21" s="40">
        <v>354.31</v>
      </c>
      <c r="L21" s="40">
        <v>27.69</v>
      </c>
      <c r="M21" s="40">
        <v>36.15</v>
      </c>
      <c r="N21" s="40">
        <v>372.3</v>
      </c>
      <c r="O21" s="40">
        <v>0</v>
      </c>
      <c r="P21" s="40">
        <v>0.81</v>
      </c>
      <c r="Q21" s="40">
        <v>13.01</v>
      </c>
      <c r="R21" s="38"/>
      <c r="S21" s="38"/>
      <c r="T21" s="38"/>
      <c r="U21" s="38"/>
    </row>
    <row r="22" spans="1:21" customFormat="1">
      <c r="A22" s="39" t="s">
        <v>434</v>
      </c>
      <c r="B22" s="40">
        <v>4.55</v>
      </c>
      <c r="C22" s="40">
        <v>27.08</v>
      </c>
      <c r="D22" s="40">
        <v>18.64</v>
      </c>
      <c r="E22" s="40">
        <v>2.15</v>
      </c>
      <c r="F22" s="42">
        <v>8.6</v>
      </c>
      <c r="G22" s="40">
        <v>84.79</v>
      </c>
      <c r="H22" s="40">
        <v>30.78</v>
      </c>
      <c r="I22" s="40">
        <v>12.36</v>
      </c>
      <c r="J22" s="40">
        <v>1.02</v>
      </c>
      <c r="K22" s="40">
        <v>335.22</v>
      </c>
      <c r="L22" s="40">
        <v>28.06</v>
      </c>
      <c r="M22" s="40">
        <v>34.450000000000003</v>
      </c>
      <c r="N22" s="40">
        <v>356.7</v>
      </c>
      <c r="O22" s="40">
        <v>0</v>
      </c>
      <c r="P22" s="40">
        <v>0.8</v>
      </c>
      <c r="Q22" s="40">
        <v>13.01</v>
      </c>
      <c r="R22" s="38"/>
      <c r="S22" s="38"/>
      <c r="T22" s="38"/>
      <c r="U22" s="38"/>
    </row>
    <row r="23" spans="1:21" customFormat="1">
      <c r="A23" s="39" t="s">
        <v>435</v>
      </c>
      <c r="B23" s="40">
        <v>2.27</v>
      </c>
      <c r="C23" s="40">
        <v>25.36</v>
      </c>
      <c r="D23" s="40">
        <v>16.420000000000002</v>
      </c>
      <c r="E23" s="40">
        <v>2.15</v>
      </c>
      <c r="F23" s="42">
        <v>8.02</v>
      </c>
      <c r="G23" s="40">
        <v>84.79</v>
      </c>
      <c r="H23" s="40">
        <v>30.78</v>
      </c>
      <c r="I23" s="40">
        <v>11.46</v>
      </c>
      <c r="J23" s="40">
        <v>1.1299999999999999</v>
      </c>
      <c r="K23" s="40">
        <v>41.01</v>
      </c>
      <c r="L23" s="40">
        <v>28.15</v>
      </c>
      <c r="M23" s="40">
        <v>30.58</v>
      </c>
      <c r="N23" s="40">
        <v>325.10000000000002</v>
      </c>
      <c r="O23" s="40">
        <v>0</v>
      </c>
      <c r="P23" s="40">
        <v>0.79</v>
      </c>
      <c r="Q23" s="40">
        <v>13.01</v>
      </c>
      <c r="R23" s="38"/>
      <c r="S23" s="38"/>
      <c r="T23" s="38"/>
      <c r="U23" s="38"/>
    </row>
    <row r="24" spans="1:21" customFormat="1">
      <c r="A24" s="39" t="s">
        <v>436</v>
      </c>
      <c r="B24" s="40">
        <v>1.98</v>
      </c>
      <c r="C24" s="40">
        <v>23.85</v>
      </c>
      <c r="D24" s="40">
        <v>15.4</v>
      </c>
      <c r="E24" s="40">
        <v>2.15</v>
      </c>
      <c r="F24" s="42">
        <v>9.09</v>
      </c>
      <c r="G24" s="40">
        <v>71.59</v>
      </c>
      <c r="H24" s="40">
        <v>30.62</v>
      </c>
      <c r="I24" s="40">
        <v>10.55</v>
      </c>
      <c r="J24" s="40">
        <v>0.93</v>
      </c>
      <c r="K24" s="40">
        <v>343.15</v>
      </c>
      <c r="L24" s="40">
        <v>27.79</v>
      </c>
      <c r="M24" s="40">
        <v>37.46</v>
      </c>
      <c r="N24" s="40">
        <v>83.8</v>
      </c>
      <c r="O24" s="40">
        <v>0</v>
      </c>
      <c r="P24" s="40">
        <v>0.75</v>
      </c>
      <c r="Q24" s="40">
        <v>13.01</v>
      </c>
      <c r="R24" s="38"/>
      <c r="S24" s="38"/>
      <c r="T24" s="38"/>
      <c r="U24" s="38"/>
    </row>
    <row r="25" spans="1:21" customFormat="1">
      <c r="A25" s="39" t="s">
        <v>437</v>
      </c>
      <c r="B25" s="40">
        <v>2.31</v>
      </c>
      <c r="C25" s="40">
        <v>24.77</v>
      </c>
      <c r="D25" s="40">
        <v>16.149999999999999</v>
      </c>
      <c r="E25" s="40">
        <v>2.15</v>
      </c>
      <c r="F25" s="42">
        <v>8.81</v>
      </c>
      <c r="G25" s="40">
        <v>78.150000000000006</v>
      </c>
      <c r="H25" s="40">
        <v>30.52</v>
      </c>
      <c r="I25" s="40">
        <v>9.73</v>
      </c>
      <c r="J25" s="40">
        <v>1.1000000000000001</v>
      </c>
      <c r="K25" s="40">
        <v>37.86</v>
      </c>
      <c r="L25" s="40">
        <v>26.57</v>
      </c>
      <c r="M25" s="40">
        <v>42.93</v>
      </c>
      <c r="N25" s="40">
        <v>40.9</v>
      </c>
      <c r="O25" s="40">
        <v>0</v>
      </c>
      <c r="P25" s="40">
        <v>0.74</v>
      </c>
      <c r="Q25" s="40">
        <v>13.01</v>
      </c>
      <c r="R25" s="38"/>
      <c r="S25" s="38"/>
      <c r="T25" s="38"/>
      <c r="U25" s="38"/>
    </row>
    <row r="26" spans="1:21" customFormat="1">
      <c r="A26" s="39" t="s">
        <v>438</v>
      </c>
      <c r="B26" s="40">
        <v>2.42</v>
      </c>
      <c r="C26" s="40">
        <v>26.78</v>
      </c>
      <c r="D26" s="40">
        <v>17.16</v>
      </c>
      <c r="E26" s="40">
        <v>2.15</v>
      </c>
      <c r="F26" s="42">
        <v>8.69</v>
      </c>
      <c r="G26" s="40">
        <v>88.13</v>
      </c>
      <c r="H26" s="40">
        <v>30.71</v>
      </c>
      <c r="I26" s="40">
        <v>9.5</v>
      </c>
      <c r="J26" s="40">
        <v>0.82</v>
      </c>
      <c r="K26" s="40">
        <v>40.17</v>
      </c>
      <c r="L26" s="40">
        <v>25.33</v>
      </c>
      <c r="M26" s="40">
        <v>50.08</v>
      </c>
      <c r="N26" s="40">
        <v>12.6</v>
      </c>
      <c r="O26" s="40">
        <v>0</v>
      </c>
      <c r="P26" s="40">
        <v>0.78</v>
      </c>
      <c r="Q26" s="40">
        <v>13.01</v>
      </c>
      <c r="R26" s="38"/>
      <c r="S26" s="38"/>
      <c r="T26" s="38"/>
      <c r="U26" s="38"/>
    </row>
    <row r="27" spans="1:21" customFormat="1">
      <c r="A27" s="39" t="s">
        <v>439</v>
      </c>
      <c r="B27" s="40">
        <v>3.45</v>
      </c>
      <c r="C27" s="40">
        <v>31.56</v>
      </c>
      <c r="D27" s="40">
        <v>20.61</v>
      </c>
      <c r="E27" s="40">
        <v>10.220000000000001</v>
      </c>
      <c r="F27" s="42">
        <v>5.46</v>
      </c>
      <c r="G27" s="40">
        <v>97.83</v>
      </c>
      <c r="H27" s="40">
        <v>33.49</v>
      </c>
      <c r="I27" s="40">
        <v>10.42</v>
      </c>
      <c r="J27" s="40">
        <v>0.48</v>
      </c>
      <c r="K27" s="40">
        <v>53.94</v>
      </c>
      <c r="L27" s="40">
        <v>23.92</v>
      </c>
      <c r="M27" s="40">
        <v>53.78</v>
      </c>
      <c r="N27" s="40">
        <v>1.7</v>
      </c>
      <c r="O27" s="40">
        <v>0</v>
      </c>
      <c r="P27" s="40">
        <v>0.87</v>
      </c>
      <c r="Q27" s="40">
        <v>13.01</v>
      </c>
      <c r="R27" s="38"/>
      <c r="S27" s="38"/>
      <c r="T27" s="38"/>
      <c r="U27" s="38"/>
    </row>
    <row r="28" spans="1:21" customFormat="1">
      <c r="A28" s="39" t="s">
        <v>440</v>
      </c>
      <c r="B28" s="40">
        <v>3.65</v>
      </c>
      <c r="C28" s="40">
        <v>32.520000000000003</v>
      </c>
      <c r="D28" s="40">
        <v>21.25</v>
      </c>
      <c r="E28" s="40">
        <v>9.25</v>
      </c>
      <c r="F28" s="42">
        <v>4.4400000000000004</v>
      </c>
      <c r="G28" s="40">
        <v>110.82</v>
      </c>
      <c r="H28" s="40">
        <v>34.35</v>
      </c>
      <c r="I28" s="40">
        <v>10.95</v>
      </c>
      <c r="J28" s="40">
        <v>0.63</v>
      </c>
      <c r="K28" s="40">
        <v>52.72</v>
      </c>
      <c r="L28" s="40">
        <v>23</v>
      </c>
      <c r="M28" s="40">
        <v>57.32</v>
      </c>
      <c r="N28" s="40">
        <v>1.7</v>
      </c>
      <c r="O28" s="40">
        <v>0</v>
      </c>
      <c r="P28" s="40">
        <v>0.92</v>
      </c>
      <c r="Q28" s="40">
        <v>13.01</v>
      </c>
      <c r="R28" s="38"/>
      <c r="S28" s="38"/>
      <c r="T28" s="38"/>
      <c r="U28" s="38"/>
    </row>
    <row r="29" spans="1:21" customFormat="1">
      <c r="A29" s="39" t="s">
        <v>441</v>
      </c>
      <c r="B29" s="40">
        <v>3.78</v>
      </c>
      <c r="C29" s="40">
        <v>32.36</v>
      </c>
      <c r="D29" s="40">
        <v>21.09</v>
      </c>
      <c r="E29" s="40">
        <v>8.7200000000000006</v>
      </c>
      <c r="F29" s="42">
        <v>4.08</v>
      </c>
      <c r="G29" s="40">
        <v>110.82</v>
      </c>
      <c r="H29" s="40">
        <v>34.35</v>
      </c>
      <c r="I29" s="40">
        <v>11.04</v>
      </c>
      <c r="J29" s="40">
        <v>0.52</v>
      </c>
      <c r="K29" s="40">
        <v>49.63</v>
      </c>
      <c r="L29" s="40">
        <v>22.41</v>
      </c>
      <c r="M29" s="40">
        <v>60.43</v>
      </c>
      <c r="N29" s="40">
        <v>1.8</v>
      </c>
      <c r="O29" s="40">
        <v>0</v>
      </c>
      <c r="P29" s="40">
        <v>0.92</v>
      </c>
      <c r="Q29" s="40">
        <v>13.01</v>
      </c>
      <c r="R29" s="38"/>
      <c r="S29" s="38"/>
      <c r="T29" s="38"/>
      <c r="U29" s="38"/>
    </row>
    <row r="30" spans="1:21" customFormat="1">
      <c r="A30" s="39" t="s">
        <v>442</v>
      </c>
      <c r="B30" s="40">
        <v>4.96</v>
      </c>
      <c r="C30" s="40">
        <v>32.14</v>
      </c>
      <c r="D30" s="40">
        <v>22.12</v>
      </c>
      <c r="E30" s="40">
        <v>8.2799999999999994</v>
      </c>
      <c r="F30" s="42">
        <v>3.92</v>
      </c>
      <c r="G30" s="40">
        <v>106.95</v>
      </c>
      <c r="H30" s="40">
        <v>34.22</v>
      </c>
      <c r="I30" s="40">
        <v>10.95</v>
      </c>
      <c r="J30" s="40">
        <v>0.56000000000000005</v>
      </c>
      <c r="K30" s="40">
        <v>48.85</v>
      </c>
      <c r="L30" s="40">
        <v>21.78</v>
      </c>
      <c r="M30" s="40">
        <v>60.83</v>
      </c>
      <c r="N30" s="40">
        <v>1.7</v>
      </c>
      <c r="O30" s="40">
        <v>0</v>
      </c>
      <c r="P30" s="40">
        <v>0.93</v>
      </c>
      <c r="Q30" s="40">
        <v>13.01</v>
      </c>
      <c r="R30" s="38"/>
      <c r="S30" s="38"/>
      <c r="T30" s="38"/>
      <c r="U30" s="38"/>
    </row>
    <row r="31" spans="1:21" customFormat="1">
      <c r="A31" s="39" t="s">
        <v>443</v>
      </c>
      <c r="B31" s="40">
        <v>5.89</v>
      </c>
      <c r="C31" s="40">
        <v>32.25</v>
      </c>
      <c r="D31" s="40">
        <v>22.82</v>
      </c>
      <c r="E31" s="40">
        <v>8.3699999999999992</v>
      </c>
      <c r="F31" s="42">
        <v>3.96</v>
      </c>
      <c r="G31" s="40">
        <v>97.57</v>
      </c>
      <c r="H31" s="40">
        <v>32.409999999999997</v>
      </c>
      <c r="I31" s="40">
        <v>11.12</v>
      </c>
      <c r="J31" s="40">
        <v>0.66</v>
      </c>
      <c r="K31" s="40">
        <v>55.32</v>
      </c>
      <c r="L31" s="40">
        <v>21.38</v>
      </c>
      <c r="M31" s="40">
        <v>62.45</v>
      </c>
      <c r="N31" s="40">
        <v>1.9</v>
      </c>
      <c r="O31" s="40">
        <v>0</v>
      </c>
      <c r="P31" s="40">
        <v>0.93</v>
      </c>
      <c r="Q31" s="40">
        <v>13.01</v>
      </c>
      <c r="R31" s="38"/>
      <c r="S31" s="38"/>
      <c r="T31" s="38"/>
      <c r="U31" s="38"/>
    </row>
    <row r="32" spans="1:21" customFormat="1">
      <c r="A32" s="39" t="s">
        <v>444</v>
      </c>
      <c r="B32" s="40">
        <v>6.94</v>
      </c>
      <c r="C32" s="40">
        <v>31.13</v>
      </c>
      <c r="D32" s="40">
        <v>22.51</v>
      </c>
      <c r="E32" s="40">
        <v>8.7899999999999991</v>
      </c>
      <c r="F32" s="42">
        <v>3.94</v>
      </c>
      <c r="G32" s="40">
        <v>93.83</v>
      </c>
      <c r="H32" s="40">
        <v>32.549999999999997</v>
      </c>
      <c r="I32" s="40">
        <v>10.91</v>
      </c>
      <c r="J32" s="40">
        <v>0.85</v>
      </c>
      <c r="K32" s="40">
        <v>59.08</v>
      </c>
      <c r="L32" s="40">
        <v>20.85</v>
      </c>
      <c r="M32" s="40">
        <v>57.14</v>
      </c>
      <c r="N32" s="40">
        <v>2</v>
      </c>
      <c r="O32" s="40">
        <v>0</v>
      </c>
      <c r="P32" s="40">
        <v>0.89</v>
      </c>
      <c r="Q32" s="40">
        <v>13.01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1.98</v>
      </c>
      <c r="C34" s="18">
        <f t="shared" si="0"/>
        <v>12.82</v>
      </c>
      <c r="D34" s="18">
        <f t="shared" si="0"/>
        <v>12.4</v>
      </c>
      <c r="E34" s="18">
        <f t="shared" si="0"/>
        <v>2.15</v>
      </c>
      <c r="F34" s="18">
        <f t="shared" si="0"/>
        <v>3.87</v>
      </c>
      <c r="G34" s="18">
        <f t="shared" si="0"/>
        <v>71.59</v>
      </c>
      <c r="H34" s="18">
        <f t="shared" si="0"/>
        <v>30.52</v>
      </c>
      <c r="I34" s="18">
        <f t="shared" si="0"/>
        <v>9.5</v>
      </c>
      <c r="J34" s="18">
        <f t="shared" si="0"/>
        <v>0.12</v>
      </c>
      <c r="K34" s="18">
        <f t="shared" si="0"/>
        <v>37.86</v>
      </c>
      <c r="L34" s="18">
        <f t="shared" si="0"/>
        <v>16.309999999999999</v>
      </c>
      <c r="M34" s="18">
        <f t="shared" si="0"/>
        <v>30.58</v>
      </c>
      <c r="N34" s="18">
        <f t="shared" si="0"/>
        <v>1.7</v>
      </c>
      <c r="O34" s="18">
        <f t="shared" si="0"/>
        <v>0</v>
      </c>
      <c r="P34" s="18">
        <f t="shared" si="0"/>
        <v>0.74</v>
      </c>
      <c r="Q34" s="18">
        <f t="shared" si="0"/>
        <v>13.01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40.99</v>
      </c>
      <c r="C35" s="3">
        <f t="shared" si="1"/>
        <v>32.520000000000003</v>
      </c>
      <c r="D35" s="3">
        <f t="shared" si="1"/>
        <v>48.72</v>
      </c>
      <c r="E35" s="3">
        <f t="shared" si="1"/>
        <v>11.44</v>
      </c>
      <c r="F35" s="3">
        <f t="shared" si="1"/>
        <v>9.1199999999999992</v>
      </c>
      <c r="G35" s="3">
        <f t="shared" si="1"/>
        <v>126.72</v>
      </c>
      <c r="H35" s="3">
        <f t="shared" si="1"/>
        <v>38.04</v>
      </c>
      <c r="I35" s="3">
        <f t="shared" si="1"/>
        <v>18.34</v>
      </c>
      <c r="J35" s="3">
        <f t="shared" si="1"/>
        <v>1.1299999999999999</v>
      </c>
      <c r="K35" s="3">
        <f t="shared" si="1"/>
        <v>354.31</v>
      </c>
      <c r="L35" s="3">
        <f t="shared" si="1"/>
        <v>28.15</v>
      </c>
      <c r="M35" s="3">
        <f t="shared" si="1"/>
        <v>89.45</v>
      </c>
      <c r="N35" s="3">
        <f t="shared" si="1"/>
        <v>391.8</v>
      </c>
      <c r="O35" s="3">
        <f t="shared" si="1"/>
        <v>0</v>
      </c>
      <c r="P35" s="3">
        <f t="shared" si="1"/>
        <v>1.32</v>
      </c>
      <c r="Q35" s="3">
        <f t="shared" si="1"/>
        <v>13.11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18.681249999999999</v>
      </c>
      <c r="C36" s="18">
        <f t="shared" si="2"/>
        <v>27.528333333333336</v>
      </c>
      <c r="D36" s="18">
        <f t="shared" si="2"/>
        <v>30.532499999999999</v>
      </c>
      <c r="E36" s="18">
        <f t="shared" si="2"/>
        <v>8.5225000000000026</v>
      </c>
      <c r="F36" s="18">
        <f t="shared" si="2"/>
        <v>5.5962499999999986</v>
      </c>
      <c r="G36" s="18">
        <f t="shared" si="2"/>
        <v>103.46666666666665</v>
      </c>
      <c r="H36" s="18">
        <f t="shared" si="2"/>
        <v>34.25</v>
      </c>
      <c r="I36" s="18">
        <f t="shared" si="2"/>
        <v>14.021304347826087</v>
      </c>
      <c r="J36" s="18">
        <f t="shared" si="2"/>
        <v>0.54916666666666669</v>
      </c>
      <c r="K36" s="18">
        <f t="shared" si="2"/>
        <v>157.57624999999999</v>
      </c>
      <c r="L36" s="18">
        <f t="shared" si="2"/>
        <v>22.25</v>
      </c>
      <c r="M36" s="18">
        <f t="shared" si="2"/>
        <v>61.802500000000002</v>
      </c>
      <c r="N36" s="18">
        <f t="shared" si="2"/>
        <v>99.666666666666671</v>
      </c>
      <c r="O36" s="18">
        <f t="shared" si="2"/>
        <v>0</v>
      </c>
      <c r="P36" s="18">
        <f t="shared" si="2"/>
        <v>1.0325000000000002</v>
      </c>
      <c r="Q36" s="18">
        <f t="shared" si="2"/>
        <v>13.040416666666664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16.566006134223496</v>
      </c>
      <c r="C37" s="18">
        <f t="shared" ref="C37:Q37" si="3">STDEV(C9:C32)</f>
        <v>4.2408404280557184</v>
      </c>
      <c r="D37" s="18">
        <f t="shared" si="3"/>
        <v>13.151200391566174</v>
      </c>
      <c r="E37" s="18">
        <f t="shared" si="3"/>
        <v>3.4956336117828521</v>
      </c>
      <c r="F37" s="18">
        <f t="shared" si="3"/>
        <v>2.1251533192771728</v>
      </c>
      <c r="G37" s="18">
        <f t="shared" si="3"/>
        <v>15.763342358739717</v>
      </c>
      <c r="H37" s="18">
        <f t="shared" si="3"/>
        <v>2.6345398080120175</v>
      </c>
      <c r="I37" s="18">
        <f t="shared" si="3"/>
        <v>3.3306337157689159</v>
      </c>
      <c r="J37" s="18">
        <f t="shared" si="3"/>
        <v>0.30748512394793243</v>
      </c>
      <c r="K37" s="18">
        <f t="shared" si="3"/>
        <v>105.2307937990917</v>
      </c>
      <c r="L37" s="18">
        <f t="shared" si="3"/>
        <v>4.2919003594738925</v>
      </c>
      <c r="M37" s="18">
        <f t="shared" si="3"/>
        <v>19.722692128170785</v>
      </c>
      <c r="N37" s="18">
        <f t="shared" si="3"/>
        <v>146.72785713003179</v>
      </c>
      <c r="O37" s="18">
        <f t="shared" si="3"/>
        <v>0</v>
      </c>
      <c r="P37" s="18">
        <f t="shared" si="3"/>
        <v>0.21387216824034286</v>
      </c>
      <c r="Q37" s="18">
        <f t="shared" si="3"/>
        <v>3.7818694096814202E-2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>COUNT(I9:I32)+1</f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96"/>
  <sheetViews>
    <sheetView zoomScale="85" zoomScaleNormal="85" workbookViewId="0">
      <pane xSplit="1" ySplit="8" topLeftCell="B15" activePane="bottomRight" state="frozen"/>
      <selection activeCell="G19" sqref="G19"/>
      <selection pane="topRight" activeCell="G19" sqref="G19"/>
      <selection pane="bottomLeft" activeCell="G19" sqref="G19"/>
      <selection pane="bottomRight" activeCell="T22" sqref="T2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17/01/2025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445</v>
      </c>
      <c r="B9" s="40">
        <v>10.18</v>
      </c>
      <c r="C9" s="40">
        <v>29.13</v>
      </c>
      <c r="D9" s="40">
        <v>24.47</v>
      </c>
      <c r="E9" s="40">
        <v>8.9499999999999993</v>
      </c>
      <c r="F9" s="42">
        <v>3.85</v>
      </c>
      <c r="G9" s="40">
        <v>93.44</v>
      </c>
      <c r="H9" s="40">
        <v>32.549999999999997</v>
      </c>
      <c r="I9" s="40">
        <v>10.25</v>
      </c>
      <c r="J9" s="40">
        <v>0.78</v>
      </c>
      <c r="K9" s="40">
        <v>54.37</v>
      </c>
      <c r="L9" s="40">
        <v>20.329999999999998</v>
      </c>
      <c r="M9" s="40">
        <v>54.95</v>
      </c>
      <c r="N9" s="40">
        <v>2</v>
      </c>
      <c r="O9" s="40">
        <v>0</v>
      </c>
      <c r="P9" s="40">
        <v>0.84</v>
      </c>
      <c r="Q9" s="40">
        <v>11.6</v>
      </c>
      <c r="R9" s="38"/>
      <c r="S9" s="38"/>
      <c r="T9" s="38"/>
      <c r="U9" s="38"/>
    </row>
    <row r="10" spans="1:21" customFormat="1">
      <c r="A10" s="39" t="s">
        <v>446</v>
      </c>
      <c r="B10" s="40">
        <v>10.39</v>
      </c>
      <c r="C10" s="40">
        <v>27.94</v>
      </c>
      <c r="D10" s="40">
        <v>24.2</v>
      </c>
      <c r="E10" s="40">
        <v>8.6999999999999993</v>
      </c>
      <c r="F10" s="42">
        <v>4.09</v>
      </c>
      <c r="G10" s="40">
        <v>79.55</v>
      </c>
      <c r="H10" s="40">
        <v>27.46</v>
      </c>
      <c r="I10" s="40">
        <v>9.69</v>
      </c>
      <c r="J10" s="40">
        <v>0.67</v>
      </c>
      <c r="K10" s="40">
        <v>54.45</v>
      </c>
      <c r="L10" s="40">
        <v>19.75</v>
      </c>
      <c r="M10" s="40">
        <v>55.76</v>
      </c>
      <c r="N10" s="40">
        <v>1.8</v>
      </c>
      <c r="O10" s="40">
        <v>0</v>
      </c>
      <c r="P10" s="40">
        <v>0.79</v>
      </c>
      <c r="Q10" s="40">
        <v>11.5</v>
      </c>
      <c r="R10" s="38"/>
      <c r="S10" s="38"/>
      <c r="T10" s="38"/>
      <c r="U10" s="38"/>
    </row>
    <row r="11" spans="1:21" customFormat="1">
      <c r="A11" s="39" t="s">
        <v>447</v>
      </c>
      <c r="B11" s="40">
        <v>10.6</v>
      </c>
      <c r="C11" s="40">
        <v>26.81</v>
      </c>
      <c r="D11" s="40">
        <v>23.78</v>
      </c>
      <c r="E11" s="40">
        <v>10.28</v>
      </c>
      <c r="F11" s="42">
        <v>4.0599999999999996</v>
      </c>
      <c r="G11" s="40">
        <v>68.28</v>
      </c>
      <c r="H11" s="40">
        <v>25.88</v>
      </c>
      <c r="I11" s="40">
        <v>9.18</v>
      </c>
      <c r="J11" s="40">
        <v>0.6</v>
      </c>
      <c r="K11" s="40">
        <v>70.28</v>
      </c>
      <c r="L11" s="40">
        <v>19.36</v>
      </c>
      <c r="M11" s="40">
        <v>57.55</v>
      </c>
      <c r="N11" s="40">
        <v>1.8</v>
      </c>
      <c r="O11" s="40">
        <v>0</v>
      </c>
      <c r="P11" s="40">
        <v>0.75</v>
      </c>
      <c r="Q11" s="40">
        <v>11.5</v>
      </c>
      <c r="R11" s="38"/>
      <c r="S11" s="38"/>
      <c r="T11" s="38"/>
      <c r="U11" s="38"/>
    </row>
    <row r="12" spans="1:21" customFormat="1">
      <c r="A12" s="39" t="s">
        <v>448</v>
      </c>
      <c r="B12" s="40">
        <v>10.91</v>
      </c>
      <c r="C12" s="40">
        <v>26.03</v>
      </c>
      <c r="D12" s="40">
        <v>23.58</v>
      </c>
      <c r="E12" s="40">
        <v>10.51</v>
      </c>
      <c r="F12" s="42">
        <v>4.0199999999999996</v>
      </c>
      <c r="G12" s="40">
        <v>66.180000000000007</v>
      </c>
      <c r="H12" s="40">
        <v>25.88</v>
      </c>
      <c r="I12" s="40">
        <v>8.76</v>
      </c>
      <c r="J12" s="40">
        <v>0.66</v>
      </c>
      <c r="K12" s="40">
        <v>58.84</v>
      </c>
      <c r="L12" s="40">
        <v>18.760000000000002</v>
      </c>
      <c r="M12" s="40">
        <v>58.86</v>
      </c>
      <c r="N12" s="40">
        <v>1.7</v>
      </c>
      <c r="O12" s="40">
        <v>0</v>
      </c>
      <c r="P12" s="40">
        <v>0.71</v>
      </c>
      <c r="Q12" s="40">
        <v>11.5</v>
      </c>
      <c r="R12" s="38"/>
      <c r="S12" s="38"/>
      <c r="T12" s="38"/>
      <c r="U12" s="38"/>
    </row>
    <row r="13" spans="1:21" customFormat="1">
      <c r="A13" s="39" t="s">
        <v>449</v>
      </c>
      <c r="B13" s="40">
        <v>10.55</v>
      </c>
      <c r="C13" s="40">
        <v>25.31</v>
      </c>
      <c r="D13" s="40">
        <v>23.04</v>
      </c>
      <c r="E13" s="40">
        <v>9.98</v>
      </c>
      <c r="F13" s="42">
        <v>4</v>
      </c>
      <c r="G13" s="40">
        <v>62.44</v>
      </c>
      <c r="H13" s="40">
        <v>21.18</v>
      </c>
      <c r="I13" s="40">
        <v>8.3800000000000008</v>
      </c>
      <c r="J13" s="40">
        <v>0.74</v>
      </c>
      <c r="K13" s="40">
        <v>54.02</v>
      </c>
      <c r="L13" s="40">
        <v>18.32</v>
      </c>
      <c r="M13" s="40">
        <v>61.05</v>
      </c>
      <c r="N13" s="40">
        <v>1.8</v>
      </c>
      <c r="O13" s="40">
        <v>0</v>
      </c>
      <c r="P13" s="40">
        <v>0.68</v>
      </c>
      <c r="Q13" s="40">
        <v>11.5</v>
      </c>
      <c r="R13" s="38"/>
      <c r="S13" s="38"/>
      <c r="T13" s="38"/>
      <c r="U13" s="38"/>
    </row>
    <row r="14" spans="1:21" customFormat="1">
      <c r="A14" s="39" t="s">
        <v>450</v>
      </c>
      <c r="B14" s="40">
        <v>10.86</v>
      </c>
      <c r="C14" s="40">
        <v>25.14</v>
      </c>
      <c r="D14" s="40">
        <v>23.08</v>
      </c>
      <c r="E14" s="40">
        <v>9.56</v>
      </c>
      <c r="F14" s="42">
        <v>4.0199999999999996</v>
      </c>
      <c r="G14" s="40">
        <v>62.23</v>
      </c>
      <c r="H14" s="40">
        <v>21.18</v>
      </c>
      <c r="I14" s="40">
        <v>8.0299999999999994</v>
      </c>
      <c r="J14" s="40">
        <v>0.56000000000000005</v>
      </c>
      <c r="K14" s="40">
        <v>52.3</v>
      </c>
      <c r="L14" s="40">
        <v>17.96</v>
      </c>
      <c r="M14" s="40">
        <v>63.28</v>
      </c>
      <c r="N14" s="40">
        <v>1.7</v>
      </c>
      <c r="O14" s="40">
        <v>0</v>
      </c>
      <c r="P14" s="40">
        <v>0.65</v>
      </c>
      <c r="Q14" s="40">
        <v>11.5</v>
      </c>
      <c r="R14" s="38"/>
      <c r="S14" s="38"/>
      <c r="T14" s="38"/>
      <c r="U14" s="38"/>
    </row>
    <row r="15" spans="1:21" customFormat="1">
      <c r="A15" s="39" t="s">
        <v>451</v>
      </c>
      <c r="B15" s="40">
        <v>11.87</v>
      </c>
      <c r="C15" s="40">
        <v>24.75</v>
      </c>
      <c r="D15" s="40">
        <v>23.8</v>
      </c>
      <c r="E15" s="40">
        <v>9.19</v>
      </c>
      <c r="F15" s="42">
        <v>3.99</v>
      </c>
      <c r="G15" s="40">
        <v>62.23</v>
      </c>
      <c r="H15" s="40">
        <v>22.06</v>
      </c>
      <c r="I15" s="40">
        <v>8.01</v>
      </c>
      <c r="J15" s="40">
        <v>0.52</v>
      </c>
      <c r="K15" s="40">
        <v>55.45</v>
      </c>
      <c r="L15" s="40">
        <v>17.34</v>
      </c>
      <c r="M15" s="40">
        <v>63.79</v>
      </c>
      <c r="N15" s="40">
        <v>8.6</v>
      </c>
      <c r="O15" s="40">
        <v>0</v>
      </c>
      <c r="P15" s="40">
        <v>0.66</v>
      </c>
      <c r="Q15" s="40">
        <v>11.5</v>
      </c>
      <c r="R15" s="38"/>
      <c r="S15" s="38"/>
      <c r="T15" s="38"/>
      <c r="U15" s="38"/>
    </row>
    <row r="16" spans="1:21" customFormat="1">
      <c r="A16" s="39" t="s">
        <v>452</v>
      </c>
      <c r="B16" s="40">
        <v>15.18</v>
      </c>
      <c r="C16" s="40">
        <v>25.28</v>
      </c>
      <c r="D16" s="40">
        <v>26.69</v>
      </c>
      <c r="E16" s="40">
        <v>9.4600000000000009</v>
      </c>
      <c r="F16" s="42">
        <v>4.05</v>
      </c>
      <c r="G16" s="40">
        <v>60.49</v>
      </c>
      <c r="H16" s="40">
        <v>22.06</v>
      </c>
      <c r="I16" s="40">
        <v>8.5299999999999994</v>
      </c>
      <c r="J16" s="40">
        <v>0.77</v>
      </c>
      <c r="K16" s="40">
        <v>53.82</v>
      </c>
      <c r="L16" s="40">
        <v>18.03</v>
      </c>
      <c r="M16" s="40">
        <v>59.86</v>
      </c>
      <c r="N16" s="40">
        <v>48.4</v>
      </c>
      <c r="O16" s="40">
        <v>0</v>
      </c>
      <c r="P16" s="40">
        <v>0.68</v>
      </c>
      <c r="Q16" s="40">
        <v>11.5</v>
      </c>
      <c r="R16" s="38"/>
      <c r="S16" s="38"/>
      <c r="T16" s="38"/>
      <c r="U16" s="38"/>
    </row>
    <row r="17" spans="1:21" customFormat="1">
      <c r="A17" s="39" t="s">
        <v>453</v>
      </c>
      <c r="B17" s="40">
        <v>16.23</v>
      </c>
      <c r="C17" s="40">
        <v>26.32</v>
      </c>
      <c r="D17" s="40">
        <v>28.12</v>
      </c>
      <c r="E17" s="40">
        <v>9.48</v>
      </c>
      <c r="F17" s="42">
        <v>4.67</v>
      </c>
      <c r="G17" s="40">
        <v>62.22</v>
      </c>
      <c r="H17" s="40">
        <v>21.33</v>
      </c>
      <c r="I17" s="40">
        <v>8.9499999999999993</v>
      </c>
      <c r="J17" s="40">
        <v>1.1299999999999999</v>
      </c>
      <c r="K17" s="40">
        <v>53.1</v>
      </c>
      <c r="L17" s="40">
        <v>19.899999999999999</v>
      </c>
      <c r="M17" s="40">
        <v>47.88</v>
      </c>
      <c r="N17" s="40">
        <v>118.4</v>
      </c>
      <c r="O17" s="40">
        <v>0</v>
      </c>
      <c r="P17" s="40">
        <v>0.69</v>
      </c>
      <c r="Q17" s="40">
        <v>11.5</v>
      </c>
      <c r="R17" s="38"/>
      <c r="S17" s="38"/>
      <c r="T17" s="38"/>
      <c r="U17" s="38"/>
    </row>
    <row r="18" spans="1:21" customFormat="1">
      <c r="A18" s="39" t="s">
        <v>454</v>
      </c>
      <c r="B18" s="40">
        <v>18.440000000000001</v>
      </c>
      <c r="C18" s="40">
        <v>26.25</v>
      </c>
      <c r="D18" s="40">
        <v>29.76</v>
      </c>
      <c r="E18" s="40">
        <v>9.8000000000000007</v>
      </c>
      <c r="F18" s="42">
        <v>5.47</v>
      </c>
      <c r="G18" s="40">
        <v>63.52</v>
      </c>
      <c r="H18" s="40">
        <v>21.33</v>
      </c>
      <c r="I18" s="40">
        <v>9.0299999999999994</v>
      </c>
      <c r="J18" s="40">
        <v>1</v>
      </c>
      <c r="K18" s="40">
        <v>53.42</v>
      </c>
      <c r="L18" s="40">
        <v>22.74</v>
      </c>
      <c r="M18" s="40">
        <v>38.31</v>
      </c>
      <c r="N18" s="40">
        <v>239.9</v>
      </c>
      <c r="O18" s="40">
        <v>0</v>
      </c>
      <c r="P18" s="40">
        <v>0.67</v>
      </c>
      <c r="Q18" s="40">
        <v>11.5</v>
      </c>
      <c r="R18" s="38"/>
      <c r="S18" s="38"/>
      <c r="T18" s="38"/>
      <c r="U18" s="38"/>
    </row>
    <row r="19" spans="1:21" customFormat="1">
      <c r="A19" s="39" t="s">
        <v>455</v>
      </c>
      <c r="B19" s="40">
        <v>18.579999999999998</v>
      </c>
      <c r="C19" s="40">
        <v>25.84</v>
      </c>
      <c r="D19" s="40">
        <v>29.69</v>
      </c>
      <c r="E19" s="40">
        <v>11.1</v>
      </c>
      <c r="F19" s="42">
        <v>6.72</v>
      </c>
      <c r="G19" s="40">
        <v>72.86</v>
      </c>
      <c r="H19" s="40">
        <v>20.86</v>
      </c>
      <c r="I19" s="40">
        <v>8.9600000000000009</v>
      </c>
      <c r="J19" s="40">
        <v>1.1000000000000001</v>
      </c>
      <c r="K19" s="40">
        <v>59.25</v>
      </c>
      <c r="L19" s="40">
        <v>24.92</v>
      </c>
      <c r="M19" s="40">
        <v>35.01</v>
      </c>
      <c r="N19" s="40">
        <v>350</v>
      </c>
      <c r="O19" s="40">
        <v>0</v>
      </c>
      <c r="P19" s="40">
        <v>0.67</v>
      </c>
      <c r="Q19" s="40">
        <v>11.5</v>
      </c>
      <c r="R19" s="38"/>
      <c r="S19" s="38"/>
      <c r="T19" s="38"/>
      <c r="U19" s="38"/>
    </row>
    <row r="20" spans="1:21" customFormat="1">
      <c r="A20" s="39" t="s">
        <v>456</v>
      </c>
      <c r="B20" s="40">
        <v>16.77</v>
      </c>
      <c r="C20" s="40">
        <v>25.4</v>
      </c>
      <c r="D20" s="40">
        <v>27.86</v>
      </c>
      <c r="E20" s="40">
        <v>13.51</v>
      </c>
      <c r="F20" s="42">
        <v>9.1199999999999992</v>
      </c>
      <c r="G20" s="40">
        <v>73.36</v>
      </c>
      <c r="H20" s="40">
        <v>24.39</v>
      </c>
      <c r="I20" s="40">
        <v>8.8800000000000008</v>
      </c>
      <c r="J20" s="40">
        <v>1.1499999999999999</v>
      </c>
      <c r="K20" s="40">
        <v>49.36</v>
      </c>
      <c r="L20" s="40">
        <v>25.85</v>
      </c>
      <c r="M20" s="40">
        <v>34.25</v>
      </c>
      <c r="N20" s="40">
        <v>377.5</v>
      </c>
      <c r="O20" s="40">
        <v>0</v>
      </c>
      <c r="P20" s="40">
        <v>0.66</v>
      </c>
      <c r="Q20" s="40">
        <v>11.5</v>
      </c>
      <c r="R20" s="38"/>
      <c r="S20" s="38"/>
      <c r="T20" s="38"/>
      <c r="U20" s="38"/>
    </row>
    <row r="21" spans="1:21" customFormat="1">
      <c r="A21" s="39" t="s">
        <v>457</v>
      </c>
      <c r="B21" s="40">
        <v>16.37</v>
      </c>
      <c r="C21" s="40">
        <v>27.57</v>
      </c>
      <c r="D21" s="40">
        <v>28.88</v>
      </c>
      <c r="E21" s="40">
        <v>18.91</v>
      </c>
      <c r="F21" s="42">
        <v>10.15</v>
      </c>
      <c r="G21" s="40">
        <v>73.63</v>
      </c>
      <c r="H21" s="40">
        <v>28.69</v>
      </c>
      <c r="I21" s="40">
        <v>8.76</v>
      </c>
      <c r="J21" s="40">
        <v>1.45</v>
      </c>
      <c r="K21" s="40">
        <v>50.07</v>
      </c>
      <c r="L21" s="40">
        <v>26.95</v>
      </c>
      <c r="M21" s="40">
        <v>30.74</v>
      </c>
      <c r="N21" s="40">
        <v>406.8</v>
      </c>
      <c r="O21" s="40">
        <v>0</v>
      </c>
      <c r="P21" s="40">
        <v>0.65</v>
      </c>
      <c r="Q21" s="40">
        <v>11.5</v>
      </c>
      <c r="R21" s="38"/>
      <c r="S21" s="38"/>
      <c r="T21" s="38"/>
      <c r="U21" s="38"/>
    </row>
    <row r="22" spans="1:21" customFormat="1">
      <c r="A22" s="39" t="s">
        <v>458</v>
      </c>
      <c r="B22" s="40">
        <v>15.95</v>
      </c>
      <c r="C22" s="40">
        <v>29.99</v>
      </c>
      <c r="D22" s="40">
        <v>28.67</v>
      </c>
      <c r="E22" s="40">
        <v>13.81</v>
      </c>
      <c r="F22" s="42">
        <v>10.82</v>
      </c>
      <c r="G22" s="40">
        <v>74.75</v>
      </c>
      <c r="H22" s="40">
        <v>31.79</v>
      </c>
      <c r="I22" s="40">
        <v>8.6199999999999992</v>
      </c>
      <c r="J22" s="40">
        <v>1.67</v>
      </c>
      <c r="K22" s="40">
        <v>52.56</v>
      </c>
      <c r="L22" s="40">
        <v>27.52</v>
      </c>
      <c r="M22" s="40">
        <v>23.46</v>
      </c>
      <c r="N22" s="40">
        <v>386.9</v>
      </c>
      <c r="O22" s="40">
        <v>0</v>
      </c>
      <c r="P22" s="40">
        <v>0.63</v>
      </c>
      <c r="Q22" s="40">
        <v>11.5</v>
      </c>
      <c r="R22" s="38"/>
      <c r="S22" s="38"/>
      <c r="T22" s="38"/>
      <c r="U22" s="38"/>
    </row>
    <row r="23" spans="1:21" customFormat="1">
      <c r="A23" s="39" t="s">
        <v>459</v>
      </c>
      <c r="B23" s="40">
        <v>9.85</v>
      </c>
      <c r="C23" s="40">
        <v>32.369999999999997</v>
      </c>
      <c r="D23" s="40">
        <v>25.33</v>
      </c>
      <c r="E23" s="40">
        <v>14.29</v>
      </c>
      <c r="F23" s="42">
        <v>10.01</v>
      </c>
      <c r="G23" s="40">
        <v>76.400000000000006</v>
      </c>
      <c r="H23" s="40">
        <v>36.67</v>
      </c>
      <c r="I23" s="40">
        <v>8.16</v>
      </c>
      <c r="J23" s="40">
        <v>1.7</v>
      </c>
      <c r="K23" s="40">
        <v>51.05</v>
      </c>
      <c r="L23" s="40">
        <v>27.31</v>
      </c>
      <c r="M23" s="40">
        <v>27.59</v>
      </c>
      <c r="N23" s="40">
        <v>277.10000000000002</v>
      </c>
      <c r="O23" s="40">
        <v>0</v>
      </c>
      <c r="P23" s="40">
        <v>0.6</v>
      </c>
      <c r="Q23" s="40">
        <v>11.5</v>
      </c>
      <c r="R23" s="38"/>
      <c r="S23" s="38"/>
      <c r="T23" s="38"/>
      <c r="U23" s="38"/>
    </row>
    <row r="24" spans="1:21" customFormat="1">
      <c r="A24" s="39" t="s">
        <v>460</v>
      </c>
      <c r="B24" s="40">
        <v>6.58</v>
      </c>
      <c r="C24" s="40">
        <v>33.57</v>
      </c>
      <c r="D24" s="40">
        <v>23.67</v>
      </c>
      <c r="E24" s="40">
        <v>14.78</v>
      </c>
      <c r="F24" s="42">
        <v>11.91</v>
      </c>
      <c r="G24" s="40">
        <v>76.400000000000006</v>
      </c>
      <c r="H24" s="40">
        <v>37.11</v>
      </c>
      <c r="I24" s="40">
        <v>7.64</v>
      </c>
      <c r="J24" s="40">
        <v>1.34</v>
      </c>
      <c r="K24" s="40">
        <v>51.75</v>
      </c>
      <c r="L24" s="40">
        <v>27</v>
      </c>
      <c r="M24" s="40">
        <v>29.34</v>
      </c>
      <c r="N24" s="40">
        <v>68.5</v>
      </c>
      <c r="O24" s="40">
        <v>0</v>
      </c>
      <c r="P24" s="40">
        <v>0.6</v>
      </c>
      <c r="Q24" s="40">
        <v>11.5</v>
      </c>
      <c r="R24" s="38"/>
      <c r="S24" s="38"/>
      <c r="T24" s="38"/>
      <c r="U24" s="38"/>
    </row>
    <row r="25" spans="1:21" customFormat="1">
      <c r="A25" s="39" t="s">
        <v>461</v>
      </c>
      <c r="B25" s="40">
        <v>5.69</v>
      </c>
      <c r="C25" s="40">
        <v>34.64</v>
      </c>
      <c r="D25" s="40">
        <v>24.01</v>
      </c>
      <c r="E25" s="40">
        <v>16.54</v>
      </c>
      <c r="F25" s="42">
        <v>10.5</v>
      </c>
      <c r="G25" s="40">
        <v>72.17</v>
      </c>
      <c r="H25" s="40">
        <v>37.11</v>
      </c>
      <c r="I25" s="40">
        <v>7.39</v>
      </c>
      <c r="J25" s="40">
        <v>1.07</v>
      </c>
      <c r="K25" s="40">
        <v>55.26</v>
      </c>
      <c r="L25" s="40">
        <v>26.69</v>
      </c>
      <c r="M25" s="40">
        <v>32.04</v>
      </c>
      <c r="N25" s="40">
        <v>43.8</v>
      </c>
      <c r="O25" s="40">
        <v>0</v>
      </c>
      <c r="P25" s="40">
        <v>0.61</v>
      </c>
      <c r="Q25" s="40">
        <v>11.5</v>
      </c>
      <c r="R25" s="38"/>
      <c r="S25" s="38"/>
      <c r="T25" s="38"/>
      <c r="U25" s="38"/>
    </row>
    <row r="26" spans="1:21" customFormat="1">
      <c r="A26" s="39" t="s">
        <v>462</v>
      </c>
      <c r="B26" s="40">
        <v>6.97</v>
      </c>
      <c r="C26" s="40">
        <v>35.96</v>
      </c>
      <c r="D26" s="40">
        <v>25.73</v>
      </c>
      <c r="E26" s="40">
        <v>12</v>
      </c>
      <c r="F26" s="42">
        <v>9.6199999999999992</v>
      </c>
      <c r="G26" s="40">
        <v>71.900000000000006</v>
      </c>
      <c r="H26" s="40">
        <v>36.909999999999997</v>
      </c>
      <c r="I26" s="40">
        <v>7.35</v>
      </c>
      <c r="J26" s="40">
        <v>0.87</v>
      </c>
      <c r="K26" s="40">
        <v>57.14</v>
      </c>
      <c r="L26" s="40">
        <v>25.74</v>
      </c>
      <c r="M26" s="40">
        <v>34.49</v>
      </c>
      <c r="N26" s="40">
        <v>14.2</v>
      </c>
      <c r="O26" s="40">
        <v>0</v>
      </c>
      <c r="P26" s="40">
        <v>0.67</v>
      </c>
      <c r="Q26" s="40">
        <v>11.5</v>
      </c>
      <c r="R26" s="38"/>
      <c r="S26" s="38"/>
      <c r="T26" s="38"/>
      <c r="U26" s="38"/>
    </row>
    <row r="27" spans="1:21" customFormat="1">
      <c r="A27" s="39" t="s">
        <v>463</v>
      </c>
      <c r="B27" s="40">
        <v>12.05</v>
      </c>
      <c r="C27" s="40">
        <v>36.979999999999997</v>
      </c>
      <c r="D27" s="40">
        <v>29.6</v>
      </c>
      <c r="E27" s="40">
        <v>10.87</v>
      </c>
      <c r="F27" s="42">
        <v>5.39</v>
      </c>
      <c r="G27" s="40">
        <v>84.36</v>
      </c>
      <c r="H27" s="40">
        <v>35.659999999999997</v>
      </c>
      <c r="I27" s="40">
        <v>7.69</v>
      </c>
      <c r="J27" s="40">
        <v>0.62</v>
      </c>
      <c r="K27" s="40">
        <v>48.49</v>
      </c>
      <c r="L27" s="40">
        <v>23.81</v>
      </c>
      <c r="M27" s="40">
        <v>40.25</v>
      </c>
      <c r="N27" s="40">
        <v>1.7</v>
      </c>
      <c r="O27" s="40">
        <v>0</v>
      </c>
      <c r="P27" s="40">
        <v>0.7</v>
      </c>
      <c r="Q27" s="40">
        <v>11.5</v>
      </c>
      <c r="R27" s="38"/>
      <c r="S27" s="38"/>
      <c r="T27" s="38"/>
      <c r="U27" s="38"/>
    </row>
    <row r="28" spans="1:21" customFormat="1">
      <c r="A28" s="39" t="s">
        <v>464</v>
      </c>
      <c r="B28" s="40">
        <v>14.04</v>
      </c>
      <c r="C28" s="40">
        <v>33.880000000000003</v>
      </c>
      <c r="D28" s="40">
        <v>28.93</v>
      </c>
      <c r="E28" s="40">
        <v>11.44</v>
      </c>
      <c r="F28" s="42">
        <v>4.5599999999999996</v>
      </c>
      <c r="G28" s="40">
        <v>86.82</v>
      </c>
      <c r="H28" s="40">
        <v>34.020000000000003</v>
      </c>
      <c r="I28" s="40">
        <v>8.18</v>
      </c>
      <c r="J28" s="40">
        <v>0.79</v>
      </c>
      <c r="K28" s="40">
        <v>48.48</v>
      </c>
      <c r="L28" s="40">
        <v>22.19</v>
      </c>
      <c r="M28" s="40">
        <v>42.62</v>
      </c>
      <c r="N28" s="40">
        <v>1.5</v>
      </c>
      <c r="O28" s="40">
        <v>0</v>
      </c>
      <c r="P28" s="40">
        <v>0.74</v>
      </c>
      <c r="Q28" s="40">
        <v>11.5</v>
      </c>
      <c r="R28" s="38"/>
      <c r="S28" s="38"/>
      <c r="T28" s="38"/>
      <c r="U28" s="38"/>
    </row>
    <row r="29" spans="1:21" customFormat="1">
      <c r="A29" s="39" t="s">
        <v>465</v>
      </c>
      <c r="B29" s="40">
        <v>17.13</v>
      </c>
      <c r="C29" s="40">
        <v>30.36</v>
      </c>
      <c r="D29" s="40">
        <v>30.34</v>
      </c>
      <c r="E29" s="40">
        <v>11.2</v>
      </c>
      <c r="F29" s="42">
        <v>4.3600000000000003</v>
      </c>
      <c r="G29" s="40">
        <v>90.14</v>
      </c>
      <c r="H29" s="40">
        <v>34.020000000000003</v>
      </c>
      <c r="I29" s="40">
        <v>8.3699999999999992</v>
      </c>
      <c r="J29" s="40">
        <v>0.82</v>
      </c>
      <c r="K29" s="40">
        <v>58.74</v>
      </c>
      <c r="L29" s="40">
        <v>21.25</v>
      </c>
      <c r="M29" s="40">
        <v>45.34</v>
      </c>
      <c r="N29" s="40">
        <v>1.6</v>
      </c>
      <c r="O29" s="40">
        <v>0</v>
      </c>
      <c r="P29" s="40">
        <v>0.76</v>
      </c>
      <c r="Q29" s="40">
        <v>12.6</v>
      </c>
      <c r="R29" s="38"/>
      <c r="S29" s="38"/>
      <c r="T29" s="38"/>
      <c r="U29" s="38"/>
    </row>
    <row r="30" spans="1:21" customFormat="1">
      <c r="A30" s="39" t="s">
        <v>466</v>
      </c>
      <c r="B30" s="40">
        <v>19.489999999999998</v>
      </c>
      <c r="C30" s="40">
        <v>28.75</v>
      </c>
      <c r="D30" s="40">
        <v>31.43</v>
      </c>
      <c r="E30" s="40">
        <v>11.63</v>
      </c>
      <c r="F30" s="42">
        <v>4.32</v>
      </c>
      <c r="G30" s="40">
        <v>90.14</v>
      </c>
      <c r="H30" s="40">
        <v>31.31</v>
      </c>
      <c r="I30" s="40">
        <v>8.67</v>
      </c>
      <c r="J30" s="40">
        <v>0.81</v>
      </c>
      <c r="K30" s="40">
        <v>58.36</v>
      </c>
      <c r="L30" s="40">
        <v>20.420000000000002</v>
      </c>
      <c r="M30" s="40">
        <v>47.92</v>
      </c>
      <c r="N30" s="40">
        <v>1.5</v>
      </c>
      <c r="O30" s="40">
        <v>0</v>
      </c>
      <c r="P30" s="40">
        <v>0.78</v>
      </c>
      <c r="Q30" s="40">
        <v>12.5</v>
      </c>
      <c r="R30" s="38"/>
      <c r="S30" s="38"/>
      <c r="T30" s="38"/>
      <c r="U30" s="38"/>
    </row>
    <row r="31" spans="1:21" customFormat="1">
      <c r="A31" s="39" t="s">
        <v>467</v>
      </c>
      <c r="B31" s="40">
        <v>21.66</v>
      </c>
      <c r="C31" s="40">
        <v>27.31</v>
      </c>
      <c r="D31" s="40">
        <v>32.71</v>
      </c>
      <c r="E31" s="40">
        <v>11.77</v>
      </c>
      <c r="F31" s="42">
        <v>4.29</v>
      </c>
      <c r="G31" s="40">
        <v>87.29</v>
      </c>
      <c r="H31" s="40">
        <v>28.66</v>
      </c>
      <c r="I31" s="40">
        <v>8.93</v>
      </c>
      <c r="J31" s="40">
        <v>0.64</v>
      </c>
      <c r="K31" s="40">
        <v>53.45</v>
      </c>
      <c r="L31" s="40">
        <v>19.59</v>
      </c>
      <c r="M31" s="40">
        <v>49.81</v>
      </c>
      <c r="N31" s="40">
        <v>1.5</v>
      </c>
      <c r="O31" s="40">
        <v>0</v>
      </c>
      <c r="P31" s="40">
        <v>0.78</v>
      </c>
      <c r="Q31" s="40">
        <v>12.8</v>
      </c>
      <c r="R31" s="38"/>
      <c r="S31" s="38"/>
      <c r="T31" s="38"/>
      <c r="U31" s="38"/>
    </row>
    <row r="32" spans="1:21" customFormat="1">
      <c r="A32" s="39" t="s">
        <v>468</v>
      </c>
      <c r="B32" s="40">
        <v>24.97</v>
      </c>
      <c r="C32" s="40">
        <v>27.25</v>
      </c>
      <c r="D32" s="40">
        <v>35.61</v>
      </c>
      <c r="E32" s="40">
        <v>11.39</v>
      </c>
      <c r="F32" s="42">
        <v>4.2300000000000004</v>
      </c>
      <c r="G32" s="40">
        <v>84.43</v>
      </c>
      <c r="H32" s="40">
        <v>26.86</v>
      </c>
      <c r="I32" s="40">
        <v>8.9499999999999993</v>
      </c>
      <c r="J32" s="40">
        <v>0.42</v>
      </c>
      <c r="K32" s="40">
        <v>46.6</v>
      </c>
      <c r="L32" s="40">
        <v>18.760000000000002</v>
      </c>
      <c r="M32" s="40">
        <v>53.64</v>
      </c>
      <c r="N32" s="40">
        <v>1.3</v>
      </c>
      <c r="O32" s="40">
        <v>0</v>
      </c>
      <c r="P32" s="40">
        <v>0.78</v>
      </c>
      <c r="Q32" s="40">
        <v>12.6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5.69</v>
      </c>
      <c r="C34" s="18">
        <f t="shared" si="0"/>
        <v>24.75</v>
      </c>
      <c r="D34" s="18">
        <f t="shared" si="0"/>
        <v>23.04</v>
      </c>
      <c r="E34" s="18">
        <f t="shared" si="0"/>
        <v>8.6999999999999993</v>
      </c>
      <c r="F34" s="18">
        <f t="shared" si="0"/>
        <v>3.85</v>
      </c>
      <c r="G34" s="18">
        <f t="shared" si="0"/>
        <v>60.49</v>
      </c>
      <c r="H34" s="18">
        <f t="shared" si="0"/>
        <v>20.86</v>
      </c>
      <c r="I34" s="18">
        <f t="shared" si="0"/>
        <v>7.35</v>
      </c>
      <c r="J34" s="18">
        <f t="shared" si="0"/>
        <v>0.42</v>
      </c>
      <c r="K34" s="18">
        <f t="shared" si="0"/>
        <v>46.6</v>
      </c>
      <c r="L34" s="18">
        <f t="shared" si="0"/>
        <v>17.34</v>
      </c>
      <c r="M34" s="18">
        <f t="shared" si="0"/>
        <v>23.46</v>
      </c>
      <c r="N34" s="18">
        <f t="shared" si="0"/>
        <v>1.3</v>
      </c>
      <c r="O34" s="18">
        <f t="shared" si="0"/>
        <v>0</v>
      </c>
      <c r="P34" s="18">
        <f t="shared" si="0"/>
        <v>0.6</v>
      </c>
      <c r="Q34" s="18">
        <f t="shared" si="0"/>
        <v>11.5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24.97</v>
      </c>
      <c r="C35" s="3">
        <f t="shared" si="1"/>
        <v>36.979999999999997</v>
      </c>
      <c r="D35" s="3">
        <f t="shared" si="1"/>
        <v>35.61</v>
      </c>
      <c r="E35" s="3">
        <f t="shared" si="1"/>
        <v>18.91</v>
      </c>
      <c r="F35" s="3">
        <f t="shared" si="1"/>
        <v>11.91</v>
      </c>
      <c r="G35" s="3">
        <f t="shared" si="1"/>
        <v>93.44</v>
      </c>
      <c r="H35" s="3">
        <f t="shared" si="1"/>
        <v>37.11</v>
      </c>
      <c r="I35" s="3">
        <f t="shared" si="1"/>
        <v>10.25</v>
      </c>
      <c r="J35" s="3">
        <f t="shared" si="1"/>
        <v>1.7</v>
      </c>
      <c r="K35" s="3">
        <f t="shared" si="1"/>
        <v>70.28</v>
      </c>
      <c r="L35" s="3">
        <f t="shared" si="1"/>
        <v>27.52</v>
      </c>
      <c r="M35" s="3">
        <f t="shared" si="1"/>
        <v>63.79</v>
      </c>
      <c r="N35" s="3">
        <f t="shared" si="1"/>
        <v>406.8</v>
      </c>
      <c r="O35" s="3">
        <f t="shared" si="1"/>
        <v>0</v>
      </c>
      <c r="P35" s="3">
        <f t="shared" si="1"/>
        <v>0.84</v>
      </c>
      <c r="Q35" s="3">
        <f t="shared" si="1"/>
        <v>12.8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13.804583333333335</v>
      </c>
      <c r="C36" s="18">
        <f t="shared" si="2"/>
        <v>28.867916666666662</v>
      </c>
      <c r="D36" s="18">
        <f t="shared" si="2"/>
        <v>27.2075</v>
      </c>
      <c r="E36" s="18">
        <f t="shared" si="2"/>
        <v>11.63125</v>
      </c>
      <c r="F36" s="18">
        <f t="shared" si="2"/>
        <v>6.1758333333333333</v>
      </c>
      <c r="G36" s="18">
        <f t="shared" si="2"/>
        <v>74.801250000000024</v>
      </c>
      <c r="H36" s="18">
        <f t="shared" si="2"/>
        <v>28.540416666666662</v>
      </c>
      <c r="I36" s="18">
        <f t="shared" si="2"/>
        <v>8.5566666666666666</v>
      </c>
      <c r="J36" s="18">
        <f t="shared" si="2"/>
        <v>0.91166666666666663</v>
      </c>
      <c r="K36" s="18">
        <f t="shared" si="2"/>
        <v>54.192083333333322</v>
      </c>
      <c r="L36" s="18">
        <f t="shared" si="2"/>
        <v>22.103750000000002</v>
      </c>
      <c r="M36" s="18">
        <f t="shared" si="2"/>
        <v>45.324583333333351</v>
      </c>
      <c r="N36" s="18">
        <f t="shared" si="2"/>
        <v>98.333333333333314</v>
      </c>
      <c r="O36" s="18">
        <f t="shared" si="2"/>
        <v>0</v>
      </c>
      <c r="P36" s="18">
        <f t="shared" si="2"/>
        <v>0.69791666666666652</v>
      </c>
      <c r="Q36" s="18">
        <f t="shared" si="2"/>
        <v>11.691666666666668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4.8979862580511471</v>
      </c>
      <c r="C37" s="18">
        <f t="shared" ref="C37:Q37" si="3">STDEV(C9:C32)</f>
        <v>3.7491413268115297</v>
      </c>
      <c r="D37" s="18">
        <f t="shared" si="3"/>
        <v>3.4405500697720983</v>
      </c>
      <c r="E37" s="18">
        <f t="shared" si="3"/>
        <v>2.5381477541189676</v>
      </c>
      <c r="F37" s="18">
        <f t="shared" si="3"/>
        <v>2.8138661577308888</v>
      </c>
      <c r="G37" s="18">
        <f t="shared" si="3"/>
        <v>10.27613288475848</v>
      </c>
      <c r="H37" s="18">
        <f t="shared" si="3"/>
        <v>5.9665163378763149</v>
      </c>
      <c r="I37" s="18">
        <f t="shared" si="3"/>
        <v>0.68938325723962779</v>
      </c>
      <c r="J37" s="18">
        <f t="shared" si="3"/>
        <v>0.35147721389025782</v>
      </c>
      <c r="K37" s="18">
        <f t="shared" si="3"/>
        <v>4.8601422229741624</v>
      </c>
      <c r="L37" s="18">
        <f t="shared" si="3"/>
        <v>3.5357599422988342</v>
      </c>
      <c r="M37" s="18">
        <f t="shared" si="3"/>
        <v>12.553625140439124</v>
      </c>
      <c r="N37" s="18">
        <f t="shared" si="3"/>
        <v>148.28507405806491</v>
      </c>
      <c r="O37" s="18">
        <f t="shared" si="3"/>
        <v>0</v>
      </c>
      <c r="P37" s="18">
        <f t="shared" si="3"/>
        <v>6.5738557719305743E-2</v>
      </c>
      <c r="Q37" s="18">
        <f t="shared" si="3"/>
        <v>0.42927306265224774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I26" sqref="I26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18/01/2025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469</v>
      </c>
      <c r="B9" s="40">
        <v>29.77</v>
      </c>
      <c r="C9" s="40">
        <v>27.73</v>
      </c>
      <c r="D9" s="40">
        <v>39.69</v>
      </c>
      <c r="E9" s="40">
        <v>11.12</v>
      </c>
      <c r="F9" s="42">
        <v>4.12</v>
      </c>
      <c r="G9" s="40">
        <v>84.28</v>
      </c>
      <c r="H9" s="40">
        <v>26.16</v>
      </c>
      <c r="I9" s="40">
        <v>9.0299999999999994</v>
      </c>
      <c r="J9" s="40">
        <v>0.37</v>
      </c>
      <c r="K9" s="40">
        <v>213.52</v>
      </c>
      <c r="L9" s="40">
        <v>18.239999999999998</v>
      </c>
      <c r="M9" s="40">
        <v>67.67</v>
      </c>
      <c r="N9" s="40">
        <v>1.9</v>
      </c>
      <c r="O9" s="40">
        <v>0</v>
      </c>
      <c r="P9" s="40">
        <v>0.78</v>
      </c>
      <c r="Q9" s="27" t="s">
        <v>8</v>
      </c>
      <c r="R9" s="38"/>
      <c r="S9" s="38"/>
      <c r="T9" s="38"/>
      <c r="U9" s="38"/>
    </row>
    <row r="10" spans="1:21" customFormat="1">
      <c r="A10" s="39" t="s">
        <v>470</v>
      </c>
      <c r="B10" s="40">
        <v>30.61</v>
      </c>
      <c r="C10" s="40">
        <v>27.47</v>
      </c>
      <c r="D10" s="40">
        <v>40.159999999999997</v>
      </c>
      <c r="E10" s="40">
        <v>10.98</v>
      </c>
      <c r="F10" s="42">
        <v>4.22</v>
      </c>
      <c r="G10" s="40">
        <v>84.28</v>
      </c>
      <c r="H10" s="40">
        <v>26.16</v>
      </c>
      <c r="I10" s="40">
        <v>8.9600000000000009</v>
      </c>
      <c r="J10" s="40">
        <v>0.51</v>
      </c>
      <c r="K10" s="40">
        <v>43.06</v>
      </c>
      <c r="L10" s="40">
        <v>17.37</v>
      </c>
      <c r="M10" s="40">
        <v>60.97</v>
      </c>
      <c r="N10" s="40">
        <v>1.2</v>
      </c>
      <c r="O10" s="40">
        <v>0</v>
      </c>
      <c r="P10" s="40">
        <v>0.79</v>
      </c>
      <c r="Q10" s="27" t="s">
        <v>8</v>
      </c>
      <c r="R10" s="38"/>
      <c r="S10" s="38"/>
      <c r="T10" s="38"/>
      <c r="U10" s="38"/>
    </row>
    <row r="11" spans="1:21" customFormat="1">
      <c r="A11" s="39" t="s">
        <v>471</v>
      </c>
      <c r="B11" s="40">
        <v>30.38</v>
      </c>
      <c r="C11" s="40">
        <v>27.29</v>
      </c>
      <c r="D11" s="40">
        <v>39.97</v>
      </c>
      <c r="E11" s="40">
        <v>11.45</v>
      </c>
      <c r="F11" s="42">
        <v>4.09</v>
      </c>
      <c r="G11" s="40">
        <v>84.21</v>
      </c>
      <c r="H11" s="40">
        <v>24.13</v>
      </c>
      <c r="I11" s="40">
        <v>8.9499999999999993</v>
      </c>
      <c r="J11" s="40">
        <v>0.39</v>
      </c>
      <c r="K11" s="40">
        <v>108.47</v>
      </c>
      <c r="L11" s="40">
        <v>17.09</v>
      </c>
      <c r="M11" s="40">
        <v>67.17</v>
      </c>
      <c r="N11" s="40">
        <v>1.5</v>
      </c>
      <c r="O11" s="40">
        <v>0</v>
      </c>
      <c r="P11" s="40">
        <v>0.78</v>
      </c>
      <c r="Q11" s="27" t="s">
        <v>8</v>
      </c>
      <c r="R11" s="38"/>
      <c r="S11" s="38"/>
      <c r="T11" s="38"/>
      <c r="U11" s="38"/>
    </row>
    <row r="12" spans="1:21" customFormat="1">
      <c r="A12" s="39" t="s">
        <v>472</v>
      </c>
      <c r="B12" s="40">
        <v>28.93</v>
      </c>
      <c r="C12" s="40">
        <v>26.29</v>
      </c>
      <c r="D12" s="40">
        <v>38.29</v>
      </c>
      <c r="E12" s="40">
        <v>11.32</v>
      </c>
      <c r="F12" s="42">
        <v>4.08</v>
      </c>
      <c r="G12" s="40">
        <v>80.77</v>
      </c>
      <c r="H12" s="40">
        <v>23.78</v>
      </c>
      <c r="I12" s="40">
        <v>8.84</v>
      </c>
      <c r="J12" s="40">
        <v>0.35</v>
      </c>
      <c r="K12" s="40">
        <v>68.64</v>
      </c>
      <c r="L12" s="40">
        <v>16.28</v>
      </c>
      <c r="M12" s="40">
        <v>65.239999999999995</v>
      </c>
      <c r="N12" s="40">
        <v>1.3</v>
      </c>
      <c r="O12" s="40">
        <v>0</v>
      </c>
      <c r="P12" s="40">
        <v>0.75</v>
      </c>
      <c r="Q12" s="27" t="s">
        <v>8</v>
      </c>
      <c r="R12" s="38"/>
      <c r="S12" s="38"/>
      <c r="T12" s="38"/>
      <c r="U12" s="38"/>
    </row>
    <row r="13" spans="1:21" customFormat="1">
      <c r="A13" s="39" t="s">
        <v>473</v>
      </c>
      <c r="B13" s="40">
        <v>28.77</v>
      </c>
      <c r="C13" s="40">
        <v>25.91</v>
      </c>
      <c r="D13" s="40">
        <v>37.92</v>
      </c>
      <c r="E13" s="40">
        <v>11.18</v>
      </c>
      <c r="F13" s="42">
        <v>4.04</v>
      </c>
      <c r="G13" s="40">
        <v>75.77</v>
      </c>
      <c r="H13" s="40">
        <v>23.1</v>
      </c>
      <c r="I13" s="40">
        <v>8.98</v>
      </c>
      <c r="J13" s="40">
        <v>0.14000000000000001</v>
      </c>
      <c r="K13" s="40">
        <v>142.93</v>
      </c>
      <c r="L13" s="40">
        <v>15.94</v>
      </c>
      <c r="M13" s="40">
        <v>73.48</v>
      </c>
      <c r="N13" s="40">
        <v>1.5</v>
      </c>
      <c r="O13" s="40">
        <v>0</v>
      </c>
      <c r="P13" s="40">
        <v>0.74</v>
      </c>
      <c r="Q13" s="27" t="s">
        <v>8</v>
      </c>
      <c r="R13" s="38"/>
      <c r="S13" s="38"/>
      <c r="T13" s="38"/>
      <c r="U13" s="38"/>
    </row>
    <row r="14" spans="1:21" customFormat="1">
      <c r="A14" s="39" t="s">
        <v>474</v>
      </c>
      <c r="B14" s="40">
        <v>32.14</v>
      </c>
      <c r="C14" s="40">
        <v>26.26</v>
      </c>
      <c r="D14" s="40">
        <v>40.85</v>
      </c>
      <c r="E14" s="40">
        <v>10.85</v>
      </c>
      <c r="F14" s="42">
        <v>3.96</v>
      </c>
      <c r="G14" s="40">
        <v>75.77</v>
      </c>
      <c r="H14" s="40">
        <v>23.1</v>
      </c>
      <c r="I14" s="40">
        <v>9.01</v>
      </c>
      <c r="J14" s="40">
        <v>0.4</v>
      </c>
      <c r="K14" s="40">
        <v>52.99</v>
      </c>
      <c r="L14" s="40">
        <v>15.39</v>
      </c>
      <c r="M14" s="40">
        <v>69.92</v>
      </c>
      <c r="N14" s="40">
        <v>1.2</v>
      </c>
      <c r="O14" s="40">
        <v>0</v>
      </c>
      <c r="P14" s="40">
        <v>0.74</v>
      </c>
      <c r="Q14" s="27" t="s">
        <v>8</v>
      </c>
      <c r="R14" s="38"/>
      <c r="S14" s="38"/>
      <c r="T14" s="38"/>
      <c r="U14" s="38"/>
    </row>
    <row r="15" spans="1:21" customFormat="1">
      <c r="A15" s="39" t="s">
        <v>475</v>
      </c>
      <c r="B15" s="40">
        <v>36.64</v>
      </c>
      <c r="C15" s="40">
        <v>27.03</v>
      </c>
      <c r="D15" s="40">
        <v>44.85</v>
      </c>
      <c r="E15" s="40">
        <v>11.27</v>
      </c>
      <c r="F15" s="42">
        <v>3.96</v>
      </c>
      <c r="G15" s="40">
        <v>80.180000000000007</v>
      </c>
      <c r="H15" s="40">
        <v>22.68</v>
      </c>
      <c r="I15" s="40">
        <v>9.2799999999999994</v>
      </c>
      <c r="J15" s="40">
        <v>0.39</v>
      </c>
      <c r="K15" s="40">
        <v>63.1</v>
      </c>
      <c r="L15" s="40">
        <v>15.18</v>
      </c>
      <c r="M15" s="40">
        <v>71.12</v>
      </c>
      <c r="N15" s="40">
        <v>6.9</v>
      </c>
      <c r="O15" s="40">
        <v>0</v>
      </c>
      <c r="P15" s="40">
        <v>0.79</v>
      </c>
      <c r="Q15" s="27" t="s">
        <v>8</v>
      </c>
      <c r="R15" s="38"/>
      <c r="S15" s="38"/>
      <c r="T15" s="38"/>
      <c r="U15" s="38"/>
    </row>
    <row r="16" spans="1:21" customFormat="1">
      <c r="A16" s="39" t="s">
        <v>476</v>
      </c>
      <c r="B16" s="40">
        <v>39.04</v>
      </c>
      <c r="C16" s="40">
        <v>27.01</v>
      </c>
      <c r="D16" s="40">
        <v>46.68</v>
      </c>
      <c r="E16" s="40">
        <v>11.14</v>
      </c>
      <c r="F16" s="42">
        <v>3.97</v>
      </c>
      <c r="G16" s="40">
        <v>83.5</v>
      </c>
      <c r="H16" s="40">
        <v>25.64</v>
      </c>
      <c r="I16" s="40">
        <v>9.9700000000000006</v>
      </c>
      <c r="J16" s="40">
        <v>0.51</v>
      </c>
      <c r="K16" s="40">
        <v>104.01</v>
      </c>
      <c r="L16" s="40">
        <v>15.94</v>
      </c>
      <c r="M16" s="40">
        <v>74.989999999999995</v>
      </c>
      <c r="N16" s="40">
        <v>43.2</v>
      </c>
      <c r="O16" s="40">
        <v>0</v>
      </c>
      <c r="P16" s="10" t="s">
        <v>12</v>
      </c>
      <c r="Q16" s="27" t="s">
        <v>8</v>
      </c>
      <c r="R16" s="38"/>
      <c r="S16" s="38"/>
      <c r="T16" s="38"/>
      <c r="U16" s="38"/>
    </row>
    <row r="17" spans="1:21" customFormat="1">
      <c r="A17" s="39" t="s">
        <v>477</v>
      </c>
      <c r="B17" s="10" t="s">
        <v>12</v>
      </c>
      <c r="C17" s="10" t="s">
        <v>12</v>
      </c>
      <c r="D17" s="10" t="s">
        <v>12</v>
      </c>
      <c r="E17" s="10" t="s">
        <v>12</v>
      </c>
      <c r="F17" s="42">
        <v>4.21</v>
      </c>
      <c r="G17" s="40">
        <v>83.5</v>
      </c>
      <c r="H17" s="10" t="s">
        <v>12</v>
      </c>
      <c r="I17" s="10" t="s">
        <v>12</v>
      </c>
      <c r="J17" s="40">
        <v>1.58</v>
      </c>
      <c r="K17" s="40">
        <v>59.14</v>
      </c>
      <c r="L17" s="40">
        <v>18.54</v>
      </c>
      <c r="M17" s="40">
        <v>54.78</v>
      </c>
      <c r="N17" s="40">
        <v>175.8</v>
      </c>
      <c r="O17" s="40">
        <v>0</v>
      </c>
      <c r="P17" s="10" t="s">
        <v>12</v>
      </c>
      <c r="Q17" s="27" t="s">
        <v>8</v>
      </c>
      <c r="R17" s="38"/>
      <c r="S17" s="38"/>
      <c r="T17" s="38"/>
      <c r="U17" s="38"/>
    </row>
    <row r="18" spans="1:21" customFormat="1">
      <c r="A18" s="39" t="s">
        <v>478</v>
      </c>
      <c r="B18" s="40">
        <v>35.450000000000003</v>
      </c>
      <c r="C18" s="40">
        <v>28.5</v>
      </c>
      <c r="D18" s="40">
        <v>44.36</v>
      </c>
      <c r="E18" s="40">
        <v>7.94</v>
      </c>
      <c r="F18" s="42">
        <v>4.59</v>
      </c>
      <c r="G18" s="40">
        <v>102.03</v>
      </c>
      <c r="H18" s="40">
        <v>21.28</v>
      </c>
      <c r="I18" s="40">
        <v>11.23</v>
      </c>
      <c r="J18" s="40">
        <v>1.21</v>
      </c>
      <c r="K18" s="40">
        <v>55.96</v>
      </c>
      <c r="L18" s="40">
        <v>21.13</v>
      </c>
      <c r="M18" s="40">
        <v>54.15</v>
      </c>
      <c r="N18" s="40">
        <v>265.3</v>
      </c>
      <c r="O18" s="40">
        <v>0</v>
      </c>
      <c r="P18" s="40">
        <v>0.79</v>
      </c>
      <c r="Q18" s="27" t="s">
        <v>8</v>
      </c>
      <c r="R18" s="38"/>
      <c r="S18" s="38"/>
      <c r="T18" s="38"/>
      <c r="U18" s="38"/>
    </row>
    <row r="19" spans="1:21" customFormat="1">
      <c r="A19" s="39" t="s">
        <v>479</v>
      </c>
      <c r="B19" s="40">
        <v>31.12</v>
      </c>
      <c r="C19" s="40">
        <v>27.88</v>
      </c>
      <c r="D19" s="40">
        <v>40.869999999999997</v>
      </c>
      <c r="E19" s="40">
        <v>9.7200000000000006</v>
      </c>
      <c r="F19" s="42">
        <v>5.41</v>
      </c>
      <c r="G19" s="40">
        <v>103.85</v>
      </c>
      <c r="H19" s="40">
        <v>33.25</v>
      </c>
      <c r="I19" s="40">
        <v>11.37</v>
      </c>
      <c r="J19" s="40">
        <v>0.97</v>
      </c>
      <c r="K19" s="40">
        <v>65.16</v>
      </c>
      <c r="L19" s="40">
        <v>23.82</v>
      </c>
      <c r="M19" s="40">
        <v>47.51</v>
      </c>
      <c r="N19" s="40">
        <v>370.8</v>
      </c>
      <c r="O19" s="40">
        <v>0</v>
      </c>
      <c r="P19" s="40">
        <v>0.75</v>
      </c>
      <c r="Q19" s="27" t="s">
        <v>8</v>
      </c>
      <c r="R19" s="38"/>
      <c r="S19" s="38"/>
      <c r="T19" s="38"/>
      <c r="U19" s="38"/>
    </row>
    <row r="20" spans="1:21" customFormat="1">
      <c r="A20" s="39" t="s">
        <v>480</v>
      </c>
      <c r="B20" s="40">
        <v>26.33</v>
      </c>
      <c r="C20" s="40">
        <v>28.15</v>
      </c>
      <c r="D20" s="40">
        <v>36.97</v>
      </c>
      <c r="E20" s="40">
        <v>8.43</v>
      </c>
      <c r="F20" s="42">
        <v>6.83</v>
      </c>
      <c r="G20" s="40">
        <v>103.85</v>
      </c>
      <c r="H20" s="40">
        <v>41.81</v>
      </c>
      <c r="I20" s="40">
        <v>11.39</v>
      </c>
      <c r="J20" s="40">
        <v>0.89</v>
      </c>
      <c r="K20" s="40">
        <v>66.459999999999994</v>
      </c>
      <c r="L20" s="40">
        <v>26.33</v>
      </c>
      <c r="M20" s="40">
        <v>38.119999999999997</v>
      </c>
      <c r="N20" s="40">
        <v>406.1</v>
      </c>
      <c r="O20" s="40">
        <v>0</v>
      </c>
      <c r="P20" s="40">
        <v>0.75</v>
      </c>
      <c r="Q20" s="27" t="s">
        <v>8</v>
      </c>
      <c r="R20" s="38"/>
      <c r="S20" s="38"/>
      <c r="T20" s="38"/>
      <c r="U20" s="38"/>
    </row>
    <row r="21" spans="1:21" customFormat="1">
      <c r="A21" s="39" t="s">
        <v>481</v>
      </c>
      <c r="B21" s="40">
        <v>19.559999999999999</v>
      </c>
      <c r="C21" s="40">
        <v>29.41</v>
      </c>
      <c r="D21" s="40">
        <v>31.79</v>
      </c>
      <c r="E21" s="40">
        <v>13.92</v>
      </c>
      <c r="F21" s="42">
        <v>7.72</v>
      </c>
      <c r="G21" s="40">
        <v>99.29</v>
      </c>
      <c r="H21" s="40">
        <v>43.85</v>
      </c>
      <c r="I21" s="40">
        <v>11.15</v>
      </c>
      <c r="J21" s="40">
        <v>1.04</v>
      </c>
      <c r="K21" s="40">
        <v>64.78</v>
      </c>
      <c r="L21" s="40">
        <v>27.45</v>
      </c>
      <c r="M21" s="40">
        <v>31.88</v>
      </c>
      <c r="N21" s="40">
        <v>408.9</v>
      </c>
      <c r="O21" s="40">
        <v>0</v>
      </c>
      <c r="P21" s="40">
        <v>0.71</v>
      </c>
      <c r="Q21" s="27" t="s">
        <v>8</v>
      </c>
      <c r="R21" s="38"/>
      <c r="S21" s="38"/>
      <c r="T21" s="38"/>
      <c r="U21" s="38"/>
    </row>
    <row r="22" spans="1:21" customFormat="1">
      <c r="A22" s="39" t="s">
        <v>482</v>
      </c>
      <c r="B22" s="40">
        <v>15.3</v>
      </c>
      <c r="C22" s="40">
        <v>29.83</v>
      </c>
      <c r="D22" s="40">
        <v>29.11</v>
      </c>
      <c r="E22" s="40">
        <v>11.68</v>
      </c>
      <c r="F22" s="42">
        <v>6.9</v>
      </c>
      <c r="G22" s="40">
        <v>88.13</v>
      </c>
      <c r="H22" s="40">
        <v>44.39</v>
      </c>
      <c r="I22" s="40">
        <v>10.73</v>
      </c>
      <c r="J22" s="40">
        <v>0.89</v>
      </c>
      <c r="K22" s="40">
        <v>57.71</v>
      </c>
      <c r="L22" s="40">
        <v>28.01</v>
      </c>
      <c r="M22" s="40">
        <v>29.72</v>
      </c>
      <c r="N22" s="40">
        <v>393.3</v>
      </c>
      <c r="O22" s="40">
        <v>0</v>
      </c>
      <c r="P22" s="40">
        <v>0.67</v>
      </c>
      <c r="Q22" s="27" t="s">
        <v>8</v>
      </c>
      <c r="R22" s="38"/>
      <c r="S22" s="38"/>
      <c r="T22" s="38"/>
      <c r="U22" s="38"/>
    </row>
    <row r="23" spans="1:21" customFormat="1">
      <c r="A23" s="39" t="s">
        <v>483</v>
      </c>
      <c r="B23" s="40">
        <v>11.41</v>
      </c>
      <c r="C23" s="40">
        <v>33.56</v>
      </c>
      <c r="D23" s="40">
        <v>26.85</v>
      </c>
      <c r="E23" s="40">
        <v>15.52</v>
      </c>
      <c r="F23" s="42">
        <v>7.2</v>
      </c>
      <c r="G23" s="40">
        <v>82.78</v>
      </c>
      <c r="H23" s="40">
        <v>44.39</v>
      </c>
      <c r="I23" s="40">
        <v>10.32</v>
      </c>
      <c r="J23" s="40">
        <v>0.93</v>
      </c>
      <c r="K23" s="40">
        <v>64.849999999999994</v>
      </c>
      <c r="L23" s="40">
        <v>28.16</v>
      </c>
      <c r="M23" s="40">
        <v>28.36</v>
      </c>
      <c r="N23" s="40">
        <v>336.5</v>
      </c>
      <c r="O23" s="40">
        <v>0</v>
      </c>
      <c r="P23" s="40">
        <v>0.77</v>
      </c>
      <c r="Q23" s="27" t="s">
        <v>8</v>
      </c>
      <c r="R23" s="38"/>
      <c r="S23" s="38"/>
      <c r="T23" s="38"/>
      <c r="U23" s="38"/>
    </row>
    <row r="24" spans="1:21" customFormat="1">
      <c r="A24" s="39" t="s">
        <v>484</v>
      </c>
      <c r="B24" s="40">
        <v>9.4</v>
      </c>
      <c r="C24" s="40">
        <v>36.04</v>
      </c>
      <c r="D24" s="40">
        <v>26.91</v>
      </c>
      <c r="E24" s="40">
        <v>15.38</v>
      </c>
      <c r="F24" s="42">
        <v>7.17</v>
      </c>
      <c r="G24" s="40">
        <v>78.81</v>
      </c>
      <c r="H24" s="40">
        <v>42.97</v>
      </c>
      <c r="I24" s="40">
        <v>9.6199999999999992</v>
      </c>
      <c r="J24" s="40">
        <v>1.03</v>
      </c>
      <c r="K24" s="40">
        <v>50.64</v>
      </c>
      <c r="L24" s="40">
        <v>27.51</v>
      </c>
      <c r="M24" s="40">
        <v>28.65</v>
      </c>
      <c r="N24" s="40">
        <v>62.8</v>
      </c>
      <c r="O24" s="40">
        <v>0</v>
      </c>
      <c r="P24" s="40">
        <v>0.74</v>
      </c>
      <c r="Q24" s="27" t="s">
        <v>8</v>
      </c>
      <c r="R24" s="38"/>
      <c r="S24" s="38"/>
      <c r="T24" s="38"/>
      <c r="U24" s="38"/>
    </row>
    <row r="25" spans="1:21" customFormat="1">
      <c r="A25" s="39" t="s">
        <v>485</v>
      </c>
      <c r="B25" s="40">
        <v>6.39</v>
      </c>
      <c r="C25" s="40">
        <v>37.29</v>
      </c>
      <c r="D25" s="40">
        <v>25.55</v>
      </c>
      <c r="E25" s="40">
        <v>16.62</v>
      </c>
      <c r="F25" s="42">
        <v>8.06</v>
      </c>
      <c r="G25" s="40">
        <v>70.27</v>
      </c>
      <c r="H25" s="40">
        <v>42.63</v>
      </c>
      <c r="I25" s="40">
        <v>8.99</v>
      </c>
      <c r="J25" s="40">
        <v>0.87</v>
      </c>
      <c r="K25" s="40">
        <v>57.91</v>
      </c>
      <c r="L25" s="40">
        <v>27.14</v>
      </c>
      <c r="M25" s="40">
        <v>31.08</v>
      </c>
      <c r="N25" s="40">
        <v>40.6</v>
      </c>
      <c r="O25" s="40">
        <v>0</v>
      </c>
      <c r="P25" s="40">
        <v>0.73</v>
      </c>
      <c r="Q25" s="27" t="s">
        <v>8</v>
      </c>
      <c r="R25" s="38"/>
      <c r="S25" s="38"/>
      <c r="T25" s="38"/>
      <c r="U25" s="38"/>
    </row>
    <row r="26" spans="1:21" customFormat="1">
      <c r="A26" s="39" t="s">
        <v>486</v>
      </c>
      <c r="B26" s="40">
        <v>8.16</v>
      </c>
      <c r="C26" s="40">
        <v>37.71</v>
      </c>
      <c r="D26" s="40">
        <v>27.6</v>
      </c>
      <c r="E26" s="40">
        <v>10.25</v>
      </c>
      <c r="F26" s="42">
        <v>7.3</v>
      </c>
      <c r="G26" s="40">
        <v>74.06</v>
      </c>
      <c r="H26" s="40">
        <v>42.26</v>
      </c>
      <c r="I26" s="40">
        <v>8.41</v>
      </c>
      <c r="J26" s="40">
        <v>0.51</v>
      </c>
      <c r="K26" s="40">
        <v>99.81</v>
      </c>
      <c r="L26" s="40">
        <v>26.15</v>
      </c>
      <c r="M26" s="40">
        <v>40.840000000000003</v>
      </c>
      <c r="N26" s="40">
        <v>14.3</v>
      </c>
      <c r="O26" s="40">
        <v>0</v>
      </c>
      <c r="P26" s="40">
        <v>0.76</v>
      </c>
      <c r="Q26" s="27" t="s">
        <v>8</v>
      </c>
      <c r="R26" s="38"/>
      <c r="S26" s="38"/>
      <c r="T26" s="38"/>
      <c r="U26" s="38"/>
    </row>
    <row r="27" spans="1:21" customFormat="1">
      <c r="A27" s="39" t="s">
        <v>487</v>
      </c>
      <c r="B27" s="40">
        <v>10.210000000000001</v>
      </c>
      <c r="C27" s="40">
        <v>37.33</v>
      </c>
      <c r="D27" s="40">
        <v>28.46</v>
      </c>
      <c r="E27" s="40">
        <v>10.7</v>
      </c>
      <c r="F27" s="42">
        <v>4.2</v>
      </c>
      <c r="G27" s="40">
        <v>86.6</v>
      </c>
      <c r="H27" s="40">
        <v>42.49</v>
      </c>
      <c r="I27" s="40">
        <v>8.84</v>
      </c>
      <c r="J27" s="40">
        <v>0.31</v>
      </c>
      <c r="K27" s="40">
        <v>165.23</v>
      </c>
      <c r="L27" s="40">
        <v>23.04</v>
      </c>
      <c r="M27" s="40">
        <v>58.97</v>
      </c>
      <c r="N27" s="40">
        <v>2</v>
      </c>
      <c r="O27" s="40">
        <v>0</v>
      </c>
      <c r="P27" s="40">
        <v>0.82</v>
      </c>
      <c r="Q27" s="27" t="s">
        <v>8</v>
      </c>
      <c r="R27" s="38"/>
      <c r="S27" s="38"/>
      <c r="T27" s="38"/>
      <c r="U27" s="38"/>
    </row>
    <row r="28" spans="1:21" customFormat="1">
      <c r="A28" s="39" t="s">
        <v>488</v>
      </c>
      <c r="B28" s="40">
        <v>15.9</v>
      </c>
      <c r="C28" s="40">
        <v>35.79</v>
      </c>
      <c r="D28" s="40">
        <v>31.93</v>
      </c>
      <c r="E28" s="40">
        <v>10.11</v>
      </c>
      <c r="F28" s="42">
        <v>4.1500000000000004</v>
      </c>
      <c r="G28" s="40">
        <v>111.35</v>
      </c>
      <c r="H28" s="40">
        <v>44.55</v>
      </c>
      <c r="I28" s="40">
        <v>10.35</v>
      </c>
      <c r="J28" s="40">
        <v>0.24</v>
      </c>
      <c r="K28" s="40">
        <v>173.2</v>
      </c>
      <c r="L28" s="40">
        <v>19.89</v>
      </c>
      <c r="M28" s="40">
        <v>65.86</v>
      </c>
      <c r="N28" s="40">
        <v>1.9</v>
      </c>
      <c r="O28" s="40">
        <v>0</v>
      </c>
      <c r="P28" s="40">
        <v>0.93</v>
      </c>
      <c r="Q28" s="27" t="s">
        <v>8</v>
      </c>
      <c r="R28" s="38"/>
      <c r="S28" s="38"/>
      <c r="T28" s="38"/>
      <c r="U28" s="38"/>
    </row>
    <row r="29" spans="1:21" customFormat="1">
      <c r="A29" s="39" t="s">
        <v>489</v>
      </c>
      <c r="B29" s="40">
        <v>21.77</v>
      </c>
      <c r="C29" s="40">
        <v>33.71</v>
      </c>
      <c r="D29" s="40">
        <v>35.82</v>
      </c>
      <c r="E29" s="40">
        <v>10.34</v>
      </c>
      <c r="F29" s="42">
        <v>4.21</v>
      </c>
      <c r="G29" s="40">
        <v>131.52000000000001</v>
      </c>
      <c r="H29" s="40">
        <v>44.55</v>
      </c>
      <c r="I29" s="40">
        <v>11.5</v>
      </c>
      <c r="J29" s="40">
        <v>0.25</v>
      </c>
      <c r="K29" s="40">
        <v>177.65</v>
      </c>
      <c r="L29" s="40">
        <v>18.75</v>
      </c>
      <c r="M29" s="40">
        <v>74.03</v>
      </c>
      <c r="N29" s="40">
        <v>1.5</v>
      </c>
      <c r="O29" s="40">
        <v>0</v>
      </c>
      <c r="P29" s="40">
        <v>1.04</v>
      </c>
      <c r="Q29" s="27" t="s">
        <v>8</v>
      </c>
      <c r="R29" s="38"/>
      <c r="S29" s="38"/>
      <c r="T29" s="38"/>
      <c r="U29" s="38"/>
    </row>
    <row r="30" spans="1:21" customFormat="1">
      <c r="A30" s="39" t="s">
        <v>490</v>
      </c>
      <c r="B30" s="40">
        <v>22.61</v>
      </c>
      <c r="C30" s="40">
        <v>32.35</v>
      </c>
      <c r="D30" s="40">
        <v>36.35</v>
      </c>
      <c r="E30" s="40">
        <v>10.6</v>
      </c>
      <c r="F30" s="42">
        <v>4.08</v>
      </c>
      <c r="G30" s="40">
        <v>131.52000000000001</v>
      </c>
      <c r="H30" s="40">
        <v>42.59</v>
      </c>
      <c r="I30" s="40">
        <v>12.34</v>
      </c>
      <c r="J30" s="40">
        <v>0.35</v>
      </c>
      <c r="K30" s="40">
        <v>206.5</v>
      </c>
      <c r="L30" s="40">
        <v>17.420000000000002</v>
      </c>
      <c r="M30" s="40">
        <v>75.8</v>
      </c>
      <c r="N30" s="40">
        <v>1.4</v>
      </c>
      <c r="O30" s="40">
        <v>0</v>
      </c>
      <c r="P30" s="40">
        <v>1.08</v>
      </c>
      <c r="Q30" s="27" t="s">
        <v>8</v>
      </c>
      <c r="R30" s="38"/>
      <c r="S30" s="38"/>
      <c r="T30" s="38"/>
      <c r="U30" s="38"/>
    </row>
    <row r="31" spans="1:21" customFormat="1">
      <c r="A31" s="39" t="s">
        <v>491</v>
      </c>
      <c r="B31" s="40">
        <v>21.01</v>
      </c>
      <c r="C31" s="40">
        <v>31.08</v>
      </c>
      <c r="D31" s="40">
        <v>34.36</v>
      </c>
      <c r="E31" s="40">
        <v>10.1</v>
      </c>
      <c r="F31" s="42">
        <v>4.12</v>
      </c>
      <c r="G31" s="40">
        <v>140.34</v>
      </c>
      <c r="H31" s="40">
        <v>38.67</v>
      </c>
      <c r="I31" s="40">
        <v>12.52</v>
      </c>
      <c r="J31" s="40">
        <v>0.2</v>
      </c>
      <c r="K31" s="40">
        <v>225.33</v>
      </c>
      <c r="L31" s="40">
        <v>16.75</v>
      </c>
      <c r="M31" s="40">
        <v>75.099999999999994</v>
      </c>
      <c r="N31" s="40">
        <v>1.1000000000000001</v>
      </c>
      <c r="O31" s="40">
        <v>0</v>
      </c>
      <c r="P31" s="40">
        <v>1.08</v>
      </c>
      <c r="Q31" s="27" t="s">
        <v>8</v>
      </c>
      <c r="R31" s="38"/>
      <c r="S31" s="38"/>
      <c r="T31" s="38"/>
      <c r="U31" s="38"/>
    </row>
    <row r="32" spans="1:21" customFormat="1">
      <c r="A32" s="39" t="s">
        <v>492</v>
      </c>
      <c r="B32" s="40">
        <v>20.74</v>
      </c>
      <c r="C32" s="40">
        <v>31.34</v>
      </c>
      <c r="D32" s="40">
        <v>34.35</v>
      </c>
      <c r="E32" s="40">
        <v>9.7899999999999991</v>
      </c>
      <c r="F32" s="42">
        <v>4.0999999999999996</v>
      </c>
      <c r="G32" s="40">
        <v>152.84</v>
      </c>
      <c r="H32" s="40">
        <v>37.549999999999997</v>
      </c>
      <c r="I32" s="40">
        <v>12.8</v>
      </c>
      <c r="J32" s="40">
        <v>0.23</v>
      </c>
      <c r="K32" s="40">
        <v>232.91</v>
      </c>
      <c r="L32" s="40">
        <v>16.079999999999998</v>
      </c>
      <c r="M32" s="40">
        <v>80.69</v>
      </c>
      <c r="N32" s="40">
        <v>1.1000000000000001</v>
      </c>
      <c r="O32" s="40">
        <v>0</v>
      </c>
      <c r="P32" s="40">
        <v>1.1299999999999999</v>
      </c>
      <c r="Q32" s="27" t="s">
        <v>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6.39</v>
      </c>
      <c r="C34" s="18">
        <f t="shared" si="0"/>
        <v>25.91</v>
      </c>
      <c r="D34" s="18">
        <f t="shared" si="0"/>
        <v>25.55</v>
      </c>
      <c r="E34" s="18">
        <f t="shared" si="0"/>
        <v>7.94</v>
      </c>
      <c r="F34" s="18">
        <f t="shared" si="0"/>
        <v>3.96</v>
      </c>
      <c r="G34" s="18">
        <f t="shared" si="0"/>
        <v>70.27</v>
      </c>
      <c r="H34" s="18">
        <f t="shared" si="0"/>
        <v>21.28</v>
      </c>
      <c r="I34" s="18">
        <f t="shared" si="0"/>
        <v>8.41</v>
      </c>
      <c r="J34" s="18">
        <f t="shared" si="0"/>
        <v>0.14000000000000001</v>
      </c>
      <c r="K34" s="18">
        <f t="shared" si="0"/>
        <v>43.06</v>
      </c>
      <c r="L34" s="18">
        <f t="shared" si="0"/>
        <v>15.18</v>
      </c>
      <c r="M34" s="18">
        <f t="shared" si="0"/>
        <v>28.36</v>
      </c>
      <c r="N34" s="18">
        <f t="shared" si="0"/>
        <v>1.1000000000000001</v>
      </c>
      <c r="O34" s="18">
        <f t="shared" si="0"/>
        <v>0</v>
      </c>
      <c r="P34" s="18">
        <f t="shared" si="0"/>
        <v>0.67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39.04</v>
      </c>
      <c r="C35" s="3">
        <f t="shared" si="1"/>
        <v>37.71</v>
      </c>
      <c r="D35" s="3">
        <f t="shared" si="1"/>
        <v>46.68</v>
      </c>
      <c r="E35" s="3">
        <f t="shared" si="1"/>
        <v>16.62</v>
      </c>
      <c r="F35" s="3">
        <f t="shared" si="1"/>
        <v>8.06</v>
      </c>
      <c r="G35" s="3">
        <f t="shared" si="1"/>
        <v>152.84</v>
      </c>
      <c r="H35" s="3">
        <f t="shared" si="1"/>
        <v>44.55</v>
      </c>
      <c r="I35" s="3">
        <f t="shared" si="1"/>
        <v>12.8</v>
      </c>
      <c r="J35" s="3">
        <f t="shared" si="1"/>
        <v>1.58</v>
      </c>
      <c r="K35" s="3">
        <f t="shared" si="1"/>
        <v>232.91</v>
      </c>
      <c r="L35" s="3">
        <f t="shared" si="1"/>
        <v>28.16</v>
      </c>
      <c r="M35" s="3">
        <f t="shared" si="1"/>
        <v>80.69</v>
      </c>
      <c r="N35" s="3">
        <f t="shared" si="1"/>
        <v>408.9</v>
      </c>
      <c r="O35" s="3">
        <f t="shared" si="1"/>
        <v>0</v>
      </c>
      <c r="P35" s="3">
        <f t="shared" si="1"/>
        <v>1.1299999999999999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23.114782608695652</v>
      </c>
      <c r="C36" s="18">
        <f t="shared" si="2"/>
        <v>30.650434782608702</v>
      </c>
      <c r="D36" s="18">
        <f t="shared" si="2"/>
        <v>35.638695652173915</v>
      </c>
      <c r="E36" s="18">
        <f t="shared" si="2"/>
        <v>11.322173913043477</v>
      </c>
      <c r="F36" s="18">
        <f t="shared" si="2"/>
        <v>5.1120833333333335</v>
      </c>
      <c r="G36" s="18">
        <f t="shared" si="2"/>
        <v>95.395833333333314</v>
      </c>
      <c r="H36" s="18">
        <f t="shared" si="2"/>
        <v>34.868695652173912</v>
      </c>
      <c r="I36" s="18">
        <f t="shared" si="2"/>
        <v>10.19913043478261</v>
      </c>
      <c r="J36" s="18">
        <f t="shared" si="2"/>
        <v>0.60666666666666658</v>
      </c>
      <c r="K36" s="18">
        <f t="shared" si="2"/>
        <v>109.16500000000001</v>
      </c>
      <c r="L36" s="18">
        <f t="shared" si="2"/>
        <v>20.733333333333331</v>
      </c>
      <c r="M36" s="18">
        <f t="shared" si="2"/>
        <v>56.920833333333327</v>
      </c>
      <c r="N36" s="18">
        <f t="shared" si="2"/>
        <v>105.92083333333335</v>
      </c>
      <c r="O36" s="18">
        <f t="shared" si="2"/>
        <v>0</v>
      </c>
      <c r="P36" s="18">
        <f t="shared" si="2"/>
        <v>0.82363636363636372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9.7619785948831321</v>
      </c>
      <c r="C37" s="18">
        <f t="shared" ref="C37:Q37" si="3">STDEV(C9:C32)</f>
        <v>4.0067959067981977</v>
      </c>
      <c r="D37" s="18">
        <f t="shared" si="3"/>
        <v>6.2280825185371196</v>
      </c>
      <c r="E37" s="18">
        <f t="shared" si="3"/>
        <v>2.1340208666478775</v>
      </c>
      <c r="F37" s="18">
        <f t="shared" si="3"/>
        <v>1.4867384178759897</v>
      </c>
      <c r="G37" s="18">
        <f t="shared" si="3"/>
        <v>22.754229404598679</v>
      </c>
      <c r="H37" s="18">
        <f t="shared" si="3"/>
        <v>9.3064632010368449</v>
      </c>
      <c r="I37" s="18">
        <f t="shared" si="3"/>
        <v>1.356043419268234</v>
      </c>
      <c r="J37" s="18">
        <f t="shared" si="3"/>
        <v>0.38289136462115375</v>
      </c>
      <c r="K37" s="18">
        <f t="shared" si="3"/>
        <v>64.395758637000128</v>
      </c>
      <c r="L37" s="18">
        <f t="shared" si="3"/>
        <v>4.7994009287995896</v>
      </c>
      <c r="M37" s="18">
        <f t="shared" si="3"/>
        <v>17.777277856044631</v>
      </c>
      <c r="N37" s="18">
        <f t="shared" si="3"/>
        <v>158.42870287585998</v>
      </c>
      <c r="O37" s="18">
        <f t="shared" si="3"/>
        <v>0</v>
      </c>
      <c r="P37" s="18">
        <f t="shared" si="3"/>
        <v>0.1345378493229058</v>
      </c>
      <c r="Q37" s="18" t="e">
        <f t="shared" si="3"/>
        <v>#DIV/0!</v>
      </c>
      <c r="R37" s="18"/>
      <c r="S37" s="18"/>
      <c r="T37" s="18"/>
      <c r="U37" s="18"/>
    </row>
    <row r="38" spans="1:21">
      <c r="A38" s="34" t="s">
        <v>52</v>
      </c>
      <c r="B38" s="34">
        <f>COUNT(B9:B32)+1</f>
        <v>24</v>
      </c>
      <c r="C38" s="34">
        <f t="shared" ref="C38:E38" si="4">COUNT(C9:C32)+1</f>
        <v>24</v>
      </c>
      <c r="D38" s="34">
        <f t="shared" si="4"/>
        <v>24</v>
      </c>
      <c r="E38" s="34">
        <f t="shared" si="4"/>
        <v>24</v>
      </c>
      <c r="F38" s="34">
        <f t="shared" ref="F38:P38" si="5">COUNT(F9:F32)</f>
        <v>24</v>
      </c>
      <c r="G38" s="34">
        <f t="shared" si="5"/>
        <v>24</v>
      </c>
      <c r="H38" s="34">
        <f>COUNT(H9:H32)+1</f>
        <v>24</v>
      </c>
      <c r="I38" s="34">
        <f>COUNT(I9:I32)+1</f>
        <v>24</v>
      </c>
      <c r="J38" s="34">
        <f t="shared" si="5"/>
        <v>24</v>
      </c>
      <c r="K38" s="34">
        <f t="shared" si="5"/>
        <v>24</v>
      </c>
      <c r="L38" s="34">
        <f t="shared" si="5"/>
        <v>24</v>
      </c>
      <c r="M38" s="34">
        <f t="shared" si="5"/>
        <v>24</v>
      </c>
      <c r="N38" s="34">
        <f t="shared" si="5"/>
        <v>24</v>
      </c>
      <c r="O38" s="34">
        <f t="shared" si="5"/>
        <v>24</v>
      </c>
      <c r="P38" s="34">
        <f t="shared" si="5"/>
        <v>22</v>
      </c>
      <c r="Q38" s="34">
        <f>COUNT(Q9:Q32)+24</f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6">IF(C38&gt;=22,"&gt;90%",IF(C38&lt;=22,"&lt;90%"))</f>
        <v>&gt;90%</v>
      </c>
      <c r="D39" s="3" t="str">
        <f t="shared" si="6"/>
        <v>&gt;90%</v>
      </c>
      <c r="E39" s="3" t="str">
        <f t="shared" si="6"/>
        <v>&gt;90%</v>
      </c>
      <c r="F39" s="3" t="str">
        <f t="shared" si="6"/>
        <v>&gt;90%</v>
      </c>
      <c r="G39" s="3" t="str">
        <f t="shared" si="6"/>
        <v>&gt;90%</v>
      </c>
      <c r="H39" s="3" t="str">
        <f t="shared" si="6"/>
        <v>&gt;90%</v>
      </c>
      <c r="I39" s="3" t="str">
        <f t="shared" si="6"/>
        <v>&gt;90%</v>
      </c>
      <c r="J39" s="3" t="str">
        <f t="shared" si="6"/>
        <v>&gt;90%</v>
      </c>
      <c r="K39" s="3" t="str">
        <f t="shared" si="6"/>
        <v>&gt;90%</v>
      </c>
      <c r="L39" s="3" t="str">
        <f t="shared" si="6"/>
        <v>&gt;90%</v>
      </c>
      <c r="M39" s="3" t="str">
        <f t="shared" si="6"/>
        <v>&gt;90%</v>
      </c>
      <c r="N39" s="3" t="str">
        <f t="shared" si="6"/>
        <v>&gt;90%</v>
      </c>
      <c r="O39" s="3" t="str">
        <f t="shared" si="6"/>
        <v>&gt;90%</v>
      </c>
      <c r="P39" s="3" t="str">
        <f t="shared" si="6"/>
        <v>&gt;90%</v>
      </c>
      <c r="Q39" s="3" t="str">
        <f t="shared" si="6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7">IF(C38&gt;=22,"OK",IF(C38&lt;=22,"LESS"))</f>
        <v>OK</v>
      </c>
      <c r="D40" s="3" t="str">
        <f t="shared" si="7"/>
        <v>OK</v>
      </c>
      <c r="E40" s="3" t="str">
        <f t="shared" si="7"/>
        <v>OK</v>
      </c>
      <c r="F40" s="3" t="str">
        <f t="shared" si="7"/>
        <v>OK</v>
      </c>
      <c r="G40" s="3" t="str">
        <f t="shared" si="7"/>
        <v>OK</v>
      </c>
      <c r="H40" s="3" t="str">
        <f t="shared" si="7"/>
        <v>OK</v>
      </c>
      <c r="I40" s="3" t="str">
        <f t="shared" si="7"/>
        <v>OK</v>
      </c>
      <c r="J40" s="3" t="str">
        <f t="shared" si="7"/>
        <v>OK</v>
      </c>
      <c r="K40" s="3" t="str">
        <f t="shared" si="7"/>
        <v>OK</v>
      </c>
      <c r="L40" s="3" t="str">
        <f t="shared" si="7"/>
        <v>OK</v>
      </c>
      <c r="M40" s="3" t="str">
        <f t="shared" si="7"/>
        <v>OK</v>
      </c>
      <c r="N40" s="3" t="str">
        <f t="shared" si="7"/>
        <v>OK</v>
      </c>
      <c r="O40" s="3" t="str">
        <f t="shared" si="7"/>
        <v>OK</v>
      </c>
      <c r="P40" s="3" t="str">
        <f t="shared" si="7"/>
        <v>OK</v>
      </c>
      <c r="Q40" s="3" t="str">
        <f t="shared" si="7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96"/>
  <sheetViews>
    <sheetView zoomScale="85" zoomScaleNormal="85" workbookViewId="0">
      <pane xSplit="1" ySplit="8" topLeftCell="B16" activePane="bottomRight" state="frozen"/>
      <selection activeCell="G19" sqref="G19"/>
      <selection pane="topRight" activeCell="G19" sqref="G19"/>
      <selection pane="bottomLeft" activeCell="G19" sqref="G19"/>
      <selection pane="bottomRight" activeCell="L22" sqref="L2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19/01/2025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493</v>
      </c>
      <c r="B9" s="40">
        <v>35.08</v>
      </c>
      <c r="C9" s="40">
        <v>33.130000000000003</v>
      </c>
      <c r="D9" s="40">
        <v>46.79</v>
      </c>
      <c r="E9" s="40">
        <v>9.7200000000000006</v>
      </c>
      <c r="F9" s="42">
        <v>4.18</v>
      </c>
      <c r="G9" s="40">
        <v>161.05000000000001</v>
      </c>
      <c r="H9" s="40">
        <v>38.520000000000003</v>
      </c>
      <c r="I9" s="40">
        <v>13.34</v>
      </c>
      <c r="J9" s="40">
        <v>0.3</v>
      </c>
      <c r="K9" s="40">
        <v>209.21</v>
      </c>
      <c r="L9" s="40">
        <v>16.18</v>
      </c>
      <c r="M9" s="40">
        <v>82.71</v>
      </c>
      <c r="N9" s="40">
        <v>1.1000000000000001</v>
      </c>
      <c r="O9" s="40">
        <v>0</v>
      </c>
      <c r="P9" s="40">
        <v>1.17</v>
      </c>
      <c r="Q9" s="27" t="s">
        <v>8</v>
      </c>
      <c r="R9" s="38"/>
      <c r="S9" s="38"/>
      <c r="T9" s="38"/>
      <c r="U9" s="38"/>
    </row>
    <row r="10" spans="1:21" customFormat="1">
      <c r="A10" s="39" t="s">
        <v>494</v>
      </c>
      <c r="B10" s="40">
        <v>36.19</v>
      </c>
      <c r="C10" s="40">
        <v>33.74</v>
      </c>
      <c r="D10" s="40">
        <v>47.9</v>
      </c>
      <c r="E10" s="40">
        <v>9.99</v>
      </c>
      <c r="F10" s="42">
        <v>4.07</v>
      </c>
      <c r="G10" s="40">
        <v>161.05000000000001</v>
      </c>
      <c r="H10" s="40">
        <v>41.24</v>
      </c>
      <c r="I10" s="40">
        <v>14.03</v>
      </c>
      <c r="J10" s="40">
        <v>0.28999999999999998</v>
      </c>
      <c r="K10" s="40">
        <v>182.71</v>
      </c>
      <c r="L10" s="40">
        <v>16.66</v>
      </c>
      <c r="M10" s="40">
        <v>78.45</v>
      </c>
      <c r="N10" s="40">
        <v>1.4</v>
      </c>
      <c r="O10" s="40">
        <v>0</v>
      </c>
      <c r="P10" s="40">
        <v>1.29</v>
      </c>
      <c r="Q10" s="27" t="s">
        <v>8</v>
      </c>
      <c r="R10" s="38"/>
      <c r="S10" s="38"/>
      <c r="T10" s="38"/>
      <c r="U10" s="38"/>
    </row>
    <row r="11" spans="1:21" customFormat="1">
      <c r="A11" s="39" t="s">
        <v>495</v>
      </c>
      <c r="B11" s="40">
        <v>33.700000000000003</v>
      </c>
      <c r="C11" s="40">
        <v>32.93</v>
      </c>
      <c r="D11" s="40">
        <v>45.58</v>
      </c>
      <c r="E11" s="40">
        <v>10.39</v>
      </c>
      <c r="F11" s="42">
        <v>3.95</v>
      </c>
      <c r="G11" s="40">
        <v>165.48</v>
      </c>
      <c r="H11" s="40">
        <v>44.36</v>
      </c>
      <c r="I11" s="40">
        <v>15.43</v>
      </c>
      <c r="J11" s="40">
        <v>0.24</v>
      </c>
      <c r="K11" s="40">
        <v>208.5</v>
      </c>
      <c r="L11" s="40">
        <v>15.27</v>
      </c>
      <c r="M11" s="40">
        <v>89.88</v>
      </c>
      <c r="N11" s="40">
        <v>1.5</v>
      </c>
      <c r="O11" s="40">
        <v>0</v>
      </c>
      <c r="P11" s="40">
        <v>1.38</v>
      </c>
      <c r="Q11" s="27" t="s">
        <v>8</v>
      </c>
      <c r="R11" s="38"/>
      <c r="S11" s="38"/>
      <c r="T11" s="38"/>
      <c r="U11" s="38"/>
    </row>
    <row r="12" spans="1:21" customFormat="1">
      <c r="A12" s="39" t="s">
        <v>496</v>
      </c>
      <c r="B12" s="40">
        <v>29.79</v>
      </c>
      <c r="C12" s="40">
        <v>30.84</v>
      </c>
      <c r="D12" s="40">
        <v>41.35</v>
      </c>
      <c r="E12" s="40">
        <v>10.39</v>
      </c>
      <c r="F12" s="42">
        <v>3.94</v>
      </c>
      <c r="G12" s="40">
        <v>165.48</v>
      </c>
      <c r="H12" s="40">
        <v>44.36</v>
      </c>
      <c r="I12" s="40">
        <v>15.97</v>
      </c>
      <c r="J12" s="40">
        <v>0.16</v>
      </c>
      <c r="K12" s="40">
        <v>193.8</v>
      </c>
      <c r="L12" s="40">
        <v>14.04</v>
      </c>
      <c r="M12" s="40">
        <v>92.71</v>
      </c>
      <c r="N12" s="40">
        <v>1.3</v>
      </c>
      <c r="O12" s="40">
        <v>0</v>
      </c>
      <c r="P12" s="40">
        <v>1.38</v>
      </c>
      <c r="Q12" s="27" t="s">
        <v>8</v>
      </c>
      <c r="R12" s="38"/>
      <c r="S12" s="38"/>
      <c r="T12" s="38"/>
      <c r="U12" s="38"/>
    </row>
    <row r="13" spans="1:21" customFormat="1">
      <c r="A13" s="39" t="s">
        <v>497</v>
      </c>
      <c r="B13" s="40">
        <v>28.09</v>
      </c>
      <c r="C13" s="40">
        <v>29.25</v>
      </c>
      <c r="D13" s="40">
        <v>39.159999999999997</v>
      </c>
      <c r="E13" s="40">
        <v>9.56</v>
      </c>
      <c r="F13" s="42">
        <v>4</v>
      </c>
      <c r="G13" s="40">
        <v>155.82</v>
      </c>
      <c r="H13" s="40">
        <v>41.27</v>
      </c>
      <c r="I13" s="40">
        <v>16</v>
      </c>
      <c r="J13" s="40">
        <v>0.18</v>
      </c>
      <c r="K13" s="40">
        <v>167.85</v>
      </c>
      <c r="L13" s="40">
        <v>13.75</v>
      </c>
      <c r="M13" s="40">
        <v>98.96</v>
      </c>
      <c r="N13" s="40">
        <v>1.1000000000000001</v>
      </c>
      <c r="O13" s="40">
        <v>0</v>
      </c>
      <c r="P13" s="40">
        <v>1.35</v>
      </c>
      <c r="Q13" s="27" t="s">
        <v>8</v>
      </c>
      <c r="R13" s="38"/>
      <c r="S13" s="38"/>
      <c r="T13" s="38"/>
      <c r="U13" s="38"/>
    </row>
    <row r="14" spans="1:21" customFormat="1">
      <c r="A14" s="39" t="s">
        <v>498</v>
      </c>
      <c r="B14" s="40">
        <v>36.54</v>
      </c>
      <c r="C14" s="40">
        <v>29.08</v>
      </c>
      <c r="D14" s="40">
        <v>45.58</v>
      </c>
      <c r="E14" s="40">
        <v>9.76</v>
      </c>
      <c r="F14" s="42">
        <v>4.03</v>
      </c>
      <c r="G14" s="40">
        <v>151.1</v>
      </c>
      <c r="H14" s="40">
        <v>39.82</v>
      </c>
      <c r="I14" s="40">
        <v>15.98</v>
      </c>
      <c r="J14" s="40">
        <v>0.2</v>
      </c>
      <c r="K14" s="40">
        <v>179.75</v>
      </c>
      <c r="L14" s="40">
        <v>13.59</v>
      </c>
      <c r="M14" s="40">
        <v>92.59</v>
      </c>
      <c r="N14" s="40">
        <v>1.3</v>
      </c>
      <c r="O14" s="40">
        <v>0</v>
      </c>
      <c r="P14" s="40">
        <v>1.33</v>
      </c>
      <c r="Q14" s="27" t="s">
        <v>8</v>
      </c>
      <c r="R14" s="38"/>
      <c r="S14" s="38"/>
      <c r="T14" s="38"/>
      <c r="U14" s="38"/>
    </row>
    <row r="15" spans="1:21" customFormat="1">
      <c r="A15" s="39" t="s">
        <v>499</v>
      </c>
      <c r="B15" s="40">
        <v>39.57</v>
      </c>
      <c r="C15" s="40">
        <v>28.58</v>
      </c>
      <c r="D15" s="40">
        <v>47.67</v>
      </c>
      <c r="E15" s="40">
        <v>9.8800000000000008</v>
      </c>
      <c r="F15" s="42">
        <v>4</v>
      </c>
      <c r="G15" s="40">
        <v>151.1</v>
      </c>
      <c r="H15" s="40">
        <v>40.46</v>
      </c>
      <c r="I15" s="40">
        <v>16.100000000000001</v>
      </c>
      <c r="J15" s="40">
        <v>0.18</v>
      </c>
      <c r="K15" s="40">
        <v>170.57</v>
      </c>
      <c r="L15" s="40">
        <v>13.41</v>
      </c>
      <c r="M15" s="40">
        <v>94.6</v>
      </c>
      <c r="N15" s="40">
        <v>6.7</v>
      </c>
      <c r="O15" s="40">
        <v>0</v>
      </c>
      <c r="P15" s="40">
        <v>1.33</v>
      </c>
      <c r="Q15" s="27" t="s">
        <v>8</v>
      </c>
      <c r="R15" s="38"/>
      <c r="S15" s="38"/>
      <c r="T15" s="38"/>
      <c r="U15" s="38"/>
    </row>
    <row r="16" spans="1:21" customFormat="1">
      <c r="A16" s="39" t="s">
        <v>500</v>
      </c>
      <c r="B16" s="40">
        <v>40.270000000000003</v>
      </c>
      <c r="C16" s="40">
        <v>27.69</v>
      </c>
      <c r="D16" s="40">
        <v>47.92</v>
      </c>
      <c r="E16" s="40">
        <v>9.58</v>
      </c>
      <c r="F16" s="42">
        <v>3.98</v>
      </c>
      <c r="G16" s="40">
        <v>146.96</v>
      </c>
      <c r="H16" s="40">
        <v>40.46</v>
      </c>
      <c r="I16" s="40">
        <v>16.04</v>
      </c>
      <c r="J16" s="40">
        <v>0.24</v>
      </c>
      <c r="K16" s="40">
        <v>185.14</v>
      </c>
      <c r="L16" s="40">
        <v>15.57</v>
      </c>
      <c r="M16" s="40">
        <v>93.7</v>
      </c>
      <c r="N16" s="40">
        <v>38.700000000000003</v>
      </c>
      <c r="O16" s="40">
        <v>0</v>
      </c>
      <c r="P16" s="40">
        <v>1.31</v>
      </c>
      <c r="Q16" s="27" t="s">
        <v>8</v>
      </c>
      <c r="R16" s="38"/>
      <c r="S16" s="38"/>
      <c r="T16" s="38"/>
      <c r="U16" s="38"/>
    </row>
    <row r="17" spans="1:21" customFormat="1">
      <c r="A17" s="39" t="s">
        <v>501</v>
      </c>
      <c r="B17" s="40">
        <v>39.22</v>
      </c>
      <c r="C17" s="40">
        <v>29.59</v>
      </c>
      <c r="D17" s="40">
        <v>47.21</v>
      </c>
      <c r="E17" s="40">
        <v>9.85</v>
      </c>
      <c r="F17" s="42">
        <v>4.32</v>
      </c>
      <c r="G17" s="40">
        <v>132.06</v>
      </c>
      <c r="H17" s="40">
        <v>44.34</v>
      </c>
      <c r="I17" s="40">
        <v>16.309999999999999</v>
      </c>
      <c r="J17" s="40">
        <v>0.65</v>
      </c>
      <c r="K17" s="40">
        <v>69.599999999999994</v>
      </c>
      <c r="L17" s="40">
        <v>19.13</v>
      </c>
      <c r="M17" s="40">
        <v>69.209999999999994</v>
      </c>
      <c r="N17" s="40">
        <v>200.9</v>
      </c>
      <c r="O17" s="40">
        <v>0</v>
      </c>
      <c r="P17" s="40">
        <v>1.41</v>
      </c>
      <c r="Q17" s="27" t="s">
        <v>8</v>
      </c>
      <c r="R17" s="38"/>
      <c r="S17" s="38"/>
      <c r="T17" s="38"/>
      <c r="U17" s="38"/>
    </row>
    <row r="18" spans="1:21" customFormat="1">
      <c r="A18" s="39" t="s">
        <v>502</v>
      </c>
      <c r="B18" s="40">
        <v>34.020000000000003</v>
      </c>
      <c r="C18" s="40">
        <v>30.66</v>
      </c>
      <c r="D18" s="40">
        <v>44.44</v>
      </c>
      <c r="E18" s="40">
        <v>11.45</v>
      </c>
      <c r="F18" s="42">
        <v>4.9000000000000004</v>
      </c>
      <c r="G18" s="40">
        <v>133.12</v>
      </c>
      <c r="H18" s="40">
        <v>55.77</v>
      </c>
      <c r="I18" s="40">
        <v>17.149999999999999</v>
      </c>
      <c r="J18" s="40">
        <v>0.71</v>
      </c>
      <c r="K18" s="40">
        <v>65.69</v>
      </c>
      <c r="L18" s="40">
        <v>23.12</v>
      </c>
      <c r="M18" s="40">
        <v>51.97</v>
      </c>
      <c r="N18" s="40">
        <v>302.2</v>
      </c>
      <c r="O18" s="40">
        <v>0</v>
      </c>
      <c r="P18" s="40">
        <v>1.46</v>
      </c>
      <c r="Q18" s="27" t="s">
        <v>8</v>
      </c>
      <c r="R18" s="38"/>
      <c r="S18" s="38"/>
      <c r="T18" s="38"/>
      <c r="U18" s="38"/>
    </row>
    <row r="19" spans="1:21" customFormat="1">
      <c r="A19" s="39" t="s">
        <v>503</v>
      </c>
      <c r="B19" s="40">
        <v>29.3</v>
      </c>
      <c r="C19" s="40">
        <v>32.700000000000003</v>
      </c>
      <c r="D19" s="40">
        <v>41.09</v>
      </c>
      <c r="E19" s="40">
        <v>12.51</v>
      </c>
      <c r="F19" s="42">
        <v>6.21</v>
      </c>
      <c r="G19" s="40">
        <v>133.12</v>
      </c>
      <c r="H19" s="40">
        <v>66.34</v>
      </c>
      <c r="I19" s="40">
        <v>16.93</v>
      </c>
      <c r="J19" s="40">
        <v>0.67</v>
      </c>
      <c r="K19" s="40">
        <v>135.9</v>
      </c>
      <c r="L19" s="40">
        <v>25.4</v>
      </c>
      <c r="M19" s="40">
        <v>42.09</v>
      </c>
      <c r="N19" s="40">
        <v>392.3</v>
      </c>
      <c r="O19" s="40">
        <v>0</v>
      </c>
      <c r="P19" s="40">
        <v>1.46</v>
      </c>
      <c r="Q19" s="27" t="s">
        <v>8</v>
      </c>
      <c r="R19" s="38"/>
      <c r="S19" s="38"/>
      <c r="T19" s="38"/>
      <c r="U19" s="38"/>
    </row>
    <row r="20" spans="1:21" customFormat="1">
      <c r="A20" s="39" t="s">
        <v>504</v>
      </c>
      <c r="B20" s="40">
        <v>20.9</v>
      </c>
      <c r="C20" s="40">
        <v>34.83</v>
      </c>
      <c r="D20" s="40">
        <v>35.659999999999997</v>
      </c>
      <c r="E20" s="40">
        <v>13.51</v>
      </c>
      <c r="F20" s="42">
        <v>5.97</v>
      </c>
      <c r="G20" s="40">
        <v>124.21</v>
      </c>
      <c r="H20" s="40">
        <v>67.53</v>
      </c>
      <c r="I20" s="40">
        <v>16.25</v>
      </c>
      <c r="J20" s="40">
        <v>0.66</v>
      </c>
      <c r="K20" s="40">
        <v>334.1</v>
      </c>
      <c r="L20" s="40">
        <v>27.27</v>
      </c>
      <c r="M20" s="40">
        <v>35.65</v>
      </c>
      <c r="N20" s="40">
        <v>437.4</v>
      </c>
      <c r="O20" s="40">
        <v>0</v>
      </c>
      <c r="P20" s="40">
        <v>1.37</v>
      </c>
      <c r="Q20" s="27" t="s">
        <v>8</v>
      </c>
      <c r="R20" s="38"/>
      <c r="S20" s="38"/>
      <c r="T20" s="38"/>
      <c r="U20" s="38"/>
    </row>
    <row r="21" spans="1:21" customFormat="1">
      <c r="A21" s="39" t="s">
        <v>505</v>
      </c>
      <c r="B21" s="40">
        <v>10.7</v>
      </c>
      <c r="C21" s="40">
        <v>34.9</v>
      </c>
      <c r="D21" s="40">
        <v>28.16</v>
      </c>
      <c r="E21" s="40">
        <v>11.87</v>
      </c>
      <c r="F21" s="42">
        <v>6.81</v>
      </c>
      <c r="G21" s="40">
        <v>113.11</v>
      </c>
      <c r="H21" s="40">
        <v>67.53</v>
      </c>
      <c r="I21" s="40">
        <v>14.87</v>
      </c>
      <c r="J21" s="40">
        <v>0.66</v>
      </c>
      <c r="K21" s="40">
        <v>344.98</v>
      </c>
      <c r="L21" s="40">
        <v>28.1</v>
      </c>
      <c r="M21" s="40">
        <v>28.3</v>
      </c>
      <c r="N21" s="40">
        <v>452.1</v>
      </c>
      <c r="O21" s="40">
        <v>0</v>
      </c>
      <c r="P21" s="40">
        <v>1.24</v>
      </c>
      <c r="Q21" s="27" t="s">
        <v>8</v>
      </c>
      <c r="R21" s="38"/>
      <c r="S21" s="38"/>
      <c r="T21" s="38"/>
      <c r="U21" s="38"/>
    </row>
    <row r="22" spans="1:21" customFormat="1">
      <c r="A22" s="39" t="s">
        <v>506</v>
      </c>
      <c r="B22" s="40">
        <v>5.77</v>
      </c>
      <c r="C22" s="40">
        <v>33.200000000000003</v>
      </c>
      <c r="D22" s="40">
        <v>23.32</v>
      </c>
      <c r="E22" s="40">
        <v>11.54</v>
      </c>
      <c r="F22" s="42">
        <v>6.63</v>
      </c>
      <c r="G22" s="40">
        <v>84.91</v>
      </c>
      <c r="H22" s="40">
        <v>53.2</v>
      </c>
      <c r="I22" s="40">
        <v>13.1</v>
      </c>
      <c r="J22" s="40">
        <v>0.51</v>
      </c>
      <c r="K22" s="40">
        <v>136.99</v>
      </c>
      <c r="L22" s="40">
        <v>29.15</v>
      </c>
      <c r="M22" s="40">
        <v>25.05</v>
      </c>
      <c r="N22" s="40">
        <v>431.4</v>
      </c>
      <c r="O22" s="40">
        <v>0</v>
      </c>
      <c r="P22" s="40">
        <v>1.06</v>
      </c>
      <c r="Q22" s="27" t="s">
        <v>8</v>
      </c>
      <c r="R22" s="38"/>
      <c r="S22" s="38"/>
      <c r="T22" s="38"/>
      <c r="U22" s="38"/>
    </row>
    <row r="23" spans="1:21" customFormat="1">
      <c r="A23" s="39" t="s">
        <v>507</v>
      </c>
      <c r="B23" s="40">
        <v>4.42</v>
      </c>
      <c r="C23" s="40">
        <v>29.43</v>
      </c>
      <c r="D23" s="40">
        <v>20.149999999999999</v>
      </c>
      <c r="E23" s="40">
        <v>16.059999999999999</v>
      </c>
      <c r="F23" s="42">
        <v>6.52</v>
      </c>
      <c r="G23" s="40">
        <v>69.66</v>
      </c>
      <c r="H23" s="40">
        <v>47.91</v>
      </c>
      <c r="I23" s="40">
        <v>11.58</v>
      </c>
      <c r="J23" s="40">
        <v>0.52</v>
      </c>
      <c r="K23" s="40">
        <v>137.99</v>
      </c>
      <c r="L23" s="40">
        <v>28.97</v>
      </c>
      <c r="M23" s="40">
        <v>25.19</v>
      </c>
      <c r="N23" s="40">
        <v>378.5</v>
      </c>
      <c r="O23" s="40">
        <v>0</v>
      </c>
      <c r="P23" s="40">
        <v>0.85</v>
      </c>
      <c r="Q23" s="27" t="s">
        <v>8</v>
      </c>
      <c r="R23" s="38"/>
      <c r="S23" s="38"/>
      <c r="T23" s="38"/>
      <c r="U23" s="38"/>
    </row>
    <row r="24" spans="1:21" customFormat="1">
      <c r="A24" s="39" t="s">
        <v>508</v>
      </c>
      <c r="B24" s="40">
        <v>5.24</v>
      </c>
      <c r="C24" s="40">
        <v>27.06</v>
      </c>
      <c r="D24" s="40">
        <v>19.29</v>
      </c>
      <c r="E24" s="40">
        <v>27.8</v>
      </c>
      <c r="F24" s="42">
        <v>6.5</v>
      </c>
      <c r="G24" s="40">
        <v>65.790000000000006</v>
      </c>
      <c r="H24" s="40">
        <v>40.909999999999997</v>
      </c>
      <c r="I24" s="40">
        <v>10.26</v>
      </c>
      <c r="J24" s="40">
        <v>0.73</v>
      </c>
      <c r="K24" s="40">
        <v>328.82</v>
      </c>
      <c r="L24" s="40">
        <v>27.89</v>
      </c>
      <c r="M24" s="40">
        <v>25.21</v>
      </c>
      <c r="N24" s="40">
        <v>55.7</v>
      </c>
      <c r="O24" s="40">
        <v>0</v>
      </c>
      <c r="P24" s="40">
        <v>0.78</v>
      </c>
      <c r="Q24" s="27" t="s">
        <v>8</v>
      </c>
      <c r="R24" s="38"/>
      <c r="S24" s="38"/>
      <c r="T24" s="38"/>
      <c r="U24" s="38"/>
    </row>
    <row r="25" spans="1:21" customFormat="1">
      <c r="A25" s="39" t="s">
        <v>509</v>
      </c>
      <c r="B25" s="40">
        <v>5.83</v>
      </c>
      <c r="C25" s="40">
        <v>25.79</v>
      </c>
      <c r="D25" s="40">
        <v>19.5</v>
      </c>
      <c r="E25" s="40">
        <v>25.92</v>
      </c>
      <c r="F25" s="42">
        <v>7.18</v>
      </c>
      <c r="G25" s="40">
        <v>69.05</v>
      </c>
      <c r="H25" s="40">
        <v>37.75</v>
      </c>
      <c r="I25" s="40">
        <v>9.9499999999999993</v>
      </c>
      <c r="J25" s="40">
        <v>0.71</v>
      </c>
      <c r="K25" s="40">
        <v>39.08</v>
      </c>
      <c r="L25" s="40">
        <v>27.53</v>
      </c>
      <c r="M25" s="40">
        <v>24.92</v>
      </c>
      <c r="N25" s="40">
        <v>36.299999999999997</v>
      </c>
      <c r="O25" s="40">
        <v>0</v>
      </c>
      <c r="P25" s="40">
        <v>0.77</v>
      </c>
      <c r="Q25" s="27" t="s">
        <v>8</v>
      </c>
      <c r="R25" s="38"/>
      <c r="S25" s="38"/>
      <c r="T25" s="38"/>
      <c r="U25" s="38"/>
    </row>
    <row r="26" spans="1:21" customFormat="1">
      <c r="A26" s="39" t="s">
        <v>510</v>
      </c>
      <c r="B26" s="40">
        <v>8.15</v>
      </c>
      <c r="C26" s="40">
        <v>26.51</v>
      </c>
      <c r="D26" s="40">
        <v>21.74</v>
      </c>
      <c r="E26" s="40">
        <v>13.46</v>
      </c>
      <c r="F26" s="42">
        <v>6.85</v>
      </c>
      <c r="G26" s="40">
        <v>69.59</v>
      </c>
      <c r="H26" s="40">
        <v>36.21</v>
      </c>
      <c r="I26" s="40">
        <v>9.6</v>
      </c>
      <c r="J26" s="40">
        <v>0.19</v>
      </c>
      <c r="K26" s="40">
        <v>114.88</v>
      </c>
      <c r="L26" s="40">
        <v>26.13</v>
      </c>
      <c r="M26" s="40">
        <v>29.49</v>
      </c>
      <c r="N26" s="40">
        <v>13.6</v>
      </c>
      <c r="O26" s="40">
        <v>0</v>
      </c>
      <c r="P26" s="40">
        <v>0.8</v>
      </c>
      <c r="Q26" s="27" t="s">
        <v>8</v>
      </c>
      <c r="R26" s="38"/>
      <c r="S26" s="38"/>
      <c r="T26" s="38"/>
      <c r="U26" s="38"/>
    </row>
    <row r="27" spans="1:21" customFormat="1">
      <c r="A27" s="39" t="s">
        <v>511</v>
      </c>
      <c r="B27" s="40">
        <v>11.13</v>
      </c>
      <c r="C27" s="40">
        <v>27.39</v>
      </c>
      <c r="D27" s="40">
        <v>24.59</v>
      </c>
      <c r="E27" s="40">
        <v>9.81</v>
      </c>
      <c r="F27" s="42">
        <v>4.7699999999999996</v>
      </c>
      <c r="G27" s="40">
        <v>82.52</v>
      </c>
      <c r="H27" s="40">
        <v>36.36</v>
      </c>
      <c r="I27" s="40">
        <v>9.6199999999999992</v>
      </c>
      <c r="J27" s="40">
        <v>0.32</v>
      </c>
      <c r="K27" s="40">
        <v>178.24</v>
      </c>
      <c r="L27" s="40">
        <v>22.26</v>
      </c>
      <c r="M27" s="40">
        <v>48.02</v>
      </c>
      <c r="N27" s="40">
        <v>2</v>
      </c>
      <c r="O27" s="40">
        <v>0</v>
      </c>
      <c r="P27" s="40">
        <v>0.85</v>
      </c>
      <c r="Q27" s="27" t="s">
        <v>8</v>
      </c>
      <c r="R27" s="38"/>
      <c r="S27" s="38"/>
      <c r="T27" s="38"/>
      <c r="U27" s="38"/>
    </row>
    <row r="28" spans="1:21" customFormat="1">
      <c r="A28" s="39" t="s">
        <v>512</v>
      </c>
      <c r="B28" s="40">
        <v>11.66</v>
      </c>
      <c r="C28" s="40">
        <v>28</v>
      </c>
      <c r="D28" s="40">
        <v>25.33</v>
      </c>
      <c r="E28" s="40">
        <v>9.64</v>
      </c>
      <c r="F28" s="42">
        <v>4.29</v>
      </c>
      <c r="G28" s="40">
        <v>104.68</v>
      </c>
      <c r="H28" s="40">
        <v>36.43</v>
      </c>
      <c r="I28" s="40">
        <v>10.220000000000001</v>
      </c>
      <c r="J28" s="40">
        <v>0.24</v>
      </c>
      <c r="K28" s="40">
        <v>179.79</v>
      </c>
      <c r="L28" s="40">
        <v>19.16</v>
      </c>
      <c r="M28" s="40">
        <v>65.16</v>
      </c>
      <c r="N28" s="40">
        <v>1.7</v>
      </c>
      <c r="O28" s="40">
        <v>0</v>
      </c>
      <c r="P28" s="40">
        <v>0.9</v>
      </c>
      <c r="Q28" s="27" t="s">
        <v>8</v>
      </c>
      <c r="R28" s="38"/>
      <c r="S28" s="38"/>
      <c r="T28" s="38"/>
      <c r="U28" s="38"/>
    </row>
    <row r="29" spans="1:21" customFormat="1">
      <c r="A29" s="39" t="s">
        <v>513</v>
      </c>
      <c r="B29" s="40">
        <v>11.39</v>
      </c>
      <c r="C29" s="40">
        <v>27.73</v>
      </c>
      <c r="D29" s="40">
        <v>24.98</v>
      </c>
      <c r="E29" s="40">
        <v>8.81</v>
      </c>
      <c r="F29" s="42">
        <v>4.18</v>
      </c>
      <c r="G29" s="40">
        <v>104.68</v>
      </c>
      <c r="H29" s="40">
        <v>36.43</v>
      </c>
      <c r="I29" s="40">
        <v>10.8</v>
      </c>
      <c r="J29" s="40">
        <v>0.2</v>
      </c>
      <c r="K29" s="40">
        <v>183.73</v>
      </c>
      <c r="L29" s="40">
        <v>17.489999999999998</v>
      </c>
      <c r="M29" s="40">
        <v>70.12</v>
      </c>
      <c r="N29" s="40">
        <v>1.1000000000000001</v>
      </c>
      <c r="O29" s="40">
        <v>0</v>
      </c>
      <c r="P29" s="40">
        <v>0.98</v>
      </c>
      <c r="Q29" s="27" t="s">
        <v>8</v>
      </c>
      <c r="R29" s="38"/>
      <c r="S29" s="38"/>
      <c r="T29" s="38"/>
      <c r="U29" s="38"/>
    </row>
    <row r="30" spans="1:21" customFormat="1">
      <c r="A30" s="39" t="s">
        <v>514</v>
      </c>
      <c r="B30" s="40">
        <v>11.23</v>
      </c>
      <c r="C30" s="40">
        <v>27.17</v>
      </c>
      <c r="D30" s="40">
        <v>24.55</v>
      </c>
      <c r="E30" s="40">
        <v>8.8000000000000007</v>
      </c>
      <c r="F30" s="42">
        <v>4.22</v>
      </c>
      <c r="G30" s="40">
        <v>103.32</v>
      </c>
      <c r="H30" s="40">
        <v>36.11</v>
      </c>
      <c r="I30" s="40">
        <v>11.88</v>
      </c>
      <c r="J30" s="40">
        <v>0.21</v>
      </c>
      <c r="K30" s="40">
        <v>204.34</v>
      </c>
      <c r="L30" s="40">
        <v>16.57</v>
      </c>
      <c r="M30" s="40">
        <v>75.739999999999995</v>
      </c>
      <c r="N30" s="40">
        <v>1.2</v>
      </c>
      <c r="O30" s="40">
        <v>0</v>
      </c>
      <c r="P30" s="40">
        <v>1.02</v>
      </c>
      <c r="Q30" s="27" t="s">
        <v>8</v>
      </c>
      <c r="R30" s="38"/>
      <c r="S30" s="38"/>
      <c r="T30" s="38"/>
      <c r="U30" s="38"/>
    </row>
    <row r="31" spans="1:21" customFormat="1">
      <c r="A31" s="39" t="s">
        <v>515</v>
      </c>
      <c r="B31" s="40">
        <v>11.18</v>
      </c>
      <c r="C31" s="40">
        <v>26.03</v>
      </c>
      <c r="D31" s="40">
        <v>23.8</v>
      </c>
      <c r="E31" s="40">
        <v>9.06</v>
      </c>
      <c r="F31" s="42">
        <v>4.3099999999999996</v>
      </c>
      <c r="G31" s="40">
        <v>103.32</v>
      </c>
      <c r="H31" s="40">
        <v>33.22</v>
      </c>
      <c r="I31" s="40">
        <v>12.35</v>
      </c>
      <c r="J31" s="40">
        <v>0.21</v>
      </c>
      <c r="K31" s="40">
        <v>211.16</v>
      </c>
      <c r="L31" s="40">
        <v>15.64</v>
      </c>
      <c r="M31" s="40">
        <v>77.84</v>
      </c>
      <c r="N31" s="40">
        <v>1</v>
      </c>
      <c r="O31" s="40">
        <v>0</v>
      </c>
      <c r="P31" s="40">
        <v>1.07</v>
      </c>
      <c r="Q31" s="27" t="s">
        <v>8</v>
      </c>
      <c r="R31" s="38"/>
      <c r="S31" s="38"/>
      <c r="T31" s="38"/>
      <c r="U31" s="38"/>
    </row>
    <row r="32" spans="1:21" customFormat="1">
      <c r="A32" s="39" t="s">
        <v>516</v>
      </c>
      <c r="B32" s="40">
        <v>13.32</v>
      </c>
      <c r="C32" s="40">
        <v>25.93</v>
      </c>
      <c r="D32" s="40">
        <v>25.44</v>
      </c>
      <c r="E32" s="40">
        <v>8.9499999999999993</v>
      </c>
      <c r="F32" s="42">
        <v>4.18</v>
      </c>
      <c r="G32" s="40">
        <v>102.62</v>
      </c>
      <c r="H32" s="40">
        <v>33.61</v>
      </c>
      <c r="I32" s="40">
        <v>13.21</v>
      </c>
      <c r="J32" s="40">
        <v>0.2</v>
      </c>
      <c r="K32" s="40">
        <v>181.61</v>
      </c>
      <c r="L32" s="40">
        <v>15.24</v>
      </c>
      <c r="M32" s="40">
        <v>79.09</v>
      </c>
      <c r="N32" s="40">
        <v>1.1000000000000001</v>
      </c>
      <c r="O32" s="40">
        <v>0</v>
      </c>
      <c r="P32" s="40">
        <v>1.1299999999999999</v>
      </c>
      <c r="Q32" s="27" t="s">
        <v>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4.42</v>
      </c>
      <c r="C34" s="18">
        <f t="shared" si="0"/>
        <v>25.79</v>
      </c>
      <c r="D34" s="18">
        <f t="shared" si="0"/>
        <v>19.29</v>
      </c>
      <c r="E34" s="18">
        <f t="shared" si="0"/>
        <v>8.8000000000000007</v>
      </c>
      <c r="F34" s="18">
        <f t="shared" si="0"/>
        <v>3.94</v>
      </c>
      <c r="G34" s="18">
        <f t="shared" si="0"/>
        <v>65.790000000000006</v>
      </c>
      <c r="H34" s="18">
        <f t="shared" si="0"/>
        <v>33.22</v>
      </c>
      <c r="I34" s="18">
        <f t="shared" si="0"/>
        <v>9.6</v>
      </c>
      <c r="J34" s="18">
        <f t="shared" si="0"/>
        <v>0.16</v>
      </c>
      <c r="K34" s="18">
        <f t="shared" si="0"/>
        <v>39.08</v>
      </c>
      <c r="L34" s="18">
        <f t="shared" si="0"/>
        <v>13.41</v>
      </c>
      <c r="M34" s="18">
        <f t="shared" si="0"/>
        <v>24.92</v>
      </c>
      <c r="N34" s="18">
        <f t="shared" si="0"/>
        <v>1</v>
      </c>
      <c r="O34" s="18">
        <f t="shared" si="0"/>
        <v>0</v>
      </c>
      <c r="P34" s="18">
        <f t="shared" si="0"/>
        <v>0.77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40.270000000000003</v>
      </c>
      <c r="C35" s="3">
        <f t="shared" si="1"/>
        <v>34.9</v>
      </c>
      <c r="D35" s="3">
        <f t="shared" si="1"/>
        <v>47.92</v>
      </c>
      <c r="E35" s="3">
        <f t="shared" si="1"/>
        <v>27.8</v>
      </c>
      <c r="F35" s="3">
        <f t="shared" si="1"/>
        <v>7.18</v>
      </c>
      <c r="G35" s="3">
        <f t="shared" si="1"/>
        <v>165.48</v>
      </c>
      <c r="H35" s="3">
        <f t="shared" si="1"/>
        <v>67.53</v>
      </c>
      <c r="I35" s="3">
        <f t="shared" si="1"/>
        <v>17.149999999999999</v>
      </c>
      <c r="J35" s="3">
        <f t="shared" si="1"/>
        <v>0.73</v>
      </c>
      <c r="K35" s="3">
        <f t="shared" si="1"/>
        <v>344.98</v>
      </c>
      <c r="L35" s="3">
        <f t="shared" si="1"/>
        <v>29.15</v>
      </c>
      <c r="M35" s="3">
        <f t="shared" si="1"/>
        <v>98.96</v>
      </c>
      <c r="N35" s="3">
        <f t="shared" si="1"/>
        <v>452.1</v>
      </c>
      <c r="O35" s="3">
        <f t="shared" si="1"/>
        <v>0</v>
      </c>
      <c r="P35" s="3">
        <f t="shared" si="1"/>
        <v>1.46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21.362083333333331</v>
      </c>
      <c r="C36" s="18">
        <f t="shared" si="2"/>
        <v>29.673333333333328</v>
      </c>
      <c r="D36" s="18">
        <f t="shared" si="2"/>
        <v>33.799999999999997</v>
      </c>
      <c r="E36" s="18">
        <f t="shared" si="2"/>
        <v>12.012916666666669</v>
      </c>
      <c r="F36" s="18">
        <f t="shared" si="2"/>
        <v>4.9995833333333337</v>
      </c>
      <c r="G36" s="18">
        <f t="shared" si="2"/>
        <v>118.90833333333335</v>
      </c>
      <c r="H36" s="18">
        <f t="shared" si="2"/>
        <v>44.172499999999992</v>
      </c>
      <c r="I36" s="18">
        <f t="shared" si="2"/>
        <v>13.623750000000001</v>
      </c>
      <c r="J36" s="18">
        <f t="shared" si="2"/>
        <v>0.38250000000000006</v>
      </c>
      <c r="K36" s="18">
        <f t="shared" si="2"/>
        <v>181.01791666666668</v>
      </c>
      <c r="L36" s="18">
        <f t="shared" si="2"/>
        <v>20.313333333333333</v>
      </c>
      <c r="M36" s="18">
        <f t="shared" si="2"/>
        <v>62.360416666666659</v>
      </c>
      <c r="N36" s="18">
        <f t="shared" si="2"/>
        <v>115.06666666666665</v>
      </c>
      <c r="O36" s="18">
        <f t="shared" si="2"/>
        <v>0</v>
      </c>
      <c r="P36" s="18">
        <f t="shared" si="2"/>
        <v>1.1537500000000001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13.232300723137158</v>
      </c>
      <c r="C37" s="18">
        <f t="shared" ref="C37:Q37" si="3">STDEV(C9:C32)</f>
        <v>2.9482517541412747</v>
      </c>
      <c r="D37" s="18">
        <f t="shared" si="3"/>
        <v>11.132516805951058</v>
      </c>
      <c r="E37" s="18">
        <f t="shared" si="3"/>
        <v>4.9086609164571149</v>
      </c>
      <c r="F37" s="18">
        <f t="shared" si="3"/>
        <v>1.1846242448343141</v>
      </c>
      <c r="G37" s="18">
        <f t="shared" si="3"/>
        <v>33.976711674791062</v>
      </c>
      <c r="H37" s="18">
        <f t="shared" si="3"/>
        <v>10.427476767614053</v>
      </c>
      <c r="I37" s="18">
        <f t="shared" si="3"/>
        <v>2.6134265571401056</v>
      </c>
      <c r="J37" s="18">
        <f t="shared" si="3"/>
        <v>0.21738065191292197</v>
      </c>
      <c r="K37" s="18">
        <f t="shared" si="3"/>
        <v>75.673945259403339</v>
      </c>
      <c r="L37" s="18">
        <f t="shared" si="3"/>
        <v>5.7817656898869378</v>
      </c>
      <c r="M37" s="18">
        <f t="shared" si="3"/>
        <v>26.924987340704579</v>
      </c>
      <c r="N37" s="18">
        <f t="shared" si="3"/>
        <v>174.33946063995921</v>
      </c>
      <c r="O37" s="18">
        <f t="shared" si="3"/>
        <v>0</v>
      </c>
      <c r="P37" s="18">
        <f t="shared" si="3"/>
        <v>0.23582994057066806</v>
      </c>
      <c r="Q37" s="18" t="e">
        <f t="shared" si="3"/>
        <v>#DIV/0!</v>
      </c>
      <c r="R37" s="18"/>
      <c r="S37" s="18"/>
      <c r="T37" s="18"/>
      <c r="U37" s="18"/>
    </row>
    <row r="38" spans="1:21">
      <c r="A38" s="34" t="s">
        <v>52</v>
      </c>
      <c r="B38" s="34">
        <f t="shared" ref="B38:P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>COUNT(Q9:Q32)+24</f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96"/>
  <sheetViews>
    <sheetView zoomScale="85" zoomScaleNormal="85" workbookViewId="0">
      <pane xSplit="1" ySplit="8" topLeftCell="B15" activePane="bottomRight" state="frozen"/>
      <selection activeCell="G19" sqref="G19"/>
      <selection pane="topRight" activeCell="G19" sqref="G19"/>
      <selection pane="bottomLeft" activeCell="G19" sqref="G19"/>
      <selection pane="bottomRight" activeCell="T28" sqref="T28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20/01/2025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517</v>
      </c>
      <c r="B9" s="40">
        <v>22.65</v>
      </c>
      <c r="C9" s="40">
        <v>27.66</v>
      </c>
      <c r="D9" s="40">
        <v>33.97</v>
      </c>
      <c r="E9" s="40">
        <v>8.6300000000000008</v>
      </c>
      <c r="F9" s="42">
        <v>4.29</v>
      </c>
      <c r="G9" s="40">
        <v>106.64</v>
      </c>
      <c r="H9" s="40">
        <v>36.770000000000003</v>
      </c>
      <c r="I9" s="40">
        <v>13.97</v>
      </c>
      <c r="J9" s="40">
        <v>0.6</v>
      </c>
      <c r="K9" s="40">
        <v>170.96</v>
      </c>
      <c r="L9" s="40">
        <v>15.38</v>
      </c>
      <c r="M9" s="40">
        <v>75.959999999999994</v>
      </c>
      <c r="N9" s="40">
        <v>0.9</v>
      </c>
      <c r="O9" s="40">
        <v>0</v>
      </c>
      <c r="P9" s="40">
        <v>1.2</v>
      </c>
      <c r="Q9" s="27" t="s">
        <v>8</v>
      </c>
      <c r="R9" s="38"/>
      <c r="S9" s="38"/>
      <c r="T9" s="38"/>
      <c r="U9" s="38"/>
    </row>
    <row r="10" spans="1:21" customFormat="1">
      <c r="A10" s="39" t="s">
        <v>518</v>
      </c>
      <c r="B10" s="40">
        <v>32.6</v>
      </c>
      <c r="C10" s="40">
        <v>29.94</v>
      </c>
      <c r="D10" s="40">
        <v>43.13</v>
      </c>
      <c r="E10" s="40">
        <v>8.9</v>
      </c>
      <c r="F10" s="42">
        <v>4.1900000000000004</v>
      </c>
      <c r="G10" s="40">
        <v>127.32</v>
      </c>
      <c r="H10" s="40">
        <v>37.380000000000003</v>
      </c>
      <c r="I10" s="40">
        <v>14.93</v>
      </c>
      <c r="J10" s="40">
        <v>0.28999999999999998</v>
      </c>
      <c r="K10" s="40">
        <v>213.02</v>
      </c>
      <c r="L10" s="40">
        <v>15.86</v>
      </c>
      <c r="M10" s="40">
        <v>80.489999999999995</v>
      </c>
      <c r="N10" s="40">
        <v>1.6</v>
      </c>
      <c r="O10" s="40">
        <v>0</v>
      </c>
      <c r="P10" s="40">
        <v>1.31</v>
      </c>
      <c r="Q10" s="27" t="s">
        <v>8</v>
      </c>
      <c r="R10" s="38"/>
      <c r="S10" s="38"/>
      <c r="T10" s="38"/>
      <c r="U10" s="38"/>
    </row>
    <row r="11" spans="1:21" customFormat="1">
      <c r="A11" s="39" t="s">
        <v>519</v>
      </c>
      <c r="B11" s="40">
        <v>37.82</v>
      </c>
      <c r="C11" s="40">
        <v>29.62</v>
      </c>
      <c r="D11" s="40">
        <v>46.78</v>
      </c>
      <c r="E11" s="40">
        <v>9.27</v>
      </c>
      <c r="F11" s="42">
        <v>4.2300000000000004</v>
      </c>
      <c r="G11" s="40">
        <v>132.03</v>
      </c>
      <c r="H11" s="40">
        <v>39.369999999999997</v>
      </c>
      <c r="I11" s="40">
        <v>16.13</v>
      </c>
      <c r="J11" s="40">
        <v>0.19</v>
      </c>
      <c r="K11" s="40">
        <v>173.35</v>
      </c>
      <c r="L11" s="40">
        <v>14.27</v>
      </c>
      <c r="M11" s="40">
        <v>89.86</v>
      </c>
      <c r="N11" s="40">
        <v>1.3</v>
      </c>
      <c r="O11" s="40">
        <v>0</v>
      </c>
      <c r="P11" s="40">
        <v>1.41</v>
      </c>
      <c r="Q11" s="27" t="s">
        <v>8</v>
      </c>
      <c r="R11" s="38"/>
      <c r="S11" s="38"/>
      <c r="T11" s="38"/>
      <c r="U11" s="38"/>
    </row>
    <row r="12" spans="1:21" customFormat="1">
      <c r="A12" s="39" t="s">
        <v>520</v>
      </c>
      <c r="B12" s="40">
        <v>40.76</v>
      </c>
      <c r="C12" s="40">
        <v>28.38</v>
      </c>
      <c r="D12" s="40">
        <v>48.3</v>
      </c>
      <c r="E12" s="40">
        <v>9</v>
      </c>
      <c r="F12" s="42">
        <v>4.26</v>
      </c>
      <c r="G12" s="40">
        <v>132.62</v>
      </c>
      <c r="H12" s="40">
        <v>42.84</v>
      </c>
      <c r="I12" s="40">
        <v>17.21</v>
      </c>
      <c r="J12" s="40">
        <v>0.23</v>
      </c>
      <c r="K12" s="40">
        <v>179.81</v>
      </c>
      <c r="L12" s="40">
        <v>13.33</v>
      </c>
      <c r="M12" s="40">
        <v>91.59</v>
      </c>
      <c r="N12" s="40">
        <v>1.3</v>
      </c>
      <c r="O12" s="40">
        <v>0</v>
      </c>
      <c r="P12" s="40">
        <v>1.48</v>
      </c>
      <c r="Q12" s="27" t="s">
        <v>8</v>
      </c>
      <c r="R12" s="38"/>
      <c r="S12" s="38"/>
      <c r="T12" s="38"/>
      <c r="U12" s="38"/>
    </row>
    <row r="13" spans="1:21" customFormat="1">
      <c r="A13" s="39" t="s">
        <v>521</v>
      </c>
      <c r="B13" s="40">
        <v>43.68</v>
      </c>
      <c r="C13" s="40">
        <v>27.09</v>
      </c>
      <c r="D13" s="40">
        <v>50.18</v>
      </c>
      <c r="E13" s="40">
        <v>8.6999999999999993</v>
      </c>
      <c r="F13" s="42">
        <v>4.0999999999999996</v>
      </c>
      <c r="G13" s="40">
        <v>142.62</v>
      </c>
      <c r="H13" s="40">
        <v>42.84</v>
      </c>
      <c r="I13" s="40">
        <v>17.66</v>
      </c>
      <c r="J13" s="40">
        <v>0.21</v>
      </c>
      <c r="K13" s="40">
        <v>226.86</v>
      </c>
      <c r="L13" s="40">
        <v>12.98</v>
      </c>
      <c r="M13" s="40">
        <v>99.72</v>
      </c>
      <c r="N13" s="40">
        <v>1.2</v>
      </c>
      <c r="O13" s="40">
        <v>0</v>
      </c>
      <c r="P13" s="40">
        <v>1.51</v>
      </c>
      <c r="Q13" s="27" t="s">
        <v>8</v>
      </c>
      <c r="R13" s="38"/>
      <c r="S13" s="38"/>
      <c r="T13" s="38"/>
      <c r="U13" s="38"/>
    </row>
    <row r="14" spans="1:21" customFormat="1">
      <c r="A14" s="39" t="s">
        <v>522</v>
      </c>
      <c r="B14" s="40">
        <v>43.95</v>
      </c>
      <c r="C14" s="40">
        <v>26.07</v>
      </c>
      <c r="D14" s="40">
        <v>50.21</v>
      </c>
      <c r="E14" s="40">
        <v>8.94</v>
      </c>
      <c r="F14" s="42">
        <v>4.01</v>
      </c>
      <c r="G14" s="40">
        <v>142.62</v>
      </c>
      <c r="H14" s="40">
        <v>39.68</v>
      </c>
      <c r="I14" s="40">
        <v>17.79</v>
      </c>
      <c r="J14" s="40">
        <v>0.2</v>
      </c>
      <c r="K14" s="40">
        <v>183.81</v>
      </c>
      <c r="L14" s="40">
        <v>12.13</v>
      </c>
      <c r="M14" s="40">
        <v>96.89</v>
      </c>
      <c r="N14" s="40">
        <v>1</v>
      </c>
      <c r="O14" s="40">
        <v>0</v>
      </c>
      <c r="P14" s="40">
        <v>1.5</v>
      </c>
      <c r="Q14" s="27" t="s">
        <v>8</v>
      </c>
      <c r="R14" s="38"/>
      <c r="S14" s="38"/>
      <c r="T14" s="38"/>
      <c r="U14" s="38"/>
    </row>
    <row r="15" spans="1:21" customFormat="1">
      <c r="A15" s="39" t="s">
        <v>523</v>
      </c>
      <c r="B15" s="40">
        <v>41.63</v>
      </c>
      <c r="C15" s="40">
        <v>24.33</v>
      </c>
      <c r="D15" s="40">
        <v>47.45</v>
      </c>
      <c r="E15" s="40">
        <v>8.98</v>
      </c>
      <c r="F15" s="42">
        <v>3.92</v>
      </c>
      <c r="G15" s="40">
        <v>139.07</v>
      </c>
      <c r="H15" s="40">
        <v>36.49</v>
      </c>
      <c r="I15" s="40">
        <v>17.649999999999999</v>
      </c>
      <c r="J15" s="40">
        <v>0.2</v>
      </c>
      <c r="K15" s="40">
        <v>221.82</v>
      </c>
      <c r="L15" s="40">
        <v>11.72</v>
      </c>
      <c r="M15" s="40">
        <v>94.46</v>
      </c>
      <c r="N15" s="40">
        <v>6.5</v>
      </c>
      <c r="O15" s="40">
        <v>0</v>
      </c>
      <c r="P15" s="40">
        <v>1.46</v>
      </c>
      <c r="Q15" s="27" t="s">
        <v>8</v>
      </c>
      <c r="R15" s="38"/>
      <c r="S15" s="38"/>
      <c r="T15" s="38"/>
      <c r="U15" s="38"/>
    </row>
    <row r="16" spans="1:21" customFormat="1">
      <c r="A16" s="39" t="s">
        <v>524</v>
      </c>
      <c r="B16" s="40">
        <v>39.78</v>
      </c>
      <c r="C16" s="40">
        <v>23.31</v>
      </c>
      <c r="D16" s="40">
        <v>45.4</v>
      </c>
      <c r="E16" s="40">
        <v>8.3699999999999992</v>
      </c>
      <c r="F16" s="42">
        <v>4.0599999999999996</v>
      </c>
      <c r="G16" s="40">
        <v>139.07</v>
      </c>
      <c r="H16" s="40">
        <v>36.49</v>
      </c>
      <c r="I16" s="40">
        <v>17.47</v>
      </c>
      <c r="J16" s="40">
        <v>0.14000000000000001</v>
      </c>
      <c r="K16" s="40">
        <v>219.08</v>
      </c>
      <c r="L16" s="40">
        <v>13.45</v>
      </c>
      <c r="M16" s="40">
        <v>94.61</v>
      </c>
      <c r="N16" s="40">
        <v>34.200000000000003</v>
      </c>
      <c r="O16" s="40">
        <v>0</v>
      </c>
      <c r="P16" s="40">
        <v>1.42</v>
      </c>
      <c r="Q16" s="27" t="s">
        <v>8</v>
      </c>
      <c r="R16" s="38"/>
      <c r="S16" s="38"/>
      <c r="T16" s="38"/>
      <c r="U16" s="38"/>
    </row>
    <row r="17" spans="1:21" customFormat="1">
      <c r="A17" s="39" t="s">
        <v>525</v>
      </c>
      <c r="B17" s="40">
        <v>36.25</v>
      </c>
      <c r="C17" s="40">
        <v>25.93</v>
      </c>
      <c r="D17" s="40">
        <v>42.9</v>
      </c>
      <c r="E17" s="40">
        <v>8.9499999999999993</v>
      </c>
      <c r="F17" s="42">
        <v>4.47</v>
      </c>
      <c r="G17" s="40">
        <v>130.22</v>
      </c>
      <c r="H17" s="40">
        <v>35.71</v>
      </c>
      <c r="I17" s="40">
        <v>17.37</v>
      </c>
      <c r="J17" s="40">
        <v>0.19</v>
      </c>
      <c r="K17" s="40">
        <v>249.55</v>
      </c>
      <c r="L17" s="40">
        <v>20.18</v>
      </c>
      <c r="M17" s="40">
        <v>76.069999999999993</v>
      </c>
      <c r="N17" s="40">
        <v>236.3</v>
      </c>
      <c r="O17" s="40">
        <v>0</v>
      </c>
      <c r="P17" s="40">
        <v>1.42</v>
      </c>
      <c r="Q17" s="27" t="s">
        <v>8</v>
      </c>
      <c r="R17" s="38"/>
      <c r="S17" s="38"/>
      <c r="T17" s="38"/>
      <c r="U17" s="38"/>
    </row>
    <row r="18" spans="1:21" customFormat="1">
      <c r="A18" s="39" t="s">
        <v>526</v>
      </c>
      <c r="B18" s="40">
        <v>28.6</v>
      </c>
      <c r="C18" s="40">
        <v>29.61</v>
      </c>
      <c r="D18" s="40">
        <v>38.22</v>
      </c>
      <c r="E18" s="40">
        <v>9.1300000000000008</v>
      </c>
      <c r="F18" s="42">
        <v>4.6500000000000004</v>
      </c>
      <c r="G18" s="40">
        <v>128.31</v>
      </c>
      <c r="H18" s="40">
        <v>37.44</v>
      </c>
      <c r="I18" s="40">
        <v>16.95</v>
      </c>
      <c r="J18" s="40">
        <v>0.75</v>
      </c>
      <c r="K18" s="40">
        <v>58.79</v>
      </c>
      <c r="L18" s="40">
        <v>23.48</v>
      </c>
      <c r="M18" s="40">
        <v>39.28</v>
      </c>
      <c r="N18" s="40">
        <v>334.4</v>
      </c>
      <c r="O18" s="40">
        <v>0</v>
      </c>
      <c r="P18" s="40">
        <v>1.32</v>
      </c>
      <c r="Q18" s="27" t="s">
        <v>8</v>
      </c>
      <c r="R18" s="38"/>
      <c r="S18" s="38"/>
      <c r="T18" s="38"/>
      <c r="U18" s="38"/>
    </row>
    <row r="19" spans="1:21" customFormat="1">
      <c r="A19" s="39" t="s">
        <v>527</v>
      </c>
      <c r="B19" s="40">
        <v>21.45</v>
      </c>
      <c r="C19" s="40">
        <v>29.99</v>
      </c>
      <c r="D19" s="40">
        <v>34.22</v>
      </c>
      <c r="E19" s="40">
        <v>9.41</v>
      </c>
      <c r="F19" s="42">
        <v>5.07</v>
      </c>
      <c r="G19" s="40">
        <v>106.53</v>
      </c>
      <c r="H19" s="40">
        <v>37.44</v>
      </c>
      <c r="I19" s="40">
        <v>15.52</v>
      </c>
      <c r="J19" s="40">
        <v>0.73</v>
      </c>
      <c r="K19" s="40">
        <v>94.03</v>
      </c>
      <c r="L19" s="40">
        <v>25.85</v>
      </c>
      <c r="M19" s="40">
        <v>34.57</v>
      </c>
      <c r="N19" s="40">
        <v>427.6</v>
      </c>
      <c r="O19" s="40">
        <v>0</v>
      </c>
      <c r="P19" s="40">
        <v>1.2</v>
      </c>
      <c r="Q19" s="27" t="s">
        <v>8</v>
      </c>
      <c r="R19" s="38"/>
      <c r="S19" s="38"/>
      <c r="T19" s="38"/>
      <c r="U19" s="38"/>
    </row>
    <row r="20" spans="1:21" customFormat="1">
      <c r="A20" s="39" t="s">
        <v>528</v>
      </c>
      <c r="B20" s="40">
        <v>16.239999999999998</v>
      </c>
      <c r="C20" s="40">
        <v>28.42</v>
      </c>
      <c r="D20" s="40">
        <v>29.22</v>
      </c>
      <c r="E20" s="40">
        <v>9.44</v>
      </c>
      <c r="F20" s="42">
        <v>5.15</v>
      </c>
      <c r="G20" s="40">
        <v>90.05</v>
      </c>
      <c r="H20" s="40">
        <v>36.53</v>
      </c>
      <c r="I20" s="40">
        <v>13.98</v>
      </c>
      <c r="J20" s="40">
        <v>0.62</v>
      </c>
      <c r="K20" s="40">
        <v>333.23</v>
      </c>
      <c r="L20" s="40">
        <v>27.22</v>
      </c>
      <c r="M20" s="40">
        <v>32.119999999999997</v>
      </c>
      <c r="N20" s="40">
        <v>446</v>
      </c>
      <c r="O20" s="40">
        <v>0</v>
      </c>
      <c r="P20" s="40">
        <v>1.05</v>
      </c>
      <c r="Q20" s="27" t="s">
        <v>8</v>
      </c>
      <c r="R20" s="38"/>
      <c r="S20" s="38"/>
      <c r="T20" s="38"/>
      <c r="U20" s="38"/>
    </row>
    <row r="21" spans="1:21" customFormat="1">
      <c r="A21" s="39" t="s">
        <v>529</v>
      </c>
      <c r="B21" s="40">
        <v>12.16</v>
      </c>
      <c r="C21" s="40">
        <v>27.27</v>
      </c>
      <c r="D21" s="40">
        <v>25.35</v>
      </c>
      <c r="E21" s="40">
        <v>9.64</v>
      </c>
      <c r="F21" s="42">
        <v>5.94</v>
      </c>
      <c r="G21" s="40">
        <v>76.94</v>
      </c>
      <c r="H21" s="40">
        <v>34.06</v>
      </c>
      <c r="I21" s="40">
        <v>12.81</v>
      </c>
      <c r="J21" s="40">
        <v>0.89</v>
      </c>
      <c r="K21" s="40">
        <v>58.31</v>
      </c>
      <c r="L21" s="40">
        <v>28.26</v>
      </c>
      <c r="M21" s="40">
        <v>27.5</v>
      </c>
      <c r="N21" s="40">
        <v>464.9</v>
      </c>
      <c r="O21" s="40">
        <v>0</v>
      </c>
      <c r="P21" s="40">
        <v>0.95</v>
      </c>
      <c r="Q21" s="27" t="s">
        <v>8</v>
      </c>
      <c r="R21" s="38"/>
      <c r="S21" s="38"/>
      <c r="T21" s="38"/>
      <c r="U21" s="38"/>
    </row>
    <row r="22" spans="1:21" customFormat="1">
      <c r="A22" s="39" t="s">
        <v>530</v>
      </c>
      <c r="B22" s="40">
        <v>8.3800000000000008</v>
      </c>
      <c r="C22" s="40">
        <v>26.34</v>
      </c>
      <c r="D22" s="40">
        <v>21.83</v>
      </c>
      <c r="E22" s="40">
        <v>9.52</v>
      </c>
      <c r="F22" s="42">
        <v>7.16</v>
      </c>
      <c r="G22" s="40">
        <v>64.09</v>
      </c>
      <c r="H22" s="40">
        <v>32.51</v>
      </c>
      <c r="I22" s="40">
        <v>11.81</v>
      </c>
      <c r="J22" s="40">
        <v>0.77</v>
      </c>
      <c r="K22" s="40">
        <v>357.36</v>
      </c>
      <c r="L22" s="40">
        <v>28.81</v>
      </c>
      <c r="M22" s="40">
        <v>25.43</v>
      </c>
      <c r="N22" s="40">
        <v>453</v>
      </c>
      <c r="O22" s="40">
        <v>0</v>
      </c>
      <c r="P22" s="40">
        <v>0.86</v>
      </c>
      <c r="Q22" s="27" t="s">
        <v>8</v>
      </c>
      <c r="R22" s="38"/>
      <c r="S22" s="38"/>
      <c r="T22" s="38"/>
      <c r="U22" s="38"/>
    </row>
    <row r="23" spans="1:21" customFormat="1">
      <c r="A23" s="39" t="s">
        <v>531</v>
      </c>
      <c r="B23" s="40">
        <v>6.31</v>
      </c>
      <c r="C23" s="40">
        <v>24.78</v>
      </c>
      <c r="D23" s="40">
        <v>19.36</v>
      </c>
      <c r="E23" s="40">
        <v>12.78</v>
      </c>
      <c r="F23" s="42">
        <v>6.56</v>
      </c>
      <c r="G23" s="40">
        <v>52.76</v>
      </c>
      <c r="H23" s="40">
        <v>32.49</v>
      </c>
      <c r="I23" s="40">
        <v>10.75</v>
      </c>
      <c r="J23" s="40">
        <v>0.74</v>
      </c>
      <c r="K23" s="40">
        <v>321.77</v>
      </c>
      <c r="L23" s="40">
        <v>29.32</v>
      </c>
      <c r="M23" s="40">
        <v>25.02</v>
      </c>
      <c r="N23" s="40">
        <v>366.2</v>
      </c>
      <c r="O23" s="40">
        <v>0</v>
      </c>
      <c r="P23" s="40">
        <v>0.75</v>
      </c>
      <c r="Q23" s="27" t="s">
        <v>8</v>
      </c>
      <c r="R23" s="38"/>
      <c r="S23" s="38"/>
      <c r="T23" s="38"/>
      <c r="U23" s="38"/>
    </row>
    <row r="24" spans="1:21" customFormat="1">
      <c r="A24" s="39" t="s">
        <v>532</v>
      </c>
      <c r="B24" s="40">
        <v>5.5</v>
      </c>
      <c r="C24" s="40">
        <v>25.8</v>
      </c>
      <c r="D24" s="40">
        <v>18.440000000000001</v>
      </c>
      <c r="E24" s="40">
        <v>20.329999999999998</v>
      </c>
      <c r="F24" s="42">
        <v>6.36</v>
      </c>
      <c r="G24" s="40">
        <v>48.8</v>
      </c>
      <c r="H24" s="40">
        <v>28.25</v>
      </c>
      <c r="I24" s="40">
        <v>9.89</v>
      </c>
      <c r="J24" s="40">
        <v>0.44</v>
      </c>
      <c r="K24" s="40">
        <v>348.68</v>
      </c>
      <c r="L24" s="40">
        <v>28.56</v>
      </c>
      <c r="M24" s="40">
        <v>25.09</v>
      </c>
      <c r="N24" s="40">
        <v>47.9</v>
      </c>
      <c r="O24" s="40">
        <v>0</v>
      </c>
      <c r="P24" s="40">
        <v>0.76</v>
      </c>
      <c r="Q24" s="27" t="s">
        <v>8</v>
      </c>
      <c r="R24" s="38"/>
      <c r="S24" s="38"/>
      <c r="T24" s="38"/>
      <c r="U24" s="38"/>
    </row>
    <row r="25" spans="1:21" customFormat="1">
      <c r="A25" s="39" t="s">
        <v>533</v>
      </c>
      <c r="B25" s="40">
        <v>4.84</v>
      </c>
      <c r="C25" s="40">
        <v>28.49</v>
      </c>
      <c r="D25" s="40">
        <v>20.12</v>
      </c>
      <c r="E25" s="40">
        <v>20.36</v>
      </c>
      <c r="F25" s="42">
        <v>6.89</v>
      </c>
      <c r="G25" s="40">
        <v>60.9</v>
      </c>
      <c r="H25" s="40">
        <v>34.65</v>
      </c>
      <c r="I25" s="40">
        <v>9.0299999999999994</v>
      </c>
      <c r="J25" s="40">
        <v>0.83</v>
      </c>
      <c r="K25" s="40">
        <v>44.19</v>
      </c>
      <c r="L25" s="40">
        <v>28.51</v>
      </c>
      <c r="M25" s="40">
        <v>26.53</v>
      </c>
      <c r="N25" s="40">
        <v>35.299999999999997</v>
      </c>
      <c r="O25" s="40">
        <v>0</v>
      </c>
      <c r="P25" s="40">
        <v>0.79</v>
      </c>
      <c r="Q25" s="27" t="s">
        <v>8</v>
      </c>
      <c r="R25" s="38"/>
      <c r="S25" s="38"/>
      <c r="T25" s="38"/>
      <c r="U25" s="38"/>
    </row>
    <row r="26" spans="1:21" customFormat="1">
      <c r="A26" s="39" t="s">
        <v>534</v>
      </c>
      <c r="B26" s="40">
        <v>7.04</v>
      </c>
      <c r="C26" s="40">
        <v>31.92</v>
      </c>
      <c r="D26" s="40">
        <v>23.68</v>
      </c>
      <c r="E26" s="40">
        <v>18.3</v>
      </c>
      <c r="F26" s="42">
        <v>5.94</v>
      </c>
      <c r="G26" s="40">
        <v>74.150000000000006</v>
      </c>
      <c r="H26" s="40">
        <v>34.65</v>
      </c>
      <c r="I26" s="40">
        <v>8.8800000000000008</v>
      </c>
      <c r="J26" s="40">
        <v>0.49</v>
      </c>
      <c r="K26" s="40">
        <v>164.39</v>
      </c>
      <c r="L26" s="40">
        <v>26.89</v>
      </c>
      <c r="M26" s="40">
        <v>40.07</v>
      </c>
      <c r="N26" s="40">
        <v>13.3</v>
      </c>
      <c r="O26" s="40">
        <v>0</v>
      </c>
      <c r="P26" s="40">
        <v>0.8</v>
      </c>
      <c r="Q26" s="27" t="s">
        <v>8</v>
      </c>
      <c r="R26" s="38"/>
      <c r="S26" s="38"/>
      <c r="T26" s="38"/>
      <c r="U26" s="38"/>
    </row>
    <row r="27" spans="1:21" customFormat="1">
      <c r="A27" s="39" t="s">
        <v>535</v>
      </c>
      <c r="B27" s="40">
        <v>8.64</v>
      </c>
      <c r="C27" s="40">
        <v>32.26</v>
      </c>
      <c r="D27" s="40">
        <v>24.87</v>
      </c>
      <c r="E27" s="40">
        <v>9.6999999999999993</v>
      </c>
      <c r="F27" s="42">
        <v>5.46</v>
      </c>
      <c r="G27" s="40">
        <v>87.97</v>
      </c>
      <c r="H27" s="40">
        <v>32.78</v>
      </c>
      <c r="I27" s="40">
        <v>8.94</v>
      </c>
      <c r="J27" s="40">
        <v>0.27</v>
      </c>
      <c r="K27" s="40">
        <v>180.86</v>
      </c>
      <c r="L27" s="40">
        <v>22.64</v>
      </c>
      <c r="M27" s="40">
        <v>57.76</v>
      </c>
      <c r="N27" s="40">
        <v>1.9</v>
      </c>
      <c r="O27" s="40">
        <v>0</v>
      </c>
      <c r="P27" s="40">
        <v>0.82</v>
      </c>
      <c r="Q27" s="27" t="s">
        <v>8</v>
      </c>
      <c r="R27" s="38"/>
      <c r="S27" s="38"/>
      <c r="T27" s="38"/>
      <c r="U27" s="38"/>
    </row>
    <row r="28" spans="1:21" customFormat="1">
      <c r="A28" s="39" t="s">
        <v>536</v>
      </c>
      <c r="B28" s="40">
        <v>8.6300000000000008</v>
      </c>
      <c r="C28" s="40">
        <v>31.51</v>
      </c>
      <c r="D28" s="40">
        <v>24.74</v>
      </c>
      <c r="E28" s="40">
        <v>9.42</v>
      </c>
      <c r="F28" s="42">
        <v>4.59</v>
      </c>
      <c r="G28" s="40">
        <v>90.05</v>
      </c>
      <c r="H28" s="40">
        <v>32.78</v>
      </c>
      <c r="I28" s="40">
        <v>9.68</v>
      </c>
      <c r="J28" s="40">
        <v>0.27</v>
      </c>
      <c r="K28" s="40">
        <v>182.98</v>
      </c>
      <c r="L28" s="40">
        <v>19.760000000000002</v>
      </c>
      <c r="M28" s="40">
        <v>66.19</v>
      </c>
      <c r="N28" s="40">
        <v>1.4</v>
      </c>
      <c r="O28" s="40">
        <v>0</v>
      </c>
      <c r="P28" s="40">
        <v>0.85</v>
      </c>
      <c r="Q28" s="27" t="s">
        <v>8</v>
      </c>
      <c r="R28" s="38"/>
      <c r="S28" s="38"/>
      <c r="T28" s="38"/>
      <c r="U28" s="38"/>
    </row>
    <row r="29" spans="1:21" customFormat="1">
      <c r="A29" s="39" t="s">
        <v>537</v>
      </c>
      <c r="B29" s="40">
        <v>9.2100000000000009</v>
      </c>
      <c r="C29" s="40">
        <v>29.24</v>
      </c>
      <c r="D29" s="40">
        <v>23.53</v>
      </c>
      <c r="E29" s="40">
        <v>9.32</v>
      </c>
      <c r="F29" s="42">
        <v>4.16</v>
      </c>
      <c r="G29" s="40">
        <v>90.05</v>
      </c>
      <c r="H29" s="40">
        <v>27.89</v>
      </c>
      <c r="I29" s="40">
        <v>10.220000000000001</v>
      </c>
      <c r="J29" s="40">
        <v>0.28999999999999998</v>
      </c>
      <c r="K29" s="40">
        <v>217.33</v>
      </c>
      <c r="L29" s="40">
        <v>18.559999999999999</v>
      </c>
      <c r="M29" s="40">
        <v>70.75</v>
      </c>
      <c r="N29" s="40">
        <v>1.4</v>
      </c>
      <c r="O29" s="40">
        <v>0</v>
      </c>
      <c r="P29" s="40">
        <v>0.86</v>
      </c>
      <c r="Q29" s="27" t="s">
        <v>8</v>
      </c>
      <c r="R29" s="38"/>
      <c r="S29" s="38"/>
      <c r="T29" s="38"/>
      <c r="U29" s="38"/>
    </row>
    <row r="30" spans="1:21" customFormat="1">
      <c r="A30" s="39" t="s">
        <v>538</v>
      </c>
      <c r="B30" s="40">
        <v>10.37</v>
      </c>
      <c r="C30" s="40">
        <v>27.9</v>
      </c>
      <c r="D30" s="40">
        <v>23.97</v>
      </c>
      <c r="E30" s="40">
        <v>9.5</v>
      </c>
      <c r="F30" s="42">
        <v>4.26</v>
      </c>
      <c r="G30" s="40">
        <v>78.180000000000007</v>
      </c>
      <c r="H30" s="40">
        <v>26.7</v>
      </c>
      <c r="I30" s="40">
        <v>10.89</v>
      </c>
      <c r="J30" s="40">
        <v>0.24</v>
      </c>
      <c r="K30" s="40">
        <v>224.18</v>
      </c>
      <c r="L30" s="40">
        <v>17.54</v>
      </c>
      <c r="M30" s="40">
        <v>72.75</v>
      </c>
      <c r="N30" s="40">
        <v>1.4</v>
      </c>
      <c r="O30" s="40">
        <v>0</v>
      </c>
      <c r="P30" s="40">
        <v>0.88</v>
      </c>
      <c r="Q30" s="27" t="s">
        <v>8</v>
      </c>
      <c r="R30" s="38"/>
      <c r="S30" s="38"/>
      <c r="T30" s="38"/>
      <c r="U30" s="38"/>
    </row>
    <row r="31" spans="1:21" customFormat="1">
      <c r="A31" s="39" t="s">
        <v>539</v>
      </c>
      <c r="B31" s="40">
        <v>12.79</v>
      </c>
      <c r="C31" s="40">
        <v>27.33</v>
      </c>
      <c r="D31" s="40">
        <v>25.85</v>
      </c>
      <c r="E31" s="40">
        <v>9.32</v>
      </c>
      <c r="F31" s="42">
        <v>4.2</v>
      </c>
      <c r="G31" s="40">
        <v>86.77</v>
      </c>
      <c r="H31" s="40">
        <v>25.47</v>
      </c>
      <c r="I31" s="40">
        <v>11.39</v>
      </c>
      <c r="J31" s="40">
        <v>0.18</v>
      </c>
      <c r="K31" s="40">
        <v>198.69</v>
      </c>
      <c r="L31" s="40">
        <v>16.87</v>
      </c>
      <c r="M31" s="40">
        <v>76.91</v>
      </c>
      <c r="N31" s="40">
        <v>1.3</v>
      </c>
      <c r="O31" s="40">
        <v>0</v>
      </c>
      <c r="P31" s="40">
        <v>0.98</v>
      </c>
      <c r="Q31" s="27" t="s">
        <v>8</v>
      </c>
      <c r="R31" s="38"/>
      <c r="S31" s="38"/>
      <c r="T31" s="38"/>
      <c r="U31" s="38"/>
    </row>
    <row r="32" spans="1:21" customFormat="1">
      <c r="A32" s="39" t="s">
        <v>540</v>
      </c>
      <c r="B32" s="40">
        <v>16.32</v>
      </c>
      <c r="C32" s="40">
        <v>27.44</v>
      </c>
      <c r="D32" s="40">
        <v>28.69</v>
      </c>
      <c r="E32" s="40">
        <v>9.16</v>
      </c>
      <c r="F32" s="42">
        <v>4.01</v>
      </c>
      <c r="G32" s="40">
        <v>98.08</v>
      </c>
      <c r="H32" s="40">
        <v>28.48</v>
      </c>
      <c r="I32" s="40">
        <v>13.1</v>
      </c>
      <c r="J32" s="40">
        <v>0.24</v>
      </c>
      <c r="K32" s="40">
        <v>198.48</v>
      </c>
      <c r="L32" s="40">
        <v>16.34</v>
      </c>
      <c r="M32" s="40">
        <v>79.540000000000006</v>
      </c>
      <c r="N32" s="40">
        <v>1.3</v>
      </c>
      <c r="O32" s="40">
        <v>0</v>
      </c>
      <c r="P32" s="40">
        <v>1.08</v>
      </c>
      <c r="Q32" s="27" t="s">
        <v>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4.84</v>
      </c>
      <c r="C34" s="18">
        <f t="shared" si="0"/>
        <v>23.31</v>
      </c>
      <c r="D34" s="18">
        <f t="shared" si="0"/>
        <v>18.440000000000001</v>
      </c>
      <c r="E34" s="18">
        <f t="shared" si="0"/>
        <v>8.3699999999999992</v>
      </c>
      <c r="F34" s="18">
        <f t="shared" si="0"/>
        <v>3.92</v>
      </c>
      <c r="G34" s="18">
        <f t="shared" si="0"/>
        <v>48.8</v>
      </c>
      <c r="H34" s="18">
        <f t="shared" si="0"/>
        <v>25.47</v>
      </c>
      <c r="I34" s="18">
        <f t="shared" si="0"/>
        <v>8.8800000000000008</v>
      </c>
      <c r="J34" s="18">
        <f t="shared" si="0"/>
        <v>0.14000000000000001</v>
      </c>
      <c r="K34" s="18">
        <f t="shared" si="0"/>
        <v>44.19</v>
      </c>
      <c r="L34" s="18">
        <f t="shared" si="0"/>
        <v>11.72</v>
      </c>
      <c r="M34" s="18">
        <f t="shared" si="0"/>
        <v>25.02</v>
      </c>
      <c r="N34" s="18">
        <f t="shared" si="0"/>
        <v>0.9</v>
      </c>
      <c r="O34" s="18">
        <f t="shared" si="0"/>
        <v>0</v>
      </c>
      <c r="P34" s="18">
        <f t="shared" si="0"/>
        <v>0.75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43.95</v>
      </c>
      <c r="C35" s="3">
        <f t="shared" si="1"/>
        <v>32.26</v>
      </c>
      <c r="D35" s="3">
        <f t="shared" si="1"/>
        <v>50.21</v>
      </c>
      <c r="E35" s="3">
        <f t="shared" si="1"/>
        <v>20.36</v>
      </c>
      <c r="F35" s="3">
        <f t="shared" si="1"/>
        <v>7.16</v>
      </c>
      <c r="G35" s="3">
        <f t="shared" si="1"/>
        <v>142.62</v>
      </c>
      <c r="H35" s="3">
        <f t="shared" si="1"/>
        <v>42.84</v>
      </c>
      <c r="I35" s="3">
        <f t="shared" si="1"/>
        <v>17.79</v>
      </c>
      <c r="J35" s="3">
        <f t="shared" si="1"/>
        <v>0.89</v>
      </c>
      <c r="K35" s="3">
        <f t="shared" si="1"/>
        <v>357.36</v>
      </c>
      <c r="L35" s="3">
        <f t="shared" si="1"/>
        <v>29.32</v>
      </c>
      <c r="M35" s="3">
        <f t="shared" si="1"/>
        <v>99.72</v>
      </c>
      <c r="N35" s="3">
        <f t="shared" si="1"/>
        <v>464.9</v>
      </c>
      <c r="O35" s="3">
        <f t="shared" si="1"/>
        <v>0</v>
      </c>
      <c r="P35" s="3">
        <f t="shared" si="1"/>
        <v>1.51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21.483333333333334</v>
      </c>
      <c r="C36" s="18">
        <f t="shared" si="2"/>
        <v>27.942916666666672</v>
      </c>
      <c r="D36" s="18">
        <f t="shared" si="2"/>
        <v>32.933750000000011</v>
      </c>
      <c r="E36" s="18">
        <f t="shared" si="2"/>
        <v>10.627916666666666</v>
      </c>
      <c r="F36" s="18">
        <f t="shared" si="2"/>
        <v>4.9137500000000003</v>
      </c>
      <c r="G36" s="18">
        <f t="shared" si="2"/>
        <v>101.07666666666667</v>
      </c>
      <c r="H36" s="18">
        <f t="shared" si="2"/>
        <v>34.570416666666667</v>
      </c>
      <c r="I36" s="18">
        <f t="shared" si="2"/>
        <v>13.500833333333334</v>
      </c>
      <c r="J36" s="18">
        <f t="shared" si="2"/>
        <v>0.41666666666666657</v>
      </c>
      <c r="K36" s="18">
        <f t="shared" si="2"/>
        <v>200.89708333333331</v>
      </c>
      <c r="L36" s="18">
        <f t="shared" si="2"/>
        <v>20.329583333333328</v>
      </c>
      <c r="M36" s="18">
        <f t="shared" si="2"/>
        <v>62.465000000000003</v>
      </c>
      <c r="N36" s="18">
        <f t="shared" si="2"/>
        <v>120.06666666666672</v>
      </c>
      <c r="O36" s="18">
        <f t="shared" si="2"/>
        <v>0</v>
      </c>
      <c r="P36" s="18">
        <f t="shared" si="2"/>
        <v>1.1108333333333336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14.346906852415396</v>
      </c>
      <c r="C37" s="18">
        <f t="shared" ref="C37:Q37" si="3">STDEV(C9:C32)</f>
        <v>2.3264312643051013</v>
      </c>
      <c r="D37" s="18">
        <f t="shared" si="3"/>
        <v>11.095830322399378</v>
      </c>
      <c r="E37" s="18">
        <f t="shared" si="3"/>
        <v>3.5965732231216117</v>
      </c>
      <c r="F37" s="18">
        <f t="shared" si="3"/>
        <v>1.0201057596492451</v>
      </c>
      <c r="G37" s="18">
        <f t="shared" si="3"/>
        <v>30.405793307635719</v>
      </c>
      <c r="H37" s="18">
        <f t="shared" si="3"/>
        <v>4.7057443888956847</v>
      </c>
      <c r="I37" s="18">
        <f t="shared" si="3"/>
        <v>3.2680986583301976</v>
      </c>
      <c r="J37" s="18">
        <f t="shared" si="3"/>
        <v>0.25183960849278092</v>
      </c>
      <c r="K37" s="18">
        <f t="shared" si="3"/>
        <v>84.486232039111982</v>
      </c>
      <c r="L37" s="18">
        <f t="shared" si="3"/>
        <v>6.2505217028637778</v>
      </c>
      <c r="M37" s="18">
        <f t="shared" si="3"/>
        <v>27.23011791636478</v>
      </c>
      <c r="N37" s="18">
        <f t="shared" si="3"/>
        <v>182.23605014105874</v>
      </c>
      <c r="O37" s="18">
        <f t="shared" si="3"/>
        <v>0</v>
      </c>
      <c r="P37" s="18">
        <f t="shared" si="3"/>
        <v>0.27828538161963878</v>
      </c>
      <c r="Q37" s="18" t="e">
        <f t="shared" si="3"/>
        <v>#DIV/0!</v>
      </c>
      <c r="R37" s="18"/>
      <c r="S37" s="18"/>
      <c r="T37" s="18"/>
      <c r="U37" s="18"/>
    </row>
    <row r="38" spans="1:21">
      <c r="A38" s="34" t="s">
        <v>52</v>
      </c>
      <c r="B38" s="34">
        <f t="shared" ref="B38:P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>COUNT(Q9:Q32)+24</f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96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H24" sqref="H2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21/01/2025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541</v>
      </c>
      <c r="B9" s="40">
        <v>15.91</v>
      </c>
      <c r="C9" s="40">
        <v>27.25</v>
      </c>
      <c r="D9" s="40">
        <v>28.34</v>
      </c>
      <c r="E9" s="40">
        <v>9.18</v>
      </c>
      <c r="F9" s="42">
        <v>4</v>
      </c>
      <c r="G9" s="40">
        <v>98.08</v>
      </c>
      <c r="H9" s="40">
        <v>28.48</v>
      </c>
      <c r="I9" s="40">
        <v>13.79</v>
      </c>
      <c r="J9" s="40">
        <v>0.24</v>
      </c>
      <c r="K9" s="40">
        <v>170.19</v>
      </c>
      <c r="L9" s="40">
        <v>15.88</v>
      </c>
      <c r="M9" s="40">
        <v>80.92</v>
      </c>
      <c r="N9" s="40">
        <v>1.3</v>
      </c>
      <c r="O9" s="40">
        <v>0</v>
      </c>
      <c r="P9" s="40">
        <v>1.1100000000000001</v>
      </c>
      <c r="Q9" s="28" t="s">
        <v>15</v>
      </c>
      <c r="R9" s="38"/>
      <c r="S9" s="38"/>
      <c r="T9" s="38"/>
      <c r="U9" s="38"/>
    </row>
    <row r="10" spans="1:21" customFormat="1">
      <c r="A10" s="39" t="s">
        <v>542</v>
      </c>
      <c r="B10" s="40">
        <v>18.25</v>
      </c>
      <c r="C10" s="40">
        <v>26.61</v>
      </c>
      <c r="D10" s="40">
        <v>29.72</v>
      </c>
      <c r="E10" s="40">
        <v>9.16</v>
      </c>
      <c r="F10" s="42">
        <v>3.86</v>
      </c>
      <c r="G10" s="40">
        <v>93.41</v>
      </c>
      <c r="H10" s="40">
        <v>28.14</v>
      </c>
      <c r="I10" s="40">
        <v>14.18</v>
      </c>
      <c r="J10" s="40">
        <v>0.22</v>
      </c>
      <c r="K10" s="40">
        <v>202.63</v>
      </c>
      <c r="L10" s="40">
        <v>15.55</v>
      </c>
      <c r="M10" s="40">
        <v>85.48</v>
      </c>
      <c r="N10" s="40">
        <v>1.5</v>
      </c>
      <c r="O10" s="40">
        <v>0</v>
      </c>
      <c r="P10" s="40">
        <v>1.1399999999999999</v>
      </c>
      <c r="Q10" s="28" t="s">
        <v>15</v>
      </c>
      <c r="R10" s="38"/>
      <c r="S10" s="38"/>
      <c r="T10" s="38"/>
      <c r="U10" s="38"/>
    </row>
    <row r="11" spans="1:21" customFormat="1">
      <c r="A11" s="39" t="s">
        <v>543</v>
      </c>
      <c r="B11" s="40">
        <v>24.91</v>
      </c>
      <c r="C11" s="40">
        <v>26.55</v>
      </c>
      <c r="D11" s="40">
        <v>35.130000000000003</v>
      </c>
      <c r="E11" s="40">
        <v>8.75</v>
      </c>
      <c r="F11" s="42">
        <v>3.82</v>
      </c>
      <c r="G11" s="40">
        <v>89.19</v>
      </c>
      <c r="H11" s="40">
        <v>28.48</v>
      </c>
      <c r="I11" s="40">
        <v>14.48</v>
      </c>
      <c r="J11" s="40">
        <v>0.26</v>
      </c>
      <c r="K11" s="40">
        <v>207.06</v>
      </c>
      <c r="L11" s="40">
        <v>14.92</v>
      </c>
      <c r="M11" s="40">
        <v>87.8</v>
      </c>
      <c r="N11" s="40">
        <v>1.4</v>
      </c>
      <c r="O11" s="40">
        <v>0</v>
      </c>
      <c r="P11" s="40">
        <v>1.1599999999999999</v>
      </c>
      <c r="Q11" s="28" t="s">
        <v>15</v>
      </c>
      <c r="R11" s="38"/>
      <c r="S11" s="38"/>
      <c r="T11" s="38"/>
      <c r="U11" s="38"/>
    </row>
    <row r="12" spans="1:21" customFormat="1">
      <c r="A12" s="39" t="s">
        <v>544</v>
      </c>
      <c r="B12" s="40">
        <v>25.66</v>
      </c>
      <c r="C12" s="40">
        <v>26.14</v>
      </c>
      <c r="D12" s="40">
        <v>35.590000000000003</v>
      </c>
      <c r="E12" s="40">
        <v>8.81</v>
      </c>
      <c r="F12" s="42">
        <v>3.83</v>
      </c>
      <c r="G12" s="40">
        <v>87.33</v>
      </c>
      <c r="H12" s="40">
        <v>28.48</v>
      </c>
      <c r="I12" s="40">
        <v>14.59</v>
      </c>
      <c r="J12" s="40">
        <v>0.19</v>
      </c>
      <c r="K12" s="40">
        <v>214.57</v>
      </c>
      <c r="L12" s="40">
        <v>14.07</v>
      </c>
      <c r="M12" s="40">
        <v>87.24</v>
      </c>
      <c r="N12" s="40">
        <v>1.2</v>
      </c>
      <c r="O12" s="40">
        <v>0</v>
      </c>
      <c r="P12" s="40">
        <v>1.1599999999999999</v>
      </c>
      <c r="Q12" s="28" t="s">
        <v>15</v>
      </c>
      <c r="R12" s="38"/>
      <c r="S12" s="38"/>
      <c r="T12" s="38"/>
      <c r="U12" s="38"/>
    </row>
    <row r="13" spans="1:21" customFormat="1">
      <c r="A13" s="39" t="s">
        <v>545</v>
      </c>
      <c r="B13" s="40">
        <v>23.93</v>
      </c>
      <c r="C13" s="40">
        <v>25.35</v>
      </c>
      <c r="D13" s="40">
        <v>33.79</v>
      </c>
      <c r="E13" s="40">
        <v>8.7799999999999994</v>
      </c>
      <c r="F13" s="42">
        <v>3.86</v>
      </c>
      <c r="G13" s="40">
        <v>85.43</v>
      </c>
      <c r="H13" s="40">
        <v>27.15</v>
      </c>
      <c r="I13" s="40">
        <v>14.38</v>
      </c>
      <c r="J13" s="40">
        <v>0.19</v>
      </c>
      <c r="K13" s="40">
        <v>205.43</v>
      </c>
      <c r="L13" s="40">
        <v>13.59</v>
      </c>
      <c r="M13" s="40">
        <v>89.69</v>
      </c>
      <c r="N13" s="40">
        <v>1.4</v>
      </c>
      <c r="O13" s="40">
        <v>0</v>
      </c>
      <c r="P13" s="40">
        <v>1.1100000000000001</v>
      </c>
      <c r="Q13" s="28" t="s">
        <v>15</v>
      </c>
      <c r="R13" s="38"/>
      <c r="S13" s="38"/>
      <c r="T13" s="38"/>
      <c r="U13" s="38"/>
    </row>
    <row r="14" spans="1:21" customFormat="1">
      <c r="A14" s="39" t="s">
        <v>546</v>
      </c>
      <c r="B14" s="40">
        <v>22.63</v>
      </c>
      <c r="C14" s="40">
        <v>24.52</v>
      </c>
      <c r="D14" s="40">
        <v>32.299999999999997</v>
      </c>
      <c r="E14" s="40">
        <v>8.84</v>
      </c>
      <c r="F14" s="42">
        <v>4.1500000000000004</v>
      </c>
      <c r="G14" s="40">
        <v>75.2</v>
      </c>
      <c r="H14" s="40">
        <v>26.35</v>
      </c>
      <c r="I14" s="40">
        <v>13.91</v>
      </c>
      <c r="J14" s="40">
        <v>0.23</v>
      </c>
      <c r="K14" s="40">
        <v>212.29</v>
      </c>
      <c r="L14" s="40">
        <v>13.6</v>
      </c>
      <c r="M14" s="40">
        <v>102.18</v>
      </c>
      <c r="N14" s="40">
        <v>1.4</v>
      </c>
      <c r="O14" s="40">
        <v>0</v>
      </c>
      <c r="P14" s="40">
        <v>1.08</v>
      </c>
      <c r="Q14" s="28" t="s">
        <v>15</v>
      </c>
      <c r="R14" s="38"/>
      <c r="S14" s="38"/>
      <c r="T14" s="38"/>
      <c r="U14" s="38"/>
    </row>
    <row r="15" spans="1:21" customFormat="1">
      <c r="A15" s="39" t="s">
        <v>547</v>
      </c>
      <c r="B15" s="40">
        <v>20.34</v>
      </c>
      <c r="C15" s="40">
        <v>24.03</v>
      </c>
      <c r="D15" s="40">
        <v>30.13</v>
      </c>
      <c r="E15" s="40">
        <v>8.34</v>
      </c>
      <c r="F15" s="42">
        <v>4.17</v>
      </c>
      <c r="G15" s="40">
        <v>77.319999999999993</v>
      </c>
      <c r="H15" s="40">
        <v>26.35</v>
      </c>
      <c r="I15" s="40">
        <v>13.61</v>
      </c>
      <c r="J15" s="40">
        <v>0.25</v>
      </c>
      <c r="K15" s="40">
        <v>182.37</v>
      </c>
      <c r="L15" s="40">
        <v>12.98</v>
      </c>
      <c r="M15" s="40">
        <v>102.62</v>
      </c>
      <c r="N15" s="40">
        <v>6.7</v>
      </c>
      <c r="O15" s="40">
        <v>0</v>
      </c>
      <c r="P15" s="40">
        <v>1.05</v>
      </c>
      <c r="Q15" s="28" t="s">
        <v>15</v>
      </c>
      <c r="R15" s="38"/>
      <c r="S15" s="38"/>
      <c r="T15" s="38"/>
      <c r="U15" s="38"/>
    </row>
    <row r="16" spans="1:21" customFormat="1">
      <c r="A16" s="39" t="s">
        <v>548</v>
      </c>
      <c r="B16" s="40">
        <v>18.2</v>
      </c>
      <c r="C16" s="40">
        <v>23.91</v>
      </c>
      <c r="D16" s="40">
        <v>28.4</v>
      </c>
      <c r="E16" s="40">
        <v>8.36</v>
      </c>
      <c r="F16" s="42">
        <v>4.03</v>
      </c>
      <c r="G16" s="40">
        <v>81.47</v>
      </c>
      <c r="H16" s="40">
        <v>25.75</v>
      </c>
      <c r="I16" s="40">
        <v>13.57</v>
      </c>
      <c r="J16" s="40">
        <v>0.15</v>
      </c>
      <c r="K16" s="40">
        <v>208.32</v>
      </c>
      <c r="L16" s="40">
        <v>14.96</v>
      </c>
      <c r="M16" s="40">
        <v>90.36</v>
      </c>
      <c r="N16" s="40">
        <v>37.5</v>
      </c>
      <c r="O16" s="40">
        <v>0</v>
      </c>
      <c r="P16" s="40">
        <v>1.06</v>
      </c>
      <c r="Q16" s="28" t="s">
        <v>15</v>
      </c>
      <c r="R16" s="38"/>
      <c r="S16" s="38"/>
      <c r="T16" s="38"/>
      <c r="U16" s="38"/>
    </row>
    <row r="17" spans="1:21" customFormat="1">
      <c r="A17" s="39" t="s">
        <v>549</v>
      </c>
      <c r="B17" s="40">
        <v>16.77</v>
      </c>
      <c r="C17" s="40">
        <v>28.06</v>
      </c>
      <c r="D17" s="40">
        <v>28.2</v>
      </c>
      <c r="E17" s="40">
        <v>8.59</v>
      </c>
      <c r="F17" s="42">
        <v>4.01</v>
      </c>
      <c r="G17" s="40">
        <v>96.61</v>
      </c>
      <c r="H17" s="40">
        <v>28.63</v>
      </c>
      <c r="I17" s="40">
        <v>14.08</v>
      </c>
      <c r="J17" s="40">
        <v>0.54</v>
      </c>
      <c r="K17" s="40">
        <v>209.97</v>
      </c>
      <c r="L17" s="40">
        <v>21.14</v>
      </c>
      <c r="M17" s="40">
        <v>77.680000000000007</v>
      </c>
      <c r="N17" s="40">
        <v>204.6</v>
      </c>
      <c r="O17" s="40">
        <v>0</v>
      </c>
      <c r="P17" s="40">
        <v>1.1299999999999999</v>
      </c>
      <c r="Q17" s="28" t="s">
        <v>15</v>
      </c>
      <c r="R17" s="38"/>
      <c r="S17" s="38"/>
      <c r="T17" s="38"/>
      <c r="U17" s="38"/>
    </row>
    <row r="18" spans="1:21" customFormat="1">
      <c r="A18" s="39" t="s">
        <v>550</v>
      </c>
      <c r="B18" s="40">
        <v>14.63</v>
      </c>
      <c r="C18" s="40">
        <v>29.88</v>
      </c>
      <c r="D18" s="40">
        <v>28.42</v>
      </c>
      <c r="E18" s="40">
        <v>9.4600000000000009</v>
      </c>
      <c r="F18" s="42">
        <v>4.4000000000000004</v>
      </c>
      <c r="G18" s="40">
        <v>107.92</v>
      </c>
      <c r="H18" s="40">
        <v>36.64</v>
      </c>
      <c r="I18" s="40">
        <v>14.35</v>
      </c>
      <c r="J18" s="40">
        <v>1.6</v>
      </c>
      <c r="K18" s="40">
        <v>61.55</v>
      </c>
      <c r="L18" s="40">
        <v>23.66</v>
      </c>
      <c r="M18" s="40">
        <v>54</v>
      </c>
      <c r="N18" s="40">
        <v>327</v>
      </c>
      <c r="O18" s="40">
        <v>0</v>
      </c>
      <c r="P18" s="40">
        <v>1.1200000000000001</v>
      </c>
      <c r="Q18" s="28" t="s">
        <v>15</v>
      </c>
      <c r="R18" s="38"/>
      <c r="S18" s="38"/>
      <c r="T18" s="38"/>
      <c r="U18" s="38"/>
    </row>
    <row r="19" spans="1:21" customFormat="1">
      <c r="A19" s="39" t="s">
        <v>551</v>
      </c>
      <c r="B19" s="40">
        <v>13.09</v>
      </c>
      <c r="C19" s="40">
        <v>30.32</v>
      </c>
      <c r="D19" s="40">
        <v>27.69</v>
      </c>
      <c r="E19" s="40">
        <v>12.51</v>
      </c>
      <c r="F19" s="42">
        <v>4.76</v>
      </c>
      <c r="G19" s="40">
        <v>107.92</v>
      </c>
      <c r="H19" s="40">
        <v>36.64</v>
      </c>
      <c r="I19" s="40">
        <v>13.81</v>
      </c>
      <c r="J19" s="40">
        <v>1.1100000000000001</v>
      </c>
      <c r="K19" s="40">
        <v>52.72</v>
      </c>
      <c r="L19" s="40">
        <v>25.75</v>
      </c>
      <c r="M19" s="40">
        <v>47.92</v>
      </c>
      <c r="N19" s="40">
        <v>402.6</v>
      </c>
      <c r="O19" s="40">
        <v>0</v>
      </c>
      <c r="P19" s="40">
        <v>1.06</v>
      </c>
      <c r="Q19" s="28" t="s">
        <v>15</v>
      </c>
      <c r="R19" s="38"/>
      <c r="S19" s="38"/>
      <c r="T19" s="38"/>
      <c r="U19" s="38"/>
    </row>
    <row r="20" spans="1:21" customFormat="1">
      <c r="A20" s="39" t="s">
        <v>552</v>
      </c>
      <c r="B20" s="40">
        <v>13.08</v>
      </c>
      <c r="C20" s="40">
        <v>33.19</v>
      </c>
      <c r="D20" s="40">
        <v>28.31</v>
      </c>
      <c r="E20" s="40">
        <v>14</v>
      </c>
      <c r="F20" s="42">
        <v>5.13</v>
      </c>
      <c r="G20" s="40">
        <v>93.36</v>
      </c>
      <c r="H20" s="40">
        <v>32.31</v>
      </c>
      <c r="I20" s="40">
        <v>13</v>
      </c>
      <c r="J20" s="40">
        <v>0.86</v>
      </c>
      <c r="K20" s="40">
        <v>51.17</v>
      </c>
      <c r="L20" s="40">
        <v>27.83</v>
      </c>
      <c r="M20" s="40">
        <v>40.130000000000003</v>
      </c>
      <c r="N20" s="40">
        <v>430.4</v>
      </c>
      <c r="O20" s="40">
        <v>0</v>
      </c>
      <c r="P20" s="40">
        <v>0.99</v>
      </c>
      <c r="Q20" s="28" t="s">
        <v>15</v>
      </c>
      <c r="R20" s="38"/>
      <c r="S20" s="38"/>
      <c r="T20" s="38"/>
      <c r="U20" s="38"/>
    </row>
    <row r="21" spans="1:21" customFormat="1">
      <c r="A21" s="39" t="s">
        <v>553</v>
      </c>
      <c r="B21" s="40">
        <v>9.9700000000000006</v>
      </c>
      <c r="C21" s="40">
        <v>33.39</v>
      </c>
      <c r="D21" s="40">
        <v>26.79</v>
      </c>
      <c r="E21" s="40">
        <v>11.49</v>
      </c>
      <c r="F21" s="42">
        <v>6.54</v>
      </c>
      <c r="G21" s="40">
        <v>75.12</v>
      </c>
      <c r="H21" s="40">
        <v>30.25</v>
      </c>
      <c r="I21" s="40">
        <v>11.57</v>
      </c>
      <c r="J21" s="40">
        <v>0.59</v>
      </c>
      <c r="K21" s="40">
        <v>334.99</v>
      </c>
      <c r="L21" s="40">
        <v>29.24</v>
      </c>
      <c r="M21" s="40">
        <v>34.090000000000003</v>
      </c>
      <c r="N21" s="40">
        <v>450.9</v>
      </c>
      <c r="O21" s="40">
        <v>0</v>
      </c>
      <c r="P21" s="40">
        <v>0.89</v>
      </c>
      <c r="Q21" s="28" t="s">
        <v>15</v>
      </c>
      <c r="R21" s="38"/>
      <c r="S21" s="38"/>
      <c r="T21" s="38"/>
      <c r="U21" s="38"/>
    </row>
    <row r="22" spans="1:21" customFormat="1">
      <c r="A22" s="39" t="s">
        <v>554</v>
      </c>
      <c r="B22" s="40">
        <v>5</v>
      </c>
      <c r="C22" s="40">
        <v>32.17</v>
      </c>
      <c r="D22" s="40">
        <v>22.17</v>
      </c>
      <c r="E22" s="40">
        <v>11.24</v>
      </c>
      <c r="F22" s="42">
        <v>6.86</v>
      </c>
      <c r="G22" s="40">
        <v>66.260000000000005</v>
      </c>
      <c r="H22" s="40">
        <v>28.84</v>
      </c>
      <c r="I22" s="40">
        <v>10.4</v>
      </c>
      <c r="J22" s="40">
        <v>0.72</v>
      </c>
      <c r="K22" s="40">
        <v>307.12</v>
      </c>
      <c r="L22" s="40">
        <v>29.63</v>
      </c>
      <c r="M22" s="40">
        <v>29.84</v>
      </c>
      <c r="N22" s="40">
        <v>432.7</v>
      </c>
      <c r="O22" s="40">
        <v>0</v>
      </c>
      <c r="P22" s="40">
        <v>0.79</v>
      </c>
      <c r="Q22" s="28" t="s">
        <v>15</v>
      </c>
      <c r="R22" s="38"/>
      <c r="S22" s="38"/>
      <c r="T22" s="38"/>
      <c r="U22" s="38"/>
    </row>
    <row r="23" spans="1:21" customFormat="1">
      <c r="A23" s="39" t="s">
        <v>555</v>
      </c>
      <c r="B23" s="40">
        <v>3.67</v>
      </c>
      <c r="C23" s="40">
        <v>28.75</v>
      </c>
      <c r="D23" s="40">
        <v>19.32</v>
      </c>
      <c r="E23" s="40">
        <v>21.28</v>
      </c>
      <c r="F23" s="42">
        <v>7.56</v>
      </c>
      <c r="G23" s="40">
        <v>58.62</v>
      </c>
      <c r="H23" s="40">
        <v>28.84</v>
      </c>
      <c r="I23" s="40">
        <v>9.2200000000000006</v>
      </c>
      <c r="J23" s="40">
        <v>0.44</v>
      </c>
      <c r="K23" s="40">
        <v>45.73</v>
      </c>
      <c r="L23" s="40">
        <v>30.2</v>
      </c>
      <c r="M23" s="40">
        <v>30.61</v>
      </c>
      <c r="N23" s="40">
        <v>350.7</v>
      </c>
      <c r="O23" s="40">
        <v>0</v>
      </c>
      <c r="P23" s="40">
        <v>0.72</v>
      </c>
      <c r="Q23" s="28" t="s">
        <v>15</v>
      </c>
      <c r="R23" s="38"/>
      <c r="S23" s="38"/>
      <c r="T23" s="38"/>
      <c r="U23" s="38"/>
    </row>
    <row r="24" spans="1:21" customFormat="1">
      <c r="A24" s="39" t="s">
        <v>556</v>
      </c>
      <c r="B24" s="40">
        <v>3.81</v>
      </c>
      <c r="C24" s="40">
        <v>29.85</v>
      </c>
      <c r="D24" s="40">
        <v>20.010000000000002</v>
      </c>
      <c r="E24" s="40">
        <v>32</v>
      </c>
      <c r="F24" s="42">
        <v>9.01</v>
      </c>
      <c r="G24" s="40">
        <v>63.87</v>
      </c>
      <c r="H24" s="40">
        <v>27.69</v>
      </c>
      <c r="I24" s="40">
        <v>9.08</v>
      </c>
      <c r="J24" s="40">
        <v>0.81</v>
      </c>
      <c r="K24" s="40">
        <v>48.17</v>
      </c>
      <c r="L24" s="40">
        <v>29.29</v>
      </c>
      <c r="M24" s="40">
        <v>30.58</v>
      </c>
      <c r="N24" s="40">
        <v>56.5</v>
      </c>
      <c r="O24" s="40">
        <v>0</v>
      </c>
      <c r="P24" s="40">
        <v>0.78</v>
      </c>
      <c r="Q24" s="28" t="s">
        <v>15</v>
      </c>
      <c r="R24" s="38"/>
      <c r="S24" s="38"/>
      <c r="T24" s="38"/>
      <c r="U24" s="38"/>
    </row>
    <row r="25" spans="1:21" customFormat="1">
      <c r="A25" s="39" t="s">
        <v>557</v>
      </c>
      <c r="B25" s="40">
        <v>5.19</v>
      </c>
      <c r="C25" s="40">
        <v>30.57</v>
      </c>
      <c r="D25" s="40">
        <v>21.48</v>
      </c>
      <c r="E25" s="40">
        <v>48.85</v>
      </c>
      <c r="F25" s="42">
        <v>10.02</v>
      </c>
      <c r="G25" s="40">
        <v>80.95</v>
      </c>
      <c r="H25" s="40">
        <v>28.28</v>
      </c>
      <c r="I25" s="40">
        <v>9.67</v>
      </c>
      <c r="J25" s="40">
        <v>0.67</v>
      </c>
      <c r="K25" s="40">
        <v>38.409999999999997</v>
      </c>
      <c r="L25" s="40">
        <v>28.87</v>
      </c>
      <c r="M25" s="40">
        <v>31.12</v>
      </c>
      <c r="N25" s="40">
        <v>37.9</v>
      </c>
      <c r="O25" s="40">
        <v>0</v>
      </c>
      <c r="P25" s="40">
        <v>0.81</v>
      </c>
      <c r="Q25" s="28" t="s">
        <v>15</v>
      </c>
      <c r="R25" s="38"/>
      <c r="S25" s="38"/>
      <c r="T25" s="38"/>
      <c r="U25" s="38"/>
    </row>
    <row r="26" spans="1:21" customFormat="1">
      <c r="A26" s="39" t="s">
        <v>558</v>
      </c>
      <c r="B26" s="40">
        <v>8.0500000000000007</v>
      </c>
      <c r="C26" s="40">
        <v>31.41</v>
      </c>
      <c r="D26" s="40">
        <v>24.22</v>
      </c>
      <c r="E26" s="40">
        <v>28.91</v>
      </c>
      <c r="F26" s="42">
        <v>8.35</v>
      </c>
      <c r="G26" s="40">
        <v>109.71</v>
      </c>
      <c r="H26" s="40">
        <v>32.74</v>
      </c>
      <c r="I26" s="40">
        <v>10.23</v>
      </c>
      <c r="J26" s="40">
        <v>0.51</v>
      </c>
      <c r="K26" s="40">
        <v>63.79</v>
      </c>
      <c r="L26" s="40">
        <v>27.79</v>
      </c>
      <c r="M26" s="40">
        <v>37.950000000000003</v>
      </c>
      <c r="N26" s="40">
        <v>14.3</v>
      </c>
      <c r="O26" s="40">
        <v>0</v>
      </c>
      <c r="P26" s="40">
        <v>0.88</v>
      </c>
      <c r="Q26" s="28" t="s">
        <v>15</v>
      </c>
      <c r="R26" s="38"/>
      <c r="S26" s="38"/>
      <c r="T26" s="38"/>
      <c r="U26" s="38"/>
    </row>
    <row r="27" spans="1:21" customFormat="1">
      <c r="A27" s="39" t="s">
        <v>559</v>
      </c>
      <c r="B27" s="40">
        <v>11.28</v>
      </c>
      <c r="C27" s="40">
        <v>31.46</v>
      </c>
      <c r="D27" s="40">
        <v>26.69</v>
      </c>
      <c r="E27" s="40">
        <v>11.8</v>
      </c>
      <c r="F27" s="42">
        <v>4.49</v>
      </c>
      <c r="G27" s="40">
        <v>116.64</v>
      </c>
      <c r="H27" s="40">
        <v>32.74</v>
      </c>
      <c r="I27" s="40">
        <v>10.68</v>
      </c>
      <c r="J27" s="40">
        <v>0.28999999999999998</v>
      </c>
      <c r="K27" s="40">
        <v>160.31</v>
      </c>
      <c r="L27" s="40">
        <v>24.52</v>
      </c>
      <c r="M27" s="40">
        <v>53.21</v>
      </c>
      <c r="N27" s="40">
        <v>2.2999999999999998</v>
      </c>
      <c r="O27" s="40">
        <v>0</v>
      </c>
      <c r="P27" s="40">
        <v>0.93</v>
      </c>
      <c r="Q27" s="28" t="s">
        <v>15</v>
      </c>
      <c r="R27" s="38"/>
      <c r="S27" s="38"/>
      <c r="T27" s="38"/>
      <c r="U27" s="38"/>
    </row>
    <row r="28" spans="1:21" customFormat="1">
      <c r="A28" s="39" t="s">
        <v>560</v>
      </c>
      <c r="B28" s="40">
        <v>12.33</v>
      </c>
      <c r="C28" s="40">
        <v>31.07</v>
      </c>
      <c r="D28" s="40">
        <v>27.3</v>
      </c>
      <c r="E28" s="40">
        <v>11.63</v>
      </c>
      <c r="F28" s="42">
        <v>4.1900000000000004</v>
      </c>
      <c r="G28" s="40">
        <v>127.63</v>
      </c>
      <c r="H28" s="40">
        <v>35.92</v>
      </c>
      <c r="I28" s="40">
        <v>11.33</v>
      </c>
      <c r="J28" s="40">
        <v>0.28000000000000003</v>
      </c>
      <c r="K28" s="40">
        <v>200.58</v>
      </c>
      <c r="L28" s="40">
        <v>21.6</v>
      </c>
      <c r="M28" s="40">
        <v>64.08</v>
      </c>
      <c r="N28" s="40">
        <v>2.1</v>
      </c>
      <c r="O28" s="40">
        <v>0</v>
      </c>
      <c r="P28" s="40">
        <v>1.01</v>
      </c>
      <c r="Q28" s="28" t="s">
        <v>15</v>
      </c>
      <c r="R28" s="38"/>
      <c r="S28" s="38"/>
      <c r="T28" s="38"/>
      <c r="U28" s="38"/>
    </row>
    <row r="29" spans="1:21" customFormat="1">
      <c r="A29" s="39" t="s">
        <v>561</v>
      </c>
      <c r="B29" s="40">
        <v>12.57</v>
      </c>
      <c r="C29" s="40">
        <v>30.57</v>
      </c>
      <c r="D29" s="40">
        <v>27.36</v>
      </c>
      <c r="E29" s="40">
        <v>10.97</v>
      </c>
      <c r="F29" s="42">
        <v>3.79</v>
      </c>
      <c r="G29" s="40">
        <v>127.63</v>
      </c>
      <c r="H29" s="40">
        <v>35.92</v>
      </c>
      <c r="I29" s="40">
        <v>12.07</v>
      </c>
      <c r="J29" s="40">
        <v>0.22</v>
      </c>
      <c r="K29" s="40">
        <v>231.17</v>
      </c>
      <c r="L29" s="40">
        <v>19.28</v>
      </c>
      <c r="M29" s="40">
        <v>72.92</v>
      </c>
      <c r="N29" s="40">
        <v>1.5</v>
      </c>
      <c r="O29" s="40">
        <v>0</v>
      </c>
      <c r="P29" s="40">
        <v>1.07</v>
      </c>
      <c r="Q29" s="28" t="s">
        <v>15</v>
      </c>
      <c r="R29" s="38"/>
      <c r="S29" s="38"/>
      <c r="T29" s="38"/>
      <c r="U29" s="38"/>
    </row>
    <row r="30" spans="1:21" customFormat="1">
      <c r="A30" s="39" t="s">
        <v>562</v>
      </c>
      <c r="B30" s="40">
        <v>12.04</v>
      </c>
      <c r="C30" s="40">
        <v>28.61</v>
      </c>
      <c r="D30" s="40">
        <v>25.91</v>
      </c>
      <c r="E30" s="40">
        <v>10.68</v>
      </c>
      <c r="F30" s="42">
        <v>3.7</v>
      </c>
      <c r="G30" s="40">
        <v>121.61</v>
      </c>
      <c r="H30" s="40">
        <v>26.38</v>
      </c>
      <c r="I30" s="40">
        <v>12.64</v>
      </c>
      <c r="J30" s="40">
        <v>0.27</v>
      </c>
      <c r="K30" s="40">
        <v>190.9</v>
      </c>
      <c r="L30" s="40">
        <v>18.75</v>
      </c>
      <c r="M30" s="40">
        <v>75.09</v>
      </c>
      <c r="N30" s="40">
        <v>1.2</v>
      </c>
      <c r="O30" s="40">
        <v>0</v>
      </c>
      <c r="P30" s="40">
        <v>1.1200000000000001</v>
      </c>
      <c r="Q30" s="28" t="s">
        <v>15</v>
      </c>
      <c r="R30" s="38"/>
      <c r="S30" s="38"/>
      <c r="T30" s="38"/>
      <c r="U30" s="38"/>
    </row>
    <row r="31" spans="1:21" customFormat="1">
      <c r="A31" s="39" t="s">
        <v>563</v>
      </c>
      <c r="B31" s="40">
        <v>11.75</v>
      </c>
      <c r="C31" s="40">
        <v>28.26</v>
      </c>
      <c r="D31" s="40">
        <v>25.54</v>
      </c>
      <c r="E31" s="40">
        <v>10.79</v>
      </c>
      <c r="F31" s="42">
        <v>3.78</v>
      </c>
      <c r="G31" s="40">
        <v>122.92</v>
      </c>
      <c r="H31" s="40">
        <v>27.66</v>
      </c>
      <c r="I31" s="40">
        <v>13.03</v>
      </c>
      <c r="J31" s="40">
        <v>0.22</v>
      </c>
      <c r="K31" s="40">
        <v>224.71</v>
      </c>
      <c r="L31" s="40">
        <v>18.09</v>
      </c>
      <c r="M31" s="40">
        <v>79.28</v>
      </c>
      <c r="N31" s="40">
        <v>1.4</v>
      </c>
      <c r="O31" s="40">
        <v>0</v>
      </c>
      <c r="P31" s="40">
        <v>1.1399999999999999</v>
      </c>
      <c r="Q31" s="28" t="s">
        <v>15</v>
      </c>
      <c r="R31" s="38"/>
      <c r="S31" s="38"/>
      <c r="T31" s="38"/>
      <c r="U31" s="38"/>
    </row>
    <row r="32" spans="1:21" customFormat="1">
      <c r="A32" s="39" t="s">
        <v>564</v>
      </c>
      <c r="B32" s="40">
        <v>11.22</v>
      </c>
      <c r="C32" s="40">
        <v>27.47</v>
      </c>
      <c r="D32" s="40">
        <v>24.62</v>
      </c>
      <c r="E32" s="40">
        <v>10.45</v>
      </c>
      <c r="F32" s="42">
        <v>3.93</v>
      </c>
      <c r="G32" s="40">
        <v>122.92</v>
      </c>
      <c r="H32" s="40">
        <v>27.66</v>
      </c>
      <c r="I32" s="40">
        <v>13.23</v>
      </c>
      <c r="J32" s="40">
        <v>0.26</v>
      </c>
      <c r="K32" s="40">
        <v>167.95</v>
      </c>
      <c r="L32" s="40">
        <v>17.16</v>
      </c>
      <c r="M32" s="40">
        <v>82.55</v>
      </c>
      <c r="N32" s="40">
        <v>1.3</v>
      </c>
      <c r="O32" s="40">
        <v>0</v>
      </c>
      <c r="P32" s="40">
        <v>1.1599999999999999</v>
      </c>
      <c r="Q32" s="28" t="s">
        <v>15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3.67</v>
      </c>
      <c r="C34" s="18">
        <f t="shared" si="0"/>
        <v>23.91</v>
      </c>
      <c r="D34" s="18">
        <f t="shared" si="0"/>
        <v>19.32</v>
      </c>
      <c r="E34" s="18">
        <f t="shared" si="0"/>
        <v>8.34</v>
      </c>
      <c r="F34" s="18">
        <f t="shared" si="0"/>
        <v>3.7</v>
      </c>
      <c r="G34" s="18">
        <f t="shared" si="0"/>
        <v>58.62</v>
      </c>
      <c r="H34" s="18">
        <f t="shared" si="0"/>
        <v>25.75</v>
      </c>
      <c r="I34" s="18">
        <f t="shared" si="0"/>
        <v>9.08</v>
      </c>
      <c r="J34" s="18">
        <f t="shared" si="0"/>
        <v>0.15</v>
      </c>
      <c r="K34" s="18">
        <f t="shared" si="0"/>
        <v>38.409999999999997</v>
      </c>
      <c r="L34" s="18">
        <f t="shared" si="0"/>
        <v>12.98</v>
      </c>
      <c r="M34" s="18">
        <f t="shared" si="0"/>
        <v>29.84</v>
      </c>
      <c r="N34" s="18">
        <f t="shared" si="0"/>
        <v>1.2</v>
      </c>
      <c r="O34" s="18">
        <f t="shared" si="0"/>
        <v>0</v>
      </c>
      <c r="P34" s="18">
        <f t="shared" si="0"/>
        <v>0.72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25.66</v>
      </c>
      <c r="C35" s="3">
        <f t="shared" si="1"/>
        <v>33.39</v>
      </c>
      <c r="D35" s="3">
        <f t="shared" si="1"/>
        <v>35.590000000000003</v>
      </c>
      <c r="E35" s="3">
        <f t="shared" si="1"/>
        <v>48.85</v>
      </c>
      <c r="F35" s="3">
        <f t="shared" si="1"/>
        <v>10.02</v>
      </c>
      <c r="G35" s="3">
        <f t="shared" si="1"/>
        <v>127.63</v>
      </c>
      <c r="H35" s="3">
        <f t="shared" si="1"/>
        <v>36.64</v>
      </c>
      <c r="I35" s="3">
        <f t="shared" si="1"/>
        <v>14.59</v>
      </c>
      <c r="J35" s="3">
        <f t="shared" si="1"/>
        <v>1.6</v>
      </c>
      <c r="K35" s="3">
        <f t="shared" si="1"/>
        <v>334.99</v>
      </c>
      <c r="L35" s="3">
        <f t="shared" si="1"/>
        <v>30.2</v>
      </c>
      <c r="M35" s="3">
        <f t="shared" si="1"/>
        <v>102.62</v>
      </c>
      <c r="N35" s="3">
        <f t="shared" si="1"/>
        <v>450.9</v>
      </c>
      <c r="O35" s="3">
        <f t="shared" si="1"/>
        <v>0</v>
      </c>
      <c r="P35" s="3">
        <f t="shared" si="1"/>
        <v>1.1599999999999999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13.928333333333333</v>
      </c>
      <c r="C36" s="18">
        <f t="shared" si="2"/>
        <v>28.724583333333342</v>
      </c>
      <c r="D36" s="18">
        <f t="shared" si="2"/>
        <v>27.392916666666668</v>
      </c>
      <c r="E36" s="18">
        <f t="shared" si="2"/>
        <v>13.952916666666669</v>
      </c>
      <c r="F36" s="18">
        <f t="shared" si="2"/>
        <v>5.0933333333333337</v>
      </c>
      <c r="G36" s="18">
        <f t="shared" si="2"/>
        <v>95.296666666666667</v>
      </c>
      <c r="H36" s="18">
        <f t="shared" si="2"/>
        <v>29.84666666666666</v>
      </c>
      <c r="I36" s="18">
        <f t="shared" si="2"/>
        <v>12.5375</v>
      </c>
      <c r="J36" s="18">
        <f t="shared" si="2"/>
        <v>0.46333333333333332</v>
      </c>
      <c r="K36" s="18">
        <f t="shared" si="2"/>
        <v>166.33750000000001</v>
      </c>
      <c r="L36" s="18">
        <f t="shared" si="2"/>
        <v>21.181250000000002</v>
      </c>
      <c r="M36" s="18">
        <f t="shared" si="2"/>
        <v>65.305833333333325</v>
      </c>
      <c r="N36" s="18">
        <f t="shared" si="2"/>
        <v>115.40833333333335</v>
      </c>
      <c r="O36" s="18">
        <f t="shared" si="2"/>
        <v>0</v>
      </c>
      <c r="P36" s="18">
        <f t="shared" si="2"/>
        <v>1.0195833333333335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6.4837654563342735</v>
      </c>
      <c r="C37" s="18">
        <f t="shared" ref="C37:Q37" si="3">STDEV(C9:C32)</f>
        <v>2.7999658059506283</v>
      </c>
      <c r="D37" s="18">
        <f t="shared" si="3"/>
        <v>4.2512785587465221</v>
      </c>
      <c r="E37" s="18">
        <f t="shared" si="3"/>
        <v>9.6734416694309999</v>
      </c>
      <c r="F37" s="18">
        <f t="shared" si="3"/>
        <v>1.88252528516229</v>
      </c>
      <c r="G37" s="18">
        <f t="shared" si="3"/>
        <v>21.072677687648905</v>
      </c>
      <c r="H37" s="18">
        <f t="shared" si="3"/>
        <v>3.4782587681154022</v>
      </c>
      <c r="I37" s="18">
        <f t="shared" si="3"/>
        <v>1.8071939574932279</v>
      </c>
      <c r="J37" s="18">
        <f t="shared" si="3"/>
        <v>0.35384431195293981</v>
      </c>
      <c r="K37" s="18">
        <f t="shared" si="3"/>
        <v>84.213174960670671</v>
      </c>
      <c r="L37" s="18">
        <f t="shared" si="3"/>
        <v>6.1667448340129969</v>
      </c>
      <c r="M37" s="18">
        <f t="shared" si="3"/>
        <v>24.831941897600338</v>
      </c>
      <c r="N37" s="18">
        <f t="shared" si="3"/>
        <v>173.99478482106159</v>
      </c>
      <c r="O37" s="18">
        <f t="shared" si="3"/>
        <v>0</v>
      </c>
      <c r="P37" s="18">
        <f t="shared" si="3"/>
        <v>0.13772938705291135</v>
      </c>
      <c r="Q37" s="18" t="e">
        <f t="shared" si="3"/>
        <v>#DIV/0!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0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LESS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96"/>
  <sheetViews>
    <sheetView zoomScale="85" zoomScaleNormal="85" workbookViewId="0">
      <pane xSplit="1" ySplit="8" topLeftCell="B21" activePane="bottomRight" state="frozen"/>
      <selection activeCell="G19" sqref="G19"/>
      <selection pane="topRight" activeCell="G19" sqref="G19"/>
      <selection pane="bottomLeft" activeCell="G19" sqref="G19"/>
      <selection pane="bottomRight" activeCell="J25" sqref="J2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22/01/2025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565</v>
      </c>
      <c r="B9" s="40">
        <v>13.12</v>
      </c>
      <c r="C9" s="40">
        <v>27.01</v>
      </c>
      <c r="D9" s="40">
        <v>25.63</v>
      </c>
      <c r="E9" s="40">
        <v>10.43</v>
      </c>
      <c r="F9" s="42">
        <v>4.1100000000000003</v>
      </c>
      <c r="G9" s="40">
        <v>118.83</v>
      </c>
      <c r="H9" s="40">
        <v>29.06</v>
      </c>
      <c r="I9" s="40">
        <v>13.97</v>
      </c>
      <c r="J9" s="40">
        <v>0.24</v>
      </c>
      <c r="K9" s="40">
        <v>223.07</v>
      </c>
      <c r="L9" s="40">
        <v>16.72</v>
      </c>
      <c r="M9" s="40">
        <v>86.04</v>
      </c>
      <c r="N9" s="40">
        <v>1.3</v>
      </c>
      <c r="O9" s="40">
        <v>0</v>
      </c>
      <c r="P9" s="40">
        <v>1.2</v>
      </c>
      <c r="Q9" s="28" t="s">
        <v>15</v>
      </c>
      <c r="R9" s="38"/>
      <c r="S9" s="38"/>
      <c r="T9" s="38"/>
      <c r="U9" s="38"/>
    </row>
    <row r="10" spans="1:21" customFormat="1">
      <c r="A10" s="39" t="s">
        <v>566</v>
      </c>
      <c r="B10" s="40">
        <v>22.31</v>
      </c>
      <c r="C10" s="40">
        <v>27.21</v>
      </c>
      <c r="D10" s="40">
        <v>33.46</v>
      </c>
      <c r="E10" s="40">
        <v>10.92</v>
      </c>
      <c r="F10" s="42">
        <v>3.94</v>
      </c>
      <c r="G10" s="40">
        <v>109.02</v>
      </c>
      <c r="H10" s="40">
        <v>31.37</v>
      </c>
      <c r="I10" s="40">
        <v>14.39</v>
      </c>
      <c r="J10" s="40">
        <v>0.3</v>
      </c>
      <c r="K10" s="40">
        <v>178.69</v>
      </c>
      <c r="L10" s="40">
        <v>16.57</v>
      </c>
      <c r="M10" s="40">
        <v>93.8</v>
      </c>
      <c r="N10" s="40">
        <v>1.2</v>
      </c>
      <c r="O10" s="40">
        <v>0</v>
      </c>
      <c r="P10" s="40">
        <v>1.26</v>
      </c>
      <c r="Q10" s="28" t="s">
        <v>15</v>
      </c>
      <c r="R10" s="38"/>
      <c r="S10" s="38"/>
      <c r="T10" s="38"/>
      <c r="U10" s="38"/>
    </row>
    <row r="11" spans="1:21" customFormat="1">
      <c r="A11" s="39" t="s">
        <v>567</v>
      </c>
      <c r="B11" s="40">
        <v>35.5</v>
      </c>
      <c r="C11" s="40">
        <v>29.48</v>
      </c>
      <c r="D11" s="40">
        <v>45.14</v>
      </c>
      <c r="E11" s="40">
        <v>10.09</v>
      </c>
      <c r="F11" s="42">
        <v>4.01</v>
      </c>
      <c r="G11" s="40">
        <v>188.32</v>
      </c>
      <c r="H11" s="40">
        <v>31.53</v>
      </c>
      <c r="I11" s="40">
        <v>15.7</v>
      </c>
      <c r="J11" s="40">
        <v>0.21</v>
      </c>
      <c r="K11" s="40">
        <v>191.17</v>
      </c>
      <c r="L11" s="40">
        <v>16.77</v>
      </c>
      <c r="M11" s="40">
        <v>100.1</v>
      </c>
      <c r="N11" s="40">
        <v>1.7</v>
      </c>
      <c r="O11" s="40">
        <v>0</v>
      </c>
      <c r="P11" s="40">
        <v>1.4</v>
      </c>
      <c r="Q11" s="28" t="s">
        <v>15</v>
      </c>
      <c r="R11" s="38"/>
      <c r="S11" s="38"/>
      <c r="T11" s="38"/>
      <c r="U11" s="38"/>
    </row>
    <row r="12" spans="1:21" customFormat="1">
      <c r="A12" s="39" t="s">
        <v>568</v>
      </c>
      <c r="B12" s="40">
        <v>40.65</v>
      </c>
      <c r="C12" s="40">
        <v>29.22</v>
      </c>
      <c r="D12" s="40">
        <v>48.58</v>
      </c>
      <c r="E12" s="40">
        <v>9.74</v>
      </c>
      <c r="F12" s="42">
        <v>3.9</v>
      </c>
      <c r="G12" s="40">
        <v>188.32</v>
      </c>
      <c r="H12" s="40">
        <v>31.53</v>
      </c>
      <c r="I12" s="40">
        <v>16.89</v>
      </c>
      <c r="J12" s="40">
        <v>0.17</v>
      </c>
      <c r="K12" s="40">
        <v>198.39</v>
      </c>
      <c r="L12" s="40">
        <v>15.02</v>
      </c>
      <c r="M12" s="40">
        <v>101.71</v>
      </c>
      <c r="N12" s="40">
        <v>1.4</v>
      </c>
      <c r="O12" s="40">
        <v>0</v>
      </c>
      <c r="P12" s="40">
        <v>1.47</v>
      </c>
      <c r="Q12" s="28" t="s">
        <v>15</v>
      </c>
      <c r="R12" s="38"/>
      <c r="S12" s="38"/>
      <c r="T12" s="38"/>
      <c r="U12" s="38"/>
    </row>
    <row r="13" spans="1:21" customFormat="1">
      <c r="A13" s="39" t="s">
        <v>569</v>
      </c>
      <c r="B13" s="40">
        <v>43.22</v>
      </c>
      <c r="C13" s="40">
        <v>27.54</v>
      </c>
      <c r="D13" s="40">
        <v>50.04</v>
      </c>
      <c r="E13" s="40">
        <v>9.76</v>
      </c>
      <c r="F13" s="42">
        <v>3.82</v>
      </c>
      <c r="G13" s="40">
        <v>157.21</v>
      </c>
      <c r="H13" s="40">
        <v>31.21</v>
      </c>
      <c r="I13" s="40">
        <v>17.399999999999999</v>
      </c>
      <c r="J13" s="40">
        <v>0.13</v>
      </c>
      <c r="K13" s="40">
        <v>183.65</v>
      </c>
      <c r="L13" s="40">
        <v>14.28</v>
      </c>
      <c r="M13" s="40">
        <v>93.21</v>
      </c>
      <c r="N13" s="40">
        <v>1.2</v>
      </c>
      <c r="O13" s="40">
        <v>0</v>
      </c>
      <c r="P13" s="40">
        <v>1.51</v>
      </c>
      <c r="Q13" s="28" t="s">
        <v>15</v>
      </c>
      <c r="R13" s="38"/>
      <c r="S13" s="38"/>
      <c r="T13" s="38"/>
      <c r="U13" s="38"/>
    </row>
    <row r="14" spans="1:21" customFormat="1">
      <c r="A14" s="39" t="s">
        <v>570</v>
      </c>
      <c r="B14" s="40">
        <v>43.77</v>
      </c>
      <c r="C14" s="40">
        <v>26.53</v>
      </c>
      <c r="D14" s="40">
        <v>50.1</v>
      </c>
      <c r="E14" s="40">
        <v>9.69</v>
      </c>
      <c r="F14" s="42">
        <v>3.85</v>
      </c>
      <c r="G14" s="40">
        <v>137.71</v>
      </c>
      <c r="H14" s="40">
        <v>31.21</v>
      </c>
      <c r="I14" s="40">
        <v>17.64</v>
      </c>
      <c r="J14" s="40">
        <v>0.19</v>
      </c>
      <c r="K14" s="40">
        <v>173.16</v>
      </c>
      <c r="L14" s="40">
        <v>13.99</v>
      </c>
      <c r="M14" s="40">
        <v>94.25</v>
      </c>
      <c r="N14" s="40">
        <v>1.2</v>
      </c>
      <c r="O14" s="40">
        <v>0</v>
      </c>
      <c r="P14" s="40">
        <v>1.55</v>
      </c>
      <c r="Q14" s="28" t="s">
        <v>15</v>
      </c>
      <c r="R14" s="38"/>
      <c r="S14" s="38"/>
      <c r="T14" s="38"/>
      <c r="U14" s="38"/>
    </row>
    <row r="15" spans="1:21" customFormat="1">
      <c r="A15" s="39" t="s">
        <v>571</v>
      </c>
      <c r="B15" s="40">
        <v>46.32</v>
      </c>
      <c r="C15" s="40">
        <v>25.91</v>
      </c>
      <c r="D15" s="40">
        <v>51.71</v>
      </c>
      <c r="E15" s="40">
        <v>9.4499999999999993</v>
      </c>
      <c r="F15" s="42">
        <v>3.88</v>
      </c>
      <c r="G15" s="40">
        <v>148.63999999999999</v>
      </c>
      <c r="H15" s="40">
        <v>34.9</v>
      </c>
      <c r="I15" s="40">
        <v>17.97</v>
      </c>
      <c r="J15" s="40">
        <v>0.21</v>
      </c>
      <c r="K15" s="40">
        <v>206.61</v>
      </c>
      <c r="L15" s="40">
        <v>14.05</v>
      </c>
      <c r="M15" s="40">
        <v>94.69</v>
      </c>
      <c r="N15" s="40">
        <v>6.4</v>
      </c>
      <c r="O15" s="40">
        <v>0</v>
      </c>
      <c r="P15" s="40">
        <v>1.6</v>
      </c>
      <c r="Q15" s="28" t="s">
        <v>15</v>
      </c>
      <c r="R15" s="38"/>
      <c r="S15" s="38"/>
      <c r="T15" s="38"/>
      <c r="U15" s="38"/>
    </row>
    <row r="16" spans="1:21" customFormat="1">
      <c r="A16" s="39" t="s">
        <v>572</v>
      </c>
      <c r="B16" s="40">
        <v>52.21</v>
      </c>
      <c r="C16" s="40">
        <v>25.8</v>
      </c>
      <c r="D16" s="40">
        <v>56.7</v>
      </c>
      <c r="E16" s="40">
        <v>9.5500000000000007</v>
      </c>
      <c r="F16" s="42">
        <v>3.84</v>
      </c>
      <c r="G16" s="40">
        <v>166.02</v>
      </c>
      <c r="H16" s="40">
        <v>35.9</v>
      </c>
      <c r="I16" s="40">
        <v>18.54</v>
      </c>
      <c r="J16" s="40">
        <v>0.25</v>
      </c>
      <c r="K16" s="40">
        <v>173.15</v>
      </c>
      <c r="L16" s="40">
        <v>15.96</v>
      </c>
      <c r="M16" s="40">
        <v>92.89</v>
      </c>
      <c r="N16" s="40">
        <v>37.5</v>
      </c>
      <c r="O16" s="40">
        <v>0</v>
      </c>
      <c r="P16" s="40">
        <v>1.68</v>
      </c>
      <c r="Q16" s="28" t="s">
        <v>15</v>
      </c>
      <c r="R16" s="38"/>
      <c r="S16" s="38"/>
      <c r="T16" s="38"/>
      <c r="U16" s="38"/>
    </row>
    <row r="17" spans="1:21" customFormat="1">
      <c r="A17" s="39" t="s">
        <v>573</v>
      </c>
      <c r="B17" s="40">
        <v>53.27</v>
      </c>
      <c r="C17" s="40">
        <v>29.55</v>
      </c>
      <c r="D17" s="40">
        <v>58.29</v>
      </c>
      <c r="E17" s="40">
        <v>9.6300000000000008</v>
      </c>
      <c r="F17" s="42">
        <v>4.05</v>
      </c>
      <c r="G17" s="40">
        <v>191.01</v>
      </c>
      <c r="H17" s="40">
        <v>39.89</v>
      </c>
      <c r="I17" s="40">
        <v>19.690000000000001</v>
      </c>
      <c r="J17" s="40">
        <v>0.8</v>
      </c>
      <c r="K17" s="40">
        <v>105.01</v>
      </c>
      <c r="L17" s="40">
        <v>20.3</v>
      </c>
      <c r="M17" s="40">
        <v>83.93</v>
      </c>
      <c r="N17" s="40">
        <v>205</v>
      </c>
      <c r="O17" s="40">
        <v>0</v>
      </c>
      <c r="P17" s="40">
        <v>1.71</v>
      </c>
      <c r="Q17" s="28" t="s">
        <v>15</v>
      </c>
      <c r="R17" s="38"/>
      <c r="S17" s="38"/>
      <c r="T17" s="38"/>
      <c r="U17" s="38"/>
    </row>
    <row r="18" spans="1:21" customFormat="1">
      <c r="A18" s="39" t="s">
        <v>574</v>
      </c>
      <c r="B18" s="40">
        <v>46.61</v>
      </c>
      <c r="C18" s="40">
        <v>33.729999999999997</v>
      </c>
      <c r="D18" s="40">
        <v>54.75</v>
      </c>
      <c r="E18" s="40">
        <v>9.91</v>
      </c>
      <c r="F18" s="42">
        <v>4.46</v>
      </c>
      <c r="G18" s="40">
        <v>191.01</v>
      </c>
      <c r="H18" s="40">
        <v>39.89</v>
      </c>
      <c r="I18" s="40">
        <v>19.739999999999998</v>
      </c>
      <c r="J18" s="40">
        <v>0.67</v>
      </c>
      <c r="K18" s="40">
        <v>67.39</v>
      </c>
      <c r="L18" s="40">
        <v>24.14</v>
      </c>
      <c r="M18" s="40">
        <v>62.4</v>
      </c>
      <c r="N18" s="40">
        <v>315.3</v>
      </c>
      <c r="O18" s="40">
        <v>0</v>
      </c>
      <c r="P18" s="40">
        <v>1.67</v>
      </c>
      <c r="Q18" s="28" t="s">
        <v>15</v>
      </c>
      <c r="R18" s="38"/>
      <c r="S18" s="38"/>
      <c r="T18" s="38"/>
      <c r="U18" s="38"/>
    </row>
    <row r="19" spans="1:21" customFormat="1">
      <c r="A19" s="39" t="s">
        <v>575</v>
      </c>
      <c r="B19" s="40">
        <v>34.82</v>
      </c>
      <c r="C19" s="40">
        <v>36.28</v>
      </c>
      <c r="D19" s="40">
        <v>47.26</v>
      </c>
      <c r="E19" s="40">
        <v>11.59</v>
      </c>
      <c r="F19" s="42">
        <v>5.36</v>
      </c>
      <c r="G19" s="40">
        <v>140.33000000000001</v>
      </c>
      <c r="H19" s="40">
        <v>39.89</v>
      </c>
      <c r="I19" s="40">
        <v>18.62</v>
      </c>
      <c r="J19" s="40">
        <v>0.69</v>
      </c>
      <c r="K19" s="40">
        <v>70.77</v>
      </c>
      <c r="L19" s="40">
        <v>27.04</v>
      </c>
      <c r="M19" s="40">
        <v>48.45</v>
      </c>
      <c r="N19" s="40">
        <v>399.4</v>
      </c>
      <c r="O19" s="40">
        <v>0</v>
      </c>
      <c r="P19" s="40">
        <v>1.54</v>
      </c>
      <c r="Q19" s="28" t="s">
        <v>15</v>
      </c>
      <c r="R19" s="38"/>
      <c r="S19" s="38"/>
      <c r="T19" s="38"/>
      <c r="U19" s="38"/>
    </row>
    <row r="20" spans="1:21" customFormat="1">
      <c r="A20" s="39" t="s">
        <v>576</v>
      </c>
      <c r="B20" s="40">
        <v>21.4</v>
      </c>
      <c r="C20" s="40">
        <v>37.5</v>
      </c>
      <c r="D20" s="40">
        <v>37.71</v>
      </c>
      <c r="E20" s="40">
        <v>12.05</v>
      </c>
      <c r="F20" s="42">
        <v>19.22</v>
      </c>
      <c r="G20" s="40">
        <v>140.1</v>
      </c>
      <c r="H20" s="40">
        <v>39.89</v>
      </c>
      <c r="I20" s="40">
        <v>17.09</v>
      </c>
      <c r="J20" s="40">
        <v>0.61</v>
      </c>
      <c r="K20" s="40">
        <v>328.81</v>
      </c>
      <c r="L20" s="40">
        <v>28.85</v>
      </c>
      <c r="M20" s="40">
        <v>37.46</v>
      </c>
      <c r="N20" s="40">
        <v>421.8</v>
      </c>
      <c r="O20" s="40">
        <v>0</v>
      </c>
      <c r="P20" s="40">
        <v>1.36</v>
      </c>
      <c r="Q20" s="28" t="s">
        <v>15</v>
      </c>
      <c r="R20" s="38"/>
      <c r="S20" s="38"/>
      <c r="T20" s="38"/>
      <c r="U20" s="38"/>
    </row>
    <row r="21" spans="1:21" customFormat="1">
      <c r="A21" s="39" t="s">
        <v>577</v>
      </c>
      <c r="B21" s="40">
        <v>11.48</v>
      </c>
      <c r="C21" s="40">
        <v>36.450000000000003</v>
      </c>
      <c r="D21" s="40">
        <v>29.6</v>
      </c>
      <c r="E21" s="40">
        <v>13.1</v>
      </c>
      <c r="F21" s="42">
        <v>23.87</v>
      </c>
      <c r="G21" s="40">
        <v>106.19</v>
      </c>
      <c r="H21" s="40">
        <v>35.54</v>
      </c>
      <c r="I21" s="40">
        <v>15.34</v>
      </c>
      <c r="J21" s="40">
        <v>0.65</v>
      </c>
      <c r="K21" s="40">
        <v>68.81</v>
      </c>
      <c r="L21" s="40">
        <v>30.03</v>
      </c>
      <c r="M21" s="40">
        <v>32.729999999999997</v>
      </c>
      <c r="N21" s="40">
        <v>423.1</v>
      </c>
      <c r="O21" s="40">
        <v>0</v>
      </c>
      <c r="P21" s="40">
        <v>1.18</v>
      </c>
      <c r="Q21" s="28" t="s">
        <v>15</v>
      </c>
      <c r="R21" s="38"/>
      <c r="S21" s="38"/>
      <c r="T21" s="38"/>
      <c r="U21" s="38"/>
    </row>
    <row r="22" spans="1:21" customFormat="1">
      <c r="A22" s="39" t="s">
        <v>578</v>
      </c>
      <c r="B22" s="40">
        <v>6.77</v>
      </c>
      <c r="C22" s="40">
        <v>33.49</v>
      </c>
      <c r="D22" s="40">
        <v>24.28</v>
      </c>
      <c r="E22" s="40">
        <v>16.100000000000001</v>
      </c>
      <c r="F22" s="42">
        <v>26.16</v>
      </c>
      <c r="G22" s="40">
        <v>91.16</v>
      </c>
      <c r="H22" s="40">
        <v>33.22</v>
      </c>
      <c r="I22" s="40">
        <v>14.23</v>
      </c>
      <c r="J22" s="40">
        <v>0.48</v>
      </c>
      <c r="K22" s="40">
        <v>349.66</v>
      </c>
      <c r="L22" s="40">
        <v>30.8</v>
      </c>
      <c r="M22" s="40">
        <v>27.61</v>
      </c>
      <c r="N22" s="40">
        <v>416.4</v>
      </c>
      <c r="O22" s="40">
        <v>0</v>
      </c>
      <c r="P22" s="40">
        <v>1.1100000000000001</v>
      </c>
      <c r="Q22" s="28" t="s">
        <v>15</v>
      </c>
      <c r="R22" s="38"/>
      <c r="S22" s="38"/>
      <c r="T22" s="38"/>
      <c r="U22" s="38"/>
    </row>
    <row r="23" spans="1:21" customFormat="1">
      <c r="A23" s="39" t="s">
        <v>579</v>
      </c>
      <c r="B23" s="40">
        <v>4.74</v>
      </c>
      <c r="C23" s="40">
        <v>30.47</v>
      </c>
      <c r="D23" s="40">
        <v>21.07</v>
      </c>
      <c r="E23" s="40">
        <v>40.75</v>
      </c>
      <c r="F23" s="42">
        <v>10.99</v>
      </c>
      <c r="G23" s="40">
        <v>92.41</v>
      </c>
      <c r="H23" s="40">
        <v>29.74</v>
      </c>
      <c r="I23" s="40">
        <v>13.29</v>
      </c>
      <c r="J23" s="40">
        <v>0.74</v>
      </c>
      <c r="K23" s="40">
        <v>46.62</v>
      </c>
      <c r="L23" s="40">
        <v>30.89</v>
      </c>
      <c r="M23" s="40">
        <v>29.67</v>
      </c>
      <c r="N23" s="40">
        <v>285.5</v>
      </c>
      <c r="O23" s="40">
        <v>0</v>
      </c>
      <c r="P23" s="40">
        <v>0.94</v>
      </c>
      <c r="Q23" s="28" t="s">
        <v>15</v>
      </c>
      <c r="R23" s="38"/>
      <c r="S23" s="38"/>
      <c r="T23" s="38"/>
      <c r="U23" s="38"/>
    </row>
    <row r="24" spans="1:21" customFormat="1">
      <c r="A24" s="39" t="s">
        <v>580</v>
      </c>
      <c r="B24" s="40">
        <v>4.5599999999999996</v>
      </c>
      <c r="C24" s="40">
        <v>29.1</v>
      </c>
      <c r="D24" s="40">
        <v>20.21</v>
      </c>
      <c r="E24" s="40">
        <v>33.76</v>
      </c>
      <c r="F24" s="42">
        <v>10.06</v>
      </c>
      <c r="G24" s="40">
        <v>98.69</v>
      </c>
      <c r="H24" s="40">
        <v>30.58</v>
      </c>
      <c r="I24" s="40">
        <v>12.26</v>
      </c>
      <c r="J24" s="40">
        <v>0.87</v>
      </c>
      <c r="K24" s="40">
        <v>62.37</v>
      </c>
      <c r="L24" s="40">
        <v>30.1</v>
      </c>
      <c r="M24" s="40">
        <v>29.57</v>
      </c>
      <c r="N24" s="40">
        <v>60.6</v>
      </c>
      <c r="O24" s="40">
        <v>0</v>
      </c>
      <c r="P24" s="40">
        <v>0.91</v>
      </c>
      <c r="Q24" s="28" t="s">
        <v>15</v>
      </c>
      <c r="R24" s="38"/>
      <c r="S24" s="38"/>
      <c r="T24" s="38"/>
      <c r="U24" s="38"/>
    </row>
    <row r="25" spans="1:21" customFormat="1">
      <c r="A25" s="39" t="s">
        <v>581</v>
      </c>
      <c r="B25" s="40">
        <v>4.5199999999999996</v>
      </c>
      <c r="C25" s="40">
        <v>30.39</v>
      </c>
      <c r="D25" s="40">
        <v>20.82</v>
      </c>
      <c r="E25" s="40">
        <v>34.049999999999997</v>
      </c>
      <c r="F25" s="42">
        <v>10.11</v>
      </c>
      <c r="G25" s="40">
        <v>98.69</v>
      </c>
      <c r="H25" s="40">
        <v>32.43</v>
      </c>
      <c r="I25" s="40">
        <v>11.77</v>
      </c>
      <c r="J25" s="40">
        <v>0.62</v>
      </c>
      <c r="K25" s="40">
        <v>55.26</v>
      </c>
      <c r="L25" s="40">
        <v>29.82</v>
      </c>
      <c r="M25" s="40">
        <v>30.56</v>
      </c>
      <c r="N25" s="40">
        <v>36.700000000000003</v>
      </c>
      <c r="O25" s="40">
        <v>0</v>
      </c>
      <c r="P25" s="40">
        <v>0.95</v>
      </c>
      <c r="Q25" s="28" t="s">
        <v>15</v>
      </c>
      <c r="R25" s="38"/>
      <c r="S25" s="38"/>
      <c r="T25" s="38"/>
      <c r="U25" s="38"/>
    </row>
    <row r="26" spans="1:21" customFormat="1">
      <c r="A26" s="39" t="s">
        <v>582</v>
      </c>
      <c r="B26" s="40">
        <v>4.8600000000000003</v>
      </c>
      <c r="C26" s="40">
        <v>32.94</v>
      </c>
      <c r="D26" s="40">
        <v>22.46</v>
      </c>
      <c r="E26" s="40">
        <v>22.35</v>
      </c>
      <c r="F26" s="42">
        <v>7.8</v>
      </c>
      <c r="G26" s="40">
        <v>100.61</v>
      </c>
      <c r="H26" s="40">
        <v>32.43</v>
      </c>
      <c r="I26" s="40">
        <v>11.39</v>
      </c>
      <c r="J26" s="40">
        <v>0.36</v>
      </c>
      <c r="K26" s="40">
        <v>163.26</v>
      </c>
      <c r="L26" s="40">
        <v>28.44</v>
      </c>
      <c r="M26" s="40">
        <v>49.92</v>
      </c>
      <c r="N26" s="40">
        <v>14.2</v>
      </c>
      <c r="O26" s="40">
        <v>0</v>
      </c>
      <c r="P26" s="40">
        <v>0.96</v>
      </c>
      <c r="Q26" s="28" t="s">
        <v>15</v>
      </c>
      <c r="R26" s="38"/>
      <c r="S26" s="38"/>
      <c r="T26" s="38"/>
      <c r="U26" s="38"/>
    </row>
    <row r="27" spans="1:21" customFormat="1">
      <c r="A27" s="39" t="s">
        <v>583</v>
      </c>
      <c r="B27" s="40">
        <v>9.25</v>
      </c>
      <c r="C27" s="40">
        <v>35.36</v>
      </c>
      <c r="D27" s="40">
        <v>27.24</v>
      </c>
      <c r="E27" s="40">
        <v>9.11</v>
      </c>
      <c r="F27" s="42">
        <v>4.2300000000000004</v>
      </c>
      <c r="G27" s="40">
        <v>140.62</v>
      </c>
      <c r="H27" s="40">
        <v>34.159999999999997</v>
      </c>
      <c r="I27" s="40">
        <v>12.23</v>
      </c>
      <c r="J27" s="40">
        <v>0.3</v>
      </c>
      <c r="K27" s="40">
        <v>167.85</v>
      </c>
      <c r="L27" s="40">
        <v>24.05</v>
      </c>
      <c r="M27" s="40">
        <v>60.48</v>
      </c>
      <c r="N27" s="40">
        <v>1.9</v>
      </c>
      <c r="O27" s="40">
        <v>0</v>
      </c>
      <c r="P27" s="40">
        <v>1.08</v>
      </c>
      <c r="Q27" s="28" t="s">
        <v>15</v>
      </c>
      <c r="R27" s="38"/>
      <c r="S27" s="38"/>
      <c r="T27" s="38"/>
      <c r="U27" s="38"/>
    </row>
    <row r="28" spans="1:21" customFormat="1">
      <c r="A28" s="39" t="s">
        <v>584</v>
      </c>
      <c r="B28" s="40">
        <v>11.65</v>
      </c>
      <c r="C28" s="40">
        <v>36.31</v>
      </c>
      <c r="D28" s="40">
        <v>29.66</v>
      </c>
      <c r="E28" s="40">
        <v>8.56</v>
      </c>
      <c r="F28" s="42">
        <v>3.77</v>
      </c>
      <c r="G28" s="40">
        <v>159.19</v>
      </c>
      <c r="H28" s="40">
        <v>37.78</v>
      </c>
      <c r="I28" s="40">
        <v>13.7</v>
      </c>
      <c r="J28" s="40">
        <v>0.23</v>
      </c>
      <c r="K28" s="40">
        <v>198.59</v>
      </c>
      <c r="L28" s="40">
        <v>21.61</v>
      </c>
      <c r="M28" s="40">
        <v>67.3</v>
      </c>
      <c r="N28" s="40">
        <v>1.8</v>
      </c>
      <c r="O28" s="40">
        <v>0</v>
      </c>
      <c r="P28" s="40">
        <v>1.1499999999999999</v>
      </c>
      <c r="Q28" s="28" t="s">
        <v>15</v>
      </c>
      <c r="R28" s="38"/>
      <c r="S28" s="38"/>
      <c r="T28" s="38"/>
      <c r="U28" s="38"/>
    </row>
    <row r="29" spans="1:21" customFormat="1">
      <c r="A29" s="39" t="s">
        <v>585</v>
      </c>
      <c r="B29" s="40">
        <v>11.19</v>
      </c>
      <c r="C29" s="40">
        <v>35.19</v>
      </c>
      <c r="D29" s="40">
        <v>28.71</v>
      </c>
      <c r="E29" s="40">
        <v>8.58</v>
      </c>
      <c r="F29" s="42">
        <v>3.99</v>
      </c>
      <c r="G29" s="40">
        <v>159.19</v>
      </c>
      <c r="H29" s="40">
        <v>37.78</v>
      </c>
      <c r="I29" s="40">
        <v>13.71</v>
      </c>
      <c r="J29" s="40">
        <v>0.25</v>
      </c>
      <c r="K29" s="40">
        <v>201.55</v>
      </c>
      <c r="L29" s="40">
        <v>20.91</v>
      </c>
      <c r="M29" s="40">
        <v>71.819999999999993</v>
      </c>
      <c r="N29" s="40">
        <v>1.6</v>
      </c>
      <c r="O29" s="40">
        <v>0</v>
      </c>
      <c r="P29" s="40">
        <v>1.1399999999999999</v>
      </c>
      <c r="Q29" s="28" t="s">
        <v>15</v>
      </c>
      <c r="R29" s="38"/>
      <c r="S29" s="38"/>
      <c r="T29" s="38"/>
      <c r="U29" s="38"/>
    </row>
    <row r="30" spans="1:21" customFormat="1">
      <c r="A30" s="39" t="s">
        <v>586</v>
      </c>
      <c r="B30" s="40">
        <v>11.34</v>
      </c>
      <c r="C30" s="40">
        <v>32.25</v>
      </c>
      <c r="D30" s="40">
        <v>27.15</v>
      </c>
      <c r="E30" s="40">
        <v>8.61</v>
      </c>
      <c r="F30" s="42">
        <v>3.93</v>
      </c>
      <c r="G30" s="40">
        <v>133.02000000000001</v>
      </c>
      <c r="H30" s="40">
        <v>32.659999999999997</v>
      </c>
      <c r="I30" s="40">
        <v>13.51</v>
      </c>
      <c r="J30" s="40">
        <v>0.25</v>
      </c>
      <c r="K30" s="40">
        <v>182.91</v>
      </c>
      <c r="L30" s="40">
        <v>19.239999999999998</v>
      </c>
      <c r="M30" s="40">
        <v>76.03</v>
      </c>
      <c r="N30" s="40">
        <v>1.4</v>
      </c>
      <c r="O30" s="40">
        <v>0</v>
      </c>
      <c r="P30" s="40">
        <v>1.1100000000000001</v>
      </c>
      <c r="Q30" s="28" t="s">
        <v>15</v>
      </c>
      <c r="R30" s="38"/>
      <c r="S30" s="38"/>
      <c r="T30" s="38"/>
      <c r="U30" s="38"/>
    </row>
    <row r="31" spans="1:21" customFormat="1">
      <c r="A31" s="39" t="s">
        <v>587</v>
      </c>
      <c r="B31" s="40">
        <v>12.59</v>
      </c>
      <c r="C31" s="40">
        <v>31.74</v>
      </c>
      <c r="D31" s="40">
        <v>27.81</v>
      </c>
      <c r="E31" s="40">
        <v>8.75</v>
      </c>
      <c r="F31" s="42">
        <v>4.08</v>
      </c>
      <c r="G31" s="40">
        <v>123.61</v>
      </c>
      <c r="H31" s="40">
        <v>32.04</v>
      </c>
      <c r="I31" s="40">
        <v>13.39</v>
      </c>
      <c r="J31" s="40">
        <v>0.24</v>
      </c>
      <c r="K31" s="40">
        <v>190.96</v>
      </c>
      <c r="L31" s="40">
        <v>18.489999999999998</v>
      </c>
      <c r="M31" s="40">
        <v>81.16</v>
      </c>
      <c r="N31" s="40">
        <v>1.3</v>
      </c>
      <c r="O31" s="40">
        <v>0</v>
      </c>
      <c r="P31" s="40">
        <v>1.1000000000000001</v>
      </c>
      <c r="Q31" s="28" t="s">
        <v>15</v>
      </c>
      <c r="R31" s="38"/>
      <c r="S31" s="38"/>
      <c r="T31" s="38"/>
      <c r="U31" s="38"/>
    </row>
    <row r="32" spans="1:21" customFormat="1">
      <c r="A32" s="39" t="s">
        <v>588</v>
      </c>
      <c r="B32" s="40">
        <v>19.75</v>
      </c>
      <c r="C32" s="40">
        <v>31.28</v>
      </c>
      <c r="D32" s="40">
        <v>33.409999999999997</v>
      </c>
      <c r="E32" s="40">
        <v>8.44</v>
      </c>
      <c r="F32" s="42">
        <v>4.03</v>
      </c>
      <c r="G32" s="40">
        <v>130.25</v>
      </c>
      <c r="H32" s="40">
        <v>31.32</v>
      </c>
      <c r="I32" s="40">
        <v>13.46</v>
      </c>
      <c r="J32" s="40">
        <v>0.21</v>
      </c>
      <c r="K32" s="40">
        <v>177.17</v>
      </c>
      <c r="L32" s="40">
        <v>17.95</v>
      </c>
      <c r="M32" s="40">
        <v>83.92</v>
      </c>
      <c r="N32" s="40">
        <v>1.4</v>
      </c>
      <c r="O32" s="40">
        <v>0</v>
      </c>
      <c r="P32" s="40">
        <v>1.1299999999999999</v>
      </c>
      <c r="Q32" s="28" t="s">
        <v>15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4.5199999999999996</v>
      </c>
      <c r="C34" s="18">
        <f t="shared" si="0"/>
        <v>25.8</v>
      </c>
      <c r="D34" s="18">
        <f t="shared" si="0"/>
        <v>20.21</v>
      </c>
      <c r="E34" s="18">
        <f t="shared" si="0"/>
        <v>8.44</v>
      </c>
      <c r="F34" s="18">
        <f t="shared" si="0"/>
        <v>3.77</v>
      </c>
      <c r="G34" s="18">
        <f t="shared" si="0"/>
        <v>91.16</v>
      </c>
      <c r="H34" s="18">
        <f t="shared" si="0"/>
        <v>29.06</v>
      </c>
      <c r="I34" s="18">
        <f t="shared" si="0"/>
        <v>11.39</v>
      </c>
      <c r="J34" s="18">
        <f t="shared" si="0"/>
        <v>0.13</v>
      </c>
      <c r="K34" s="18">
        <f t="shared" si="0"/>
        <v>46.62</v>
      </c>
      <c r="L34" s="18">
        <f t="shared" si="0"/>
        <v>13.99</v>
      </c>
      <c r="M34" s="18">
        <f t="shared" si="0"/>
        <v>27.61</v>
      </c>
      <c r="N34" s="18">
        <f t="shared" si="0"/>
        <v>1.2</v>
      </c>
      <c r="O34" s="18">
        <f t="shared" si="0"/>
        <v>0</v>
      </c>
      <c r="P34" s="18">
        <f t="shared" si="0"/>
        <v>0.91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53.27</v>
      </c>
      <c r="C35" s="3">
        <f t="shared" si="1"/>
        <v>37.5</v>
      </c>
      <c r="D35" s="3">
        <f t="shared" si="1"/>
        <v>58.29</v>
      </c>
      <c r="E35" s="3">
        <f t="shared" si="1"/>
        <v>40.75</v>
      </c>
      <c r="F35" s="3">
        <f t="shared" si="1"/>
        <v>26.16</v>
      </c>
      <c r="G35" s="3">
        <f t="shared" si="1"/>
        <v>191.01</v>
      </c>
      <c r="H35" s="3">
        <f t="shared" si="1"/>
        <v>39.89</v>
      </c>
      <c r="I35" s="3">
        <f t="shared" si="1"/>
        <v>19.739999999999998</v>
      </c>
      <c r="J35" s="3">
        <f t="shared" si="1"/>
        <v>0.87</v>
      </c>
      <c r="K35" s="3">
        <f t="shared" si="1"/>
        <v>349.66</v>
      </c>
      <c r="L35" s="3">
        <f t="shared" si="1"/>
        <v>30.89</v>
      </c>
      <c r="M35" s="3">
        <f t="shared" si="1"/>
        <v>101.71</v>
      </c>
      <c r="N35" s="3">
        <f t="shared" si="1"/>
        <v>423.1</v>
      </c>
      <c r="O35" s="3">
        <f t="shared" si="1"/>
        <v>0</v>
      </c>
      <c r="P35" s="3">
        <f t="shared" si="1"/>
        <v>1.71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23.579166666666669</v>
      </c>
      <c r="C36" s="18">
        <f t="shared" si="2"/>
        <v>31.280416666666667</v>
      </c>
      <c r="D36" s="18">
        <f t="shared" si="2"/>
        <v>36.324583333333337</v>
      </c>
      <c r="E36" s="18">
        <f t="shared" si="2"/>
        <v>13.957083333333335</v>
      </c>
      <c r="F36" s="18">
        <f t="shared" si="2"/>
        <v>7.3941666666666679</v>
      </c>
      <c r="G36" s="18">
        <f t="shared" si="2"/>
        <v>137.92291666666668</v>
      </c>
      <c r="H36" s="18">
        <f t="shared" si="2"/>
        <v>33.997916666666661</v>
      </c>
      <c r="I36" s="18">
        <f t="shared" si="2"/>
        <v>15.246666666666663</v>
      </c>
      <c r="J36" s="18">
        <f t="shared" si="2"/>
        <v>0.40291666666666676</v>
      </c>
      <c r="K36" s="18">
        <f t="shared" si="2"/>
        <v>165.20333333333332</v>
      </c>
      <c r="L36" s="18">
        <f t="shared" si="2"/>
        <v>21.917500000000004</v>
      </c>
      <c r="M36" s="18">
        <f t="shared" si="2"/>
        <v>67.904166666666669</v>
      </c>
      <c r="N36" s="18">
        <f t="shared" si="2"/>
        <v>109.97083333333335</v>
      </c>
      <c r="O36" s="18">
        <f t="shared" si="2"/>
        <v>0</v>
      </c>
      <c r="P36" s="18">
        <f t="shared" si="2"/>
        <v>1.2795833333333333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17.274610148918029</v>
      </c>
      <c r="C37" s="18">
        <f t="shared" ref="C37:Q37" si="3">STDEV(C9:C32)</f>
        <v>3.6673630843909608</v>
      </c>
      <c r="D37" s="18">
        <f t="shared" si="3"/>
        <v>12.835235801484497</v>
      </c>
      <c r="E37" s="18">
        <f t="shared" si="3"/>
        <v>9.1639475446692327</v>
      </c>
      <c r="F37" s="18">
        <f t="shared" si="3"/>
        <v>6.5298657797422779</v>
      </c>
      <c r="G37" s="18">
        <f t="shared" si="3"/>
        <v>32.395983712312344</v>
      </c>
      <c r="H37" s="18">
        <f t="shared" si="3"/>
        <v>3.4981647103274032</v>
      </c>
      <c r="I37" s="18">
        <f t="shared" si="3"/>
        <v>2.5780775895948334</v>
      </c>
      <c r="J37" s="18">
        <f t="shared" si="3"/>
        <v>0.23425142877698296</v>
      </c>
      <c r="K37" s="18">
        <f t="shared" si="3"/>
        <v>78.010488016546333</v>
      </c>
      <c r="L37" s="18">
        <f t="shared" si="3"/>
        <v>6.1417369374384148</v>
      </c>
      <c r="M37" s="18">
        <f t="shared" si="3"/>
        <v>25.982346501233188</v>
      </c>
      <c r="N37" s="18">
        <f t="shared" si="3"/>
        <v>165.40273242884331</v>
      </c>
      <c r="O37" s="18">
        <f t="shared" si="3"/>
        <v>0</v>
      </c>
      <c r="P37" s="18">
        <f t="shared" si="3"/>
        <v>0.25703119700122834</v>
      </c>
      <c r="Q37" s="18" t="e">
        <f t="shared" si="3"/>
        <v>#DIV/0!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0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LESS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96"/>
  <sheetViews>
    <sheetView zoomScale="85" zoomScaleNormal="85" workbookViewId="0">
      <pane xSplit="1" ySplit="8" topLeftCell="B28" activePane="bottomRight" state="frozen"/>
      <selection activeCell="G19" sqref="G19"/>
      <selection pane="topRight" activeCell="G19" sqref="G19"/>
      <selection pane="bottomLeft" activeCell="G19" sqref="G19"/>
      <selection pane="bottomRight" activeCell="L27" sqref="L27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23/01/2025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589</v>
      </c>
      <c r="B9" s="40">
        <v>28.45</v>
      </c>
      <c r="C9" s="40">
        <v>31.11</v>
      </c>
      <c r="D9" s="40">
        <v>40.35</v>
      </c>
      <c r="E9" s="40">
        <v>8.6</v>
      </c>
      <c r="F9" s="42">
        <v>4.01</v>
      </c>
      <c r="G9" s="40">
        <v>144</v>
      </c>
      <c r="H9" s="40">
        <v>31.32</v>
      </c>
      <c r="I9" s="40">
        <v>13.81</v>
      </c>
      <c r="J9" s="40">
        <v>0.25</v>
      </c>
      <c r="K9" s="40">
        <v>181.11</v>
      </c>
      <c r="L9" s="40">
        <v>17.399999999999999</v>
      </c>
      <c r="M9" s="40">
        <v>85.01</v>
      </c>
      <c r="N9" s="40">
        <v>1.4</v>
      </c>
      <c r="O9" s="40">
        <v>0</v>
      </c>
      <c r="P9" s="40">
        <v>1.17</v>
      </c>
      <c r="Q9" s="28" t="s">
        <v>15</v>
      </c>
      <c r="R9" s="38"/>
      <c r="S9" s="38"/>
      <c r="T9" s="38"/>
      <c r="U9" s="38"/>
    </row>
    <row r="10" spans="1:21" customFormat="1">
      <c r="A10" s="39" t="s">
        <v>590</v>
      </c>
      <c r="B10" s="40">
        <v>37.33</v>
      </c>
      <c r="C10" s="40">
        <v>31.14</v>
      </c>
      <c r="D10" s="40">
        <v>47.55</v>
      </c>
      <c r="E10" s="40">
        <v>8.4499999999999993</v>
      </c>
      <c r="F10" s="42">
        <v>4.0199999999999996</v>
      </c>
      <c r="G10" s="40">
        <v>144</v>
      </c>
      <c r="H10" s="40">
        <v>31.38</v>
      </c>
      <c r="I10" s="40">
        <v>14.2</v>
      </c>
      <c r="J10" s="40">
        <v>0.23</v>
      </c>
      <c r="K10" s="40">
        <v>180.74</v>
      </c>
      <c r="L10" s="40">
        <v>17.53</v>
      </c>
      <c r="M10" s="40">
        <v>86.67</v>
      </c>
      <c r="N10" s="40">
        <v>1.4</v>
      </c>
      <c r="O10" s="40">
        <v>0</v>
      </c>
      <c r="P10" s="40">
        <v>1.24</v>
      </c>
      <c r="Q10" s="28" t="s">
        <v>15</v>
      </c>
      <c r="R10" s="38"/>
      <c r="S10" s="38"/>
      <c r="T10" s="38"/>
      <c r="U10" s="38"/>
    </row>
    <row r="11" spans="1:21" customFormat="1">
      <c r="A11" s="39" t="s">
        <v>591</v>
      </c>
      <c r="B11" s="40">
        <v>39.14</v>
      </c>
      <c r="C11" s="40">
        <v>31.1</v>
      </c>
      <c r="D11" s="40">
        <v>48.65</v>
      </c>
      <c r="E11" s="40">
        <v>10.44</v>
      </c>
      <c r="F11" s="42">
        <v>3.99</v>
      </c>
      <c r="G11" s="40">
        <v>138.38</v>
      </c>
      <c r="H11" s="40">
        <v>33.33</v>
      </c>
      <c r="I11" s="40">
        <v>15.82</v>
      </c>
      <c r="J11" s="40">
        <v>0.23</v>
      </c>
      <c r="K11" s="40">
        <v>236.56</v>
      </c>
      <c r="L11" s="40">
        <v>16.940000000000001</v>
      </c>
      <c r="M11" s="40">
        <v>86.93</v>
      </c>
      <c r="N11" s="40">
        <v>1.7</v>
      </c>
      <c r="O11" s="40">
        <v>0</v>
      </c>
      <c r="P11" s="40">
        <v>1.31</v>
      </c>
      <c r="Q11" s="28" t="s">
        <v>15</v>
      </c>
      <c r="R11" s="38"/>
      <c r="S11" s="38"/>
      <c r="T11" s="38"/>
      <c r="U11" s="38"/>
    </row>
    <row r="12" spans="1:21" customFormat="1">
      <c r="A12" s="39" t="s">
        <v>592</v>
      </c>
      <c r="B12" s="40">
        <v>46.13</v>
      </c>
      <c r="C12" s="40">
        <v>29.88</v>
      </c>
      <c r="D12" s="40">
        <v>53.62</v>
      </c>
      <c r="E12" s="40">
        <v>10.54</v>
      </c>
      <c r="F12" s="42">
        <v>4.1500000000000004</v>
      </c>
      <c r="G12" s="40">
        <v>138.38</v>
      </c>
      <c r="H12" s="40">
        <v>33.33</v>
      </c>
      <c r="I12" s="40">
        <v>16.829999999999998</v>
      </c>
      <c r="J12" s="40">
        <v>0.19</v>
      </c>
      <c r="K12" s="40">
        <v>198.89</v>
      </c>
      <c r="L12" s="40">
        <v>16.260000000000002</v>
      </c>
      <c r="M12" s="40">
        <v>88.93</v>
      </c>
      <c r="N12" s="40">
        <v>1.3</v>
      </c>
      <c r="O12" s="40">
        <v>0</v>
      </c>
      <c r="P12" s="40">
        <v>1.34</v>
      </c>
      <c r="Q12" s="28" t="s">
        <v>15</v>
      </c>
      <c r="R12" s="38"/>
      <c r="S12" s="38"/>
      <c r="T12" s="38"/>
      <c r="U12" s="38"/>
    </row>
    <row r="13" spans="1:21" customFormat="1">
      <c r="A13" s="39" t="s">
        <v>593</v>
      </c>
      <c r="B13" s="40">
        <v>49.97</v>
      </c>
      <c r="C13" s="40">
        <v>29.35</v>
      </c>
      <c r="D13" s="40">
        <v>56.76</v>
      </c>
      <c r="E13" s="40">
        <v>10.74</v>
      </c>
      <c r="F13" s="42">
        <v>3.91</v>
      </c>
      <c r="G13" s="40">
        <v>132.91</v>
      </c>
      <c r="H13" s="40">
        <v>33.15</v>
      </c>
      <c r="I13" s="40">
        <v>17.53</v>
      </c>
      <c r="J13" s="40">
        <v>0.25</v>
      </c>
      <c r="K13" s="40">
        <v>194.24</v>
      </c>
      <c r="L13" s="40">
        <v>16.64</v>
      </c>
      <c r="M13" s="40">
        <v>92.39</v>
      </c>
      <c r="N13" s="40">
        <v>1.6</v>
      </c>
      <c r="O13" s="40">
        <v>0</v>
      </c>
      <c r="P13" s="40">
        <v>1.35</v>
      </c>
      <c r="Q13" s="28" t="s">
        <v>15</v>
      </c>
      <c r="R13" s="38"/>
      <c r="S13" s="38"/>
      <c r="T13" s="38"/>
      <c r="U13" s="38"/>
    </row>
    <row r="14" spans="1:21" customFormat="1">
      <c r="A14" s="39" t="s">
        <v>594</v>
      </c>
      <c r="B14" s="40">
        <v>49.13</v>
      </c>
      <c r="C14" s="40">
        <v>28.77</v>
      </c>
      <c r="D14" s="40">
        <v>55.78</v>
      </c>
      <c r="E14" s="40">
        <v>10.3</v>
      </c>
      <c r="F14" s="42">
        <v>3.87</v>
      </c>
      <c r="G14" s="40">
        <v>121.49</v>
      </c>
      <c r="H14" s="40">
        <v>32.19</v>
      </c>
      <c r="I14" s="40">
        <v>17.95</v>
      </c>
      <c r="J14" s="40">
        <v>0.15</v>
      </c>
      <c r="K14" s="40">
        <v>215.42</v>
      </c>
      <c r="L14" s="40">
        <v>15.26</v>
      </c>
      <c r="M14" s="40">
        <v>103</v>
      </c>
      <c r="N14" s="40">
        <v>1.6</v>
      </c>
      <c r="O14" s="40">
        <v>0</v>
      </c>
      <c r="P14" s="40">
        <v>1.34</v>
      </c>
      <c r="Q14" s="28" t="s">
        <v>15</v>
      </c>
      <c r="R14" s="38"/>
      <c r="S14" s="38"/>
      <c r="T14" s="38"/>
      <c r="U14" s="38"/>
    </row>
    <row r="15" spans="1:21" customFormat="1">
      <c r="A15" s="39" t="s">
        <v>595</v>
      </c>
      <c r="B15" s="40">
        <v>46.01</v>
      </c>
      <c r="C15" s="40">
        <v>27.41</v>
      </c>
      <c r="D15" s="40">
        <v>52.57</v>
      </c>
      <c r="E15" s="40">
        <v>10.199999999999999</v>
      </c>
      <c r="F15" s="42">
        <v>3.93</v>
      </c>
      <c r="G15" s="40">
        <v>113.02</v>
      </c>
      <c r="H15" s="40">
        <v>32.75</v>
      </c>
      <c r="I15" s="40">
        <v>18.03</v>
      </c>
      <c r="J15" s="40">
        <v>0.24</v>
      </c>
      <c r="K15" s="40">
        <v>219.35</v>
      </c>
      <c r="L15" s="40">
        <v>14.81</v>
      </c>
      <c r="M15" s="40">
        <v>97.06</v>
      </c>
      <c r="N15" s="40">
        <v>7</v>
      </c>
      <c r="O15" s="40">
        <v>0</v>
      </c>
      <c r="P15" s="40">
        <v>1.32</v>
      </c>
      <c r="Q15" s="28" t="s">
        <v>15</v>
      </c>
      <c r="R15" s="38"/>
      <c r="S15" s="38"/>
      <c r="T15" s="38"/>
      <c r="U15" s="38"/>
    </row>
    <row r="16" spans="1:21" customFormat="1">
      <c r="A16" s="39" t="s">
        <v>596</v>
      </c>
      <c r="B16" s="40">
        <v>42.66</v>
      </c>
      <c r="C16" s="40">
        <v>27.49</v>
      </c>
      <c r="D16" s="40">
        <v>49.32</v>
      </c>
      <c r="E16" s="40">
        <v>10.41</v>
      </c>
      <c r="F16" s="42">
        <v>4.0199999999999996</v>
      </c>
      <c r="G16" s="40">
        <v>113.02</v>
      </c>
      <c r="H16" s="40">
        <v>32.75</v>
      </c>
      <c r="I16" s="40">
        <v>18.21</v>
      </c>
      <c r="J16" s="40">
        <v>0.16</v>
      </c>
      <c r="K16" s="40">
        <v>248.02</v>
      </c>
      <c r="L16" s="40">
        <v>16.95</v>
      </c>
      <c r="M16" s="40">
        <v>92.25</v>
      </c>
      <c r="N16" s="40">
        <v>37.200000000000003</v>
      </c>
      <c r="O16" s="40">
        <v>0</v>
      </c>
      <c r="P16" s="40">
        <v>1.31</v>
      </c>
      <c r="Q16" s="28" t="s">
        <v>15</v>
      </c>
      <c r="R16" s="38"/>
      <c r="S16" s="38"/>
      <c r="T16" s="38"/>
      <c r="U16" s="38"/>
    </row>
    <row r="17" spans="1:21" customFormat="1">
      <c r="A17" s="39" t="s">
        <v>597</v>
      </c>
      <c r="B17" s="40">
        <v>37.82</v>
      </c>
      <c r="C17" s="40">
        <v>30.67</v>
      </c>
      <c r="D17" s="40">
        <v>46.37</v>
      </c>
      <c r="E17" s="40">
        <v>10.84</v>
      </c>
      <c r="F17" s="42">
        <v>4.0999999999999996</v>
      </c>
      <c r="G17" s="40">
        <v>111.25</v>
      </c>
      <c r="H17" s="40">
        <v>33.79</v>
      </c>
      <c r="I17" s="40">
        <v>18.82</v>
      </c>
      <c r="J17" s="40">
        <v>0.39</v>
      </c>
      <c r="K17" s="40">
        <v>217.21</v>
      </c>
      <c r="L17" s="40">
        <v>22.54</v>
      </c>
      <c r="M17" s="40">
        <v>74.17</v>
      </c>
      <c r="N17" s="40">
        <v>200.8</v>
      </c>
      <c r="O17" s="40">
        <v>0</v>
      </c>
      <c r="P17" s="40">
        <v>1.27</v>
      </c>
      <c r="Q17" s="28" t="s">
        <v>15</v>
      </c>
      <c r="R17" s="38"/>
      <c r="S17" s="38"/>
      <c r="T17" s="38"/>
      <c r="U17" s="38"/>
    </row>
    <row r="18" spans="1:21" customFormat="1">
      <c r="A18" s="39" t="s">
        <v>598</v>
      </c>
      <c r="B18" s="40">
        <v>29.83</v>
      </c>
      <c r="C18" s="40">
        <v>31.16</v>
      </c>
      <c r="D18" s="40">
        <v>41.47</v>
      </c>
      <c r="E18" s="40">
        <v>10.75</v>
      </c>
      <c r="F18" s="42">
        <v>4.5999999999999996</v>
      </c>
      <c r="G18" s="40">
        <v>111.25</v>
      </c>
      <c r="H18" s="40">
        <v>35.520000000000003</v>
      </c>
      <c r="I18" s="40">
        <v>18.649999999999999</v>
      </c>
      <c r="J18" s="40">
        <v>0.4</v>
      </c>
      <c r="K18" s="40">
        <v>296.01</v>
      </c>
      <c r="L18" s="40">
        <v>26.24</v>
      </c>
      <c r="M18" s="40">
        <v>54.85</v>
      </c>
      <c r="N18" s="40">
        <v>316.8</v>
      </c>
      <c r="O18" s="40">
        <v>0</v>
      </c>
      <c r="P18" s="40">
        <v>1.21</v>
      </c>
      <c r="Q18" s="28" t="s">
        <v>15</v>
      </c>
      <c r="R18" s="38"/>
      <c r="S18" s="38"/>
      <c r="T18" s="38"/>
      <c r="U18" s="38"/>
    </row>
    <row r="19" spans="1:21" customFormat="1">
      <c r="A19" s="39" t="s">
        <v>599</v>
      </c>
      <c r="B19" s="40">
        <v>22.01</v>
      </c>
      <c r="C19" s="40">
        <v>30.85</v>
      </c>
      <c r="D19" s="40">
        <v>35.119999999999997</v>
      </c>
      <c r="E19" s="40">
        <v>10.85</v>
      </c>
      <c r="F19" s="42">
        <v>4.96</v>
      </c>
      <c r="G19" s="40">
        <v>96.87</v>
      </c>
      <c r="H19" s="40">
        <v>38.31</v>
      </c>
      <c r="I19" s="40">
        <v>17.75</v>
      </c>
      <c r="J19" s="40">
        <v>0.47</v>
      </c>
      <c r="K19" s="40">
        <v>292.92</v>
      </c>
      <c r="L19" s="40">
        <v>28.97</v>
      </c>
      <c r="M19" s="40">
        <v>41.63</v>
      </c>
      <c r="N19" s="40">
        <v>386.8</v>
      </c>
      <c r="O19" s="40">
        <v>0</v>
      </c>
      <c r="P19" s="40">
        <v>1.1100000000000001</v>
      </c>
      <c r="Q19" s="28" t="s">
        <v>15</v>
      </c>
      <c r="R19" s="38"/>
      <c r="S19" s="38"/>
      <c r="T19" s="38"/>
      <c r="U19" s="38"/>
    </row>
    <row r="20" spans="1:21" customFormat="1">
      <c r="A20" s="39" t="s">
        <v>600</v>
      </c>
      <c r="B20" s="40">
        <v>13.92</v>
      </c>
      <c r="C20" s="40">
        <v>30.16</v>
      </c>
      <c r="D20" s="40">
        <v>28.27</v>
      </c>
      <c r="E20" s="40">
        <v>11.52</v>
      </c>
      <c r="F20" s="42">
        <v>6.71</v>
      </c>
      <c r="G20" s="40">
        <v>81.5</v>
      </c>
      <c r="H20" s="40">
        <v>38.31</v>
      </c>
      <c r="I20" s="40">
        <v>16.27</v>
      </c>
      <c r="J20" s="40">
        <v>0.41</v>
      </c>
      <c r="K20" s="40">
        <v>294.24</v>
      </c>
      <c r="L20" s="40">
        <v>30.73</v>
      </c>
      <c r="M20" s="40">
        <v>35.22</v>
      </c>
      <c r="N20" s="40">
        <v>415.7</v>
      </c>
      <c r="O20" s="40">
        <v>0</v>
      </c>
      <c r="P20" s="40">
        <v>1.01</v>
      </c>
      <c r="Q20" s="28" t="s">
        <v>15</v>
      </c>
      <c r="R20" s="38"/>
      <c r="S20" s="38"/>
      <c r="T20" s="38"/>
      <c r="U20" s="38"/>
    </row>
    <row r="21" spans="1:21" customFormat="1">
      <c r="A21" s="39" t="s">
        <v>601</v>
      </c>
      <c r="B21" s="40">
        <v>7.73</v>
      </c>
      <c r="C21" s="40">
        <v>29.63</v>
      </c>
      <c r="D21" s="40">
        <v>22.93</v>
      </c>
      <c r="E21" s="40">
        <v>11.19</v>
      </c>
      <c r="F21" s="42">
        <v>8.86</v>
      </c>
      <c r="G21" s="40">
        <v>71.239999999999995</v>
      </c>
      <c r="H21" s="40">
        <v>36.369999999999997</v>
      </c>
      <c r="I21" s="40">
        <v>14.67</v>
      </c>
      <c r="J21" s="40">
        <v>0.69</v>
      </c>
      <c r="K21" s="40">
        <v>339.31</v>
      </c>
      <c r="L21" s="40">
        <v>31.44</v>
      </c>
      <c r="M21" s="40">
        <v>32.39</v>
      </c>
      <c r="N21" s="40">
        <v>414.8</v>
      </c>
      <c r="O21" s="40">
        <v>0</v>
      </c>
      <c r="P21" s="40">
        <v>0.94</v>
      </c>
      <c r="Q21" s="28" t="s">
        <v>15</v>
      </c>
      <c r="R21" s="38"/>
      <c r="S21" s="38"/>
      <c r="T21" s="38"/>
      <c r="U21" s="38"/>
    </row>
    <row r="22" spans="1:21" customFormat="1">
      <c r="A22" s="39" t="s">
        <v>602</v>
      </c>
      <c r="B22" s="40">
        <v>3.78</v>
      </c>
      <c r="C22" s="40">
        <v>27.73</v>
      </c>
      <c r="D22" s="40">
        <v>18.87</v>
      </c>
      <c r="E22" s="40">
        <v>10.68</v>
      </c>
      <c r="F22" s="42">
        <v>10.29</v>
      </c>
      <c r="G22" s="40">
        <v>66.91</v>
      </c>
      <c r="H22" s="40">
        <v>33.64</v>
      </c>
      <c r="I22" s="40">
        <v>13.04</v>
      </c>
      <c r="J22" s="40">
        <v>0.94</v>
      </c>
      <c r="K22" s="40">
        <v>328.5</v>
      </c>
      <c r="L22" s="40">
        <v>32.159999999999997</v>
      </c>
      <c r="M22" s="40">
        <v>29.76</v>
      </c>
      <c r="N22" s="40">
        <v>401.4</v>
      </c>
      <c r="O22" s="40">
        <v>0</v>
      </c>
      <c r="P22" s="40">
        <v>0.86</v>
      </c>
      <c r="Q22" s="28" t="s">
        <v>15</v>
      </c>
      <c r="R22" s="38"/>
      <c r="S22" s="38"/>
      <c r="T22" s="38"/>
      <c r="U22" s="38"/>
    </row>
    <row r="23" spans="1:21" customFormat="1">
      <c r="A23" s="39" t="s">
        <v>603</v>
      </c>
      <c r="B23" s="40">
        <v>3.65</v>
      </c>
      <c r="C23" s="40">
        <v>25.33</v>
      </c>
      <c r="D23" s="40">
        <v>17.510000000000002</v>
      </c>
      <c r="E23" s="40">
        <v>11.36</v>
      </c>
      <c r="F23" s="42">
        <v>10.64</v>
      </c>
      <c r="G23" s="40">
        <v>60.14</v>
      </c>
      <c r="H23" s="40">
        <v>32.58</v>
      </c>
      <c r="I23" s="40">
        <v>11.57</v>
      </c>
      <c r="J23" s="40">
        <v>0.49</v>
      </c>
      <c r="K23" s="40">
        <v>330.25</v>
      </c>
      <c r="L23" s="40">
        <v>31.94</v>
      </c>
      <c r="M23" s="40">
        <v>26.87</v>
      </c>
      <c r="N23" s="40">
        <v>325.60000000000002</v>
      </c>
      <c r="O23" s="40">
        <v>0</v>
      </c>
      <c r="P23" s="40">
        <v>0.73</v>
      </c>
      <c r="Q23" s="28" t="s">
        <v>15</v>
      </c>
      <c r="R23" s="38"/>
      <c r="S23" s="38"/>
      <c r="T23" s="38"/>
      <c r="U23" s="38"/>
    </row>
    <row r="24" spans="1:21" customFormat="1">
      <c r="A24" s="39" t="s">
        <v>604</v>
      </c>
      <c r="B24" s="40">
        <v>3.63</v>
      </c>
      <c r="C24" s="40">
        <v>23.69</v>
      </c>
      <c r="D24" s="40">
        <v>16.61</v>
      </c>
      <c r="E24" s="40">
        <v>12.64</v>
      </c>
      <c r="F24" s="42">
        <v>11.69</v>
      </c>
      <c r="G24" s="40">
        <v>60.14</v>
      </c>
      <c r="H24" s="40">
        <v>32.58</v>
      </c>
      <c r="I24" s="40">
        <v>10.01</v>
      </c>
      <c r="J24" s="40">
        <v>0.43</v>
      </c>
      <c r="K24" s="40">
        <v>333</v>
      </c>
      <c r="L24" s="40">
        <v>31.12</v>
      </c>
      <c r="M24" s="40">
        <v>25.25</v>
      </c>
      <c r="N24" s="40">
        <v>55.9</v>
      </c>
      <c r="O24" s="40">
        <v>0</v>
      </c>
      <c r="P24" s="40">
        <v>0.67</v>
      </c>
      <c r="Q24" s="28" t="s">
        <v>15</v>
      </c>
      <c r="R24" s="38"/>
      <c r="S24" s="38"/>
      <c r="T24" s="38"/>
      <c r="U24" s="38"/>
    </row>
    <row r="25" spans="1:21" customFormat="1">
      <c r="A25" s="39" t="s">
        <v>605</v>
      </c>
      <c r="B25" s="40">
        <v>3.62</v>
      </c>
      <c r="C25" s="40">
        <v>21.89</v>
      </c>
      <c r="D25" s="40">
        <v>15.69</v>
      </c>
      <c r="E25" s="40">
        <v>12.76</v>
      </c>
      <c r="F25" s="42">
        <v>14.15</v>
      </c>
      <c r="G25" s="40">
        <v>48.17</v>
      </c>
      <c r="H25" s="40">
        <v>31.49</v>
      </c>
      <c r="I25" s="40">
        <v>8.68</v>
      </c>
      <c r="J25" s="40">
        <v>0.18</v>
      </c>
      <c r="K25" s="40">
        <v>276.94</v>
      </c>
      <c r="L25" s="40">
        <v>30.6</v>
      </c>
      <c r="M25" s="40">
        <v>33.22</v>
      </c>
      <c r="N25" s="40">
        <v>38.4</v>
      </c>
      <c r="O25" s="40">
        <v>0</v>
      </c>
      <c r="P25" s="40">
        <v>0.59</v>
      </c>
      <c r="Q25" s="28" t="s">
        <v>15</v>
      </c>
      <c r="R25" s="38"/>
      <c r="S25" s="38"/>
      <c r="T25" s="38"/>
      <c r="U25" s="38"/>
    </row>
    <row r="26" spans="1:21" customFormat="1">
      <c r="A26" s="39" t="s">
        <v>606</v>
      </c>
      <c r="B26" s="40">
        <v>4.2300000000000004</v>
      </c>
      <c r="C26" s="40">
        <v>20.59</v>
      </c>
      <c r="D26" s="40">
        <v>15.48</v>
      </c>
      <c r="E26" s="40">
        <v>12.39</v>
      </c>
      <c r="F26" s="42">
        <v>13.54</v>
      </c>
      <c r="G26" s="40">
        <v>49.42</v>
      </c>
      <c r="H26" s="40">
        <v>28.11</v>
      </c>
      <c r="I26" s="40">
        <v>7.97</v>
      </c>
      <c r="J26" s="40">
        <v>0.27</v>
      </c>
      <c r="K26" s="40">
        <v>170.88</v>
      </c>
      <c r="L26" s="40">
        <v>28.14</v>
      </c>
      <c r="M26" s="40">
        <v>45.63</v>
      </c>
      <c r="N26" s="40">
        <v>14.7</v>
      </c>
      <c r="O26" s="40">
        <v>0</v>
      </c>
      <c r="P26" s="40">
        <v>0.61</v>
      </c>
      <c r="Q26" s="28" t="s">
        <v>15</v>
      </c>
      <c r="R26" s="38"/>
      <c r="S26" s="38"/>
      <c r="T26" s="38"/>
      <c r="U26" s="38"/>
    </row>
    <row r="27" spans="1:21" customFormat="1">
      <c r="A27" s="39" t="s">
        <v>607</v>
      </c>
      <c r="B27" s="40">
        <v>7.46</v>
      </c>
      <c r="C27" s="40">
        <v>24.46</v>
      </c>
      <c r="D27" s="40">
        <v>20.11</v>
      </c>
      <c r="E27" s="40">
        <v>10.44</v>
      </c>
      <c r="F27" s="42">
        <v>7.02</v>
      </c>
      <c r="G27" s="40">
        <v>62.1</v>
      </c>
      <c r="H27" s="40">
        <v>42.74</v>
      </c>
      <c r="I27" s="40">
        <v>8.89</v>
      </c>
      <c r="J27" s="40">
        <v>0.42</v>
      </c>
      <c r="K27" s="40">
        <v>71.47</v>
      </c>
      <c r="L27" s="40">
        <v>25.96</v>
      </c>
      <c r="M27" s="40">
        <v>45.76</v>
      </c>
      <c r="N27" s="40">
        <v>1.4</v>
      </c>
      <c r="O27" s="40">
        <v>0</v>
      </c>
      <c r="P27" s="40">
        <v>0.72</v>
      </c>
      <c r="Q27" s="28" t="s">
        <v>15</v>
      </c>
      <c r="R27" s="38"/>
      <c r="S27" s="38"/>
      <c r="T27" s="38"/>
      <c r="U27" s="38"/>
    </row>
    <row r="28" spans="1:21" customFormat="1">
      <c r="A28" s="39" t="s">
        <v>608</v>
      </c>
      <c r="B28" s="40">
        <v>9.48</v>
      </c>
      <c r="C28" s="40">
        <v>26.54</v>
      </c>
      <c r="D28" s="40">
        <v>22.82</v>
      </c>
      <c r="E28" s="40">
        <v>10.43</v>
      </c>
      <c r="F28" s="42">
        <v>4.1399999999999997</v>
      </c>
      <c r="G28" s="40">
        <v>180.56</v>
      </c>
      <c r="H28" s="40">
        <v>51.5</v>
      </c>
      <c r="I28" s="40">
        <v>10.08</v>
      </c>
      <c r="J28" s="40">
        <v>0.47</v>
      </c>
      <c r="K28" s="40">
        <v>101.22</v>
      </c>
      <c r="L28" s="40">
        <v>24.98</v>
      </c>
      <c r="M28" s="40">
        <v>61.38</v>
      </c>
      <c r="N28" s="40">
        <v>1.9</v>
      </c>
      <c r="O28" s="40">
        <v>0</v>
      </c>
      <c r="P28" s="40">
        <v>0.83</v>
      </c>
      <c r="Q28" s="28" t="s">
        <v>15</v>
      </c>
      <c r="R28" s="38"/>
      <c r="S28" s="38"/>
      <c r="T28" s="38"/>
      <c r="U28" s="38"/>
    </row>
    <row r="29" spans="1:21" customFormat="1">
      <c r="A29" s="39" t="s">
        <v>609</v>
      </c>
      <c r="B29" s="40">
        <v>10.24</v>
      </c>
      <c r="C29" s="40">
        <v>27.23</v>
      </c>
      <c r="D29" s="40">
        <v>23.79</v>
      </c>
      <c r="E29" s="40">
        <v>10.11</v>
      </c>
      <c r="F29" s="42">
        <v>3.98</v>
      </c>
      <c r="G29" s="40">
        <v>180.56</v>
      </c>
      <c r="H29" s="40">
        <v>51.5</v>
      </c>
      <c r="I29" s="40">
        <v>11.13</v>
      </c>
      <c r="J29" s="40">
        <v>0.36</v>
      </c>
      <c r="K29" s="40">
        <v>179.34</v>
      </c>
      <c r="L29" s="40">
        <v>23.65</v>
      </c>
      <c r="M29" s="40">
        <v>70.540000000000006</v>
      </c>
      <c r="N29" s="40">
        <v>2.2000000000000002</v>
      </c>
      <c r="O29" s="40">
        <v>0</v>
      </c>
      <c r="P29" s="40">
        <v>0.94</v>
      </c>
      <c r="Q29" s="28" t="s">
        <v>15</v>
      </c>
      <c r="R29" s="38"/>
      <c r="S29" s="38"/>
      <c r="T29" s="38"/>
      <c r="U29" s="38"/>
    </row>
    <row r="30" spans="1:21" customFormat="1">
      <c r="A30" s="39" t="s">
        <v>610</v>
      </c>
      <c r="B30" s="40">
        <v>10.34</v>
      </c>
      <c r="C30" s="40">
        <v>27.47</v>
      </c>
      <c r="D30" s="40">
        <v>24</v>
      </c>
      <c r="E30" s="40">
        <v>9.82</v>
      </c>
      <c r="F30" s="42">
        <v>3.83</v>
      </c>
      <c r="G30" s="40">
        <v>154.24</v>
      </c>
      <c r="H30" s="40">
        <v>51.12</v>
      </c>
      <c r="I30" s="40">
        <v>11.98</v>
      </c>
      <c r="J30" s="40">
        <v>0.21</v>
      </c>
      <c r="K30" s="40">
        <v>210.19</v>
      </c>
      <c r="L30" s="40">
        <v>20.82</v>
      </c>
      <c r="M30" s="40">
        <v>77.86</v>
      </c>
      <c r="N30" s="40">
        <v>1.9</v>
      </c>
      <c r="O30" s="40">
        <v>0</v>
      </c>
      <c r="P30" s="40">
        <v>1.02</v>
      </c>
      <c r="Q30" s="28" t="s">
        <v>15</v>
      </c>
      <c r="R30" s="38"/>
      <c r="S30" s="38"/>
      <c r="T30" s="38"/>
      <c r="U30" s="38"/>
    </row>
    <row r="31" spans="1:21" customFormat="1">
      <c r="A31" s="39" t="s">
        <v>611</v>
      </c>
      <c r="B31" s="40">
        <v>9.61</v>
      </c>
      <c r="C31" s="40">
        <v>26.78</v>
      </c>
      <c r="D31" s="40">
        <v>23.04</v>
      </c>
      <c r="E31" s="40">
        <v>9.51</v>
      </c>
      <c r="F31" s="42">
        <v>3.68</v>
      </c>
      <c r="G31" s="40">
        <v>146.12</v>
      </c>
      <c r="H31" s="40">
        <v>46.71</v>
      </c>
      <c r="I31" s="40">
        <v>12.58</v>
      </c>
      <c r="J31" s="40">
        <v>0.21</v>
      </c>
      <c r="K31" s="40">
        <v>216.26</v>
      </c>
      <c r="L31" s="40">
        <v>19.850000000000001</v>
      </c>
      <c r="M31" s="40">
        <v>89.85</v>
      </c>
      <c r="N31" s="40">
        <v>1.5</v>
      </c>
      <c r="O31" s="40">
        <v>0</v>
      </c>
      <c r="P31" s="40">
        <v>1.1000000000000001</v>
      </c>
      <c r="Q31" s="28" t="s">
        <v>15</v>
      </c>
      <c r="R31" s="38"/>
      <c r="S31" s="38"/>
      <c r="T31" s="38"/>
      <c r="U31" s="38"/>
    </row>
    <row r="32" spans="1:21" customFormat="1">
      <c r="A32" s="39" t="s">
        <v>612</v>
      </c>
      <c r="B32" s="40">
        <v>8.32</v>
      </c>
      <c r="C32" s="40">
        <v>26.14</v>
      </c>
      <c r="D32" s="40">
        <v>21.68</v>
      </c>
      <c r="E32" s="40">
        <v>9.02</v>
      </c>
      <c r="F32" s="42">
        <v>3.88</v>
      </c>
      <c r="G32" s="40">
        <v>118.95</v>
      </c>
      <c r="H32" s="40">
        <v>40.58</v>
      </c>
      <c r="I32" s="40">
        <v>13.57</v>
      </c>
      <c r="J32" s="40">
        <v>0.24</v>
      </c>
      <c r="K32" s="40">
        <v>199.89</v>
      </c>
      <c r="L32" s="40">
        <v>19.43</v>
      </c>
      <c r="M32" s="40">
        <v>82.17</v>
      </c>
      <c r="N32" s="40">
        <v>1.4</v>
      </c>
      <c r="O32" s="40">
        <v>0</v>
      </c>
      <c r="P32" s="40">
        <v>1.1499999999999999</v>
      </c>
      <c r="Q32" s="28" t="s">
        <v>15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3.62</v>
      </c>
      <c r="C34" s="18">
        <f t="shared" si="0"/>
        <v>20.59</v>
      </c>
      <c r="D34" s="18">
        <f t="shared" si="0"/>
        <v>15.48</v>
      </c>
      <c r="E34" s="18">
        <f t="shared" si="0"/>
        <v>8.4499999999999993</v>
      </c>
      <c r="F34" s="18">
        <f t="shared" si="0"/>
        <v>3.68</v>
      </c>
      <c r="G34" s="18">
        <f t="shared" si="0"/>
        <v>48.17</v>
      </c>
      <c r="H34" s="18">
        <f t="shared" si="0"/>
        <v>28.11</v>
      </c>
      <c r="I34" s="18">
        <f t="shared" si="0"/>
        <v>7.97</v>
      </c>
      <c r="J34" s="18">
        <f t="shared" si="0"/>
        <v>0.15</v>
      </c>
      <c r="K34" s="18">
        <f t="shared" si="0"/>
        <v>71.47</v>
      </c>
      <c r="L34" s="18">
        <f t="shared" si="0"/>
        <v>14.81</v>
      </c>
      <c r="M34" s="18">
        <f t="shared" si="0"/>
        <v>25.25</v>
      </c>
      <c r="N34" s="18">
        <f t="shared" si="0"/>
        <v>1.3</v>
      </c>
      <c r="O34" s="18">
        <f t="shared" si="0"/>
        <v>0</v>
      </c>
      <c r="P34" s="18">
        <f t="shared" si="0"/>
        <v>0.59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49.97</v>
      </c>
      <c r="C35" s="3">
        <f t="shared" si="1"/>
        <v>31.16</v>
      </c>
      <c r="D35" s="3">
        <f t="shared" si="1"/>
        <v>56.76</v>
      </c>
      <c r="E35" s="3">
        <f t="shared" si="1"/>
        <v>12.76</v>
      </c>
      <c r="F35" s="3">
        <f t="shared" si="1"/>
        <v>14.15</v>
      </c>
      <c r="G35" s="3">
        <f t="shared" si="1"/>
        <v>180.56</v>
      </c>
      <c r="H35" s="3">
        <f t="shared" si="1"/>
        <v>51.5</v>
      </c>
      <c r="I35" s="3">
        <f t="shared" si="1"/>
        <v>18.82</v>
      </c>
      <c r="J35" s="3">
        <f t="shared" si="1"/>
        <v>0.94</v>
      </c>
      <c r="K35" s="3">
        <f t="shared" si="1"/>
        <v>339.31</v>
      </c>
      <c r="L35" s="3">
        <f t="shared" si="1"/>
        <v>32.159999999999997</v>
      </c>
      <c r="M35" s="3">
        <f t="shared" si="1"/>
        <v>103</v>
      </c>
      <c r="N35" s="3">
        <f t="shared" si="1"/>
        <v>415.7</v>
      </c>
      <c r="O35" s="3">
        <f t="shared" si="1"/>
        <v>0</v>
      </c>
      <c r="P35" s="3">
        <f t="shared" si="1"/>
        <v>1.35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21.853750000000002</v>
      </c>
      <c r="C36" s="18">
        <f t="shared" si="2"/>
        <v>27.773750000000003</v>
      </c>
      <c r="D36" s="18">
        <f t="shared" si="2"/>
        <v>33.265000000000001</v>
      </c>
      <c r="E36" s="18">
        <f t="shared" si="2"/>
        <v>10.582916666666666</v>
      </c>
      <c r="F36" s="18">
        <f t="shared" si="2"/>
        <v>6.1654166666666663</v>
      </c>
      <c r="G36" s="18">
        <f t="shared" si="2"/>
        <v>110.1925</v>
      </c>
      <c r="H36" s="18">
        <f t="shared" si="2"/>
        <v>36.877083333333339</v>
      </c>
      <c r="I36" s="18">
        <f t="shared" si="2"/>
        <v>14.084999999999999</v>
      </c>
      <c r="J36" s="18">
        <f t="shared" si="2"/>
        <v>0.34499999999999997</v>
      </c>
      <c r="K36" s="18">
        <f t="shared" si="2"/>
        <v>230.49833333333336</v>
      </c>
      <c r="L36" s="18">
        <f t="shared" si="2"/>
        <v>23.348333333333333</v>
      </c>
      <c r="M36" s="18">
        <f t="shared" si="2"/>
        <v>64.949583333333337</v>
      </c>
      <c r="N36" s="18">
        <f t="shared" si="2"/>
        <v>109.76666666666667</v>
      </c>
      <c r="O36" s="18">
        <f t="shared" si="2"/>
        <v>0</v>
      </c>
      <c r="P36" s="18">
        <f t="shared" si="2"/>
        <v>1.0474999999999999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17.316897455953242</v>
      </c>
      <c r="C37" s="18">
        <f t="shared" ref="C37:Q37" si="3">STDEV(C9:C32)</f>
        <v>2.9893562088647232</v>
      </c>
      <c r="D37" s="18">
        <f t="shared" si="3"/>
        <v>14.778771496864076</v>
      </c>
      <c r="E37" s="18">
        <f t="shared" si="3"/>
        <v>1.0932658659371119</v>
      </c>
      <c r="F37" s="18">
        <f t="shared" si="3"/>
        <v>3.4000127610587465</v>
      </c>
      <c r="G37" s="18">
        <f t="shared" si="3"/>
        <v>40.10998046133524</v>
      </c>
      <c r="H37" s="18">
        <f t="shared" si="3"/>
        <v>6.9172320923068593</v>
      </c>
      <c r="I37" s="18">
        <f t="shared" si="3"/>
        <v>3.49644913043779</v>
      </c>
      <c r="J37" s="18">
        <f t="shared" si="3"/>
        <v>0.18413133309159235</v>
      </c>
      <c r="K37" s="18">
        <f t="shared" si="3"/>
        <v>70.444747924489761</v>
      </c>
      <c r="L37" s="18">
        <f t="shared" si="3"/>
        <v>6.172730821694846</v>
      </c>
      <c r="M37" s="18">
        <f t="shared" si="3"/>
        <v>26.147002235548868</v>
      </c>
      <c r="N37" s="18">
        <f t="shared" si="3"/>
        <v>164.10638295793441</v>
      </c>
      <c r="O37" s="18">
        <f t="shared" si="3"/>
        <v>0</v>
      </c>
      <c r="P37" s="18">
        <f t="shared" si="3"/>
        <v>0.25357016008780864</v>
      </c>
      <c r="Q37" s="18" t="e">
        <f t="shared" si="3"/>
        <v>#DIV/0!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0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LESS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96"/>
  <sheetViews>
    <sheetView zoomScale="85" zoomScaleNormal="85" workbookViewId="0">
      <pane xSplit="1" ySplit="8" topLeftCell="B15" activePane="bottomRight" state="frozen"/>
      <selection activeCell="G19" sqref="G19"/>
      <selection pane="topRight" activeCell="G19" sqref="G19"/>
      <selection pane="bottomLeft" activeCell="G19" sqref="G19"/>
      <selection pane="bottomRight" activeCell="O24" sqref="O2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24/01/2025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613</v>
      </c>
      <c r="B9" s="40">
        <v>7.56</v>
      </c>
      <c r="C9" s="40">
        <v>25.71</v>
      </c>
      <c r="D9" s="40">
        <v>20.77</v>
      </c>
      <c r="E9" s="40">
        <v>8.86</v>
      </c>
      <c r="F9" s="42">
        <v>3.86</v>
      </c>
      <c r="G9" s="40">
        <v>118.95</v>
      </c>
      <c r="H9" s="40">
        <v>40.58</v>
      </c>
      <c r="I9" s="40">
        <v>14.14</v>
      </c>
      <c r="J9" s="40">
        <v>0.25</v>
      </c>
      <c r="K9" s="40">
        <v>251.38</v>
      </c>
      <c r="L9" s="40">
        <v>19.04</v>
      </c>
      <c r="M9" s="40">
        <v>85.61</v>
      </c>
      <c r="N9" s="40">
        <v>1.5</v>
      </c>
      <c r="O9" s="40">
        <v>0</v>
      </c>
      <c r="P9" s="40">
        <v>1.22</v>
      </c>
      <c r="Q9" s="28" t="s">
        <v>15</v>
      </c>
      <c r="R9" s="38"/>
      <c r="S9" s="38"/>
      <c r="T9" s="38"/>
      <c r="U9" s="38"/>
    </row>
    <row r="10" spans="1:21" customFormat="1">
      <c r="A10" s="39" t="s">
        <v>614</v>
      </c>
      <c r="B10" s="40">
        <v>7.92</v>
      </c>
      <c r="C10" s="40">
        <v>26.11</v>
      </c>
      <c r="D10" s="40">
        <v>21.34</v>
      </c>
      <c r="E10" s="40">
        <v>8.91</v>
      </c>
      <c r="F10" s="42">
        <v>3.85</v>
      </c>
      <c r="G10" s="40">
        <v>116.77</v>
      </c>
      <c r="H10" s="40">
        <v>39.51</v>
      </c>
      <c r="I10" s="40">
        <v>15.34</v>
      </c>
      <c r="J10" s="40">
        <v>0.28000000000000003</v>
      </c>
      <c r="K10" s="40">
        <v>189.18</v>
      </c>
      <c r="L10" s="40">
        <v>18.64</v>
      </c>
      <c r="M10" s="40">
        <v>86.81</v>
      </c>
      <c r="N10" s="40">
        <v>1.5</v>
      </c>
      <c r="O10" s="40">
        <v>0</v>
      </c>
      <c r="P10" s="40">
        <v>1.27</v>
      </c>
      <c r="Q10" s="28" t="s">
        <v>15</v>
      </c>
      <c r="R10" s="38"/>
      <c r="S10" s="38"/>
      <c r="T10" s="38"/>
      <c r="U10" s="38"/>
    </row>
    <row r="11" spans="1:21" customFormat="1">
      <c r="A11" s="39" t="s">
        <v>615</v>
      </c>
      <c r="B11" s="40">
        <v>12.96</v>
      </c>
      <c r="C11" s="40">
        <v>26.61</v>
      </c>
      <c r="D11" s="40">
        <v>25.65</v>
      </c>
      <c r="E11" s="40">
        <v>8.3699999999999992</v>
      </c>
      <c r="F11" s="42">
        <v>3.98</v>
      </c>
      <c r="G11" s="40">
        <v>113.07</v>
      </c>
      <c r="H11" s="40">
        <v>39.51</v>
      </c>
      <c r="I11" s="40">
        <v>15.58</v>
      </c>
      <c r="J11" s="40">
        <v>0.2</v>
      </c>
      <c r="K11" s="40">
        <v>202.32</v>
      </c>
      <c r="L11" s="40">
        <v>18.27</v>
      </c>
      <c r="M11" s="40">
        <v>91.26</v>
      </c>
      <c r="N11" s="40">
        <v>1.3</v>
      </c>
      <c r="O11" s="40">
        <v>0</v>
      </c>
      <c r="P11" s="40">
        <v>1.3</v>
      </c>
      <c r="Q11" s="28" t="s">
        <v>15</v>
      </c>
      <c r="R11" s="38"/>
      <c r="S11" s="38"/>
      <c r="T11" s="38"/>
      <c r="U11" s="38"/>
    </row>
    <row r="12" spans="1:21" customFormat="1">
      <c r="A12" s="39" t="s">
        <v>616</v>
      </c>
      <c r="B12" s="40">
        <v>19.649999999999999</v>
      </c>
      <c r="C12" s="40">
        <v>28.24</v>
      </c>
      <c r="D12" s="40">
        <v>31.86</v>
      </c>
      <c r="E12" s="40">
        <v>8.48</v>
      </c>
      <c r="F12" s="42">
        <v>4.22</v>
      </c>
      <c r="G12" s="40">
        <v>119.72</v>
      </c>
      <c r="H12" s="40">
        <v>38.07</v>
      </c>
      <c r="I12" s="40">
        <v>15.82</v>
      </c>
      <c r="J12" s="40">
        <v>0.33</v>
      </c>
      <c r="K12" s="40">
        <v>156.58000000000001</v>
      </c>
      <c r="L12" s="40">
        <v>18.309999999999999</v>
      </c>
      <c r="M12" s="40">
        <v>87.61</v>
      </c>
      <c r="N12" s="40">
        <v>1.3</v>
      </c>
      <c r="O12" s="40">
        <v>0</v>
      </c>
      <c r="P12" s="40">
        <v>1.3</v>
      </c>
      <c r="Q12" s="28" t="s">
        <v>15</v>
      </c>
      <c r="R12" s="38"/>
      <c r="S12" s="38"/>
      <c r="T12" s="38"/>
      <c r="U12" s="38"/>
    </row>
    <row r="13" spans="1:21" customFormat="1">
      <c r="A13" s="39" t="s">
        <v>617</v>
      </c>
      <c r="B13" s="40">
        <v>23.28</v>
      </c>
      <c r="C13" s="40">
        <v>29.05</v>
      </c>
      <c r="D13" s="40">
        <v>35.020000000000003</v>
      </c>
      <c r="E13" s="40">
        <v>8.9</v>
      </c>
      <c r="F13" s="42">
        <v>4.05</v>
      </c>
      <c r="G13" s="40">
        <v>125.23</v>
      </c>
      <c r="H13" s="40">
        <v>37.42</v>
      </c>
      <c r="I13" s="40">
        <v>16.34</v>
      </c>
      <c r="J13" s="40">
        <v>0.22</v>
      </c>
      <c r="K13" s="40">
        <v>205.6</v>
      </c>
      <c r="L13" s="40">
        <v>18.59</v>
      </c>
      <c r="M13" s="40">
        <v>92.09</v>
      </c>
      <c r="N13" s="40">
        <v>1.7</v>
      </c>
      <c r="O13" s="40">
        <v>0</v>
      </c>
      <c r="P13" s="40">
        <v>1.34</v>
      </c>
      <c r="Q13" s="28" t="s">
        <v>15</v>
      </c>
      <c r="R13" s="38"/>
      <c r="S13" s="38"/>
      <c r="T13" s="38"/>
      <c r="U13" s="38"/>
    </row>
    <row r="14" spans="1:21" customFormat="1">
      <c r="A14" s="39" t="s">
        <v>618</v>
      </c>
      <c r="B14" s="40">
        <v>23.19</v>
      </c>
      <c r="C14" s="40">
        <v>28.13</v>
      </c>
      <c r="D14" s="40">
        <v>34.65</v>
      </c>
      <c r="E14" s="40">
        <v>8.58</v>
      </c>
      <c r="F14" s="42">
        <v>3.96</v>
      </c>
      <c r="G14" s="40">
        <v>128.63</v>
      </c>
      <c r="H14" s="40">
        <v>37.299999999999997</v>
      </c>
      <c r="I14" s="40">
        <v>16.760000000000002</v>
      </c>
      <c r="J14" s="40">
        <v>0.19</v>
      </c>
      <c r="K14" s="40">
        <v>214.98</v>
      </c>
      <c r="L14" s="40">
        <v>16.760000000000002</v>
      </c>
      <c r="M14" s="40">
        <v>93.43</v>
      </c>
      <c r="N14" s="40">
        <v>1.6</v>
      </c>
      <c r="O14" s="40">
        <v>0</v>
      </c>
      <c r="P14" s="40">
        <v>1.38</v>
      </c>
      <c r="Q14" s="28" t="s">
        <v>15</v>
      </c>
      <c r="R14" s="38"/>
      <c r="S14" s="38"/>
      <c r="T14" s="38"/>
      <c r="U14" s="38"/>
    </row>
    <row r="15" spans="1:21" customFormat="1">
      <c r="A15" s="39" t="s">
        <v>619</v>
      </c>
      <c r="B15" s="40">
        <v>31.02</v>
      </c>
      <c r="C15" s="40">
        <v>28.35</v>
      </c>
      <c r="D15" s="40">
        <v>40.93</v>
      </c>
      <c r="E15" s="40">
        <v>8.27</v>
      </c>
      <c r="F15" s="42">
        <v>3.91</v>
      </c>
      <c r="G15" s="40">
        <v>137.94</v>
      </c>
      <c r="H15" s="40">
        <v>38.71</v>
      </c>
      <c r="I15" s="40">
        <v>18.11</v>
      </c>
      <c r="J15" s="40">
        <v>0.2</v>
      </c>
      <c r="K15" s="40">
        <v>213.62</v>
      </c>
      <c r="L15" s="40">
        <v>16.75</v>
      </c>
      <c r="M15" s="40">
        <v>102.08</v>
      </c>
      <c r="N15" s="40">
        <v>6.1</v>
      </c>
      <c r="O15" s="40">
        <v>0</v>
      </c>
      <c r="P15" s="40">
        <v>1.46</v>
      </c>
      <c r="Q15" s="28" t="s">
        <v>15</v>
      </c>
      <c r="R15" s="38"/>
      <c r="S15" s="38"/>
      <c r="T15" s="38"/>
      <c r="U15" s="38"/>
    </row>
    <row r="16" spans="1:21" customFormat="1">
      <c r="A16" s="39" t="s">
        <v>620</v>
      </c>
      <c r="B16" s="40">
        <v>31.26</v>
      </c>
      <c r="C16" s="40">
        <v>27.86</v>
      </c>
      <c r="D16" s="40">
        <v>40.950000000000003</v>
      </c>
      <c r="E16" s="40">
        <v>7.84</v>
      </c>
      <c r="F16" s="42">
        <v>4.16</v>
      </c>
      <c r="G16" s="40">
        <v>137.94</v>
      </c>
      <c r="H16" s="40">
        <v>39.64</v>
      </c>
      <c r="I16" s="40">
        <v>18.350000000000001</v>
      </c>
      <c r="J16" s="40">
        <v>0.24</v>
      </c>
      <c r="K16" s="40">
        <v>219.15</v>
      </c>
      <c r="L16" s="40">
        <v>18.03</v>
      </c>
      <c r="M16" s="40">
        <v>94.91</v>
      </c>
      <c r="N16" s="40">
        <v>38</v>
      </c>
      <c r="O16" s="40">
        <v>0</v>
      </c>
      <c r="P16" s="40">
        <v>1.49</v>
      </c>
      <c r="Q16" s="28" t="s">
        <v>15</v>
      </c>
      <c r="R16" s="38"/>
      <c r="S16" s="38"/>
      <c r="T16" s="38"/>
      <c r="U16" s="38"/>
    </row>
    <row r="17" spans="1:21" customFormat="1">
      <c r="A17" s="39" t="s">
        <v>621</v>
      </c>
      <c r="B17" s="40">
        <v>28.62</v>
      </c>
      <c r="C17" s="40">
        <v>28.69</v>
      </c>
      <c r="D17" s="40">
        <v>38.15</v>
      </c>
      <c r="E17" s="40">
        <v>8.14</v>
      </c>
      <c r="F17" s="42">
        <v>4.66</v>
      </c>
      <c r="G17" s="40">
        <v>156.22999999999999</v>
      </c>
      <c r="H17" s="40">
        <v>43.83</v>
      </c>
      <c r="I17" s="40">
        <v>19.29</v>
      </c>
      <c r="J17" s="40">
        <v>0.34</v>
      </c>
      <c r="K17" s="40">
        <v>211.24</v>
      </c>
      <c r="L17" s="40">
        <v>22.32</v>
      </c>
      <c r="M17" s="40">
        <v>83.13</v>
      </c>
      <c r="N17" s="40">
        <v>141.9</v>
      </c>
      <c r="O17" s="40">
        <v>0</v>
      </c>
      <c r="P17" s="40">
        <v>1.6</v>
      </c>
      <c r="Q17" s="28" t="s">
        <v>15</v>
      </c>
      <c r="R17" s="38"/>
      <c r="S17" s="38"/>
      <c r="T17" s="38"/>
      <c r="U17" s="38"/>
    </row>
    <row r="18" spans="1:21" customFormat="1">
      <c r="A18" s="39" t="s">
        <v>622</v>
      </c>
      <c r="B18" s="40">
        <v>23.54</v>
      </c>
      <c r="C18" s="40">
        <v>37.229999999999997</v>
      </c>
      <c r="D18" s="40">
        <v>36.090000000000003</v>
      </c>
      <c r="E18" s="40">
        <v>9.7899999999999991</v>
      </c>
      <c r="F18" s="42">
        <v>5.64</v>
      </c>
      <c r="G18" s="40">
        <v>156.22999999999999</v>
      </c>
      <c r="H18" s="40">
        <v>55.81</v>
      </c>
      <c r="I18" s="40">
        <v>22.02</v>
      </c>
      <c r="J18" s="40">
        <v>0.51</v>
      </c>
      <c r="K18" s="40">
        <v>332.27</v>
      </c>
      <c r="L18" s="40">
        <v>25.28</v>
      </c>
      <c r="M18" s="40">
        <v>65.8</v>
      </c>
      <c r="N18" s="40">
        <v>224</v>
      </c>
      <c r="O18" s="40">
        <v>0</v>
      </c>
      <c r="P18" s="40">
        <v>2.0099999999999998</v>
      </c>
      <c r="Q18" s="28" t="s">
        <v>15</v>
      </c>
      <c r="R18" s="38"/>
      <c r="S18" s="38"/>
      <c r="T18" s="38"/>
      <c r="U18" s="38"/>
    </row>
    <row r="19" spans="1:21" customFormat="1">
      <c r="A19" s="39" t="s">
        <v>623</v>
      </c>
      <c r="B19" s="40">
        <v>16.71</v>
      </c>
      <c r="C19" s="40">
        <v>40.659999999999997</v>
      </c>
      <c r="D19" s="40">
        <v>35.130000000000003</v>
      </c>
      <c r="E19" s="40">
        <v>11.27</v>
      </c>
      <c r="F19" s="42">
        <v>7.63</v>
      </c>
      <c r="G19" s="40">
        <v>156.22999999999999</v>
      </c>
      <c r="H19" s="40">
        <v>68.19</v>
      </c>
      <c r="I19" s="40">
        <v>23.46</v>
      </c>
      <c r="J19" s="40">
        <v>0.44</v>
      </c>
      <c r="K19" s="40">
        <v>326.31</v>
      </c>
      <c r="L19" s="40">
        <v>27.67</v>
      </c>
      <c r="M19" s="40">
        <v>51.61</v>
      </c>
      <c r="N19" s="40">
        <v>307</v>
      </c>
      <c r="O19" s="40">
        <v>0</v>
      </c>
      <c r="P19" s="40">
        <v>2.0499999999999998</v>
      </c>
      <c r="Q19" s="28" t="s">
        <v>15</v>
      </c>
      <c r="R19" s="38"/>
      <c r="S19" s="38"/>
      <c r="T19" s="38"/>
      <c r="U19" s="38"/>
    </row>
    <row r="20" spans="1:21" customFormat="1">
      <c r="A20" s="39" t="s">
        <v>624</v>
      </c>
      <c r="B20" s="40">
        <v>8.26</v>
      </c>
      <c r="C20" s="40">
        <v>40.729999999999997</v>
      </c>
      <c r="D20" s="40">
        <v>29.25</v>
      </c>
      <c r="E20" s="40">
        <v>15.5</v>
      </c>
      <c r="F20" s="42">
        <v>19.09</v>
      </c>
      <c r="G20" s="40">
        <v>158.06</v>
      </c>
      <c r="H20" s="40">
        <v>68.19</v>
      </c>
      <c r="I20" s="40">
        <v>22.72</v>
      </c>
      <c r="J20" s="40">
        <v>0.73</v>
      </c>
      <c r="K20" s="40">
        <v>310.10000000000002</v>
      </c>
      <c r="L20" s="40">
        <v>29.32</v>
      </c>
      <c r="M20" s="40">
        <v>42.63</v>
      </c>
      <c r="N20" s="40">
        <v>354.5</v>
      </c>
      <c r="O20" s="40">
        <v>0</v>
      </c>
      <c r="P20" s="40">
        <v>1.93</v>
      </c>
      <c r="Q20" s="28" t="s">
        <v>15</v>
      </c>
      <c r="R20" s="38"/>
      <c r="S20" s="38"/>
      <c r="T20" s="38"/>
      <c r="U20" s="38"/>
    </row>
    <row r="21" spans="1:21" customFormat="1">
      <c r="A21" s="39" t="s">
        <v>625</v>
      </c>
      <c r="B21" s="40">
        <v>4.32</v>
      </c>
      <c r="C21" s="40">
        <v>37.979999999999997</v>
      </c>
      <c r="D21" s="40">
        <v>24.65</v>
      </c>
      <c r="E21" s="40">
        <v>18.11</v>
      </c>
      <c r="F21" s="42">
        <v>39.9</v>
      </c>
      <c r="G21" s="40">
        <v>158.06</v>
      </c>
      <c r="H21" s="40">
        <v>56.9</v>
      </c>
      <c r="I21" s="40">
        <v>20.87</v>
      </c>
      <c r="J21" s="40">
        <v>0.69</v>
      </c>
      <c r="K21" s="40">
        <v>334.25</v>
      </c>
      <c r="L21" s="40">
        <v>30.31</v>
      </c>
      <c r="M21" s="40">
        <v>37.979999999999997</v>
      </c>
      <c r="N21" s="40">
        <v>374.7</v>
      </c>
      <c r="O21" s="40">
        <v>0</v>
      </c>
      <c r="P21" s="40">
        <v>1.73</v>
      </c>
      <c r="Q21" s="28" t="s">
        <v>15</v>
      </c>
      <c r="R21" s="38"/>
      <c r="S21" s="38"/>
      <c r="T21" s="38"/>
      <c r="U21" s="38"/>
    </row>
    <row r="22" spans="1:21" customFormat="1">
      <c r="A22" s="39" t="s">
        <v>626</v>
      </c>
      <c r="B22" s="40">
        <v>4.1100000000000003</v>
      </c>
      <c r="C22" s="40">
        <v>34.44</v>
      </c>
      <c r="D22" s="40">
        <v>22.5</v>
      </c>
      <c r="E22" s="40">
        <v>13.62</v>
      </c>
      <c r="F22" s="42">
        <v>33.17</v>
      </c>
      <c r="G22" s="40">
        <v>132.47999999999999</v>
      </c>
      <c r="H22" s="40">
        <v>55.11</v>
      </c>
      <c r="I22" s="40">
        <v>18.79</v>
      </c>
      <c r="J22" s="40">
        <v>0.67</v>
      </c>
      <c r="K22" s="40">
        <v>346.94</v>
      </c>
      <c r="L22" s="40">
        <v>30.96</v>
      </c>
      <c r="M22" s="40">
        <v>34.07</v>
      </c>
      <c r="N22" s="40">
        <v>377.6</v>
      </c>
      <c r="O22" s="40">
        <v>0</v>
      </c>
      <c r="P22" s="40">
        <v>1.55</v>
      </c>
      <c r="Q22" s="28" t="s">
        <v>15</v>
      </c>
      <c r="R22" s="38"/>
      <c r="S22" s="38"/>
      <c r="T22" s="38"/>
      <c r="U22" s="38"/>
    </row>
    <row r="23" spans="1:21" customFormat="1">
      <c r="A23" s="39" t="s">
        <v>627</v>
      </c>
      <c r="B23" s="40">
        <v>4.08</v>
      </c>
      <c r="C23" s="40">
        <v>29.45</v>
      </c>
      <c r="D23" s="40">
        <v>20.010000000000002</v>
      </c>
      <c r="E23" s="40">
        <v>13.49</v>
      </c>
      <c r="F23" s="42">
        <v>11.51</v>
      </c>
      <c r="G23" s="40">
        <v>81.09</v>
      </c>
      <c r="H23" s="40">
        <v>47.55</v>
      </c>
      <c r="I23" s="40">
        <v>16.78</v>
      </c>
      <c r="J23" s="40">
        <v>0.54</v>
      </c>
      <c r="K23" s="40">
        <v>324.60000000000002</v>
      </c>
      <c r="L23" s="40">
        <v>30.79</v>
      </c>
      <c r="M23" s="40">
        <v>32.76</v>
      </c>
      <c r="N23" s="40">
        <v>264.39999999999998</v>
      </c>
      <c r="O23" s="40">
        <v>0</v>
      </c>
      <c r="P23" s="40">
        <v>1.23</v>
      </c>
      <c r="Q23" s="28" t="s">
        <v>15</v>
      </c>
      <c r="R23" s="38"/>
      <c r="S23" s="38"/>
      <c r="T23" s="38"/>
      <c r="U23" s="38"/>
    </row>
    <row r="24" spans="1:21" customFormat="1">
      <c r="A24" s="39" t="s">
        <v>628</v>
      </c>
      <c r="B24" s="40">
        <v>4.04</v>
      </c>
      <c r="C24" s="40">
        <v>26.88</v>
      </c>
      <c r="D24" s="40">
        <v>18.600000000000001</v>
      </c>
      <c r="E24" s="40">
        <v>17.03</v>
      </c>
      <c r="F24" s="42">
        <v>15.98</v>
      </c>
      <c r="G24" s="40">
        <v>49.18</v>
      </c>
      <c r="H24" s="40">
        <v>58.35</v>
      </c>
      <c r="I24" s="40">
        <v>14.89</v>
      </c>
      <c r="J24" s="40">
        <v>0.53</v>
      </c>
      <c r="K24" s="40">
        <v>301.12</v>
      </c>
      <c r="L24" s="40">
        <v>30.32</v>
      </c>
      <c r="M24" s="40">
        <v>30.02</v>
      </c>
      <c r="N24" s="40">
        <v>62.4</v>
      </c>
      <c r="O24" s="40">
        <v>0</v>
      </c>
      <c r="P24" s="40">
        <v>1.1000000000000001</v>
      </c>
      <c r="Q24" s="28" t="s">
        <v>15</v>
      </c>
      <c r="R24" s="38"/>
      <c r="S24" s="38"/>
      <c r="T24" s="38"/>
      <c r="U24" s="38"/>
    </row>
    <row r="25" spans="1:21" customFormat="1">
      <c r="A25" s="39" t="s">
        <v>629</v>
      </c>
      <c r="B25" s="40">
        <v>4.3</v>
      </c>
      <c r="C25" s="40">
        <v>25.07</v>
      </c>
      <c r="D25" s="40">
        <v>17.77</v>
      </c>
      <c r="E25" s="40">
        <v>18.489999999999998</v>
      </c>
      <c r="F25" s="42">
        <v>17.73</v>
      </c>
      <c r="G25" s="40">
        <v>56</v>
      </c>
      <c r="H25" s="40">
        <v>64.12</v>
      </c>
      <c r="I25" s="40">
        <v>13.06</v>
      </c>
      <c r="J25" s="40">
        <v>0.21</v>
      </c>
      <c r="K25" s="40">
        <v>260.77</v>
      </c>
      <c r="L25" s="40">
        <v>29.68</v>
      </c>
      <c r="M25" s="40">
        <v>35.229999999999997</v>
      </c>
      <c r="N25" s="40">
        <v>40.6</v>
      </c>
      <c r="O25" s="40">
        <v>0</v>
      </c>
      <c r="P25" s="40">
        <v>0.99</v>
      </c>
      <c r="Q25" s="28" t="s">
        <v>15</v>
      </c>
      <c r="R25" s="38"/>
      <c r="S25" s="38"/>
      <c r="T25" s="38"/>
      <c r="U25" s="38"/>
    </row>
    <row r="26" spans="1:21" customFormat="1">
      <c r="A26" s="39" t="s">
        <v>630</v>
      </c>
      <c r="B26" s="40">
        <v>4.8499999999999996</v>
      </c>
      <c r="C26" s="40">
        <v>26.47</v>
      </c>
      <c r="D26" s="40">
        <v>19.07</v>
      </c>
      <c r="E26" s="40">
        <v>14.19</v>
      </c>
      <c r="F26" s="42">
        <v>12.73</v>
      </c>
      <c r="G26" s="40">
        <v>70.12</v>
      </c>
      <c r="H26" s="40">
        <v>64.12</v>
      </c>
      <c r="I26" s="40">
        <v>12.83</v>
      </c>
      <c r="J26" s="40">
        <v>0.32</v>
      </c>
      <c r="K26" s="40">
        <v>242.15</v>
      </c>
      <c r="L26" s="40">
        <v>28.26</v>
      </c>
      <c r="M26" s="40">
        <v>54.48</v>
      </c>
      <c r="N26" s="40">
        <v>16.100000000000001</v>
      </c>
      <c r="O26" s="40">
        <v>0</v>
      </c>
      <c r="P26" s="40">
        <v>1.01</v>
      </c>
      <c r="Q26" s="28" t="s">
        <v>15</v>
      </c>
      <c r="R26" s="38"/>
      <c r="S26" s="38"/>
      <c r="T26" s="38"/>
      <c r="U26" s="38"/>
    </row>
    <row r="27" spans="1:21" customFormat="1">
      <c r="A27" s="39" t="s">
        <v>631</v>
      </c>
      <c r="B27" s="40">
        <v>6.01</v>
      </c>
      <c r="C27" s="40">
        <v>29.57</v>
      </c>
      <c r="D27" s="40">
        <v>21.62</v>
      </c>
      <c r="E27" s="40">
        <v>10.55</v>
      </c>
      <c r="F27" s="42">
        <v>6.95</v>
      </c>
      <c r="G27" s="40">
        <v>106.26</v>
      </c>
      <c r="H27" s="40">
        <v>49.31</v>
      </c>
      <c r="I27" s="40">
        <v>13</v>
      </c>
      <c r="J27" s="40">
        <v>0.31</v>
      </c>
      <c r="K27" s="40">
        <v>195.14</v>
      </c>
      <c r="L27" s="40">
        <v>24.67</v>
      </c>
      <c r="M27" s="40">
        <v>63.15</v>
      </c>
      <c r="N27" s="40">
        <v>2</v>
      </c>
      <c r="O27" s="40">
        <v>0</v>
      </c>
      <c r="P27" s="40">
        <v>1.05</v>
      </c>
      <c r="Q27" s="28" t="s">
        <v>15</v>
      </c>
      <c r="R27" s="38"/>
      <c r="S27" s="38"/>
      <c r="T27" s="38"/>
      <c r="U27" s="38"/>
    </row>
    <row r="28" spans="1:21" customFormat="1">
      <c r="A28" s="39" t="s">
        <v>632</v>
      </c>
      <c r="B28" s="40">
        <v>6.27</v>
      </c>
      <c r="C28" s="40">
        <v>30.09</v>
      </c>
      <c r="D28" s="40">
        <v>22.02</v>
      </c>
      <c r="E28" s="40">
        <v>9.98</v>
      </c>
      <c r="F28" s="42">
        <v>5.23</v>
      </c>
      <c r="G28" s="40">
        <v>106.26</v>
      </c>
      <c r="H28" s="40">
        <v>46.58</v>
      </c>
      <c r="I28" s="40">
        <v>13.43</v>
      </c>
      <c r="J28" s="40">
        <v>0.21</v>
      </c>
      <c r="K28" s="40">
        <v>203.11</v>
      </c>
      <c r="L28" s="40">
        <v>22.47</v>
      </c>
      <c r="M28" s="40">
        <v>71.36</v>
      </c>
      <c r="N28" s="40">
        <v>1.6</v>
      </c>
      <c r="O28" s="40">
        <v>0</v>
      </c>
      <c r="P28" s="40">
        <v>1.08</v>
      </c>
      <c r="Q28" s="28" t="s">
        <v>15</v>
      </c>
      <c r="R28" s="38"/>
      <c r="S28" s="38"/>
      <c r="T28" s="38"/>
      <c r="U28" s="38"/>
    </row>
    <row r="29" spans="1:21" customFormat="1">
      <c r="A29" s="39" t="s">
        <v>633</v>
      </c>
      <c r="B29" s="40">
        <v>6.63</v>
      </c>
      <c r="C29" s="40">
        <v>29.3</v>
      </c>
      <c r="D29" s="40">
        <v>21.76</v>
      </c>
      <c r="E29" s="40">
        <v>9.9499999999999993</v>
      </c>
      <c r="F29" s="42">
        <v>4.38</v>
      </c>
      <c r="G29" s="40">
        <v>114.83</v>
      </c>
      <c r="H29" s="40">
        <v>41.89</v>
      </c>
      <c r="I29" s="40">
        <v>13.95</v>
      </c>
      <c r="J29" s="40">
        <v>0.21</v>
      </c>
      <c r="K29" s="40">
        <v>211.14</v>
      </c>
      <c r="L29" s="40">
        <v>21.16</v>
      </c>
      <c r="M29" s="40">
        <v>74.39</v>
      </c>
      <c r="N29" s="40">
        <v>1.4</v>
      </c>
      <c r="O29" s="40">
        <v>0</v>
      </c>
      <c r="P29" s="40">
        <v>1.0900000000000001</v>
      </c>
      <c r="Q29" s="28" t="s">
        <v>15</v>
      </c>
      <c r="R29" s="38"/>
      <c r="S29" s="38"/>
      <c r="T29" s="38"/>
      <c r="U29" s="38"/>
    </row>
    <row r="30" spans="1:21" customFormat="1">
      <c r="A30" s="39" t="s">
        <v>634</v>
      </c>
      <c r="B30" s="40">
        <v>13.54</v>
      </c>
      <c r="C30" s="40">
        <v>29.46</v>
      </c>
      <c r="D30" s="40">
        <v>27.6</v>
      </c>
      <c r="E30" s="40">
        <v>10.130000000000001</v>
      </c>
      <c r="F30" s="42">
        <v>4.0199999999999996</v>
      </c>
      <c r="G30" s="40">
        <v>115.2</v>
      </c>
      <c r="H30" s="40">
        <v>37.090000000000003</v>
      </c>
      <c r="I30" s="40">
        <v>15.07</v>
      </c>
      <c r="J30" s="40">
        <v>0.25</v>
      </c>
      <c r="K30" s="40">
        <v>180.43</v>
      </c>
      <c r="L30" s="40">
        <v>20.99</v>
      </c>
      <c r="M30" s="40">
        <v>73.28</v>
      </c>
      <c r="N30" s="40">
        <v>1.2</v>
      </c>
      <c r="O30" s="40">
        <v>0</v>
      </c>
      <c r="P30" s="40">
        <v>1.25</v>
      </c>
      <c r="Q30" s="28" t="s">
        <v>15</v>
      </c>
      <c r="R30" s="38"/>
      <c r="S30" s="38"/>
      <c r="T30" s="38"/>
      <c r="U30" s="38"/>
    </row>
    <row r="31" spans="1:21" customFormat="1">
      <c r="A31" s="39" t="s">
        <v>635</v>
      </c>
      <c r="B31" s="40">
        <v>21.93</v>
      </c>
      <c r="C31" s="40">
        <v>30.76</v>
      </c>
      <c r="D31" s="40">
        <v>35.01</v>
      </c>
      <c r="E31" s="40">
        <v>10.210000000000001</v>
      </c>
      <c r="F31" s="42">
        <v>4.09</v>
      </c>
      <c r="G31" s="40">
        <v>144.96</v>
      </c>
      <c r="H31" s="40">
        <v>35.04</v>
      </c>
      <c r="I31" s="40">
        <v>17.05</v>
      </c>
      <c r="J31" s="40">
        <v>0.24</v>
      </c>
      <c r="K31" s="40">
        <v>197.6</v>
      </c>
      <c r="L31" s="40">
        <v>20.52</v>
      </c>
      <c r="M31" s="40">
        <v>79.150000000000006</v>
      </c>
      <c r="N31" s="40">
        <v>1.8</v>
      </c>
      <c r="O31" s="40">
        <v>0</v>
      </c>
      <c r="P31" s="40">
        <v>1.38</v>
      </c>
      <c r="Q31" s="28" t="s">
        <v>15</v>
      </c>
      <c r="R31" s="38"/>
      <c r="S31" s="38"/>
      <c r="T31" s="38"/>
      <c r="U31" s="38"/>
    </row>
    <row r="32" spans="1:21" customFormat="1">
      <c r="A32" s="39" t="s">
        <v>636</v>
      </c>
      <c r="B32" s="40">
        <v>25.85</v>
      </c>
      <c r="C32" s="40">
        <v>30.98</v>
      </c>
      <c r="D32" s="40">
        <v>37.979999999999997</v>
      </c>
      <c r="E32" s="40">
        <v>10.23</v>
      </c>
      <c r="F32" s="42">
        <v>4.1399999999999997</v>
      </c>
      <c r="G32" s="40">
        <v>144.96</v>
      </c>
      <c r="H32" s="40">
        <v>38.85</v>
      </c>
      <c r="I32" s="40">
        <v>18.13</v>
      </c>
      <c r="J32" s="40">
        <v>0.25</v>
      </c>
      <c r="K32" s="40">
        <v>206.75</v>
      </c>
      <c r="L32" s="40">
        <v>19.170000000000002</v>
      </c>
      <c r="M32" s="40">
        <v>83.13</v>
      </c>
      <c r="N32" s="40">
        <v>1.5</v>
      </c>
      <c r="O32" s="40">
        <v>0</v>
      </c>
      <c r="P32" s="40">
        <v>1.45</v>
      </c>
      <c r="Q32" s="28" t="s">
        <v>15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4.04</v>
      </c>
      <c r="C34" s="18">
        <f t="shared" si="0"/>
        <v>25.07</v>
      </c>
      <c r="D34" s="18">
        <f t="shared" si="0"/>
        <v>17.77</v>
      </c>
      <c r="E34" s="18">
        <f t="shared" si="0"/>
        <v>7.84</v>
      </c>
      <c r="F34" s="18">
        <f t="shared" si="0"/>
        <v>3.85</v>
      </c>
      <c r="G34" s="18">
        <f t="shared" si="0"/>
        <v>49.18</v>
      </c>
      <c r="H34" s="18">
        <f t="shared" si="0"/>
        <v>35.04</v>
      </c>
      <c r="I34" s="18">
        <f t="shared" si="0"/>
        <v>12.83</v>
      </c>
      <c r="J34" s="18">
        <f t="shared" si="0"/>
        <v>0.19</v>
      </c>
      <c r="K34" s="18">
        <f t="shared" si="0"/>
        <v>156.58000000000001</v>
      </c>
      <c r="L34" s="18">
        <f t="shared" si="0"/>
        <v>16.75</v>
      </c>
      <c r="M34" s="18">
        <f t="shared" si="0"/>
        <v>30.02</v>
      </c>
      <c r="N34" s="18">
        <f t="shared" si="0"/>
        <v>1.2</v>
      </c>
      <c r="O34" s="18">
        <f t="shared" si="0"/>
        <v>0</v>
      </c>
      <c r="P34" s="18">
        <f t="shared" si="0"/>
        <v>0.99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31.26</v>
      </c>
      <c r="C35" s="3">
        <f t="shared" si="1"/>
        <v>40.729999999999997</v>
      </c>
      <c r="D35" s="3">
        <f t="shared" si="1"/>
        <v>40.950000000000003</v>
      </c>
      <c r="E35" s="3">
        <f t="shared" si="1"/>
        <v>18.489999999999998</v>
      </c>
      <c r="F35" s="3">
        <f t="shared" si="1"/>
        <v>39.9</v>
      </c>
      <c r="G35" s="3">
        <f t="shared" si="1"/>
        <v>158.06</v>
      </c>
      <c r="H35" s="3">
        <f t="shared" si="1"/>
        <v>68.19</v>
      </c>
      <c r="I35" s="3">
        <f t="shared" si="1"/>
        <v>23.46</v>
      </c>
      <c r="J35" s="3">
        <f t="shared" si="1"/>
        <v>0.73</v>
      </c>
      <c r="K35" s="3">
        <f t="shared" si="1"/>
        <v>346.94</v>
      </c>
      <c r="L35" s="3">
        <f t="shared" si="1"/>
        <v>30.96</v>
      </c>
      <c r="M35" s="3">
        <f t="shared" si="1"/>
        <v>102.08</v>
      </c>
      <c r="N35" s="3">
        <f t="shared" si="1"/>
        <v>377.6</v>
      </c>
      <c r="O35" s="3">
        <f t="shared" si="1"/>
        <v>0</v>
      </c>
      <c r="P35" s="3">
        <f t="shared" si="1"/>
        <v>2.0499999999999998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14.162500000000001</v>
      </c>
      <c r="C36" s="18">
        <f t="shared" si="2"/>
        <v>30.325833333333339</v>
      </c>
      <c r="D36" s="18">
        <f t="shared" si="2"/>
        <v>28.265833333333333</v>
      </c>
      <c r="E36" s="18">
        <f t="shared" si="2"/>
        <v>11.203750000000001</v>
      </c>
      <c r="F36" s="18">
        <f t="shared" si="2"/>
        <v>9.5349999999999966</v>
      </c>
      <c r="G36" s="18">
        <f t="shared" si="2"/>
        <v>121.01666666666667</v>
      </c>
      <c r="H36" s="18">
        <f t="shared" si="2"/>
        <v>47.569583333333327</v>
      </c>
      <c r="I36" s="18">
        <f t="shared" si="2"/>
        <v>16.907499999999999</v>
      </c>
      <c r="J36" s="18">
        <f t="shared" si="2"/>
        <v>0.34833333333333333</v>
      </c>
      <c r="K36" s="18">
        <f t="shared" si="2"/>
        <v>243.19708333333335</v>
      </c>
      <c r="L36" s="18">
        <f t="shared" si="2"/>
        <v>23.261666666666667</v>
      </c>
      <c r="M36" s="18">
        <f t="shared" si="2"/>
        <v>68.582083333333344</v>
      </c>
      <c r="N36" s="18">
        <f t="shared" si="2"/>
        <v>92.737500000000011</v>
      </c>
      <c r="O36" s="18">
        <f t="shared" si="2"/>
        <v>0</v>
      </c>
      <c r="P36" s="18">
        <f t="shared" si="2"/>
        <v>1.3858333333333335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9.6962216980322449</v>
      </c>
      <c r="C37" s="18">
        <f t="shared" ref="C37:Q37" si="3">STDEV(C9:C32)</f>
        <v>4.5336720088751052</v>
      </c>
      <c r="D37" s="18">
        <f t="shared" si="3"/>
        <v>7.8213425494196471</v>
      </c>
      <c r="E37" s="18">
        <f t="shared" si="3"/>
        <v>3.2933606629887482</v>
      </c>
      <c r="F37" s="18">
        <f t="shared" si="3"/>
        <v>9.6088785935762058</v>
      </c>
      <c r="G37" s="18">
        <f t="shared" si="3"/>
        <v>31.317370880081423</v>
      </c>
      <c r="H37" s="18">
        <f t="shared" si="3"/>
        <v>10.911153638909363</v>
      </c>
      <c r="I37" s="18">
        <f t="shared" si="3"/>
        <v>3.101378725663801</v>
      </c>
      <c r="J37" s="18">
        <f t="shared" si="3"/>
        <v>0.17104961565140309</v>
      </c>
      <c r="K37" s="18">
        <f t="shared" si="3"/>
        <v>58.15870412101907</v>
      </c>
      <c r="L37" s="18">
        <f t="shared" si="3"/>
        <v>5.1145450447222434</v>
      </c>
      <c r="M37" s="18">
        <f t="shared" si="3"/>
        <v>23.116169943619937</v>
      </c>
      <c r="N37" s="18">
        <f t="shared" si="3"/>
        <v>138.94408262976182</v>
      </c>
      <c r="O37" s="18">
        <f t="shared" si="3"/>
        <v>0</v>
      </c>
      <c r="P37" s="18">
        <f t="shared" si="3"/>
        <v>0.30307004021407608</v>
      </c>
      <c r="Q37" s="18" t="e">
        <f t="shared" si="3"/>
        <v>#DIV/0!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0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LESS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96"/>
  <sheetViews>
    <sheetView zoomScale="85" zoomScaleNormal="85" workbookViewId="0">
      <pane xSplit="1" ySplit="8" topLeftCell="B16" activePane="bottomRight" state="frozen"/>
      <selection activeCell="G19" sqref="G19"/>
      <selection pane="topRight" activeCell="G19" sqref="G19"/>
      <selection pane="bottomLeft" activeCell="G19" sqref="G19"/>
      <selection pane="bottomRight" activeCell="I24" sqref="I2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25/01/2025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637</v>
      </c>
      <c r="B9" s="40">
        <v>27.5</v>
      </c>
      <c r="C9" s="40">
        <v>30.96</v>
      </c>
      <c r="D9" s="40">
        <v>39.340000000000003</v>
      </c>
      <c r="E9" s="40">
        <v>10.79</v>
      </c>
      <c r="F9" s="42">
        <v>4.04</v>
      </c>
      <c r="G9" s="40">
        <v>133.66</v>
      </c>
      <c r="H9" s="40">
        <v>38.85</v>
      </c>
      <c r="I9" s="40">
        <v>18.7</v>
      </c>
      <c r="J9" s="40">
        <v>0.28999999999999998</v>
      </c>
      <c r="K9" s="40">
        <v>169.53</v>
      </c>
      <c r="L9" s="40">
        <v>18.66</v>
      </c>
      <c r="M9" s="40">
        <v>98.16</v>
      </c>
      <c r="N9" s="40">
        <v>1.4</v>
      </c>
      <c r="O9" s="40">
        <v>0</v>
      </c>
      <c r="P9" s="40">
        <v>1.47</v>
      </c>
      <c r="Q9" s="40">
        <v>10.6</v>
      </c>
      <c r="R9" s="38"/>
      <c r="S9" s="38"/>
      <c r="T9" s="38"/>
      <c r="U9" s="38"/>
    </row>
    <row r="10" spans="1:21" customFormat="1">
      <c r="A10" s="39" t="s">
        <v>638</v>
      </c>
      <c r="B10" s="40">
        <v>26.92</v>
      </c>
      <c r="C10" s="40">
        <v>29.18</v>
      </c>
      <c r="D10" s="40">
        <v>38.19</v>
      </c>
      <c r="E10" s="40">
        <v>9.98</v>
      </c>
      <c r="F10" s="42">
        <v>4.0199999999999996</v>
      </c>
      <c r="G10" s="40">
        <v>122.22</v>
      </c>
      <c r="H10" s="40">
        <v>36.770000000000003</v>
      </c>
      <c r="I10" s="40">
        <v>18.98</v>
      </c>
      <c r="J10" s="40">
        <v>0.19</v>
      </c>
      <c r="K10" s="40">
        <v>244.29</v>
      </c>
      <c r="L10" s="40">
        <v>17.98</v>
      </c>
      <c r="M10" s="40">
        <v>99.38</v>
      </c>
      <c r="N10" s="40">
        <v>1.6</v>
      </c>
      <c r="O10" s="40">
        <v>0</v>
      </c>
      <c r="P10" s="40">
        <v>1.48</v>
      </c>
      <c r="Q10" s="40">
        <v>10.6</v>
      </c>
      <c r="R10" s="38"/>
      <c r="S10" s="38"/>
      <c r="T10" s="38"/>
      <c r="U10" s="38"/>
    </row>
    <row r="11" spans="1:21" customFormat="1">
      <c r="A11" s="39" t="s">
        <v>639</v>
      </c>
      <c r="B11" s="40">
        <v>31.63</v>
      </c>
      <c r="C11" s="40">
        <v>29.05</v>
      </c>
      <c r="D11" s="40">
        <v>41.89</v>
      </c>
      <c r="E11" s="40">
        <v>11.08</v>
      </c>
      <c r="F11" s="42">
        <v>3.82</v>
      </c>
      <c r="G11" s="40">
        <v>109.35</v>
      </c>
      <c r="H11" s="40">
        <v>36.68</v>
      </c>
      <c r="I11" s="40">
        <v>19.149999999999999</v>
      </c>
      <c r="J11" s="40">
        <v>0.25</v>
      </c>
      <c r="K11" s="40">
        <v>188.86</v>
      </c>
      <c r="L11" s="40">
        <v>18.54</v>
      </c>
      <c r="M11" s="40">
        <v>95.99</v>
      </c>
      <c r="N11" s="40">
        <v>1.7</v>
      </c>
      <c r="O11" s="40">
        <v>0</v>
      </c>
      <c r="P11" s="40">
        <v>1.49</v>
      </c>
      <c r="Q11" s="40">
        <v>10.5</v>
      </c>
      <c r="R11" s="38"/>
      <c r="S11" s="38"/>
      <c r="T11" s="38"/>
      <c r="U11" s="38"/>
    </row>
    <row r="12" spans="1:21" customFormat="1">
      <c r="A12" s="39" t="s">
        <v>640</v>
      </c>
      <c r="B12" s="40">
        <v>32.21</v>
      </c>
      <c r="C12" s="40">
        <v>28.94</v>
      </c>
      <c r="D12" s="40">
        <v>42.3</v>
      </c>
      <c r="E12" s="40">
        <v>11.23</v>
      </c>
      <c r="F12" s="42">
        <v>3.73</v>
      </c>
      <c r="G12" s="40">
        <v>109.35</v>
      </c>
      <c r="H12" s="40">
        <v>36.68</v>
      </c>
      <c r="I12" s="40">
        <v>19.100000000000001</v>
      </c>
      <c r="J12" s="40">
        <v>0.21</v>
      </c>
      <c r="K12" s="40">
        <v>206.19</v>
      </c>
      <c r="L12" s="40">
        <v>17.3</v>
      </c>
      <c r="M12" s="40">
        <v>90.11</v>
      </c>
      <c r="N12" s="40">
        <v>1.6</v>
      </c>
      <c r="O12" s="40">
        <v>0</v>
      </c>
      <c r="P12" s="40">
        <v>1.48</v>
      </c>
      <c r="Q12" s="40">
        <v>10.3</v>
      </c>
      <c r="R12" s="38"/>
      <c r="S12" s="38"/>
      <c r="T12" s="38"/>
      <c r="U12" s="38"/>
    </row>
    <row r="13" spans="1:21" customFormat="1">
      <c r="A13" s="39" t="s">
        <v>641</v>
      </c>
      <c r="B13" s="40">
        <v>29.06</v>
      </c>
      <c r="C13" s="40">
        <v>27.32</v>
      </c>
      <c r="D13" s="40">
        <v>38.93</v>
      </c>
      <c r="E13" s="40">
        <v>10.68</v>
      </c>
      <c r="F13" s="42">
        <v>3.75</v>
      </c>
      <c r="G13" s="40">
        <v>94.56</v>
      </c>
      <c r="H13" s="40">
        <v>30.82</v>
      </c>
      <c r="I13" s="40">
        <v>18.78</v>
      </c>
      <c r="J13" s="40">
        <v>0.18</v>
      </c>
      <c r="K13" s="40">
        <v>237.76</v>
      </c>
      <c r="L13" s="40">
        <v>16.690000000000001</v>
      </c>
      <c r="M13" s="40">
        <v>92.6</v>
      </c>
      <c r="N13" s="40">
        <v>1.3</v>
      </c>
      <c r="O13" s="40">
        <v>0</v>
      </c>
      <c r="P13" s="40">
        <v>1.43</v>
      </c>
      <c r="Q13" s="40">
        <v>10.3</v>
      </c>
      <c r="R13" s="38"/>
      <c r="S13" s="38"/>
      <c r="T13" s="38"/>
      <c r="U13" s="38"/>
    </row>
    <row r="14" spans="1:21" customFormat="1">
      <c r="A14" s="39" t="s">
        <v>642</v>
      </c>
      <c r="B14" s="40">
        <v>28.54</v>
      </c>
      <c r="C14" s="40">
        <v>26.23</v>
      </c>
      <c r="D14" s="40">
        <v>37.950000000000003</v>
      </c>
      <c r="E14" s="40">
        <v>10.1</v>
      </c>
      <c r="F14" s="42">
        <v>3.81</v>
      </c>
      <c r="G14" s="40">
        <v>89.73</v>
      </c>
      <c r="H14" s="40">
        <v>31.71</v>
      </c>
      <c r="I14" s="40">
        <v>18.22</v>
      </c>
      <c r="J14" s="40">
        <v>0.22</v>
      </c>
      <c r="K14" s="40">
        <v>197.89</v>
      </c>
      <c r="L14" s="40">
        <v>16.510000000000002</v>
      </c>
      <c r="M14" s="40">
        <v>97.42</v>
      </c>
      <c r="N14" s="40">
        <v>1.2</v>
      </c>
      <c r="O14" s="40">
        <v>0</v>
      </c>
      <c r="P14" s="40">
        <v>1.37</v>
      </c>
      <c r="Q14" s="40">
        <v>10.3</v>
      </c>
      <c r="R14" s="38"/>
      <c r="S14" s="38"/>
      <c r="T14" s="38"/>
      <c r="U14" s="38"/>
    </row>
    <row r="15" spans="1:21" customFormat="1">
      <c r="A15" s="39" t="s">
        <v>643</v>
      </c>
      <c r="B15" s="40">
        <v>36.549999999999997</v>
      </c>
      <c r="C15" s="40">
        <v>26.97</v>
      </c>
      <c r="D15" s="40">
        <v>44.75</v>
      </c>
      <c r="E15" s="40">
        <v>10.47</v>
      </c>
      <c r="F15" s="42">
        <v>3.74</v>
      </c>
      <c r="G15" s="40">
        <v>91.52</v>
      </c>
      <c r="H15" s="40">
        <v>31.71</v>
      </c>
      <c r="I15" s="40">
        <v>17.97</v>
      </c>
      <c r="J15" s="40">
        <v>0.22</v>
      </c>
      <c r="K15" s="40">
        <v>170.04</v>
      </c>
      <c r="L15" s="40">
        <v>17.079999999999998</v>
      </c>
      <c r="M15" s="40">
        <v>98.85</v>
      </c>
      <c r="N15" s="40">
        <v>7.1</v>
      </c>
      <c r="O15" s="40">
        <v>0</v>
      </c>
      <c r="P15" s="40">
        <v>1.33</v>
      </c>
      <c r="Q15" s="40">
        <v>10.3</v>
      </c>
      <c r="R15" s="38"/>
      <c r="S15" s="38"/>
      <c r="T15" s="38"/>
      <c r="U15" s="38"/>
    </row>
    <row r="16" spans="1:21" customFormat="1">
      <c r="A16" s="39" t="s">
        <v>644</v>
      </c>
      <c r="B16" s="40">
        <v>38.68</v>
      </c>
      <c r="C16" s="40">
        <v>26.9</v>
      </c>
      <c r="D16" s="40">
        <v>46.42</v>
      </c>
      <c r="E16" s="40">
        <v>10.72</v>
      </c>
      <c r="F16" s="42">
        <v>3.8</v>
      </c>
      <c r="G16" s="40">
        <v>97.65</v>
      </c>
      <c r="H16" s="40">
        <v>33.51</v>
      </c>
      <c r="I16" s="40">
        <v>18.14</v>
      </c>
      <c r="J16" s="40">
        <v>0.19</v>
      </c>
      <c r="K16" s="40">
        <v>218.67</v>
      </c>
      <c r="L16" s="40">
        <v>18.04</v>
      </c>
      <c r="M16" s="40">
        <v>91.95</v>
      </c>
      <c r="N16" s="40">
        <v>39.4</v>
      </c>
      <c r="O16" s="40">
        <v>0</v>
      </c>
      <c r="P16" s="40">
        <v>1.3</v>
      </c>
      <c r="Q16" s="40">
        <v>10.3</v>
      </c>
      <c r="R16" s="38"/>
      <c r="S16" s="38"/>
      <c r="T16" s="38"/>
      <c r="U16" s="38"/>
    </row>
    <row r="17" spans="1:21" customFormat="1">
      <c r="A17" s="39" t="s">
        <v>645</v>
      </c>
      <c r="B17" s="40">
        <v>37.82</v>
      </c>
      <c r="C17" s="40">
        <v>29.82</v>
      </c>
      <c r="D17" s="40">
        <v>45.92</v>
      </c>
      <c r="E17" s="40">
        <v>10.94</v>
      </c>
      <c r="F17" s="42">
        <v>4.03</v>
      </c>
      <c r="G17" s="40">
        <v>97.84</v>
      </c>
      <c r="H17" s="40">
        <v>33.82</v>
      </c>
      <c r="I17" s="40">
        <v>18.2</v>
      </c>
      <c r="J17" s="40">
        <v>0.66</v>
      </c>
      <c r="K17" s="40">
        <v>68.319999999999993</v>
      </c>
      <c r="L17" s="40">
        <v>22.17</v>
      </c>
      <c r="M17" s="40">
        <v>74.08</v>
      </c>
      <c r="N17" s="40">
        <v>174</v>
      </c>
      <c r="O17" s="40">
        <v>0</v>
      </c>
      <c r="P17" s="40">
        <v>1.28</v>
      </c>
      <c r="Q17" s="40">
        <v>10.3</v>
      </c>
      <c r="R17" s="38"/>
      <c r="S17" s="38"/>
      <c r="T17" s="38"/>
      <c r="U17" s="38"/>
    </row>
    <row r="18" spans="1:21" customFormat="1">
      <c r="A18" s="39" t="s">
        <v>646</v>
      </c>
      <c r="B18" s="40">
        <v>32.64</v>
      </c>
      <c r="C18" s="40">
        <v>30.49</v>
      </c>
      <c r="D18" s="40">
        <v>43.45</v>
      </c>
      <c r="E18" s="40">
        <v>11.24</v>
      </c>
      <c r="F18" s="42">
        <v>4.26</v>
      </c>
      <c r="G18" s="40">
        <v>97.84</v>
      </c>
      <c r="H18" s="40">
        <v>33.82</v>
      </c>
      <c r="I18" s="40">
        <v>17.57</v>
      </c>
      <c r="J18" s="40">
        <v>0.57999999999999996</v>
      </c>
      <c r="K18" s="40">
        <v>96.28</v>
      </c>
      <c r="L18" s="40">
        <v>25.08</v>
      </c>
      <c r="M18" s="40">
        <v>60.34</v>
      </c>
      <c r="N18" s="40">
        <v>282.3</v>
      </c>
      <c r="O18" s="40">
        <v>0</v>
      </c>
      <c r="P18" s="40">
        <v>1.18</v>
      </c>
      <c r="Q18" s="40">
        <v>10.3</v>
      </c>
      <c r="R18" s="38"/>
      <c r="S18" s="38"/>
      <c r="T18" s="38"/>
      <c r="U18" s="38"/>
    </row>
    <row r="19" spans="1:21" customFormat="1">
      <c r="A19" s="39" t="s">
        <v>647</v>
      </c>
      <c r="B19" s="40">
        <v>27.56</v>
      </c>
      <c r="C19" s="40">
        <v>29.94</v>
      </c>
      <c r="D19" s="40">
        <v>39.090000000000003</v>
      </c>
      <c r="E19" s="40">
        <v>10.81</v>
      </c>
      <c r="F19" s="42">
        <v>5.66</v>
      </c>
      <c r="G19" s="40">
        <v>94.31</v>
      </c>
      <c r="H19" s="40">
        <v>32.14</v>
      </c>
      <c r="I19" s="40">
        <v>16.440000000000001</v>
      </c>
      <c r="J19" s="40">
        <v>0.87</v>
      </c>
      <c r="K19" s="40">
        <v>61.64</v>
      </c>
      <c r="L19" s="40">
        <v>26.7</v>
      </c>
      <c r="M19" s="40">
        <v>49.38</v>
      </c>
      <c r="N19" s="40">
        <v>341.4</v>
      </c>
      <c r="O19" s="40">
        <v>0</v>
      </c>
      <c r="P19" s="40">
        <v>1.0900000000000001</v>
      </c>
      <c r="Q19" s="40">
        <v>10.3</v>
      </c>
      <c r="R19" s="38"/>
      <c r="S19" s="38"/>
      <c r="T19" s="38"/>
      <c r="U19" s="38"/>
    </row>
    <row r="20" spans="1:21" customFormat="1">
      <c r="A20" s="39" t="s">
        <v>648</v>
      </c>
      <c r="B20" s="40">
        <v>22.34</v>
      </c>
      <c r="C20" s="40">
        <v>29.76</v>
      </c>
      <c r="D20" s="40">
        <v>34.659999999999997</v>
      </c>
      <c r="E20" s="40">
        <v>11.82</v>
      </c>
      <c r="F20" s="42">
        <v>5.91</v>
      </c>
      <c r="G20" s="40">
        <v>89.14</v>
      </c>
      <c r="H20" s="40">
        <v>33.07</v>
      </c>
      <c r="I20" s="40">
        <v>15.4</v>
      </c>
      <c r="J20" s="40">
        <v>0.82</v>
      </c>
      <c r="K20" s="40">
        <v>82.2</v>
      </c>
      <c r="L20" s="40">
        <v>28.58</v>
      </c>
      <c r="M20" s="40">
        <v>45.41</v>
      </c>
      <c r="N20" s="40">
        <v>374.3</v>
      </c>
      <c r="O20" s="40">
        <v>0</v>
      </c>
      <c r="P20" s="40">
        <v>1.02</v>
      </c>
      <c r="Q20" s="40">
        <v>10.3</v>
      </c>
      <c r="R20" s="38"/>
      <c r="S20" s="38"/>
      <c r="T20" s="38"/>
      <c r="U20" s="38"/>
    </row>
    <row r="21" spans="1:21" customFormat="1">
      <c r="A21" s="39" t="s">
        <v>649</v>
      </c>
      <c r="B21" s="40">
        <v>16.52</v>
      </c>
      <c r="C21" s="40">
        <v>30.05</v>
      </c>
      <c r="D21" s="40">
        <v>30.2</v>
      </c>
      <c r="E21" s="40">
        <v>11.73</v>
      </c>
      <c r="F21" s="42">
        <v>12.2</v>
      </c>
      <c r="G21" s="40">
        <v>89.14</v>
      </c>
      <c r="H21" s="40">
        <v>33.07</v>
      </c>
      <c r="I21" s="40">
        <v>14.3</v>
      </c>
      <c r="J21" s="40">
        <v>0.44</v>
      </c>
      <c r="K21" s="40">
        <v>286.38</v>
      </c>
      <c r="L21" s="40">
        <v>29.93</v>
      </c>
      <c r="M21" s="40">
        <v>40.69</v>
      </c>
      <c r="N21" s="40">
        <v>393.3</v>
      </c>
      <c r="O21" s="40">
        <v>0</v>
      </c>
      <c r="P21" s="40">
        <v>0.95</v>
      </c>
      <c r="Q21" s="40">
        <v>10.3</v>
      </c>
      <c r="R21" s="38"/>
      <c r="S21" s="38"/>
      <c r="T21" s="38"/>
      <c r="U21" s="38"/>
    </row>
    <row r="22" spans="1:21" customFormat="1">
      <c r="A22" s="39" t="s">
        <v>650</v>
      </c>
      <c r="B22" s="40">
        <v>9.66</v>
      </c>
      <c r="C22" s="40">
        <v>29.75</v>
      </c>
      <c r="D22" s="40">
        <v>24.61</v>
      </c>
      <c r="E22" s="40">
        <v>11.14</v>
      </c>
      <c r="F22" s="42">
        <v>9.08</v>
      </c>
      <c r="G22" s="40">
        <v>88.77</v>
      </c>
      <c r="H22" s="40">
        <v>31.32</v>
      </c>
      <c r="I22" s="40">
        <v>13.57</v>
      </c>
      <c r="J22" s="40">
        <v>0.66</v>
      </c>
      <c r="K22" s="40">
        <v>334.09</v>
      </c>
      <c r="L22" s="40">
        <v>30.42</v>
      </c>
      <c r="M22" s="40">
        <v>37.78</v>
      </c>
      <c r="N22" s="40">
        <v>367.4</v>
      </c>
      <c r="O22" s="40">
        <v>0</v>
      </c>
      <c r="P22" s="40">
        <v>0.87</v>
      </c>
      <c r="Q22" s="40">
        <v>10.3</v>
      </c>
      <c r="R22" s="38"/>
      <c r="S22" s="38"/>
      <c r="T22" s="38"/>
      <c r="U22" s="38"/>
    </row>
    <row r="23" spans="1:21" customFormat="1">
      <c r="A23" s="39" t="s">
        <v>651</v>
      </c>
      <c r="B23" s="40">
        <v>4.4400000000000004</v>
      </c>
      <c r="C23" s="40">
        <v>29.73</v>
      </c>
      <c r="D23" s="40">
        <v>20.45</v>
      </c>
      <c r="E23" s="40">
        <v>12.77</v>
      </c>
      <c r="F23" s="42">
        <v>9.61</v>
      </c>
      <c r="G23" s="40">
        <v>104.38</v>
      </c>
      <c r="H23" s="40">
        <v>38.630000000000003</v>
      </c>
      <c r="I23" s="40">
        <v>14.82</v>
      </c>
      <c r="J23" s="40">
        <v>0.46</v>
      </c>
      <c r="K23" s="40">
        <v>279.06</v>
      </c>
      <c r="L23" s="40">
        <v>30.7</v>
      </c>
      <c r="M23" s="40">
        <v>35.51</v>
      </c>
      <c r="N23" s="40">
        <v>273.89999999999998</v>
      </c>
      <c r="O23" s="40">
        <v>0</v>
      </c>
      <c r="P23" s="40">
        <v>0.97</v>
      </c>
      <c r="Q23" s="40">
        <v>10.3</v>
      </c>
      <c r="R23" s="38"/>
      <c r="S23" s="38"/>
      <c r="T23" s="38"/>
      <c r="U23" s="38"/>
    </row>
    <row r="24" spans="1:21" customFormat="1">
      <c r="A24" s="39" t="s">
        <v>652</v>
      </c>
      <c r="B24" s="40">
        <v>3.7</v>
      </c>
      <c r="C24" s="40">
        <v>27.08</v>
      </c>
      <c r="D24" s="40">
        <v>18.420000000000002</v>
      </c>
      <c r="E24" s="40">
        <v>17.079999999999998</v>
      </c>
      <c r="F24" s="42">
        <v>10.91</v>
      </c>
      <c r="G24" s="40">
        <v>104.38</v>
      </c>
      <c r="H24" s="40">
        <v>38.630000000000003</v>
      </c>
      <c r="I24" s="40">
        <v>14.2</v>
      </c>
      <c r="J24" s="40">
        <v>0.57999999999999996</v>
      </c>
      <c r="K24" s="40">
        <v>337.4</v>
      </c>
      <c r="L24" s="40">
        <v>29.84</v>
      </c>
      <c r="M24" s="40">
        <v>35.14</v>
      </c>
      <c r="N24" s="40">
        <v>69.400000000000006</v>
      </c>
      <c r="O24" s="40">
        <v>0</v>
      </c>
      <c r="P24" s="40">
        <v>0.87</v>
      </c>
      <c r="Q24" s="40">
        <v>10.3</v>
      </c>
      <c r="R24" s="38"/>
      <c r="S24" s="38"/>
      <c r="T24" s="38"/>
      <c r="U24" s="38"/>
    </row>
    <row r="25" spans="1:21" customFormat="1">
      <c r="A25" s="39" t="s">
        <v>653</v>
      </c>
      <c r="B25" s="40">
        <v>3.86</v>
      </c>
      <c r="C25" s="40">
        <v>26.4</v>
      </c>
      <c r="D25" s="40">
        <v>18.239999999999998</v>
      </c>
      <c r="E25" s="40">
        <v>13.84</v>
      </c>
      <c r="F25" s="42">
        <v>11.79</v>
      </c>
      <c r="G25" s="40">
        <v>88.97</v>
      </c>
      <c r="H25" s="40">
        <v>35.85</v>
      </c>
      <c r="I25" s="40">
        <v>12.47</v>
      </c>
      <c r="J25" s="40">
        <v>0.61</v>
      </c>
      <c r="K25" s="40">
        <v>290.44</v>
      </c>
      <c r="L25" s="40">
        <v>29.52</v>
      </c>
      <c r="M25" s="40">
        <v>34.56</v>
      </c>
      <c r="N25" s="40">
        <v>42.8</v>
      </c>
      <c r="O25" s="40">
        <v>0</v>
      </c>
      <c r="P25" s="40">
        <v>0.8</v>
      </c>
      <c r="Q25" s="40">
        <v>10.3</v>
      </c>
      <c r="R25" s="38"/>
      <c r="S25" s="38"/>
      <c r="T25" s="38"/>
      <c r="U25" s="38"/>
    </row>
    <row r="26" spans="1:21" customFormat="1">
      <c r="A26" s="39" t="s">
        <v>654</v>
      </c>
      <c r="B26" s="40">
        <v>4.3</v>
      </c>
      <c r="C26" s="40">
        <v>28.62</v>
      </c>
      <c r="D26" s="40">
        <v>19.760000000000002</v>
      </c>
      <c r="E26" s="40">
        <v>12.04</v>
      </c>
      <c r="F26" s="42">
        <v>11.83</v>
      </c>
      <c r="G26" s="40">
        <v>76.2</v>
      </c>
      <c r="H26" s="40">
        <v>33.28</v>
      </c>
      <c r="I26" s="40">
        <v>11.73</v>
      </c>
      <c r="J26" s="40">
        <v>0.49</v>
      </c>
      <c r="K26" s="40">
        <v>307.60000000000002</v>
      </c>
      <c r="L26" s="40">
        <v>28.68</v>
      </c>
      <c r="M26" s="40">
        <v>40.98</v>
      </c>
      <c r="N26" s="40">
        <v>14.9</v>
      </c>
      <c r="O26" s="40">
        <v>0</v>
      </c>
      <c r="P26" s="40">
        <v>0.79</v>
      </c>
      <c r="Q26" s="40">
        <v>10.3</v>
      </c>
      <c r="R26" s="38"/>
      <c r="S26" s="38"/>
      <c r="T26" s="38"/>
      <c r="U26" s="38"/>
    </row>
    <row r="27" spans="1:21" customFormat="1">
      <c r="A27" s="39" t="s">
        <v>655</v>
      </c>
      <c r="B27" s="40">
        <v>6.56</v>
      </c>
      <c r="C27" s="40">
        <v>30.18</v>
      </c>
      <c r="D27" s="40">
        <v>22.38</v>
      </c>
      <c r="E27" s="40">
        <v>10.9</v>
      </c>
      <c r="F27" s="42">
        <v>6.77</v>
      </c>
      <c r="G27" s="40">
        <v>72.75</v>
      </c>
      <c r="H27" s="40">
        <v>30.52</v>
      </c>
      <c r="I27" s="40">
        <v>11.9</v>
      </c>
      <c r="J27" s="40">
        <v>0.28000000000000003</v>
      </c>
      <c r="K27" s="40">
        <v>168.39</v>
      </c>
      <c r="L27" s="40">
        <v>25.59</v>
      </c>
      <c r="M27" s="40">
        <v>56.65</v>
      </c>
      <c r="N27" s="40">
        <v>2.2000000000000002</v>
      </c>
      <c r="O27" s="40">
        <v>0</v>
      </c>
      <c r="P27" s="40">
        <v>0.83</v>
      </c>
      <c r="Q27" s="40">
        <v>10.3</v>
      </c>
      <c r="R27" s="38"/>
      <c r="S27" s="38"/>
      <c r="T27" s="38"/>
      <c r="U27" s="38"/>
    </row>
    <row r="28" spans="1:21" customFormat="1">
      <c r="A28" s="39" t="s">
        <v>656</v>
      </c>
      <c r="B28" s="40">
        <v>10.63</v>
      </c>
      <c r="C28" s="40">
        <v>30.11</v>
      </c>
      <c r="D28" s="40">
        <v>25.32</v>
      </c>
      <c r="E28" s="40">
        <v>10.81</v>
      </c>
      <c r="F28" s="42">
        <v>5.29</v>
      </c>
      <c r="G28" s="40">
        <v>99.05</v>
      </c>
      <c r="H28" s="40">
        <v>30.68</v>
      </c>
      <c r="I28" s="40">
        <v>13.69</v>
      </c>
      <c r="J28" s="40">
        <v>0.28999999999999998</v>
      </c>
      <c r="K28" s="40">
        <v>166.17</v>
      </c>
      <c r="L28" s="40">
        <v>23.52</v>
      </c>
      <c r="M28" s="40">
        <v>66.69</v>
      </c>
      <c r="N28" s="40">
        <v>1.7</v>
      </c>
      <c r="O28" s="40">
        <v>0</v>
      </c>
      <c r="P28" s="40">
        <v>0.95</v>
      </c>
      <c r="Q28" s="40">
        <v>10.3</v>
      </c>
      <c r="R28" s="38"/>
      <c r="S28" s="38"/>
      <c r="T28" s="38"/>
      <c r="U28" s="38"/>
    </row>
    <row r="29" spans="1:21" customFormat="1">
      <c r="A29" s="39" t="s">
        <v>657</v>
      </c>
      <c r="B29" s="40">
        <v>13.87</v>
      </c>
      <c r="C29" s="40">
        <v>29.58</v>
      </c>
      <c r="D29" s="40">
        <v>27.65</v>
      </c>
      <c r="E29" s="40">
        <v>10.78</v>
      </c>
      <c r="F29" s="42">
        <v>4.3099999999999996</v>
      </c>
      <c r="G29" s="40">
        <v>110.41</v>
      </c>
      <c r="H29" s="40">
        <v>33.64</v>
      </c>
      <c r="I29" s="40">
        <v>14.91</v>
      </c>
      <c r="J29" s="40">
        <v>0.23</v>
      </c>
      <c r="K29" s="40">
        <v>183.57</v>
      </c>
      <c r="L29" s="40">
        <v>21.69</v>
      </c>
      <c r="M29" s="40">
        <v>72.02</v>
      </c>
      <c r="N29" s="40">
        <v>1.7</v>
      </c>
      <c r="O29" s="40">
        <v>0</v>
      </c>
      <c r="P29" s="40">
        <v>1.07</v>
      </c>
      <c r="Q29" s="40">
        <v>10.5</v>
      </c>
      <c r="R29" s="38"/>
      <c r="S29" s="38"/>
      <c r="T29" s="38"/>
      <c r="U29" s="38"/>
    </row>
    <row r="30" spans="1:21" customFormat="1">
      <c r="A30" s="39" t="s">
        <v>658</v>
      </c>
      <c r="B30" s="40">
        <v>17.079999999999998</v>
      </c>
      <c r="C30" s="40">
        <v>29.17</v>
      </c>
      <c r="D30" s="40">
        <v>29.98</v>
      </c>
      <c r="E30" s="40">
        <v>10.6</v>
      </c>
      <c r="F30" s="42">
        <v>4.1500000000000004</v>
      </c>
      <c r="G30" s="40">
        <v>113.62</v>
      </c>
      <c r="H30" s="40">
        <v>33.64</v>
      </c>
      <c r="I30" s="40">
        <v>15.84</v>
      </c>
      <c r="J30" s="40">
        <v>0.26</v>
      </c>
      <c r="K30" s="40">
        <v>168.42</v>
      </c>
      <c r="L30" s="40">
        <v>20.89</v>
      </c>
      <c r="M30" s="40">
        <v>78.599999999999994</v>
      </c>
      <c r="N30" s="40">
        <v>1.6</v>
      </c>
      <c r="O30" s="40">
        <v>0</v>
      </c>
      <c r="P30" s="40">
        <v>1.1399999999999999</v>
      </c>
      <c r="Q30" s="40">
        <v>10.6</v>
      </c>
      <c r="R30" s="38"/>
      <c r="S30" s="38"/>
      <c r="T30" s="38"/>
      <c r="U30" s="38"/>
    </row>
    <row r="31" spans="1:21" customFormat="1">
      <c r="A31" s="39" t="s">
        <v>659</v>
      </c>
      <c r="B31" s="40">
        <v>18.600000000000001</v>
      </c>
      <c r="C31" s="40">
        <v>28.55</v>
      </c>
      <c r="D31" s="40">
        <v>30.92</v>
      </c>
      <c r="E31" s="40">
        <v>10.51</v>
      </c>
      <c r="F31" s="42">
        <v>3.91</v>
      </c>
      <c r="G31" s="40">
        <v>113.62</v>
      </c>
      <c r="H31" s="40">
        <v>33</v>
      </c>
      <c r="I31" s="40">
        <v>16.149999999999999</v>
      </c>
      <c r="J31" s="40">
        <v>0.2</v>
      </c>
      <c r="K31" s="40">
        <v>179.36</v>
      </c>
      <c r="L31" s="40">
        <v>19.8</v>
      </c>
      <c r="M31" s="40">
        <v>84.28</v>
      </c>
      <c r="N31" s="40">
        <v>1.4</v>
      </c>
      <c r="O31" s="40">
        <v>0</v>
      </c>
      <c r="P31" s="40">
        <v>1.19</v>
      </c>
      <c r="Q31" s="40">
        <v>10.5</v>
      </c>
      <c r="R31" s="38"/>
      <c r="S31" s="38"/>
      <c r="T31" s="38"/>
      <c r="U31" s="38"/>
    </row>
    <row r="32" spans="1:21" customFormat="1">
      <c r="A32" s="39" t="s">
        <v>660</v>
      </c>
      <c r="B32" s="40">
        <v>21.18</v>
      </c>
      <c r="C32" s="40">
        <v>27.57</v>
      </c>
      <c r="D32" s="40">
        <v>32.74</v>
      </c>
      <c r="E32" s="40">
        <v>10.62</v>
      </c>
      <c r="F32" s="42">
        <v>3.71</v>
      </c>
      <c r="G32" s="40">
        <v>109.02</v>
      </c>
      <c r="H32" s="40">
        <v>32.409999999999997</v>
      </c>
      <c r="I32" s="40">
        <v>16.38</v>
      </c>
      <c r="J32" s="40">
        <v>0.2</v>
      </c>
      <c r="K32" s="40">
        <v>188.06</v>
      </c>
      <c r="L32" s="40">
        <v>19.41</v>
      </c>
      <c r="M32" s="40">
        <v>84.68</v>
      </c>
      <c r="N32" s="40">
        <v>1.3</v>
      </c>
      <c r="O32" s="40">
        <v>0</v>
      </c>
      <c r="P32" s="40">
        <v>1.24</v>
      </c>
      <c r="Q32" s="40">
        <v>10.9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3.7</v>
      </c>
      <c r="C34" s="18">
        <f t="shared" si="0"/>
        <v>26.23</v>
      </c>
      <c r="D34" s="18">
        <f t="shared" si="0"/>
        <v>18.239999999999998</v>
      </c>
      <c r="E34" s="18">
        <f t="shared" si="0"/>
        <v>9.98</v>
      </c>
      <c r="F34" s="18">
        <f t="shared" si="0"/>
        <v>3.71</v>
      </c>
      <c r="G34" s="18">
        <f t="shared" si="0"/>
        <v>72.75</v>
      </c>
      <c r="H34" s="18">
        <f t="shared" si="0"/>
        <v>30.52</v>
      </c>
      <c r="I34" s="18">
        <f t="shared" si="0"/>
        <v>11.73</v>
      </c>
      <c r="J34" s="18">
        <f t="shared" si="0"/>
        <v>0.18</v>
      </c>
      <c r="K34" s="18">
        <f t="shared" si="0"/>
        <v>61.64</v>
      </c>
      <c r="L34" s="18">
        <f t="shared" si="0"/>
        <v>16.510000000000002</v>
      </c>
      <c r="M34" s="18">
        <f t="shared" si="0"/>
        <v>34.56</v>
      </c>
      <c r="N34" s="18">
        <f t="shared" si="0"/>
        <v>1.2</v>
      </c>
      <c r="O34" s="18">
        <f t="shared" si="0"/>
        <v>0</v>
      </c>
      <c r="P34" s="18">
        <f t="shared" si="0"/>
        <v>0.79</v>
      </c>
      <c r="Q34" s="18">
        <f t="shared" si="0"/>
        <v>10.3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38.68</v>
      </c>
      <c r="C35" s="3">
        <f t="shared" si="1"/>
        <v>30.96</v>
      </c>
      <c r="D35" s="3">
        <f t="shared" si="1"/>
        <v>46.42</v>
      </c>
      <c r="E35" s="3">
        <f t="shared" si="1"/>
        <v>17.079999999999998</v>
      </c>
      <c r="F35" s="3">
        <f t="shared" si="1"/>
        <v>12.2</v>
      </c>
      <c r="G35" s="3">
        <f t="shared" si="1"/>
        <v>133.66</v>
      </c>
      <c r="H35" s="3">
        <f t="shared" si="1"/>
        <v>38.85</v>
      </c>
      <c r="I35" s="3">
        <f t="shared" si="1"/>
        <v>19.149999999999999</v>
      </c>
      <c r="J35" s="3">
        <f t="shared" si="1"/>
        <v>0.87</v>
      </c>
      <c r="K35" s="3">
        <f t="shared" si="1"/>
        <v>337.4</v>
      </c>
      <c r="L35" s="3">
        <f t="shared" si="1"/>
        <v>30.7</v>
      </c>
      <c r="M35" s="3">
        <f t="shared" si="1"/>
        <v>99.38</v>
      </c>
      <c r="N35" s="3">
        <f t="shared" si="1"/>
        <v>393.3</v>
      </c>
      <c r="O35" s="3">
        <f t="shared" si="1"/>
        <v>0</v>
      </c>
      <c r="P35" s="3">
        <f t="shared" si="1"/>
        <v>1.49</v>
      </c>
      <c r="Q35" s="3">
        <f t="shared" si="1"/>
        <v>10.9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20.910416666666666</v>
      </c>
      <c r="C36" s="18">
        <f t="shared" si="2"/>
        <v>28.847916666666663</v>
      </c>
      <c r="D36" s="18">
        <f t="shared" si="2"/>
        <v>33.065000000000005</v>
      </c>
      <c r="E36" s="18">
        <f t="shared" si="2"/>
        <v>11.361666666666666</v>
      </c>
      <c r="F36" s="18">
        <f t="shared" si="2"/>
        <v>6.0054166666666662</v>
      </c>
      <c r="G36" s="18">
        <f t="shared" si="2"/>
        <v>99.894999999999996</v>
      </c>
      <c r="H36" s="18">
        <f t="shared" si="2"/>
        <v>33.927083333333329</v>
      </c>
      <c r="I36" s="18">
        <f t="shared" si="2"/>
        <v>16.108750000000001</v>
      </c>
      <c r="J36" s="18">
        <f t="shared" si="2"/>
        <v>0.39083333333333331</v>
      </c>
      <c r="K36" s="18">
        <f t="shared" si="2"/>
        <v>201.27541666666664</v>
      </c>
      <c r="L36" s="18">
        <f t="shared" si="2"/>
        <v>23.054999999999993</v>
      </c>
      <c r="M36" s="18">
        <f t="shared" si="2"/>
        <v>69.218750000000014</v>
      </c>
      <c r="N36" s="18">
        <f t="shared" si="2"/>
        <v>99.954166666666666</v>
      </c>
      <c r="O36" s="18">
        <f t="shared" si="2"/>
        <v>0</v>
      </c>
      <c r="P36" s="18">
        <f t="shared" si="2"/>
        <v>1.1495833333333332</v>
      </c>
      <c r="Q36" s="18">
        <f t="shared" si="2"/>
        <v>10.387500000000003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11.680718962076542</v>
      </c>
      <c r="C37" s="18">
        <f t="shared" ref="C37:Q37" si="3">STDEV(C9:C32)</f>
        <v>1.3945670332203213</v>
      </c>
      <c r="D37" s="18">
        <f t="shared" si="3"/>
        <v>9.2823375991367261</v>
      </c>
      <c r="E37" s="18">
        <f t="shared" si="3"/>
        <v>1.481537587504411</v>
      </c>
      <c r="F37" s="18">
        <f t="shared" si="3"/>
        <v>3.0508188197620827</v>
      </c>
      <c r="G37" s="18">
        <f t="shared" si="3"/>
        <v>13.906794085594651</v>
      </c>
      <c r="H37" s="18">
        <f t="shared" si="3"/>
        <v>2.5744961164513711</v>
      </c>
      <c r="I37" s="18">
        <f t="shared" si="3"/>
        <v>2.396035334899508</v>
      </c>
      <c r="J37" s="18">
        <f t="shared" si="3"/>
        <v>0.21667279812951926</v>
      </c>
      <c r="K37" s="18">
        <f t="shared" si="3"/>
        <v>78.32905396767552</v>
      </c>
      <c r="L37" s="18">
        <f t="shared" si="3"/>
        <v>5.1413726808585496</v>
      </c>
      <c r="M37" s="18">
        <f t="shared" si="3"/>
        <v>24.249381581088112</v>
      </c>
      <c r="N37" s="18">
        <f t="shared" si="3"/>
        <v>147.44718429253606</v>
      </c>
      <c r="O37" s="18">
        <f t="shared" si="3"/>
        <v>0</v>
      </c>
      <c r="P37" s="18">
        <f t="shared" si="3"/>
        <v>0.2373491130155658</v>
      </c>
      <c r="Q37" s="18">
        <f t="shared" si="3"/>
        <v>0.15690623065191261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96"/>
  <sheetViews>
    <sheetView zoomScale="85" zoomScaleNormal="85" workbookViewId="0">
      <pane xSplit="1" ySplit="8" topLeftCell="B16" activePane="bottomRight" state="frozen"/>
      <selection activeCell="G19" sqref="G19"/>
      <selection pane="topRight" activeCell="G19" sqref="G19"/>
      <selection pane="bottomLeft" activeCell="G19" sqref="G19"/>
      <selection pane="bottomRight" activeCell="F9" sqref="F9:F3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26/01/2025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661</v>
      </c>
      <c r="B9" s="40">
        <v>26.28</v>
      </c>
      <c r="C9" s="40">
        <v>28.5</v>
      </c>
      <c r="D9" s="40">
        <v>37.32</v>
      </c>
      <c r="E9" s="40">
        <v>10.36</v>
      </c>
      <c r="F9" s="42">
        <v>3.78</v>
      </c>
      <c r="G9" s="40">
        <v>111.31</v>
      </c>
      <c r="H9" s="40">
        <v>31.49</v>
      </c>
      <c r="I9" s="40">
        <v>16.78</v>
      </c>
      <c r="J9" s="40">
        <v>0.23</v>
      </c>
      <c r="K9" s="40">
        <v>200.84</v>
      </c>
      <c r="L9" s="40">
        <v>19.45</v>
      </c>
      <c r="M9" s="40">
        <v>85.37</v>
      </c>
      <c r="N9" s="40">
        <v>1.4</v>
      </c>
      <c r="O9" s="40">
        <v>0</v>
      </c>
      <c r="P9" s="40">
        <v>1.25</v>
      </c>
      <c r="Q9" s="40">
        <v>10.5</v>
      </c>
      <c r="R9" s="38"/>
      <c r="S9" s="38"/>
      <c r="T9" s="38"/>
      <c r="U9" s="38"/>
    </row>
    <row r="10" spans="1:21" customFormat="1">
      <c r="A10" s="39" t="s">
        <v>662</v>
      </c>
      <c r="B10" s="40">
        <v>29.98</v>
      </c>
      <c r="C10" s="40">
        <v>29.01</v>
      </c>
      <c r="D10" s="40">
        <v>40.549999999999997</v>
      </c>
      <c r="E10" s="40">
        <v>10.59</v>
      </c>
      <c r="F10" s="42">
        <v>3.82</v>
      </c>
      <c r="G10" s="40">
        <v>116.06</v>
      </c>
      <c r="H10" s="40">
        <v>31.42</v>
      </c>
      <c r="I10" s="40">
        <v>17.04</v>
      </c>
      <c r="J10" s="40">
        <v>0.36</v>
      </c>
      <c r="K10" s="40">
        <v>125.83</v>
      </c>
      <c r="L10" s="40">
        <v>19.46</v>
      </c>
      <c r="M10" s="40">
        <v>82.02</v>
      </c>
      <c r="N10" s="40">
        <v>1.4</v>
      </c>
      <c r="O10" s="40">
        <v>0</v>
      </c>
      <c r="P10" s="40">
        <v>1.25</v>
      </c>
      <c r="Q10" s="40">
        <v>10.5</v>
      </c>
      <c r="R10" s="38"/>
      <c r="S10" s="38"/>
      <c r="T10" s="38"/>
      <c r="U10" s="38"/>
    </row>
    <row r="11" spans="1:21" customFormat="1">
      <c r="A11" s="39" t="s">
        <v>663</v>
      </c>
      <c r="B11" s="40">
        <v>29.51</v>
      </c>
      <c r="C11" s="40">
        <v>28.81</v>
      </c>
      <c r="D11" s="40">
        <v>40.07</v>
      </c>
      <c r="E11" s="40">
        <v>10.02</v>
      </c>
      <c r="F11" s="42">
        <v>3.9</v>
      </c>
      <c r="G11" s="40">
        <v>116.06</v>
      </c>
      <c r="H11" s="40">
        <v>30.42</v>
      </c>
      <c r="I11" s="40">
        <v>16.82</v>
      </c>
      <c r="J11" s="40">
        <v>0.22</v>
      </c>
      <c r="K11" s="40">
        <v>179.53</v>
      </c>
      <c r="L11" s="40">
        <v>18.239999999999998</v>
      </c>
      <c r="M11" s="40">
        <v>86.3</v>
      </c>
      <c r="N11" s="40">
        <v>1.9</v>
      </c>
      <c r="O11" s="40">
        <v>0</v>
      </c>
      <c r="P11" s="40">
        <v>1.2</v>
      </c>
      <c r="Q11" s="40">
        <v>10.5</v>
      </c>
      <c r="R11" s="38"/>
      <c r="S11" s="38"/>
      <c r="T11" s="38"/>
      <c r="U11" s="38"/>
    </row>
    <row r="12" spans="1:21" customFormat="1">
      <c r="A12" s="39" t="s">
        <v>664</v>
      </c>
      <c r="B12" s="40">
        <v>28.96</v>
      </c>
      <c r="C12" s="40">
        <v>28.28</v>
      </c>
      <c r="D12" s="40">
        <v>39.35</v>
      </c>
      <c r="E12" s="40">
        <v>10.06</v>
      </c>
      <c r="F12" s="42">
        <v>3.86</v>
      </c>
      <c r="G12" s="40">
        <v>111.06</v>
      </c>
      <c r="H12" s="40">
        <v>30.42</v>
      </c>
      <c r="I12" s="40">
        <v>16.809999999999999</v>
      </c>
      <c r="J12" s="40">
        <v>0.26</v>
      </c>
      <c r="K12" s="40">
        <v>178.95</v>
      </c>
      <c r="L12" s="40">
        <v>18</v>
      </c>
      <c r="M12" s="40">
        <v>91.02</v>
      </c>
      <c r="N12" s="40">
        <v>1.4</v>
      </c>
      <c r="O12" s="40">
        <v>0</v>
      </c>
      <c r="P12" s="40">
        <v>1.19</v>
      </c>
      <c r="Q12" s="40">
        <v>10.5</v>
      </c>
      <c r="R12" s="38"/>
      <c r="S12" s="38"/>
      <c r="T12" s="38"/>
      <c r="U12" s="38"/>
    </row>
    <row r="13" spans="1:21" customFormat="1">
      <c r="A13" s="39" t="s">
        <v>665</v>
      </c>
      <c r="B13" s="40">
        <v>27.53</v>
      </c>
      <c r="C13" s="40">
        <v>27.13</v>
      </c>
      <c r="D13" s="40">
        <v>37.6</v>
      </c>
      <c r="E13" s="40">
        <v>10.16</v>
      </c>
      <c r="F13" s="42">
        <v>3.94</v>
      </c>
      <c r="G13" s="40">
        <v>105.48</v>
      </c>
      <c r="H13" s="40">
        <v>28.26</v>
      </c>
      <c r="I13" s="40">
        <v>16.72</v>
      </c>
      <c r="J13" s="40">
        <v>0.2</v>
      </c>
      <c r="K13" s="40">
        <v>194.84</v>
      </c>
      <c r="L13" s="40">
        <v>16.739999999999998</v>
      </c>
      <c r="M13" s="40">
        <v>93.83</v>
      </c>
      <c r="N13" s="40">
        <v>1.4</v>
      </c>
      <c r="O13" s="40">
        <v>0</v>
      </c>
      <c r="P13" s="40">
        <v>1.1599999999999999</v>
      </c>
      <c r="Q13" s="40">
        <v>10.5</v>
      </c>
      <c r="R13" s="38"/>
      <c r="S13" s="38"/>
      <c r="T13" s="38"/>
      <c r="U13" s="38"/>
    </row>
    <row r="14" spans="1:21" customFormat="1">
      <c r="A14" s="39" t="s">
        <v>666</v>
      </c>
      <c r="B14" s="40">
        <v>25.76</v>
      </c>
      <c r="C14" s="40">
        <v>27.33</v>
      </c>
      <c r="D14" s="40">
        <v>36.29</v>
      </c>
      <c r="E14" s="40">
        <v>9.9700000000000006</v>
      </c>
      <c r="F14" s="42">
        <v>3.89</v>
      </c>
      <c r="G14" s="40">
        <v>98.88</v>
      </c>
      <c r="H14" s="40">
        <v>30.33</v>
      </c>
      <c r="I14" s="40">
        <v>16.440000000000001</v>
      </c>
      <c r="J14" s="40">
        <v>0.19</v>
      </c>
      <c r="K14" s="40">
        <v>204.99</v>
      </c>
      <c r="L14" s="40">
        <v>16.23</v>
      </c>
      <c r="M14" s="40">
        <v>96.95</v>
      </c>
      <c r="N14" s="40">
        <v>1.4</v>
      </c>
      <c r="O14" s="40">
        <v>0</v>
      </c>
      <c r="P14" s="40">
        <v>1.1499999999999999</v>
      </c>
      <c r="Q14" s="40">
        <v>10.5</v>
      </c>
      <c r="R14" s="38"/>
      <c r="S14" s="38"/>
      <c r="T14" s="38"/>
      <c r="U14" s="38"/>
    </row>
    <row r="15" spans="1:21" customFormat="1">
      <c r="A15" s="39" t="s">
        <v>667</v>
      </c>
      <c r="B15" s="40">
        <v>30.35</v>
      </c>
      <c r="C15" s="40">
        <v>27.5</v>
      </c>
      <c r="D15" s="40">
        <v>40.01</v>
      </c>
      <c r="E15" s="40">
        <v>9.82</v>
      </c>
      <c r="F15" s="42">
        <v>3.93</v>
      </c>
      <c r="G15" s="40">
        <v>98.88</v>
      </c>
      <c r="H15" s="40">
        <v>30.38</v>
      </c>
      <c r="I15" s="40">
        <v>17.239999999999998</v>
      </c>
      <c r="J15" s="40">
        <v>0.16</v>
      </c>
      <c r="K15" s="40">
        <v>189.48</v>
      </c>
      <c r="L15" s="40">
        <v>16.059999999999999</v>
      </c>
      <c r="M15" s="40">
        <v>96.09</v>
      </c>
      <c r="N15" s="40">
        <v>6.9</v>
      </c>
      <c r="O15" s="40">
        <v>0</v>
      </c>
      <c r="P15" s="40">
        <v>1.19</v>
      </c>
      <c r="Q15" s="40">
        <v>10.5</v>
      </c>
      <c r="R15" s="38"/>
      <c r="S15" s="38"/>
      <c r="T15" s="38"/>
      <c r="U15" s="38"/>
    </row>
    <row r="16" spans="1:21" customFormat="1">
      <c r="A16" s="39" t="s">
        <v>668</v>
      </c>
      <c r="B16" s="40">
        <v>31.29</v>
      </c>
      <c r="C16" s="40">
        <v>27.78</v>
      </c>
      <c r="D16" s="40">
        <v>40.93</v>
      </c>
      <c r="E16" s="40">
        <v>9.94</v>
      </c>
      <c r="F16" s="42">
        <v>3.96</v>
      </c>
      <c r="G16" s="40">
        <v>107.08</v>
      </c>
      <c r="H16" s="40">
        <v>30.57</v>
      </c>
      <c r="I16" s="40">
        <v>18.010000000000002</v>
      </c>
      <c r="J16" s="40">
        <v>0.28000000000000003</v>
      </c>
      <c r="K16" s="40">
        <v>187.99</v>
      </c>
      <c r="L16" s="40">
        <v>17.77</v>
      </c>
      <c r="M16" s="40">
        <v>93.43</v>
      </c>
      <c r="N16" s="40">
        <v>38.1</v>
      </c>
      <c r="O16" s="40">
        <v>0</v>
      </c>
      <c r="P16" s="40">
        <v>1.2</v>
      </c>
      <c r="Q16" s="40">
        <v>10.5</v>
      </c>
      <c r="R16" s="38"/>
      <c r="S16" s="38"/>
      <c r="T16" s="38"/>
      <c r="U16" s="38"/>
    </row>
    <row r="17" spans="1:21" customFormat="1">
      <c r="A17" s="39" t="s">
        <v>669</v>
      </c>
      <c r="B17" s="40">
        <v>29.57</v>
      </c>
      <c r="C17" s="40">
        <v>29.16</v>
      </c>
      <c r="D17" s="40">
        <v>39.65</v>
      </c>
      <c r="E17" s="40">
        <v>9.7799999999999994</v>
      </c>
      <c r="F17" s="42">
        <v>4.3099999999999996</v>
      </c>
      <c r="G17" s="40">
        <v>107.08</v>
      </c>
      <c r="H17" s="40">
        <v>30.57</v>
      </c>
      <c r="I17" s="40">
        <v>18.45</v>
      </c>
      <c r="J17" s="40">
        <v>0.7</v>
      </c>
      <c r="K17" s="40">
        <v>75.099999999999994</v>
      </c>
      <c r="L17" s="40">
        <v>21.09</v>
      </c>
      <c r="M17" s="40">
        <v>69.34</v>
      </c>
      <c r="N17" s="40">
        <v>195.3</v>
      </c>
      <c r="O17" s="40">
        <v>0</v>
      </c>
      <c r="P17" s="40">
        <v>1.19</v>
      </c>
      <c r="Q17" s="40">
        <v>10.5</v>
      </c>
      <c r="R17" s="38"/>
      <c r="S17" s="38"/>
      <c r="T17" s="38"/>
      <c r="U17" s="38"/>
    </row>
    <row r="18" spans="1:21" customFormat="1">
      <c r="A18" s="39" t="s">
        <v>670</v>
      </c>
      <c r="B18" s="40">
        <v>23.7</v>
      </c>
      <c r="C18" s="40">
        <v>29.33</v>
      </c>
      <c r="D18" s="40">
        <v>35.549999999999997</v>
      </c>
      <c r="E18" s="40">
        <v>9.58</v>
      </c>
      <c r="F18" s="42">
        <v>4.4000000000000004</v>
      </c>
      <c r="G18" s="40">
        <v>103.74</v>
      </c>
      <c r="H18" s="40">
        <v>30.42</v>
      </c>
      <c r="I18" s="40">
        <v>17.88</v>
      </c>
      <c r="J18" s="40">
        <v>0.86</v>
      </c>
      <c r="K18" s="40">
        <v>117.14</v>
      </c>
      <c r="L18" s="40">
        <v>23.86</v>
      </c>
      <c r="M18" s="40">
        <v>53.09</v>
      </c>
      <c r="N18" s="40">
        <v>305.5</v>
      </c>
      <c r="O18" s="40">
        <v>0</v>
      </c>
      <c r="P18" s="40">
        <v>1.1100000000000001</v>
      </c>
      <c r="Q18" s="40">
        <v>10.5</v>
      </c>
      <c r="R18" s="38"/>
      <c r="S18" s="38"/>
      <c r="T18" s="38"/>
      <c r="U18" s="38"/>
    </row>
    <row r="19" spans="1:21" customFormat="1">
      <c r="A19" s="39" t="s">
        <v>671</v>
      </c>
      <c r="B19" s="40">
        <v>14.92</v>
      </c>
      <c r="C19" s="40">
        <v>31.44</v>
      </c>
      <c r="D19" s="40">
        <v>28.9</v>
      </c>
      <c r="E19" s="40">
        <v>8.86</v>
      </c>
      <c r="F19" s="42">
        <v>6.46</v>
      </c>
      <c r="G19" s="40">
        <v>84.9</v>
      </c>
      <c r="H19" s="40">
        <v>26.74</v>
      </c>
      <c r="I19" s="40">
        <v>16.23</v>
      </c>
      <c r="J19" s="40">
        <v>1.18</v>
      </c>
      <c r="K19" s="40">
        <v>64.650000000000006</v>
      </c>
      <c r="L19" s="40">
        <v>25.51</v>
      </c>
      <c r="M19" s="40">
        <v>42.43</v>
      </c>
      <c r="N19" s="40">
        <v>374.4</v>
      </c>
      <c r="O19" s="40">
        <v>0</v>
      </c>
      <c r="P19" s="40">
        <v>1.01</v>
      </c>
      <c r="Q19" s="40">
        <v>10.5</v>
      </c>
      <c r="R19" s="38"/>
      <c r="S19" s="38"/>
      <c r="T19" s="38"/>
      <c r="U19" s="38"/>
    </row>
    <row r="20" spans="1:21" customFormat="1">
      <c r="A20" s="39" t="s">
        <v>672</v>
      </c>
      <c r="B20" s="40">
        <v>9.99</v>
      </c>
      <c r="C20" s="40">
        <v>32.83</v>
      </c>
      <c r="D20" s="40">
        <v>26.09</v>
      </c>
      <c r="E20" s="40">
        <v>10.31</v>
      </c>
      <c r="F20" s="42">
        <v>7.79</v>
      </c>
      <c r="G20" s="40">
        <v>79.25</v>
      </c>
      <c r="H20" s="40">
        <v>23.42</v>
      </c>
      <c r="I20" s="40">
        <v>14.37</v>
      </c>
      <c r="J20" s="40">
        <v>1.08</v>
      </c>
      <c r="K20" s="40">
        <v>68.459999999999994</v>
      </c>
      <c r="L20" s="40">
        <v>27.23</v>
      </c>
      <c r="M20" s="40">
        <v>34.93</v>
      </c>
      <c r="N20" s="40">
        <v>391.2</v>
      </c>
      <c r="O20" s="40">
        <v>0</v>
      </c>
      <c r="P20" s="40">
        <v>0.88</v>
      </c>
      <c r="Q20" s="40">
        <v>10.5</v>
      </c>
      <c r="R20" s="38"/>
      <c r="S20" s="38"/>
      <c r="T20" s="38"/>
      <c r="U20" s="38"/>
    </row>
    <row r="21" spans="1:21" customFormat="1">
      <c r="A21" s="39" t="s">
        <v>673</v>
      </c>
      <c r="B21" s="40">
        <v>8.89</v>
      </c>
      <c r="C21" s="40">
        <v>33.159999999999997</v>
      </c>
      <c r="D21" s="40">
        <v>25.72</v>
      </c>
      <c r="E21" s="40">
        <v>10</v>
      </c>
      <c r="F21" s="42">
        <v>10.050000000000001</v>
      </c>
      <c r="G21" s="40">
        <v>74.040000000000006</v>
      </c>
      <c r="H21" s="40">
        <v>22.86</v>
      </c>
      <c r="I21" s="40">
        <v>12.47</v>
      </c>
      <c r="J21" s="40">
        <v>0.66</v>
      </c>
      <c r="K21" s="40">
        <v>84.67</v>
      </c>
      <c r="L21" s="40">
        <v>28.97</v>
      </c>
      <c r="M21" s="40">
        <v>32.049999999999997</v>
      </c>
      <c r="N21" s="40">
        <v>416.6</v>
      </c>
      <c r="O21" s="40">
        <v>0</v>
      </c>
      <c r="P21" s="40">
        <v>0.77</v>
      </c>
      <c r="Q21" s="40">
        <v>10.5</v>
      </c>
      <c r="R21" s="38"/>
      <c r="S21" s="38"/>
      <c r="T21" s="38"/>
      <c r="U21" s="38"/>
    </row>
    <row r="22" spans="1:21" customFormat="1">
      <c r="A22" s="39" t="s">
        <v>674</v>
      </c>
      <c r="B22" s="40">
        <v>7.36</v>
      </c>
      <c r="C22" s="40">
        <v>33.15</v>
      </c>
      <c r="D22" s="40">
        <v>24.58</v>
      </c>
      <c r="E22" s="40">
        <v>10.07</v>
      </c>
      <c r="F22" s="42">
        <v>11.48</v>
      </c>
      <c r="G22" s="40">
        <v>70.3</v>
      </c>
      <c r="H22" s="40">
        <v>21.69</v>
      </c>
      <c r="I22" s="40">
        <v>11.22</v>
      </c>
      <c r="J22" s="40">
        <v>0.69</v>
      </c>
      <c r="K22" s="40">
        <v>57.98</v>
      </c>
      <c r="L22" s="40">
        <v>29.17</v>
      </c>
      <c r="M22" s="40">
        <v>31.6</v>
      </c>
      <c r="N22" s="40">
        <v>393.8</v>
      </c>
      <c r="O22" s="40">
        <v>0</v>
      </c>
      <c r="P22" s="40">
        <v>0.7</v>
      </c>
      <c r="Q22" s="40">
        <v>10.5</v>
      </c>
      <c r="R22" s="38"/>
      <c r="S22" s="38"/>
      <c r="T22" s="38"/>
      <c r="U22" s="38"/>
    </row>
    <row r="23" spans="1:21" customFormat="1">
      <c r="A23" s="39" t="s">
        <v>675</v>
      </c>
      <c r="B23" s="40">
        <v>6.08</v>
      </c>
      <c r="C23" s="40">
        <v>32.76</v>
      </c>
      <c r="D23" s="40">
        <v>23.34</v>
      </c>
      <c r="E23" s="40">
        <v>13.22</v>
      </c>
      <c r="F23" s="42">
        <v>12.06</v>
      </c>
      <c r="G23" s="40">
        <v>61.58</v>
      </c>
      <c r="H23" s="40">
        <v>20.93</v>
      </c>
      <c r="I23" s="40">
        <v>10.41</v>
      </c>
      <c r="J23" s="40">
        <v>0.66</v>
      </c>
      <c r="K23" s="40">
        <v>80.489999999999995</v>
      </c>
      <c r="L23" s="40">
        <v>29.34</v>
      </c>
      <c r="M23" s="40">
        <v>31.81</v>
      </c>
      <c r="N23" s="40">
        <v>312.89999999999998</v>
      </c>
      <c r="O23" s="40">
        <v>0</v>
      </c>
      <c r="P23" s="40">
        <v>0.68</v>
      </c>
      <c r="Q23" s="40">
        <v>10.5</v>
      </c>
      <c r="R23" s="38"/>
      <c r="S23" s="38"/>
      <c r="T23" s="38"/>
      <c r="U23" s="38"/>
    </row>
    <row r="24" spans="1:21" customFormat="1">
      <c r="A24" s="39" t="s">
        <v>676</v>
      </c>
      <c r="B24" s="40">
        <v>5.38</v>
      </c>
      <c r="C24" s="40">
        <v>28.99</v>
      </c>
      <c r="D24" s="40">
        <v>20.82</v>
      </c>
      <c r="E24" s="40">
        <v>15.96</v>
      </c>
      <c r="F24" s="42">
        <v>12.34</v>
      </c>
      <c r="G24" s="40">
        <v>61.58</v>
      </c>
      <c r="H24" s="40">
        <v>20.93</v>
      </c>
      <c r="I24" s="40">
        <v>9.61</v>
      </c>
      <c r="J24" s="40">
        <v>0.86</v>
      </c>
      <c r="K24" s="40">
        <v>35.380000000000003</v>
      </c>
      <c r="L24" s="40">
        <v>28.69</v>
      </c>
      <c r="M24" s="40">
        <v>31.16</v>
      </c>
      <c r="N24" s="40">
        <v>58.4</v>
      </c>
      <c r="O24" s="40">
        <v>0</v>
      </c>
      <c r="P24" s="40">
        <v>0.64</v>
      </c>
      <c r="Q24" s="40">
        <v>10.5</v>
      </c>
      <c r="R24" s="38"/>
      <c r="S24" s="38"/>
      <c r="T24" s="38"/>
      <c r="U24" s="38"/>
    </row>
    <row r="25" spans="1:21" customFormat="1">
      <c r="A25" s="39" t="s">
        <v>677</v>
      </c>
      <c r="B25" s="40">
        <v>5.08</v>
      </c>
      <c r="C25" s="40">
        <v>26.61</v>
      </c>
      <c r="D25" s="40">
        <v>19.309999999999999</v>
      </c>
      <c r="E25" s="40">
        <v>13.58</v>
      </c>
      <c r="F25" s="42">
        <v>14.49</v>
      </c>
      <c r="G25" s="40">
        <v>58.58</v>
      </c>
      <c r="H25" s="40">
        <v>19.329999999999998</v>
      </c>
      <c r="I25" s="40">
        <v>9.16</v>
      </c>
      <c r="J25" s="40">
        <v>0.67</v>
      </c>
      <c r="K25" s="40">
        <v>295.82</v>
      </c>
      <c r="L25" s="40">
        <v>28.56</v>
      </c>
      <c r="M25" s="40">
        <v>33.21</v>
      </c>
      <c r="N25" s="40">
        <v>38</v>
      </c>
      <c r="O25" s="40">
        <v>0</v>
      </c>
      <c r="P25" s="40">
        <v>0.63</v>
      </c>
      <c r="Q25" s="40">
        <v>10.5</v>
      </c>
      <c r="R25" s="38"/>
      <c r="S25" s="38"/>
      <c r="T25" s="38"/>
      <c r="U25" s="38"/>
    </row>
    <row r="26" spans="1:21" customFormat="1">
      <c r="A26" s="39" t="s">
        <v>678</v>
      </c>
      <c r="B26" s="40">
        <v>5.71</v>
      </c>
      <c r="C26" s="40">
        <v>25.32</v>
      </c>
      <c r="D26" s="40">
        <v>18.97</v>
      </c>
      <c r="E26" s="40">
        <v>12.08</v>
      </c>
      <c r="F26" s="42">
        <v>11.94</v>
      </c>
      <c r="G26" s="40">
        <v>58.19</v>
      </c>
      <c r="H26" s="40">
        <v>19.329999999999998</v>
      </c>
      <c r="I26" s="40">
        <v>8.7899999999999991</v>
      </c>
      <c r="J26" s="40">
        <v>0.4</v>
      </c>
      <c r="K26" s="40">
        <v>145.51</v>
      </c>
      <c r="L26" s="40">
        <v>27.79</v>
      </c>
      <c r="M26" s="40">
        <v>48.47</v>
      </c>
      <c r="N26" s="40">
        <v>15.9</v>
      </c>
      <c r="O26" s="40">
        <v>0</v>
      </c>
      <c r="P26" s="40">
        <v>0.65</v>
      </c>
      <c r="Q26" s="40">
        <v>10.5</v>
      </c>
      <c r="R26" s="38"/>
      <c r="S26" s="38"/>
      <c r="T26" s="38"/>
      <c r="U26" s="38"/>
    </row>
    <row r="27" spans="1:21" customFormat="1">
      <c r="A27" s="39" t="s">
        <v>679</v>
      </c>
      <c r="B27" s="40">
        <v>6.97</v>
      </c>
      <c r="C27" s="40">
        <v>24.93</v>
      </c>
      <c r="D27" s="40">
        <v>19.95</v>
      </c>
      <c r="E27" s="40">
        <v>11.44</v>
      </c>
      <c r="F27" s="42">
        <v>4.8099999999999996</v>
      </c>
      <c r="G27" s="40">
        <v>77.180000000000007</v>
      </c>
      <c r="H27" s="40">
        <v>20.63</v>
      </c>
      <c r="I27" s="40">
        <v>8.99</v>
      </c>
      <c r="J27" s="40">
        <v>0.28999999999999998</v>
      </c>
      <c r="K27" s="40">
        <v>169.97</v>
      </c>
      <c r="L27" s="40">
        <v>24.27</v>
      </c>
      <c r="M27" s="40">
        <v>63.3</v>
      </c>
      <c r="N27" s="40">
        <v>1.9</v>
      </c>
      <c r="O27" s="40">
        <v>0</v>
      </c>
      <c r="P27" s="40">
        <v>0.69</v>
      </c>
      <c r="Q27" s="40">
        <v>10.5</v>
      </c>
      <c r="R27" s="38"/>
      <c r="S27" s="38"/>
      <c r="T27" s="38"/>
      <c r="U27" s="38"/>
    </row>
    <row r="28" spans="1:21" customFormat="1">
      <c r="A28" s="39" t="s">
        <v>680</v>
      </c>
      <c r="B28" s="40">
        <v>7.41</v>
      </c>
      <c r="C28" s="40">
        <v>25.53</v>
      </c>
      <c r="D28" s="40">
        <v>20.63</v>
      </c>
      <c r="E28" s="40">
        <v>10.99</v>
      </c>
      <c r="F28" s="42">
        <v>4.49</v>
      </c>
      <c r="G28" s="40">
        <v>81.93</v>
      </c>
      <c r="H28" s="40">
        <v>22.1</v>
      </c>
      <c r="I28" s="40">
        <v>9.68</v>
      </c>
      <c r="J28" s="40">
        <v>0.25</v>
      </c>
      <c r="K28" s="40">
        <v>208.13</v>
      </c>
      <c r="L28" s="40">
        <v>22.11</v>
      </c>
      <c r="M28" s="40">
        <v>67.69</v>
      </c>
      <c r="N28" s="40">
        <v>1.7</v>
      </c>
      <c r="O28" s="40">
        <v>0</v>
      </c>
      <c r="P28" s="40">
        <v>0.79</v>
      </c>
      <c r="Q28" s="40">
        <v>10.5</v>
      </c>
      <c r="R28" s="38"/>
      <c r="S28" s="38"/>
      <c r="T28" s="38"/>
      <c r="U28" s="38"/>
    </row>
    <row r="29" spans="1:21" customFormat="1">
      <c r="A29" s="39" t="s">
        <v>681</v>
      </c>
      <c r="B29" s="40">
        <v>7.5</v>
      </c>
      <c r="C29" s="40">
        <v>25.51</v>
      </c>
      <c r="D29" s="40">
        <v>20.6</v>
      </c>
      <c r="E29" s="40">
        <v>10.73</v>
      </c>
      <c r="F29" s="42">
        <v>4.13</v>
      </c>
      <c r="G29" s="40">
        <v>85.71</v>
      </c>
      <c r="H29" s="40">
        <v>24.1</v>
      </c>
      <c r="I29" s="40">
        <v>10.3</v>
      </c>
      <c r="J29" s="40">
        <v>0.22</v>
      </c>
      <c r="K29" s="40">
        <v>220.91</v>
      </c>
      <c r="L29" s="40">
        <v>20.32</v>
      </c>
      <c r="M29" s="40">
        <v>69.22</v>
      </c>
      <c r="N29" s="40">
        <v>1.4</v>
      </c>
      <c r="O29" s="40">
        <v>0</v>
      </c>
      <c r="P29" s="40">
        <v>0.83</v>
      </c>
      <c r="Q29" s="40">
        <v>10.5</v>
      </c>
      <c r="R29" s="38"/>
      <c r="S29" s="38"/>
      <c r="T29" s="38"/>
      <c r="U29" s="38"/>
    </row>
    <row r="30" spans="1:21" customFormat="1">
      <c r="A30" s="39" t="s">
        <v>682</v>
      </c>
      <c r="B30" s="40">
        <v>11.4</v>
      </c>
      <c r="C30" s="40">
        <v>25.85</v>
      </c>
      <c r="D30" s="40">
        <v>24</v>
      </c>
      <c r="E30" s="40">
        <v>10.53</v>
      </c>
      <c r="F30" s="42">
        <v>3.94</v>
      </c>
      <c r="G30" s="40">
        <v>89.58</v>
      </c>
      <c r="H30" s="40">
        <v>24.1</v>
      </c>
      <c r="I30" s="40">
        <v>10.62</v>
      </c>
      <c r="J30" s="40">
        <v>0.21</v>
      </c>
      <c r="K30" s="40">
        <v>163.34</v>
      </c>
      <c r="L30" s="40">
        <v>20</v>
      </c>
      <c r="M30" s="40">
        <v>71.56</v>
      </c>
      <c r="N30" s="40">
        <v>1.2</v>
      </c>
      <c r="O30" s="40">
        <v>0</v>
      </c>
      <c r="P30" s="40">
        <v>0.89</v>
      </c>
      <c r="Q30" s="40">
        <v>10.5</v>
      </c>
      <c r="R30" s="38"/>
      <c r="S30" s="38"/>
      <c r="T30" s="38"/>
      <c r="U30" s="38"/>
    </row>
    <row r="31" spans="1:21" customFormat="1">
      <c r="A31" s="39" t="s">
        <v>683</v>
      </c>
      <c r="B31" s="40">
        <v>20.52</v>
      </c>
      <c r="C31" s="40">
        <v>27.21</v>
      </c>
      <c r="D31" s="40">
        <v>32.020000000000003</v>
      </c>
      <c r="E31" s="40">
        <v>11.05</v>
      </c>
      <c r="F31" s="42">
        <v>4.1500000000000004</v>
      </c>
      <c r="G31" s="40">
        <v>98.92</v>
      </c>
      <c r="H31" s="40">
        <v>22.1</v>
      </c>
      <c r="I31" s="40">
        <v>11.33</v>
      </c>
      <c r="J31" s="40">
        <v>0.23</v>
      </c>
      <c r="K31" s="40">
        <v>168.04</v>
      </c>
      <c r="L31" s="40">
        <v>19.87</v>
      </c>
      <c r="M31" s="40">
        <v>76.62</v>
      </c>
      <c r="N31" s="40">
        <v>1.3</v>
      </c>
      <c r="O31" s="40">
        <v>0</v>
      </c>
      <c r="P31" s="40">
        <v>0.99</v>
      </c>
      <c r="Q31" s="40">
        <v>10.5</v>
      </c>
      <c r="R31" s="38"/>
      <c r="S31" s="38"/>
      <c r="T31" s="38"/>
      <c r="U31" s="38"/>
    </row>
    <row r="32" spans="1:21" customFormat="1">
      <c r="A32" s="39" t="s">
        <v>684</v>
      </c>
      <c r="B32" s="40">
        <v>27.34</v>
      </c>
      <c r="C32" s="40">
        <v>28.59</v>
      </c>
      <c r="D32" s="40">
        <v>38.21</v>
      </c>
      <c r="E32" s="40">
        <v>11.09</v>
      </c>
      <c r="F32" s="42">
        <v>4.2699999999999996</v>
      </c>
      <c r="G32" s="40">
        <v>114.8</v>
      </c>
      <c r="H32" s="40">
        <v>26.57</v>
      </c>
      <c r="I32" s="40">
        <v>12.18</v>
      </c>
      <c r="J32" s="40">
        <v>0.2</v>
      </c>
      <c r="K32" s="40">
        <v>166.2</v>
      </c>
      <c r="L32" s="40">
        <v>19.079999999999998</v>
      </c>
      <c r="M32" s="40">
        <v>77.349999999999994</v>
      </c>
      <c r="N32" s="40">
        <v>1.4</v>
      </c>
      <c r="O32" s="40">
        <v>0</v>
      </c>
      <c r="P32" s="40">
        <v>1.04</v>
      </c>
      <c r="Q32" s="40">
        <v>10.5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5.08</v>
      </c>
      <c r="C34" s="18">
        <f t="shared" si="0"/>
        <v>24.93</v>
      </c>
      <c r="D34" s="18">
        <f t="shared" si="0"/>
        <v>18.97</v>
      </c>
      <c r="E34" s="18">
        <f t="shared" si="0"/>
        <v>8.86</v>
      </c>
      <c r="F34" s="18">
        <f t="shared" si="0"/>
        <v>3.78</v>
      </c>
      <c r="G34" s="18">
        <f t="shared" si="0"/>
        <v>58.19</v>
      </c>
      <c r="H34" s="18">
        <f t="shared" si="0"/>
        <v>19.329999999999998</v>
      </c>
      <c r="I34" s="18">
        <f t="shared" si="0"/>
        <v>8.7899999999999991</v>
      </c>
      <c r="J34" s="18">
        <f t="shared" si="0"/>
        <v>0.16</v>
      </c>
      <c r="K34" s="18">
        <f t="shared" si="0"/>
        <v>35.380000000000003</v>
      </c>
      <c r="L34" s="18">
        <f t="shared" si="0"/>
        <v>16.059999999999999</v>
      </c>
      <c r="M34" s="18">
        <f t="shared" si="0"/>
        <v>31.16</v>
      </c>
      <c r="N34" s="18">
        <f t="shared" si="0"/>
        <v>1.2</v>
      </c>
      <c r="O34" s="18">
        <f t="shared" si="0"/>
        <v>0</v>
      </c>
      <c r="P34" s="18">
        <f t="shared" si="0"/>
        <v>0.63</v>
      </c>
      <c r="Q34" s="18">
        <f t="shared" si="0"/>
        <v>10.5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31.29</v>
      </c>
      <c r="C35" s="3">
        <f t="shared" si="1"/>
        <v>33.159999999999997</v>
      </c>
      <c r="D35" s="3">
        <f t="shared" si="1"/>
        <v>40.93</v>
      </c>
      <c r="E35" s="3">
        <f t="shared" si="1"/>
        <v>15.96</v>
      </c>
      <c r="F35" s="3">
        <f t="shared" si="1"/>
        <v>14.49</v>
      </c>
      <c r="G35" s="3">
        <f t="shared" si="1"/>
        <v>116.06</v>
      </c>
      <c r="H35" s="3">
        <f t="shared" si="1"/>
        <v>31.49</v>
      </c>
      <c r="I35" s="3">
        <f t="shared" si="1"/>
        <v>18.45</v>
      </c>
      <c r="J35" s="3">
        <f t="shared" si="1"/>
        <v>1.18</v>
      </c>
      <c r="K35" s="3">
        <f t="shared" si="1"/>
        <v>295.82</v>
      </c>
      <c r="L35" s="3">
        <f t="shared" si="1"/>
        <v>29.34</v>
      </c>
      <c r="M35" s="3">
        <f t="shared" si="1"/>
        <v>96.95</v>
      </c>
      <c r="N35" s="3">
        <f t="shared" si="1"/>
        <v>416.6</v>
      </c>
      <c r="O35" s="3">
        <f t="shared" si="1"/>
        <v>0</v>
      </c>
      <c r="P35" s="3">
        <f t="shared" si="1"/>
        <v>1.25</v>
      </c>
      <c r="Q35" s="3">
        <f t="shared" si="1"/>
        <v>10.5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17.811666666666664</v>
      </c>
      <c r="C36" s="18">
        <f t="shared" si="2"/>
        <v>28.529583333333335</v>
      </c>
      <c r="D36" s="18">
        <f t="shared" si="2"/>
        <v>30.435833333333335</v>
      </c>
      <c r="E36" s="18">
        <f t="shared" si="2"/>
        <v>10.84125</v>
      </c>
      <c r="F36" s="18">
        <f t="shared" si="2"/>
        <v>6.3412500000000014</v>
      </c>
      <c r="G36" s="18">
        <f t="shared" si="2"/>
        <v>90.507083333333341</v>
      </c>
      <c r="H36" s="18">
        <f t="shared" si="2"/>
        <v>25.796250000000004</v>
      </c>
      <c r="I36" s="18">
        <f t="shared" si="2"/>
        <v>13.647916666666665</v>
      </c>
      <c r="J36" s="18">
        <f t="shared" si="2"/>
        <v>0.46083333333333337</v>
      </c>
      <c r="K36" s="18">
        <f t="shared" si="2"/>
        <v>149.34333333333333</v>
      </c>
      <c r="L36" s="18">
        <f t="shared" si="2"/>
        <v>22.408749999999998</v>
      </c>
      <c r="M36" s="18">
        <f t="shared" si="2"/>
        <v>64.951666666666654</v>
      </c>
      <c r="N36" s="18">
        <f t="shared" si="2"/>
        <v>106.86666666666669</v>
      </c>
      <c r="O36" s="18">
        <f t="shared" si="2"/>
        <v>0</v>
      </c>
      <c r="P36" s="18">
        <f t="shared" si="2"/>
        <v>0.96166666666666634</v>
      </c>
      <c r="Q36" s="18">
        <f t="shared" si="2"/>
        <v>10.5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10.385490994093919</v>
      </c>
      <c r="C37" s="18">
        <f t="shared" ref="C37:Q37" si="3">STDEV(C9:C32)</f>
        <v>2.5390489132858325</v>
      </c>
      <c r="D37" s="18">
        <f t="shared" si="3"/>
        <v>8.3496143710310076</v>
      </c>
      <c r="E37" s="18">
        <f t="shared" si="3"/>
        <v>1.5375822706868203</v>
      </c>
      <c r="F37" s="18">
        <f t="shared" si="3"/>
        <v>3.5534273871365611</v>
      </c>
      <c r="G37" s="18">
        <f t="shared" si="3"/>
        <v>19.516803123633352</v>
      </c>
      <c r="H37" s="18">
        <f t="shared" si="3"/>
        <v>4.3974753750205942</v>
      </c>
      <c r="I37" s="18">
        <f t="shared" si="3"/>
        <v>3.5006657493119548</v>
      </c>
      <c r="J37" s="18">
        <f t="shared" si="3"/>
        <v>0.30913507202131435</v>
      </c>
      <c r="K37" s="18">
        <f t="shared" si="3"/>
        <v>64.298542188266083</v>
      </c>
      <c r="L37" s="18">
        <f t="shared" si="3"/>
        <v>4.6504299123377066</v>
      </c>
      <c r="M37" s="18">
        <f t="shared" si="3"/>
        <v>23.889923046933568</v>
      </c>
      <c r="N37" s="18">
        <f t="shared" si="3"/>
        <v>159.31476545742274</v>
      </c>
      <c r="O37" s="18">
        <f t="shared" si="3"/>
        <v>0</v>
      </c>
      <c r="P37" s="18">
        <f t="shared" si="3"/>
        <v>0.2255363976538316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96"/>
  <sheetViews>
    <sheetView zoomScale="85" zoomScaleNormal="85" workbookViewId="0">
      <pane xSplit="1" ySplit="8" topLeftCell="B15" activePane="bottomRight" state="frozen"/>
      <selection activeCell="G19" sqref="G19"/>
      <selection pane="topRight" activeCell="G19" sqref="G19"/>
      <selection pane="bottomLeft" activeCell="G19" sqref="G19"/>
      <selection pane="bottomRight" activeCell="M27" sqref="M27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27/01/2025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685</v>
      </c>
      <c r="B9" s="40">
        <v>28.33</v>
      </c>
      <c r="C9" s="40">
        <v>30</v>
      </c>
      <c r="D9" s="40">
        <v>39.71</v>
      </c>
      <c r="E9" s="40">
        <v>11.24</v>
      </c>
      <c r="F9" s="40">
        <v>4.05</v>
      </c>
      <c r="G9" s="40">
        <v>114.8</v>
      </c>
      <c r="H9" s="40">
        <v>26.57</v>
      </c>
      <c r="I9" s="40">
        <v>12.28</v>
      </c>
      <c r="J9" s="40">
        <v>0.13</v>
      </c>
      <c r="K9" s="40">
        <v>98.78</v>
      </c>
      <c r="L9" s="40">
        <v>19.13</v>
      </c>
      <c r="M9" s="40">
        <v>65.7</v>
      </c>
      <c r="N9" s="40">
        <v>1.2</v>
      </c>
      <c r="O9" s="40">
        <v>0</v>
      </c>
      <c r="P9" s="40">
        <v>1.04</v>
      </c>
      <c r="Q9" s="40">
        <v>11.6</v>
      </c>
      <c r="R9" s="38"/>
      <c r="S9" s="38"/>
      <c r="T9" s="38"/>
      <c r="U9" s="38"/>
    </row>
    <row r="10" spans="1:21" customFormat="1">
      <c r="A10" s="39" t="s">
        <v>686</v>
      </c>
      <c r="B10" s="40">
        <v>26.97</v>
      </c>
      <c r="C10" s="40">
        <v>30.04</v>
      </c>
      <c r="D10" s="40">
        <v>38.659999999999997</v>
      </c>
      <c r="E10" s="40">
        <v>11.33</v>
      </c>
      <c r="F10" s="40">
        <v>4.04</v>
      </c>
      <c r="G10" s="40">
        <v>108.07</v>
      </c>
      <c r="H10" s="40">
        <v>25.42</v>
      </c>
      <c r="I10" s="40">
        <v>12.23</v>
      </c>
      <c r="J10" s="40">
        <v>0.19</v>
      </c>
      <c r="K10" s="40">
        <v>177.29</v>
      </c>
      <c r="L10" s="40">
        <v>18.36</v>
      </c>
      <c r="M10" s="40">
        <v>67.989999999999995</v>
      </c>
      <c r="N10" s="40">
        <v>1.4</v>
      </c>
      <c r="O10" s="40">
        <v>0</v>
      </c>
      <c r="P10" s="40">
        <v>0.99</v>
      </c>
      <c r="Q10" s="40">
        <v>11.3</v>
      </c>
      <c r="R10" s="38"/>
      <c r="S10" s="38"/>
      <c r="T10" s="38"/>
      <c r="U10" s="38"/>
    </row>
    <row r="11" spans="1:21" customFormat="1">
      <c r="A11" s="39" t="s">
        <v>687</v>
      </c>
      <c r="B11" s="40">
        <v>23.98</v>
      </c>
      <c r="C11" s="40">
        <v>29.67</v>
      </c>
      <c r="D11" s="40">
        <v>36.090000000000003</v>
      </c>
      <c r="E11" s="40">
        <v>9.4600000000000009</v>
      </c>
      <c r="F11" s="40">
        <v>4</v>
      </c>
      <c r="G11" s="40">
        <v>99.28</v>
      </c>
      <c r="H11" s="40">
        <v>25.24</v>
      </c>
      <c r="I11" s="40">
        <v>11.88</v>
      </c>
      <c r="J11" s="40">
        <v>0.24</v>
      </c>
      <c r="K11" s="40">
        <v>206.88</v>
      </c>
      <c r="L11" s="40">
        <v>17</v>
      </c>
      <c r="M11" s="40">
        <v>77.42</v>
      </c>
      <c r="N11" s="40">
        <v>1.7</v>
      </c>
      <c r="O11" s="40">
        <v>0</v>
      </c>
      <c r="P11" s="40">
        <v>0.93</v>
      </c>
      <c r="Q11" s="40">
        <v>11.3</v>
      </c>
      <c r="R11" s="38"/>
      <c r="S11" s="38"/>
      <c r="T11" s="38"/>
      <c r="U11" s="38"/>
    </row>
    <row r="12" spans="1:21" customFormat="1">
      <c r="A12" s="39" t="s">
        <v>688</v>
      </c>
      <c r="B12" s="40">
        <v>20.010000000000002</v>
      </c>
      <c r="C12" s="40">
        <v>28.15</v>
      </c>
      <c r="D12" s="40">
        <v>32.1</v>
      </c>
      <c r="E12" s="40">
        <v>9</v>
      </c>
      <c r="F12" s="40">
        <v>3.95</v>
      </c>
      <c r="G12" s="40">
        <v>91.69</v>
      </c>
      <c r="H12" s="40">
        <v>23.97</v>
      </c>
      <c r="I12" s="40">
        <v>11.59</v>
      </c>
      <c r="J12" s="40">
        <v>0.18</v>
      </c>
      <c r="K12" s="40">
        <v>177.02</v>
      </c>
      <c r="L12" s="40">
        <v>15.96</v>
      </c>
      <c r="M12" s="40">
        <v>74.31</v>
      </c>
      <c r="N12" s="40">
        <v>1</v>
      </c>
      <c r="O12" s="40">
        <v>0</v>
      </c>
      <c r="P12" s="40">
        <v>0.9</v>
      </c>
      <c r="Q12" s="40">
        <v>11.3</v>
      </c>
      <c r="R12" s="38"/>
      <c r="S12" s="38"/>
      <c r="T12" s="38"/>
      <c r="U12" s="38"/>
    </row>
    <row r="13" spans="1:21" customFormat="1">
      <c r="A13" s="39" t="s">
        <v>689</v>
      </c>
      <c r="B13" s="40">
        <v>22.67</v>
      </c>
      <c r="C13" s="40">
        <v>28.63</v>
      </c>
      <c r="D13" s="40">
        <v>34.49</v>
      </c>
      <c r="E13" s="40">
        <v>8.51</v>
      </c>
      <c r="F13" s="40">
        <v>3.92</v>
      </c>
      <c r="G13" s="40">
        <v>75.77</v>
      </c>
      <c r="H13" s="40">
        <v>20.69</v>
      </c>
      <c r="I13" s="40">
        <v>11.5</v>
      </c>
      <c r="J13" s="40">
        <v>0.28000000000000003</v>
      </c>
      <c r="K13" s="40">
        <v>156.16999999999999</v>
      </c>
      <c r="L13" s="40">
        <v>16.260000000000002</v>
      </c>
      <c r="M13" s="40">
        <v>75.13</v>
      </c>
      <c r="N13" s="40">
        <v>1.3</v>
      </c>
      <c r="O13" s="40">
        <v>0</v>
      </c>
      <c r="P13" s="40">
        <v>0.87</v>
      </c>
      <c r="Q13" s="40">
        <v>11.3</v>
      </c>
      <c r="R13" s="38"/>
      <c r="S13" s="38"/>
      <c r="T13" s="38"/>
      <c r="U13" s="38"/>
    </row>
    <row r="14" spans="1:21" customFormat="1">
      <c r="A14" s="39" t="s">
        <v>690</v>
      </c>
      <c r="B14" s="40">
        <v>23.45</v>
      </c>
      <c r="C14" s="40">
        <v>28.22</v>
      </c>
      <c r="D14" s="40">
        <v>34.86</v>
      </c>
      <c r="E14" s="40">
        <v>8.64</v>
      </c>
      <c r="F14" s="40">
        <v>3.96</v>
      </c>
      <c r="G14" s="40">
        <v>75.77</v>
      </c>
      <c r="H14" s="40">
        <v>22.06</v>
      </c>
      <c r="I14" s="40">
        <v>11.52</v>
      </c>
      <c r="J14" s="40">
        <v>0.23</v>
      </c>
      <c r="K14" s="40">
        <v>186.92</v>
      </c>
      <c r="L14" s="40">
        <v>15.87</v>
      </c>
      <c r="M14" s="40">
        <v>76</v>
      </c>
      <c r="N14" s="40">
        <v>1.2</v>
      </c>
      <c r="O14" s="40">
        <v>0</v>
      </c>
      <c r="P14" s="40">
        <v>0.85</v>
      </c>
      <c r="Q14" s="40">
        <v>11.3</v>
      </c>
      <c r="R14" s="38"/>
      <c r="S14" s="38"/>
      <c r="T14" s="38"/>
      <c r="U14" s="38"/>
    </row>
    <row r="15" spans="1:21" customFormat="1">
      <c r="A15" s="39" t="s">
        <v>691</v>
      </c>
      <c r="B15" s="40">
        <v>23.48</v>
      </c>
      <c r="C15" s="40">
        <v>27.99</v>
      </c>
      <c r="D15" s="40">
        <v>34.799999999999997</v>
      </c>
      <c r="E15" s="40">
        <v>8.07</v>
      </c>
      <c r="F15" s="40">
        <v>3.89</v>
      </c>
      <c r="G15" s="40">
        <v>75.52</v>
      </c>
      <c r="H15" s="40">
        <v>23.05</v>
      </c>
      <c r="I15" s="40">
        <v>11.64</v>
      </c>
      <c r="J15" s="40">
        <v>0.24</v>
      </c>
      <c r="K15" s="40">
        <v>161.69</v>
      </c>
      <c r="L15" s="40">
        <v>15.62</v>
      </c>
      <c r="M15" s="40">
        <v>81.599999999999994</v>
      </c>
      <c r="N15" s="40">
        <v>7.1</v>
      </c>
      <c r="O15" s="40">
        <v>0</v>
      </c>
      <c r="P15" s="40">
        <v>0.85</v>
      </c>
      <c r="Q15" s="40">
        <v>11.3</v>
      </c>
      <c r="R15" s="38"/>
      <c r="S15" s="38"/>
      <c r="T15" s="38"/>
      <c r="U15" s="38"/>
    </row>
    <row r="16" spans="1:21" customFormat="1">
      <c r="A16" s="39" t="s">
        <v>692</v>
      </c>
      <c r="B16" s="40">
        <v>22.81</v>
      </c>
      <c r="C16" s="40">
        <v>27.44</v>
      </c>
      <c r="D16" s="40">
        <v>33.94</v>
      </c>
      <c r="E16" s="40">
        <v>7.81</v>
      </c>
      <c r="F16" s="40">
        <v>3.87</v>
      </c>
      <c r="G16" s="40">
        <v>80.45</v>
      </c>
      <c r="H16" s="40">
        <v>23.05</v>
      </c>
      <c r="I16" s="40">
        <v>12.3</v>
      </c>
      <c r="J16" s="40">
        <v>0.55000000000000004</v>
      </c>
      <c r="K16" s="40">
        <v>118.56</v>
      </c>
      <c r="L16" s="40">
        <v>17.170000000000002</v>
      </c>
      <c r="M16" s="40">
        <v>79.09</v>
      </c>
      <c r="N16" s="40">
        <v>35.799999999999997</v>
      </c>
      <c r="O16" s="40">
        <v>0</v>
      </c>
      <c r="P16" s="40">
        <v>0.91</v>
      </c>
      <c r="Q16" s="40">
        <v>11.3</v>
      </c>
      <c r="R16" s="38"/>
      <c r="S16" s="38"/>
      <c r="T16" s="38"/>
      <c r="U16" s="38"/>
    </row>
    <row r="17" spans="1:21" customFormat="1">
      <c r="A17" s="39" t="s">
        <v>693</v>
      </c>
      <c r="B17" s="40">
        <v>22.07</v>
      </c>
      <c r="C17" s="40">
        <v>28.48</v>
      </c>
      <c r="D17" s="40">
        <v>33.409999999999997</v>
      </c>
      <c r="E17" s="40">
        <v>7.74</v>
      </c>
      <c r="F17" s="40">
        <v>4.4800000000000004</v>
      </c>
      <c r="G17" s="40">
        <v>90.25</v>
      </c>
      <c r="H17" s="40">
        <v>23</v>
      </c>
      <c r="I17" s="40">
        <v>12.89</v>
      </c>
      <c r="J17" s="40">
        <v>0.75</v>
      </c>
      <c r="K17" s="40">
        <v>60.31</v>
      </c>
      <c r="L17" s="40">
        <v>20.5</v>
      </c>
      <c r="M17" s="40">
        <v>54.89</v>
      </c>
      <c r="N17" s="40">
        <v>219.7</v>
      </c>
      <c r="O17" s="40">
        <v>0</v>
      </c>
      <c r="P17" s="40">
        <v>0.91</v>
      </c>
      <c r="Q17" s="40">
        <v>11.3</v>
      </c>
      <c r="R17" s="38"/>
      <c r="S17" s="38"/>
      <c r="T17" s="38"/>
      <c r="U17" s="38"/>
    </row>
    <row r="18" spans="1:21" customFormat="1">
      <c r="A18" s="39" t="s">
        <v>694</v>
      </c>
      <c r="B18" s="40">
        <v>18.600000000000001</v>
      </c>
      <c r="C18" s="40">
        <v>30.22</v>
      </c>
      <c r="D18" s="40">
        <v>31.43</v>
      </c>
      <c r="E18" s="40">
        <v>8.94</v>
      </c>
      <c r="F18" s="40">
        <v>5.39</v>
      </c>
      <c r="G18" s="40">
        <v>90.25</v>
      </c>
      <c r="H18" s="40">
        <v>22.73</v>
      </c>
      <c r="I18" s="40">
        <v>12.81</v>
      </c>
      <c r="J18" s="40">
        <v>0.83</v>
      </c>
      <c r="K18" s="40">
        <v>55.54</v>
      </c>
      <c r="L18" s="40">
        <v>23.69</v>
      </c>
      <c r="M18" s="40">
        <v>39.43</v>
      </c>
      <c r="N18" s="40">
        <v>330.8</v>
      </c>
      <c r="O18" s="40">
        <v>0</v>
      </c>
      <c r="P18" s="40">
        <v>0.88</v>
      </c>
      <c r="Q18" s="40">
        <v>11.3</v>
      </c>
      <c r="R18" s="38"/>
      <c r="S18" s="38"/>
      <c r="T18" s="38"/>
      <c r="U18" s="38"/>
    </row>
    <row r="19" spans="1:21" customFormat="1">
      <c r="A19" s="39" t="s">
        <v>695</v>
      </c>
      <c r="B19" s="40">
        <v>16.7</v>
      </c>
      <c r="C19" s="40">
        <v>30.06</v>
      </c>
      <c r="D19" s="40">
        <v>30.45</v>
      </c>
      <c r="E19" s="40">
        <v>9.89</v>
      </c>
      <c r="F19" s="40">
        <v>6.62</v>
      </c>
      <c r="G19" s="40">
        <v>88.93</v>
      </c>
      <c r="H19" s="40">
        <v>22.91</v>
      </c>
      <c r="I19" s="40">
        <v>12.28</v>
      </c>
      <c r="J19" s="40">
        <v>0.71</v>
      </c>
      <c r="K19" s="40">
        <v>75.319999999999993</v>
      </c>
      <c r="L19" s="40">
        <v>26.04</v>
      </c>
      <c r="M19" s="40">
        <v>31.6</v>
      </c>
      <c r="N19" s="40">
        <v>395.9</v>
      </c>
      <c r="O19" s="40">
        <v>0</v>
      </c>
      <c r="P19" s="40">
        <v>0.85</v>
      </c>
      <c r="Q19" s="40">
        <v>11.3</v>
      </c>
      <c r="R19" s="38"/>
      <c r="S19" s="38"/>
      <c r="T19" s="38"/>
      <c r="U19" s="38"/>
    </row>
    <row r="20" spans="1:21" customFormat="1">
      <c r="A20" s="39" t="s">
        <v>696</v>
      </c>
      <c r="B20" s="40">
        <v>14.58</v>
      </c>
      <c r="C20" s="40">
        <v>28.47</v>
      </c>
      <c r="D20" s="40">
        <v>27.64</v>
      </c>
      <c r="E20" s="40">
        <v>13.83</v>
      </c>
      <c r="F20" s="40">
        <v>82.26</v>
      </c>
      <c r="G20" s="40">
        <v>85.24</v>
      </c>
      <c r="H20" s="40">
        <v>22.91</v>
      </c>
      <c r="I20" s="40">
        <v>11.77</v>
      </c>
      <c r="J20" s="40">
        <v>0.77</v>
      </c>
      <c r="K20" s="40">
        <v>73.86</v>
      </c>
      <c r="L20" s="40">
        <v>27.76</v>
      </c>
      <c r="M20" s="40">
        <v>25.35</v>
      </c>
      <c r="N20" s="40">
        <v>398.3</v>
      </c>
      <c r="O20" s="40">
        <v>0</v>
      </c>
      <c r="P20" s="40">
        <v>0.77</v>
      </c>
      <c r="Q20" s="40">
        <v>11.3</v>
      </c>
      <c r="R20" s="38"/>
      <c r="S20" s="38"/>
      <c r="T20" s="38"/>
      <c r="U20" s="38"/>
    </row>
    <row r="21" spans="1:21" customFormat="1">
      <c r="A21" s="39" t="s">
        <v>697</v>
      </c>
      <c r="B21" s="40">
        <v>11.03</v>
      </c>
      <c r="C21" s="40">
        <v>37.1</v>
      </c>
      <c r="D21" s="40">
        <v>27.53</v>
      </c>
      <c r="E21" s="40">
        <v>22.32</v>
      </c>
      <c r="F21" s="40">
        <v>94.23</v>
      </c>
      <c r="G21" s="40">
        <v>76.25</v>
      </c>
      <c r="H21" s="40">
        <v>20.88</v>
      </c>
      <c r="I21" s="40">
        <v>11.1</v>
      </c>
      <c r="J21" s="40">
        <v>0.52</v>
      </c>
      <c r="K21" s="40">
        <v>349.19</v>
      </c>
      <c r="L21" s="40">
        <v>28.84</v>
      </c>
      <c r="M21" s="40">
        <v>25.69</v>
      </c>
      <c r="N21" s="40">
        <v>411.7</v>
      </c>
      <c r="O21" s="40">
        <v>0</v>
      </c>
      <c r="P21" s="40">
        <v>0.72</v>
      </c>
      <c r="Q21" s="40">
        <v>13</v>
      </c>
      <c r="R21" s="38"/>
      <c r="S21" s="38"/>
      <c r="T21" s="38"/>
      <c r="U21" s="38"/>
    </row>
    <row r="22" spans="1:21" customFormat="1">
      <c r="A22" s="39" t="s">
        <v>698</v>
      </c>
      <c r="B22" s="40">
        <v>5.56</v>
      </c>
      <c r="C22" s="40">
        <v>35.6</v>
      </c>
      <c r="D22" s="40">
        <v>24.41</v>
      </c>
      <c r="E22" s="40">
        <v>25.95</v>
      </c>
      <c r="F22" s="40">
        <v>26.9</v>
      </c>
      <c r="G22" s="40">
        <v>76.03</v>
      </c>
      <c r="H22" s="40">
        <v>20.88</v>
      </c>
      <c r="I22" s="40">
        <v>8.73</v>
      </c>
      <c r="J22" s="40">
        <v>1.08</v>
      </c>
      <c r="K22" s="40">
        <v>338.08</v>
      </c>
      <c r="L22" s="40">
        <v>29.06</v>
      </c>
      <c r="M22" s="40">
        <v>27.7</v>
      </c>
      <c r="N22" s="40">
        <v>416.8</v>
      </c>
      <c r="O22" s="40">
        <v>0</v>
      </c>
      <c r="P22" s="40">
        <v>0.65</v>
      </c>
      <c r="Q22" s="40">
        <v>13</v>
      </c>
      <c r="R22" s="38"/>
      <c r="S22" s="38"/>
      <c r="T22" s="38"/>
      <c r="U22" s="38"/>
    </row>
    <row r="23" spans="1:21" customFormat="1">
      <c r="A23" s="39" t="s">
        <v>699</v>
      </c>
      <c r="B23" s="40">
        <v>4.01</v>
      </c>
      <c r="C23" s="40">
        <v>27.91</v>
      </c>
      <c r="D23" s="40">
        <v>19.149999999999999</v>
      </c>
      <c r="E23" s="40">
        <v>12.61</v>
      </c>
      <c r="F23" s="40">
        <v>75</v>
      </c>
      <c r="G23" s="40">
        <v>76.03</v>
      </c>
      <c r="H23" s="40">
        <v>21.06</v>
      </c>
      <c r="I23" s="40">
        <v>6.59</v>
      </c>
      <c r="J23" s="40">
        <v>1.2</v>
      </c>
      <c r="K23" s="40">
        <v>315.08</v>
      </c>
      <c r="L23" s="40">
        <v>29.02</v>
      </c>
      <c r="M23" s="40">
        <v>27.98</v>
      </c>
      <c r="N23" s="40">
        <v>365.5</v>
      </c>
      <c r="O23" s="40">
        <v>0</v>
      </c>
      <c r="P23" s="40">
        <v>0.52</v>
      </c>
      <c r="Q23" s="40">
        <v>12.97</v>
      </c>
      <c r="R23" s="38"/>
      <c r="S23" s="38"/>
      <c r="T23" s="38"/>
      <c r="U23" s="38"/>
    </row>
    <row r="24" spans="1:21" customFormat="1">
      <c r="A24" s="39" t="s">
        <v>700</v>
      </c>
      <c r="B24" s="40">
        <v>3.65</v>
      </c>
      <c r="C24" s="40">
        <v>25.23</v>
      </c>
      <c r="D24" s="40">
        <v>17.46</v>
      </c>
      <c r="E24" s="40">
        <v>7.13</v>
      </c>
      <c r="F24" s="40">
        <v>50.37</v>
      </c>
      <c r="G24" s="40">
        <v>65.55</v>
      </c>
      <c r="H24" s="40">
        <v>21.06</v>
      </c>
      <c r="I24" s="40">
        <v>5.36</v>
      </c>
      <c r="J24" s="40">
        <v>1.08</v>
      </c>
      <c r="K24" s="40">
        <v>323.45</v>
      </c>
      <c r="L24" s="40">
        <v>28.81</v>
      </c>
      <c r="M24" s="40">
        <v>28.75</v>
      </c>
      <c r="N24" s="40">
        <v>56.9</v>
      </c>
      <c r="O24" s="40">
        <v>0</v>
      </c>
      <c r="P24" s="40">
        <v>0.48</v>
      </c>
      <c r="Q24" s="40">
        <v>12.96</v>
      </c>
      <c r="R24" s="38"/>
      <c r="S24" s="38"/>
      <c r="T24" s="38"/>
      <c r="U24" s="38"/>
    </row>
    <row r="25" spans="1:21" customFormat="1">
      <c r="A25" s="39" t="s">
        <v>701</v>
      </c>
      <c r="B25" s="40">
        <v>4.28</v>
      </c>
      <c r="C25" s="40">
        <v>24.34</v>
      </c>
      <c r="D25" s="40">
        <v>17.5</v>
      </c>
      <c r="E25" s="40">
        <v>8.1199999999999992</v>
      </c>
      <c r="F25" s="40">
        <v>15.38</v>
      </c>
      <c r="G25" s="40">
        <v>49.74</v>
      </c>
      <c r="H25" s="40">
        <v>18.87</v>
      </c>
      <c r="I25" s="40">
        <v>5.23</v>
      </c>
      <c r="J25" s="40">
        <v>1.03</v>
      </c>
      <c r="K25" s="40">
        <v>315.77</v>
      </c>
      <c r="L25" s="40">
        <v>28.55</v>
      </c>
      <c r="M25" s="40">
        <v>33.770000000000003</v>
      </c>
      <c r="N25" s="40">
        <v>31.2</v>
      </c>
      <c r="O25" s="40">
        <v>0</v>
      </c>
      <c r="P25" s="40">
        <v>0.47</v>
      </c>
      <c r="Q25" s="40">
        <v>12.96</v>
      </c>
      <c r="R25" s="38"/>
      <c r="S25" s="38"/>
      <c r="T25" s="38"/>
      <c r="U25" s="38"/>
    </row>
    <row r="26" spans="1:21" customFormat="1">
      <c r="A26" s="39" t="s">
        <v>702</v>
      </c>
      <c r="B26" s="40">
        <v>4.38</v>
      </c>
      <c r="C26" s="40">
        <v>23.66</v>
      </c>
      <c r="D26" s="40">
        <v>17.22</v>
      </c>
      <c r="E26" s="40">
        <v>7.46</v>
      </c>
      <c r="F26" s="40">
        <v>15.44</v>
      </c>
      <c r="G26" s="40">
        <v>46.29</v>
      </c>
      <c r="H26" s="40">
        <v>18.8</v>
      </c>
      <c r="I26" s="40">
        <v>5.17</v>
      </c>
      <c r="J26" s="40">
        <v>0.32</v>
      </c>
      <c r="K26" s="40">
        <v>187.45</v>
      </c>
      <c r="L26" s="40">
        <v>26.99</v>
      </c>
      <c r="M26" s="40">
        <v>44.46</v>
      </c>
      <c r="N26" s="40">
        <v>15.8</v>
      </c>
      <c r="O26" s="40">
        <v>0</v>
      </c>
      <c r="P26" s="40">
        <v>0.47</v>
      </c>
      <c r="Q26" s="40">
        <v>12.96</v>
      </c>
      <c r="R26" s="38"/>
      <c r="S26" s="38"/>
      <c r="T26" s="38"/>
      <c r="U26" s="38"/>
    </row>
    <row r="27" spans="1:21" customFormat="1">
      <c r="A27" s="39" t="s">
        <v>703</v>
      </c>
      <c r="B27" s="40">
        <v>6.27</v>
      </c>
      <c r="C27" s="40">
        <v>26.7</v>
      </c>
      <c r="D27" s="40">
        <v>20.32</v>
      </c>
      <c r="E27" s="40">
        <v>7.63</v>
      </c>
      <c r="F27" s="40">
        <v>8.31</v>
      </c>
      <c r="G27" s="40">
        <v>63.35</v>
      </c>
      <c r="H27" s="40">
        <v>20.59</v>
      </c>
      <c r="I27" s="40">
        <v>6.09</v>
      </c>
      <c r="J27" s="40">
        <v>0.3</v>
      </c>
      <c r="K27" s="40">
        <v>177.33</v>
      </c>
      <c r="L27" s="40">
        <v>23.86</v>
      </c>
      <c r="M27" s="40">
        <v>60.13</v>
      </c>
      <c r="N27" s="40">
        <v>2</v>
      </c>
      <c r="O27" s="40">
        <v>0</v>
      </c>
      <c r="P27" s="40">
        <v>0.56999999999999995</v>
      </c>
      <c r="Q27" s="40">
        <v>12.96</v>
      </c>
      <c r="R27" s="38"/>
      <c r="S27" s="38"/>
      <c r="T27" s="38"/>
      <c r="U27" s="38"/>
    </row>
    <row r="28" spans="1:21" customFormat="1">
      <c r="A28" s="39" t="s">
        <v>704</v>
      </c>
      <c r="B28" s="40">
        <v>6.89</v>
      </c>
      <c r="C28" s="40">
        <v>27.37</v>
      </c>
      <c r="D28" s="40">
        <v>21.18</v>
      </c>
      <c r="E28" s="40">
        <v>8.34</v>
      </c>
      <c r="F28" s="40">
        <v>4.58</v>
      </c>
      <c r="G28" s="40">
        <v>92.66</v>
      </c>
      <c r="H28" s="40">
        <v>20.77</v>
      </c>
      <c r="I28" s="40">
        <v>7.99</v>
      </c>
      <c r="J28" s="40">
        <v>0.22</v>
      </c>
      <c r="K28" s="40">
        <v>201.4</v>
      </c>
      <c r="L28" s="40">
        <v>21.44</v>
      </c>
      <c r="M28" s="40">
        <v>65.78</v>
      </c>
      <c r="N28" s="40">
        <v>1.4</v>
      </c>
      <c r="O28" s="40">
        <v>0</v>
      </c>
      <c r="P28" s="40">
        <v>0.67</v>
      </c>
      <c r="Q28" s="40">
        <v>12.98</v>
      </c>
      <c r="R28" s="38"/>
      <c r="S28" s="38"/>
      <c r="T28" s="38"/>
      <c r="U28" s="38"/>
    </row>
    <row r="29" spans="1:21" customFormat="1">
      <c r="A29" s="39" t="s">
        <v>705</v>
      </c>
      <c r="B29" s="40">
        <v>8.14</v>
      </c>
      <c r="C29" s="40">
        <v>27.2</v>
      </c>
      <c r="D29" s="40">
        <v>21.69</v>
      </c>
      <c r="E29" s="40">
        <v>8.77</v>
      </c>
      <c r="F29" s="40">
        <v>4.32</v>
      </c>
      <c r="G29" s="40">
        <v>95.44</v>
      </c>
      <c r="H29" s="40">
        <v>23.4</v>
      </c>
      <c r="I29" s="40">
        <v>9.1199999999999992</v>
      </c>
      <c r="J29" s="40">
        <v>0.24</v>
      </c>
      <c r="K29" s="40">
        <v>185.16</v>
      </c>
      <c r="L29" s="40">
        <v>19.79</v>
      </c>
      <c r="M29" s="40">
        <v>71.239999999999995</v>
      </c>
      <c r="N29" s="40">
        <v>1.4</v>
      </c>
      <c r="O29" s="40">
        <v>0</v>
      </c>
      <c r="P29" s="40">
        <v>0.72</v>
      </c>
      <c r="Q29" s="40">
        <v>12.97</v>
      </c>
      <c r="R29" s="38"/>
      <c r="S29" s="38"/>
      <c r="T29" s="38"/>
      <c r="U29" s="38"/>
    </row>
    <row r="30" spans="1:21" customFormat="1">
      <c r="A30" s="39" t="s">
        <v>706</v>
      </c>
      <c r="B30" s="40">
        <v>10.56</v>
      </c>
      <c r="C30" s="40">
        <v>26.77</v>
      </c>
      <c r="D30" s="40">
        <v>23.81</v>
      </c>
      <c r="E30" s="40">
        <v>8.57</v>
      </c>
      <c r="F30" s="40">
        <v>4.12</v>
      </c>
      <c r="G30" s="40">
        <v>111.36</v>
      </c>
      <c r="H30" s="40">
        <v>23.4</v>
      </c>
      <c r="I30" s="40">
        <v>9.98</v>
      </c>
      <c r="J30" s="40">
        <v>0.24</v>
      </c>
      <c r="K30" s="40">
        <v>244.01</v>
      </c>
      <c r="L30" s="40">
        <v>19.3</v>
      </c>
      <c r="M30" s="40">
        <v>71.11</v>
      </c>
      <c r="N30" s="40">
        <v>1.1000000000000001</v>
      </c>
      <c r="O30" s="40">
        <v>0</v>
      </c>
      <c r="P30" s="40">
        <v>0.8</v>
      </c>
      <c r="Q30" s="40">
        <v>12.98</v>
      </c>
      <c r="R30" s="38"/>
      <c r="S30" s="38"/>
      <c r="T30" s="38"/>
      <c r="U30" s="38"/>
    </row>
    <row r="31" spans="1:21" customFormat="1">
      <c r="A31" s="39" t="s">
        <v>707</v>
      </c>
      <c r="B31" s="40">
        <v>12.47</v>
      </c>
      <c r="C31" s="40">
        <v>27.17</v>
      </c>
      <c r="D31" s="40">
        <v>25.45</v>
      </c>
      <c r="E31" s="40">
        <v>8.58</v>
      </c>
      <c r="F31" s="40">
        <v>4.01</v>
      </c>
      <c r="G31" s="40">
        <v>111.36</v>
      </c>
      <c r="H31" s="40">
        <v>23.78</v>
      </c>
      <c r="I31" s="40">
        <v>10.38</v>
      </c>
      <c r="J31" s="40">
        <v>0.27</v>
      </c>
      <c r="K31" s="40">
        <v>169.66</v>
      </c>
      <c r="L31" s="40">
        <v>18.8</v>
      </c>
      <c r="M31" s="40">
        <v>73.87</v>
      </c>
      <c r="N31" s="40">
        <v>1.4</v>
      </c>
      <c r="O31" s="40">
        <v>0</v>
      </c>
      <c r="P31" s="40">
        <v>0.84</v>
      </c>
      <c r="Q31" s="40">
        <v>12.99</v>
      </c>
      <c r="R31" s="38"/>
      <c r="S31" s="38"/>
      <c r="T31" s="38"/>
      <c r="U31" s="38"/>
    </row>
    <row r="32" spans="1:21" customFormat="1">
      <c r="A32" s="39" t="s">
        <v>708</v>
      </c>
      <c r="B32" s="40">
        <v>12.42</v>
      </c>
      <c r="C32" s="40">
        <v>26.9</v>
      </c>
      <c r="D32" s="40">
        <v>25.36</v>
      </c>
      <c r="E32" s="40">
        <v>8.7899999999999991</v>
      </c>
      <c r="F32" s="40">
        <v>4.07</v>
      </c>
      <c r="G32" s="40">
        <v>100.58</v>
      </c>
      <c r="H32" s="40">
        <v>23.78</v>
      </c>
      <c r="I32" s="40">
        <v>10.58</v>
      </c>
      <c r="J32" s="40">
        <v>0.23</v>
      </c>
      <c r="K32" s="40">
        <v>190.11</v>
      </c>
      <c r="L32" s="40">
        <v>17.7</v>
      </c>
      <c r="M32" s="40">
        <v>75.790000000000006</v>
      </c>
      <c r="N32" s="40">
        <v>1.3</v>
      </c>
      <c r="O32" s="40">
        <v>0</v>
      </c>
      <c r="P32" s="40">
        <v>0.87</v>
      </c>
      <c r="Q32" s="40">
        <v>12.99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3.65</v>
      </c>
      <c r="C34" s="18">
        <f t="shared" si="0"/>
        <v>23.66</v>
      </c>
      <c r="D34" s="18">
        <f t="shared" si="0"/>
        <v>17.22</v>
      </c>
      <c r="E34" s="18">
        <f t="shared" si="0"/>
        <v>7.13</v>
      </c>
      <c r="F34" s="18">
        <f t="shared" si="0"/>
        <v>3.87</v>
      </c>
      <c r="G34" s="18">
        <f t="shared" si="0"/>
        <v>46.29</v>
      </c>
      <c r="H34" s="18">
        <f t="shared" si="0"/>
        <v>18.8</v>
      </c>
      <c r="I34" s="18">
        <f t="shared" si="0"/>
        <v>5.17</v>
      </c>
      <c r="J34" s="18">
        <f t="shared" si="0"/>
        <v>0.13</v>
      </c>
      <c r="K34" s="18">
        <f t="shared" si="0"/>
        <v>55.54</v>
      </c>
      <c r="L34" s="18">
        <f t="shared" si="0"/>
        <v>15.62</v>
      </c>
      <c r="M34" s="18">
        <f t="shared" si="0"/>
        <v>25.35</v>
      </c>
      <c r="N34" s="18">
        <f t="shared" si="0"/>
        <v>1</v>
      </c>
      <c r="O34" s="18">
        <f t="shared" si="0"/>
        <v>0</v>
      </c>
      <c r="P34" s="18">
        <f t="shared" si="0"/>
        <v>0.47</v>
      </c>
      <c r="Q34" s="18">
        <f t="shared" si="0"/>
        <v>11.3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28.33</v>
      </c>
      <c r="C35" s="3">
        <f t="shared" si="1"/>
        <v>37.1</v>
      </c>
      <c r="D35" s="3">
        <f t="shared" si="1"/>
        <v>39.71</v>
      </c>
      <c r="E35" s="3">
        <f t="shared" si="1"/>
        <v>25.95</v>
      </c>
      <c r="F35" s="3">
        <f t="shared" si="1"/>
        <v>94.23</v>
      </c>
      <c r="G35" s="3">
        <f t="shared" si="1"/>
        <v>114.8</v>
      </c>
      <c r="H35" s="3">
        <f t="shared" si="1"/>
        <v>26.57</v>
      </c>
      <c r="I35" s="3">
        <f t="shared" si="1"/>
        <v>12.89</v>
      </c>
      <c r="J35" s="3">
        <f t="shared" si="1"/>
        <v>1.2</v>
      </c>
      <c r="K35" s="3">
        <f t="shared" si="1"/>
        <v>349.19</v>
      </c>
      <c r="L35" s="3">
        <f t="shared" si="1"/>
        <v>29.06</v>
      </c>
      <c r="M35" s="3">
        <f t="shared" si="1"/>
        <v>81.599999999999994</v>
      </c>
      <c r="N35" s="3">
        <f t="shared" si="1"/>
        <v>416.8</v>
      </c>
      <c r="O35" s="3">
        <f t="shared" si="1"/>
        <v>0</v>
      </c>
      <c r="P35" s="3">
        <f t="shared" si="1"/>
        <v>1.04</v>
      </c>
      <c r="Q35" s="3">
        <f t="shared" si="1"/>
        <v>13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14.721249999999996</v>
      </c>
      <c r="C36" s="18">
        <f t="shared" si="2"/>
        <v>28.471666666666668</v>
      </c>
      <c r="D36" s="18">
        <f t="shared" si="2"/>
        <v>27.860833333333336</v>
      </c>
      <c r="E36" s="18">
        <f t="shared" si="2"/>
        <v>10.36375</v>
      </c>
      <c r="F36" s="18">
        <f t="shared" si="2"/>
        <v>18.215</v>
      </c>
      <c r="G36" s="18">
        <f t="shared" si="2"/>
        <v>85.027499999999989</v>
      </c>
      <c r="H36" s="18">
        <f t="shared" si="2"/>
        <v>22.452916666666663</v>
      </c>
      <c r="I36" s="18">
        <f t="shared" si="2"/>
        <v>10.042083333333332</v>
      </c>
      <c r="J36" s="18">
        <f t="shared" si="2"/>
        <v>0.49291666666666673</v>
      </c>
      <c r="K36" s="18">
        <f t="shared" si="2"/>
        <v>189.37624999999994</v>
      </c>
      <c r="L36" s="18">
        <f t="shared" si="2"/>
        <v>21.896666666666672</v>
      </c>
      <c r="M36" s="18">
        <f t="shared" si="2"/>
        <v>56.449166666666677</v>
      </c>
      <c r="N36" s="18">
        <f t="shared" si="2"/>
        <v>112.57916666666669</v>
      </c>
      <c r="O36" s="18">
        <f t="shared" si="2"/>
        <v>0</v>
      </c>
      <c r="P36" s="18">
        <f t="shared" si="2"/>
        <v>0.77208333333333357</v>
      </c>
      <c r="Q36" s="18">
        <f t="shared" si="2"/>
        <v>12.150833333333333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8.2303522627871377</v>
      </c>
      <c r="C37" s="18">
        <f t="shared" ref="C37:Q37" si="3">STDEV(C9:C32)</f>
        <v>2.9682151959174519</v>
      </c>
      <c r="D37" s="18">
        <f t="shared" si="3"/>
        <v>7.0886988544637166</v>
      </c>
      <c r="E37" s="18">
        <f t="shared" si="3"/>
        <v>4.5757211952348822</v>
      </c>
      <c r="F37" s="18">
        <f t="shared" si="3"/>
        <v>27.521186147339687</v>
      </c>
      <c r="G37" s="18">
        <f t="shared" si="3"/>
        <v>18.233811462082901</v>
      </c>
      <c r="H37" s="18">
        <f t="shared" si="3"/>
        <v>1.9473627186456599</v>
      </c>
      <c r="I37" s="18">
        <f t="shared" si="3"/>
        <v>2.6039852052719796</v>
      </c>
      <c r="J37" s="18">
        <f t="shared" si="3"/>
        <v>0.34499501151612971</v>
      </c>
      <c r="K37" s="18">
        <f t="shared" si="3"/>
        <v>87.902404765665949</v>
      </c>
      <c r="L37" s="18">
        <f t="shared" si="3"/>
        <v>5.007127673250575</v>
      </c>
      <c r="M37" s="18">
        <f t="shared" si="3"/>
        <v>20.800286978928821</v>
      </c>
      <c r="N37" s="18">
        <f t="shared" si="3"/>
        <v>168.30666880576283</v>
      </c>
      <c r="O37" s="18">
        <f t="shared" si="3"/>
        <v>0</v>
      </c>
      <c r="P37" s="18">
        <f t="shared" si="3"/>
        <v>0.16888326729138717</v>
      </c>
      <c r="Q37" s="18">
        <f t="shared" si="3"/>
        <v>0.84578708733430608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U96"/>
  <sheetViews>
    <sheetView zoomScale="85" zoomScaleNormal="85" workbookViewId="0">
      <pane xSplit="1" ySplit="8" topLeftCell="B16" activePane="bottomRight" state="frozen"/>
      <selection activeCell="G19" sqref="G19"/>
      <selection pane="topRight" activeCell="G19" sqref="G19"/>
      <selection pane="bottomLeft" activeCell="G19" sqref="G19"/>
      <selection pane="bottomRight" activeCell="J22" sqref="J2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28/01/2025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709</v>
      </c>
      <c r="B9" s="40">
        <v>13.26</v>
      </c>
      <c r="C9" s="40">
        <v>25.57</v>
      </c>
      <c r="D9" s="40">
        <v>25.06</v>
      </c>
      <c r="E9" s="40">
        <v>8.25</v>
      </c>
      <c r="F9" s="40">
        <v>4.2</v>
      </c>
      <c r="G9" s="40">
        <v>82.01</v>
      </c>
      <c r="H9" s="40">
        <v>23.99</v>
      </c>
      <c r="I9" s="40">
        <v>11.09</v>
      </c>
      <c r="J9" s="40">
        <v>0.19</v>
      </c>
      <c r="K9" s="40">
        <v>266.43</v>
      </c>
      <c r="L9" s="40">
        <v>17.14</v>
      </c>
      <c r="M9" s="40">
        <v>76.92</v>
      </c>
      <c r="N9" s="40">
        <v>1.4</v>
      </c>
      <c r="O9" s="40">
        <v>0</v>
      </c>
      <c r="P9" s="40">
        <v>0.9</v>
      </c>
      <c r="Q9" s="40">
        <v>12.98</v>
      </c>
      <c r="R9" s="38"/>
      <c r="S9" s="38"/>
      <c r="T9" s="38"/>
      <c r="U9" s="38"/>
    </row>
    <row r="10" spans="1:21" customFormat="1">
      <c r="A10" s="39" t="s">
        <v>710</v>
      </c>
      <c r="B10" s="40">
        <v>17.48</v>
      </c>
      <c r="C10" s="40">
        <v>25.11</v>
      </c>
      <c r="D10" s="40">
        <v>28.48</v>
      </c>
      <c r="E10" s="40">
        <v>8.16</v>
      </c>
      <c r="F10" s="40">
        <v>4.26</v>
      </c>
      <c r="G10" s="40">
        <v>91.68</v>
      </c>
      <c r="H10" s="40">
        <v>23.99</v>
      </c>
      <c r="I10" s="40">
        <v>11.38</v>
      </c>
      <c r="J10" s="40">
        <v>0.28000000000000003</v>
      </c>
      <c r="K10" s="40">
        <v>172.89</v>
      </c>
      <c r="L10" s="40">
        <v>16.989999999999998</v>
      </c>
      <c r="M10" s="40">
        <v>79.540000000000006</v>
      </c>
      <c r="N10" s="40">
        <v>1.3</v>
      </c>
      <c r="O10" s="40">
        <v>0</v>
      </c>
      <c r="P10" s="40">
        <v>0.93</v>
      </c>
      <c r="Q10" s="40">
        <v>12.99</v>
      </c>
      <c r="R10" s="38"/>
      <c r="S10" s="38"/>
      <c r="T10" s="38"/>
      <c r="U10" s="38"/>
    </row>
    <row r="11" spans="1:21" customFormat="1">
      <c r="A11" s="39" t="s">
        <v>711</v>
      </c>
      <c r="B11" s="40">
        <v>23.46</v>
      </c>
      <c r="C11" s="40">
        <v>25.48</v>
      </c>
      <c r="D11" s="40">
        <v>33.479999999999997</v>
      </c>
      <c r="E11" s="40">
        <v>9.2799999999999994</v>
      </c>
      <c r="F11" s="40">
        <v>4.24</v>
      </c>
      <c r="G11" s="40">
        <v>91.68</v>
      </c>
      <c r="H11" s="40">
        <v>23.11</v>
      </c>
      <c r="I11" s="40">
        <v>11.82</v>
      </c>
      <c r="J11" s="40">
        <v>0.19</v>
      </c>
      <c r="K11" s="40">
        <v>204.63</v>
      </c>
      <c r="L11" s="40">
        <v>16.059999999999999</v>
      </c>
      <c r="M11" s="40">
        <v>81.489999999999995</v>
      </c>
      <c r="N11" s="40">
        <v>1.1000000000000001</v>
      </c>
      <c r="O11" s="40">
        <v>0</v>
      </c>
      <c r="P11" s="40">
        <v>0.97</v>
      </c>
      <c r="Q11" s="40">
        <v>13.01</v>
      </c>
      <c r="R11" s="38"/>
      <c r="S11" s="38"/>
      <c r="T11" s="38"/>
      <c r="U11" s="38"/>
    </row>
    <row r="12" spans="1:21" customFormat="1">
      <c r="A12" s="39" t="s">
        <v>712</v>
      </c>
      <c r="B12" s="40">
        <v>31.35</v>
      </c>
      <c r="C12" s="40">
        <v>25.83</v>
      </c>
      <c r="D12" s="40">
        <v>39.799999999999997</v>
      </c>
      <c r="E12" s="40">
        <v>9.01</v>
      </c>
      <c r="F12" s="40">
        <v>3.99</v>
      </c>
      <c r="G12" s="40">
        <v>102.58</v>
      </c>
      <c r="H12" s="40">
        <v>23.11</v>
      </c>
      <c r="I12" s="40">
        <v>12.9</v>
      </c>
      <c r="J12" s="40">
        <v>0.25</v>
      </c>
      <c r="K12" s="40">
        <v>181.11</v>
      </c>
      <c r="L12" s="40">
        <v>15.67</v>
      </c>
      <c r="M12" s="40">
        <v>87.79</v>
      </c>
      <c r="N12" s="40">
        <v>1.2</v>
      </c>
      <c r="O12" s="40">
        <v>0</v>
      </c>
      <c r="P12" s="40">
        <v>1.04</v>
      </c>
      <c r="Q12" s="40">
        <v>13.06</v>
      </c>
      <c r="R12" s="38"/>
      <c r="S12" s="38"/>
      <c r="T12" s="38"/>
      <c r="U12" s="38"/>
    </row>
    <row r="13" spans="1:21" customFormat="1">
      <c r="A13" s="39" t="s">
        <v>713</v>
      </c>
      <c r="B13" s="40">
        <v>36.590000000000003</v>
      </c>
      <c r="C13" s="40">
        <v>25.45</v>
      </c>
      <c r="D13" s="40">
        <v>43.99</v>
      </c>
      <c r="E13" s="40">
        <v>8.98</v>
      </c>
      <c r="F13" s="40">
        <v>3.98</v>
      </c>
      <c r="G13" s="40">
        <v>103.81</v>
      </c>
      <c r="H13" s="40">
        <v>22.6</v>
      </c>
      <c r="I13" s="40">
        <v>13.88</v>
      </c>
      <c r="J13" s="40">
        <v>0.33</v>
      </c>
      <c r="K13" s="40">
        <v>247.4</v>
      </c>
      <c r="L13" s="40">
        <v>15.82</v>
      </c>
      <c r="M13" s="40">
        <v>85.92</v>
      </c>
      <c r="N13" s="40">
        <v>1</v>
      </c>
      <c r="O13" s="40">
        <v>0</v>
      </c>
      <c r="P13" s="40">
        <v>1.1000000000000001</v>
      </c>
      <c r="Q13" s="40">
        <v>13.08</v>
      </c>
      <c r="R13" s="38"/>
      <c r="S13" s="38"/>
      <c r="T13" s="38"/>
      <c r="U13" s="38"/>
    </row>
    <row r="14" spans="1:21" customFormat="1">
      <c r="A14" s="39" t="s">
        <v>714</v>
      </c>
      <c r="B14" s="40">
        <v>36.17</v>
      </c>
      <c r="C14" s="40">
        <v>26.48</v>
      </c>
      <c r="D14" s="40">
        <v>43.65</v>
      </c>
      <c r="E14" s="40">
        <v>9.33</v>
      </c>
      <c r="F14" s="40">
        <v>3.94</v>
      </c>
      <c r="G14" s="40">
        <v>106.3</v>
      </c>
      <c r="H14" s="40">
        <v>25</v>
      </c>
      <c r="I14" s="40">
        <v>14.09</v>
      </c>
      <c r="J14" s="40">
        <v>0.28999999999999998</v>
      </c>
      <c r="K14" s="40">
        <v>162.08000000000001</v>
      </c>
      <c r="L14" s="40">
        <v>15.83</v>
      </c>
      <c r="M14" s="40">
        <v>82.27</v>
      </c>
      <c r="N14" s="40">
        <v>1.4</v>
      </c>
      <c r="O14" s="40">
        <v>0</v>
      </c>
      <c r="P14" s="40">
        <v>1.1000000000000001</v>
      </c>
      <c r="Q14" s="40">
        <v>13.07</v>
      </c>
      <c r="R14" s="38"/>
      <c r="S14" s="38"/>
      <c r="T14" s="38"/>
      <c r="U14" s="38"/>
    </row>
    <row r="15" spans="1:21" customFormat="1">
      <c r="A15" s="39" t="s">
        <v>715</v>
      </c>
      <c r="B15" s="40">
        <v>33.85</v>
      </c>
      <c r="C15" s="40">
        <v>26.58</v>
      </c>
      <c r="D15" s="40">
        <v>42.34</v>
      </c>
      <c r="E15" s="40">
        <v>9.19</v>
      </c>
      <c r="F15" s="40">
        <v>3.91</v>
      </c>
      <c r="G15" s="40">
        <v>106.3</v>
      </c>
      <c r="H15" s="40">
        <v>28.02</v>
      </c>
      <c r="I15" s="40">
        <v>13.97</v>
      </c>
      <c r="J15" s="40">
        <v>0.22</v>
      </c>
      <c r="K15" s="40">
        <v>180.28</v>
      </c>
      <c r="L15" s="40">
        <v>14.23</v>
      </c>
      <c r="M15" s="40">
        <v>89.4</v>
      </c>
      <c r="N15" s="40">
        <v>7.3</v>
      </c>
      <c r="O15" s="40">
        <v>0</v>
      </c>
      <c r="P15" s="40">
        <v>1.08</v>
      </c>
      <c r="Q15" s="40">
        <v>13.05</v>
      </c>
      <c r="R15" s="38"/>
      <c r="S15" s="38"/>
      <c r="T15" s="38"/>
      <c r="U15" s="38"/>
    </row>
    <row r="16" spans="1:21" customFormat="1">
      <c r="A16" s="39" t="s">
        <v>716</v>
      </c>
      <c r="B16" s="40">
        <v>32.54</v>
      </c>
      <c r="C16" s="40">
        <v>27.45</v>
      </c>
      <c r="D16" s="40">
        <v>41.72</v>
      </c>
      <c r="E16" s="40">
        <v>9.0299999999999994</v>
      </c>
      <c r="F16" s="40">
        <v>4.01</v>
      </c>
      <c r="G16" s="40">
        <v>105.5</v>
      </c>
      <c r="H16" s="40">
        <v>28.02</v>
      </c>
      <c r="I16" s="40">
        <v>14.23</v>
      </c>
      <c r="J16" s="40">
        <v>0.91</v>
      </c>
      <c r="K16" s="40">
        <v>95.25</v>
      </c>
      <c r="L16" s="40">
        <v>16.7</v>
      </c>
      <c r="M16" s="40">
        <v>86.25</v>
      </c>
      <c r="N16" s="40">
        <v>34.5</v>
      </c>
      <c r="O16" s="40">
        <v>0</v>
      </c>
      <c r="P16" s="40">
        <v>1.0900000000000001</v>
      </c>
      <c r="Q16" s="40">
        <v>13.05</v>
      </c>
      <c r="R16" s="38"/>
      <c r="S16" s="38"/>
      <c r="T16" s="38"/>
      <c r="U16" s="38"/>
    </row>
    <row r="17" spans="1:21" customFormat="1">
      <c r="A17" s="39" t="s">
        <v>717</v>
      </c>
      <c r="B17" s="40">
        <v>31.98</v>
      </c>
      <c r="C17" s="40">
        <v>30.4</v>
      </c>
      <c r="D17" s="40">
        <v>41.76</v>
      </c>
      <c r="E17" s="40">
        <v>9.23</v>
      </c>
      <c r="F17" s="40">
        <v>4.53</v>
      </c>
      <c r="G17" s="40">
        <v>100.31</v>
      </c>
      <c r="H17" s="40">
        <v>25.75</v>
      </c>
      <c r="I17" s="40">
        <v>14.31</v>
      </c>
      <c r="J17" s="40">
        <v>0.87</v>
      </c>
      <c r="K17" s="40">
        <v>64.22</v>
      </c>
      <c r="L17" s="40">
        <v>20.74</v>
      </c>
      <c r="M17" s="40">
        <v>61.6</v>
      </c>
      <c r="N17" s="40">
        <v>221.2</v>
      </c>
      <c r="O17" s="40">
        <v>0</v>
      </c>
      <c r="P17" s="40">
        <v>1.0900000000000001</v>
      </c>
      <c r="Q17" s="40">
        <v>13.06</v>
      </c>
      <c r="R17" s="38"/>
      <c r="S17" s="38"/>
      <c r="T17" s="38"/>
      <c r="U17" s="38"/>
    </row>
    <row r="18" spans="1:21" customFormat="1">
      <c r="A18" s="39" t="s">
        <v>718</v>
      </c>
      <c r="B18" s="40">
        <v>27.28</v>
      </c>
      <c r="C18" s="40">
        <v>30.72</v>
      </c>
      <c r="D18" s="40">
        <v>39.270000000000003</v>
      </c>
      <c r="E18" s="40">
        <v>9.85</v>
      </c>
      <c r="F18" s="40">
        <v>5.95</v>
      </c>
      <c r="G18" s="40">
        <v>100.31</v>
      </c>
      <c r="H18" s="40">
        <v>25.67</v>
      </c>
      <c r="I18" s="40">
        <v>14.16</v>
      </c>
      <c r="J18" s="40">
        <v>0.74</v>
      </c>
      <c r="K18" s="40">
        <v>88.44</v>
      </c>
      <c r="L18" s="40">
        <v>23.96</v>
      </c>
      <c r="M18" s="40">
        <v>41.67</v>
      </c>
      <c r="N18" s="40">
        <v>325.8</v>
      </c>
      <c r="O18" s="40">
        <v>0</v>
      </c>
      <c r="P18" s="40">
        <v>1.05</v>
      </c>
      <c r="Q18" s="40">
        <v>13.06</v>
      </c>
      <c r="R18" s="38"/>
      <c r="S18" s="38"/>
      <c r="T18" s="38"/>
      <c r="U18" s="38"/>
    </row>
    <row r="19" spans="1:21" customFormat="1">
      <c r="A19" s="39" t="s">
        <v>719</v>
      </c>
      <c r="B19" s="40">
        <v>20.34</v>
      </c>
      <c r="C19" s="40">
        <v>30.53</v>
      </c>
      <c r="D19" s="40">
        <v>33.24</v>
      </c>
      <c r="E19" s="40">
        <v>10.38</v>
      </c>
      <c r="F19" s="40">
        <v>8.5399999999999991</v>
      </c>
      <c r="G19" s="40">
        <v>86.81</v>
      </c>
      <c r="H19" s="40">
        <v>25.56</v>
      </c>
      <c r="I19" s="40">
        <v>13.77</v>
      </c>
      <c r="J19" s="40">
        <v>0.68</v>
      </c>
      <c r="K19" s="40">
        <v>91.36</v>
      </c>
      <c r="L19" s="40">
        <v>26.84</v>
      </c>
      <c r="M19" s="40">
        <v>36.11</v>
      </c>
      <c r="N19" s="40">
        <v>386.9</v>
      </c>
      <c r="O19" s="40">
        <v>0</v>
      </c>
      <c r="P19" s="40">
        <v>1.01</v>
      </c>
      <c r="Q19" s="40">
        <v>13.01</v>
      </c>
      <c r="R19" s="38"/>
      <c r="S19" s="38"/>
      <c r="T19" s="38"/>
      <c r="U19" s="38"/>
    </row>
    <row r="20" spans="1:21" customFormat="1">
      <c r="A20" s="39" t="s">
        <v>720</v>
      </c>
      <c r="B20" s="40">
        <v>10.97</v>
      </c>
      <c r="C20" s="40">
        <v>31.76</v>
      </c>
      <c r="D20" s="40">
        <v>26.33</v>
      </c>
      <c r="E20" s="40">
        <v>10.18</v>
      </c>
      <c r="F20" s="40">
        <v>11.04</v>
      </c>
      <c r="G20" s="40">
        <v>86.81</v>
      </c>
      <c r="H20" s="40">
        <v>27.29</v>
      </c>
      <c r="I20" s="40">
        <v>13.12</v>
      </c>
      <c r="J20" s="40">
        <v>0.84</v>
      </c>
      <c r="K20" s="40">
        <v>68.56</v>
      </c>
      <c r="L20" s="40">
        <v>28.67</v>
      </c>
      <c r="M20" s="40">
        <v>26.41</v>
      </c>
      <c r="N20" s="40">
        <v>387.8</v>
      </c>
      <c r="O20" s="40">
        <v>0</v>
      </c>
      <c r="P20" s="40">
        <v>0.92</v>
      </c>
      <c r="Q20" s="40">
        <v>13</v>
      </c>
      <c r="R20" s="38"/>
      <c r="S20" s="38"/>
      <c r="T20" s="38"/>
      <c r="U20" s="38"/>
    </row>
    <row r="21" spans="1:21" customFormat="1">
      <c r="A21" s="39" t="s">
        <v>721</v>
      </c>
      <c r="B21" s="40">
        <v>5.52</v>
      </c>
      <c r="C21" s="40">
        <v>31.63</v>
      </c>
      <c r="D21" s="40">
        <v>22.3</v>
      </c>
      <c r="E21" s="40">
        <v>11.35</v>
      </c>
      <c r="F21" s="40">
        <v>12.32</v>
      </c>
      <c r="G21" s="40">
        <v>79.13</v>
      </c>
      <c r="H21" s="40">
        <v>27.29</v>
      </c>
      <c r="I21" s="40">
        <v>12.07</v>
      </c>
      <c r="J21" s="40">
        <v>0.79</v>
      </c>
      <c r="K21" s="40">
        <v>75.86</v>
      </c>
      <c r="L21" s="40">
        <v>29.22</v>
      </c>
      <c r="M21" s="40">
        <v>23.72</v>
      </c>
      <c r="N21" s="40">
        <v>417.2</v>
      </c>
      <c r="O21" s="40">
        <v>0</v>
      </c>
      <c r="P21" s="40">
        <v>0.83</v>
      </c>
      <c r="Q21" s="40">
        <v>12.98</v>
      </c>
      <c r="R21" s="38"/>
      <c r="S21" s="38"/>
      <c r="T21" s="38"/>
      <c r="U21" s="38"/>
    </row>
    <row r="22" spans="1:21" customFormat="1">
      <c r="A22" s="39" t="s">
        <v>722</v>
      </c>
      <c r="B22" s="40">
        <v>4.4800000000000004</v>
      </c>
      <c r="C22" s="40">
        <v>29.94</v>
      </c>
      <c r="D22" s="40">
        <v>20.58</v>
      </c>
      <c r="E22" s="40">
        <v>11.08</v>
      </c>
      <c r="F22" s="40">
        <v>11.9</v>
      </c>
      <c r="G22" s="40">
        <v>79.13</v>
      </c>
      <c r="H22" s="40">
        <v>27</v>
      </c>
      <c r="I22" s="40">
        <v>10.85</v>
      </c>
      <c r="J22" s="40">
        <v>0.6</v>
      </c>
      <c r="K22" s="40">
        <v>150.18</v>
      </c>
      <c r="L22" s="40">
        <v>30.5</v>
      </c>
      <c r="M22" s="40">
        <v>24.22</v>
      </c>
      <c r="N22" s="40">
        <v>391.7</v>
      </c>
      <c r="O22" s="40">
        <v>0</v>
      </c>
      <c r="P22" s="40">
        <v>0.74</v>
      </c>
      <c r="Q22" s="40">
        <v>12.96</v>
      </c>
      <c r="R22" s="38"/>
      <c r="S22" s="38"/>
      <c r="T22" s="38"/>
      <c r="U22" s="38"/>
    </row>
    <row r="23" spans="1:21" customFormat="1">
      <c r="A23" s="39" t="s">
        <v>723</v>
      </c>
      <c r="B23" s="40">
        <v>4.3</v>
      </c>
      <c r="C23" s="40">
        <v>28.54</v>
      </c>
      <c r="D23" s="40">
        <v>19.7</v>
      </c>
      <c r="E23" s="40">
        <v>20.77</v>
      </c>
      <c r="F23" s="40">
        <v>10.71</v>
      </c>
      <c r="G23" s="40">
        <v>72.69</v>
      </c>
      <c r="H23" s="40">
        <v>27</v>
      </c>
      <c r="I23" s="40">
        <v>9.83</v>
      </c>
      <c r="J23" s="40">
        <v>0.69</v>
      </c>
      <c r="K23" s="40">
        <v>104.77</v>
      </c>
      <c r="L23" s="40">
        <v>30.22</v>
      </c>
      <c r="M23" s="40">
        <v>25.08</v>
      </c>
      <c r="N23" s="40">
        <v>319.10000000000002</v>
      </c>
      <c r="O23" s="40">
        <v>0</v>
      </c>
      <c r="P23" s="40">
        <v>0.68</v>
      </c>
      <c r="Q23" s="40">
        <v>12.96</v>
      </c>
      <c r="R23" s="38"/>
      <c r="S23" s="38"/>
      <c r="T23" s="38"/>
      <c r="U23" s="38"/>
    </row>
    <row r="24" spans="1:21" customFormat="1">
      <c r="A24" s="39" t="s">
        <v>724</v>
      </c>
      <c r="B24" s="40">
        <v>4.92</v>
      </c>
      <c r="C24" s="40">
        <v>29.2</v>
      </c>
      <c r="D24" s="40">
        <v>20.39</v>
      </c>
      <c r="E24" s="40">
        <v>25.64</v>
      </c>
      <c r="F24" s="40">
        <v>15.19</v>
      </c>
      <c r="G24" s="40">
        <v>69.66</v>
      </c>
      <c r="H24" s="40">
        <v>26.4</v>
      </c>
      <c r="I24" s="40">
        <v>8.93</v>
      </c>
      <c r="J24" s="40">
        <v>0.55000000000000004</v>
      </c>
      <c r="K24" s="40">
        <v>57.56</v>
      </c>
      <c r="L24" s="40">
        <v>29.75</v>
      </c>
      <c r="M24" s="40">
        <v>26.63</v>
      </c>
      <c r="N24" s="40">
        <v>57.9</v>
      </c>
      <c r="O24" s="40">
        <v>0</v>
      </c>
      <c r="P24" s="40">
        <v>0.66</v>
      </c>
      <c r="Q24" s="40">
        <v>12.97</v>
      </c>
      <c r="R24" s="38"/>
      <c r="S24" s="38"/>
      <c r="T24" s="38"/>
      <c r="U24" s="38"/>
    </row>
    <row r="25" spans="1:21" customFormat="1">
      <c r="A25" s="39" t="s">
        <v>725</v>
      </c>
      <c r="B25" s="40">
        <v>5.37</v>
      </c>
      <c r="C25" s="40">
        <v>28.47</v>
      </c>
      <c r="D25" s="40">
        <v>20.3</v>
      </c>
      <c r="E25" s="40">
        <v>27.16</v>
      </c>
      <c r="F25" s="40">
        <v>16.98</v>
      </c>
      <c r="G25" s="40">
        <v>69.64</v>
      </c>
      <c r="H25" s="40">
        <v>24.84</v>
      </c>
      <c r="I25" s="40">
        <v>8.33</v>
      </c>
      <c r="J25" s="40">
        <v>0.41</v>
      </c>
      <c r="K25" s="40">
        <v>71.62</v>
      </c>
      <c r="L25" s="40">
        <v>29.27</v>
      </c>
      <c r="M25" s="40">
        <v>29.76</v>
      </c>
      <c r="N25" s="40">
        <v>36.9</v>
      </c>
      <c r="O25" s="40">
        <v>0</v>
      </c>
      <c r="P25" s="40">
        <v>0.64</v>
      </c>
      <c r="Q25" s="40">
        <v>12.96</v>
      </c>
      <c r="R25" s="38"/>
      <c r="S25" s="38"/>
      <c r="T25" s="38"/>
      <c r="U25" s="38"/>
    </row>
    <row r="26" spans="1:21" customFormat="1">
      <c r="A26" s="39" t="s">
        <v>726</v>
      </c>
      <c r="B26" s="40">
        <v>5.85</v>
      </c>
      <c r="C26" s="40">
        <v>26.84</v>
      </c>
      <c r="D26" s="40">
        <v>19.809999999999999</v>
      </c>
      <c r="E26" s="40">
        <v>15.1</v>
      </c>
      <c r="F26" s="40">
        <v>17.79</v>
      </c>
      <c r="G26" s="40">
        <v>69.209999999999994</v>
      </c>
      <c r="H26" s="40">
        <v>24.84</v>
      </c>
      <c r="I26" s="40">
        <v>8.1300000000000008</v>
      </c>
      <c r="J26" s="40">
        <v>0.31</v>
      </c>
      <c r="K26" s="40">
        <v>170.65</v>
      </c>
      <c r="L26" s="40">
        <v>28.11</v>
      </c>
      <c r="M26" s="40">
        <v>46.96</v>
      </c>
      <c r="N26" s="40">
        <v>16.2</v>
      </c>
      <c r="O26" s="40">
        <v>0</v>
      </c>
      <c r="P26" s="40">
        <v>0.66</v>
      </c>
      <c r="Q26" s="40">
        <v>12.97</v>
      </c>
      <c r="R26" s="38"/>
      <c r="S26" s="38"/>
      <c r="T26" s="38"/>
      <c r="U26" s="38"/>
    </row>
    <row r="27" spans="1:21" customFormat="1">
      <c r="A27" s="39" t="s">
        <v>727</v>
      </c>
      <c r="B27" s="40">
        <v>6.55</v>
      </c>
      <c r="C27" s="40">
        <v>25.26</v>
      </c>
      <c r="D27" s="40">
        <v>19.59</v>
      </c>
      <c r="E27" s="40">
        <v>12.51</v>
      </c>
      <c r="F27" s="40">
        <v>6.45</v>
      </c>
      <c r="G27" s="40">
        <v>88.17</v>
      </c>
      <c r="H27" s="40">
        <v>27.46</v>
      </c>
      <c r="I27" s="40">
        <v>8.15</v>
      </c>
      <c r="J27" s="40">
        <v>0.28000000000000003</v>
      </c>
      <c r="K27" s="40">
        <v>172.2</v>
      </c>
      <c r="L27" s="40">
        <v>24.49</v>
      </c>
      <c r="M27" s="40">
        <v>57.5</v>
      </c>
      <c r="N27" s="40">
        <v>2.2000000000000002</v>
      </c>
      <c r="O27" s="40">
        <v>0</v>
      </c>
      <c r="P27" s="40">
        <v>0.7</v>
      </c>
      <c r="Q27" s="40">
        <v>12.96</v>
      </c>
      <c r="R27" s="38"/>
      <c r="S27" s="38"/>
      <c r="T27" s="38"/>
      <c r="U27" s="38"/>
    </row>
    <row r="28" spans="1:21" customFormat="1">
      <c r="A28" s="39" t="s">
        <v>728</v>
      </c>
      <c r="B28" s="40">
        <v>7.52</v>
      </c>
      <c r="C28" s="40">
        <v>24.8</v>
      </c>
      <c r="D28" s="40">
        <v>20.34</v>
      </c>
      <c r="E28" s="40">
        <v>12.57</v>
      </c>
      <c r="F28" s="40">
        <v>7.23</v>
      </c>
      <c r="G28" s="40">
        <v>90.02</v>
      </c>
      <c r="H28" s="40">
        <v>27.46</v>
      </c>
      <c r="I28" s="40">
        <v>8.4700000000000006</v>
      </c>
      <c r="J28" s="40">
        <v>0.23</v>
      </c>
      <c r="K28" s="40">
        <v>171.65</v>
      </c>
      <c r="L28" s="40">
        <v>22.01</v>
      </c>
      <c r="M28" s="40">
        <v>62.46</v>
      </c>
      <c r="N28" s="40">
        <v>1.5</v>
      </c>
      <c r="O28" s="40">
        <v>0</v>
      </c>
      <c r="P28" s="40">
        <v>0.73</v>
      </c>
      <c r="Q28" s="40">
        <v>12.97</v>
      </c>
      <c r="R28" s="38"/>
      <c r="S28" s="38"/>
      <c r="T28" s="38"/>
      <c r="U28" s="38"/>
    </row>
    <row r="29" spans="1:21" customFormat="1">
      <c r="A29" s="39" t="s">
        <v>729</v>
      </c>
      <c r="B29" s="40">
        <v>7.69</v>
      </c>
      <c r="C29" s="40">
        <v>24.87</v>
      </c>
      <c r="D29" s="40">
        <v>20.51</v>
      </c>
      <c r="E29" s="40">
        <v>12.37</v>
      </c>
      <c r="F29" s="40">
        <v>4.91</v>
      </c>
      <c r="G29" s="40">
        <v>90.02</v>
      </c>
      <c r="H29" s="40">
        <v>25.27</v>
      </c>
      <c r="I29" s="40">
        <v>9.2100000000000009</v>
      </c>
      <c r="J29" s="40">
        <v>0.22</v>
      </c>
      <c r="K29" s="40">
        <v>200.8</v>
      </c>
      <c r="L29" s="40">
        <v>20.86</v>
      </c>
      <c r="M29" s="40">
        <v>67.63</v>
      </c>
      <c r="N29" s="40">
        <v>1.4</v>
      </c>
      <c r="O29" s="40">
        <v>0</v>
      </c>
      <c r="P29" s="40">
        <v>0.77</v>
      </c>
      <c r="Q29" s="40">
        <v>13</v>
      </c>
      <c r="R29" s="38"/>
      <c r="S29" s="38"/>
      <c r="T29" s="38"/>
      <c r="U29" s="38"/>
    </row>
    <row r="30" spans="1:21" customFormat="1">
      <c r="A30" s="39" t="s">
        <v>730</v>
      </c>
      <c r="B30" s="40">
        <v>7.81</v>
      </c>
      <c r="C30" s="40">
        <v>26.06</v>
      </c>
      <c r="D30" s="40">
        <v>21.23</v>
      </c>
      <c r="E30" s="40">
        <v>12.33</v>
      </c>
      <c r="F30" s="40">
        <v>4.21</v>
      </c>
      <c r="G30" s="40">
        <v>91.11</v>
      </c>
      <c r="H30" s="40">
        <v>24.93</v>
      </c>
      <c r="I30" s="40">
        <v>10.29</v>
      </c>
      <c r="J30" s="40">
        <v>0.59</v>
      </c>
      <c r="K30" s="40">
        <v>162.85</v>
      </c>
      <c r="L30" s="40">
        <v>20.45</v>
      </c>
      <c r="M30" s="40">
        <v>70.650000000000006</v>
      </c>
      <c r="N30" s="40">
        <v>1.3</v>
      </c>
      <c r="O30" s="40">
        <v>0</v>
      </c>
      <c r="P30" s="40">
        <v>0.82</v>
      </c>
      <c r="Q30" s="40">
        <v>13.03</v>
      </c>
      <c r="R30" s="38"/>
      <c r="S30" s="38"/>
      <c r="T30" s="38"/>
      <c r="U30" s="38"/>
    </row>
    <row r="31" spans="1:21" customFormat="1">
      <c r="A31" s="39" t="s">
        <v>731</v>
      </c>
      <c r="B31" s="40">
        <v>18.149999999999999</v>
      </c>
      <c r="C31" s="40">
        <v>30.67</v>
      </c>
      <c r="D31" s="40">
        <v>31.92</v>
      </c>
      <c r="E31" s="40">
        <v>12.16</v>
      </c>
      <c r="F31" s="40">
        <v>4.1900000000000004</v>
      </c>
      <c r="G31" s="40">
        <v>109.05</v>
      </c>
      <c r="H31" s="40">
        <v>29.07</v>
      </c>
      <c r="I31" s="40">
        <v>11.77</v>
      </c>
      <c r="J31" s="40">
        <v>0.14000000000000001</v>
      </c>
      <c r="K31" s="40">
        <v>190.2</v>
      </c>
      <c r="L31" s="40">
        <v>20.69</v>
      </c>
      <c r="M31" s="40">
        <v>64.7</v>
      </c>
      <c r="N31" s="40">
        <v>1.4</v>
      </c>
      <c r="O31" s="40">
        <v>0</v>
      </c>
      <c r="P31" s="40">
        <v>0.95</v>
      </c>
      <c r="Q31" s="40">
        <v>13.01</v>
      </c>
      <c r="R31" s="38"/>
      <c r="S31" s="38"/>
      <c r="T31" s="38"/>
      <c r="U31" s="38"/>
    </row>
    <row r="32" spans="1:21" customFormat="1">
      <c r="A32" s="39" t="s">
        <v>732</v>
      </c>
      <c r="B32" s="40">
        <v>22.28</v>
      </c>
      <c r="C32" s="40">
        <v>31.92</v>
      </c>
      <c r="D32" s="40">
        <v>35.89</v>
      </c>
      <c r="E32" s="40">
        <v>12.07</v>
      </c>
      <c r="F32" s="40">
        <v>4.04</v>
      </c>
      <c r="G32" s="40">
        <v>128.02000000000001</v>
      </c>
      <c r="H32" s="40">
        <v>29.31</v>
      </c>
      <c r="I32" s="40">
        <v>12.7</v>
      </c>
      <c r="J32" s="40">
        <v>0.21</v>
      </c>
      <c r="K32" s="40">
        <v>185.41</v>
      </c>
      <c r="L32" s="40">
        <v>19.53</v>
      </c>
      <c r="M32" s="40">
        <v>73.62</v>
      </c>
      <c r="N32" s="40">
        <v>1.5</v>
      </c>
      <c r="O32" s="40">
        <v>0</v>
      </c>
      <c r="P32" s="40">
        <v>1.01</v>
      </c>
      <c r="Q32" s="40">
        <v>13.04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4.3</v>
      </c>
      <c r="C34" s="18">
        <f t="shared" si="0"/>
        <v>24.8</v>
      </c>
      <c r="D34" s="18">
        <f t="shared" si="0"/>
        <v>19.59</v>
      </c>
      <c r="E34" s="18">
        <f t="shared" si="0"/>
        <v>8.16</v>
      </c>
      <c r="F34" s="18">
        <f t="shared" si="0"/>
        <v>3.91</v>
      </c>
      <c r="G34" s="18">
        <f t="shared" si="0"/>
        <v>69.209999999999994</v>
      </c>
      <c r="H34" s="18">
        <f t="shared" si="0"/>
        <v>22.6</v>
      </c>
      <c r="I34" s="18">
        <f t="shared" si="0"/>
        <v>8.1300000000000008</v>
      </c>
      <c r="J34" s="18">
        <f t="shared" si="0"/>
        <v>0.14000000000000001</v>
      </c>
      <c r="K34" s="18">
        <f t="shared" si="0"/>
        <v>57.56</v>
      </c>
      <c r="L34" s="18">
        <f t="shared" si="0"/>
        <v>14.23</v>
      </c>
      <c r="M34" s="18">
        <f t="shared" si="0"/>
        <v>23.72</v>
      </c>
      <c r="N34" s="18">
        <f t="shared" si="0"/>
        <v>1</v>
      </c>
      <c r="O34" s="18">
        <f t="shared" si="0"/>
        <v>0</v>
      </c>
      <c r="P34" s="18">
        <f t="shared" si="0"/>
        <v>0.64</v>
      </c>
      <c r="Q34" s="18">
        <f t="shared" si="0"/>
        <v>12.96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36.590000000000003</v>
      </c>
      <c r="C35" s="3">
        <f t="shared" si="1"/>
        <v>31.92</v>
      </c>
      <c r="D35" s="3">
        <f t="shared" si="1"/>
        <v>43.99</v>
      </c>
      <c r="E35" s="3">
        <f t="shared" si="1"/>
        <v>27.16</v>
      </c>
      <c r="F35" s="3">
        <f t="shared" si="1"/>
        <v>17.79</v>
      </c>
      <c r="G35" s="3">
        <f t="shared" si="1"/>
        <v>128.02000000000001</v>
      </c>
      <c r="H35" s="3">
        <f t="shared" si="1"/>
        <v>29.31</v>
      </c>
      <c r="I35" s="3">
        <f t="shared" si="1"/>
        <v>14.31</v>
      </c>
      <c r="J35" s="3">
        <f t="shared" si="1"/>
        <v>0.91</v>
      </c>
      <c r="K35" s="3">
        <f t="shared" si="1"/>
        <v>266.43</v>
      </c>
      <c r="L35" s="3">
        <f t="shared" si="1"/>
        <v>30.5</v>
      </c>
      <c r="M35" s="3">
        <f t="shared" si="1"/>
        <v>89.4</v>
      </c>
      <c r="N35" s="3">
        <f t="shared" si="1"/>
        <v>417.2</v>
      </c>
      <c r="O35" s="3">
        <f t="shared" si="1"/>
        <v>0</v>
      </c>
      <c r="P35" s="3">
        <f t="shared" si="1"/>
        <v>1.1000000000000001</v>
      </c>
      <c r="Q35" s="3">
        <f t="shared" si="1"/>
        <v>13.08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17.321250000000003</v>
      </c>
      <c r="C36" s="18">
        <f t="shared" si="2"/>
        <v>27.898333333333326</v>
      </c>
      <c r="D36" s="18">
        <f t="shared" si="2"/>
        <v>29.653333333333325</v>
      </c>
      <c r="E36" s="18">
        <f t="shared" si="2"/>
        <v>12.332499999999998</v>
      </c>
      <c r="F36" s="18">
        <f t="shared" si="2"/>
        <v>7.4379166666666654</v>
      </c>
      <c r="G36" s="18">
        <f t="shared" si="2"/>
        <v>91.664583333333326</v>
      </c>
      <c r="H36" s="18">
        <f t="shared" si="2"/>
        <v>25.957499999999996</v>
      </c>
      <c r="I36" s="18">
        <f t="shared" si="2"/>
        <v>11.560416666666669</v>
      </c>
      <c r="J36" s="18">
        <f t="shared" si="2"/>
        <v>0.45041666666666674</v>
      </c>
      <c r="K36" s="18">
        <f t="shared" si="2"/>
        <v>147.34999999999997</v>
      </c>
      <c r="L36" s="18">
        <f t="shared" si="2"/>
        <v>22.239583333333332</v>
      </c>
      <c r="M36" s="18">
        <f t="shared" si="2"/>
        <v>58.679166666666696</v>
      </c>
      <c r="N36" s="18">
        <f t="shared" si="2"/>
        <v>109.13333333333334</v>
      </c>
      <c r="O36" s="18">
        <f t="shared" si="2"/>
        <v>0</v>
      </c>
      <c r="P36" s="18">
        <f t="shared" si="2"/>
        <v>0.89458333333333329</v>
      </c>
      <c r="Q36" s="18">
        <f t="shared" si="2"/>
        <v>13.009583333333333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11.736980321412204</v>
      </c>
      <c r="C37" s="18">
        <f t="shared" ref="C37:Q37" si="3">STDEV(C9:C32)</f>
        <v>2.5016423590820538</v>
      </c>
      <c r="D37" s="18">
        <f t="shared" si="3"/>
        <v>9.3326997196937462</v>
      </c>
      <c r="E37" s="18">
        <f t="shared" si="3"/>
        <v>5.0999575872064291</v>
      </c>
      <c r="F37" s="18">
        <f t="shared" si="3"/>
        <v>4.5139108457288355</v>
      </c>
      <c r="G37" s="18">
        <f t="shared" si="3"/>
        <v>14.693914143696327</v>
      </c>
      <c r="H37" s="18">
        <f t="shared" si="3"/>
        <v>1.8688318834757855</v>
      </c>
      <c r="I37" s="18">
        <f t="shared" si="3"/>
        <v>2.1968761995687984</v>
      </c>
      <c r="J37" s="18">
        <f t="shared" si="3"/>
        <v>0.25575938363790385</v>
      </c>
      <c r="K37" s="18">
        <f t="shared" si="3"/>
        <v>59.660079508466445</v>
      </c>
      <c r="L37" s="18">
        <f t="shared" si="3"/>
        <v>5.59765516060979</v>
      </c>
      <c r="M37" s="18">
        <f t="shared" si="3"/>
        <v>23.79675478727706</v>
      </c>
      <c r="N37" s="18">
        <f t="shared" si="3"/>
        <v>162.16835767770496</v>
      </c>
      <c r="O37" s="18">
        <f t="shared" si="3"/>
        <v>0</v>
      </c>
      <c r="P37" s="18">
        <f t="shared" si="3"/>
        <v>0.16322774611397803</v>
      </c>
      <c r="Q37" s="18">
        <f t="shared" si="3"/>
        <v>4.0483938486297319E-2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45"/>
  <sheetViews>
    <sheetView topLeftCell="A13" zoomScale="86" zoomScaleNormal="86" workbookViewId="0">
      <selection activeCell="K28" sqref="K28"/>
    </sheetView>
  </sheetViews>
  <sheetFormatPr defaultColWidth="9" defaultRowHeight="15"/>
  <cols>
    <col min="1" max="1" width="12.85546875" customWidth="1"/>
    <col min="2" max="2" width="14.42578125" customWidth="1"/>
  </cols>
  <sheetData>
    <row r="1" spans="1:21" ht="27.75" customHeight="1">
      <c r="A1" s="3" t="s">
        <v>0</v>
      </c>
      <c r="B1" s="3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29/01/2025 01:00</v>
      </c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O2" s="1"/>
      <c r="P2" s="23" t="s">
        <v>7</v>
      </c>
      <c r="Q2" s="3"/>
      <c r="R2" s="27" t="s">
        <v>8</v>
      </c>
    </row>
    <row r="3" spans="1:21">
      <c r="A3" s="3" t="s">
        <v>9</v>
      </c>
      <c r="B3" s="3" t="s">
        <v>10</v>
      </c>
      <c r="D3" s="7" t="s">
        <v>11</v>
      </c>
      <c r="E3" s="7"/>
      <c r="F3" s="7"/>
      <c r="G3" s="10" t="s">
        <v>12</v>
      </c>
      <c r="H3" s="9"/>
      <c r="I3" s="9"/>
      <c r="J3" s="9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</row>
    <row r="4" spans="1:21">
      <c r="A4" s="3" t="s">
        <v>16</v>
      </c>
      <c r="B4" s="3" t="s">
        <v>17</v>
      </c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>
      <c r="A9" s="39" t="s">
        <v>733</v>
      </c>
      <c r="B9" s="40">
        <v>22.98</v>
      </c>
      <c r="C9" s="40">
        <v>31.68</v>
      </c>
      <c r="D9" s="40">
        <v>36.31</v>
      </c>
      <c r="E9" s="40">
        <v>11.92</v>
      </c>
      <c r="F9" s="40">
        <v>4.0599999999999996</v>
      </c>
      <c r="G9" s="40">
        <v>134.15</v>
      </c>
      <c r="H9" s="40">
        <v>31.18</v>
      </c>
      <c r="I9" s="40">
        <v>13.62</v>
      </c>
      <c r="J9" s="40">
        <v>0.23</v>
      </c>
      <c r="K9" s="40">
        <v>209.3</v>
      </c>
      <c r="L9" s="40">
        <v>18.309999999999999</v>
      </c>
      <c r="M9" s="40">
        <v>80.28</v>
      </c>
      <c r="N9" s="40">
        <v>1.5</v>
      </c>
      <c r="O9" s="40">
        <v>0</v>
      </c>
      <c r="P9" s="40">
        <v>1.03</v>
      </c>
      <c r="Q9" s="40">
        <v>13.08</v>
      </c>
      <c r="R9" s="38"/>
      <c r="S9" s="38"/>
      <c r="T9" s="38"/>
      <c r="U9" s="38"/>
    </row>
    <row r="10" spans="1:21">
      <c r="A10" s="39" t="s">
        <v>734</v>
      </c>
      <c r="B10" s="40">
        <v>22.51</v>
      </c>
      <c r="C10" s="40">
        <v>31.13</v>
      </c>
      <c r="D10" s="40">
        <v>35.67</v>
      </c>
      <c r="E10" s="40">
        <v>12</v>
      </c>
      <c r="F10" s="40">
        <v>3.92</v>
      </c>
      <c r="G10" s="40">
        <v>134.15</v>
      </c>
      <c r="H10" s="40">
        <v>31.18</v>
      </c>
      <c r="I10" s="40">
        <v>14.19</v>
      </c>
      <c r="J10" s="40">
        <v>0.21</v>
      </c>
      <c r="K10" s="40">
        <v>191.16</v>
      </c>
      <c r="L10" s="40">
        <v>17.41</v>
      </c>
      <c r="M10" s="40">
        <v>83.69</v>
      </c>
      <c r="N10" s="40">
        <v>1.4</v>
      </c>
      <c r="O10" s="40">
        <v>0</v>
      </c>
      <c r="P10" s="40">
        <v>1.06</v>
      </c>
      <c r="Q10" s="40">
        <v>13.13</v>
      </c>
      <c r="R10" s="38"/>
      <c r="S10" s="38"/>
      <c r="T10" s="38"/>
      <c r="U10" s="38"/>
    </row>
    <row r="11" spans="1:21">
      <c r="A11" s="39" t="s">
        <v>735</v>
      </c>
      <c r="B11" s="40">
        <v>21.62</v>
      </c>
      <c r="C11" s="40">
        <v>29.75</v>
      </c>
      <c r="D11" s="40">
        <v>34.1</v>
      </c>
      <c r="E11" s="40">
        <v>11.43</v>
      </c>
      <c r="F11" s="40">
        <v>3.97</v>
      </c>
      <c r="G11" s="40">
        <v>125.18</v>
      </c>
      <c r="H11" s="40">
        <v>30.45</v>
      </c>
      <c r="I11" s="40">
        <v>14.56</v>
      </c>
      <c r="J11" s="40">
        <v>0.2</v>
      </c>
      <c r="K11" s="40">
        <v>219.92</v>
      </c>
      <c r="L11" s="40">
        <v>16.600000000000001</v>
      </c>
      <c r="M11" s="40">
        <v>85.32</v>
      </c>
      <c r="N11" s="40">
        <v>1.2</v>
      </c>
      <c r="O11" s="40">
        <v>0</v>
      </c>
      <c r="P11" s="40">
        <v>1.07</v>
      </c>
      <c r="Q11" s="40">
        <v>13.03</v>
      </c>
      <c r="R11" s="38"/>
      <c r="S11" s="38"/>
      <c r="T11" s="38"/>
      <c r="U11" s="38"/>
    </row>
    <row r="12" spans="1:21">
      <c r="A12" s="39" t="s">
        <v>736</v>
      </c>
      <c r="B12" s="40">
        <v>23.99</v>
      </c>
      <c r="C12" s="40">
        <v>29.4</v>
      </c>
      <c r="D12" s="40">
        <v>35.950000000000003</v>
      </c>
      <c r="E12" s="40">
        <v>11.27</v>
      </c>
      <c r="F12" s="40">
        <v>3.9</v>
      </c>
      <c r="G12" s="40">
        <v>119.15</v>
      </c>
      <c r="H12" s="40">
        <v>28.22</v>
      </c>
      <c r="I12" s="40">
        <v>15.1</v>
      </c>
      <c r="J12" s="40">
        <v>0.17</v>
      </c>
      <c r="K12" s="40">
        <v>144.30000000000001</v>
      </c>
      <c r="L12" s="40">
        <v>16.64</v>
      </c>
      <c r="M12" s="40">
        <v>89.06</v>
      </c>
      <c r="N12" s="40">
        <v>1.3</v>
      </c>
      <c r="O12" s="40">
        <v>0</v>
      </c>
      <c r="P12" s="40">
        <v>1.1000000000000001</v>
      </c>
      <c r="Q12" s="40">
        <v>13.11</v>
      </c>
      <c r="R12" s="38"/>
      <c r="S12" s="38"/>
      <c r="T12" s="38"/>
      <c r="U12" s="38"/>
    </row>
    <row r="13" spans="1:21">
      <c r="A13" s="39" t="s">
        <v>737</v>
      </c>
      <c r="B13" s="40">
        <v>31.48</v>
      </c>
      <c r="C13" s="40">
        <v>29.96</v>
      </c>
      <c r="D13" s="40">
        <v>42.23</v>
      </c>
      <c r="E13" s="40">
        <v>11.72</v>
      </c>
      <c r="F13" s="40">
        <v>4.05</v>
      </c>
      <c r="G13" s="40">
        <v>115.27</v>
      </c>
      <c r="H13" s="40">
        <v>27.86</v>
      </c>
      <c r="I13" s="40">
        <v>15.75</v>
      </c>
      <c r="J13" s="40">
        <v>0.18</v>
      </c>
      <c r="K13" s="40">
        <v>165.11</v>
      </c>
      <c r="L13" s="40">
        <v>16.57</v>
      </c>
      <c r="M13" s="40">
        <v>94.12</v>
      </c>
      <c r="N13" s="40">
        <v>1.3</v>
      </c>
      <c r="O13" s="40">
        <v>0</v>
      </c>
      <c r="P13" s="40">
        <v>1.1200000000000001</v>
      </c>
      <c r="Q13" s="40">
        <v>13.14</v>
      </c>
      <c r="R13" s="38"/>
      <c r="S13" s="38"/>
      <c r="T13" s="38"/>
      <c r="U13" s="38"/>
    </row>
    <row r="14" spans="1:21">
      <c r="A14" s="39" t="s">
        <v>738</v>
      </c>
      <c r="B14" s="40">
        <v>34.44</v>
      </c>
      <c r="C14" s="40">
        <v>29.78</v>
      </c>
      <c r="D14" s="40">
        <v>44.26</v>
      </c>
      <c r="E14" s="40">
        <v>11.45</v>
      </c>
      <c r="F14" s="40">
        <v>4.0599999999999996</v>
      </c>
      <c r="G14" s="40">
        <v>118.12</v>
      </c>
      <c r="H14" s="40">
        <v>29.9</v>
      </c>
      <c r="I14" s="40">
        <v>16.11</v>
      </c>
      <c r="J14" s="40">
        <v>0.4</v>
      </c>
      <c r="K14" s="40">
        <v>165.29</v>
      </c>
      <c r="L14" s="40">
        <v>16.02</v>
      </c>
      <c r="M14" s="40">
        <v>92.78</v>
      </c>
      <c r="N14" s="40">
        <v>1.3</v>
      </c>
      <c r="O14" s="40">
        <v>0</v>
      </c>
      <c r="P14" s="40">
        <v>1.1200000000000001</v>
      </c>
      <c r="Q14" s="40">
        <v>13.14</v>
      </c>
      <c r="R14" s="38"/>
      <c r="S14" s="38"/>
      <c r="T14" s="38"/>
      <c r="U14" s="38"/>
    </row>
    <row r="15" spans="1:21">
      <c r="A15" s="39" t="s">
        <v>739</v>
      </c>
      <c r="B15" s="40">
        <v>35.06</v>
      </c>
      <c r="C15" s="40">
        <v>29.08</v>
      </c>
      <c r="D15" s="40">
        <v>44.66</v>
      </c>
      <c r="E15" s="40">
        <v>11.42</v>
      </c>
      <c r="F15" s="40">
        <v>3.97</v>
      </c>
      <c r="G15" s="40">
        <v>118.12</v>
      </c>
      <c r="H15" s="40">
        <v>29.9</v>
      </c>
      <c r="I15" s="40">
        <v>16.25</v>
      </c>
      <c r="J15" s="40">
        <v>0.4</v>
      </c>
      <c r="K15" s="40">
        <v>178.12</v>
      </c>
      <c r="L15" s="40">
        <v>16.579999999999998</v>
      </c>
      <c r="M15" s="40">
        <v>85.89</v>
      </c>
      <c r="N15" s="40">
        <v>9.3000000000000007</v>
      </c>
      <c r="O15" s="40">
        <v>0</v>
      </c>
      <c r="P15" s="40">
        <v>1.1599999999999999</v>
      </c>
      <c r="Q15" s="40">
        <v>13.23</v>
      </c>
      <c r="R15" s="38"/>
      <c r="S15" s="38"/>
      <c r="T15" s="38"/>
      <c r="U15" s="38"/>
    </row>
    <row r="16" spans="1:21">
      <c r="A16" s="39" t="s">
        <v>740</v>
      </c>
      <c r="B16" s="40">
        <v>34.770000000000003</v>
      </c>
      <c r="C16" s="40">
        <v>28.41</v>
      </c>
      <c r="D16" s="40">
        <v>43.98</v>
      </c>
      <c r="E16" s="40">
        <v>11.18</v>
      </c>
      <c r="F16" s="40">
        <v>4.3499999999999996</v>
      </c>
      <c r="G16" s="40">
        <v>116.23</v>
      </c>
      <c r="H16" s="40">
        <v>31.65</v>
      </c>
      <c r="I16" s="40">
        <v>16.45</v>
      </c>
      <c r="J16" s="40">
        <v>0.46</v>
      </c>
      <c r="K16" s="40">
        <v>165.64</v>
      </c>
      <c r="L16" s="40">
        <v>17.510000000000002</v>
      </c>
      <c r="M16" s="40">
        <v>85.61</v>
      </c>
      <c r="N16" s="40">
        <v>37.4</v>
      </c>
      <c r="O16" s="40">
        <v>0</v>
      </c>
      <c r="P16" s="40">
        <v>1.17</v>
      </c>
      <c r="Q16" s="40">
        <v>13.21</v>
      </c>
      <c r="R16" s="38"/>
      <c r="S16" s="38"/>
      <c r="T16" s="38"/>
      <c r="U16" s="38"/>
    </row>
    <row r="17" spans="1:21">
      <c r="A17" s="39" t="s">
        <v>741</v>
      </c>
      <c r="B17" s="40">
        <v>32.15</v>
      </c>
      <c r="C17" s="40">
        <v>28.76</v>
      </c>
      <c r="D17" s="40">
        <v>41.73</v>
      </c>
      <c r="E17" s="40">
        <v>10.91</v>
      </c>
      <c r="F17" s="40">
        <v>4.9400000000000004</v>
      </c>
      <c r="G17" s="40">
        <v>122.02</v>
      </c>
      <c r="H17" s="40">
        <v>31.65</v>
      </c>
      <c r="I17" s="40">
        <v>16.489999999999998</v>
      </c>
      <c r="J17" s="40">
        <v>0.27</v>
      </c>
      <c r="K17" s="40">
        <v>163.37</v>
      </c>
      <c r="L17" s="40">
        <v>21.74</v>
      </c>
      <c r="M17" s="40">
        <v>81.92</v>
      </c>
      <c r="N17" s="40">
        <v>155.9</v>
      </c>
      <c r="O17" s="40">
        <v>0</v>
      </c>
      <c r="P17" s="40">
        <v>1.17</v>
      </c>
      <c r="Q17" s="40">
        <v>13.18</v>
      </c>
      <c r="R17" s="38"/>
      <c r="S17" s="38"/>
      <c r="T17" s="38"/>
      <c r="U17" s="38"/>
    </row>
    <row r="18" spans="1:21">
      <c r="A18" s="39" t="s">
        <v>742</v>
      </c>
      <c r="B18" s="40">
        <v>24.91</v>
      </c>
      <c r="C18" s="40">
        <v>32.799999999999997</v>
      </c>
      <c r="D18" s="40">
        <v>36.76</v>
      </c>
      <c r="E18" s="40">
        <v>11.32</v>
      </c>
      <c r="F18" s="40">
        <v>6.18</v>
      </c>
      <c r="G18" s="40">
        <v>124.65</v>
      </c>
      <c r="H18" s="40">
        <v>37.81</v>
      </c>
      <c r="I18" s="40">
        <v>16.5</v>
      </c>
      <c r="J18" s="40">
        <v>0.54</v>
      </c>
      <c r="K18" s="40">
        <v>161.51</v>
      </c>
      <c r="L18" s="40">
        <v>25.33</v>
      </c>
      <c r="M18" s="40">
        <v>67.05</v>
      </c>
      <c r="N18" s="40">
        <v>288.89999999999998</v>
      </c>
      <c r="O18" s="40">
        <v>0</v>
      </c>
      <c r="P18" s="40">
        <v>1.1599999999999999</v>
      </c>
      <c r="Q18" s="40">
        <v>13.05</v>
      </c>
      <c r="R18" s="38"/>
      <c r="S18" s="38"/>
      <c r="T18" s="38"/>
      <c r="U18" s="38"/>
    </row>
    <row r="19" spans="1:21">
      <c r="A19" s="39" t="s">
        <v>743</v>
      </c>
      <c r="B19" s="40">
        <v>13.81</v>
      </c>
      <c r="C19" s="40">
        <v>34.42</v>
      </c>
      <c r="D19" s="40">
        <v>30.01</v>
      </c>
      <c r="E19" s="40">
        <v>9.3699999999999992</v>
      </c>
      <c r="F19" s="40">
        <v>8.5</v>
      </c>
      <c r="G19" s="40">
        <v>124.65</v>
      </c>
      <c r="H19" s="40">
        <v>37.950000000000003</v>
      </c>
      <c r="I19" s="40">
        <v>16.13</v>
      </c>
      <c r="J19" s="40">
        <v>0.53</v>
      </c>
      <c r="K19" s="40">
        <v>355.89</v>
      </c>
      <c r="L19" s="40">
        <v>26.73</v>
      </c>
      <c r="M19" s="40">
        <v>56.71</v>
      </c>
      <c r="N19" s="40">
        <v>350.8</v>
      </c>
      <c r="O19" s="40">
        <v>0</v>
      </c>
      <c r="P19" s="40">
        <v>1.1100000000000001</v>
      </c>
      <c r="Q19" s="40">
        <v>13.02</v>
      </c>
      <c r="R19" s="38"/>
      <c r="S19" s="38"/>
      <c r="T19" s="38"/>
      <c r="U19" s="38"/>
    </row>
    <row r="20" spans="1:21">
      <c r="A20" s="39" t="s">
        <v>744</v>
      </c>
      <c r="B20" s="40">
        <v>4.97</v>
      </c>
      <c r="C20" s="40">
        <v>33.53</v>
      </c>
      <c r="D20" s="40">
        <v>22.85</v>
      </c>
      <c r="E20" s="40">
        <v>9.5</v>
      </c>
      <c r="F20" s="40">
        <v>20.7</v>
      </c>
      <c r="G20" s="40">
        <v>114.13</v>
      </c>
      <c r="H20" s="40">
        <v>37.950000000000003</v>
      </c>
      <c r="I20" s="40">
        <v>14.71</v>
      </c>
      <c r="J20" s="40">
        <v>0.63</v>
      </c>
      <c r="K20" s="40">
        <v>325.13</v>
      </c>
      <c r="L20" s="40">
        <v>29.23</v>
      </c>
      <c r="M20" s="40">
        <v>51.84</v>
      </c>
      <c r="N20" s="40">
        <v>355.7</v>
      </c>
      <c r="O20" s="40">
        <v>0</v>
      </c>
      <c r="P20" s="40">
        <v>1.01</v>
      </c>
      <c r="Q20" s="40">
        <v>12.99</v>
      </c>
      <c r="R20" s="38"/>
      <c r="S20" s="38"/>
      <c r="T20" s="38"/>
      <c r="U20" s="38"/>
    </row>
    <row r="21" spans="1:21">
      <c r="A21" s="39" t="s">
        <v>745</v>
      </c>
      <c r="B21" s="40">
        <v>4.08</v>
      </c>
      <c r="C21" s="40">
        <v>29.51</v>
      </c>
      <c r="D21" s="40">
        <v>20.04</v>
      </c>
      <c r="E21" s="40">
        <v>25.59</v>
      </c>
      <c r="F21" s="40">
        <v>25.84</v>
      </c>
      <c r="G21" s="40">
        <v>94.05</v>
      </c>
      <c r="H21" s="40">
        <v>36.94</v>
      </c>
      <c r="I21" s="40">
        <v>13.48</v>
      </c>
      <c r="J21" s="40">
        <v>1.19</v>
      </c>
      <c r="K21" s="40">
        <v>309.66000000000003</v>
      </c>
      <c r="L21" s="40">
        <v>29.92</v>
      </c>
      <c r="M21" s="40">
        <v>51.14</v>
      </c>
      <c r="N21" s="40">
        <v>365.1</v>
      </c>
      <c r="O21" s="40">
        <v>0</v>
      </c>
      <c r="P21" s="40">
        <v>1.03</v>
      </c>
      <c r="Q21" s="40">
        <v>12.98</v>
      </c>
      <c r="R21" s="38"/>
      <c r="S21" s="38"/>
      <c r="T21" s="38"/>
      <c r="U21" s="38"/>
    </row>
    <row r="22" spans="1:21">
      <c r="A22" s="39" t="s">
        <v>746</v>
      </c>
      <c r="B22" s="40">
        <v>3.33</v>
      </c>
      <c r="C22" s="40">
        <v>26.06</v>
      </c>
      <c r="D22" s="40">
        <v>17.64</v>
      </c>
      <c r="E22" s="40">
        <v>28.54</v>
      </c>
      <c r="F22" s="40">
        <v>32.31</v>
      </c>
      <c r="G22" s="40">
        <v>89.18</v>
      </c>
      <c r="H22" s="40">
        <v>37.67</v>
      </c>
      <c r="I22" s="40">
        <v>15.22</v>
      </c>
      <c r="J22" s="40">
        <v>0.52</v>
      </c>
      <c r="K22" s="40">
        <v>309.72000000000003</v>
      </c>
      <c r="L22" s="40">
        <v>30.32</v>
      </c>
      <c r="M22" s="40">
        <v>49.44</v>
      </c>
      <c r="N22" s="40">
        <v>324.10000000000002</v>
      </c>
      <c r="O22" s="40">
        <v>0</v>
      </c>
      <c r="P22" s="40">
        <v>1.1299999999999999</v>
      </c>
      <c r="Q22" s="40">
        <v>12.97</v>
      </c>
      <c r="R22" s="38"/>
      <c r="S22" s="38"/>
      <c r="T22" s="38"/>
      <c r="U22" s="38"/>
    </row>
    <row r="23" spans="1:21">
      <c r="A23" s="39" t="s">
        <v>747</v>
      </c>
      <c r="B23" s="40">
        <v>3.24</v>
      </c>
      <c r="C23" s="40">
        <v>26.96</v>
      </c>
      <c r="D23" s="40">
        <v>18</v>
      </c>
      <c r="E23" s="40">
        <v>52.21</v>
      </c>
      <c r="F23" s="40">
        <v>26.42</v>
      </c>
      <c r="G23" s="40">
        <v>96.15</v>
      </c>
      <c r="H23" s="40">
        <v>37.67</v>
      </c>
      <c r="I23" s="40">
        <v>19.38</v>
      </c>
      <c r="J23" s="40">
        <v>0.53</v>
      </c>
      <c r="K23" s="40">
        <v>299.47000000000003</v>
      </c>
      <c r="L23" s="40">
        <v>30.12</v>
      </c>
      <c r="M23" s="40">
        <v>51.96</v>
      </c>
      <c r="N23" s="40">
        <v>235.3</v>
      </c>
      <c r="O23" s="40">
        <v>0</v>
      </c>
      <c r="P23" s="40">
        <v>1.22</v>
      </c>
      <c r="Q23" s="40">
        <v>12.97</v>
      </c>
      <c r="R23" s="38"/>
      <c r="S23" s="38"/>
      <c r="T23" s="38"/>
      <c r="U23" s="38"/>
    </row>
    <row r="24" spans="1:21">
      <c r="A24" s="39" t="s">
        <v>748</v>
      </c>
      <c r="B24" s="40">
        <v>3.22</v>
      </c>
      <c r="C24" s="40">
        <v>28.67</v>
      </c>
      <c r="D24" s="40">
        <v>18.91</v>
      </c>
      <c r="E24" s="40">
        <v>45.75</v>
      </c>
      <c r="F24" s="40">
        <v>10.27</v>
      </c>
      <c r="G24" s="40">
        <v>96.15</v>
      </c>
      <c r="H24" s="40">
        <v>37.159999999999997</v>
      </c>
      <c r="I24" s="40">
        <v>20.54</v>
      </c>
      <c r="J24" s="40">
        <v>0.56999999999999995</v>
      </c>
      <c r="K24" s="40">
        <v>318.91000000000003</v>
      </c>
      <c r="L24" s="40">
        <v>29.97</v>
      </c>
      <c r="M24" s="40">
        <v>52.45</v>
      </c>
      <c r="N24" s="40">
        <v>74.099999999999994</v>
      </c>
      <c r="O24" s="40">
        <v>0</v>
      </c>
      <c r="P24" s="40">
        <v>1.19</v>
      </c>
      <c r="Q24" s="40">
        <v>12.98</v>
      </c>
      <c r="R24" s="38"/>
      <c r="S24" s="38"/>
      <c r="T24" s="38"/>
      <c r="U24" s="38"/>
    </row>
    <row r="25" spans="1:21">
      <c r="A25" s="39" t="s">
        <v>749</v>
      </c>
      <c r="B25" s="40">
        <v>3.21</v>
      </c>
      <c r="C25" s="40">
        <v>27.32</v>
      </c>
      <c r="D25" s="40">
        <v>18.12</v>
      </c>
      <c r="E25" s="40">
        <v>18.7</v>
      </c>
      <c r="F25" s="40">
        <v>7.92</v>
      </c>
      <c r="G25" s="40">
        <v>77.16</v>
      </c>
      <c r="H25" s="40">
        <v>23.09</v>
      </c>
      <c r="I25" s="40">
        <v>18.47</v>
      </c>
      <c r="J25" s="40">
        <v>0.26</v>
      </c>
      <c r="K25" s="40">
        <v>217.38</v>
      </c>
      <c r="L25" s="40">
        <v>29.51</v>
      </c>
      <c r="M25" s="40">
        <v>58.25</v>
      </c>
      <c r="N25" s="40">
        <v>40.6</v>
      </c>
      <c r="O25" s="40">
        <v>0</v>
      </c>
      <c r="P25" s="40">
        <v>1.08</v>
      </c>
      <c r="Q25" s="40">
        <v>12.97</v>
      </c>
      <c r="R25" s="38"/>
      <c r="S25" s="38"/>
      <c r="T25" s="38"/>
      <c r="U25" s="38"/>
    </row>
    <row r="26" spans="1:21">
      <c r="A26" s="39" t="s">
        <v>750</v>
      </c>
      <c r="B26" s="40">
        <v>3.45</v>
      </c>
      <c r="C26" s="40">
        <v>26.55</v>
      </c>
      <c r="D26" s="40">
        <v>17.989999999999998</v>
      </c>
      <c r="E26" s="40">
        <v>15.02</v>
      </c>
      <c r="F26" s="40">
        <v>7.14</v>
      </c>
      <c r="G26" s="40">
        <v>83.73</v>
      </c>
      <c r="H26" s="40">
        <v>25.33</v>
      </c>
      <c r="I26" s="40">
        <v>17.57</v>
      </c>
      <c r="J26" s="40">
        <v>0.36</v>
      </c>
      <c r="K26" s="40">
        <v>165.26</v>
      </c>
      <c r="L26" s="40">
        <v>28.09</v>
      </c>
      <c r="M26" s="40">
        <v>63.93</v>
      </c>
      <c r="N26" s="40">
        <v>16.2</v>
      </c>
      <c r="O26" s="40">
        <v>0</v>
      </c>
      <c r="P26" s="40">
        <v>1.1299999999999999</v>
      </c>
      <c r="Q26" s="40">
        <v>12.96</v>
      </c>
      <c r="R26" s="38"/>
      <c r="S26" s="38"/>
      <c r="T26" s="38"/>
      <c r="U26" s="38"/>
    </row>
    <row r="27" spans="1:21">
      <c r="A27" s="39" t="s">
        <v>751</v>
      </c>
      <c r="B27" s="40">
        <v>3.91</v>
      </c>
      <c r="C27" s="40">
        <v>28.82</v>
      </c>
      <c r="D27" s="40">
        <v>19.489999999999998</v>
      </c>
      <c r="E27" s="40">
        <v>8.27</v>
      </c>
      <c r="F27" s="40">
        <v>4.93</v>
      </c>
      <c r="G27" s="40">
        <v>209.88</v>
      </c>
      <c r="H27" s="40">
        <v>38.46</v>
      </c>
      <c r="I27" s="40">
        <v>17.63</v>
      </c>
      <c r="J27" s="40">
        <v>0.38</v>
      </c>
      <c r="K27" s="40">
        <v>176.42</v>
      </c>
      <c r="L27" s="40">
        <v>25.21</v>
      </c>
      <c r="M27" s="40">
        <v>68.09</v>
      </c>
      <c r="N27" s="40">
        <v>2.1</v>
      </c>
      <c r="O27" s="40">
        <v>0</v>
      </c>
      <c r="P27" s="40">
        <v>1.27</v>
      </c>
      <c r="Q27" s="40">
        <v>12.97</v>
      </c>
      <c r="R27" s="38"/>
      <c r="S27" s="38"/>
      <c r="T27" s="38"/>
      <c r="U27" s="38"/>
    </row>
    <row r="28" spans="1:21">
      <c r="A28" s="39" t="s">
        <v>752</v>
      </c>
      <c r="B28" s="40">
        <v>4.2300000000000004</v>
      </c>
      <c r="C28" s="40">
        <v>28.47</v>
      </c>
      <c r="D28" s="40">
        <v>19.41</v>
      </c>
      <c r="E28" s="40">
        <v>8.56</v>
      </c>
      <c r="F28" s="40">
        <v>4.17</v>
      </c>
      <c r="G28" s="40">
        <v>209.88</v>
      </c>
      <c r="H28" s="40">
        <v>45.66</v>
      </c>
      <c r="I28" s="40">
        <v>16.68</v>
      </c>
      <c r="J28" s="40">
        <v>0.25</v>
      </c>
      <c r="K28" s="40">
        <v>204.07</v>
      </c>
      <c r="L28" s="40">
        <v>23.39</v>
      </c>
      <c r="M28" s="40">
        <v>75.150000000000006</v>
      </c>
      <c r="N28" s="40">
        <v>1.7</v>
      </c>
      <c r="O28" s="40">
        <v>0</v>
      </c>
      <c r="P28" s="40">
        <v>1.39</v>
      </c>
      <c r="Q28" s="40">
        <v>12.96</v>
      </c>
      <c r="R28" s="38"/>
      <c r="S28" s="38"/>
      <c r="T28" s="38"/>
      <c r="U28" s="38"/>
    </row>
    <row r="29" spans="1:21">
      <c r="A29" s="39" t="s">
        <v>753</v>
      </c>
      <c r="B29" s="40">
        <v>4.37</v>
      </c>
      <c r="C29" s="40">
        <v>27.96</v>
      </c>
      <c r="D29" s="40">
        <v>19.41</v>
      </c>
      <c r="E29" s="40">
        <v>8.02</v>
      </c>
      <c r="F29" s="40">
        <v>4.26</v>
      </c>
      <c r="G29" s="40">
        <v>157.91</v>
      </c>
      <c r="H29" s="40">
        <v>45.66</v>
      </c>
      <c r="I29" s="40">
        <v>20.170000000000002</v>
      </c>
      <c r="J29" s="40">
        <v>0.19</v>
      </c>
      <c r="K29" s="40">
        <v>224.43</v>
      </c>
      <c r="L29" s="40">
        <v>21.98</v>
      </c>
      <c r="M29" s="40">
        <v>74.67</v>
      </c>
      <c r="N29" s="40">
        <v>1.5</v>
      </c>
      <c r="O29" s="40">
        <v>0</v>
      </c>
      <c r="P29" s="40">
        <v>1.43</v>
      </c>
      <c r="Q29" s="40">
        <v>12.97</v>
      </c>
      <c r="R29" s="38"/>
      <c r="S29" s="38"/>
      <c r="T29" s="38"/>
      <c r="U29" s="38"/>
    </row>
    <row r="30" spans="1:21">
      <c r="A30" s="39" t="s">
        <v>754</v>
      </c>
      <c r="B30" s="40">
        <v>5.22</v>
      </c>
      <c r="C30" s="40">
        <v>27.7</v>
      </c>
      <c r="D30" s="40">
        <v>19.850000000000001</v>
      </c>
      <c r="E30" s="40">
        <v>8.5</v>
      </c>
      <c r="F30" s="40">
        <v>4.17</v>
      </c>
      <c r="G30" s="40">
        <v>133.28</v>
      </c>
      <c r="H30" s="40">
        <v>42.25</v>
      </c>
      <c r="I30" s="40">
        <v>20.53</v>
      </c>
      <c r="J30" s="40">
        <v>0.22</v>
      </c>
      <c r="K30" s="40">
        <v>177.9</v>
      </c>
      <c r="L30" s="40">
        <v>21.21</v>
      </c>
      <c r="M30" s="40">
        <v>79.819999999999993</v>
      </c>
      <c r="N30" s="40">
        <v>1.5</v>
      </c>
      <c r="O30" s="40">
        <v>0</v>
      </c>
      <c r="P30" s="40">
        <v>1.45</v>
      </c>
      <c r="Q30" s="40">
        <v>12.96</v>
      </c>
      <c r="R30" s="38"/>
      <c r="S30" s="38"/>
      <c r="T30" s="38"/>
      <c r="U30" s="38"/>
    </row>
    <row r="31" spans="1:21">
      <c r="A31" s="39" t="s">
        <v>755</v>
      </c>
      <c r="B31" s="40">
        <v>5.81</v>
      </c>
      <c r="C31" s="40">
        <v>27.12</v>
      </c>
      <c r="D31" s="40">
        <v>20.03</v>
      </c>
      <c r="E31" s="40">
        <v>8.7799999999999994</v>
      </c>
      <c r="F31" s="40">
        <v>3.98</v>
      </c>
      <c r="G31" s="40">
        <v>126.78</v>
      </c>
      <c r="H31" s="40">
        <v>42.25</v>
      </c>
      <c r="I31" s="40">
        <v>20.92</v>
      </c>
      <c r="J31" s="40">
        <v>0.2</v>
      </c>
      <c r="K31" s="40">
        <v>205.28</v>
      </c>
      <c r="L31" s="40">
        <v>20.59</v>
      </c>
      <c r="M31" s="40">
        <v>83.81</v>
      </c>
      <c r="N31" s="40">
        <v>1.7</v>
      </c>
      <c r="O31" s="40">
        <v>0</v>
      </c>
      <c r="P31" s="40">
        <v>1.47</v>
      </c>
      <c r="Q31" s="40">
        <v>12.96</v>
      </c>
      <c r="R31" s="38"/>
      <c r="S31" s="38"/>
      <c r="T31" s="38"/>
      <c r="U31" s="38"/>
    </row>
    <row r="32" spans="1:21">
      <c r="A32" s="39" t="s">
        <v>756</v>
      </c>
      <c r="B32" s="40">
        <v>6.56</v>
      </c>
      <c r="C32" s="40">
        <v>26.64</v>
      </c>
      <c r="D32" s="40">
        <v>20.46</v>
      </c>
      <c r="E32" s="40">
        <v>9.18</v>
      </c>
      <c r="F32" s="40">
        <v>4.01</v>
      </c>
      <c r="G32" s="40">
        <v>110.61</v>
      </c>
      <c r="H32" s="40">
        <v>43.11</v>
      </c>
      <c r="I32" s="40">
        <v>21.05</v>
      </c>
      <c r="J32" s="40">
        <v>0.22</v>
      </c>
      <c r="K32" s="40">
        <v>233.18</v>
      </c>
      <c r="L32" s="40">
        <v>19.899999999999999</v>
      </c>
      <c r="M32" s="40">
        <v>85.3</v>
      </c>
      <c r="N32" s="40">
        <v>1.4</v>
      </c>
      <c r="O32" s="40">
        <v>0</v>
      </c>
      <c r="P32" s="40">
        <v>1.5</v>
      </c>
      <c r="Q32" s="40">
        <v>12.97</v>
      </c>
      <c r="R32" s="38"/>
      <c r="S32" s="38"/>
      <c r="T32" s="38"/>
      <c r="U32" s="38"/>
    </row>
    <row r="33" spans="1: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3" t="s">
        <v>48</v>
      </c>
      <c r="B34" s="18">
        <f t="shared" ref="B34:Q34" si="0">MIN(B9:B32)</f>
        <v>3.21</v>
      </c>
      <c r="C34" s="18">
        <f t="shared" si="0"/>
        <v>26.06</v>
      </c>
      <c r="D34" s="18">
        <f t="shared" si="0"/>
        <v>17.64</v>
      </c>
      <c r="E34" s="18">
        <f t="shared" si="0"/>
        <v>8.02</v>
      </c>
      <c r="F34" s="18">
        <f t="shared" si="0"/>
        <v>3.9</v>
      </c>
      <c r="G34" s="18">
        <f t="shared" si="0"/>
        <v>77.16</v>
      </c>
      <c r="H34" s="18">
        <f t="shared" si="0"/>
        <v>23.09</v>
      </c>
      <c r="I34" s="18">
        <f t="shared" si="0"/>
        <v>13.48</v>
      </c>
      <c r="J34" s="18">
        <f t="shared" si="0"/>
        <v>0.17</v>
      </c>
      <c r="K34" s="18">
        <f t="shared" si="0"/>
        <v>144.30000000000001</v>
      </c>
      <c r="L34" s="18">
        <f t="shared" si="0"/>
        <v>16.02</v>
      </c>
      <c r="M34" s="18">
        <f t="shared" si="0"/>
        <v>49.44</v>
      </c>
      <c r="N34" s="18">
        <f t="shared" si="0"/>
        <v>1.2</v>
      </c>
      <c r="O34" s="18">
        <f t="shared" si="0"/>
        <v>0</v>
      </c>
      <c r="P34" s="18">
        <f t="shared" si="0"/>
        <v>1.01</v>
      </c>
      <c r="Q34" s="18">
        <f t="shared" si="0"/>
        <v>12.96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35.06</v>
      </c>
      <c r="C35" s="3">
        <f t="shared" si="1"/>
        <v>34.42</v>
      </c>
      <c r="D35" s="3">
        <f t="shared" si="1"/>
        <v>44.66</v>
      </c>
      <c r="E35" s="3">
        <f t="shared" si="1"/>
        <v>52.21</v>
      </c>
      <c r="F35" s="3">
        <f t="shared" si="1"/>
        <v>32.31</v>
      </c>
      <c r="G35" s="3">
        <f t="shared" si="1"/>
        <v>209.88</v>
      </c>
      <c r="H35" s="3">
        <f t="shared" si="1"/>
        <v>45.66</v>
      </c>
      <c r="I35" s="3">
        <f t="shared" si="1"/>
        <v>21.05</v>
      </c>
      <c r="J35" s="3">
        <f t="shared" si="1"/>
        <v>1.19</v>
      </c>
      <c r="K35" s="3">
        <f t="shared" si="1"/>
        <v>355.89</v>
      </c>
      <c r="L35" s="3">
        <f t="shared" si="1"/>
        <v>30.32</v>
      </c>
      <c r="M35" s="3">
        <f t="shared" si="1"/>
        <v>94.12</v>
      </c>
      <c r="N35" s="3">
        <f t="shared" si="1"/>
        <v>365.1</v>
      </c>
      <c r="O35" s="3">
        <f t="shared" si="1"/>
        <v>0</v>
      </c>
      <c r="P35" s="3">
        <f t="shared" si="1"/>
        <v>1.5</v>
      </c>
      <c r="Q35" s="3">
        <f t="shared" si="1"/>
        <v>13.23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14.721666666666671</v>
      </c>
      <c r="C36" s="18">
        <f t="shared" si="2"/>
        <v>29.186666666666671</v>
      </c>
      <c r="D36" s="18">
        <f t="shared" si="2"/>
        <v>28.244166666666668</v>
      </c>
      <c r="E36" s="18">
        <f t="shared" si="2"/>
        <v>15.442083333333331</v>
      </c>
      <c r="F36" s="18">
        <f t="shared" si="2"/>
        <v>8.6674999999999986</v>
      </c>
      <c r="G36" s="18">
        <f t="shared" si="2"/>
        <v>122.94083333333337</v>
      </c>
      <c r="H36" s="18">
        <f t="shared" si="2"/>
        <v>35.039583333333333</v>
      </c>
      <c r="I36" s="18">
        <f t="shared" si="2"/>
        <v>16.979166666666668</v>
      </c>
      <c r="J36" s="18">
        <f t="shared" si="2"/>
        <v>0.37958333333333338</v>
      </c>
      <c r="K36" s="18">
        <f t="shared" si="2"/>
        <v>220.26750000000001</v>
      </c>
      <c r="L36" s="18">
        <f t="shared" si="2"/>
        <v>22.869999999999994</v>
      </c>
      <c r="M36" s="18">
        <f t="shared" si="2"/>
        <v>72.844999999999999</v>
      </c>
      <c r="N36" s="18">
        <f t="shared" si="2"/>
        <v>94.637499999999974</v>
      </c>
      <c r="O36" s="18">
        <f t="shared" si="2"/>
        <v>0</v>
      </c>
      <c r="P36" s="18">
        <f t="shared" si="2"/>
        <v>1.1904166666666665</v>
      </c>
      <c r="Q36" s="18">
        <f t="shared" si="2"/>
        <v>13.038750000000002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12.490340151551086</v>
      </c>
      <c r="C37" s="18">
        <f t="shared" ref="C37:Q37" si="3">STDEV(C9:C32)</f>
        <v>2.2074275145254614</v>
      </c>
      <c r="D37" s="18">
        <f t="shared" si="3"/>
        <v>10.38477435507375</v>
      </c>
      <c r="E37" s="18">
        <f t="shared" si="3"/>
        <v>11.559026579734761</v>
      </c>
      <c r="F37" s="18">
        <f t="shared" si="3"/>
        <v>8.4150508278193232</v>
      </c>
      <c r="G37" s="18">
        <f t="shared" si="3"/>
        <v>32.411798028638735</v>
      </c>
      <c r="H37" s="18">
        <f t="shared" si="3"/>
        <v>6.3064759532781043</v>
      </c>
      <c r="I37" s="18">
        <f t="shared" si="3"/>
        <v>2.3739801776885048</v>
      </c>
      <c r="J37" s="18">
        <f t="shared" si="3"/>
        <v>0.22683990076639979</v>
      </c>
      <c r="K37" s="18">
        <f t="shared" si="3"/>
        <v>63.609714478898177</v>
      </c>
      <c r="L37" s="18">
        <f t="shared" si="3"/>
        <v>5.3125912779882398</v>
      </c>
      <c r="M37" s="18">
        <f t="shared" si="3"/>
        <v>14.906771440610761</v>
      </c>
      <c r="N37" s="18">
        <f t="shared" si="3"/>
        <v>139.09961026576229</v>
      </c>
      <c r="O37" s="18">
        <f t="shared" si="3"/>
        <v>0</v>
      </c>
      <c r="P37" s="18">
        <f t="shared" si="3"/>
        <v>0.14863082852627141</v>
      </c>
      <c r="Q37" s="18">
        <f t="shared" si="3"/>
        <v>8.9555059575951126E-2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7"/>
      <c r="O41" s="37"/>
      <c r="P41" s="37"/>
      <c r="Q41" s="37"/>
      <c r="R41" s="37"/>
      <c r="S41" s="37"/>
      <c r="T41" s="37"/>
      <c r="U41" s="37"/>
    </row>
    <row r="42" spans="1: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19" t="s">
        <v>56</v>
      </c>
      <c r="C43" s="3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1"/>
      <c r="B44" s="1"/>
      <c r="C44" s="1"/>
      <c r="D44" s="20"/>
      <c r="E44" s="20"/>
      <c r="F44" s="20"/>
      <c r="G44" s="20"/>
      <c r="H44" s="20"/>
      <c r="I44" s="2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96"/>
  <sheetViews>
    <sheetView topLeftCell="A7" zoomScale="85" zoomScaleNormal="85" workbookViewId="0">
      <selection activeCell="T24" sqref="T2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30/01/2025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757</v>
      </c>
      <c r="B9" s="40">
        <v>7.65</v>
      </c>
      <c r="C9" s="40">
        <v>26.54</v>
      </c>
      <c r="D9" s="40">
        <v>21.28</v>
      </c>
      <c r="E9" s="40">
        <v>9.06</v>
      </c>
      <c r="F9" s="40">
        <v>4</v>
      </c>
      <c r="G9" s="40">
        <v>110.61</v>
      </c>
      <c r="H9" s="40">
        <v>43.11</v>
      </c>
      <c r="I9" s="40">
        <v>23.56</v>
      </c>
      <c r="J9" s="40">
        <v>0.17</v>
      </c>
      <c r="K9" s="40">
        <v>180.32</v>
      </c>
      <c r="L9" s="40">
        <v>19.62</v>
      </c>
      <c r="M9" s="40">
        <v>86.45</v>
      </c>
      <c r="N9" s="40">
        <v>1.3</v>
      </c>
      <c r="O9" s="40">
        <v>0</v>
      </c>
      <c r="P9" s="40">
        <v>1.52</v>
      </c>
      <c r="Q9" s="40">
        <v>12.96</v>
      </c>
      <c r="R9" s="38"/>
      <c r="S9" s="38"/>
      <c r="T9" s="38"/>
      <c r="U9" s="38"/>
    </row>
    <row r="10" spans="1:21" customFormat="1">
      <c r="A10" s="39" t="s">
        <v>758</v>
      </c>
      <c r="B10" s="40">
        <v>8.19</v>
      </c>
      <c r="C10" s="40">
        <v>26.23</v>
      </c>
      <c r="D10" s="40">
        <v>21.41</v>
      </c>
      <c r="E10" s="40">
        <v>8.67</v>
      </c>
      <c r="F10" s="40">
        <v>3.95</v>
      </c>
      <c r="G10" s="40">
        <v>105.91</v>
      </c>
      <c r="H10" s="40">
        <v>34.93</v>
      </c>
      <c r="I10" s="40">
        <v>23.92</v>
      </c>
      <c r="J10" s="40">
        <v>0.23</v>
      </c>
      <c r="K10" s="40">
        <v>184</v>
      </c>
      <c r="L10" s="40">
        <v>19.399999999999999</v>
      </c>
      <c r="M10" s="40">
        <v>89.57</v>
      </c>
      <c r="N10" s="40">
        <v>1.6</v>
      </c>
      <c r="O10" s="40">
        <v>0</v>
      </c>
      <c r="P10" s="40">
        <v>1.49</v>
      </c>
      <c r="Q10" s="40">
        <v>12.96</v>
      </c>
      <c r="R10" s="38"/>
      <c r="S10" s="38"/>
      <c r="T10" s="38"/>
      <c r="U10" s="38"/>
    </row>
    <row r="11" spans="1:21" customFormat="1">
      <c r="A11" s="39" t="s">
        <v>759</v>
      </c>
      <c r="B11" s="40">
        <v>8.17</v>
      </c>
      <c r="C11" s="40">
        <v>24.56</v>
      </c>
      <c r="D11" s="40">
        <v>20.73</v>
      </c>
      <c r="E11" s="40">
        <v>10.27</v>
      </c>
      <c r="F11" s="40">
        <v>3.91</v>
      </c>
      <c r="G11" s="40">
        <v>77.849999999999994</v>
      </c>
      <c r="H11" s="40">
        <v>33.6</v>
      </c>
      <c r="I11" s="40">
        <v>23.07</v>
      </c>
      <c r="J11" s="40">
        <v>0.18</v>
      </c>
      <c r="K11" s="40">
        <v>218.33</v>
      </c>
      <c r="L11" s="40">
        <v>18.63</v>
      </c>
      <c r="M11" s="40">
        <v>90.54</v>
      </c>
      <c r="N11" s="40">
        <v>1.4</v>
      </c>
      <c r="O11" s="40">
        <v>0</v>
      </c>
      <c r="P11" s="40">
        <v>1.43</v>
      </c>
      <c r="Q11" s="40">
        <v>12.98</v>
      </c>
      <c r="R11" s="38"/>
      <c r="S11" s="38"/>
      <c r="T11" s="38"/>
      <c r="U11" s="38"/>
    </row>
    <row r="12" spans="1:21" customFormat="1">
      <c r="A12" s="39" t="s">
        <v>760</v>
      </c>
      <c r="B12" s="40">
        <v>7.86</v>
      </c>
      <c r="C12" s="40">
        <v>23.42</v>
      </c>
      <c r="D12" s="40">
        <v>19.89</v>
      </c>
      <c r="E12" s="40">
        <v>9.91</v>
      </c>
      <c r="F12" s="40">
        <v>3.9</v>
      </c>
      <c r="G12" s="40">
        <v>71.03</v>
      </c>
      <c r="H12" s="40">
        <v>32.770000000000003</v>
      </c>
      <c r="I12" s="40">
        <v>21.49</v>
      </c>
      <c r="J12" s="40">
        <v>0.16</v>
      </c>
      <c r="K12" s="40">
        <v>192.64</v>
      </c>
      <c r="L12" s="40">
        <v>18.57</v>
      </c>
      <c r="M12" s="40">
        <v>91.67</v>
      </c>
      <c r="N12" s="40">
        <v>1.4</v>
      </c>
      <c r="O12" s="40">
        <v>0</v>
      </c>
      <c r="P12" s="40">
        <v>1.34</v>
      </c>
      <c r="Q12" s="40">
        <v>12.96</v>
      </c>
      <c r="R12" s="38"/>
      <c r="S12" s="38"/>
      <c r="T12" s="38"/>
      <c r="U12" s="38"/>
    </row>
    <row r="13" spans="1:21" customFormat="1">
      <c r="A13" s="39" t="s">
        <v>761</v>
      </c>
      <c r="B13" s="40">
        <v>7.51</v>
      </c>
      <c r="C13" s="40">
        <v>22.63</v>
      </c>
      <c r="D13" s="40">
        <v>19.190000000000001</v>
      </c>
      <c r="E13" s="40">
        <v>10.02</v>
      </c>
      <c r="F13" s="40">
        <v>3.83</v>
      </c>
      <c r="G13" s="40">
        <v>49.67</v>
      </c>
      <c r="H13" s="40">
        <v>31.97</v>
      </c>
      <c r="I13" s="40">
        <v>19.79</v>
      </c>
      <c r="J13" s="40">
        <v>0.21</v>
      </c>
      <c r="K13" s="40">
        <v>187.94</v>
      </c>
      <c r="L13" s="40">
        <v>18.48</v>
      </c>
      <c r="M13" s="40">
        <v>94.1</v>
      </c>
      <c r="N13" s="40">
        <v>1.4</v>
      </c>
      <c r="O13" s="40">
        <v>0</v>
      </c>
      <c r="P13" s="40">
        <v>1.23</v>
      </c>
      <c r="Q13" s="40">
        <v>12.97</v>
      </c>
      <c r="R13" s="38"/>
      <c r="S13" s="38"/>
      <c r="T13" s="38"/>
      <c r="U13" s="38"/>
    </row>
    <row r="14" spans="1:21" customFormat="1">
      <c r="A14" s="39" t="s">
        <v>762</v>
      </c>
      <c r="B14" s="40">
        <v>7.73</v>
      </c>
      <c r="C14" s="40">
        <v>21.74</v>
      </c>
      <c r="D14" s="40">
        <v>18.739999999999998</v>
      </c>
      <c r="E14" s="40">
        <v>9.9600000000000009</v>
      </c>
      <c r="F14" s="40">
        <v>3.83</v>
      </c>
      <c r="G14" s="40">
        <v>55.64</v>
      </c>
      <c r="H14" s="40">
        <v>27.63</v>
      </c>
      <c r="I14" s="40">
        <v>18.73</v>
      </c>
      <c r="J14" s="40">
        <v>0.15</v>
      </c>
      <c r="K14" s="40">
        <v>195.69</v>
      </c>
      <c r="L14" s="40">
        <v>18.239999999999998</v>
      </c>
      <c r="M14" s="40">
        <v>96.6</v>
      </c>
      <c r="N14" s="40">
        <v>1.4</v>
      </c>
      <c r="O14" s="40">
        <v>0</v>
      </c>
      <c r="P14" s="40">
        <v>1.1399999999999999</v>
      </c>
      <c r="Q14" s="40">
        <v>12.95</v>
      </c>
      <c r="R14" s="38"/>
      <c r="S14" s="38"/>
      <c r="T14" s="38"/>
      <c r="U14" s="38"/>
    </row>
    <row r="15" spans="1:21" customFormat="1">
      <c r="A15" s="39" t="s">
        <v>763</v>
      </c>
      <c r="B15" s="40">
        <v>8.18</v>
      </c>
      <c r="C15" s="40">
        <v>21.21</v>
      </c>
      <c r="D15" s="40">
        <v>19</v>
      </c>
      <c r="E15" s="40">
        <v>10.220000000000001</v>
      </c>
      <c r="F15" s="40">
        <v>3.83</v>
      </c>
      <c r="G15" s="40">
        <v>55.64</v>
      </c>
      <c r="H15" s="40">
        <v>26.36</v>
      </c>
      <c r="I15" s="40">
        <v>17.7</v>
      </c>
      <c r="J15" s="40">
        <v>0.2</v>
      </c>
      <c r="K15" s="40">
        <v>182.23</v>
      </c>
      <c r="L15" s="40">
        <v>17.989999999999998</v>
      </c>
      <c r="M15" s="40">
        <v>98.07</v>
      </c>
      <c r="N15" s="40">
        <v>7</v>
      </c>
      <c r="O15" s="40">
        <v>0</v>
      </c>
      <c r="P15" s="40">
        <v>1.1000000000000001</v>
      </c>
      <c r="Q15" s="40">
        <v>12.96</v>
      </c>
      <c r="R15" s="38"/>
      <c r="S15" s="38"/>
      <c r="T15" s="38"/>
      <c r="U15" s="38"/>
    </row>
    <row r="16" spans="1:21" customFormat="1">
      <c r="A16" s="39" t="s">
        <v>764</v>
      </c>
      <c r="B16" s="40">
        <v>9.43</v>
      </c>
      <c r="C16" s="40">
        <v>22.62</v>
      </c>
      <c r="D16" s="40">
        <v>20.73</v>
      </c>
      <c r="E16" s="40">
        <v>10.54</v>
      </c>
      <c r="F16" s="40">
        <v>3.9</v>
      </c>
      <c r="G16" s="40">
        <v>52.47</v>
      </c>
      <c r="H16" s="40">
        <v>26.36</v>
      </c>
      <c r="I16" s="40">
        <v>16.95</v>
      </c>
      <c r="J16" s="40">
        <v>0.16</v>
      </c>
      <c r="K16" s="40">
        <v>157.94999999999999</v>
      </c>
      <c r="L16" s="40">
        <v>19.91</v>
      </c>
      <c r="M16" s="40">
        <v>98.41</v>
      </c>
      <c r="N16" s="40">
        <v>41.1</v>
      </c>
      <c r="O16" s="40">
        <v>0</v>
      </c>
      <c r="P16" s="40">
        <v>1.03</v>
      </c>
      <c r="Q16" s="40">
        <v>12.94</v>
      </c>
      <c r="R16" s="38"/>
      <c r="S16" s="38"/>
      <c r="T16" s="38"/>
      <c r="U16" s="38"/>
    </row>
    <row r="17" spans="1:21" customFormat="1">
      <c r="A17" s="39" t="s">
        <v>765</v>
      </c>
      <c r="B17" s="40">
        <v>9.91</v>
      </c>
      <c r="C17" s="40">
        <v>23.86</v>
      </c>
      <c r="D17" s="40">
        <v>21.7</v>
      </c>
      <c r="E17" s="40">
        <v>10.76</v>
      </c>
      <c r="F17" s="40">
        <v>4.17</v>
      </c>
      <c r="G17" s="40">
        <v>56.56</v>
      </c>
      <c r="H17" s="40">
        <v>24.96</v>
      </c>
      <c r="I17" s="40">
        <v>16.23</v>
      </c>
      <c r="J17" s="40">
        <v>0.53</v>
      </c>
      <c r="K17" s="40">
        <v>268.95999999999998</v>
      </c>
      <c r="L17" s="40">
        <v>23.76</v>
      </c>
      <c r="M17" s="40">
        <v>86.83</v>
      </c>
      <c r="N17" s="40">
        <v>162.80000000000001</v>
      </c>
      <c r="O17" s="40">
        <v>0</v>
      </c>
      <c r="P17" s="40">
        <v>1</v>
      </c>
      <c r="Q17" s="40">
        <v>12.97</v>
      </c>
      <c r="R17" s="38"/>
      <c r="S17" s="38"/>
      <c r="T17" s="38"/>
      <c r="U17" s="38"/>
    </row>
    <row r="18" spans="1:21" customFormat="1">
      <c r="A18" s="39" t="s">
        <v>766</v>
      </c>
      <c r="B18" s="40">
        <v>9.69</v>
      </c>
      <c r="C18" s="40">
        <v>24.33</v>
      </c>
      <c r="D18" s="40">
        <v>21.6</v>
      </c>
      <c r="E18" s="40">
        <v>11.44</v>
      </c>
      <c r="F18" s="40">
        <v>4.55</v>
      </c>
      <c r="G18" s="40">
        <v>73.569999999999993</v>
      </c>
      <c r="H18" s="40">
        <v>27.84</v>
      </c>
      <c r="I18" s="40">
        <v>15.62</v>
      </c>
      <c r="J18" s="40">
        <v>0.61</v>
      </c>
      <c r="K18" s="40">
        <v>267.73</v>
      </c>
      <c r="L18" s="40">
        <v>26.37</v>
      </c>
      <c r="M18" s="40">
        <v>69.849999999999994</v>
      </c>
      <c r="N18" s="40">
        <v>278.60000000000002</v>
      </c>
      <c r="O18" s="40">
        <v>0</v>
      </c>
      <c r="P18" s="40">
        <v>0.97</v>
      </c>
      <c r="Q18" s="40">
        <v>12.95</v>
      </c>
      <c r="R18" s="38"/>
      <c r="S18" s="38"/>
      <c r="T18" s="38"/>
      <c r="U18" s="38"/>
    </row>
    <row r="19" spans="1:21" customFormat="1">
      <c r="A19" s="39" t="s">
        <v>767</v>
      </c>
      <c r="B19" s="40">
        <v>8.5299999999999994</v>
      </c>
      <c r="C19" s="40">
        <v>24.35</v>
      </c>
      <c r="D19" s="40">
        <v>20.88</v>
      </c>
      <c r="E19" s="40">
        <v>11.41</v>
      </c>
      <c r="F19" s="40">
        <v>6.07</v>
      </c>
      <c r="G19" s="40">
        <v>73.569999999999993</v>
      </c>
      <c r="H19" s="40">
        <v>27.84</v>
      </c>
      <c r="I19" s="40">
        <v>16.21</v>
      </c>
      <c r="J19" s="40">
        <v>0.86</v>
      </c>
      <c r="K19" s="40">
        <v>288.11</v>
      </c>
      <c r="L19" s="40">
        <v>28.13</v>
      </c>
      <c r="M19" s="40">
        <v>60.59</v>
      </c>
      <c r="N19" s="40">
        <v>332.7</v>
      </c>
      <c r="O19" s="40">
        <v>0</v>
      </c>
      <c r="P19" s="40">
        <v>0.95</v>
      </c>
      <c r="Q19" s="40">
        <v>12.96</v>
      </c>
      <c r="R19" s="38"/>
      <c r="S19" s="38"/>
      <c r="T19" s="38"/>
      <c r="U19" s="38"/>
    </row>
    <row r="20" spans="1:21" customFormat="1">
      <c r="A20" s="39" t="s">
        <v>768</v>
      </c>
      <c r="B20" s="40">
        <v>6.74</v>
      </c>
      <c r="C20" s="40">
        <v>24.2</v>
      </c>
      <c r="D20" s="40">
        <v>19.18</v>
      </c>
      <c r="E20" s="40">
        <v>11.38</v>
      </c>
      <c r="F20" s="40">
        <v>7.94</v>
      </c>
      <c r="G20" s="40">
        <v>64.790000000000006</v>
      </c>
      <c r="H20" s="40">
        <v>23.75</v>
      </c>
      <c r="I20" s="40">
        <v>14.99</v>
      </c>
      <c r="J20" s="40">
        <v>1</v>
      </c>
      <c r="K20" s="40">
        <v>307.91000000000003</v>
      </c>
      <c r="L20" s="40">
        <v>29.72</v>
      </c>
      <c r="M20" s="40">
        <v>53.1</v>
      </c>
      <c r="N20" s="40">
        <v>339.2</v>
      </c>
      <c r="O20" s="40">
        <v>0</v>
      </c>
      <c r="P20" s="40">
        <v>0.86</v>
      </c>
      <c r="Q20" s="40">
        <v>12.95</v>
      </c>
      <c r="R20" s="38"/>
      <c r="S20" s="38"/>
      <c r="T20" s="38"/>
      <c r="U20" s="38"/>
    </row>
    <row r="21" spans="1:21" customFormat="1">
      <c r="A21" s="39" t="s">
        <v>769</v>
      </c>
      <c r="B21" s="40">
        <v>4.92</v>
      </c>
      <c r="C21" s="40">
        <v>24.94</v>
      </c>
      <c r="D21" s="40">
        <v>17.850000000000001</v>
      </c>
      <c r="E21" s="40">
        <v>12.86</v>
      </c>
      <c r="F21" s="40">
        <v>8.59</v>
      </c>
      <c r="G21" s="40">
        <v>62.85</v>
      </c>
      <c r="H21" s="40">
        <v>26.46</v>
      </c>
      <c r="I21" s="40">
        <v>13.65</v>
      </c>
      <c r="J21" s="40">
        <v>1.23</v>
      </c>
      <c r="K21" s="40">
        <v>331.27</v>
      </c>
      <c r="L21" s="40">
        <v>30.42</v>
      </c>
      <c r="M21" s="40">
        <v>49.06</v>
      </c>
      <c r="N21" s="40">
        <v>357.5</v>
      </c>
      <c r="O21" s="40">
        <v>0</v>
      </c>
      <c r="P21" s="40">
        <v>0.83</v>
      </c>
      <c r="Q21" s="40">
        <v>12.95</v>
      </c>
      <c r="R21" s="38"/>
      <c r="S21" s="38"/>
      <c r="T21" s="38"/>
      <c r="U21" s="38"/>
    </row>
    <row r="22" spans="1:21" customFormat="1">
      <c r="A22" s="39" t="s">
        <v>770</v>
      </c>
      <c r="B22" s="40">
        <v>4.33</v>
      </c>
      <c r="C22" s="40">
        <v>25.53</v>
      </c>
      <c r="D22" s="40">
        <v>18.059999999999999</v>
      </c>
      <c r="E22" s="40">
        <v>13.1</v>
      </c>
      <c r="F22" s="40">
        <v>8.5</v>
      </c>
      <c r="G22" s="40">
        <v>71</v>
      </c>
      <c r="H22" s="40">
        <v>26.46</v>
      </c>
      <c r="I22" s="40">
        <v>13.07</v>
      </c>
      <c r="J22" s="40">
        <v>0.88</v>
      </c>
      <c r="K22" s="40">
        <v>312.32</v>
      </c>
      <c r="L22" s="40">
        <v>31.53</v>
      </c>
      <c r="M22" s="40">
        <v>45.08</v>
      </c>
      <c r="N22" s="40">
        <v>336.6</v>
      </c>
      <c r="O22" s="40">
        <v>0</v>
      </c>
      <c r="P22" s="40">
        <v>0.85</v>
      </c>
      <c r="Q22" s="40">
        <v>12.96</v>
      </c>
      <c r="R22" s="38"/>
      <c r="S22" s="38"/>
      <c r="T22" s="38"/>
      <c r="U22" s="38"/>
    </row>
    <row r="23" spans="1:21" customFormat="1">
      <c r="A23" s="39" t="s">
        <v>771</v>
      </c>
      <c r="B23" s="40">
        <v>4.05</v>
      </c>
      <c r="C23" s="40">
        <v>25.26</v>
      </c>
      <c r="D23" s="40">
        <v>17.8</v>
      </c>
      <c r="E23" s="40">
        <v>15.94</v>
      </c>
      <c r="F23" s="40">
        <v>10.1</v>
      </c>
      <c r="G23" s="40">
        <v>76.040000000000006</v>
      </c>
      <c r="H23" s="40">
        <v>25.01</v>
      </c>
      <c r="I23" s="40">
        <v>12.97</v>
      </c>
      <c r="J23" s="40">
        <v>0.82</v>
      </c>
      <c r="K23" s="40">
        <v>291.91000000000003</v>
      </c>
      <c r="L23" s="40">
        <v>31.89</v>
      </c>
      <c r="M23" s="40">
        <v>40.71</v>
      </c>
      <c r="N23" s="40">
        <v>309.39999999999998</v>
      </c>
      <c r="O23" s="40">
        <v>0</v>
      </c>
      <c r="P23" s="40">
        <v>0.82</v>
      </c>
      <c r="Q23" s="40">
        <v>12.95</v>
      </c>
      <c r="R23" s="38"/>
      <c r="S23" s="38"/>
      <c r="T23" s="38"/>
      <c r="U23" s="38"/>
    </row>
    <row r="24" spans="1:21" customFormat="1">
      <c r="A24" s="39" t="s">
        <v>772</v>
      </c>
      <c r="B24" s="40">
        <v>3.95</v>
      </c>
      <c r="C24" s="40">
        <v>24.93</v>
      </c>
      <c r="D24" s="40">
        <v>17.55</v>
      </c>
      <c r="E24" s="40">
        <v>15.42</v>
      </c>
      <c r="F24" s="40">
        <v>10.5</v>
      </c>
      <c r="G24" s="40">
        <v>76.040000000000006</v>
      </c>
      <c r="H24" s="40">
        <v>25.5</v>
      </c>
      <c r="I24" s="40">
        <v>12.21</v>
      </c>
      <c r="J24" s="40">
        <v>0.77</v>
      </c>
      <c r="K24" s="40">
        <v>300.45</v>
      </c>
      <c r="L24" s="40">
        <v>31.38</v>
      </c>
      <c r="M24" s="40">
        <v>41.51</v>
      </c>
      <c r="N24" s="40">
        <v>81.099999999999994</v>
      </c>
      <c r="O24" s="40">
        <v>0</v>
      </c>
      <c r="P24" s="40">
        <v>0.8</v>
      </c>
      <c r="Q24" s="40">
        <v>12.95</v>
      </c>
      <c r="R24" s="38"/>
      <c r="S24" s="38"/>
      <c r="T24" s="38"/>
      <c r="U24" s="38"/>
    </row>
    <row r="25" spans="1:21" customFormat="1">
      <c r="A25" s="39" t="s">
        <v>773</v>
      </c>
      <c r="B25" s="40">
        <v>3.98</v>
      </c>
      <c r="C25" s="40">
        <v>24.12</v>
      </c>
      <c r="D25" s="40">
        <v>17.07</v>
      </c>
      <c r="E25" s="40">
        <v>15.53</v>
      </c>
      <c r="F25" s="40">
        <v>18.39</v>
      </c>
      <c r="G25" s="40">
        <v>59.33</v>
      </c>
      <c r="H25" s="40">
        <v>25.5</v>
      </c>
      <c r="I25" s="40">
        <v>11.36</v>
      </c>
      <c r="J25" s="40">
        <v>0.7</v>
      </c>
      <c r="K25" s="40">
        <v>268.32</v>
      </c>
      <c r="L25" s="40">
        <v>30.81</v>
      </c>
      <c r="M25" s="40">
        <v>44.98</v>
      </c>
      <c r="N25" s="40">
        <v>45</v>
      </c>
      <c r="O25" s="40">
        <v>0</v>
      </c>
      <c r="P25" s="40">
        <v>0.74</v>
      </c>
      <c r="Q25" s="40">
        <v>12.93</v>
      </c>
      <c r="R25" s="38"/>
      <c r="S25" s="38"/>
      <c r="T25" s="38"/>
      <c r="U25" s="38"/>
    </row>
    <row r="26" spans="1:21" customFormat="1">
      <c r="A26" s="39" t="s">
        <v>774</v>
      </c>
      <c r="B26" s="40">
        <v>4.6100000000000003</v>
      </c>
      <c r="C26" s="40">
        <v>22.4</v>
      </c>
      <c r="D26" s="40">
        <v>16.760000000000002</v>
      </c>
      <c r="E26" s="40">
        <v>14.91</v>
      </c>
      <c r="F26" s="40">
        <v>16.88</v>
      </c>
      <c r="G26" s="40">
        <v>56.2</v>
      </c>
      <c r="H26" s="40">
        <v>22.83</v>
      </c>
      <c r="I26" s="40">
        <v>10.36</v>
      </c>
      <c r="J26" s="40">
        <v>0.35</v>
      </c>
      <c r="K26" s="40">
        <v>261.08</v>
      </c>
      <c r="L26" s="40">
        <v>29.57</v>
      </c>
      <c r="M26" s="40">
        <v>53.33</v>
      </c>
      <c r="N26" s="40">
        <v>17.8</v>
      </c>
      <c r="O26" s="40">
        <v>0</v>
      </c>
      <c r="P26" s="40">
        <v>0.67</v>
      </c>
      <c r="Q26" s="40">
        <v>12.93</v>
      </c>
      <c r="R26" s="38"/>
      <c r="S26" s="38"/>
      <c r="T26" s="38"/>
      <c r="U26" s="38"/>
    </row>
    <row r="27" spans="1:21" customFormat="1">
      <c r="A27" s="39" t="s">
        <v>775</v>
      </c>
      <c r="B27" s="40">
        <v>5.42</v>
      </c>
      <c r="C27" s="40">
        <v>22.13</v>
      </c>
      <c r="D27" s="40">
        <v>17.260000000000002</v>
      </c>
      <c r="E27" s="40">
        <v>9.77</v>
      </c>
      <c r="F27" s="40">
        <v>6.69</v>
      </c>
      <c r="G27" s="40">
        <v>57.95</v>
      </c>
      <c r="H27" s="40">
        <v>20.420000000000002</v>
      </c>
      <c r="I27" s="40">
        <v>10.09</v>
      </c>
      <c r="J27" s="40">
        <v>0.26</v>
      </c>
      <c r="K27" s="40">
        <v>172.37</v>
      </c>
      <c r="L27" s="40">
        <v>27.1</v>
      </c>
      <c r="M27" s="40">
        <v>62.91</v>
      </c>
      <c r="N27" s="40">
        <v>1.8</v>
      </c>
      <c r="O27" s="40">
        <v>0</v>
      </c>
      <c r="P27" s="40">
        <v>0.69</v>
      </c>
      <c r="Q27" s="40">
        <v>12.97</v>
      </c>
      <c r="R27" s="38"/>
      <c r="S27" s="38"/>
      <c r="T27" s="38"/>
      <c r="U27" s="38"/>
    </row>
    <row r="28" spans="1:21" customFormat="1">
      <c r="A28" s="39" t="s">
        <v>776</v>
      </c>
      <c r="B28" s="40">
        <v>6.79</v>
      </c>
      <c r="C28" s="40">
        <v>22.25</v>
      </c>
      <c r="D28" s="40">
        <v>18.3</v>
      </c>
      <c r="E28" s="40">
        <v>10.11</v>
      </c>
      <c r="F28" s="40">
        <v>5.0599999999999996</v>
      </c>
      <c r="G28" s="40">
        <v>71.33</v>
      </c>
      <c r="H28" s="40">
        <v>23.28</v>
      </c>
      <c r="I28" s="40">
        <v>10.34</v>
      </c>
      <c r="J28" s="40">
        <v>0.24</v>
      </c>
      <c r="K28" s="40">
        <v>166.99</v>
      </c>
      <c r="L28" s="40">
        <v>25.28</v>
      </c>
      <c r="M28" s="40">
        <v>72.06</v>
      </c>
      <c r="N28" s="40">
        <v>1.7</v>
      </c>
      <c r="O28" s="40">
        <v>0</v>
      </c>
      <c r="P28" s="40">
        <v>0.73</v>
      </c>
      <c r="Q28" s="40">
        <v>13.06</v>
      </c>
      <c r="R28" s="38"/>
      <c r="S28" s="38"/>
      <c r="T28" s="38"/>
      <c r="U28" s="38"/>
    </row>
    <row r="29" spans="1:21" customFormat="1">
      <c r="A29" s="39" t="s">
        <v>777</v>
      </c>
      <c r="B29" s="40">
        <v>8.08</v>
      </c>
      <c r="C29" s="40">
        <v>22.22</v>
      </c>
      <c r="D29" s="40">
        <v>19.440000000000001</v>
      </c>
      <c r="E29" s="40">
        <v>10.06</v>
      </c>
      <c r="F29" s="40">
        <v>4.3</v>
      </c>
      <c r="G29" s="40">
        <v>71.33</v>
      </c>
      <c r="H29" s="40">
        <v>23.28</v>
      </c>
      <c r="I29" s="40">
        <v>11.07</v>
      </c>
      <c r="J29" s="40">
        <v>0.25</v>
      </c>
      <c r="K29" s="40">
        <v>173.22</v>
      </c>
      <c r="L29" s="40">
        <v>23.83</v>
      </c>
      <c r="M29" s="40">
        <v>73.47</v>
      </c>
      <c r="N29" s="40">
        <v>1.5</v>
      </c>
      <c r="O29" s="40">
        <v>0</v>
      </c>
      <c r="P29" s="40">
        <v>0.79</v>
      </c>
      <c r="Q29" s="40">
        <v>13.12</v>
      </c>
      <c r="R29" s="38"/>
      <c r="S29" s="38"/>
      <c r="T29" s="38"/>
      <c r="U29" s="38"/>
    </row>
    <row r="30" spans="1:21" customFormat="1">
      <c r="A30" s="39" t="s">
        <v>778</v>
      </c>
      <c r="B30" s="40">
        <v>8.49</v>
      </c>
      <c r="C30" s="40">
        <v>22.62</v>
      </c>
      <c r="D30" s="40">
        <v>19.82</v>
      </c>
      <c r="E30" s="40">
        <v>9.82</v>
      </c>
      <c r="F30" s="40">
        <v>3.93</v>
      </c>
      <c r="G30" s="40">
        <v>75.12</v>
      </c>
      <c r="H30" s="40">
        <v>22.92</v>
      </c>
      <c r="I30" s="40">
        <v>11.32</v>
      </c>
      <c r="J30" s="40">
        <v>0.27</v>
      </c>
      <c r="K30" s="40">
        <v>177.28</v>
      </c>
      <c r="L30" s="40">
        <v>23.37</v>
      </c>
      <c r="M30" s="40">
        <v>75.69</v>
      </c>
      <c r="N30" s="40">
        <v>1.7</v>
      </c>
      <c r="O30" s="40">
        <v>0</v>
      </c>
      <c r="P30" s="40">
        <v>0.81</v>
      </c>
      <c r="Q30" s="40">
        <v>13.11</v>
      </c>
      <c r="R30" s="38"/>
      <c r="S30" s="38"/>
      <c r="T30" s="38"/>
      <c r="U30" s="38"/>
    </row>
    <row r="31" spans="1:21" customFormat="1">
      <c r="A31" s="39" t="s">
        <v>779</v>
      </c>
      <c r="B31" s="40">
        <v>7.77</v>
      </c>
      <c r="C31" s="40">
        <v>22.7</v>
      </c>
      <c r="D31" s="40">
        <v>19.41</v>
      </c>
      <c r="E31" s="40">
        <v>9.43</v>
      </c>
      <c r="F31" s="40">
        <v>3.75</v>
      </c>
      <c r="G31" s="40">
        <v>75.12</v>
      </c>
      <c r="H31" s="40">
        <v>22.92</v>
      </c>
      <c r="I31" s="40">
        <v>11.27</v>
      </c>
      <c r="J31" s="40">
        <v>0.15</v>
      </c>
      <c r="K31" s="40">
        <v>222.82</v>
      </c>
      <c r="L31" s="40">
        <v>22.69</v>
      </c>
      <c r="M31" s="40">
        <v>77</v>
      </c>
      <c r="N31" s="40">
        <v>1.4</v>
      </c>
      <c r="O31" s="40">
        <v>0</v>
      </c>
      <c r="P31" s="40">
        <v>0.8</v>
      </c>
      <c r="Q31" s="40">
        <v>13.33</v>
      </c>
      <c r="R31" s="38"/>
      <c r="S31" s="38"/>
      <c r="T31" s="38"/>
      <c r="U31" s="38"/>
    </row>
    <row r="32" spans="1:21" customFormat="1">
      <c r="A32" s="39" t="s">
        <v>780</v>
      </c>
      <c r="B32" s="40">
        <v>6.72</v>
      </c>
      <c r="C32" s="40">
        <v>22.48</v>
      </c>
      <c r="D32" s="40">
        <v>18.489999999999998</v>
      </c>
      <c r="E32" s="40">
        <v>9.1</v>
      </c>
      <c r="F32" s="40">
        <v>3.74</v>
      </c>
      <c r="G32" s="40">
        <v>70.17</v>
      </c>
      <c r="H32" s="40">
        <v>21.82</v>
      </c>
      <c r="I32" s="40">
        <v>10.82</v>
      </c>
      <c r="J32" s="40">
        <v>0.2</v>
      </c>
      <c r="K32" s="40">
        <v>171.3</v>
      </c>
      <c r="L32" s="40">
        <v>22.22</v>
      </c>
      <c r="M32" s="40">
        <v>80.989999999999995</v>
      </c>
      <c r="N32" s="40">
        <v>1.4</v>
      </c>
      <c r="O32" s="40">
        <v>0</v>
      </c>
      <c r="P32" s="40">
        <v>0.78</v>
      </c>
      <c r="Q32" s="40">
        <v>13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3.95</v>
      </c>
      <c r="C34" s="18">
        <f t="shared" si="0"/>
        <v>21.21</v>
      </c>
      <c r="D34" s="18">
        <f t="shared" si="0"/>
        <v>16.760000000000002</v>
      </c>
      <c r="E34" s="18">
        <f t="shared" si="0"/>
        <v>8.67</v>
      </c>
      <c r="F34" s="18">
        <f t="shared" si="0"/>
        <v>3.74</v>
      </c>
      <c r="G34" s="18">
        <f t="shared" si="0"/>
        <v>49.67</v>
      </c>
      <c r="H34" s="18">
        <f t="shared" si="0"/>
        <v>20.420000000000002</v>
      </c>
      <c r="I34" s="18">
        <f t="shared" si="0"/>
        <v>10.09</v>
      </c>
      <c r="J34" s="18">
        <f t="shared" si="0"/>
        <v>0.15</v>
      </c>
      <c r="K34" s="18">
        <f t="shared" si="0"/>
        <v>157.94999999999999</v>
      </c>
      <c r="L34" s="18">
        <f t="shared" si="0"/>
        <v>17.989999999999998</v>
      </c>
      <c r="M34" s="18">
        <f t="shared" si="0"/>
        <v>40.71</v>
      </c>
      <c r="N34" s="18">
        <f t="shared" si="0"/>
        <v>1.3</v>
      </c>
      <c r="O34" s="18">
        <f t="shared" si="0"/>
        <v>0</v>
      </c>
      <c r="P34" s="18">
        <f t="shared" si="0"/>
        <v>0.67</v>
      </c>
      <c r="Q34" s="18">
        <f t="shared" si="0"/>
        <v>12.93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9.91</v>
      </c>
      <c r="C35" s="3">
        <f t="shared" si="1"/>
        <v>26.54</v>
      </c>
      <c r="D35" s="3">
        <f t="shared" si="1"/>
        <v>21.7</v>
      </c>
      <c r="E35" s="3">
        <f t="shared" si="1"/>
        <v>15.94</v>
      </c>
      <c r="F35" s="3">
        <f t="shared" si="1"/>
        <v>18.39</v>
      </c>
      <c r="G35" s="3">
        <f t="shared" si="1"/>
        <v>110.61</v>
      </c>
      <c r="H35" s="3">
        <f t="shared" si="1"/>
        <v>43.11</v>
      </c>
      <c r="I35" s="3">
        <f t="shared" si="1"/>
        <v>23.92</v>
      </c>
      <c r="J35" s="3">
        <f t="shared" si="1"/>
        <v>1.23</v>
      </c>
      <c r="K35" s="3">
        <f t="shared" si="1"/>
        <v>331.27</v>
      </c>
      <c r="L35" s="3">
        <f t="shared" si="1"/>
        <v>31.89</v>
      </c>
      <c r="M35" s="3">
        <f t="shared" si="1"/>
        <v>98.41</v>
      </c>
      <c r="N35" s="3">
        <f t="shared" si="1"/>
        <v>357.5</v>
      </c>
      <c r="O35" s="3">
        <f t="shared" si="1"/>
        <v>0</v>
      </c>
      <c r="P35" s="3">
        <f t="shared" si="1"/>
        <v>1.52</v>
      </c>
      <c r="Q35" s="3">
        <f t="shared" si="1"/>
        <v>13.33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7.0291666666666677</v>
      </c>
      <c r="C36" s="18">
        <f t="shared" si="2"/>
        <v>23.63625</v>
      </c>
      <c r="D36" s="18">
        <f t="shared" si="2"/>
        <v>19.255833333333335</v>
      </c>
      <c r="E36" s="18">
        <f t="shared" si="2"/>
        <v>11.237083333333333</v>
      </c>
      <c r="F36" s="18">
        <f t="shared" si="2"/>
        <v>6.4295833333333343</v>
      </c>
      <c r="G36" s="18">
        <f t="shared" si="2"/>
        <v>69.574583333333337</v>
      </c>
      <c r="H36" s="18">
        <f t="shared" si="2"/>
        <v>26.97999999999999</v>
      </c>
      <c r="I36" s="18">
        <f t="shared" si="2"/>
        <v>15.282916666666663</v>
      </c>
      <c r="J36" s="18">
        <f t="shared" si="2"/>
        <v>0.44083333333333324</v>
      </c>
      <c r="K36" s="18">
        <f t="shared" si="2"/>
        <v>228.3808333333333</v>
      </c>
      <c r="L36" s="18">
        <f t="shared" si="2"/>
        <v>24.537916666666671</v>
      </c>
      <c r="M36" s="18">
        <f t="shared" si="2"/>
        <v>72.190416666666678</v>
      </c>
      <c r="N36" s="18">
        <f t="shared" si="2"/>
        <v>96.95</v>
      </c>
      <c r="O36" s="18">
        <f t="shared" si="2"/>
        <v>0</v>
      </c>
      <c r="P36" s="18">
        <f t="shared" si="2"/>
        <v>0.97375</v>
      </c>
      <c r="Q36" s="18">
        <f t="shared" si="2"/>
        <v>12.990416666666667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1.8768704679927117</v>
      </c>
      <c r="C37" s="18">
        <f t="shared" ref="C37:Q37" si="3">STDEV(C9:C32)</f>
        <v>1.4706839949640707</v>
      </c>
      <c r="D37" s="18">
        <f t="shared" si="3"/>
        <v>1.5213978602835494</v>
      </c>
      <c r="E37" s="18">
        <f t="shared" si="3"/>
        <v>2.199453448249014</v>
      </c>
      <c r="F37" s="18">
        <f t="shared" si="3"/>
        <v>4.0695982914316193</v>
      </c>
      <c r="G37" s="18">
        <f t="shared" si="3"/>
        <v>14.735212478120681</v>
      </c>
      <c r="H37" s="18">
        <f t="shared" si="3"/>
        <v>5.1026131412802576</v>
      </c>
      <c r="I37" s="18">
        <f t="shared" si="3"/>
        <v>4.51038847181335</v>
      </c>
      <c r="J37" s="18">
        <f t="shared" si="3"/>
        <v>0.32894980014356717</v>
      </c>
      <c r="K37" s="18">
        <f t="shared" si="3"/>
        <v>56.689632049291824</v>
      </c>
      <c r="L37" s="18">
        <f t="shared" si="3"/>
        <v>4.9880779422510093</v>
      </c>
      <c r="M37" s="18">
        <f t="shared" si="3"/>
        <v>19.640732404471503</v>
      </c>
      <c r="N37" s="18">
        <f t="shared" si="3"/>
        <v>140.15568672636559</v>
      </c>
      <c r="O37" s="18">
        <f t="shared" si="3"/>
        <v>0</v>
      </c>
      <c r="P37" s="18">
        <f t="shared" si="3"/>
        <v>0.25865559609508565</v>
      </c>
      <c r="Q37" s="18">
        <f t="shared" si="3"/>
        <v>8.7946582931205219E-2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96"/>
  <sheetViews>
    <sheetView topLeftCell="A8" zoomScale="85" zoomScaleNormal="85" workbookViewId="0">
      <selection activeCell="L25" sqref="L2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6" width="9.140625" style="1" customWidth="1"/>
    <col min="17" max="17" width="16.42578125" style="1" customWidth="1"/>
    <col min="18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31/01/2025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781</v>
      </c>
      <c r="B9" s="40">
        <v>5.95</v>
      </c>
      <c r="C9" s="40">
        <v>21.62</v>
      </c>
      <c r="D9" s="40">
        <v>17.399999999999999</v>
      </c>
      <c r="E9" s="40">
        <v>9</v>
      </c>
      <c r="F9" s="42">
        <v>3.81</v>
      </c>
      <c r="G9" s="40">
        <v>63.1</v>
      </c>
      <c r="H9" s="40">
        <v>21.82</v>
      </c>
      <c r="I9" s="40">
        <v>10.34</v>
      </c>
      <c r="J9" s="40">
        <v>0.39</v>
      </c>
      <c r="K9" s="40">
        <v>264.22000000000003</v>
      </c>
      <c r="L9" s="40">
        <v>22.62</v>
      </c>
      <c r="M9" s="40">
        <v>80.95</v>
      </c>
      <c r="N9" s="40">
        <v>1.4</v>
      </c>
      <c r="O9" s="40">
        <v>0</v>
      </c>
      <c r="P9" s="40">
        <v>0.72</v>
      </c>
      <c r="Q9" s="40">
        <v>12.96</v>
      </c>
      <c r="R9" s="38"/>
      <c r="S9" s="38"/>
      <c r="T9" s="38"/>
      <c r="U9" s="38"/>
    </row>
    <row r="10" spans="1:21" customFormat="1">
      <c r="A10" s="39" t="s">
        <v>782</v>
      </c>
      <c r="B10" s="40">
        <v>5.46</v>
      </c>
      <c r="C10" s="40">
        <v>21.34</v>
      </c>
      <c r="D10" s="40">
        <v>16.88</v>
      </c>
      <c r="E10" s="40">
        <v>9.24</v>
      </c>
      <c r="F10" s="42">
        <v>3.74</v>
      </c>
      <c r="G10" s="40">
        <v>56.98</v>
      </c>
      <c r="H10" s="40">
        <v>20.79</v>
      </c>
      <c r="I10" s="40">
        <v>9.44</v>
      </c>
      <c r="J10" s="40">
        <v>0.32</v>
      </c>
      <c r="K10" s="40">
        <v>274.16000000000003</v>
      </c>
      <c r="L10" s="40">
        <v>22.43</v>
      </c>
      <c r="M10" s="40">
        <v>80.8</v>
      </c>
      <c r="N10" s="40">
        <v>1.4</v>
      </c>
      <c r="O10" s="40">
        <v>0</v>
      </c>
      <c r="P10" s="40">
        <v>0.67</v>
      </c>
      <c r="Q10" s="40">
        <v>12.98</v>
      </c>
      <c r="R10" s="38"/>
      <c r="S10" s="38"/>
      <c r="T10" s="38"/>
      <c r="U10" s="38"/>
    </row>
    <row r="11" spans="1:21" customFormat="1">
      <c r="A11" s="39" t="s">
        <v>783</v>
      </c>
      <c r="B11" s="40">
        <v>5.66</v>
      </c>
      <c r="C11" s="40">
        <v>20.78</v>
      </c>
      <c r="D11" s="40">
        <v>16.41</v>
      </c>
      <c r="E11" s="40">
        <v>9.6199999999999992</v>
      </c>
      <c r="F11" s="42">
        <v>3.99</v>
      </c>
      <c r="G11" s="40">
        <v>48.86</v>
      </c>
      <c r="H11" s="40">
        <v>20.79</v>
      </c>
      <c r="I11" s="40">
        <v>8.68</v>
      </c>
      <c r="J11" s="40">
        <v>0.47</v>
      </c>
      <c r="K11" s="40">
        <v>265.37</v>
      </c>
      <c r="L11" s="40">
        <v>22.27</v>
      </c>
      <c r="M11" s="40">
        <v>84.08</v>
      </c>
      <c r="N11" s="40">
        <v>1.6</v>
      </c>
      <c r="O11" s="40">
        <v>0</v>
      </c>
      <c r="P11" s="40">
        <v>0.62</v>
      </c>
      <c r="Q11" s="40">
        <v>12.97</v>
      </c>
      <c r="R11" s="38"/>
      <c r="S11" s="38"/>
      <c r="T11" s="38"/>
      <c r="U11" s="38"/>
    </row>
    <row r="12" spans="1:21" customFormat="1">
      <c r="A12" s="39" t="s">
        <v>784</v>
      </c>
      <c r="B12" s="40">
        <v>6.98</v>
      </c>
      <c r="C12" s="40">
        <v>21.85</v>
      </c>
      <c r="D12" s="40">
        <v>18.36</v>
      </c>
      <c r="E12" s="40">
        <v>10.33</v>
      </c>
      <c r="F12" s="42">
        <v>4.04</v>
      </c>
      <c r="G12" s="40">
        <v>48.86</v>
      </c>
      <c r="H12" s="40">
        <v>19.22</v>
      </c>
      <c r="I12" s="40">
        <v>8.1199999999999992</v>
      </c>
      <c r="J12" s="40">
        <v>0.43</v>
      </c>
      <c r="K12" s="40">
        <v>262.89999999999998</v>
      </c>
      <c r="L12" s="40">
        <v>21.9</v>
      </c>
      <c r="M12" s="40">
        <v>85.13</v>
      </c>
      <c r="N12" s="40">
        <v>1.5</v>
      </c>
      <c r="O12" s="40">
        <v>0</v>
      </c>
      <c r="P12" s="40">
        <v>0.59</v>
      </c>
      <c r="Q12" s="40">
        <v>13</v>
      </c>
      <c r="R12" s="38"/>
      <c r="S12" s="38"/>
      <c r="T12" s="38"/>
      <c r="U12" s="38"/>
    </row>
    <row r="13" spans="1:21" customFormat="1">
      <c r="A13" s="39" t="s">
        <v>785</v>
      </c>
      <c r="B13" s="40">
        <v>8.31</v>
      </c>
      <c r="C13" s="40">
        <v>22.06</v>
      </c>
      <c r="D13" s="40">
        <v>19.43</v>
      </c>
      <c r="E13" s="40">
        <v>10.72</v>
      </c>
      <c r="F13" s="42">
        <v>3.97</v>
      </c>
      <c r="G13" s="40">
        <v>48.43</v>
      </c>
      <c r="H13" s="40">
        <v>19.22</v>
      </c>
      <c r="I13" s="40">
        <v>7.97</v>
      </c>
      <c r="J13" s="40">
        <v>0.2</v>
      </c>
      <c r="K13" s="40">
        <v>226.01</v>
      </c>
      <c r="L13" s="40">
        <v>21.58</v>
      </c>
      <c r="M13" s="40">
        <v>92.87</v>
      </c>
      <c r="N13" s="40">
        <v>1.7</v>
      </c>
      <c r="O13" s="40">
        <v>0</v>
      </c>
      <c r="P13" s="40">
        <v>0.57999999999999996</v>
      </c>
      <c r="Q13" s="40">
        <v>12.99</v>
      </c>
      <c r="R13" s="38"/>
      <c r="S13" s="38"/>
      <c r="T13" s="38"/>
      <c r="U13" s="38"/>
    </row>
    <row r="14" spans="1:21" customFormat="1">
      <c r="A14" s="39" t="s">
        <v>786</v>
      </c>
      <c r="B14" s="40">
        <v>10.029999999999999</v>
      </c>
      <c r="C14" s="40">
        <v>22.14</v>
      </c>
      <c r="D14" s="40">
        <v>20.96</v>
      </c>
      <c r="E14" s="40">
        <v>10.15</v>
      </c>
      <c r="F14" s="42">
        <v>3.88</v>
      </c>
      <c r="G14" s="40">
        <v>45.02</v>
      </c>
      <c r="H14" s="40">
        <v>18.23</v>
      </c>
      <c r="I14" s="40">
        <v>7.87</v>
      </c>
      <c r="J14" s="40">
        <v>0.24</v>
      </c>
      <c r="K14" s="40">
        <v>172.39</v>
      </c>
      <c r="L14" s="40">
        <v>20.47</v>
      </c>
      <c r="M14" s="40">
        <v>95.49</v>
      </c>
      <c r="N14" s="40">
        <v>1.6</v>
      </c>
      <c r="O14" s="40">
        <v>0</v>
      </c>
      <c r="P14" s="40">
        <v>0.59</v>
      </c>
      <c r="Q14" s="40">
        <v>12.95</v>
      </c>
      <c r="R14" s="38"/>
      <c r="S14" s="38"/>
      <c r="T14" s="38"/>
      <c r="U14" s="38"/>
    </row>
    <row r="15" spans="1:21" customFormat="1">
      <c r="A15" s="39" t="s">
        <v>787</v>
      </c>
      <c r="B15" s="40">
        <v>11.19</v>
      </c>
      <c r="C15" s="40">
        <v>21.76</v>
      </c>
      <c r="D15" s="40">
        <v>21.55</v>
      </c>
      <c r="E15" s="40">
        <v>10.44</v>
      </c>
      <c r="F15" s="42">
        <v>3.91</v>
      </c>
      <c r="G15" s="40">
        <v>45.02</v>
      </c>
      <c r="H15" s="40">
        <v>17.21</v>
      </c>
      <c r="I15" s="40">
        <v>7.89</v>
      </c>
      <c r="J15" s="40">
        <v>0.27</v>
      </c>
      <c r="K15" s="40">
        <v>177.65</v>
      </c>
      <c r="L15" s="40">
        <v>19.77</v>
      </c>
      <c r="M15" s="40">
        <v>98.95</v>
      </c>
      <c r="N15" s="40">
        <v>6.8</v>
      </c>
      <c r="O15" s="40">
        <v>0</v>
      </c>
      <c r="P15" s="40">
        <v>0.6</v>
      </c>
      <c r="Q15" s="40">
        <v>13.01</v>
      </c>
      <c r="R15" s="38"/>
      <c r="S15" s="38"/>
      <c r="T15" s="38"/>
      <c r="U15" s="38"/>
    </row>
    <row r="16" spans="1:21" customFormat="1">
      <c r="A16" s="39" t="s">
        <v>788</v>
      </c>
      <c r="B16" s="40">
        <v>11.56</v>
      </c>
      <c r="C16" s="40">
        <v>21.56</v>
      </c>
      <c r="D16" s="40">
        <v>21.88</v>
      </c>
      <c r="E16" s="40">
        <v>9.98</v>
      </c>
      <c r="F16" s="42">
        <v>3.93</v>
      </c>
      <c r="G16" s="40">
        <v>47.68</v>
      </c>
      <c r="H16" s="40">
        <v>17.13</v>
      </c>
      <c r="I16" s="40">
        <v>8.14</v>
      </c>
      <c r="J16" s="40">
        <v>0.32</v>
      </c>
      <c r="K16" s="40">
        <v>167.1</v>
      </c>
      <c r="L16" s="40">
        <v>21.08</v>
      </c>
      <c r="M16" s="40">
        <v>98.9</v>
      </c>
      <c r="N16" s="40">
        <v>42.3</v>
      </c>
      <c r="O16" s="40">
        <v>0</v>
      </c>
      <c r="P16" s="40">
        <v>0.63</v>
      </c>
      <c r="Q16" s="40">
        <v>12.99</v>
      </c>
      <c r="R16" s="38"/>
      <c r="S16" s="38"/>
      <c r="T16" s="38"/>
      <c r="U16" s="38"/>
    </row>
    <row r="17" spans="1:21" customFormat="1">
      <c r="A17" s="39" t="s">
        <v>789</v>
      </c>
      <c r="B17" s="40">
        <v>11.31</v>
      </c>
      <c r="C17" s="40">
        <v>21.43</v>
      </c>
      <c r="D17" s="40">
        <v>21.39</v>
      </c>
      <c r="E17" s="40">
        <v>10.06</v>
      </c>
      <c r="F17" s="42">
        <v>3.98</v>
      </c>
      <c r="G17" s="40">
        <v>52.36</v>
      </c>
      <c r="H17" s="40">
        <v>20.93</v>
      </c>
      <c r="I17" s="40">
        <v>8.5299999999999994</v>
      </c>
      <c r="J17" s="40">
        <v>0.22</v>
      </c>
      <c r="K17" s="40">
        <v>244.19</v>
      </c>
      <c r="L17" s="40">
        <v>24.03</v>
      </c>
      <c r="M17" s="40">
        <v>90.12</v>
      </c>
      <c r="N17" s="40">
        <v>137.4</v>
      </c>
      <c r="O17" s="40">
        <v>0</v>
      </c>
      <c r="P17" s="40">
        <v>0.65</v>
      </c>
      <c r="Q17" s="40">
        <v>13.02</v>
      </c>
      <c r="R17" s="38"/>
      <c r="S17" s="38"/>
      <c r="T17" s="38"/>
      <c r="U17" s="38"/>
    </row>
    <row r="18" spans="1:21" customFormat="1">
      <c r="A18" s="39" t="s">
        <v>790</v>
      </c>
      <c r="B18" s="40">
        <v>9.43</v>
      </c>
      <c r="C18" s="40">
        <v>23.27</v>
      </c>
      <c r="D18" s="40">
        <v>20.38</v>
      </c>
      <c r="E18" s="40">
        <v>10.029999999999999</v>
      </c>
      <c r="F18" s="42">
        <v>5.26</v>
      </c>
      <c r="G18" s="40">
        <v>55.83</v>
      </c>
      <c r="H18" s="40">
        <v>23.32</v>
      </c>
      <c r="I18" s="40">
        <v>9.06</v>
      </c>
      <c r="J18" s="40">
        <v>0.64</v>
      </c>
      <c r="K18" s="40">
        <v>276.94</v>
      </c>
      <c r="L18" s="40">
        <v>26.19</v>
      </c>
      <c r="M18" s="40">
        <v>75.05</v>
      </c>
      <c r="N18" s="40">
        <v>237.7</v>
      </c>
      <c r="O18" s="40">
        <v>0</v>
      </c>
      <c r="P18" s="40">
        <v>0.68</v>
      </c>
      <c r="Q18" s="40">
        <v>12.95</v>
      </c>
      <c r="R18" s="38"/>
      <c r="S18" s="38"/>
      <c r="T18" s="38"/>
      <c r="U18" s="38"/>
    </row>
    <row r="19" spans="1:21" customFormat="1">
      <c r="A19" s="39" t="s">
        <v>791</v>
      </c>
      <c r="B19" s="40">
        <v>6.58</v>
      </c>
      <c r="C19" s="40">
        <v>23.39</v>
      </c>
      <c r="D19" s="40">
        <v>18.850000000000001</v>
      </c>
      <c r="E19" s="40">
        <v>11.37</v>
      </c>
      <c r="F19" s="42">
        <v>5.31</v>
      </c>
      <c r="G19" s="40">
        <v>55.83</v>
      </c>
      <c r="H19" s="40">
        <v>25.58</v>
      </c>
      <c r="I19" s="40">
        <v>9.1</v>
      </c>
      <c r="J19" s="40">
        <v>0.72</v>
      </c>
      <c r="K19" s="40">
        <v>279.8</v>
      </c>
      <c r="L19" s="40">
        <v>27.92</v>
      </c>
      <c r="M19" s="40">
        <v>66.66</v>
      </c>
      <c r="N19" s="40">
        <v>304.7</v>
      </c>
      <c r="O19" s="40">
        <v>0</v>
      </c>
      <c r="P19" s="40">
        <v>0.65</v>
      </c>
      <c r="Q19" s="40">
        <v>12.94</v>
      </c>
      <c r="R19" s="38"/>
      <c r="S19" s="38"/>
      <c r="T19" s="38"/>
      <c r="U19" s="38"/>
    </row>
    <row r="20" spans="1:21" customFormat="1">
      <c r="A20" s="39" t="s">
        <v>792</v>
      </c>
      <c r="B20" s="40">
        <v>4.6500000000000004</v>
      </c>
      <c r="C20" s="40">
        <v>22.65</v>
      </c>
      <c r="D20" s="40">
        <v>16.920000000000002</v>
      </c>
      <c r="E20" s="40">
        <v>11.36</v>
      </c>
      <c r="F20" s="42">
        <v>9.93</v>
      </c>
      <c r="G20" s="40">
        <v>55.39</v>
      </c>
      <c r="H20" s="40">
        <v>25.64</v>
      </c>
      <c r="I20" s="40">
        <v>8.5</v>
      </c>
      <c r="J20" s="40">
        <v>0.69</v>
      </c>
      <c r="K20" s="40">
        <v>273.33</v>
      </c>
      <c r="L20" s="40">
        <v>29.57</v>
      </c>
      <c r="M20" s="40">
        <v>59.44</v>
      </c>
      <c r="N20" s="40">
        <v>333.8</v>
      </c>
      <c r="O20" s="40">
        <v>0</v>
      </c>
      <c r="P20" s="40">
        <v>0.6</v>
      </c>
      <c r="Q20" s="40">
        <v>12.93</v>
      </c>
      <c r="R20" s="38"/>
      <c r="S20" s="38"/>
      <c r="T20" s="38"/>
      <c r="U20" s="38"/>
    </row>
    <row r="21" spans="1:21" customFormat="1">
      <c r="A21" s="39" t="s">
        <v>793</v>
      </c>
      <c r="B21" s="40">
        <v>3.9</v>
      </c>
      <c r="C21" s="40">
        <v>18.88</v>
      </c>
      <c r="D21" s="40">
        <v>14.17</v>
      </c>
      <c r="E21" s="40">
        <v>11.68</v>
      </c>
      <c r="F21" s="42">
        <v>31.81</v>
      </c>
      <c r="G21" s="40">
        <v>59.21</v>
      </c>
      <c r="H21" s="40">
        <v>25.64</v>
      </c>
      <c r="I21" s="40">
        <v>7.84</v>
      </c>
      <c r="J21" s="40">
        <v>0.8</v>
      </c>
      <c r="K21" s="40">
        <v>289.76</v>
      </c>
      <c r="L21" s="40">
        <v>30.74</v>
      </c>
      <c r="M21" s="40">
        <v>52.32</v>
      </c>
      <c r="N21" s="40">
        <v>345</v>
      </c>
      <c r="O21" s="40">
        <v>0</v>
      </c>
      <c r="P21" s="40">
        <v>0.55000000000000004</v>
      </c>
      <c r="Q21" s="40">
        <v>12.94</v>
      </c>
      <c r="R21" s="38"/>
      <c r="S21" s="38"/>
      <c r="T21" s="38"/>
      <c r="U21" s="38"/>
    </row>
    <row r="22" spans="1:21" customFormat="1">
      <c r="A22" s="39" t="s">
        <v>794</v>
      </c>
      <c r="B22" s="40">
        <v>3.67</v>
      </c>
      <c r="C22" s="40">
        <v>16.03</v>
      </c>
      <c r="D22" s="40">
        <v>12.67</v>
      </c>
      <c r="E22" s="40">
        <v>12.91</v>
      </c>
      <c r="F22" s="42">
        <v>26.99</v>
      </c>
      <c r="G22" s="40">
        <v>59.21</v>
      </c>
      <c r="H22" s="40">
        <v>23.41</v>
      </c>
      <c r="I22" s="40">
        <v>6.3</v>
      </c>
      <c r="J22" s="40">
        <v>1</v>
      </c>
      <c r="K22" s="40">
        <v>308.86</v>
      </c>
      <c r="L22" s="40">
        <v>31.14</v>
      </c>
      <c r="M22" s="40">
        <v>48.64</v>
      </c>
      <c r="N22" s="40">
        <v>326.3</v>
      </c>
      <c r="O22" s="40">
        <v>0</v>
      </c>
      <c r="P22" s="40">
        <v>0.49</v>
      </c>
      <c r="Q22" s="40">
        <v>12.91</v>
      </c>
      <c r="R22" s="38"/>
      <c r="S22" s="38"/>
      <c r="T22" s="38"/>
      <c r="U22" s="38"/>
    </row>
    <row r="23" spans="1:21" customFormat="1">
      <c r="A23" s="39" t="s">
        <v>795</v>
      </c>
      <c r="B23" s="40">
        <v>3.7</v>
      </c>
      <c r="C23" s="40">
        <v>13.61</v>
      </c>
      <c r="D23" s="40">
        <v>11.27</v>
      </c>
      <c r="E23" s="40">
        <v>11.19</v>
      </c>
      <c r="F23" s="42">
        <v>30.01</v>
      </c>
      <c r="G23" s="40">
        <v>57.44</v>
      </c>
      <c r="H23" s="40">
        <v>23.41</v>
      </c>
      <c r="I23" s="40">
        <v>5.24</v>
      </c>
      <c r="J23" s="40">
        <v>0.76</v>
      </c>
      <c r="K23" s="40">
        <v>290.61</v>
      </c>
      <c r="L23" s="40">
        <v>31.42</v>
      </c>
      <c r="M23" s="40">
        <v>47.1</v>
      </c>
      <c r="N23" s="40">
        <v>290.3</v>
      </c>
      <c r="O23" s="40">
        <v>0</v>
      </c>
      <c r="P23" s="40">
        <v>0.47</v>
      </c>
      <c r="Q23" s="40">
        <v>12.92</v>
      </c>
      <c r="R23" s="38"/>
      <c r="S23" s="38"/>
      <c r="T23" s="38"/>
      <c r="U23" s="38"/>
    </row>
    <row r="24" spans="1:21" customFormat="1">
      <c r="A24" s="39" t="s">
        <v>796</v>
      </c>
      <c r="B24" s="40">
        <v>4.08</v>
      </c>
      <c r="C24" s="40">
        <v>16.04</v>
      </c>
      <c r="D24" s="40">
        <v>13</v>
      </c>
      <c r="E24" s="40">
        <v>11.03</v>
      </c>
      <c r="F24" s="42">
        <v>29.61</v>
      </c>
      <c r="G24" s="40">
        <v>57.28</v>
      </c>
      <c r="H24" s="40">
        <v>22.42</v>
      </c>
      <c r="I24" s="40">
        <v>5.0999999999999996</v>
      </c>
      <c r="J24" s="40">
        <v>0.5</v>
      </c>
      <c r="K24" s="40">
        <v>294.27999999999997</v>
      </c>
      <c r="L24" s="40">
        <v>31.04</v>
      </c>
      <c r="M24" s="40">
        <v>47.45</v>
      </c>
      <c r="N24" s="40">
        <v>82</v>
      </c>
      <c r="O24" s="40">
        <v>0</v>
      </c>
      <c r="P24" s="40">
        <v>0.47</v>
      </c>
      <c r="Q24" s="40">
        <v>12.94</v>
      </c>
      <c r="R24" s="38"/>
      <c r="S24" s="38"/>
      <c r="T24" s="38"/>
      <c r="U24" s="38"/>
    </row>
    <row r="25" spans="1:21" customFormat="1">
      <c r="A25" s="39" t="s">
        <v>797</v>
      </c>
      <c r="B25" s="40">
        <v>4.59</v>
      </c>
      <c r="C25" s="40">
        <v>18.010000000000002</v>
      </c>
      <c r="D25" s="40">
        <v>14.44</v>
      </c>
      <c r="E25" s="40">
        <v>13.48</v>
      </c>
      <c r="F25" s="42">
        <v>16.86</v>
      </c>
      <c r="G25" s="40">
        <v>57.28</v>
      </c>
      <c r="H25" s="40">
        <v>19.55</v>
      </c>
      <c r="I25" s="40">
        <v>5.25</v>
      </c>
      <c r="J25" s="40">
        <v>0.61</v>
      </c>
      <c r="K25" s="40">
        <v>315.49</v>
      </c>
      <c r="L25" s="40">
        <v>30.63</v>
      </c>
      <c r="M25" s="40">
        <v>48.79</v>
      </c>
      <c r="N25" s="40">
        <v>49.5</v>
      </c>
      <c r="O25" s="40">
        <v>0</v>
      </c>
      <c r="P25" s="40">
        <v>0.5</v>
      </c>
      <c r="Q25" s="40">
        <v>12.93</v>
      </c>
      <c r="R25" s="38"/>
      <c r="S25" s="38"/>
      <c r="T25" s="38"/>
      <c r="U25" s="38"/>
    </row>
    <row r="26" spans="1:21" customFormat="1">
      <c r="A26" s="39" t="s">
        <v>798</v>
      </c>
      <c r="B26" s="40">
        <v>4.66</v>
      </c>
      <c r="C26" s="40">
        <v>17.11</v>
      </c>
      <c r="D26" s="40">
        <v>13.82</v>
      </c>
      <c r="E26" s="40">
        <v>12.95</v>
      </c>
      <c r="F26" s="42">
        <v>9.64</v>
      </c>
      <c r="G26" s="40">
        <v>56.24</v>
      </c>
      <c r="H26" s="40">
        <v>19.13</v>
      </c>
      <c r="I26" s="40">
        <v>5.42</v>
      </c>
      <c r="J26" s="40">
        <v>0.33</v>
      </c>
      <c r="K26" s="40">
        <v>227.97</v>
      </c>
      <c r="L26" s="40">
        <v>29.48</v>
      </c>
      <c r="M26" s="40">
        <v>59.03</v>
      </c>
      <c r="N26" s="40">
        <v>18.5</v>
      </c>
      <c r="O26" s="40">
        <v>0</v>
      </c>
      <c r="P26" s="40">
        <v>0.51</v>
      </c>
      <c r="Q26" s="40">
        <v>12.92</v>
      </c>
      <c r="R26" s="38"/>
      <c r="S26" s="38"/>
      <c r="T26" s="38"/>
      <c r="U26" s="38"/>
    </row>
    <row r="27" spans="1:21" customFormat="1">
      <c r="A27" s="39" t="s">
        <v>799</v>
      </c>
      <c r="B27" s="40">
        <v>4.51</v>
      </c>
      <c r="C27" s="40">
        <v>18.54</v>
      </c>
      <c r="D27" s="40">
        <v>14.66</v>
      </c>
      <c r="E27" s="40">
        <v>8.08</v>
      </c>
      <c r="F27" s="42">
        <v>5.0599999999999996</v>
      </c>
      <c r="G27" s="40">
        <v>64.75</v>
      </c>
      <c r="H27" s="40">
        <v>19.88</v>
      </c>
      <c r="I27" s="40">
        <v>5.87</v>
      </c>
      <c r="J27" s="40">
        <v>0.25</v>
      </c>
      <c r="K27" s="40">
        <v>169.97</v>
      </c>
      <c r="L27" s="40">
        <v>26.92</v>
      </c>
      <c r="M27" s="40">
        <v>71.739999999999995</v>
      </c>
      <c r="N27" s="40">
        <v>2.1</v>
      </c>
      <c r="O27" s="40">
        <v>0</v>
      </c>
      <c r="P27" s="40">
        <v>0.55000000000000004</v>
      </c>
      <c r="Q27" s="40">
        <v>12.93</v>
      </c>
      <c r="R27" s="38"/>
      <c r="S27" s="38"/>
      <c r="T27" s="38"/>
      <c r="U27" s="38"/>
    </row>
    <row r="28" spans="1:21" customFormat="1">
      <c r="A28" s="39" t="s">
        <v>800</v>
      </c>
      <c r="B28" s="40">
        <v>5.1100000000000003</v>
      </c>
      <c r="C28" s="40">
        <v>19.309999999999999</v>
      </c>
      <c r="D28" s="40">
        <v>15.54</v>
      </c>
      <c r="E28" s="40">
        <v>8.2799999999999994</v>
      </c>
      <c r="F28" s="42">
        <v>4.1399999999999997</v>
      </c>
      <c r="G28" s="40">
        <v>74.790000000000006</v>
      </c>
      <c r="H28" s="40">
        <v>21.89</v>
      </c>
      <c r="I28" s="40">
        <v>7.09</v>
      </c>
      <c r="J28" s="40">
        <v>0.28999999999999998</v>
      </c>
      <c r="K28" s="40">
        <v>188.5</v>
      </c>
      <c r="L28" s="40">
        <v>25.19</v>
      </c>
      <c r="M28" s="40">
        <v>75.92</v>
      </c>
      <c r="N28" s="40">
        <v>1.6</v>
      </c>
      <c r="O28" s="40">
        <v>0</v>
      </c>
      <c r="P28" s="40">
        <v>0.64</v>
      </c>
      <c r="Q28" s="40">
        <v>12.92</v>
      </c>
      <c r="R28" s="38"/>
      <c r="S28" s="38"/>
      <c r="T28" s="38"/>
      <c r="U28" s="38"/>
    </row>
    <row r="29" spans="1:21" customFormat="1">
      <c r="A29" s="39" t="s">
        <v>801</v>
      </c>
      <c r="B29" s="40">
        <v>6.14</v>
      </c>
      <c r="C29" s="40">
        <v>20.57</v>
      </c>
      <c r="D29" s="40">
        <v>17.02</v>
      </c>
      <c r="E29" s="40">
        <v>8.7799999999999994</v>
      </c>
      <c r="F29" s="42">
        <v>4.01</v>
      </c>
      <c r="G29" s="40">
        <v>82.01</v>
      </c>
      <c r="H29" s="40">
        <v>23.8</v>
      </c>
      <c r="I29" s="40">
        <v>8.52</v>
      </c>
      <c r="J29" s="40">
        <v>0.25</v>
      </c>
      <c r="K29" s="40">
        <v>169.69</v>
      </c>
      <c r="L29" s="40">
        <v>24.3</v>
      </c>
      <c r="M29" s="40">
        <v>79.56</v>
      </c>
      <c r="N29" s="40">
        <v>1.4</v>
      </c>
      <c r="O29" s="40">
        <v>0</v>
      </c>
      <c r="P29" s="40">
        <v>0.74</v>
      </c>
      <c r="Q29" s="40">
        <v>12.93</v>
      </c>
      <c r="R29" s="38"/>
      <c r="S29" s="38"/>
      <c r="T29" s="38"/>
      <c r="U29" s="38"/>
    </row>
    <row r="30" spans="1:21" customFormat="1">
      <c r="A30" s="39" t="s">
        <v>802</v>
      </c>
      <c r="B30" s="40">
        <v>6.94</v>
      </c>
      <c r="C30" s="40">
        <v>21.33</v>
      </c>
      <c r="D30" s="40">
        <v>18.059999999999999</v>
      </c>
      <c r="E30" s="40">
        <v>8.4700000000000006</v>
      </c>
      <c r="F30" s="42">
        <v>4.16</v>
      </c>
      <c r="G30" s="40">
        <v>82.01</v>
      </c>
      <c r="H30" s="40">
        <v>26.11</v>
      </c>
      <c r="I30" s="40">
        <v>9.8000000000000007</v>
      </c>
      <c r="J30" s="40">
        <v>0.22</v>
      </c>
      <c r="K30" s="40">
        <v>199.52</v>
      </c>
      <c r="L30" s="40">
        <v>23.43</v>
      </c>
      <c r="M30" s="40">
        <v>83.16</v>
      </c>
      <c r="N30" s="40">
        <v>1.7</v>
      </c>
      <c r="O30" s="40">
        <v>0</v>
      </c>
      <c r="P30" s="40">
        <v>0.83</v>
      </c>
      <c r="Q30" s="40">
        <v>12.95</v>
      </c>
      <c r="R30" s="38"/>
      <c r="S30" s="38"/>
      <c r="T30" s="38"/>
      <c r="U30" s="38"/>
    </row>
    <row r="31" spans="1:21" customFormat="1">
      <c r="A31" s="39" t="s">
        <v>803</v>
      </c>
      <c r="B31" s="40">
        <v>8.51</v>
      </c>
      <c r="C31" s="40">
        <v>23.26</v>
      </c>
      <c r="D31" s="40">
        <v>20.03</v>
      </c>
      <c r="E31" s="40">
        <v>9.31</v>
      </c>
      <c r="F31" s="42">
        <v>4</v>
      </c>
      <c r="G31" s="40">
        <v>79.81</v>
      </c>
      <c r="H31" s="40">
        <v>26.11</v>
      </c>
      <c r="I31" s="40">
        <v>10.64</v>
      </c>
      <c r="J31" s="40">
        <v>0.17</v>
      </c>
      <c r="K31" s="40">
        <v>208.89</v>
      </c>
      <c r="L31" s="40">
        <v>22.51</v>
      </c>
      <c r="M31" s="40">
        <v>86.18</v>
      </c>
      <c r="N31" s="40">
        <v>1.5</v>
      </c>
      <c r="O31" s="40">
        <v>0</v>
      </c>
      <c r="P31" s="40">
        <v>0.88</v>
      </c>
      <c r="Q31" s="40">
        <v>12.94</v>
      </c>
      <c r="R31" s="38"/>
      <c r="S31" s="38"/>
      <c r="T31" s="38"/>
      <c r="U31" s="38"/>
    </row>
    <row r="32" spans="1:21" customFormat="1">
      <c r="A32" s="39" t="s">
        <v>804</v>
      </c>
      <c r="B32" s="40">
        <v>10.39</v>
      </c>
      <c r="C32" s="40">
        <v>24.13</v>
      </c>
      <c r="D32" s="40">
        <v>21.78</v>
      </c>
      <c r="E32" s="40">
        <v>9.91</v>
      </c>
      <c r="F32" s="42">
        <v>4.0999999999999996</v>
      </c>
      <c r="G32" s="40">
        <v>85.7</v>
      </c>
      <c r="H32" s="40">
        <v>26.02</v>
      </c>
      <c r="I32" s="40">
        <v>11.18</v>
      </c>
      <c r="J32" s="40">
        <v>0.21</v>
      </c>
      <c r="K32" s="40">
        <v>222.93</v>
      </c>
      <c r="L32" s="40">
        <v>21.98</v>
      </c>
      <c r="M32" s="40">
        <v>85.51</v>
      </c>
      <c r="N32" s="40">
        <v>1.4</v>
      </c>
      <c r="O32" s="40">
        <v>0</v>
      </c>
      <c r="P32" s="40">
        <v>0.95</v>
      </c>
      <c r="Q32" s="40">
        <v>12.96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3.67</v>
      </c>
      <c r="C34" s="18">
        <f t="shared" si="0"/>
        <v>13.61</v>
      </c>
      <c r="D34" s="18">
        <f t="shared" si="0"/>
        <v>11.27</v>
      </c>
      <c r="E34" s="18">
        <f t="shared" si="0"/>
        <v>8.08</v>
      </c>
      <c r="F34" s="18">
        <f t="shared" si="0"/>
        <v>3.74</v>
      </c>
      <c r="G34" s="18">
        <f t="shared" si="0"/>
        <v>45.02</v>
      </c>
      <c r="H34" s="18">
        <f t="shared" si="0"/>
        <v>17.13</v>
      </c>
      <c r="I34" s="18">
        <f t="shared" si="0"/>
        <v>5.0999999999999996</v>
      </c>
      <c r="J34" s="18">
        <f t="shared" si="0"/>
        <v>0.17</v>
      </c>
      <c r="K34" s="18">
        <f t="shared" si="0"/>
        <v>167.1</v>
      </c>
      <c r="L34" s="18">
        <f t="shared" si="0"/>
        <v>19.77</v>
      </c>
      <c r="M34" s="18">
        <f t="shared" si="0"/>
        <v>47.1</v>
      </c>
      <c r="N34" s="18">
        <f t="shared" si="0"/>
        <v>1.4</v>
      </c>
      <c r="O34" s="18">
        <f t="shared" si="0"/>
        <v>0</v>
      </c>
      <c r="P34" s="18">
        <f t="shared" si="0"/>
        <v>0.47</v>
      </c>
      <c r="Q34" s="18">
        <f t="shared" si="0"/>
        <v>12.91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11.56</v>
      </c>
      <c r="C35" s="3">
        <f t="shared" si="1"/>
        <v>24.13</v>
      </c>
      <c r="D35" s="3">
        <f t="shared" si="1"/>
        <v>21.88</v>
      </c>
      <c r="E35" s="3">
        <f t="shared" si="1"/>
        <v>13.48</v>
      </c>
      <c r="F35" s="3">
        <f t="shared" si="1"/>
        <v>31.81</v>
      </c>
      <c r="G35" s="3">
        <f t="shared" si="1"/>
        <v>85.7</v>
      </c>
      <c r="H35" s="3">
        <f t="shared" si="1"/>
        <v>26.11</v>
      </c>
      <c r="I35" s="3">
        <f t="shared" si="1"/>
        <v>11.18</v>
      </c>
      <c r="J35" s="3">
        <f t="shared" si="1"/>
        <v>1</v>
      </c>
      <c r="K35" s="3">
        <f t="shared" si="1"/>
        <v>315.49</v>
      </c>
      <c r="L35" s="3">
        <f t="shared" si="1"/>
        <v>31.42</v>
      </c>
      <c r="M35" s="3">
        <f t="shared" si="1"/>
        <v>98.95</v>
      </c>
      <c r="N35" s="3">
        <f t="shared" si="1"/>
        <v>345</v>
      </c>
      <c r="O35" s="3">
        <f t="shared" si="1"/>
        <v>0</v>
      </c>
      <c r="P35" s="3">
        <f t="shared" si="1"/>
        <v>0.95</v>
      </c>
      <c r="Q35" s="3">
        <f t="shared" si="1"/>
        <v>13.02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6.8045833333333334</v>
      </c>
      <c r="C36" s="18">
        <f t="shared" si="2"/>
        <v>20.444583333333334</v>
      </c>
      <c r="D36" s="18">
        <f t="shared" si="2"/>
        <v>17.369583333333328</v>
      </c>
      <c r="E36" s="18">
        <f t="shared" si="2"/>
        <v>10.348750000000001</v>
      </c>
      <c r="F36" s="18">
        <f t="shared" si="2"/>
        <v>9.4224999999999994</v>
      </c>
      <c r="G36" s="18">
        <f t="shared" si="2"/>
        <v>59.962083333333332</v>
      </c>
      <c r="H36" s="18">
        <f t="shared" si="2"/>
        <v>21.968750000000004</v>
      </c>
      <c r="I36" s="18">
        <f t="shared" si="2"/>
        <v>7.9954166666666664</v>
      </c>
      <c r="J36" s="18">
        <f t="shared" si="2"/>
        <v>0.4291666666666667</v>
      </c>
      <c r="K36" s="18">
        <f t="shared" si="2"/>
        <v>240.43875000000006</v>
      </c>
      <c r="L36" s="18">
        <f t="shared" si="2"/>
        <v>25.358750000000001</v>
      </c>
      <c r="M36" s="18">
        <f t="shared" si="2"/>
        <v>74.743333333333325</v>
      </c>
      <c r="N36" s="18">
        <f t="shared" si="2"/>
        <v>91.383333333333326</v>
      </c>
      <c r="O36" s="18">
        <f t="shared" si="2"/>
        <v>0</v>
      </c>
      <c r="P36" s="18">
        <f t="shared" si="2"/>
        <v>0.63166666666666682</v>
      </c>
      <c r="Q36" s="18">
        <f t="shared" si="2"/>
        <v>12.953333333333331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2.6331234208208638</v>
      </c>
      <c r="C37" s="18">
        <f t="shared" ref="C37:Q37" si="3">STDEV(C9:C32)</f>
        <v>2.6989627301688519</v>
      </c>
      <c r="D37" s="18">
        <f t="shared" si="3"/>
        <v>3.178322608145594</v>
      </c>
      <c r="E37" s="18">
        <f t="shared" si="3"/>
        <v>1.458356169593463</v>
      </c>
      <c r="F37" s="18">
        <f t="shared" si="3"/>
        <v>9.7034620670643399</v>
      </c>
      <c r="G37" s="18">
        <f t="shared" si="3"/>
        <v>12.186221363621659</v>
      </c>
      <c r="H37" s="18">
        <f t="shared" si="3"/>
        <v>2.9307504788986964</v>
      </c>
      <c r="I37" s="18">
        <f t="shared" si="3"/>
        <v>1.7452917512844253</v>
      </c>
      <c r="J37" s="18">
        <f t="shared" si="3"/>
        <v>0.23260185551367779</v>
      </c>
      <c r="K37" s="18">
        <f t="shared" si="3"/>
        <v>48.869594558197086</v>
      </c>
      <c r="L37" s="18">
        <f t="shared" si="3"/>
        <v>3.9290371787721501</v>
      </c>
      <c r="M37" s="18">
        <f t="shared" si="3"/>
        <v>17.067328989639247</v>
      </c>
      <c r="N37" s="18">
        <f t="shared" si="3"/>
        <v>131.93800806065892</v>
      </c>
      <c r="O37" s="18">
        <f t="shared" si="3"/>
        <v>0</v>
      </c>
      <c r="P37" s="18">
        <f t="shared" si="3"/>
        <v>0.12380442735170627</v>
      </c>
      <c r="Q37" s="18">
        <f t="shared" si="3"/>
        <v>3.0739673652006947E-2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54"/>
  <sheetViews>
    <sheetView tabSelected="1"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S32" sqref="S32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58</v>
      </c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s="1" customFormat="1">
      <c r="A2" s="3" t="s">
        <v>2</v>
      </c>
      <c r="B2" s="6" t="str">
        <f>$A$9</f>
        <v>01/01/2025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 s="1" customFormat="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 s="1" customFormat="1">
      <c r="A4" s="3" t="s">
        <v>16</v>
      </c>
      <c r="B4" s="3" t="s">
        <v>59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 s="1" customForma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s="1" customForma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 s="1" customFormat="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 s="1" customFormat="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>
      <c r="A9" s="14" t="str">
        <f>'01'!$B$2</f>
        <v>01/01/2025 01:00</v>
      </c>
      <c r="B9" s="15">
        <f>'01'!B36</f>
        <v>10.880416666666667</v>
      </c>
      <c r="C9" s="15">
        <f>'01'!C36</f>
        <v>22.442083333333333</v>
      </c>
      <c r="D9" s="15">
        <f>'01'!D36</f>
        <v>21.735416666666666</v>
      </c>
      <c r="E9" s="15">
        <f>'01'!E36</f>
        <v>9.5679166666666671</v>
      </c>
      <c r="F9" s="27" t="s">
        <v>8</v>
      </c>
      <c r="G9" s="15">
        <f>'01'!G36</f>
        <v>67.045000000000002</v>
      </c>
      <c r="H9" s="15">
        <f>'01'!H36</f>
        <v>20.365000000000002</v>
      </c>
      <c r="I9" s="15">
        <f>'01'!I36</f>
        <v>9.4054166666666639</v>
      </c>
      <c r="J9" s="15">
        <f>'01'!J36</f>
        <v>0.44333333333333341</v>
      </c>
      <c r="K9" s="15">
        <f>'01'!K36</f>
        <v>178.39041666666665</v>
      </c>
      <c r="L9" s="15">
        <f>'01'!L36</f>
        <v>19.008333333333336</v>
      </c>
      <c r="M9" s="15">
        <f>'01'!M36</f>
        <v>66.214583333333323</v>
      </c>
      <c r="N9" s="15">
        <f>'01'!N36</f>
        <v>115.375</v>
      </c>
      <c r="O9" s="15">
        <f>'01'!O36</f>
        <v>0</v>
      </c>
      <c r="P9" s="15">
        <f>'01'!P36</f>
        <v>0.73624999999999996</v>
      </c>
      <c r="Q9" s="15">
        <f>'01'!Q36</f>
        <v>12.99833333333333</v>
      </c>
      <c r="R9" s="29"/>
      <c r="S9" s="29"/>
      <c r="T9" s="29"/>
      <c r="U9" s="29"/>
    </row>
    <row r="10" spans="1:21" s="2" customFormat="1">
      <c r="A10" s="14" t="str">
        <f>'02'!$B$2</f>
        <v>02/01/2025 01:00</v>
      </c>
      <c r="B10" s="15">
        <f>'02'!B36</f>
        <v>18.387083333333333</v>
      </c>
      <c r="C10" s="15">
        <f>'02'!C36</f>
        <v>23.936250000000001</v>
      </c>
      <c r="D10" s="15">
        <f>'02'!D36</f>
        <v>28.442083333333329</v>
      </c>
      <c r="E10" s="15">
        <f>'02'!E36</f>
        <v>10.032083333333333</v>
      </c>
      <c r="F10" s="27" t="s">
        <v>8</v>
      </c>
      <c r="G10" s="15">
        <f>'02'!G36</f>
        <v>71.879583333333343</v>
      </c>
      <c r="H10" s="15">
        <f>'02'!H36</f>
        <v>22.346250000000001</v>
      </c>
      <c r="I10" s="15">
        <f>'02'!I36</f>
        <v>11.063333333333334</v>
      </c>
      <c r="J10" s="15">
        <f>'02'!J36</f>
        <v>0.43874999999999997</v>
      </c>
      <c r="K10" s="15">
        <f>'02'!K36</f>
        <v>199.90874999999997</v>
      </c>
      <c r="L10" s="15">
        <f>'02'!L36</f>
        <v>19.048333333333332</v>
      </c>
      <c r="M10" s="15">
        <f>'02'!M36</f>
        <v>64.232083333333335</v>
      </c>
      <c r="N10" s="15">
        <f>'02'!N36</f>
        <v>115.10416666666669</v>
      </c>
      <c r="O10" s="15">
        <f>'02'!O36</f>
        <v>0</v>
      </c>
      <c r="P10" s="15">
        <f>'02'!P36</f>
        <v>0.89333333333333353</v>
      </c>
      <c r="Q10" s="15">
        <f>'02'!Q36</f>
        <v>13.035416666666665</v>
      </c>
      <c r="R10" s="30"/>
      <c r="S10" s="30"/>
      <c r="T10" s="30"/>
      <c r="U10" s="30"/>
    </row>
    <row r="11" spans="1:21" s="2" customFormat="1">
      <c r="A11" s="14" t="str">
        <f>'03'!$B$2</f>
        <v>03/01/2025 01:00</v>
      </c>
      <c r="B11" s="15">
        <f>'03'!B36</f>
        <v>18.310416666666665</v>
      </c>
      <c r="C11" s="15">
        <f>'03'!C36</f>
        <v>23.427916666666675</v>
      </c>
      <c r="D11" s="15">
        <f>'03'!D36</f>
        <v>28.11666666666666</v>
      </c>
      <c r="E11" s="15">
        <f>'03'!E36</f>
        <v>9.1604166666666664</v>
      </c>
      <c r="F11" s="15">
        <f>'03'!F36</f>
        <v>5.828333333333334</v>
      </c>
      <c r="G11" s="15">
        <f>'03'!G36</f>
        <v>80.139166666666668</v>
      </c>
      <c r="H11" s="15">
        <f>'03'!H36</f>
        <v>21.21458333333333</v>
      </c>
      <c r="I11" s="15">
        <f>'03'!I36</f>
        <v>11.430833333333334</v>
      </c>
      <c r="J11" s="15">
        <f>'03'!J36</f>
        <v>0.35749999999999998</v>
      </c>
      <c r="K11" s="15">
        <f>'03'!K36</f>
        <v>227.4616666666667</v>
      </c>
      <c r="L11" s="15">
        <f>'03'!L36</f>
        <v>19.580416666666665</v>
      </c>
      <c r="M11" s="15">
        <f>'03'!M36</f>
        <v>61.765000000000008</v>
      </c>
      <c r="N11" s="15">
        <f>'03'!N36</f>
        <v>117.69166666666666</v>
      </c>
      <c r="O11" s="15">
        <f>'03'!O36</f>
        <v>0</v>
      </c>
      <c r="P11" s="15">
        <f>'03'!P36</f>
        <v>0.86958333333333326</v>
      </c>
      <c r="Q11" s="15">
        <f>'03'!Q36</f>
        <v>13.031666666666665</v>
      </c>
      <c r="R11" s="30"/>
      <c r="S11" s="30"/>
      <c r="T11" s="30"/>
      <c r="U11" s="30"/>
    </row>
    <row r="12" spans="1:21" s="2" customFormat="1">
      <c r="A12" s="14" t="str">
        <f>'04'!$B$2</f>
        <v>04/01/2025 01:00</v>
      </c>
      <c r="B12" s="15">
        <f>'04'!B36</f>
        <v>32.015882352941169</v>
      </c>
      <c r="C12" s="15">
        <f>'04'!C36</f>
        <v>27.645882352941175</v>
      </c>
      <c r="D12" s="15">
        <f>'04'!D36</f>
        <v>41.255882352941178</v>
      </c>
      <c r="E12" s="15">
        <f>'04'!E36</f>
        <v>9.7200000000000024</v>
      </c>
      <c r="F12" s="15">
        <f>'04'!F36</f>
        <v>2.5941176470588245</v>
      </c>
      <c r="G12" s="15">
        <f>'04'!G36</f>
        <v>103.94235294117645</v>
      </c>
      <c r="H12" s="15">
        <f>'04'!H36</f>
        <v>33.087647058823521</v>
      </c>
      <c r="I12" s="15">
        <f>'04'!I36</f>
        <v>16.536470588235289</v>
      </c>
      <c r="J12" s="15">
        <f>'04'!J36</f>
        <v>0.44294117647058823</v>
      </c>
      <c r="K12" s="15">
        <f>'04'!K36</f>
        <v>147.85999999999999</v>
      </c>
      <c r="L12" s="15">
        <f>'04'!L36</f>
        <v>19.177058823529411</v>
      </c>
      <c r="M12" s="15">
        <f>'04'!M36</f>
        <v>58.161176470588231</v>
      </c>
      <c r="N12" s="15">
        <f>'04'!N36</f>
        <v>152.71176470588236</v>
      </c>
      <c r="O12" s="15">
        <f>'04'!O36</f>
        <v>0</v>
      </c>
      <c r="P12" s="15">
        <f>'04'!P36</f>
        <v>1.08</v>
      </c>
      <c r="Q12" s="27" t="s">
        <v>8</v>
      </c>
      <c r="R12" s="30"/>
      <c r="S12" s="30"/>
      <c r="T12" s="30"/>
      <c r="U12" s="30"/>
    </row>
    <row r="13" spans="1:21" s="2" customFormat="1">
      <c r="A13" s="14" t="str">
        <f>'05'!$B$2</f>
        <v>05/01/2025 01:00</v>
      </c>
      <c r="B13" s="15">
        <f>'05'!B36</f>
        <v>22.338333333333338</v>
      </c>
      <c r="C13" s="15">
        <f>'05'!C36</f>
        <v>24.464166666666667</v>
      </c>
      <c r="D13" s="15">
        <f>'05'!D36</f>
        <v>31.894166666666663</v>
      </c>
      <c r="E13" s="15">
        <f>'05'!E36</f>
        <v>9.8445833333333326</v>
      </c>
      <c r="F13" s="15">
        <f>'05'!F36</f>
        <v>5.3462500000000004</v>
      </c>
      <c r="G13" s="15">
        <f>'05'!G36</f>
        <v>94.339999999999989</v>
      </c>
      <c r="H13" s="15">
        <f>'05'!H36</f>
        <v>33.720833333333331</v>
      </c>
      <c r="I13" s="15">
        <f>'05'!I36</f>
        <v>12.943333333333335</v>
      </c>
      <c r="J13" s="15">
        <f>'05'!J36</f>
        <v>0.40416666666666673</v>
      </c>
      <c r="K13" s="15">
        <f>'05'!K36</f>
        <v>188.5929166666667</v>
      </c>
      <c r="L13" s="15">
        <f>'05'!L36</f>
        <v>19.665416666666669</v>
      </c>
      <c r="M13" s="15">
        <f>'05'!M36</f>
        <v>66.967916666666682</v>
      </c>
      <c r="N13" s="15">
        <f>'05'!N36</f>
        <v>113.82083333333333</v>
      </c>
      <c r="O13" s="15">
        <f>'05'!O36</f>
        <v>0</v>
      </c>
      <c r="P13" s="15">
        <f>'05'!P36</f>
        <v>0.96708333333333341</v>
      </c>
      <c r="Q13" s="15">
        <f>'05'!Q36</f>
        <v>13.050416666666665</v>
      </c>
      <c r="R13" s="30"/>
      <c r="S13" s="30"/>
      <c r="T13" s="30"/>
      <c r="U13" s="30"/>
    </row>
    <row r="14" spans="1:21" s="2" customFormat="1">
      <c r="A14" s="14" t="str">
        <f>'06'!$B$2</f>
        <v>06/01/2025 01:00</v>
      </c>
      <c r="B14" s="16">
        <f>'06'!B36</f>
        <v>10.501363636363637</v>
      </c>
      <c r="C14" s="16">
        <f>'06'!C36</f>
        <v>23.95</v>
      </c>
      <c r="D14" s="16">
        <f>'06'!D36</f>
        <v>22.146363636363638</v>
      </c>
      <c r="E14" s="16">
        <f>'06'!E36</f>
        <v>8.1222727272727244</v>
      </c>
      <c r="F14" s="16">
        <f>'06'!F36</f>
        <v>5.3818181818181818</v>
      </c>
      <c r="G14" s="16">
        <f>'06'!G36</f>
        <v>115.34913043478262</v>
      </c>
      <c r="H14" s="16">
        <f>'06'!H36</f>
        <v>42.679999999999993</v>
      </c>
      <c r="I14" s="16">
        <f>'06'!I36</f>
        <v>14.509545454545453</v>
      </c>
      <c r="J14" s="16">
        <f>'06'!J36</f>
        <v>0.26695652173913043</v>
      </c>
      <c r="K14" s="16">
        <f>'06'!K36</f>
        <v>217.39565217391305</v>
      </c>
      <c r="L14" s="16">
        <f>'06'!L36</f>
        <v>19.491304347826087</v>
      </c>
      <c r="M14" s="16">
        <f>'06'!M36</f>
        <v>73.492173913043487</v>
      </c>
      <c r="N14" s="16">
        <f>'06'!N36</f>
        <v>73.513043478260883</v>
      </c>
      <c r="O14" s="16">
        <f>'06'!O36</f>
        <v>0</v>
      </c>
      <c r="P14" s="16">
        <f>'06'!P36</f>
        <v>1.0204347826086955</v>
      </c>
      <c r="Q14" s="16">
        <f>'06'!Q36</f>
        <v>13.038333333333334</v>
      </c>
      <c r="R14" s="30"/>
      <c r="S14" s="30"/>
      <c r="T14" s="30"/>
      <c r="U14" s="30"/>
    </row>
    <row r="15" spans="1:21" s="2" customFormat="1">
      <c r="A15" s="14" t="str">
        <f>'07'!$B$2</f>
        <v>07/01/2025 01:00</v>
      </c>
      <c r="B15" s="16">
        <f>'07'!B36</f>
        <v>7.1687500000000002</v>
      </c>
      <c r="C15" s="16">
        <f>'07'!C36</f>
        <v>23.413333333333338</v>
      </c>
      <c r="D15" s="16">
        <f>'07'!D36</f>
        <v>19.212500000000002</v>
      </c>
      <c r="E15" s="16">
        <f>'07'!E36</f>
        <v>9.9174999999999986</v>
      </c>
      <c r="F15" s="16">
        <f>'07'!F36</f>
        <v>5.3312499999999989</v>
      </c>
      <c r="G15" s="16">
        <f>'07'!G36</f>
        <v>89.986666666666679</v>
      </c>
      <c r="H15" s="16">
        <f>'07'!H36</f>
        <v>36.596666666666664</v>
      </c>
      <c r="I15" s="16">
        <f>'07'!I36</f>
        <v>12.984999999999999</v>
      </c>
      <c r="J15" s="16">
        <f>'07'!J36</f>
        <v>0.50875000000000004</v>
      </c>
      <c r="K15" s="16">
        <f>'07'!K36</f>
        <v>202.21916666666664</v>
      </c>
      <c r="L15" s="16">
        <f>'07'!L36</f>
        <v>20.823333333333334</v>
      </c>
      <c r="M15" s="16">
        <f>'07'!M36</f>
        <v>63.753750000000018</v>
      </c>
      <c r="N15" s="16">
        <f>'07'!N36</f>
        <v>93</v>
      </c>
      <c r="O15" s="16">
        <f>'07'!O36</f>
        <v>0</v>
      </c>
      <c r="P15" s="16">
        <f>'07'!P36</f>
        <v>0.87208333333333332</v>
      </c>
      <c r="Q15" s="27" t="s">
        <v>8</v>
      </c>
      <c r="R15" s="30"/>
      <c r="S15" s="30"/>
      <c r="T15" s="30"/>
      <c r="U15" s="30"/>
    </row>
    <row r="16" spans="1:21" s="2" customFormat="1">
      <c r="A16" s="14" t="str">
        <f>'08'!$B$2</f>
        <v>08/01/2025 01:00</v>
      </c>
      <c r="B16" s="16">
        <f>'08'!B36</f>
        <v>9.9270833333333339</v>
      </c>
      <c r="C16" s="16">
        <f>'08'!C36</f>
        <v>24.192916666666665</v>
      </c>
      <c r="D16" s="16">
        <f>'08'!D36</f>
        <v>21.844583333333333</v>
      </c>
      <c r="E16" s="16">
        <f>'08'!E36</f>
        <v>9.2895833333333329</v>
      </c>
      <c r="F16" s="16">
        <f>'08'!F36</f>
        <v>5.4804166666666658</v>
      </c>
      <c r="G16" s="16">
        <f>'08'!G36</f>
        <v>79.966666666666669</v>
      </c>
      <c r="H16" s="16">
        <f>'08'!H36</f>
        <v>21.827500000000001</v>
      </c>
      <c r="I16" s="16">
        <f>'08'!I36</f>
        <v>10.594999999999999</v>
      </c>
      <c r="J16" s="16">
        <f>'08'!J36</f>
        <v>0.41333333333333327</v>
      </c>
      <c r="K16" s="16">
        <f>'08'!K36</f>
        <v>212.64250000000001</v>
      </c>
      <c r="L16" s="16">
        <f>'08'!L36</f>
        <v>18.278333333333336</v>
      </c>
      <c r="M16" s="16">
        <f>'08'!M36</f>
        <v>62.927916666666668</v>
      </c>
      <c r="N16" s="16">
        <f>'08'!N36</f>
        <v>113.37916666666671</v>
      </c>
      <c r="O16" s="16">
        <f>'08'!O36</f>
        <v>0</v>
      </c>
      <c r="P16" s="16">
        <f>'08'!P36</f>
        <v>0.75250000000000006</v>
      </c>
      <c r="Q16" s="27" t="s">
        <v>8</v>
      </c>
      <c r="R16" s="30"/>
      <c r="S16" s="30"/>
      <c r="T16" s="30"/>
      <c r="U16" s="30"/>
    </row>
    <row r="17" spans="1:24" s="2" customFormat="1">
      <c r="A17" s="14" t="str">
        <f>'09'!$B$2</f>
        <v>09/01/2025 01:00</v>
      </c>
      <c r="B17" s="16">
        <f>'09'!B36</f>
        <v>24.022499999999994</v>
      </c>
      <c r="C17" s="16">
        <f>'09'!C36</f>
        <v>26.760416666666668</v>
      </c>
      <c r="D17" s="16">
        <f>'09'!D36</f>
        <v>34.479166666666664</v>
      </c>
      <c r="E17" s="16">
        <f>'09'!E36</f>
        <v>9.1462500000000002</v>
      </c>
      <c r="F17" s="16">
        <f>'09'!F36</f>
        <v>5.3429166666666665</v>
      </c>
      <c r="G17" s="16">
        <f>'09'!G36</f>
        <v>101.90750000000001</v>
      </c>
      <c r="H17" s="16">
        <f>'09'!H36</f>
        <v>28.465416666666666</v>
      </c>
      <c r="I17" s="16">
        <f>'09'!I36</f>
        <v>14.01</v>
      </c>
      <c r="J17" s="16">
        <f>'09'!J36</f>
        <v>0.40458333333333329</v>
      </c>
      <c r="K17" s="16">
        <f>'09'!K36</f>
        <v>149.35416666666666</v>
      </c>
      <c r="L17" s="16">
        <f>'09'!L36</f>
        <v>18.10541666666667</v>
      </c>
      <c r="M17" s="16">
        <f>'09'!M36</f>
        <v>61.220000000000006</v>
      </c>
      <c r="N17" s="16">
        <f>'09'!N36</f>
        <v>115.47916666666669</v>
      </c>
      <c r="O17" s="16">
        <f>'09'!O36</f>
        <v>0</v>
      </c>
      <c r="P17" s="16">
        <f>'09'!P36</f>
        <v>1.0516666666666667</v>
      </c>
      <c r="Q17" s="27" t="s">
        <v>8</v>
      </c>
      <c r="R17" s="30"/>
      <c r="S17" s="30"/>
      <c r="T17" s="30"/>
      <c r="U17" s="30"/>
      <c r="V17" s="31"/>
      <c r="W17" s="31"/>
      <c r="X17" s="31"/>
    </row>
    <row r="18" spans="1:24" s="2" customFormat="1">
      <c r="A18" s="14" t="str">
        <f>'10'!$B$2</f>
        <v>10/01/2025 01:00</v>
      </c>
      <c r="B18" s="16">
        <f>'10'!B36</f>
        <v>27.669583333333325</v>
      </c>
      <c r="C18" s="16">
        <f>'10'!C36</f>
        <v>28.094999999999995</v>
      </c>
      <c r="D18" s="16">
        <f>'10'!D36</f>
        <v>38.060416666666669</v>
      </c>
      <c r="E18" s="16">
        <f>'10'!E36</f>
        <v>9.7495833333333355</v>
      </c>
      <c r="F18" s="16">
        <f>'10'!F36</f>
        <v>6.2479166666666677</v>
      </c>
      <c r="G18" s="16">
        <f>'10'!G36</f>
        <v>108.02958333333333</v>
      </c>
      <c r="H18" s="16">
        <f>'10'!H36</f>
        <v>32.647916666666667</v>
      </c>
      <c r="I18" s="16">
        <f>'10'!I36</f>
        <v>15.337083333333332</v>
      </c>
      <c r="J18" s="16">
        <f>'10'!J36</f>
        <v>0.3887500000000001</v>
      </c>
      <c r="K18" s="16">
        <f>'10'!K36</f>
        <v>160.14958333333334</v>
      </c>
      <c r="L18" s="16">
        <f>'10'!L36</f>
        <v>18.813750000000002</v>
      </c>
      <c r="M18" s="16">
        <f>'10'!M36</f>
        <v>61.133749999999992</v>
      </c>
      <c r="N18" s="16">
        <f>'10'!N36</f>
        <v>108.90416666666668</v>
      </c>
      <c r="O18" s="16">
        <f>'10'!O36</f>
        <v>0</v>
      </c>
      <c r="P18" s="16">
        <f>'10'!P36</f>
        <v>1.0533333333333335</v>
      </c>
      <c r="Q18" s="28" t="s">
        <v>15</v>
      </c>
      <c r="R18" s="30"/>
      <c r="S18" s="30"/>
      <c r="T18" s="30"/>
      <c r="U18" s="30"/>
    </row>
    <row r="19" spans="1:24" s="2" customFormat="1">
      <c r="A19" s="14" t="str">
        <f>'11'!$B$2</f>
        <v>11/01/2025 01:00</v>
      </c>
      <c r="B19" s="16">
        <f>'11'!B36</f>
        <v>19.383750000000003</v>
      </c>
      <c r="C19" s="16">
        <f>'11'!C36</f>
        <v>27.353750000000002</v>
      </c>
      <c r="D19" s="16">
        <f>'11'!D36</f>
        <v>31.069999999999997</v>
      </c>
      <c r="E19" s="16">
        <f>'11'!E36</f>
        <v>9.3108333333333331</v>
      </c>
      <c r="F19" s="16">
        <f>'11'!F36</f>
        <v>6.439166666666666</v>
      </c>
      <c r="G19" s="16">
        <f>'11'!G36</f>
        <v>91.853333333333339</v>
      </c>
      <c r="H19" s="16">
        <f>'11'!H36</f>
        <v>32.502916666666671</v>
      </c>
      <c r="I19" s="16">
        <f>'11'!I36</f>
        <v>12.7675</v>
      </c>
      <c r="J19" s="16">
        <f>'11'!J36</f>
        <v>0.42999999999999994</v>
      </c>
      <c r="K19" s="16">
        <f>'11'!K36</f>
        <v>141.68916666666667</v>
      </c>
      <c r="L19" s="16">
        <f>'11'!L36</f>
        <v>19.640416666666663</v>
      </c>
      <c r="M19" s="16">
        <f>'11'!M36</f>
        <v>64.720416666666665</v>
      </c>
      <c r="N19" s="16">
        <f>'11'!N36</f>
        <v>104.25833333333333</v>
      </c>
      <c r="O19" s="16">
        <f>'11'!O36</f>
        <v>0</v>
      </c>
      <c r="P19" s="16">
        <f>'11'!P36</f>
        <v>0.99624999999999997</v>
      </c>
      <c r="Q19" s="28" t="s">
        <v>15</v>
      </c>
      <c r="R19" s="30"/>
      <c r="S19" s="30"/>
      <c r="T19" s="30"/>
      <c r="U19" s="30"/>
    </row>
    <row r="20" spans="1:24" s="2" customFormat="1">
      <c r="A20" s="14" t="str">
        <f>'12'!$B$2</f>
        <v>12/01/2025 01:00</v>
      </c>
      <c r="B20" s="16">
        <f>'12'!B36</f>
        <v>12.173333333333334</v>
      </c>
      <c r="C20" s="16">
        <f>'12'!C36</f>
        <v>26.017499999999998</v>
      </c>
      <c r="D20" s="16">
        <f>'12'!D36</f>
        <v>24.675000000000001</v>
      </c>
      <c r="E20" s="16">
        <f>'12'!E36</f>
        <v>9.5508333333333333</v>
      </c>
      <c r="F20" s="16">
        <f>'12'!F36</f>
        <v>9.7237500000000008</v>
      </c>
      <c r="G20" s="16">
        <f>'12'!G36</f>
        <v>94.843333333333362</v>
      </c>
      <c r="H20" s="16">
        <f>'12'!H36</f>
        <v>31.207916666666666</v>
      </c>
      <c r="I20" s="16">
        <f>'12'!I36</f>
        <v>12.862083333333333</v>
      </c>
      <c r="J20" s="16">
        <f>'12'!J36</f>
        <v>0.42041666666666649</v>
      </c>
      <c r="K20" s="16">
        <f>'12'!K36</f>
        <v>234.81458333333333</v>
      </c>
      <c r="L20" s="16">
        <f>'12'!L36</f>
        <v>20.780833333333334</v>
      </c>
      <c r="M20" s="16">
        <f>'12'!M36</f>
        <v>68.298749999999998</v>
      </c>
      <c r="N20" s="16">
        <f>'12'!N36</f>
        <v>93.620833333333351</v>
      </c>
      <c r="O20" s="16">
        <f>'12'!O36</f>
        <v>0</v>
      </c>
      <c r="P20" s="16">
        <f>'12'!P36</f>
        <v>0.96458333333333346</v>
      </c>
      <c r="Q20" s="28" t="s">
        <v>15</v>
      </c>
      <c r="R20" s="30"/>
      <c r="S20" s="30"/>
      <c r="T20" s="30"/>
      <c r="U20" s="30"/>
    </row>
    <row r="21" spans="1:24" s="2" customFormat="1">
      <c r="A21" s="14" t="str">
        <f>'13'!$B$2</f>
        <v>13/01/2025 01:00</v>
      </c>
      <c r="B21" s="16">
        <f>'13'!B36</f>
        <v>11.497083333333334</v>
      </c>
      <c r="C21" s="16">
        <f>'13'!C36</f>
        <v>31.108749999999997</v>
      </c>
      <c r="D21" s="16">
        <f>'13'!D36</f>
        <v>26.64916666666667</v>
      </c>
      <c r="E21" s="16">
        <f>'13'!E36</f>
        <v>10.349583333333333</v>
      </c>
      <c r="F21" s="16">
        <f>'13'!F36</f>
        <v>5.4225000000000003</v>
      </c>
      <c r="G21" s="16">
        <f>'13'!G36</f>
        <v>115.65217391304348</v>
      </c>
      <c r="H21" s="16">
        <f>'13'!H36</f>
        <v>38.978260869565219</v>
      </c>
      <c r="I21" s="16">
        <f>'13'!I36</f>
        <v>13.192916666666669</v>
      </c>
      <c r="J21" s="16">
        <f>'13'!J36</f>
        <v>0.58708333333333329</v>
      </c>
      <c r="K21" s="16">
        <f>'13'!K36</f>
        <v>131.71625</v>
      </c>
      <c r="L21" s="16">
        <f>'13'!L36</f>
        <v>21.284583333333334</v>
      </c>
      <c r="M21" s="16">
        <f>'13'!M36</f>
        <v>67.805000000000007</v>
      </c>
      <c r="N21" s="16">
        <f>'13'!N36</f>
        <v>70.737499999999983</v>
      </c>
      <c r="O21" s="16">
        <f>'13'!O36</f>
        <v>0</v>
      </c>
      <c r="P21" s="16">
        <f>'13'!P36</f>
        <v>1.1104166666666666</v>
      </c>
      <c r="Q21" s="16">
        <f>'13'!Q36</f>
        <v>13.015454545454547</v>
      </c>
      <c r="R21" s="30"/>
      <c r="S21" s="30"/>
      <c r="T21" s="30"/>
      <c r="U21" s="30"/>
    </row>
    <row r="22" spans="1:24" s="2" customFormat="1">
      <c r="A22" s="14" t="str">
        <f>'14'!$B$2</f>
        <v>14/01/2025 01:00</v>
      </c>
      <c r="B22" s="16">
        <f>'14'!B36</f>
        <v>7.7737499999999997</v>
      </c>
      <c r="C22" s="16">
        <f>'14'!C36</f>
        <v>26.256249999999998</v>
      </c>
      <c r="D22" s="16">
        <f>'14'!D36</f>
        <v>21.265000000000001</v>
      </c>
      <c r="E22" s="16">
        <f>'14'!E36</f>
        <v>9.6775000000000002</v>
      </c>
      <c r="F22" s="16">
        <f>'14'!F36</f>
        <v>4.8363636363636369</v>
      </c>
      <c r="G22" s="16">
        <f>'14'!G36</f>
        <v>96.967083333333335</v>
      </c>
      <c r="H22" s="16">
        <f>'14'!H36</f>
        <v>37.52708333333333</v>
      </c>
      <c r="I22" s="16">
        <f>'14'!I36</f>
        <v>11.295416666666666</v>
      </c>
      <c r="J22" s="16">
        <f>'14'!J36</f>
        <v>0.59500000000000008</v>
      </c>
      <c r="K22" s="16">
        <f>'14'!K36</f>
        <v>118.32083333333333</v>
      </c>
      <c r="L22" s="16">
        <f>'14'!L36</f>
        <v>20.644583333333333</v>
      </c>
      <c r="M22" s="16">
        <f>'14'!M36</f>
        <v>72.133750000000006</v>
      </c>
      <c r="N22" s="16">
        <f>'14'!N36</f>
        <v>80.854166666666643</v>
      </c>
      <c r="O22" s="16">
        <f>'14'!O36</f>
        <v>0</v>
      </c>
      <c r="P22" s="16">
        <f>'14'!P36</f>
        <v>0.91999999999999993</v>
      </c>
      <c r="Q22" s="16">
        <f>'14'!Q36</f>
        <v>12.987083333333336</v>
      </c>
      <c r="R22" s="32"/>
      <c r="S22" s="32"/>
      <c r="T22" s="32"/>
      <c r="U22" s="32"/>
    </row>
    <row r="23" spans="1:24" s="2" customFormat="1">
      <c r="A23" s="14" t="str">
        <f>'15'!$B$2</f>
        <v>15/01/2025 01:00</v>
      </c>
      <c r="B23" s="17">
        <f>'15'!B36</f>
        <v>10.252500000000001</v>
      </c>
      <c r="C23" s="17">
        <f>'15'!C36</f>
        <v>27.120000000000005</v>
      </c>
      <c r="D23" s="17">
        <f>'15'!D36</f>
        <v>23.662916666666661</v>
      </c>
      <c r="E23" s="17">
        <f>'15'!E36</f>
        <v>9.0175000000000001</v>
      </c>
      <c r="F23" s="17">
        <f>'15'!F36</f>
        <v>5.4225000000000003</v>
      </c>
      <c r="G23" s="17">
        <f>'15'!G36</f>
        <v>101.04708333333333</v>
      </c>
      <c r="H23" s="17">
        <f>'15'!H36</f>
        <v>36.838333333333331</v>
      </c>
      <c r="I23" s="17">
        <f>'15'!I36</f>
        <v>11.623333333333333</v>
      </c>
      <c r="J23" s="17">
        <f>'15'!J36</f>
        <v>0.51499999999999979</v>
      </c>
      <c r="K23" s="17">
        <f>'15'!K36</f>
        <v>143.97499999999999</v>
      </c>
      <c r="L23" s="17">
        <f>'15'!L36</f>
        <v>20.939166666666665</v>
      </c>
      <c r="M23" s="17">
        <f>'15'!M36</f>
        <v>66.120000000000019</v>
      </c>
      <c r="N23" s="17">
        <f>'15'!N36</f>
        <v>85.808333333333337</v>
      </c>
      <c r="O23" s="17">
        <f>'15'!O36</f>
        <v>0</v>
      </c>
      <c r="P23" s="17">
        <f>'15'!P36</f>
        <v>0.90291666666666648</v>
      </c>
      <c r="Q23" s="17">
        <f>'15'!Q36</f>
        <v>12.991250000000001</v>
      </c>
      <c r="R23" s="32"/>
      <c r="S23" s="32"/>
      <c r="T23" s="32"/>
      <c r="U23" s="30"/>
    </row>
    <row r="24" spans="1:24" s="2" customFormat="1">
      <c r="A24" s="14" t="str">
        <f>'16'!$B$2</f>
        <v>16/01/2025 01:00</v>
      </c>
      <c r="B24" s="16">
        <f>'16'!B36</f>
        <v>18.681249999999999</v>
      </c>
      <c r="C24" s="16">
        <f>'16'!C36</f>
        <v>27.528333333333336</v>
      </c>
      <c r="D24" s="16">
        <f>'16'!D36</f>
        <v>30.532499999999999</v>
      </c>
      <c r="E24" s="16">
        <f>'16'!E36</f>
        <v>8.5225000000000026</v>
      </c>
      <c r="F24" s="16">
        <f>'16'!F36</f>
        <v>5.5962499999999986</v>
      </c>
      <c r="G24" s="16">
        <f>'16'!G36</f>
        <v>103.46666666666665</v>
      </c>
      <c r="H24" s="16">
        <f>'16'!H36</f>
        <v>34.25</v>
      </c>
      <c r="I24" s="16">
        <f>'16'!I36</f>
        <v>14.021304347826087</v>
      </c>
      <c r="J24" s="16">
        <f>'16'!J36</f>
        <v>0.54916666666666669</v>
      </c>
      <c r="K24" s="16">
        <f>'16'!K36</f>
        <v>157.57624999999999</v>
      </c>
      <c r="L24" s="16">
        <f>'16'!L36</f>
        <v>22.25</v>
      </c>
      <c r="M24" s="16">
        <f>'16'!M36</f>
        <v>61.802500000000002</v>
      </c>
      <c r="N24" s="16">
        <f>'16'!N36</f>
        <v>99.666666666666671</v>
      </c>
      <c r="O24" s="16">
        <f>'16'!O36</f>
        <v>0</v>
      </c>
      <c r="P24" s="16">
        <f>'16'!P36</f>
        <v>1.0325000000000002</v>
      </c>
      <c r="Q24" s="16">
        <f>'16'!Q36</f>
        <v>13.040416666666664</v>
      </c>
      <c r="R24" s="32"/>
      <c r="S24" s="32"/>
      <c r="T24" s="32"/>
      <c r="U24" s="30"/>
    </row>
    <row r="25" spans="1:24" s="2" customFormat="1">
      <c r="A25" s="14" t="str">
        <f>'17'!$B$2</f>
        <v>17/01/2025 01:00</v>
      </c>
      <c r="B25" s="16">
        <f>'17'!B36</f>
        <v>13.804583333333335</v>
      </c>
      <c r="C25" s="16">
        <f>'17'!C36</f>
        <v>28.867916666666662</v>
      </c>
      <c r="D25" s="16">
        <f>'17'!D36</f>
        <v>27.2075</v>
      </c>
      <c r="E25" s="16">
        <f>'17'!E36</f>
        <v>11.63125</v>
      </c>
      <c r="F25" s="16">
        <f>'17'!F36</f>
        <v>6.1758333333333333</v>
      </c>
      <c r="G25" s="16">
        <f>'17'!G36</f>
        <v>74.801250000000024</v>
      </c>
      <c r="H25" s="16">
        <f>'17'!H36</f>
        <v>28.540416666666662</v>
      </c>
      <c r="I25" s="16">
        <f>'17'!I36</f>
        <v>8.5566666666666666</v>
      </c>
      <c r="J25" s="16">
        <f>'17'!J36</f>
        <v>0.91166666666666663</v>
      </c>
      <c r="K25" s="16">
        <f>'17'!K36</f>
        <v>54.192083333333322</v>
      </c>
      <c r="L25" s="16">
        <f>'17'!L36</f>
        <v>22.103750000000002</v>
      </c>
      <c r="M25" s="16">
        <f>'17'!M36</f>
        <v>45.324583333333351</v>
      </c>
      <c r="N25" s="16">
        <f>'17'!N36</f>
        <v>98.333333333333314</v>
      </c>
      <c r="O25" s="16">
        <f>'17'!O36</f>
        <v>0</v>
      </c>
      <c r="P25" s="16">
        <f>'17'!P36</f>
        <v>0.69791666666666652</v>
      </c>
      <c r="Q25" s="16">
        <f>'17'!Q36</f>
        <v>11.691666666666668</v>
      </c>
      <c r="R25" s="32"/>
      <c r="S25" s="32"/>
      <c r="T25" s="32"/>
      <c r="U25" s="30"/>
    </row>
    <row r="26" spans="1:24" s="2" customFormat="1">
      <c r="A26" s="14" t="str">
        <f>'18'!$B$2</f>
        <v>18/01/2025 01:00</v>
      </c>
      <c r="B26" s="16">
        <f>'18'!B36</f>
        <v>23.114782608695652</v>
      </c>
      <c r="C26" s="16">
        <f>'18'!C36</f>
        <v>30.650434782608702</v>
      </c>
      <c r="D26" s="16">
        <f>'18'!D36</f>
        <v>35.638695652173915</v>
      </c>
      <c r="E26" s="16">
        <f>'18'!E36</f>
        <v>11.322173913043477</v>
      </c>
      <c r="F26" s="16">
        <f>'18'!F36</f>
        <v>5.1120833333333335</v>
      </c>
      <c r="G26" s="16">
        <f>'18'!G36</f>
        <v>95.395833333333314</v>
      </c>
      <c r="H26" s="16">
        <f>'18'!H36</f>
        <v>34.868695652173912</v>
      </c>
      <c r="I26" s="16">
        <f>'18'!I36</f>
        <v>10.19913043478261</v>
      </c>
      <c r="J26" s="16">
        <f>'18'!J36</f>
        <v>0.60666666666666658</v>
      </c>
      <c r="K26" s="16">
        <f>'18'!K36</f>
        <v>109.16500000000001</v>
      </c>
      <c r="L26" s="16">
        <f>'18'!L36</f>
        <v>20.733333333333331</v>
      </c>
      <c r="M26" s="16">
        <f>'18'!M36</f>
        <v>56.920833333333327</v>
      </c>
      <c r="N26" s="16">
        <f>'18'!N36</f>
        <v>105.92083333333335</v>
      </c>
      <c r="O26" s="16">
        <f>'18'!O36</f>
        <v>0</v>
      </c>
      <c r="P26" s="16">
        <f>'18'!P36</f>
        <v>0.82363636363636372</v>
      </c>
      <c r="Q26" s="27" t="s">
        <v>8</v>
      </c>
      <c r="R26" s="32"/>
      <c r="S26" s="32"/>
      <c r="T26" s="32"/>
      <c r="U26" s="30"/>
    </row>
    <row r="27" spans="1:24" s="2" customFormat="1">
      <c r="A27" s="14" t="str">
        <f>'19'!$B$2</f>
        <v>19/01/2025 01:00</v>
      </c>
      <c r="B27" s="16">
        <f>'19'!B36</f>
        <v>21.362083333333331</v>
      </c>
      <c r="C27" s="16">
        <f>'19'!C36</f>
        <v>29.673333333333328</v>
      </c>
      <c r="D27" s="16">
        <f>'19'!D36</f>
        <v>33.799999999999997</v>
      </c>
      <c r="E27" s="16">
        <f>'19'!E36</f>
        <v>12.012916666666669</v>
      </c>
      <c r="F27" s="16">
        <f>'19'!F36</f>
        <v>4.9995833333333337</v>
      </c>
      <c r="G27" s="16">
        <f>'19'!G36</f>
        <v>118.90833333333335</v>
      </c>
      <c r="H27" s="16">
        <f>'19'!H36</f>
        <v>44.172499999999992</v>
      </c>
      <c r="I27" s="16">
        <f>'19'!I36</f>
        <v>13.623750000000001</v>
      </c>
      <c r="J27" s="16">
        <f>'19'!J36</f>
        <v>0.38250000000000006</v>
      </c>
      <c r="K27" s="16">
        <f>'19'!K36</f>
        <v>181.01791666666668</v>
      </c>
      <c r="L27" s="16">
        <f>'19'!L36</f>
        <v>20.313333333333333</v>
      </c>
      <c r="M27" s="16">
        <f>'19'!M36</f>
        <v>62.360416666666659</v>
      </c>
      <c r="N27" s="16">
        <f>'19'!N36</f>
        <v>115.06666666666665</v>
      </c>
      <c r="O27" s="16">
        <f>'19'!O36</f>
        <v>0</v>
      </c>
      <c r="P27" s="16">
        <f>'19'!P36</f>
        <v>1.1537500000000001</v>
      </c>
      <c r="Q27" s="27" t="s">
        <v>8</v>
      </c>
      <c r="R27" s="32"/>
      <c r="S27" s="32"/>
      <c r="T27" s="32"/>
      <c r="U27" s="30"/>
    </row>
    <row r="28" spans="1:24" s="2" customFormat="1">
      <c r="A28" s="14" t="str">
        <f>'20'!$B$2</f>
        <v>20/01/2025 01:00</v>
      </c>
      <c r="B28" s="16">
        <f>'20'!B36</f>
        <v>21.483333333333334</v>
      </c>
      <c r="C28" s="16">
        <f>'20'!C36</f>
        <v>27.942916666666672</v>
      </c>
      <c r="D28" s="16">
        <f>'20'!D36</f>
        <v>32.933750000000011</v>
      </c>
      <c r="E28" s="16">
        <f>'20'!E36</f>
        <v>10.627916666666666</v>
      </c>
      <c r="F28" s="16">
        <f>'20'!F36</f>
        <v>4.9137500000000003</v>
      </c>
      <c r="G28" s="16">
        <f>'20'!G36</f>
        <v>101.07666666666667</v>
      </c>
      <c r="H28" s="16">
        <f>'20'!H36</f>
        <v>34.570416666666667</v>
      </c>
      <c r="I28" s="16">
        <f>'20'!I36</f>
        <v>13.500833333333334</v>
      </c>
      <c r="J28" s="16">
        <f>'20'!J36</f>
        <v>0.41666666666666657</v>
      </c>
      <c r="K28" s="16">
        <f>'20'!K36</f>
        <v>200.89708333333331</v>
      </c>
      <c r="L28" s="16">
        <f>'20'!L36</f>
        <v>20.329583333333328</v>
      </c>
      <c r="M28" s="16">
        <f>'20'!M36</f>
        <v>62.465000000000003</v>
      </c>
      <c r="N28" s="16">
        <f>'20'!N36</f>
        <v>120.06666666666672</v>
      </c>
      <c r="O28" s="16">
        <f>'20'!O36</f>
        <v>0</v>
      </c>
      <c r="P28" s="16">
        <f>'20'!P36</f>
        <v>1.1108333333333336</v>
      </c>
      <c r="Q28" s="27" t="s">
        <v>8</v>
      </c>
      <c r="R28" s="32"/>
      <c r="S28" s="32"/>
      <c r="T28" s="32"/>
      <c r="U28" s="30"/>
    </row>
    <row r="29" spans="1:24" s="2" customFormat="1">
      <c r="A29" s="14" t="str">
        <f>'21'!$B$2</f>
        <v>21/01/2025 01:00</v>
      </c>
      <c r="B29" s="16">
        <f>'21'!B36</f>
        <v>13.928333333333333</v>
      </c>
      <c r="C29" s="16">
        <f>'21'!C36</f>
        <v>28.724583333333342</v>
      </c>
      <c r="D29" s="16">
        <f>'21'!D36</f>
        <v>27.392916666666668</v>
      </c>
      <c r="E29" s="16">
        <f>'21'!E36</f>
        <v>13.952916666666669</v>
      </c>
      <c r="F29" s="16">
        <f>'21'!F36</f>
        <v>5.0933333333333337</v>
      </c>
      <c r="G29" s="16">
        <f>'21'!G36</f>
        <v>95.296666666666667</v>
      </c>
      <c r="H29" s="16">
        <f>'21'!H36</f>
        <v>29.84666666666666</v>
      </c>
      <c r="I29" s="16">
        <f>'21'!I36</f>
        <v>12.5375</v>
      </c>
      <c r="J29" s="16">
        <f>'21'!J36</f>
        <v>0.46333333333333332</v>
      </c>
      <c r="K29" s="16">
        <f>'21'!K36</f>
        <v>166.33750000000001</v>
      </c>
      <c r="L29" s="16">
        <f>'21'!L36</f>
        <v>21.181250000000002</v>
      </c>
      <c r="M29" s="16">
        <f>'21'!M36</f>
        <v>65.305833333333325</v>
      </c>
      <c r="N29" s="16">
        <f>'21'!N36</f>
        <v>115.40833333333335</v>
      </c>
      <c r="O29" s="16">
        <f>'21'!O36</f>
        <v>0</v>
      </c>
      <c r="P29" s="16">
        <f>'21'!P36</f>
        <v>1.0195833333333335</v>
      </c>
      <c r="Q29" s="28" t="s">
        <v>15</v>
      </c>
      <c r="R29" s="32"/>
      <c r="S29" s="32"/>
      <c r="T29" s="32"/>
      <c r="U29" s="30"/>
    </row>
    <row r="30" spans="1:24" s="2" customFormat="1">
      <c r="A30" s="14" t="str">
        <f>'22'!$B$2</f>
        <v>22/01/2025 01:00</v>
      </c>
      <c r="B30" s="16">
        <f>'22'!B36</f>
        <v>23.579166666666669</v>
      </c>
      <c r="C30" s="16">
        <f>'22'!C36</f>
        <v>31.280416666666667</v>
      </c>
      <c r="D30" s="16">
        <f>'22'!D36</f>
        <v>36.324583333333337</v>
      </c>
      <c r="E30" s="16">
        <f>'22'!E36</f>
        <v>13.957083333333335</v>
      </c>
      <c r="F30" s="16">
        <f>'22'!F36</f>
        <v>7.3941666666666679</v>
      </c>
      <c r="G30" s="16">
        <f>'22'!G36</f>
        <v>137.92291666666668</v>
      </c>
      <c r="H30" s="16">
        <f>'22'!H36</f>
        <v>33.997916666666661</v>
      </c>
      <c r="I30" s="16">
        <f>'22'!I36</f>
        <v>15.246666666666663</v>
      </c>
      <c r="J30" s="16">
        <f>'22'!J36</f>
        <v>0.40291666666666676</v>
      </c>
      <c r="K30" s="16">
        <f>'22'!K36</f>
        <v>165.20333333333332</v>
      </c>
      <c r="L30" s="16">
        <f>'22'!L36</f>
        <v>21.917500000000004</v>
      </c>
      <c r="M30" s="16">
        <f>'22'!M36</f>
        <v>67.904166666666669</v>
      </c>
      <c r="N30" s="16">
        <f>'22'!N36</f>
        <v>109.97083333333335</v>
      </c>
      <c r="O30" s="16">
        <f>'22'!O36</f>
        <v>0</v>
      </c>
      <c r="P30" s="16">
        <f>'22'!P36</f>
        <v>1.2795833333333333</v>
      </c>
      <c r="Q30" s="28" t="s">
        <v>15</v>
      </c>
      <c r="R30" s="32"/>
      <c r="S30" s="30"/>
      <c r="T30" s="30"/>
      <c r="U30" s="30"/>
    </row>
    <row r="31" spans="1:24" s="2" customFormat="1">
      <c r="A31" s="14" t="str">
        <f>'23'!$B$2</f>
        <v>23/01/2025 01:00</v>
      </c>
      <c r="B31" s="16">
        <f>'23'!B36</f>
        <v>21.853750000000002</v>
      </c>
      <c r="C31" s="16">
        <f>'23'!C36</f>
        <v>27.773750000000003</v>
      </c>
      <c r="D31" s="16">
        <f>'23'!D36</f>
        <v>33.265000000000001</v>
      </c>
      <c r="E31" s="16">
        <f>'23'!E36</f>
        <v>10.582916666666666</v>
      </c>
      <c r="F31" s="16">
        <f>'23'!F36</f>
        <v>6.1654166666666663</v>
      </c>
      <c r="G31" s="16">
        <f>'23'!G36</f>
        <v>110.1925</v>
      </c>
      <c r="H31" s="16">
        <f>'23'!H36</f>
        <v>36.877083333333339</v>
      </c>
      <c r="I31" s="16">
        <f>'23'!I36</f>
        <v>14.084999999999999</v>
      </c>
      <c r="J31" s="16">
        <f>'23'!J36</f>
        <v>0.34499999999999997</v>
      </c>
      <c r="K31" s="16">
        <f>'23'!K36</f>
        <v>230.49833333333336</v>
      </c>
      <c r="L31" s="16">
        <f>'23'!L36</f>
        <v>23.348333333333333</v>
      </c>
      <c r="M31" s="16">
        <f>'23'!M36</f>
        <v>64.949583333333337</v>
      </c>
      <c r="N31" s="16">
        <f>'23'!N36</f>
        <v>109.76666666666667</v>
      </c>
      <c r="O31" s="16">
        <f>'23'!O36</f>
        <v>0</v>
      </c>
      <c r="P31" s="16">
        <f>'23'!P36</f>
        <v>1.0474999999999999</v>
      </c>
      <c r="Q31" s="28" t="s">
        <v>15</v>
      </c>
      <c r="R31" s="30"/>
      <c r="S31" s="30"/>
      <c r="T31" s="30"/>
      <c r="U31" s="30"/>
    </row>
    <row r="32" spans="1:24" s="2" customFormat="1">
      <c r="A32" s="14" t="str">
        <f>'24'!$B$2</f>
        <v>24/01/2025 01:00</v>
      </c>
      <c r="B32" s="16">
        <f>'24'!B36</f>
        <v>14.162500000000001</v>
      </c>
      <c r="C32" s="16">
        <f>'24'!C36</f>
        <v>30.325833333333339</v>
      </c>
      <c r="D32" s="16">
        <f>'24'!D36</f>
        <v>28.265833333333333</v>
      </c>
      <c r="E32" s="16">
        <f>'24'!E36</f>
        <v>11.203750000000001</v>
      </c>
      <c r="F32" s="16">
        <f>'24'!F36</f>
        <v>9.5349999999999966</v>
      </c>
      <c r="G32" s="16">
        <f>'24'!G36</f>
        <v>121.01666666666667</v>
      </c>
      <c r="H32" s="16">
        <f>'24'!H36</f>
        <v>47.569583333333327</v>
      </c>
      <c r="I32" s="16">
        <f>'24'!I36</f>
        <v>16.907499999999999</v>
      </c>
      <c r="J32" s="16">
        <f>'24'!J36</f>
        <v>0.34833333333333333</v>
      </c>
      <c r="K32" s="16">
        <f>'24'!K36</f>
        <v>243.19708333333335</v>
      </c>
      <c r="L32" s="16">
        <f>'24'!L36</f>
        <v>23.261666666666667</v>
      </c>
      <c r="M32" s="16">
        <f>'24'!M36</f>
        <v>68.582083333333344</v>
      </c>
      <c r="N32" s="16">
        <f>'24'!N36</f>
        <v>92.737500000000011</v>
      </c>
      <c r="O32" s="16">
        <f>'24'!O36</f>
        <v>0</v>
      </c>
      <c r="P32" s="16">
        <f>'24'!P36</f>
        <v>1.3858333333333335</v>
      </c>
      <c r="Q32" s="28" t="s">
        <v>15</v>
      </c>
      <c r="R32" s="30"/>
      <c r="S32" s="30"/>
      <c r="T32" s="30"/>
      <c r="U32" s="30"/>
    </row>
    <row r="33" spans="1:21" s="2" customFormat="1">
      <c r="A33" s="14" t="str">
        <f>'25'!$B$2</f>
        <v>25/01/2025 01:00</v>
      </c>
      <c r="B33" s="16">
        <f>'25'!B36</f>
        <v>20.910416666666666</v>
      </c>
      <c r="C33" s="16">
        <f>'25'!C36</f>
        <v>28.847916666666663</v>
      </c>
      <c r="D33" s="16">
        <f>'25'!D36</f>
        <v>33.065000000000005</v>
      </c>
      <c r="E33" s="16">
        <f>'25'!E36</f>
        <v>11.361666666666666</v>
      </c>
      <c r="F33" s="16">
        <f>'25'!F36</f>
        <v>6.0054166666666662</v>
      </c>
      <c r="G33" s="16">
        <f>'25'!G36</f>
        <v>99.894999999999996</v>
      </c>
      <c r="H33" s="16">
        <f>'25'!H36</f>
        <v>33.927083333333329</v>
      </c>
      <c r="I33" s="16">
        <f>'25'!I36</f>
        <v>16.108750000000001</v>
      </c>
      <c r="J33" s="16">
        <f>'25'!J36</f>
        <v>0.39083333333333331</v>
      </c>
      <c r="K33" s="16">
        <f>'25'!K36</f>
        <v>201.27541666666664</v>
      </c>
      <c r="L33" s="16">
        <f>'25'!L36</f>
        <v>23.054999999999993</v>
      </c>
      <c r="M33" s="16">
        <f>'25'!M36</f>
        <v>69.218750000000014</v>
      </c>
      <c r="N33" s="16">
        <f>'25'!N36</f>
        <v>99.954166666666666</v>
      </c>
      <c r="O33" s="16">
        <f>'25'!O36</f>
        <v>0</v>
      </c>
      <c r="P33" s="16">
        <f>'25'!P36</f>
        <v>1.1495833333333332</v>
      </c>
      <c r="Q33" s="16">
        <f>'25'!Q36</f>
        <v>10.387500000000003</v>
      </c>
      <c r="R33" s="30"/>
      <c r="S33" s="30"/>
      <c r="T33" s="30"/>
      <c r="U33" s="30"/>
    </row>
    <row r="34" spans="1:21" s="2" customFormat="1">
      <c r="A34" s="14" t="str">
        <f>'26'!$B$2</f>
        <v>26/01/2025 01:00</v>
      </c>
      <c r="B34" s="16">
        <f>'26'!B36</f>
        <v>17.811666666666664</v>
      </c>
      <c r="C34" s="16">
        <f>'26'!C36</f>
        <v>28.529583333333335</v>
      </c>
      <c r="D34" s="16">
        <f>'26'!D36</f>
        <v>30.435833333333335</v>
      </c>
      <c r="E34" s="16">
        <f>'26'!E36</f>
        <v>10.84125</v>
      </c>
      <c r="F34" s="16">
        <f>'26'!F36</f>
        <v>6.3412500000000014</v>
      </c>
      <c r="G34" s="16">
        <f>'26'!G36</f>
        <v>90.507083333333341</v>
      </c>
      <c r="H34" s="16">
        <f>'26'!H36</f>
        <v>25.796250000000004</v>
      </c>
      <c r="I34" s="16">
        <f>'26'!I36</f>
        <v>13.647916666666665</v>
      </c>
      <c r="J34" s="16">
        <f>'26'!J36</f>
        <v>0.46083333333333337</v>
      </c>
      <c r="K34" s="16">
        <f>'26'!K36</f>
        <v>149.34333333333333</v>
      </c>
      <c r="L34" s="16">
        <f>'26'!L36</f>
        <v>22.408749999999998</v>
      </c>
      <c r="M34" s="16">
        <f>'26'!M36</f>
        <v>64.951666666666654</v>
      </c>
      <c r="N34" s="16">
        <f>'26'!N36</f>
        <v>106.86666666666669</v>
      </c>
      <c r="O34" s="16">
        <f>'26'!O36</f>
        <v>0</v>
      </c>
      <c r="P34" s="16">
        <f>'26'!P36</f>
        <v>0.96166666666666634</v>
      </c>
      <c r="Q34" s="16">
        <f>'26'!Q36</f>
        <v>10.5</v>
      </c>
      <c r="R34" s="30"/>
      <c r="S34" s="30"/>
      <c r="T34" s="30"/>
      <c r="U34" s="30"/>
    </row>
    <row r="35" spans="1:21" s="2" customFormat="1">
      <c r="A35" s="14" t="str">
        <f>'27'!$B$2</f>
        <v>27/01/2025 01:00</v>
      </c>
      <c r="B35" s="16">
        <f>'27'!B36</f>
        <v>14.721249999999996</v>
      </c>
      <c r="C35" s="16">
        <f>'27'!C36</f>
        <v>28.471666666666668</v>
      </c>
      <c r="D35" s="16">
        <f>'27'!D36</f>
        <v>27.860833333333336</v>
      </c>
      <c r="E35" s="16">
        <f>'27'!E36</f>
        <v>10.36375</v>
      </c>
      <c r="F35" s="16">
        <f>'27'!F36</f>
        <v>18.215</v>
      </c>
      <c r="G35" s="16">
        <f>'27'!G36</f>
        <v>85.027499999999989</v>
      </c>
      <c r="H35" s="16">
        <f>'27'!H36</f>
        <v>22.452916666666663</v>
      </c>
      <c r="I35" s="16">
        <f>'27'!I36</f>
        <v>10.042083333333332</v>
      </c>
      <c r="J35" s="16">
        <f>'27'!J36</f>
        <v>0.49291666666666673</v>
      </c>
      <c r="K35" s="16">
        <f>'27'!K36</f>
        <v>189.37624999999994</v>
      </c>
      <c r="L35" s="16">
        <f>'27'!L36</f>
        <v>21.896666666666672</v>
      </c>
      <c r="M35" s="16">
        <f>'27'!M36</f>
        <v>56.449166666666677</v>
      </c>
      <c r="N35" s="16">
        <f>'27'!N36</f>
        <v>112.57916666666669</v>
      </c>
      <c r="O35" s="16">
        <f>'27'!O36</f>
        <v>0</v>
      </c>
      <c r="P35" s="16">
        <f>'27'!P36</f>
        <v>0.77208333333333357</v>
      </c>
      <c r="Q35" s="16">
        <f>'27'!Q36</f>
        <v>12.150833333333333</v>
      </c>
      <c r="R35" s="30"/>
      <c r="S35" s="30"/>
      <c r="T35" s="30"/>
      <c r="U35" s="30"/>
    </row>
    <row r="36" spans="1:21" s="2" customFormat="1">
      <c r="A36" s="14" t="str">
        <f>'28'!$B$2</f>
        <v>28/01/2025 01:00</v>
      </c>
      <c r="B36" s="16">
        <f>'28'!B36</f>
        <v>17.321250000000003</v>
      </c>
      <c r="C36" s="16">
        <f>'28'!C36</f>
        <v>27.898333333333326</v>
      </c>
      <c r="D36" s="16">
        <f>'28'!D36</f>
        <v>29.653333333333325</v>
      </c>
      <c r="E36" s="16">
        <f>'28'!E36</f>
        <v>12.332499999999998</v>
      </c>
      <c r="F36" s="16">
        <f>'28'!F36</f>
        <v>7.4379166666666654</v>
      </c>
      <c r="G36" s="16">
        <f>'28'!G36</f>
        <v>91.664583333333326</v>
      </c>
      <c r="H36" s="16">
        <f>'28'!H36</f>
        <v>25.957499999999996</v>
      </c>
      <c r="I36" s="16">
        <f>'28'!I36</f>
        <v>11.560416666666669</v>
      </c>
      <c r="J36" s="16">
        <f>'28'!J36</f>
        <v>0.45041666666666674</v>
      </c>
      <c r="K36" s="16">
        <f>'28'!K36</f>
        <v>147.34999999999997</v>
      </c>
      <c r="L36" s="16">
        <f>'28'!L36</f>
        <v>22.239583333333332</v>
      </c>
      <c r="M36" s="16">
        <f>'28'!M36</f>
        <v>58.679166666666696</v>
      </c>
      <c r="N36" s="16">
        <f>'28'!N36</f>
        <v>109.13333333333334</v>
      </c>
      <c r="O36" s="16">
        <f>'28'!O36</f>
        <v>0</v>
      </c>
      <c r="P36" s="16">
        <f>'28'!P36</f>
        <v>0.89458333333333329</v>
      </c>
      <c r="Q36" s="16">
        <f>'28'!Q36</f>
        <v>13.009583333333333</v>
      </c>
      <c r="R36" s="30"/>
      <c r="S36" s="30"/>
      <c r="T36" s="30"/>
      <c r="U36" s="30"/>
    </row>
    <row r="37" spans="1:21" s="2" customFormat="1">
      <c r="A37" s="14" t="str">
        <f>'29'!$B$2</f>
        <v>29/01/2025 01:00</v>
      </c>
      <c r="B37" s="16">
        <f>'29'!B36</f>
        <v>14.721666666666671</v>
      </c>
      <c r="C37" s="16">
        <f>'29'!C36</f>
        <v>29.186666666666671</v>
      </c>
      <c r="D37" s="16">
        <f>'29'!D36</f>
        <v>28.244166666666668</v>
      </c>
      <c r="E37" s="16">
        <f>'29'!E36</f>
        <v>15.442083333333331</v>
      </c>
      <c r="F37" s="16">
        <f>'29'!F36</f>
        <v>8.6674999999999986</v>
      </c>
      <c r="G37" s="16">
        <f>'29'!G36</f>
        <v>122.94083333333337</v>
      </c>
      <c r="H37" s="16">
        <f>'29'!H36</f>
        <v>35.039583333333333</v>
      </c>
      <c r="I37" s="16">
        <f>'29'!I36</f>
        <v>16.979166666666668</v>
      </c>
      <c r="J37" s="16">
        <f>'29'!J36</f>
        <v>0.37958333333333338</v>
      </c>
      <c r="K37" s="16">
        <f>'29'!K36</f>
        <v>220.26750000000001</v>
      </c>
      <c r="L37" s="16">
        <f>'29'!L36</f>
        <v>22.869999999999994</v>
      </c>
      <c r="M37" s="16">
        <f>'29'!M36</f>
        <v>72.844999999999999</v>
      </c>
      <c r="N37" s="16">
        <f>'29'!N36</f>
        <v>94.637499999999974</v>
      </c>
      <c r="O37" s="16">
        <f>'29'!O36</f>
        <v>0</v>
      </c>
      <c r="P37" s="16">
        <f>'29'!P36</f>
        <v>1.1904166666666665</v>
      </c>
      <c r="Q37" s="16">
        <f>'29'!Q36</f>
        <v>13.038750000000002</v>
      </c>
      <c r="R37" s="30"/>
      <c r="S37" s="30"/>
      <c r="T37" s="30"/>
      <c r="U37" s="30"/>
    </row>
    <row r="38" spans="1:21" s="2" customFormat="1">
      <c r="A38" s="14" t="str">
        <f>'30'!$B$2</f>
        <v>30/01/2025 01:00</v>
      </c>
      <c r="B38" s="16">
        <f>'30'!B36</f>
        <v>7.0291666666666677</v>
      </c>
      <c r="C38" s="16">
        <f>'30'!C36</f>
        <v>23.63625</v>
      </c>
      <c r="D38" s="16">
        <f>'30'!D36</f>
        <v>19.255833333333335</v>
      </c>
      <c r="E38" s="16">
        <f>'30'!E36</f>
        <v>11.237083333333333</v>
      </c>
      <c r="F38" s="16">
        <f>'30'!F36</f>
        <v>6.4295833333333343</v>
      </c>
      <c r="G38" s="16">
        <f>'30'!G36</f>
        <v>69.574583333333337</v>
      </c>
      <c r="H38" s="16">
        <f>'30'!H36</f>
        <v>26.97999999999999</v>
      </c>
      <c r="I38" s="16">
        <f>'30'!I36</f>
        <v>15.282916666666663</v>
      </c>
      <c r="J38" s="16">
        <f>'30'!J36</f>
        <v>0.44083333333333324</v>
      </c>
      <c r="K38" s="16">
        <f>'30'!K36</f>
        <v>228.3808333333333</v>
      </c>
      <c r="L38" s="16">
        <f>'30'!L36</f>
        <v>24.537916666666671</v>
      </c>
      <c r="M38" s="16">
        <f>'30'!M36</f>
        <v>72.190416666666678</v>
      </c>
      <c r="N38" s="16">
        <f>'30'!N36</f>
        <v>96.95</v>
      </c>
      <c r="O38" s="16">
        <f>'30'!O36</f>
        <v>0</v>
      </c>
      <c r="P38" s="16">
        <f>'30'!P36</f>
        <v>0.97375</v>
      </c>
      <c r="Q38" s="16">
        <f>'30'!Q36</f>
        <v>12.990416666666667</v>
      </c>
      <c r="R38" s="30"/>
      <c r="S38" s="30"/>
      <c r="T38" s="30"/>
      <c r="U38" s="30"/>
    </row>
    <row r="39" spans="1:2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1" s="1" customFormat="1">
      <c r="A40" s="3" t="s">
        <v>48</v>
      </c>
      <c r="B40" s="18">
        <f t="shared" ref="B40:Q40" si="0">MIN(B9:B38)</f>
        <v>7.0291666666666677</v>
      </c>
      <c r="C40" s="18">
        <f t="shared" si="0"/>
        <v>22.442083333333333</v>
      </c>
      <c r="D40" s="18">
        <f t="shared" si="0"/>
        <v>19.212500000000002</v>
      </c>
      <c r="E40" s="18">
        <f t="shared" si="0"/>
        <v>8.1222727272727244</v>
      </c>
      <c r="F40" s="18">
        <f t="shared" si="0"/>
        <v>2.5941176470588245</v>
      </c>
      <c r="G40" s="18">
        <f t="shared" si="0"/>
        <v>67.045000000000002</v>
      </c>
      <c r="H40" s="18">
        <f t="shared" si="0"/>
        <v>20.365000000000002</v>
      </c>
      <c r="I40" s="18">
        <f t="shared" si="0"/>
        <v>8.5566666666666666</v>
      </c>
      <c r="J40" s="18">
        <f t="shared" si="0"/>
        <v>0.26695652173913043</v>
      </c>
      <c r="K40" s="18">
        <f t="shared" si="0"/>
        <v>54.192083333333322</v>
      </c>
      <c r="L40" s="18">
        <f t="shared" si="0"/>
        <v>18.10541666666667</v>
      </c>
      <c r="M40" s="18">
        <f t="shared" si="0"/>
        <v>45.324583333333351</v>
      </c>
      <c r="N40" s="18">
        <f t="shared" si="0"/>
        <v>70.737499999999983</v>
      </c>
      <c r="O40" s="18">
        <f t="shared" si="0"/>
        <v>0</v>
      </c>
      <c r="P40" s="18">
        <f t="shared" si="0"/>
        <v>0.69791666666666652</v>
      </c>
      <c r="Q40" s="18">
        <f t="shared" si="0"/>
        <v>10.387500000000003</v>
      </c>
      <c r="R40" s="18"/>
      <c r="S40" s="18"/>
      <c r="T40" s="18"/>
      <c r="U40" s="18"/>
    </row>
    <row r="41" spans="1:21" s="1" customFormat="1">
      <c r="A41" s="3" t="s">
        <v>49</v>
      </c>
      <c r="B41" s="18">
        <f t="shared" ref="B41:Q41" si="1">MAX(B9:B38)</f>
        <v>32.015882352941169</v>
      </c>
      <c r="C41" s="18">
        <f t="shared" si="1"/>
        <v>31.280416666666667</v>
      </c>
      <c r="D41" s="18">
        <f t="shared" si="1"/>
        <v>41.255882352941178</v>
      </c>
      <c r="E41" s="18">
        <f t="shared" si="1"/>
        <v>15.442083333333331</v>
      </c>
      <c r="F41" s="18">
        <f t="shared" si="1"/>
        <v>18.215</v>
      </c>
      <c r="G41" s="18">
        <f t="shared" si="1"/>
        <v>137.92291666666668</v>
      </c>
      <c r="H41" s="18">
        <f t="shared" si="1"/>
        <v>47.569583333333327</v>
      </c>
      <c r="I41" s="18">
        <f t="shared" si="1"/>
        <v>16.979166666666668</v>
      </c>
      <c r="J41" s="18">
        <f t="shared" si="1"/>
        <v>0.91166666666666663</v>
      </c>
      <c r="K41" s="18">
        <f t="shared" si="1"/>
        <v>243.19708333333335</v>
      </c>
      <c r="L41" s="18">
        <f t="shared" si="1"/>
        <v>24.537916666666671</v>
      </c>
      <c r="M41" s="18">
        <f t="shared" si="1"/>
        <v>73.492173913043487</v>
      </c>
      <c r="N41" s="18">
        <f t="shared" si="1"/>
        <v>152.71176470588236</v>
      </c>
      <c r="O41" s="18">
        <f t="shared" si="1"/>
        <v>0</v>
      </c>
      <c r="P41" s="18">
        <f t="shared" si="1"/>
        <v>1.3858333333333335</v>
      </c>
      <c r="Q41" s="18">
        <f t="shared" si="1"/>
        <v>13.050416666666665</v>
      </c>
      <c r="R41" s="18"/>
      <c r="S41" s="18"/>
      <c r="T41" s="18"/>
      <c r="U41" s="18"/>
    </row>
    <row r="42" spans="1:21" s="1" customFormat="1">
      <c r="A42" s="3" t="s">
        <v>50</v>
      </c>
      <c r="B42" s="18">
        <f t="shared" ref="B42:Q42" si="2">AVERAGE(B9:B38)</f>
        <v>16.892900953266679</v>
      </c>
      <c r="C42" s="18">
        <f t="shared" si="2"/>
        <v>27.184071682296114</v>
      </c>
      <c r="D42" s="18">
        <f t="shared" si="2"/>
        <v>28.946170276938179</v>
      </c>
      <c r="E42" s="18">
        <f t="shared" si="2"/>
        <v>10.594939888010542</v>
      </c>
      <c r="F42" s="18">
        <f t="shared" si="2"/>
        <v>6.4814065285204991</v>
      </c>
      <c r="G42" s="18">
        <f t="shared" si="2"/>
        <v>97.687858020744571</v>
      </c>
      <c r="H42" s="18">
        <f t="shared" si="2"/>
        <v>32.161764563796531</v>
      </c>
      <c r="I42" s="18">
        <f t="shared" si="2"/>
        <v>13.09522891640187</v>
      </c>
      <c r="J42" s="18">
        <f t="shared" si="2"/>
        <v>0.45527436771810165</v>
      </c>
      <c r="K42" s="18">
        <f t="shared" si="2"/>
        <v>176.61895229468601</v>
      </c>
      <c r="L42" s="18">
        <f t="shared" si="2"/>
        <v>20.924264883489631</v>
      </c>
      <c r="M42" s="18">
        <f t="shared" si="2"/>
        <v>64.296514457232163</v>
      </c>
      <c r="N42" s="18">
        <f t="shared" si="2"/>
        <v>104.71054916169369</v>
      </c>
      <c r="O42" s="18">
        <f t="shared" si="2"/>
        <v>0</v>
      </c>
      <c r="P42" s="18">
        <f t="shared" si="2"/>
        <v>0.98945514931927969</v>
      </c>
      <c r="Q42" s="18">
        <f t="shared" si="2"/>
        <v>12.559820075757573</v>
      </c>
      <c r="R42" s="18"/>
      <c r="S42" s="18"/>
      <c r="T42" s="18"/>
      <c r="U42" s="18"/>
    </row>
    <row r="43" spans="1:21" s="1" customFormat="1">
      <c r="A43" s="3" t="s">
        <v>51</v>
      </c>
      <c r="B43" s="18">
        <f t="shared" ref="B43:Q43" si="3">STDEV(B9:B38)</f>
        <v>6.260007145547795</v>
      </c>
      <c r="C43" s="18">
        <f t="shared" si="3"/>
        <v>2.5017513544082415</v>
      </c>
      <c r="D43" s="18">
        <f t="shared" si="3"/>
        <v>5.6146770807625419</v>
      </c>
      <c r="E43" s="18">
        <f t="shared" si="3"/>
        <v>1.6657421643331822</v>
      </c>
      <c r="F43" s="18">
        <f t="shared" si="3"/>
        <v>2.7242632590825129</v>
      </c>
      <c r="G43" s="18">
        <f t="shared" si="3"/>
        <v>16.795420129882373</v>
      </c>
      <c r="H43" s="18">
        <f t="shared" si="3"/>
        <v>6.8544818668930168</v>
      </c>
      <c r="I43" s="18">
        <f t="shared" si="3"/>
        <v>2.2264663973747307</v>
      </c>
      <c r="J43" s="18">
        <f t="shared" si="3"/>
        <v>0.11550722613457272</v>
      </c>
      <c r="K43" s="18">
        <f t="shared" si="3"/>
        <v>43.492377637473098</v>
      </c>
      <c r="L43" s="18">
        <f t="shared" si="3"/>
        <v>1.6561588902093458</v>
      </c>
      <c r="M43" s="18">
        <f t="shared" si="3"/>
        <v>5.7774485598348315</v>
      </c>
      <c r="N43" s="18">
        <f t="shared" si="3"/>
        <v>15.857531724046593</v>
      </c>
      <c r="O43" s="18">
        <f t="shared" si="3"/>
        <v>0</v>
      </c>
      <c r="P43" s="18">
        <f t="shared" si="3"/>
        <v>0.15841852976052356</v>
      </c>
      <c r="Q43" s="18">
        <f t="shared" si="3"/>
        <v>0.9098686613609076</v>
      </c>
      <c r="R43" s="18"/>
      <c r="S43" s="18"/>
      <c r="T43" s="18"/>
      <c r="U43" s="18"/>
    </row>
    <row r="44" spans="1:21" s="1" customFormat="1">
      <c r="A44" s="3" t="s">
        <v>52</v>
      </c>
      <c r="B44" s="3">
        <f t="shared" ref="B44:Q44" si="4">COUNT(B9:B38)</f>
        <v>30</v>
      </c>
      <c r="C44" s="3">
        <f t="shared" si="4"/>
        <v>30</v>
      </c>
      <c r="D44" s="3">
        <f t="shared" si="4"/>
        <v>30</v>
      </c>
      <c r="E44" s="3">
        <f t="shared" si="4"/>
        <v>30</v>
      </c>
      <c r="F44" s="3">
        <f>COUNT(F9:F38)+2</f>
        <v>30</v>
      </c>
      <c r="G44" s="3">
        <f t="shared" si="4"/>
        <v>30</v>
      </c>
      <c r="H44" s="3">
        <f t="shared" si="4"/>
        <v>30</v>
      </c>
      <c r="I44" s="3">
        <f t="shared" si="4"/>
        <v>30</v>
      </c>
      <c r="J44" s="3">
        <f t="shared" si="4"/>
        <v>30</v>
      </c>
      <c r="K44" s="3">
        <f t="shared" si="4"/>
        <v>30</v>
      </c>
      <c r="L44" s="3">
        <f t="shared" si="4"/>
        <v>30</v>
      </c>
      <c r="M44" s="3">
        <f t="shared" si="4"/>
        <v>30</v>
      </c>
      <c r="N44" s="3">
        <f t="shared" si="4"/>
        <v>30</v>
      </c>
      <c r="O44" s="3">
        <f t="shared" si="4"/>
        <v>30</v>
      </c>
      <c r="P44" s="3">
        <f t="shared" si="4"/>
        <v>30</v>
      </c>
      <c r="Q44" s="18">
        <f>COUNT(Q9:Q38)+7</f>
        <v>23</v>
      </c>
      <c r="R44" s="3"/>
      <c r="S44" s="3"/>
      <c r="T44" s="3"/>
      <c r="U44" s="3"/>
    </row>
    <row r="45" spans="1:21" s="1" customFormat="1">
      <c r="A45" s="3" t="s">
        <v>53</v>
      </c>
      <c r="B45" s="3" t="str">
        <f>IF(B44&gt;=28,"&gt;90%",IF(B44&lt;=28,"&lt;90%"))</f>
        <v>&gt;90%</v>
      </c>
      <c r="C45" s="3" t="str">
        <f t="shared" ref="C45:Q45" si="5">IF(C44&gt;=28,"&gt;90%",IF(C44&lt;=28,"&lt;90%"))</f>
        <v>&gt;90%</v>
      </c>
      <c r="D45" s="3" t="str">
        <f t="shared" si="5"/>
        <v>&gt;90%</v>
      </c>
      <c r="E45" s="3" t="str">
        <f t="shared" si="5"/>
        <v>&gt;90%</v>
      </c>
      <c r="F45" s="3" t="str">
        <f t="shared" si="5"/>
        <v>&gt;90%</v>
      </c>
      <c r="G45" s="3" t="str">
        <f t="shared" si="5"/>
        <v>&gt;90%</v>
      </c>
      <c r="H45" s="3" t="str">
        <f t="shared" si="5"/>
        <v>&gt;90%</v>
      </c>
      <c r="I45" s="3" t="str">
        <f t="shared" si="5"/>
        <v>&gt;90%</v>
      </c>
      <c r="J45" s="3" t="str">
        <f t="shared" si="5"/>
        <v>&gt;90%</v>
      </c>
      <c r="K45" s="3" t="str">
        <f t="shared" si="5"/>
        <v>&gt;90%</v>
      </c>
      <c r="L45" s="3" t="str">
        <f t="shared" si="5"/>
        <v>&gt;90%</v>
      </c>
      <c r="M45" s="3" t="str">
        <f t="shared" si="5"/>
        <v>&gt;90%</v>
      </c>
      <c r="N45" s="3" t="str">
        <f t="shared" si="5"/>
        <v>&gt;90%</v>
      </c>
      <c r="O45" s="3" t="str">
        <f t="shared" si="5"/>
        <v>&gt;90%</v>
      </c>
      <c r="P45" s="3" t="str">
        <f t="shared" si="5"/>
        <v>&gt;90%</v>
      </c>
      <c r="Q45" s="3" t="str">
        <f t="shared" si="5"/>
        <v>&lt;90%</v>
      </c>
      <c r="R45" s="3"/>
      <c r="S45" s="3"/>
      <c r="T45" s="3"/>
      <c r="U45" s="3"/>
    </row>
    <row r="46" spans="1:21" s="1" customFormat="1">
      <c r="A46" s="3" t="s">
        <v>54</v>
      </c>
      <c r="B46" s="3" t="str">
        <f>IF(B44&gt;=28,"OK",IF(B44&lt;=28,"LESS"))</f>
        <v>OK</v>
      </c>
      <c r="C46" s="3" t="str">
        <f t="shared" ref="C46:Q46" si="6">IF(C44&gt;=28,"OK",IF(C44&lt;=28,"LESS"))</f>
        <v>OK</v>
      </c>
      <c r="D46" s="3" t="str">
        <f t="shared" si="6"/>
        <v>OK</v>
      </c>
      <c r="E46" s="3" t="str">
        <f t="shared" si="6"/>
        <v>OK</v>
      </c>
      <c r="F46" s="3" t="str">
        <f t="shared" si="6"/>
        <v>OK</v>
      </c>
      <c r="G46" s="3" t="str">
        <f t="shared" si="6"/>
        <v>OK</v>
      </c>
      <c r="H46" s="3" t="str">
        <f t="shared" si="6"/>
        <v>OK</v>
      </c>
      <c r="I46" s="3" t="str">
        <f t="shared" si="6"/>
        <v>OK</v>
      </c>
      <c r="J46" s="3" t="str">
        <f t="shared" si="6"/>
        <v>OK</v>
      </c>
      <c r="K46" s="3" t="str">
        <f t="shared" si="6"/>
        <v>OK</v>
      </c>
      <c r="L46" s="3" t="str">
        <f t="shared" si="6"/>
        <v>OK</v>
      </c>
      <c r="M46" s="3" t="str">
        <f t="shared" si="6"/>
        <v>OK</v>
      </c>
      <c r="N46" s="3" t="str">
        <f t="shared" si="6"/>
        <v>OK</v>
      </c>
      <c r="O46" s="3" t="str">
        <f t="shared" si="6"/>
        <v>OK</v>
      </c>
      <c r="P46" s="3" t="str">
        <f t="shared" si="6"/>
        <v>OK</v>
      </c>
      <c r="Q46" s="3" t="str">
        <f t="shared" si="6"/>
        <v>LESS</v>
      </c>
      <c r="R46" s="3"/>
      <c r="S46" s="3"/>
      <c r="T46" s="3"/>
      <c r="U46" s="3"/>
    </row>
    <row r="47" spans="1:2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9" spans="1:16">
      <c r="A49" s="3" t="s">
        <v>55</v>
      </c>
      <c r="B49" s="19" t="s">
        <v>56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20"/>
      <c r="E50" s="20"/>
      <c r="F50" s="20"/>
      <c r="G50" s="20"/>
      <c r="H50" s="20"/>
      <c r="I50" s="20"/>
      <c r="J50" s="1"/>
      <c r="K50" s="1"/>
      <c r="L50" s="1"/>
      <c r="M50" s="1"/>
      <c r="N50" s="1"/>
      <c r="O50" s="1"/>
      <c r="P50" s="1"/>
    </row>
    <row r="51" spans="1:16" ht="15.75">
      <c r="A51" s="21" t="s">
        <v>57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mergeCells count="1">
    <mergeCell ref="B51:P5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Company>wbpcb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2018-07-30T12:51:00Z</cp:lastPrinted>
  <dcterms:created xsi:type="dcterms:W3CDTF">2013-08-23T16:44:00Z</dcterms:created>
  <dcterms:modified xsi:type="dcterms:W3CDTF">2025-12-12T09:42:57Z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