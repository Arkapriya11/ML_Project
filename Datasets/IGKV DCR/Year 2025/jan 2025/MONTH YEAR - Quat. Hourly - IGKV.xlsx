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om\Desktop\IGKB DCR\Year 2025\jan 2025\"/>
    </mc:Choice>
  </mc:AlternateContent>
  <xr:revisionPtr revIDLastSave="0" documentId="13_ncr:1_{EC744CC4-F235-42F1-8C40-3BE5AC68705B}" xr6:coauthVersionLast="47" xr6:coauthVersionMax="47" xr10:uidLastSave="{00000000-0000-0000-0000-000000000000}"/>
  <bookViews>
    <workbookView xWindow="-120" yWindow="-120" windowWidth="20730" windowHeight="11040" tabRatio="814" firstSheet="14" activeTab="32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91029"/>
</workbook>
</file>

<file path=xl/calcChain.xml><?xml version="1.0" encoding="utf-8"?>
<calcChain xmlns="http://schemas.openxmlformats.org/spreadsheetml/2006/main">
  <c r="F45" i="39" l="1"/>
  <c r="F110" i="41"/>
  <c r="F112" i="41" s="1"/>
  <c r="F110" i="40"/>
  <c r="F112" i="40" s="1"/>
  <c r="F110" i="44"/>
  <c r="F110" i="33"/>
  <c r="F112" i="33" s="1"/>
  <c r="Q110" i="21"/>
  <c r="I110" i="21"/>
  <c r="H110" i="21"/>
  <c r="J110" i="21"/>
  <c r="K110" i="21"/>
  <c r="L110" i="21"/>
  <c r="M110" i="21"/>
  <c r="N110" i="21"/>
  <c r="O110" i="21"/>
  <c r="P110" i="21"/>
  <c r="G110" i="21"/>
  <c r="C110" i="21"/>
  <c r="D110" i="21"/>
  <c r="E110" i="21"/>
  <c r="F110" i="21"/>
  <c r="B110" i="21"/>
  <c r="F110" i="19"/>
  <c r="F112" i="19"/>
  <c r="Q110" i="11"/>
  <c r="K110" i="11"/>
  <c r="L110" i="11"/>
  <c r="M110" i="11"/>
  <c r="N110" i="11"/>
  <c r="O110" i="11"/>
  <c r="J110" i="11"/>
  <c r="I110" i="11"/>
  <c r="H110" i="11"/>
  <c r="P110" i="11"/>
  <c r="G110" i="11"/>
  <c r="E110" i="11"/>
  <c r="C110" i="11"/>
  <c r="D110" i="11"/>
  <c r="B110" i="11"/>
  <c r="C110" i="9"/>
  <c r="D110" i="9"/>
  <c r="E110" i="9"/>
  <c r="G110" i="9"/>
  <c r="H110" i="9"/>
  <c r="I110" i="9"/>
  <c r="J110" i="9"/>
  <c r="K110" i="9"/>
  <c r="L110" i="9"/>
  <c r="M110" i="9"/>
  <c r="N110" i="9"/>
  <c r="O110" i="9"/>
  <c r="P110" i="9"/>
  <c r="Q110" i="9"/>
  <c r="Q112" i="9" s="1"/>
  <c r="B110" i="9"/>
  <c r="F110" i="8"/>
  <c r="F110" i="3"/>
  <c r="F110" i="2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Q110" i="41"/>
  <c r="Q112" i="41" s="1"/>
  <c r="P110" i="41"/>
  <c r="P112" i="41" s="1"/>
  <c r="O110" i="41"/>
  <c r="O112" i="41" s="1"/>
  <c r="N110" i="41"/>
  <c r="N112" i="41" s="1"/>
  <c r="M110" i="41"/>
  <c r="M112" i="41" s="1"/>
  <c r="L110" i="41"/>
  <c r="L112" i="41" s="1"/>
  <c r="K110" i="41"/>
  <c r="K112" i="41" s="1"/>
  <c r="J110" i="41"/>
  <c r="J112" i="41" s="1"/>
  <c r="I110" i="41"/>
  <c r="I112" i="41" s="1"/>
  <c r="H110" i="41"/>
  <c r="H112" i="41" s="1"/>
  <c r="G110" i="41"/>
  <c r="G112" i="41" s="1"/>
  <c r="E110" i="41"/>
  <c r="E112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9" i="39" s="1"/>
  <c r="P108" i="41"/>
  <c r="P39" i="39" s="1"/>
  <c r="O108" i="41"/>
  <c r="O39" i="39" s="1"/>
  <c r="N108" i="41"/>
  <c r="N39" i="39" s="1"/>
  <c r="M108" i="41"/>
  <c r="M39" i="39" s="1"/>
  <c r="L108" i="41"/>
  <c r="L39" i="39" s="1"/>
  <c r="K108" i="41"/>
  <c r="K39" i="39" s="1"/>
  <c r="J108" i="41"/>
  <c r="J39" i="39" s="1"/>
  <c r="I108" i="41"/>
  <c r="I39" i="39" s="1"/>
  <c r="H108" i="41"/>
  <c r="H39" i="39" s="1"/>
  <c r="G108" i="41"/>
  <c r="G39" i="39" s="1"/>
  <c r="F108" i="41"/>
  <c r="E108" i="41"/>
  <c r="E39" i="39" s="1"/>
  <c r="D108" i="41"/>
  <c r="D39" i="39" s="1"/>
  <c r="C108" i="41"/>
  <c r="C39" i="39" s="1"/>
  <c r="B108" i="41"/>
  <c r="B39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9" i="39" s="1"/>
  <c r="J111" i="40"/>
  <c r="Q110" i="40"/>
  <c r="Q112" i="40" s="1"/>
  <c r="P110" i="40"/>
  <c r="P112" i="40" s="1"/>
  <c r="O110" i="40"/>
  <c r="O112" i="40" s="1"/>
  <c r="N110" i="40"/>
  <c r="N112" i="40" s="1"/>
  <c r="M110" i="40"/>
  <c r="M112" i="40" s="1"/>
  <c r="L110" i="40"/>
  <c r="L112" i="40" s="1"/>
  <c r="K110" i="40"/>
  <c r="K112" i="40" s="1"/>
  <c r="J110" i="40"/>
  <c r="J112" i="40" s="1"/>
  <c r="I110" i="40"/>
  <c r="I112" i="40" s="1"/>
  <c r="H110" i="40"/>
  <c r="H112" i="40" s="1"/>
  <c r="G110" i="40"/>
  <c r="G112" i="40" s="1"/>
  <c r="E110" i="40"/>
  <c r="E112" i="40" s="1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E108" i="40"/>
  <c r="E38" i="39" s="1"/>
  <c r="D108" i="40"/>
  <c r="D38" i="39" s="1"/>
  <c r="C108" i="40"/>
  <c r="C38" i="39" s="1"/>
  <c r="B108" i="40"/>
  <c r="B38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L112" i="44"/>
  <c r="K112" i="44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1" i="44" s="1"/>
  <c r="K110" i="44"/>
  <c r="K111" i="44" s="1"/>
  <c r="J110" i="44"/>
  <c r="J112" i="44" s="1"/>
  <c r="I110" i="44"/>
  <c r="I112" i="44" s="1"/>
  <c r="H110" i="44"/>
  <c r="H112" i="44" s="1"/>
  <c r="G110" i="44"/>
  <c r="G112" i="44" s="1"/>
  <c r="F112" i="44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E108" i="44"/>
  <c r="E37" i="39" s="1"/>
  <c r="D108" i="44"/>
  <c r="D37" i="39" s="1"/>
  <c r="C108" i="44"/>
  <c r="C37" i="39" s="1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Q110" i="33"/>
  <c r="Q112" i="33" s="1"/>
  <c r="P110" i="33"/>
  <c r="P112" i="33" s="1"/>
  <c r="O110" i="33"/>
  <c r="O112" i="33" s="1"/>
  <c r="N110" i="33"/>
  <c r="N112" i="33" s="1"/>
  <c r="M110" i="33"/>
  <c r="M112" i="33" s="1"/>
  <c r="L110" i="33"/>
  <c r="L112" i="33" s="1"/>
  <c r="K110" i="33"/>
  <c r="K112" i="33" s="1"/>
  <c r="J110" i="33"/>
  <c r="J112" i="33" s="1"/>
  <c r="I110" i="33"/>
  <c r="I112" i="33" s="1"/>
  <c r="H110" i="33"/>
  <c r="H112" i="33" s="1"/>
  <c r="G110" i="33"/>
  <c r="G112" i="33" s="1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E108" i="33"/>
  <c r="E36" i="39" s="1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Q110" i="32"/>
  <c r="Q112" i="32" s="1"/>
  <c r="P110" i="32"/>
  <c r="P112" i="32" s="1"/>
  <c r="O110" i="32"/>
  <c r="O112" i="32" s="1"/>
  <c r="N110" i="32"/>
  <c r="N112" i="32" s="1"/>
  <c r="M110" i="32"/>
  <c r="M112" i="32" s="1"/>
  <c r="L110" i="32"/>
  <c r="L112" i="32" s="1"/>
  <c r="K110" i="32"/>
  <c r="K112" i="32" s="1"/>
  <c r="J110" i="32"/>
  <c r="J112" i="32" s="1"/>
  <c r="I110" i="32"/>
  <c r="I112" i="32" s="1"/>
  <c r="H110" i="32"/>
  <c r="H112" i="32" s="1"/>
  <c r="G110" i="32"/>
  <c r="G112" i="32" s="1"/>
  <c r="F110" i="32"/>
  <c r="F112" i="32" s="1"/>
  <c r="E110" i="32"/>
  <c r="E112" i="32" s="1"/>
  <c r="D110" i="32"/>
  <c r="D112" i="32" s="1"/>
  <c r="C110" i="32"/>
  <c r="C112" i="32" s="1"/>
  <c r="B110" i="32"/>
  <c r="B112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N112" i="31"/>
  <c r="N111" i="31"/>
  <c r="Q110" i="31"/>
  <c r="Q112" i="31" s="1"/>
  <c r="P110" i="31"/>
  <c r="P112" i="31" s="1"/>
  <c r="O110" i="31"/>
  <c r="O112" i="31" s="1"/>
  <c r="N110" i="31"/>
  <c r="M110" i="31"/>
  <c r="M112" i="31" s="1"/>
  <c r="L110" i="31"/>
  <c r="L112" i="31" s="1"/>
  <c r="K110" i="31"/>
  <c r="K112" i="31" s="1"/>
  <c r="J110" i="31"/>
  <c r="J112" i="31" s="1"/>
  <c r="I110" i="31"/>
  <c r="I112" i="31" s="1"/>
  <c r="H110" i="31"/>
  <c r="H112" i="31" s="1"/>
  <c r="G110" i="31"/>
  <c r="G112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Q110" i="30"/>
  <c r="Q112" i="30" s="1"/>
  <c r="P110" i="30"/>
  <c r="P112" i="30" s="1"/>
  <c r="O110" i="30"/>
  <c r="O111" i="30" s="1"/>
  <c r="N110" i="30"/>
  <c r="N112" i="30" s="1"/>
  <c r="M110" i="30"/>
  <c r="M112" i="30" s="1"/>
  <c r="L110" i="30"/>
  <c r="L112" i="30" s="1"/>
  <c r="K110" i="30"/>
  <c r="K112" i="30" s="1"/>
  <c r="J110" i="30"/>
  <c r="J112" i="30" s="1"/>
  <c r="I110" i="30"/>
  <c r="I112" i="30" s="1"/>
  <c r="H110" i="30"/>
  <c r="H112" i="30" s="1"/>
  <c r="G110" i="30"/>
  <c r="G112" i="30" s="1"/>
  <c r="F110" i="30"/>
  <c r="F112" i="30" s="1"/>
  <c r="E110" i="30"/>
  <c r="E112" i="30" s="1"/>
  <c r="D110" i="30"/>
  <c r="D112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J110" i="29"/>
  <c r="J112" i="29" s="1"/>
  <c r="I110" i="29"/>
  <c r="I112" i="29" s="1"/>
  <c r="H110" i="29"/>
  <c r="H112" i="29" s="1"/>
  <c r="G110" i="29"/>
  <c r="G112" i="29" s="1"/>
  <c r="F110" i="29"/>
  <c r="F112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2" i="28" s="1"/>
  <c r="P110" i="28"/>
  <c r="P112" i="28" s="1"/>
  <c r="O110" i="28"/>
  <c r="O112" i="28" s="1"/>
  <c r="N110" i="28"/>
  <c r="N112" i="28" s="1"/>
  <c r="M110" i="28"/>
  <c r="M112" i="28" s="1"/>
  <c r="L110" i="28"/>
  <c r="L112" i="28" s="1"/>
  <c r="K110" i="28"/>
  <c r="K112" i="28" s="1"/>
  <c r="J110" i="28"/>
  <c r="J112" i="28" s="1"/>
  <c r="I110" i="28"/>
  <c r="I112" i="28" s="1"/>
  <c r="H110" i="28"/>
  <c r="H112" i="28" s="1"/>
  <c r="G110" i="28"/>
  <c r="G112" i="28" s="1"/>
  <c r="F110" i="28"/>
  <c r="F112" i="28" s="1"/>
  <c r="E110" i="28"/>
  <c r="E112" i="28" s="1"/>
  <c r="D110" i="28"/>
  <c r="D112" i="28" s="1"/>
  <c r="C110" i="28"/>
  <c r="C112" i="28" s="1"/>
  <c r="B110" i="28"/>
  <c r="B111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0" i="27"/>
  <c r="Q112" i="27" s="1"/>
  <c r="P110" i="27"/>
  <c r="P112" i="27" s="1"/>
  <c r="O110" i="27"/>
  <c r="O112" i="27" s="1"/>
  <c r="N110" i="27"/>
  <c r="N112" i="27" s="1"/>
  <c r="M110" i="27"/>
  <c r="M112" i="27" s="1"/>
  <c r="L110" i="27"/>
  <c r="L112" i="27" s="1"/>
  <c r="K110" i="27"/>
  <c r="K112" i="27" s="1"/>
  <c r="J110" i="27"/>
  <c r="J112" i="27" s="1"/>
  <c r="I110" i="27"/>
  <c r="I112" i="27" s="1"/>
  <c r="H110" i="27"/>
  <c r="H112" i="27" s="1"/>
  <c r="G110" i="27"/>
  <c r="G112" i="27" s="1"/>
  <c r="F110" i="27"/>
  <c r="F112" i="27" s="1"/>
  <c r="E110" i="27"/>
  <c r="E112" i="27" s="1"/>
  <c r="D110" i="27"/>
  <c r="D112" i="27" s="1"/>
  <c r="C110" i="27"/>
  <c r="C112" i="27" s="1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Q110" i="26"/>
  <c r="Q112" i="26" s="1"/>
  <c r="P110" i="26"/>
  <c r="P112" i="26" s="1"/>
  <c r="O110" i="26"/>
  <c r="O112" i="26" s="1"/>
  <c r="N110" i="26"/>
  <c r="N112" i="26" s="1"/>
  <c r="M110" i="26"/>
  <c r="M112" i="26" s="1"/>
  <c r="L110" i="26"/>
  <c r="L112" i="26" s="1"/>
  <c r="K110" i="26"/>
  <c r="K112" i="26" s="1"/>
  <c r="J110" i="26"/>
  <c r="J112" i="26" s="1"/>
  <c r="I110" i="26"/>
  <c r="I112" i="26" s="1"/>
  <c r="H110" i="26"/>
  <c r="H112" i="26" s="1"/>
  <c r="G110" i="26"/>
  <c r="G112" i="26" s="1"/>
  <c r="F110" i="26"/>
  <c r="F112" i="26" s="1"/>
  <c r="E110" i="26"/>
  <c r="E112" i="26" s="1"/>
  <c r="D110" i="26"/>
  <c r="D112" i="26" s="1"/>
  <c r="C110" i="26"/>
  <c r="C112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10" i="25"/>
  <c r="Q112" i="25" s="1"/>
  <c r="P110" i="25"/>
  <c r="P112" i="25" s="1"/>
  <c r="O110" i="25"/>
  <c r="O112" i="25" s="1"/>
  <c r="N110" i="25"/>
  <c r="N112" i="25" s="1"/>
  <c r="M110" i="25"/>
  <c r="M112" i="25" s="1"/>
  <c r="L110" i="25"/>
  <c r="L112" i="25" s="1"/>
  <c r="K110" i="25"/>
  <c r="K112" i="25" s="1"/>
  <c r="J110" i="25"/>
  <c r="J112" i="25" s="1"/>
  <c r="I110" i="25"/>
  <c r="I112" i="25" s="1"/>
  <c r="H110" i="25"/>
  <c r="H112" i="25" s="1"/>
  <c r="G110" i="25"/>
  <c r="G112" i="25" s="1"/>
  <c r="F110" i="25"/>
  <c r="F112" i="25" s="1"/>
  <c r="E110" i="25"/>
  <c r="E112" i="25" s="1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2" i="24" s="1"/>
  <c r="M110" i="24"/>
  <c r="M112" i="24" s="1"/>
  <c r="L110" i="24"/>
  <c r="L112" i="24" s="1"/>
  <c r="K110" i="24"/>
  <c r="K112" i="24" s="1"/>
  <c r="J110" i="24"/>
  <c r="J112" i="24" s="1"/>
  <c r="I110" i="24"/>
  <c r="I112" i="24" s="1"/>
  <c r="H110" i="24"/>
  <c r="H112" i="24" s="1"/>
  <c r="G110" i="24"/>
  <c r="G112" i="24" s="1"/>
  <c r="F110" i="24"/>
  <c r="F111" i="24" s="1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2" i="23" s="1"/>
  <c r="M110" i="23"/>
  <c r="M112" i="23" s="1"/>
  <c r="L110" i="23"/>
  <c r="L112" i="23" s="1"/>
  <c r="K110" i="23"/>
  <c r="K112" i="23" s="1"/>
  <c r="J110" i="23"/>
  <c r="J112" i="23" s="1"/>
  <c r="I110" i="23"/>
  <c r="I112" i="23" s="1"/>
  <c r="H110" i="23"/>
  <c r="H112" i="23" s="1"/>
  <c r="G110" i="23"/>
  <c r="G112" i="23" s="1"/>
  <c r="F110" i="23"/>
  <c r="F112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H111" i="22"/>
  <c r="G111" i="22"/>
  <c r="Q110" i="22"/>
  <c r="Q112" i="22" s="1"/>
  <c r="P110" i="22"/>
  <c r="P112" i="22" s="1"/>
  <c r="O110" i="22"/>
  <c r="O112" i="22" s="1"/>
  <c r="N110" i="22"/>
  <c r="N112" i="22" s="1"/>
  <c r="M110" i="22"/>
  <c r="M112" i="22" s="1"/>
  <c r="L110" i="22"/>
  <c r="L112" i="22" s="1"/>
  <c r="K110" i="22"/>
  <c r="K112" i="22" s="1"/>
  <c r="J110" i="22"/>
  <c r="J112" i="22" s="1"/>
  <c r="I110" i="22"/>
  <c r="I112" i="22" s="1"/>
  <c r="H110" i="22"/>
  <c r="H112" i="22" s="1"/>
  <c r="G110" i="22"/>
  <c r="G112" i="22" s="1"/>
  <c r="F110" i="22"/>
  <c r="F112" i="22" s="1"/>
  <c r="E110" i="22"/>
  <c r="E112" i="22" s="1"/>
  <c r="D110" i="22"/>
  <c r="D112" i="22" s="1"/>
  <c r="C110" i="22"/>
  <c r="C112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I112" i="21"/>
  <c r="Q112" i="21"/>
  <c r="P112" i="21"/>
  <c r="O112" i="21"/>
  <c r="N112" i="21"/>
  <c r="M112" i="21"/>
  <c r="L112" i="21"/>
  <c r="K112" i="21"/>
  <c r="J112" i="21"/>
  <c r="I111" i="21"/>
  <c r="H111" i="21"/>
  <c r="G112" i="21"/>
  <c r="F112" i="21"/>
  <c r="E112" i="21"/>
  <c r="D112" i="21"/>
  <c r="C112" i="21"/>
  <c r="B112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Q110" i="20"/>
  <c r="Q112" i="20" s="1"/>
  <c r="P110" i="20"/>
  <c r="P112" i="20" s="1"/>
  <c r="O110" i="20"/>
  <c r="O112" i="20" s="1"/>
  <c r="N110" i="20"/>
  <c r="N112" i="20" s="1"/>
  <c r="M110" i="20"/>
  <c r="M112" i="20" s="1"/>
  <c r="L110" i="20"/>
  <c r="L112" i="20" s="1"/>
  <c r="K110" i="20"/>
  <c r="K112" i="20" s="1"/>
  <c r="J110" i="20"/>
  <c r="J112" i="20" s="1"/>
  <c r="I110" i="20"/>
  <c r="I112" i="20" s="1"/>
  <c r="H110" i="20"/>
  <c r="H112" i="20" s="1"/>
  <c r="G110" i="20"/>
  <c r="G112" i="20" s="1"/>
  <c r="F110" i="20"/>
  <c r="F112" i="20" s="1"/>
  <c r="E110" i="20"/>
  <c r="E112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Q110" i="19"/>
  <c r="Q112" i="19" s="1"/>
  <c r="P110" i="19"/>
  <c r="P112" i="19" s="1"/>
  <c r="O110" i="19"/>
  <c r="O112" i="19" s="1"/>
  <c r="N110" i="19"/>
  <c r="N112" i="19" s="1"/>
  <c r="M110" i="19"/>
  <c r="M112" i="19" s="1"/>
  <c r="L110" i="19"/>
  <c r="L112" i="19" s="1"/>
  <c r="K110" i="19"/>
  <c r="K112" i="19" s="1"/>
  <c r="J110" i="19"/>
  <c r="J112" i="19" s="1"/>
  <c r="I110" i="19"/>
  <c r="I112" i="19" s="1"/>
  <c r="H110" i="19"/>
  <c r="H112" i="19" s="1"/>
  <c r="G110" i="19"/>
  <c r="G112" i="19" s="1"/>
  <c r="E110" i="19"/>
  <c r="E112" i="19" s="1"/>
  <c r="D110" i="19"/>
  <c r="D112" i="19" s="1"/>
  <c r="C110" i="19"/>
  <c r="C112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2" i="18" s="1"/>
  <c r="O110" i="18"/>
  <c r="O112" i="18" s="1"/>
  <c r="N110" i="18"/>
  <c r="N112" i="18" s="1"/>
  <c r="M110" i="18"/>
  <c r="M112" i="18" s="1"/>
  <c r="L110" i="18"/>
  <c r="L112" i="18" s="1"/>
  <c r="K110" i="18"/>
  <c r="K111" i="18" s="1"/>
  <c r="J110" i="18"/>
  <c r="J112" i="18" s="1"/>
  <c r="I110" i="18"/>
  <c r="I112" i="18" s="1"/>
  <c r="H110" i="18"/>
  <c r="H112" i="18" s="1"/>
  <c r="G110" i="18"/>
  <c r="G112" i="18" s="1"/>
  <c r="F110" i="18"/>
  <c r="F112" i="18" s="1"/>
  <c r="E110" i="18"/>
  <c r="E112" i="18" s="1"/>
  <c r="D110" i="18"/>
  <c r="D112" i="18" s="1"/>
  <c r="C110" i="18"/>
  <c r="C112" i="18" s="1"/>
  <c r="B110" i="18"/>
  <c r="B112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Q110" i="17"/>
  <c r="Q112" i="17" s="1"/>
  <c r="P110" i="17"/>
  <c r="P112" i="17" s="1"/>
  <c r="O110" i="17"/>
  <c r="O112" i="17" s="1"/>
  <c r="N110" i="17"/>
  <c r="N112" i="17" s="1"/>
  <c r="M110" i="17"/>
  <c r="M112" i="17" s="1"/>
  <c r="L110" i="17"/>
  <c r="L112" i="17" s="1"/>
  <c r="K110" i="17"/>
  <c r="K112" i="17" s="1"/>
  <c r="J110" i="17"/>
  <c r="J112" i="17" s="1"/>
  <c r="I110" i="17"/>
  <c r="I112" i="17" s="1"/>
  <c r="H110" i="17"/>
  <c r="H112" i="17" s="1"/>
  <c r="G110" i="17"/>
  <c r="G112" i="17" s="1"/>
  <c r="F110" i="17"/>
  <c r="F112" i="17" s="1"/>
  <c r="E110" i="17"/>
  <c r="E112" i="17" s="1"/>
  <c r="D110" i="17"/>
  <c r="D112" i="17" s="1"/>
  <c r="C110" i="17"/>
  <c r="C112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Q110" i="16"/>
  <c r="Q112" i="16" s="1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J110" i="16"/>
  <c r="J112" i="16" s="1"/>
  <c r="I110" i="16"/>
  <c r="I112" i="16" s="1"/>
  <c r="H110" i="16"/>
  <c r="H112" i="16" s="1"/>
  <c r="G110" i="16"/>
  <c r="G112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O112" i="15"/>
  <c r="N112" i="15"/>
  <c r="Q110" i="15"/>
  <c r="Q112" i="15" s="1"/>
  <c r="P110" i="15"/>
  <c r="P112" i="15" s="1"/>
  <c r="O110" i="15"/>
  <c r="O111" i="15" s="1"/>
  <c r="N110" i="15"/>
  <c r="N111" i="15" s="1"/>
  <c r="M110" i="15"/>
  <c r="L110" i="15"/>
  <c r="K110" i="15"/>
  <c r="J110" i="15"/>
  <c r="I110" i="15"/>
  <c r="I112" i="15" s="1"/>
  <c r="H110" i="15"/>
  <c r="H112" i="15" s="1"/>
  <c r="G110" i="15"/>
  <c r="G112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Q110" i="14"/>
  <c r="Q112" i="14" s="1"/>
  <c r="P110" i="14"/>
  <c r="P112" i="14" s="1"/>
  <c r="O110" i="14"/>
  <c r="O112" i="14" s="1"/>
  <c r="N110" i="14"/>
  <c r="N112" i="14" s="1"/>
  <c r="M110" i="14"/>
  <c r="M112" i="14" s="1"/>
  <c r="L110" i="14"/>
  <c r="L112" i="14" s="1"/>
  <c r="K110" i="14"/>
  <c r="K112" i="14" s="1"/>
  <c r="J110" i="14"/>
  <c r="J112" i="14" s="1"/>
  <c r="I110" i="14"/>
  <c r="I112" i="14" s="1"/>
  <c r="H110" i="14"/>
  <c r="H112" i="14" s="1"/>
  <c r="G110" i="14"/>
  <c r="G112" i="14" s="1"/>
  <c r="F110" i="14"/>
  <c r="F111" i="14" s="1"/>
  <c r="E110" i="14"/>
  <c r="E112" i="14" s="1"/>
  <c r="D110" i="14"/>
  <c r="D112" i="14" s="1"/>
  <c r="C110" i="14"/>
  <c r="C112" i="14" s="1"/>
  <c r="B110" i="14"/>
  <c r="B112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2" i="13" s="1"/>
  <c r="O110" i="13"/>
  <c r="O112" i="13" s="1"/>
  <c r="N110" i="13"/>
  <c r="N112" i="13" s="1"/>
  <c r="M110" i="13"/>
  <c r="M112" i="13" s="1"/>
  <c r="L110" i="13"/>
  <c r="L112" i="13" s="1"/>
  <c r="K110" i="13"/>
  <c r="K112" i="13" s="1"/>
  <c r="J110" i="13"/>
  <c r="J112" i="13" s="1"/>
  <c r="I110" i="13"/>
  <c r="I112" i="13" s="1"/>
  <c r="H110" i="13"/>
  <c r="H112" i="13" s="1"/>
  <c r="G110" i="13"/>
  <c r="G111" i="13" s="1"/>
  <c r="F110" i="13"/>
  <c r="F111" i="13" s="1"/>
  <c r="E110" i="13"/>
  <c r="E112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2" i="12" s="1"/>
  <c r="N110" i="12"/>
  <c r="N112" i="12" s="1"/>
  <c r="M110" i="12"/>
  <c r="M112" i="12" s="1"/>
  <c r="L110" i="12"/>
  <c r="L112" i="12" s="1"/>
  <c r="K110" i="12"/>
  <c r="K112" i="12" s="1"/>
  <c r="J110" i="12"/>
  <c r="J112" i="12" s="1"/>
  <c r="I110" i="12"/>
  <c r="I112" i="12" s="1"/>
  <c r="H110" i="12"/>
  <c r="H111" i="12" s="1"/>
  <c r="G110" i="12"/>
  <c r="G112" i="12" s="1"/>
  <c r="F110" i="12"/>
  <c r="F112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2" i="11"/>
  <c r="P112" i="11"/>
  <c r="O112" i="11"/>
  <c r="N112" i="11"/>
  <c r="M112" i="11"/>
  <c r="L112" i="11"/>
  <c r="K112" i="11"/>
  <c r="J112" i="11"/>
  <c r="I111" i="11"/>
  <c r="H112" i="11"/>
  <c r="G112" i="11"/>
  <c r="F110" i="11"/>
  <c r="F112" i="11" s="1"/>
  <c r="E112" i="11"/>
  <c r="D112" i="11"/>
  <c r="C112" i="11"/>
  <c r="B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 s="1"/>
  <c r="O110" i="10"/>
  <c r="O112" i="10" s="1"/>
  <c r="N110" i="10"/>
  <c r="N112" i="10" s="1"/>
  <c r="M110" i="10"/>
  <c r="M112" i="10" s="1"/>
  <c r="L110" i="10"/>
  <c r="L112" i="10" s="1"/>
  <c r="K110" i="10"/>
  <c r="K112" i="10" s="1"/>
  <c r="J110" i="10"/>
  <c r="J111" i="10" s="1"/>
  <c r="I110" i="10"/>
  <c r="I111" i="10" s="1"/>
  <c r="H110" i="10"/>
  <c r="H111" i="10" s="1"/>
  <c r="G110" i="10"/>
  <c r="G112" i="10" s="1"/>
  <c r="F110" i="10"/>
  <c r="F112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P112" i="9"/>
  <c r="O112" i="9"/>
  <c r="N112" i="9"/>
  <c r="M112" i="9"/>
  <c r="L112" i="9"/>
  <c r="K112" i="9"/>
  <c r="J112" i="9"/>
  <c r="I111" i="9"/>
  <c r="H112" i="9"/>
  <c r="G112" i="9"/>
  <c r="F112" i="9"/>
  <c r="E112" i="9"/>
  <c r="D112" i="9"/>
  <c r="C112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2" i="8" s="1"/>
  <c r="O110" i="8"/>
  <c r="O112" i="8" s="1"/>
  <c r="N110" i="8"/>
  <c r="N111" i="8" s="1"/>
  <c r="M110" i="8"/>
  <c r="M112" i="8" s="1"/>
  <c r="L110" i="8"/>
  <c r="L112" i="8" s="1"/>
  <c r="K110" i="8"/>
  <c r="K112" i="8" s="1"/>
  <c r="J110" i="8"/>
  <c r="J111" i="8" s="1"/>
  <c r="I110" i="8"/>
  <c r="I112" i="8" s="1"/>
  <c r="H110" i="8"/>
  <c r="H112" i="8" s="1"/>
  <c r="G110" i="8"/>
  <c r="G112" i="8" s="1"/>
  <c r="F112" i="8"/>
  <c r="E110" i="8"/>
  <c r="E112" i="8" s="1"/>
  <c r="D110" i="8"/>
  <c r="D112" i="8" s="1"/>
  <c r="C110" i="8"/>
  <c r="C112" i="8" s="1"/>
  <c r="B110" i="8"/>
  <c r="B112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0" i="3"/>
  <c r="Q112" i="3" s="1"/>
  <c r="P110" i="3"/>
  <c r="P112" i="3" s="1"/>
  <c r="O110" i="3"/>
  <c r="O111" i="3" s="1"/>
  <c r="N110" i="3"/>
  <c r="N112" i="3" s="1"/>
  <c r="M110" i="3"/>
  <c r="M112" i="3" s="1"/>
  <c r="L110" i="3"/>
  <c r="L112" i="3" s="1"/>
  <c r="K110" i="3"/>
  <c r="K111" i="3" s="1"/>
  <c r="J110" i="3"/>
  <c r="J112" i="3" s="1"/>
  <c r="I110" i="3"/>
  <c r="I112" i="3" s="1"/>
  <c r="H110" i="3"/>
  <c r="H112" i="3" s="1"/>
  <c r="G110" i="3"/>
  <c r="G112" i="3" s="1"/>
  <c r="F112" i="3"/>
  <c r="E110" i="3"/>
  <c r="E112" i="3" s="1"/>
  <c r="D110" i="3"/>
  <c r="D112" i="3" s="1"/>
  <c r="C110" i="3"/>
  <c r="C112" i="3" s="1"/>
  <c r="B110" i="3"/>
  <c r="B111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110" i="2"/>
  <c r="Q112" i="2" s="1"/>
  <c r="P110" i="2"/>
  <c r="P112" i="2" s="1"/>
  <c r="O110" i="2"/>
  <c r="O112" i="2" s="1"/>
  <c r="N110" i="2"/>
  <c r="N111" i="2" s="1"/>
  <c r="M110" i="2"/>
  <c r="M111" i="2" s="1"/>
  <c r="L110" i="2"/>
  <c r="L111" i="2" s="1"/>
  <c r="K110" i="2"/>
  <c r="K112" i="2" s="1"/>
  <c r="J110" i="2"/>
  <c r="J112" i="2" s="1"/>
  <c r="I110" i="2"/>
  <c r="I112" i="2" s="1"/>
  <c r="H110" i="2"/>
  <c r="H112" i="2" s="1"/>
  <c r="G110" i="2"/>
  <c r="G112" i="2" s="1"/>
  <c r="F112" i="2"/>
  <c r="E110" i="2"/>
  <c r="E112" i="2" s="1"/>
  <c r="D110" i="2"/>
  <c r="D112" i="2" s="1"/>
  <c r="C110" i="2"/>
  <c r="C111" i="2" s="1"/>
  <c r="B110" i="2"/>
  <c r="B112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E108" i="2"/>
  <c r="E9" i="39" s="1"/>
  <c r="D108" i="2"/>
  <c r="D9" i="39" s="1"/>
  <c r="C108" i="2"/>
  <c r="C9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K111" i="40" l="1"/>
  <c r="O111" i="31"/>
  <c r="P111" i="30"/>
  <c r="O112" i="30"/>
  <c r="Q111" i="28"/>
  <c r="D111" i="25"/>
  <c r="E111" i="25"/>
  <c r="H112" i="21"/>
  <c r="J111" i="19"/>
  <c r="K111" i="19"/>
  <c r="L111" i="18"/>
  <c r="K112" i="18"/>
  <c r="M111" i="16"/>
  <c r="I41" i="39"/>
  <c r="J42" i="39"/>
  <c r="I42" i="39"/>
  <c r="I43" i="39"/>
  <c r="G45" i="39"/>
  <c r="G44" i="39"/>
  <c r="G43" i="39"/>
  <c r="G42" i="39"/>
  <c r="G41" i="39"/>
  <c r="J45" i="39"/>
  <c r="H45" i="39"/>
  <c r="H44" i="39"/>
  <c r="H43" i="39"/>
  <c r="H42" i="39"/>
  <c r="H41" i="39"/>
  <c r="L112" i="2"/>
  <c r="H112" i="10"/>
  <c r="M111" i="3"/>
  <c r="K111" i="9"/>
  <c r="K45" i="39"/>
  <c r="K44" i="39"/>
  <c r="K43" i="39"/>
  <c r="K42" i="39"/>
  <c r="K41" i="39"/>
  <c r="K111" i="2"/>
  <c r="J111" i="3"/>
  <c r="I111" i="8"/>
  <c r="H111" i="9"/>
  <c r="G111" i="10"/>
  <c r="F111" i="11"/>
  <c r="E111" i="12"/>
  <c r="D111" i="13"/>
  <c r="C111" i="14"/>
  <c r="F112" i="24"/>
  <c r="J41" i="39"/>
  <c r="D24" i="5"/>
  <c r="G111" i="12"/>
  <c r="J112" i="10"/>
  <c r="N111" i="3"/>
  <c r="M111" i="8"/>
  <c r="L111" i="9"/>
  <c r="K111" i="10"/>
  <c r="J111" i="11"/>
  <c r="I111" i="12"/>
  <c r="H111" i="13"/>
  <c r="G111" i="14"/>
  <c r="J43" i="39"/>
  <c r="M112" i="2"/>
  <c r="G112" i="13"/>
  <c r="P45" i="39"/>
  <c r="P44" i="39"/>
  <c r="P43" i="39"/>
  <c r="P42" i="39"/>
  <c r="P41" i="39"/>
  <c r="M111" i="9"/>
  <c r="L111" i="10"/>
  <c r="K111" i="11"/>
  <c r="J111" i="12"/>
  <c r="I111" i="13"/>
  <c r="H111" i="14"/>
  <c r="M111" i="32"/>
  <c r="I44" i="39"/>
  <c r="M45" i="39"/>
  <c r="M44" i="39"/>
  <c r="M43" i="39"/>
  <c r="M42" i="39"/>
  <c r="M41" i="39"/>
  <c r="I112" i="11"/>
  <c r="O111" i="2"/>
  <c r="O112" i="3"/>
  <c r="N112" i="8"/>
  <c r="Q45" i="39"/>
  <c r="Q44" i="39"/>
  <c r="Q43" i="39"/>
  <c r="Q42" i="39"/>
  <c r="Q41" i="39"/>
  <c r="Q111" i="2"/>
  <c r="P111" i="3"/>
  <c r="O111" i="8"/>
  <c r="N111" i="9"/>
  <c r="M111" i="10"/>
  <c r="L111" i="11"/>
  <c r="K111" i="12"/>
  <c r="J111" i="13"/>
  <c r="I111" i="14"/>
  <c r="N111" i="16"/>
  <c r="P111" i="29"/>
  <c r="N111" i="32"/>
  <c r="J44" i="39"/>
  <c r="K112" i="3"/>
  <c r="J112" i="8"/>
  <c r="I112" i="9"/>
  <c r="D111" i="14"/>
  <c r="J111" i="9"/>
  <c r="D44" i="5"/>
  <c r="P111" i="2"/>
  <c r="B45" i="39"/>
  <c r="B44" i="39"/>
  <c r="B43" i="39"/>
  <c r="B42" i="39"/>
  <c r="B41" i="39"/>
  <c r="B111" i="2"/>
  <c r="Q111" i="3"/>
  <c r="P111" i="8"/>
  <c r="O111" i="9"/>
  <c r="N111" i="10"/>
  <c r="M111" i="11"/>
  <c r="L111" i="12"/>
  <c r="K111" i="13"/>
  <c r="J111" i="14"/>
  <c r="C111" i="26"/>
  <c r="Q111" i="29"/>
  <c r="I45" i="39"/>
  <c r="I112" i="10"/>
  <c r="N112" i="2"/>
  <c r="Q111" i="8"/>
  <c r="P111" i="9"/>
  <c r="O111" i="10"/>
  <c r="N111" i="11"/>
  <c r="M111" i="12"/>
  <c r="L111" i="13"/>
  <c r="K111" i="14"/>
  <c r="J112" i="15"/>
  <c r="J111" i="15"/>
  <c r="F111" i="23"/>
  <c r="D111" i="26"/>
  <c r="G111" i="11"/>
  <c r="H112" i="12"/>
  <c r="B112" i="3"/>
  <c r="D45" i="39"/>
  <c r="D44" i="39"/>
  <c r="D43" i="39"/>
  <c r="D42" i="39"/>
  <c r="D41" i="39"/>
  <c r="D111" i="2"/>
  <c r="C111" i="3"/>
  <c r="B111" i="8"/>
  <c r="Q111" i="9"/>
  <c r="P111" i="10"/>
  <c r="O111" i="11"/>
  <c r="N111" i="12"/>
  <c r="M111" i="13"/>
  <c r="L111" i="14"/>
  <c r="K112" i="15"/>
  <c r="K111" i="15"/>
  <c r="I111" i="20"/>
  <c r="G111" i="23"/>
  <c r="I111" i="41"/>
  <c r="E111" i="13"/>
  <c r="F112" i="13"/>
  <c r="E111" i="14"/>
  <c r="N45" i="39"/>
  <c r="N44" i="39"/>
  <c r="N43" i="39"/>
  <c r="N42" i="39"/>
  <c r="N41" i="39"/>
  <c r="B112" i="28"/>
  <c r="O45" i="39"/>
  <c r="O44" i="39"/>
  <c r="O43" i="39"/>
  <c r="O42" i="39"/>
  <c r="O41" i="39"/>
  <c r="C112" i="2"/>
  <c r="E45" i="39"/>
  <c r="E44" i="39"/>
  <c r="E43" i="39"/>
  <c r="E42" i="39"/>
  <c r="E41" i="39"/>
  <c r="E111" i="2"/>
  <c r="D111" i="3"/>
  <c r="C111" i="8"/>
  <c r="B111" i="9"/>
  <c r="Q111" i="10"/>
  <c r="P111" i="11"/>
  <c r="O111" i="12"/>
  <c r="N111" i="13"/>
  <c r="M111" i="14"/>
  <c r="L112" i="15"/>
  <c r="L111" i="15"/>
  <c r="L111" i="17"/>
  <c r="J111" i="20"/>
  <c r="L111" i="33"/>
  <c r="J111" i="41"/>
  <c r="C45" i="39"/>
  <c r="C44" i="39"/>
  <c r="C43" i="39"/>
  <c r="C42" i="39"/>
  <c r="C41" i="39"/>
  <c r="F44" i="39"/>
  <c r="F43" i="39"/>
  <c r="F42" i="39"/>
  <c r="F41" i="39"/>
  <c r="F111" i="2"/>
  <c r="E111" i="3"/>
  <c r="D111" i="8"/>
  <c r="C111" i="9"/>
  <c r="B111" i="10"/>
  <c r="Q111" i="11"/>
  <c r="P111" i="12"/>
  <c r="O111" i="13"/>
  <c r="N111" i="14"/>
  <c r="M112" i="15"/>
  <c r="M111" i="15"/>
  <c r="M111" i="17"/>
  <c r="M111" i="33"/>
  <c r="L45" i="39"/>
  <c r="L44" i="39"/>
  <c r="L43" i="39"/>
  <c r="L42" i="39"/>
  <c r="L41" i="39"/>
  <c r="H111" i="11"/>
  <c r="L111" i="8"/>
  <c r="G111" i="2"/>
  <c r="F111" i="3"/>
  <c r="E111" i="8"/>
  <c r="D111" i="9"/>
  <c r="C111" i="10"/>
  <c r="B111" i="11"/>
  <c r="Q111" i="12"/>
  <c r="P111" i="13"/>
  <c r="O111" i="14"/>
  <c r="B111" i="27"/>
  <c r="F111" i="12"/>
  <c r="L111" i="3"/>
  <c r="F112" i="14"/>
  <c r="H111" i="2"/>
  <c r="G111" i="3"/>
  <c r="F111" i="8"/>
  <c r="E111" i="9"/>
  <c r="D111" i="10"/>
  <c r="C111" i="11"/>
  <c r="B111" i="12"/>
  <c r="Q111" i="13"/>
  <c r="P111" i="14"/>
  <c r="E111" i="24"/>
  <c r="C111" i="27"/>
  <c r="K111" i="8"/>
  <c r="I111" i="2"/>
  <c r="H111" i="3"/>
  <c r="G111" i="8"/>
  <c r="F111" i="9"/>
  <c r="E111" i="10"/>
  <c r="D111" i="11"/>
  <c r="C111" i="12"/>
  <c r="B111" i="13"/>
  <c r="Q111" i="14"/>
  <c r="J111" i="2"/>
  <c r="I111" i="3"/>
  <c r="H111" i="8"/>
  <c r="G111" i="9"/>
  <c r="F111" i="10"/>
  <c r="E111" i="11"/>
  <c r="D111" i="12"/>
  <c r="C111" i="13"/>
  <c r="B111" i="14"/>
  <c r="L111" i="16"/>
  <c r="K111" i="17"/>
  <c r="J111" i="18"/>
  <c r="I111" i="19"/>
  <c r="H111" i="20"/>
  <c r="G111" i="21"/>
  <c r="F111" i="22"/>
  <c r="E111" i="23"/>
  <c r="D111" i="24"/>
  <c r="C111" i="25"/>
  <c r="B111" i="26"/>
  <c r="Q111" i="27"/>
  <c r="P111" i="28"/>
  <c r="O111" i="29"/>
  <c r="N111" i="30"/>
  <c r="M111" i="31"/>
  <c r="L111" i="32"/>
  <c r="K111" i="33"/>
  <c r="J111" i="44"/>
  <c r="I111" i="40"/>
  <c r="H111" i="41"/>
  <c r="P111" i="15"/>
  <c r="O111" i="16"/>
  <c r="N111" i="17"/>
  <c r="M111" i="18"/>
  <c r="L111" i="19"/>
  <c r="K111" i="20"/>
  <c r="J111" i="21"/>
  <c r="I111" i="22"/>
  <c r="H111" i="23"/>
  <c r="G111" i="24"/>
  <c r="F111" i="25"/>
  <c r="E111" i="26"/>
  <c r="D111" i="27"/>
  <c r="C111" i="28"/>
  <c r="B111" i="29"/>
  <c r="Q111" i="30"/>
  <c r="P111" i="31"/>
  <c r="O111" i="32"/>
  <c r="N111" i="33"/>
  <c r="M111" i="44"/>
  <c r="L111" i="40"/>
  <c r="K111" i="41"/>
  <c r="Q111" i="15"/>
  <c r="P111" i="16"/>
  <c r="O111" i="17"/>
  <c r="N111" i="18"/>
  <c r="M111" i="19"/>
  <c r="L111" i="20"/>
  <c r="K111" i="21"/>
  <c r="J111" i="22"/>
  <c r="I111" i="23"/>
  <c r="H111" i="24"/>
  <c r="G111" i="25"/>
  <c r="F111" i="26"/>
  <c r="E111" i="27"/>
  <c r="D111" i="28"/>
  <c r="C111" i="29"/>
  <c r="B111" i="30"/>
  <c r="Q111" i="31"/>
  <c r="P111" i="32"/>
  <c r="O111" i="33"/>
  <c r="N111" i="44"/>
  <c r="M111" i="40"/>
  <c r="L111" i="41"/>
  <c r="B111" i="15"/>
  <c r="Q111" i="16"/>
  <c r="P111" i="17"/>
  <c r="O111" i="18"/>
  <c r="N111" i="19"/>
  <c r="M111" i="20"/>
  <c r="L111" i="21"/>
  <c r="K111" i="22"/>
  <c r="J111" i="23"/>
  <c r="I111" i="24"/>
  <c r="H111" i="25"/>
  <c r="G111" i="26"/>
  <c r="F111" i="27"/>
  <c r="E111" i="28"/>
  <c r="D111" i="29"/>
  <c r="C111" i="30"/>
  <c r="B111" i="31"/>
  <c r="Q111" i="32"/>
  <c r="P111" i="33"/>
  <c r="O111" i="44"/>
  <c r="N111" i="40"/>
  <c r="M111" i="41"/>
  <c r="C111" i="15"/>
  <c r="B111" i="16"/>
  <c r="Q111" i="17"/>
  <c r="P111" i="18"/>
  <c r="O111" i="19"/>
  <c r="N111" i="20"/>
  <c r="M111" i="21"/>
  <c r="L111" i="22"/>
  <c r="K111" i="23"/>
  <c r="J111" i="24"/>
  <c r="I111" i="25"/>
  <c r="H111" i="26"/>
  <c r="G111" i="27"/>
  <c r="F111" i="28"/>
  <c r="E111" i="29"/>
  <c r="D111" i="30"/>
  <c r="C111" i="31"/>
  <c r="B111" i="32"/>
  <c r="Q111" i="33"/>
  <c r="P111" i="44"/>
  <c r="O111" i="40"/>
  <c r="N111" i="41"/>
  <c r="D111" i="15"/>
  <c r="C111" i="16"/>
  <c r="B111" i="17"/>
  <c r="Q111" i="18"/>
  <c r="P111" i="19"/>
  <c r="O111" i="20"/>
  <c r="N111" i="21"/>
  <c r="M111" i="22"/>
  <c r="L111" i="23"/>
  <c r="K111" i="24"/>
  <c r="J111" i="25"/>
  <c r="I111" i="26"/>
  <c r="H111" i="27"/>
  <c r="G111" i="28"/>
  <c r="F111" i="29"/>
  <c r="E111" i="30"/>
  <c r="D111" i="31"/>
  <c r="C111" i="32"/>
  <c r="B111" i="33"/>
  <c r="Q111" i="44"/>
  <c r="P111" i="40"/>
  <c r="O111" i="41"/>
  <c r="E111" i="15"/>
  <c r="D111" i="16"/>
  <c r="C111" i="17"/>
  <c r="B111" i="18"/>
  <c r="Q111" i="19"/>
  <c r="P111" i="20"/>
  <c r="O111" i="21"/>
  <c r="N111" i="22"/>
  <c r="M111" i="23"/>
  <c r="L111" i="24"/>
  <c r="K111" i="25"/>
  <c r="J111" i="26"/>
  <c r="I111" i="27"/>
  <c r="H111" i="28"/>
  <c r="G111" i="29"/>
  <c r="F111" i="30"/>
  <c r="E111" i="31"/>
  <c r="D111" i="32"/>
  <c r="C111" i="33"/>
  <c r="B111" i="44"/>
  <c r="Q111" i="40"/>
  <c r="P111" i="41"/>
  <c r="F111" i="15"/>
  <c r="E111" i="16"/>
  <c r="D111" i="17"/>
  <c r="C111" i="18"/>
  <c r="B111" i="19"/>
  <c r="Q111" i="20"/>
  <c r="P111" i="21"/>
  <c r="O111" i="22"/>
  <c r="N111" i="23"/>
  <c r="M111" i="24"/>
  <c r="L111" i="25"/>
  <c r="K111" i="26"/>
  <c r="J111" i="27"/>
  <c r="I111" i="28"/>
  <c r="H111" i="29"/>
  <c r="G111" i="30"/>
  <c r="F111" i="31"/>
  <c r="E111" i="32"/>
  <c r="D111" i="33"/>
  <c r="C111" i="44"/>
  <c r="B111" i="40"/>
  <c r="Q111" i="41"/>
  <c r="G111" i="15"/>
  <c r="F111" i="16"/>
  <c r="E111" i="17"/>
  <c r="D111" i="18"/>
  <c r="C111" i="19"/>
  <c r="B111" i="20"/>
  <c r="Q111" i="21"/>
  <c r="P111" i="22"/>
  <c r="O111" i="23"/>
  <c r="N111" i="24"/>
  <c r="M111" i="25"/>
  <c r="L111" i="26"/>
  <c r="K111" i="27"/>
  <c r="J111" i="28"/>
  <c r="I111" i="29"/>
  <c r="H111" i="30"/>
  <c r="G111" i="31"/>
  <c r="F111" i="32"/>
  <c r="E111" i="33"/>
  <c r="D111" i="44"/>
  <c r="C111" i="40"/>
  <c r="B111" i="41"/>
  <c r="H111" i="15"/>
  <c r="G111" i="16"/>
  <c r="F111" i="17"/>
  <c r="E111" i="18"/>
  <c r="D111" i="19"/>
  <c r="C111" i="20"/>
  <c r="B111" i="21"/>
  <c r="Q111" i="22"/>
  <c r="P111" i="23"/>
  <c r="O111" i="24"/>
  <c r="N111" i="25"/>
  <c r="M111" i="26"/>
  <c r="L111" i="27"/>
  <c r="K111" i="28"/>
  <c r="J111" i="29"/>
  <c r="I111" i="30"/>
  <c r="H111" i="31"/>
  <c r="G111" i="32"/>
  <c r="F111" i="33"/>
  <c r="E111" i="44"/>
  <c r="D111" i="40"/>
  <c r="C111" i="41"/>
  <c r="I111" i="15"/>
  <c r="H111" i="16"/>
  <c r="G111" i="17"/>
  <c r="F111" i="18"/>
  <c r="E111" i="19"/>
  <c r="D111" i="20"/>
  <c r="C111" i="21"/>
  <c r="B111" i="22"/>
  <c r="Q111" i="23"/>
  <c r="P111" i="24"/>
  <c r="O111" i="25"/>
  <c r="N111" i="26"/>
  <c r="M111" i="27"/>
  <c r="L111" i="28"/>
  <c r="K111" i="29"/>
  <c r="J111" i="30"/>
  <c r="I111" i="31"/>
  <c r="H111" i="32"/>
  <c r="G111" i="33"/>
  <c r="F111" i="44"/>
  <c r="E111" i="40"/>
  <c r="D111" i="41"/>
  <c r="I111" i="16"/>
  <c r="H111" i="17"/>
  <c r="G111" i="18"/>
  <c r="F111" i="19"/>
  <c r="E111" i="20"/>
  <c r="D111" i="21"/>
  <c r="C111" i="22"/>
  <c r="B111" i="23"/>
  <c r="Q111" i="24"/>
  <c r="P111" i="25"/>
  <c r="O111" i="26"/>
  <c r="N111" i="27"/>
  <c r="M111" i="28"/>
  <c r="L111" i="29"/>
  <c r="K111" i="30"/>
  <c r="J111" i="31"/>
  <c r="I111" i="32"/>
  <c r="H111" i="33"/>
  <c r="G111" i="44"/>
  <c r="F111" i="40"/>
  <c r="E111" i="41"/>
  <c r="J111" i="16"/>
  <c r="I111" i="17"/>
  <c r="H111" i="18"/>
  <c r="G111" i="19"/>
  <c r="F111" i="20"/>
  <c r="E111" i="21"/>
  <c r="D111" i="22"/>
  <c r="C111" i="23"/>
  <c r="B111" i="24"/>
  <c r="Q111" i="25"/>
  <c r="P111" i="26"/>
  <c r="O111" i="27"/>
  <c r="N111" i="28"/>
  <c r="M111" i="29"/>
  <c r="L111" i="30"/>
  <c r="K111" i="31"/>
  <c r="J111" i="32"/>
  <c r="I111" i="33"/>
  <c r="H111" i="44"/>
  <c r="G111" i="40"/>
  <c r="F111" i="41"/>
  <c r="K111" i="16"/>
  <c r="J111" i="17"/>
  <c r="I111" i="18"/>
  <c r="H111" i="19"/>
  <c r="G111" i="20"/>
  <c r="F111" i="21"/>
  <c r="E111" i="22"/>
  <c r="D111" i="23"/>
  <c r="C111" i="24"/>
  <c r="B111" i="25"/>
  <c r="Q111" i="26"/>
  <c r="P111" i="27"/>
  <c r="O111" i="28"/>
  <c r="N111" i="29"/>
  <c r="M111" i="30"/>
  <c r="L111" i="31"/>
  <c r="K111" i="32"/>
  <c r="J111" i="33"/>
  <c r="I111" i="44"/>
  <c r="H111" i="40"/>
  <c r="G111" i="41"/>
  <c r="E47" i="39" l="1"/>
  <c r="E46" i="39"/>
  <c r="K47" i="39"/>
  <c r="K46" i="39"/>
  <c r="P47" i="39"/>
  <c r="P46" i="39"/>
  <c r="L47" i="39"/>
  <c r="L46" i="39"/>
  <c r="M47" i="39"/>
  <c r="M46" i="39"/>
  <c r="O47" i="39"/>
  <c r="O46" i="39"/>
  <c r="F47" i="39"/>
  <c r="F46" i="39"/>
  <c r="B47" i="39"/>
  <c r="B46" i="39"/>
  <c r="H47" i="39"/>
  <c r="H46" i="39"/>
  <c r="J47" i="39"/>
  <c r="J46" i="39"/>
  <c r="I47" i="39"/>
  <c r="I46" i="39"/>
  <c r="C47" i="39"/>
  <c r="C46" i="39"/>
  <c r="N47" i="39"/>
  <c r="N46" i="39"/>
  <c r="Q47" i="39"/>
  <c r="Q46" i="39"/>
  <c r="D47" i="39"/>
  <c r="D46" i="39"/>
  <c r="G47" i="39"/>
  <c r="G46" i="39"/>
</calcChain>
</file>

<file path=xl/sharedStrings.xml><?xml version="1.0" encoding="utf-8"?>
<sst xmlns="http://schemas.openxmlformats.org/spreadsheetml/2006/main" count="8091" uniqueCount="3215">
  <si>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</si>
  <si>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</si>
  <si>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</si>
  <si>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</si>
  <si>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</si>
  <si>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</si>
  <si>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</si>
  <si>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</si>
  <si>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</si>
  <si>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</si>
  <si>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</si>
  <si>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</si>
  <si>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</si>
  <si>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</si>
  <si>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</si>
  <si>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</si>
  <si>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</si>
  <si>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</si>
  <si>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</si>
  <si>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</si>
  <si>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</si>
  <si>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</si>
  <si>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</si>
  <si>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</si>
  <si>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</si>
  <si>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</si>
  <si>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</si>
  <si>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</si>
  <si>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</si>
  <si>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</si>
  <si>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</si>
  <si>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</si>
  <si>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</si>
  <si>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</si>
  <si>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</si>
  <si>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</si>
  <si>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</si>
  <si>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</si>
  <si>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</si>
  <si>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</si>
  <si>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</si>
  <si>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</si>
  <si>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</si>
  <si>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</si>
  <si>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</si>
  <si>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</si>
  <si>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</si>
  <si>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</si>
  <si>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</si>
  <si>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</si>
  <si>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</si>
  <si>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</si>
  <si>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</si>
  <si>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</si>
  <si>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</si>
  <si>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</si>
  <si>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</si>
  <si>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</si>
  <si>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</si>
  <si>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</si>
  <si>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</si>
  <si>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</si>
  <si>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</si>
  <si>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</si>
  <si>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</si>
  <si>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</si>
  <si>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</si>
  <si>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</si>
  <si>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</si>
  <si>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</si>
  <si>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</si>
  <si>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</si>
  <si>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</si>
  <si>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</si>
  <si>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</si>
  <si>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</si>
  <si>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</si>
  <si>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</si>
  <si>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</si>
  <si>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</si>
  <si>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</si>
  <si>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</si>
  <si>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</si>
  <si>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</si>
  <si>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</si>
  <si>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</si>
  <si>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</si>
  <si>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</si>
  <si>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</si>
  <si>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</si>
  <si>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</si>
  <si>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</si>
  <si>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</si>
  <si>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</si>
  <si>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</si>
  <si>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</si>
  <si>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</si>
  <si>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</si>
  <si>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</si>
  <si>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</si>
  <si>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</si>
  <si>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</si>
  <si>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</si>
  <si>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</si>
  <si>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</si>
  <si>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</si>
  <si>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</si>
  <si>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</si>
  <si>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</si>
  <si>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</si>
  <si>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</si>
  <si>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</si>
  <si>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</si>
  <si>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</si>
  <si>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</si>
  <si>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</si>
  <si>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</si>
  <si>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</si>
  <si>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</si>
  <si>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</si>
  <si>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</si>
  <si>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</si>
  <si>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</si>
  <si>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</si>
  <si>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</si>
  <si>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</si>
  <si>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</si>
  <si>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</si>
  <si>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</si>
  <si>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</si>
  <si>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</si>
  <si>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</si>
  <si>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</si>
  <si>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</si>
  <si>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</si>
  <si>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</si>
  <si>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</si>
  <si>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</si>
  <si>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</si>
  <si>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</si>
  <si>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</si>
  <si>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</si>
  <si>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</si>
  <si>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</si>
  <si>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</si>
  <si>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</si>
  <si>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</si>
  <si>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</si>
  <si>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</si>
  <si>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</si>
  <si>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</si>
  <si>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</si>
  <si>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</si>
  <si>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</si>
  <si>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</si>
  <si>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</si>
  <si>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</si>
  <si>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</si>
  <si>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</si>
  <si>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</si>
  <si>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</si>
  <si>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</si>
  <si>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</si>
  <si>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</si>
  <si>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</si>
  <si>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</si>
  <si>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</si>
  <si>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</si>
  <si>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</si>
  <si>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</si>
  <si>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</si>
  <si>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</si>
  <si>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</si>
  <si>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</si>
  <si>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</si>
  <si>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</si>
  <si>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</si>
  <si>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</si>
  <si>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</si>
  <si>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</si>
  <si>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</si>
  <si>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</si>
  <si>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</si>
  <si>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</si>
  <si>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</si>
  <si>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</si>
  <si>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</si>
  <si>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</si>
  <si>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</si>
  <si>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</si>
  <si>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</si>
  <si>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</si>
  <si>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</si>
  <si>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</si>
  <si>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</si>
  <si>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</si>
  <si>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</si>
  <si>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</si>
  <si>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</si>
  <si>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</si>
  <si>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</si>
  <si>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</si>
  <si>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</si>
  <si>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</si>
  <si>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</si>
  <si>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</si>
  <si>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</si>
  <si>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</si>
  <si>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</si>
  <si>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</si>
  <si>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</si>
  <si>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</si>
  <si>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</si>
  <si>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</si>
  <si>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</si>
  <si>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</si>
  <si>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</si>
  <si>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</si>
  <si>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</si>
  <si>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</si>
  <si>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</si>
  <si>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</si>
  <si>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</si>
  <si>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</si>
  <si>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</si>
  <si>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</si>
  <si>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</si>
  <si>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</si>
  <si>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</si>
  <si>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</si>
  <si>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</si>
  <si>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</si>
  <si>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</si>
  <si>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</si>
  <si>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</si>
  <si>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</si>
  <si>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</si>
  <si>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</si>
  <si>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</si>
  <si>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01/01/2025 00:15</t>
  </si>
  <si>
    <t>01/01/2025 00:30</t>
  </si>
  <si>
    <t>01/01/2025 00:45</t>
  </si>
  <si>
    <t>01/01/2025 01:00</t>
  </si>
  <si>
    <t>01/01/2025 01:15</t>
  </si>
  <si>
    <t>01/01/2025 01:30</t>
  </si>
  <si>
    <t>01/01/2025 01:45</t>
  </si>
  <si>
    <t>01/01/2025 02:00</t>
  </si>
  <si>
    <t>01/01/2025 02:15</t>
  </si>
  <si>
    <t>01/01/2025 02:30</t>
  </si>
  <si>
    <t>01/01/2025 02:45</t>
  </si>
  <si>
    <t>01/01/2025 03:00</t>
  </si>
  <si>
    <t>01/01/2025 03:15</t>
  </si>
  <si>
    <t>01/01/2025 03:30</t>
  </si>
  <si>
    <t>01/01/2025 03:45</t>
  </si>
  <si>
    <t>01/01/2025 04:00</t>
  </si>
  <si>
    <t>01/01/2025 04:15</t>
  </si>
  <si>
    <t>01/01/2025 04:30</t>
  </si>
  <si>
    <t>01/01/2025 04:45</t>
  </si>
  <si>
    <t>01/01/2025 05:00</t>
  </si>
  <si>
    <t>01/01/2025 05:15</t>
  </si>
  <si>
    <t>01/01/2025 05:30</t>
  </si>
  <si>
    <t>01/01/2025 05:45</t>
  </si>
  <si>
    <t>01/01/2025 06:00</t>
  </si>
  <si>
    <t>01/01/2025 06:15</t>
  </si>
  <si>
    <t>01/01/2025 06:30</t>
  </si>
  <si>
    <t>01/01/2025 06:45</t>
  </si>
  <si>
    <t>01/01/2025 07:00</t>
  </si>
  <si>
    <t>01/01/2025 07:15</t>
  </si>
  <si>
    <t>01/01/2025 07:30</t>
  </si>
  <si>
    <t>01/01/2025 07:45</t>
  </si>
  <si>
    <t>01/01/2025 08:00</t>
  </si>
  <si>
    <t>01/01/2025 08:15</t>
  </si>
  <si>
    <t>01/01/2025 08:30</t>
  </si>
  <si>
    <t>01/01/2025 08:45</t>
  </si>
  <si>
    <t>01/01/2025 09:00</t>
  </si>
  <si>
    <t>01/01/2025 09:15</t>
  </si>
  <si>
    <t>01/01/2025 09:30</t>
  </si>
  <si>
    <t>01/01/2025 09:45</t>
  </si>
  <si>
    <t>01/01/2025 10:00</t>
  </si>
  <si>
    <t>01/01/2025 10:15</t>
  </si>
  <si>
    <t>01/01/2025 10:30</t>
  </si>
  <si>
    <t>01/01/2025 10:45</t>
  </si>
  <si>
    <t>01/01/2025 11:00</t>
  </si>
  <si>
    <t>01/01/2025 11:15</t>
  </si>
  <si>
    <t>01/01/2025 11:30</t>
  </si>
  <si>
    <t>01/01/2025 11:45</t>
  </si>
  <si>
    <t>01/01/2025 12:00</t>
  </si>
  <si>
    <t>01/01/2025 12:15</t>
  </si>
  <si>
    <t>01/01/2025 12:30</t>
  </si>
  <si>
    <t>01/01/2025 12:45</t>
  </si>
  <si>
    <t>01/01/2025 13:00</t>
  </si>
  <si>
    <t>01/01/2025 13:15</t>
  </si>
  <si>
    <t>01/01/2025 13:30</t>
  </si>
  <si>
    <t>01/01/2025 13:45</t>
  </si>
  <si>
    <t>01/01/2025 14:00</t>
  </si>
  <si>
    <t>01/01/2025 14:15</t>
  </si>
  <si>
    <t>01/01/2025 14:30</t>
  </si>
  <si>
    <t>01/01/2025 14:45</t>
  </si>
  <si>
    <t>01/01/2025 15:00</t>
  </si>
  <si>
    <t>01/01/2025 15:15</t>
  </si>
  <si>
    <t>01/01/2025 15:30</t>
  </si>
  <si>
    <t>01/01/2025 15:45</t>
  </si>
  <si>
    <t>01/01/2025 16:00</t>
  </si>
  <si>
    <t>01/01/2025 16:15</t>
  </si>
  <si>
    <t>01/01/2025 16:30</t>
  </si>
  <si>
    <t>01/01/2025 16:45</t>
  </si>
  <si>
    <t>01/01/2025 17:00</t>
  </si>
  <si>
    <t>01/01/2025 17:15</t>
  </si>
  <si>
    <t>01/01/2025 17:30</t>
  </si>
  <si>
    <t>01/01/2025 17:45</t>
  </si>
  <si>
    <t>01/01/2025 18:00</t>
  </si>
  <si>
    <t>01/01/2025 18:15</t>
  </si>
  <si>
    <t>01/01/2025 18:30</t>
  </si>
  <si>
    <t>01/01/2025 18:45</t>
  </si>
  <si>
    <t>01/01/2025 19:00</t>
  </si>
  <si>
    <t>01/01/2025 19:15</t>
  </si>
  <si>
    <t>01/01/2025 19:30</t>
  </si>
  <si>
    <t>01/01/2025 19:45</t>
  </si>
  <si>
    <t>01/01/2025 20:00</t>
  </si>
  <si>
    <t>01/01/2025 20:15</t>
  </si>
  <si>
    <t>01/01/2025 20:30</t>
  </si>
  <si>
    <t>01/01/2025 20:45</t>
  </si>
  <si>
    <t>01/01/2025 21:00</t>
  </si>
  <si>
    <t>01/01/2025 21:15</t>
  </si>
  <si>
    <t>01/01/2025 21:30</t>
  </si>
  <si>
    <t>01/01/2025 21:45</t>
  </si>
  <si>
    <t>01/01/2025 22:00</t>
  </si>
  <si>
    <t>01/01/2025 22:15</t>
  </si>
  <si>
    <t>01/01/2025 22:30</t>
  </si>
  <si>
    <t>01/01/2025 22:45</t>
  </si>
  <si>
    <t>01/01/2025 23:00</t>
  </si>
  <si>
    <t>01/01/2025 23:15</t>
  </si>
  <si>
    <t>01/01/2025 23:30</t>
  </si>
  <si>
    <t>01/01/2025 23:45</t>
  </si>
  <si>
    <t>01/01/2025 24:00</t>
  </si>
  <si>
    <t>02/01/2025 00:15</t>
  </si>
  <si>
    <t>02/01/2025 00:30</t>
  </si>
  <si>
    <t>02/01/2025 00:45</t>
  </si>
  <si>
    <t>02/01/2025 01:00</t>
  </si>
  <si>
    <t>02/01/2025 01:15</t>
  </si>
  <si>
    <t>02/01/2025 01:30</t>
  </si>
  <si>
    <t>02/01/2025 01:45</t>
  </si>
  <si>
    <t>02/01/2025 02:00</t>
  </si>
  <si>
    <t>02/01/2025 02:15</t>
  </si>
  <si>
    <t>02/01/2025 02:30</t>
  </si>
  <si>
    <t>02/01/2025 02:45</t>
  </si>
  <si>
    <t>02/01/2025 03:00</t>
  </si>
  <si>
    <t>02/01/2025 03:15</t>
  </si>
  <si>
    <t>02/01/2025 03:30</t>
  </si>
  <si>
    <t>02/01/2025 03:45</t>
  </si>
  <si>
    <t>02/01/2025 04:00</t>
  </si>
  <si>
    <t>02/01/2025 04:15</t>
  </si>
  <si>
    <t>02/01/2025 04:30</t>
  </si>
  <si>
    <t>02/01/2025 04:45</t>
  </si>
  <si>
    <t>02/01/2025 05:00</t>
  </si>
  <si>
    <t>02/01/2025 05:15</t>
  </si>
  <si>
    <t>02/01/2025 05:30</t>
  </si>
  <si>
    <t>02/01/2025 05:45</t>
  </si>
  <si>
    <t>02/01/2025 06:00</t>
  </si>
  <si>
    <t>02/01/2025 06:15</t>
  </si>
  <si>
    <t>02/01/2025 06:30</t>
  </si>
  <si>
    <t>02/01/2025 06:45</t>
  </si>
  <si>
    <t>02/01/2025 07:00</t>
  </si>
  <si>
    <t>02/01/2025 07:15</t>
  </si>
  <si>
    <t>02/01/2025 07:30</t>
  </si>
  <si>
    <t>02/01/2025 07:45</t>
  </si>
  <si>
    <t>02/01/2025 08:00</t>
  </si>
  <si>
    <t>02/01/2025 08:15</t>
  </si>
  <si>
    <t>02/01/2025 08:30</t>
  </si>
  <si>
    <t>02/01/2025 08:45</t>
  </si>
  <si>
    <t>02/01/2025 09:00</t>
  </si>
  <si>
    <t>02/01/2025 09:15</t>
  </si>
  <si>
    <t>02/01/2025 09:30</t>
  </si>
  <si>
    <t>02/01/2025 09:45</t>
  </si>
  <si>
    <t>02/01/2025 10:00</t>
  </si>
  <si>
    <t>02/01/2025 10:15</t>
  </si>
  <si>
    <t>02/01/2025 10:30</t>
  </si>
  <si>
    <t>02/01/2025 10:45</t>
  </si>
  <si>
    <t>02/01/2025 11:00</t>
  </si>
  <si>
    <t>02/01/2025 11:15</t>
  </si>
  <si>
    <t>02/01/2025 11:30</t>
  </si>
  <si>
    <t>02/01/2025 11:45</t>
  </si>
  <si>
    <t>02/01/2025 12:00</t>
  </si>
  <si>
    <t>02/01/2025 12:15</t>
  </si>
  <si>
    <t>02/01/2025 12:30</t>
  </si>
  <si>
    <t>02/01/2025 12:45</t>
  </si>
  <si>
    <t>02/01/2025 13:00</t>
  </si>
  <si>
    <t>02/01/2025 13:15</t>
  </si>
  <si>
    <t>02/01/2025 13:30</t>
  </si>
  <si>
    <t>02/01/2025 13:45</t>
  </si>
  <si>
    <t>02/01/2025 14:00</t>
  </si>
  <si>
    <t>02/01/2025 14:15</t>
  </si>
  <si>
    <t>02/01/2025 14:30</t>
  </si>
  <si>
    <t>02/01/2025 14:45</t>
  </si>
  <si>
    <t>02/01/2025 15:00</t>
  </si>
  <si>
    <t>02/01/2025 15:15</t>
  </si>
  <si>
    <t>02/01/2025 15:30</t>
  </si>
  <si>
    <t>02/01/2025 15:45</t>
  </si>
  <si>
    <t>02/01/2025 16:00</t>
  </si>
  <si>
    <t>02/01/2025 16:15</t>
  </si>
  <si>
    <t>02/01/2025 16:30</t>
  </si>
  <si>
    <t>02/01/2025 16:45</t>
  </si>
  <si>
    <t>02/01/2025 17:00</t>
  </si>
  <si>
    <t>02/01/2025 17:15</t>
  </si>
  <si>
    <t>02/01/2025 17:30</t>
  </si>
  <si>
    <t>02/01/2025 17:45</t>
  </si>
  <si>
    <t>02/01/2025 18:00</t>
  </si>
  <si>
    <t>02/01/2025 18:15</t>
  </si>
  <si>
    <t>02/01/2025 18:30</t>
  </si>
  <si>
    <t>02/01/2025 18:45</t>
  </si>
  <si>
    <t>02/01/2025 19:00</t>
  </si>
  <si>
    <t>02/01/2025 19:15</t>
  </si>
  <si>
    <t>02/01/2025 19:30</t>
  </si>
  <si>
    <t>02/01/2025 19:45</t>
  </si>
  <si>
    <t>02/01/2025 20:00</t>
  </si>
  <si>
    <t>02/01/2025 20:15</t>
  </si>
  <si>
    <t>02/01/2025 20:30</t>
  </si>
  <si>
    <t>02/01/2025 20:45</t>
  </si>
  <si>
    <t>02/01/2025 21:00</t>
  </si>
  <si>
    <t>02/01/2025 21:15</t>
  </si>
  <si>
    <t>02/01/2025 21:30</t>
  </si>
  <si>
    <t>02/01/2025 21:45</t>
  </si>
  <si>
    <t>02/01/2025 22:00</t>
  </si>
  <si>
    <t>02/01/2025 22:15</t>
  </si>
  <si>
    <t>02/01/2025 22:30</t>
  </si>
  <si>
    <t>02/01/2025 22:45</t>
  </si>
  <si>
    <t>02/01/2025 23:00</t>
  </si>
  <si>
    <t>02/01/2025 23:15</t>
  </si>
  <si>
    <t>02/01/2025 23:30</t>
  </si>
  <si>
    <t>02/01/2025 23:45</t>
  </si>
  <si>
    <t>02/01/2025 24:00</t>
  </si>
  <si>
    <t>03/01/2025 00:15</t>
  </si>
  <si>
    <t>03/01/2025 00:30</t>
  </si>
  <si>
    <t>03/01/2025 00:45</t>
  </si>
  <si>
    <t>03/01/2025 01:00</t>
  </si>
  <si>
    <t>03/01/2025 01:15</t>
  </si>
  <si>
    <t>03/01/2025 01:30</t>
  </si>
  <si>
    <t>03/01/2025 01:45</t>
  </si>
  <si>
    <t>03/01/2025 02:00</t>
  </si>
  <si>
    <t>03/01/2025 02:15</t>
  </si>
  <si>
    <t>03/01/2025 02:30</t>
  </si>
  <si>
    <t>03/01/2025 02:45</t>
  </si>
  <si>
    <t>03/01/2025 03:00</t>
  </si>
  <si>
    <t>03/01/2025 03:15</t>
  </si>
  <si>
    <t>03/01/2025 03:30</t>
  </si>
  <si>
    <t>03/01/2025 03:45</t>
  </si>
  <si>
    <t>03/01/2025 04:00</t>
  </si>
  <si>
    <t>03/01/2025 04:15</t>
  </si>
  <si>
    <t>03/01/2025 04:30</t>
  </si>
  <si>
    <t>03/01/2025 04:45</t>
  </si>
  <si>
    <t>03/01/2025 05:00</t>
  </si>
  <si>
    <t>03/01/2025 05:15</t>
  </si>
  <si>
    <t>03/01/2025 05:30</t>
  </si>
  <si>
    <t>03/01/2025 05:45</t>
  </si>
  <si>
    <t>03/01/2025 06:00</t>
  </si>
  <si>
    <t>03/01/2025 06:15</t>
  </si>
  <si>
    <t>03/01/2025 06:30</t>
  </si>
  <si>
    <t>03/01/2025 06:45</t>
  </si>
  <si>
    <t>03/01/2025 07:00</t>
  </si>
  <si>
    <t>03/01/2025 07:15</t>
  </si>
  <si>
    <t>03/01/2025 07:30</t>
  </si>
  <si>
    <t>03/01/2025 07:45</t>
  </si>
  <si>
    <t>03/01/2025 08:00</t>
  </si>
  <si>
    <t>03/01/2025 08:15</t>
  </si>
  <si>
    <t>03/01/2025 08:30</t>
  </si>
  <si>
    <t>03/01/2025 08:45</t>
  </si>
  <si>
    <t>03/01/2025 09:00</t>
  </si>
  <si>
    <t>03/01/2025 09:15</t>
  </si>
  <si>
    <t>03/01/2025 09:30</t>
  </si>
  <si>
    <t>03/01/2025 09:45</t>
  </si>
  <si>
    <t>03/01/2025 10:00</t>
  </si>
  <si>
    <t>03/01/2025 10:15</t>
  </si>
  <si>
    <t>03/01/2025 10:30</t>
  </si>
  <si>
    <t>03/01/2025 10:45</t>
  </si>
  <si>
    <t>03/01/2025 11:00</t>
  </si>
  <si>
    <t>03/01/2025 11:15</t>
  </si>
  <si>
    <t>03/01/2025 11:30</t>
  </si>
  <si>
    <t>03/01/2025 11:45</t>
  </si>
  <si>
    <t>03/01/2025 12:00</t>
  </si>
  <si>
    <t>03/01/2025 12:15</t>
  </si>
  <si>
    <t>03/01/2025 12:30</t>
  </si>
  <si>
    <t>03/01/2025 12:45</t>
  </si>
  <si>
    <t>03/01/2025 13:00</t>
  </si>
  <si>
    <t>03/01/2025 13:15</t>
  </si>
  <si>
    <t>03/01/2025 13:30</t>
  </si>
  <si>
    <t>03/01/2025 13:45</t>
  </si>
  <si>
    <t>03/01/2025 14:00</t>
  </si>
  <si>
    <t>03/01/2025 14:15</t>
  </si>
  <si>
    <t>03/01/2025 14:30</t>
  </si>
  <si>
    <t>03/01/2025 14:45</t>
  </si>
  <si>
    <t>03/01/2025 15:00</t>
  </si>
  <si>
    <t>03/01/2025 15:15</t>
  </si>
  <si>
    <t>03/01/2025 15:30</t>
  </si>
  <si>
    <t>03/01/2025 15:45</t>
  </si>
  <si>
    <t>03/01/2025 16:00</t>
  </si>
  <si>
    <t>03/01/2025 16:15</t>
  </si>
  <si>
    <t>03/01/2025 16:30</t>
  </si>
  <si>
    <t>03/01/2025 16:45</t>
  </si>
  <si>
    <t>03/01/2025 17:00</t>
  </si>
  <si>
    <t>03/01/2025 17:15</t>
  </si>
  <si>
    <t>03/01/2025 17:30</t>
  </si>
  <si>
    <t>03/01/2025 17:45</t>
  </si>
  <si>
    <t>03/01/2025 18:00</t>
  </si>
  <si>
    <t>03/01/2025 18:15</t>
  </si>
  <si>
    <t>03/01/2025 18:30</t>
  </si>
  <si>
    <t>03/01/2025 18:45</t>
  </si>
  <si>
    <t>03/01/2025 19:00</t>
  </si>
  <si>
    <t>03/01/2025 19:15</t>
  </si>
  <si>
    <t>03/01/2025 19:30</t>
  </si>
  <si>
    <t>03/01/2025 19:45</t>
  </si>
  <si>
    <t>03/01/2025 20:00</t>
  </si>
  <si>
    <t>03/01/2025 20:15</t>
  </si>
  <si>
    <t>03/01/2025 20:30</t>
  </si>
  <si>
    <t>03/01/2025 20:45</t>
  </si>
  <si>
    <t>03/01/2025 21:00</t>
  </si>
  <si>
    <t>03/01/2025 21:15</t>
  </si>
  <si>
    <t>03/01/2025 21:30</t>
  </si>
  <si>
    <t>03/01/2025 21:45</t>
  </si>
  <si>
    <t>03/01/2025 22:00</t>
  </si>
  <si>
    <t>03/01/2025 22:15</t>
  </si>
  <si>
    <t>03/01/2025 22:30</t>
  </si>
  <si>
    <t>03/01/2025 22:45</t>
  </si>
  <si>
    <t>03/01/2025 23:00</t>
  </si>
  <si>
    <t>03/01/2025 23:15</t>
  </si>
  <si>
    <t>03/01/2025 23:30</t>
  </si>
  <si>
    <t>03/01/2025 23:45</t>
  </si>
  <si>
    <t>03/01/2025 24:00</t>
  </si>
  <si>
    <t>04/01/2025 00:15</t>
  </si>
  <si>
    <t>04/01/2025 00:30</t>
  </si>
  <si>
    <t>04/01/2025 00:45</t>
  </si>
  <si>
    <t>04/01/2025 01:00</t>
  </si>
  <si>
    <t>04/01/2025 01:15</t>
  </si>
  <si>
    <t>04/01/2025 01:30</t>
  </si>
  <si>
    <t>04/01/2025 01:45</t>
  </si>
  <si>
    <t>04/01/2025 02:00</t>
  </si>
  <si>
    <t>04/01/2025 02:15</t>
  </si>
  <si>
    <t>04/01/2025 02:30</t>
  </si>
  <si>
    <t>04/01/2025 02:45</t>
  </si>
  <si>
    <t>04/01/2025 03:00</t>
  </si>
  <si>
    <t>04/01/2025 03:15</t>
  </si>
  <si>
    <t>04/01/2025 03:30</t>
  </si>
  <si>
    <t>04/01/2025 03:45</t>
  </si>
  <si>
    <t>04/01/2025 04:00</t>
  </si>
  <si>
    <t>04/01/2025 04:15</t>
  </si>
  <si>
    <t>04/01/2025 04:30</t>
  </si>
  <si>
    <t>04/01/2025 04:45</t>
  </si>
  <si>
    <t>04/01/2025 05:00</t>
  </si>
  <si>
    <t>04/01/2025 05:15</t>
  </si>
  <si>
    <t>04/01/2025 05:30</t>
  </si>
  <si>
    <t>04/01/2025 05:45</t>
  </si>
  <si>
    <t>04/01/2025 06:00</t>
  </si>
  <si>
    <t>04/01/2025 06:15</t>
  </si>
  <si>
    <t>04/01/2025 06:30</t>
  </si>
  <si>
    <t>04/01/2025 06:45</t>
  </si>
  <si>
    <t>04/01/2025 07:00</t>
  </si>
  <si>
    <t>04/01/2025 07:15</t>
  </si>
  <si>
    <t>04/01/2025 07:30</t>
  </si>
  <si>
    <t>04/01/2025 07:45</t>
  </si>
  <si>
    <t>04/01/2025 08:00</t>
  </si>
  <si>
    <t>04/01/2025 08:15</t>
  </si>
  <si>
    <t>04/01/2025 08:30</t>
  </si>
  <si>
    <t>04/01/2025 08:45</t>
  </si>
  <si>
    <t>04/01/2025 09:00</t>
  </si>
  <si>
    <t>04/01/2025 09:15</t>
  </si>
  <si>
    <t>04/01/2025 09:30</t>
  </si>
  <si>
    <t>04/01/2025 09:45</t>
  </si>
  <si>
    <t>04/01/2025 10:00</t>
  </si>
  <si>
    <t>04/01/2025 10:15</t>
  </si>
  <si>
    <t>04/01/2025 10:30</t>
  </si>
  <si>
    <t>04/01/2025 10:45</t>
  </si>
  <si>
    <t>04/01/2025 11:00</t>
  </si>
  <si>
    <t>04/01/2025 11:15</t>
  </si>
  <si>
    <t>04/01/2025 11:30</t>
  </si>
  <si>
    <t>04/01/2025 11:45</t>
  </si>
  <si>
    <t>04/01/2025 12:00</t>
  </si>
  <si>
    <t>04/01/2025 12:15</t>
  </si>
  <si>
    <t>04/01/2025 12:30</t>
  </si>
  <si>
    <t>04/01/2025 12:45</t>
  </si>
  <si>
    <t>04/01/2025 13:00</t>
  </si>
  <si>
    <t>04/01/2025 13:15</t>
  </si>
  <si>
    <t>04/01/2025 13:30</t>
  </si>
  <si>
    <t>04/01/2025 13:45</t>
  </si>
  <si>
    <t>04/01/2025 14:00</t>
  </si>
  <si>
    <t>04/01/2025 14:15</t>
  </si>
  <si>
    <t>04/01/2025 14:30</t>
  </si>
  <si>
    <t>04/01/2025 14:45</t>
  </si>
  <si>
    <t>04/01/2025 15:00</t>
  </si>
  <si>
    <t>04/01/2025 15:15</t>
  </si>
  <si>
    <t>04/01/2025 15:30</t>
  </si>
  <si>
    <t>04/01/2025 15:45</t>
  </si>
  <si>
    <t>04/01/2025 16:00</t>
  </si>
  <si>
    <t>04/01/2025 16:15</t>
  </si>
  <si>
    <t>04/01/2025 16:30</t>
  </si>
  <si>
    <t>04/01/2025 16:45</t>
  </si>
  <si>
    <t>04/01/2025 17:00</t>
  </si>
  <si>
    <t>04/01/2025 17:15</t>
  </si>
  <si>
    <t>04/01/2025 17:30</t>
  </si>
  <si>
    <t>04/01/2025 17:45</t>
  </si>
  <si>
    <t>04/01/2025 18:00</t>
  </si>
  <si>
    <t>04/01/2025 18:15</t>
  </si>
  <si>
    <t>04/01/2025 18:30</t>
  </si>
  <si>
    <t>04/01/2025 18:45</t>
  </si>
  <si>
    <t>04/01/2025 19:00</t>
  </si>
  <si>
    <t>04/01/2025 19:15</t>
  </si>
  <si>
    <t>04/01/2025 19:30</t>
  </si>
  <si>
    <t>04/01/2025 19:45</t>
  </si>
  <si>
    <t>04/01/2025 20:00</t>
  </si>
  <si>
    <t>04/01/2025 20:15</t>
  </si>
  <si>
    <t>04/01/2025 20:30</t>
  </si>
  <si>
    <t>04/01/2025 20:45</t>
  </si>
  <si>
    <t>04/01/2025 21:00</t>
  </si>
  <si>
    <t>04/01/2025 21:15</t>
  </si>
  <si>
    <t>04/01/2025 21:30</t>
  </si>
  <si>
    <t>04/01/2025 21:45</t>
  </si>
  <si>
    <t>04/01/2025 22:00</t>
  </si>
  <si>
    <t>04/01/2025 22:15</t>
  </si>
  <si>
    <t>04/01/2025 22:30</t>
  </si>
  <si>
    <t>04/01/2025 22:45</t>
  </si>
  <si>
    <t>04/01/2025 23:00</t>
  </si>
  <si>
    <t>04/01/2025 23:15</t>
  </si>
  <si>
    <t>04/01/2025 23:30</t>
  </si>
  <si>
    <t>04/01/2025 23:45</t>
  </si>
  <si>
    <t>04/01/2025 24:00</t>
  </si>
  <si>
    <t>05/01/2025 00:15</t>
  </si>
  <si>
    <t>05/01/2025 00:30</t>
  </si>
  <si>
    <t>05/01/2025 00:45</t>
  </si>
  <si>
    <t>05/01/2025 01:00</t>
  </si>
  <si>
    <t>05/01/2025 01:15</t>
  </si>
  <si>
    <t>05/01/2025 01:30</t>
  </si>
  <si>
    <t>05/01/2025 01:45</t>
  </si>
  <si>
    <t>05/01/2025 02:00</t>
  </si>
  <si>
    <t>05/01/2025 02:15</t>
  </si>
  <si>
    <t>05/01/2025 02:30</t>
  </si>
  <si>
    <t>05/01/2025 02:45</t>
  </si>
  <si>
    <t>05/01/2025 03:00</t>
  </si>
  <si>
    <t>05/01/2025 03:15</t>
  </si>
  <si>
    <t>05/01/2025 03:30</t>
  </si>
  <si>
    <t>05/01/2025 03:45</t>
  </si>
  <si>
    <t>05/01/2025 04:00</t>
  </si>
  <si>
    <t>05/01/2025 04:15</t>
  </si>
  <si>
    <t>05/01/2025 04:30</t>
  </si>
  <si>
    <t>05/01/2025 04:45</t>
  </si>
  <si>
    <t>05/01/2025 05:00</t>
  </si>
  <si>
    <t>05/01/2025 05:15</t>
  </si>
  <si>
    <t>05/01/2025 05:30</t>
  </si>
  <si>
    <t>05/01/2025 05:45</t>
  </si>
  <si>
    <t>05/01/2025 06:00</t>
  </si>
  <si>
    <t>05/01/2025 06:15</t>
  </si>
  <si>
    <t>05/01/2025 06:30</t>
  </si>
  <si>
    <t>05/01/2025 06:45</t>
  </si>
  <si>
    <t>05/01/2025 07:00</t>
  </si>
  <si>
    <t>05/01/2025 07:15</t>
  </si>
  <si>
    <t>05/01/2025 07:30</t>
  </si>
  <si>
    <t>05/01/2025 07:45</t>
  </si>
  <si>
    <t>05/01/2025 08:00</t>
  </si>
  <si>
    <t>05/01/2025 08:15</t>
  </si>
  <si>
    <t>05/01/2025 08:30</t>
  </si>
  <si>
    <t>05/01/2025 08:45</t>
  </si>
  <si>
    <t>05/01/2025 09:00</t>
  </si>
  <si>
    <t>05/01/2025 09:15</t>
  </si>
  <si>
    <t>05/01/2025 09:30</t>
  </si>
  <si>
    <t>05/01/2025 09:45</t>
  </si>
  <si>
    <t>05/01/2025 10:00</t>
  </si>
  <si>
    <t>05/01/2025 10:15</t>
  </si>
  <si>
    <t>05/01/2025 10:30</t>
  </si>
  <si>
    <t>05/01/2025 10:45</t>
  </si>
  <si>
    <t>05/01/2025 11:00</t>
  </si>
  <si>
    <t>05/01/2025 11:15</t>
  </si>
  <si>
    <t>05/01/2025 11:30</t>
  </si>
  <si>
    <t>05/01/2025 11:45</t>
  </si>
  <si>
    <t>05/01/2025 12:00</t>
  </si>
  <si>
    <t>05/01/2025 12:15</t>
  </si>
  <si>
    <t>05/01/2025 12:30</t>
  </si>
  <si>
    <t>05/01/2025 12:45</t>
  </si>
  <si>
    <t>05/01/2025 13:00</t>
  </si>
  <si>
    <t>05/01/2025 13:15</t>
  </si>
  <si>
    <t>05/01/2025 13:30</t>
  </si>
  <si>
    <t>05/01/2025 13:45</t>
  </si>
  <si>
    <t>05/01/2025 14:00</t>
  </si>
  <si>
    <t>05/01/2025 14:15</t>
  </si>
  <si>
    <t>05/01/2025 14:30</t>
  </si>
  <si>
    <t>05/01/2025 14:45</t>
  </si>
  <si>
    <t>05/01/2025 15:00</t>
  </si>
  <si>
    <t>05/01/2025 15:15</t>
  </si>
  <si>
    <t>05/01/2025 15:30</t>
  </si>
  <si>
    <t>05/01/2025 15:45</t>
  </si>
  <si>
    <t>05/01/2025 16:00</t>
  </si>
  <si>
    <t>05/01/2025 16:15</t>
  </si>
  <si>
    <t>05/01/2025 16:30</t>
  </si>
  <si>
    <t>05/01/2025 16:45</t>
  </si>
  <si>
    <t>05/01/2025 17:00</t>
  </si>
  <si>
    <t>05/01/2025 17:15</t>
  </si>
  <si>
    <t>05/01/2025 17:30</t>
  </si>
  <si>
    <t>05/01/2025 17:45</t>
  </si>
  <si>
    <t>05/01/2025 18:00</t>
  </si>
  <si>
    <t>05/01/2025 18:15</t>
  </si>
  <si>
    <t>05/01/2025 18:30</t>
  </si>
  <si>
    <t>05/01/2025 18:45</t>
  </si>
  <si>
    <t>05/01/2025 19:00</t>
  </si>
  <si>
    <t>05/01/2025 19:15</t>
  </si>
  <si>
    <t>05/01/2025 19:30</t>
  </si>
  <si>
    <t>05/01/2025 19:45</t>
  </si>
  <si>
    <t>05/01/2025 20:00</t>
  </si>
  <si>
    <t>05/01/2025 20:15</t>
  </si>
  <si>
    <t>05/01/2025 20:30</t>
  </si>
  <si>
    <t>05/01/2025 20:45</t>
  </si>
  <si>
    <t>05/01/2025 21:00</t>
  </si>
  <si>
    <t>05/01/2025 21:15</t>
  </si>
  <si>
    <t>05/01/2025 21:30</t>
  </si>
  <si>
    <t>05/01/2025 21:45</t>
  </si>
  <si>
    <t>05/01/2025 22:00</t>
  </si>
  <si>
    <t>05/01/2025 22:15</t>
  </si>
  <si>
    <t>05/01/2025 22:30</t>
  </si>
  <si>
    <t>05/01/2025 22:45</t>
  </si>
  <si>
    <t>05/01/2025 23:00</t>
  </si>
  <si>
    <t>05/01/2025 23:15</t>
  </si>
  <si>
    <t>05/01/2025 23:30</t>
  </si>
  <si>
    <t>05/01/2025 23:45</t>
  </si>
  <si>
    <t>05/01/2025 24:00</t>
  </si>
  <si>
    <t>06/01/2025 00:15</t>
  </si>
  <si>
    <t>06/01/2025 00:30</t>
  </si>
  <si>
    <t>06/01/2025 00:45</t>
  </si>
  <si>
    <t>06/01/2025 01:00</t>
  </si>
  <si>
    <t>06/01/2025 01:15</t>
  </si>
  <si>
    <t>06/01/2025 01:30</t>
  </si>
  <si>
    <t>06/01/2025 01:45</t>
  </si>
  <si>
    <t>06/01/2025 02:00</t>
  </si>
  <si>
    <t>06/01/2025 02:15</t>
  </si>
  <si>
    <t>06/01/2025 02:30</t>
  </si>
  <si>
    <t>06/01/2025 02:45</t>
  </si>
  <si>
    <t>06/01/2025 03:00</t>
  </si>
  <si>
    <t>06/01/2025 03:15</t>
  </si>
  <si>
    <t>06/01/2025 03:30</t>
  </si>
  <si>
    <t>06/01/2025 03:45</t>
  </si>
  <si>
    <t>06/01/2025 04:00</t>
  </si>
  <si>
    <t>06/01/2025 04:15</t>
  </si>
  <si>
    <t>06/01/2025 04:30</t>
  </si>
  <si>
    <t>06/01/2025 04:45</t>
  </si>
  <si>
    <t>06/01/2025 05:00</t>
  </si>
  <si>
    <t>06/01/2025 05:15</t>
  </si>
  <si>
    <t>06/01/2025 05:30</t>
  </si>
  <si>
    <t>06/01/2025 05:45</t>
  </si>
  <si>
    <t>06/01/2025 06:00</t>
  </si>
  <si>
    <t>06/01/2025 06:15</t>
  </si>
  <si>
    <t>06/01/2025 06:30</t>
  </si>
  <si>
    <t>06/01/2025 06:45</t>
  </si>
  <si>
    <t>06/01/2025 07:00</t>
  </si>
  <si>
    <t>06/01/2025 07:15</t>
  </si>
  <si>
    <t>06/01/2025 07:30</t>
  </si>
  <si>
    <t>06/01/2025 07:45</t>
  </si>
  <si>
    <t>06/01/2025 08:00</t>
  </si>
  <si>
    <t>06/01/2025 08:15</t>
  </si>
  <si>
    <t>06/01/2025 08:30</t>
  </si>
  <si>
    <t>06/01/2025 08:45</t>
  </si>
  <si>
    <t>06/01/2025 09:00</t>
  </si>
  <si>
    <t>06/01/2025 09:15</t>
  </si>
  <si>
    <t>06/01/2025 09:30</t>
  </si>
  <si>
    <t>06/01/2025 09:45</t>
  </si>
  <si>
    <t>06/01/2025 10:00</t>
  </si>
  <si>
    <t>06/01/2025 10:15</t>
  </si>
  <si>
    <t>06/01/2025 10:30</t>
  </si>
  <si>
    <t>06/01/2025 10:45</t>
  </si>
  <si>
    <t>06/01/2025 11:00</t>
  </si>
  <si>
    <t>06/01/2025 11:15</t>
  </si>
  <si>
    <t>06/01/2025 11:30</t>
  </si>
  <si>
    <t>06/01/2025 11:45</t>
  </si>
  <si>
    <t>06/01/2025 12:00</t>
  </si>
  <si>
    <t>06/01/2025 12:15</t>
  </si>
  <si>
    <t>06/01/2025 12:30</t>
  </si>
  <si>
    <t>06/01/2025 12:45</t>
  </si>
  <si>
    <t>06/01/2025 13:00</t>
  </si>
  <si>
    <t>06/01/2025 13:15</t>
  </si>
  <si>
    <t>06/01/2025 13:30</t>
  </si>
  <si>
    <t>06/01/2025 13:45</t>
  </si>
  <si>
    <t>06/01/2025 14:00</t>
  </si>
  <si>
    <t>06/01/2025 14:15</t>
  </si>
  <si>
    <t>06/01/2025 14:30</t>
  </si>
  <si>
    <t>06/01/2025 14:45</t>
  </si>
  <si>
    <t>06/01/2025 15:00</t>
  </si>
  <si>
    <t>06/01/2025 15:15</t>
  </si>
  <si>
    <t>06/01/2025 15:30</t>
  </si>
  <si>
    <t>06/01/2025 15:45</t>
  </si>
  <si>
    <t>06/01/2025 16:00</t>
  </si>
  <si>
    <t>06/01/2025 16:15</t>
  </si>
  <si>
    <t>06/01/2025 16:30</t>
  </si>
  <si>
    <t>06/01/2025 16:45</t>
  </si>
  <si>
    <t>06/01/2025 17:00</t>
  </si>
  <si>
    <t>06/01/2025 17:15</t>
  </si>
  <si>
    <t>06/01/2025 17:30</t>
  </si>
  <si>
    <t>06/01/2025 17:45</t>
  </si>
  <si>
    <t>06/01/2025 18:00</t>
  </si>
  <si>
    <t>06/01/2025 18:15</t>
  </si>
  <si>
    <t>06/01/2025 18:30</t>
  </si>
  <si>
    <t>06/01/2025 18:45</t>
  </si>
  <si>
    <t>06/01/2025 19:00</t>
  </si>
  <si>
    <t>06/01/2025 19:15</t>
  </si>
  <si>
    <t>06/01/2025 19:30</t>
  </si>
  <si>
    <t>06/01/2025 19:45</t>
  </si>
  <si>
    <t>06/01/2025 20:00</t>
  </si>
  <si>
    <t>06/01/2025 20:15</t>
  </si>
  <si>
    <t>06/01/2025 20:30</t>
  </si>
  <si>
    <t>06/01/2025 20:45</t>
  </si>
  <si>
    <t>06/01/2025 21:00</t>
  </si>
  <si>
    <t>06/01/2025 21:15</t>
  </si>
  <si>
    <t>06/01/2025 21:30</t>
  </si>
  <si>
    <t>06/01/2025 21:45</t>
  </si>
  <si>
    <t>06/01/2025 22:00</t>
  </si>
  <si>
    <t>06/01/2025 22:15</t>
  </si>
  <si>
    <t>06/01/2025 22:30</t>
  </si>
  <si>
    <t>06/01/2025 22:45</t>
  </si>
  <si>
    <t>06/01/2025 23:00</t>
  </si>
  <si>
    <t>06/01/2025 23:15</t>
  </si>
  <si>
    <t>06/01/2025 23:30</t>
  </si>
  <si>
    <t>06/01/2025 23:45</t>
  </si>
  <si>
    <t>06/01/2025 24:00</t>
  </si>
  <si>
    <t>07/01/2025 00:15</t>
  </si>
  <si>
    <t>07/01/2025 00:30</t>
  </si>
  <si>
    <t>07/01/2025 00:45</t>
  </si>
  <si>
    <t>07/01/2025 01:00</t>
  </si>
  <si>
    <t>07/01/2025 01:15</t>
  </si>
  <si>
    <t>07/01/2025 01:30</t>
  </si>
  <si>
    <t>07/01/2025 01:45</t>
  </si>
  <si>
    <t>07/01/2025 02:00</t>
  </si>
  <si>
    <t>07/01/2025 02:15</t>
  </si>
  <si>
    <t>07/01/2025 02:30</t>
  </si>
  <si>
    <t>07/01/2025 02:45</t>
  </si>
  <si>
    <t>07/01/2025 03:00</t>
  </si>
  <si>
    <t>07/01/2025 03:15</t>
  </si>
  <si>
    <t>07/01/2025 03:30</t>
  </si>
  <si>
    <t>07/01/2025 03:45</t>
  </si>
  <si>
    <t>07/01/2025 04:00</t>
  </si>
  <si>
    <t>07/01/2025 04:15</t>
  </si>
  <si>
    <t>07/01/2025 04:30</t>
  </si>
  <si>
    <t>07/01/2025 04:45</t>
  </si>
  <si>
    <t>07/01/2025 05:00</t>
  </si>
  <si>
    <t>07/01/2025 05:15</t>
  </si>
  <si>
    <t>07/01/2025 05:30</t>
  </si>
  <si>
    <t>07/01/2025 05:45</t>
  </si>
  <si>
    <t>07/01/2025 06:00</t>
  </si>
  <si>
    <t>07/01/2025 06:15</t>
  </si>
  <si>
    <t>07/01/2025 06:30</t>
  </si>
  <si>
    <t>07/01/2025 06:45</t>
  </si>
  <si>
    <t>07/01/2025 07:00</t>
  </si>
  <si>
    <t>07/01/2025 07:15</t>
  </si>
  <si>
    <t>07/01/2025 07:30</t>
  </si>
  <si>
    <t>07/01/2025 07:45</t>
  </si>
  <si>
    <t>07/01/2025 08:00</t>
  </si>
  <si>
    <t>07/01/2025 08:15</t>
  </si>
  <si>
    <t>07/01/2025 08:30</t>
  </si>
  <si>
    <t>07/01/2025 08:45</t>
  </si>
  <si>
    <t>07/01/2025 09:00</t>
  </si>
  <si>
    <t>07/01/2025 09:15</t>
  </si>
  <si>
    <t>07/01/2025 09:30</t>
  </si>
  <si>
    <t>07/01/2025 09:45</t>
  </si>
  <si>
    <t>07/01/2025 10:00</t>
  </si>
  <si>
    <t>07/01/2025 10:15</t>
  </si>
  <si>
    <t>07/01/2025 10:30</t>
  </si>
  <si>
    <t>07/01/2025 10:45</t>
  </si>
  <si>
    <t>07/01/2025 11:00</t>
  </si>
  <si>
    <t>07/01/2025 11:15</t>
  </si>
  <si>
    <t>07/01/2025 11:30</t>
  </si>
  <si>
    <t>07/01/2025 11:45</t>
  </si>
  <si>
    <t>07/01/2025 12:00</t>
  </si>
  <si>
    <t>07/01/2025 12:15</t>
  </si>
  <si>
    <t>07/01/2025 12:30</t>
  </si>
  <si>
    <t>07/01/2025 12:45</t>
  </si>
  <si>
    <t>07/01/2025 13:00</t>
  </si>
  <si>
    <t>07/01/2025 13:15</t>
  </si>
  <si>
    <t>07/01/2025 13:30</t>
  </si>
  <si>
    <t>07/01/2025 13:45</t>
  </si>
  <si>
    <t>07/01/2025 14:00</t>
  </si>
  <si>
    <t>07/01/2025 14:15</t>
  </si>
  <si>
    <t>07/01/2025 14:30</t>
  </si>
  <si>
    <t>07/01/2025 14:45</t>
  </si>
  <si>
    <t>07/01/2025 15:00</t>
  </si>
  <si>
    <t>07/01/2025 15:15</t>
  </si>
  <si>
    <t>07/01/2025 15:30</t>
  </si>
  <si>
    <t>07/01/2025 15:45</t>
  </si>
  <si>
    <t>07/01/2025 16:00</t>
  </si>
  <si>
    <t>07/01/2025 16:15</t>
  </si>
  <si>
    <t>07/01/2025 16:30</t>
  </si>
  <si>
    <t>07/01/2025 16:45</t>
  </si>
  <si>
    <t>07/01/2025 17:00</t>
  </si>
  <si>
    <t>07/01/2025 17:15</t>
  </si>
  <si>
    <t>07/01/2025 17:30</t>
  </si>
  <si>
    <t>07/01/2025 17:45</t>
  </si>
  <si>
    <t>07/01/2025 18:00</t>
  </si>
  <si>
    <t>07/01/2025 18:15</t>
  </si>
  <si>
    <t>07/01/2025 18:30</t>
  </si>
  <si>
    <t>07/01/2025 18:45</t>
  </si>
  <si>
    <t>07/01/2025 19:00</t>
  </si>
  <si>
    <t>07/01/2025 19:15</t>
  </si>
  <si>
    <t>07/01/2025 19:30</t>
  </si>
  <si>
    <t>07/01/2025 19:45</t>
  </si>
  <si>
    <t>07/01/2025 20:00</t>
  </si>
  <si>
    <t>07/01/2025 20:15</t>
  </si>
  <si>
    <t>07/01/2025 20:30</t>
  </si>
  <si>
    <t>07/01/2025 20:45</t>
  </si>
  <si>
    <t>07/01/2025 21:00</t>
  </si>
  <si>
    <t>07/01/2025 21:15</t>
  </si>
  <si>
    <t>07/01/2025 21:30</t>
  </si>
  <si>
    <t>07/01/2025 21:45</t>
  </si>
  <si>
    <t>07/01/2025 22:00</t>
  </si>
  <si>
    <t>07/01/2025 22:15</t>
  </si>
  <si>
    <t>07/01/2025 22:30</t>
  </si>
  <si>
    <t>07/01/2025 22:45</t>
  </si>
  <si>
    <t>07/01/2025 23:00</t>
  </si>
  <si>
    <t>07/01/2025 23:15</t>
  </si>
  <si>
    <t>07/01/2025 23:30</t>
  </si>
  <si>
    <t>07/01/2025 23:45</t>
  </si>
  <si>
    <t>07/01/2025 24:00</t>
  </si>
  <si>
    <t>08/01/2025 00:15</t>
  </si>
  <si>
    <t>08/01/2025 00:30</t>
  </si>
  <si>
    <t>08/01/2025 00:45</t>
  </si>
  <si>
    <t>08/01/2025 01:00</t>
  </si>
  <si>
    <t>08/01/2025 01:15</t>
  </si>
  <si>
    <t>08/01/2025 01:30</t>
  </si>
  <si>
    <t>08/01/2025 01:45</t>
  </si>
  <si>
    <t>08/01/2025 02:00</t>
  </si>
  <si>
    <t>08/01/2025 02:15</t>
  </si>
  <si>
    <t>08/01/2025 02:30</t>
  </si>
  <si>
    <t>08/01/2025 02:45</t>
  </si>
  <si>
    <t>08/01/2025 03:00</t>
  </si>
  <si>
    <t>08/01/2025 03:15</t>
  </si>
  <si>
    <t>08/01/2025 03:30</t>
  </si>
  <si>
    <t>08/01/2025 03:45</t>
  </si>
  <si>
    <t>08/01/2025 04:00</t>
  </si>
  <si>
    <t>08/01/2025 04:15</t>
  </si>
  <si>
    <t>08/01/2025 04:30</t>
  </si>
  <si>
    <t>08/01/2025 04:45</t>
  </si>
  <si>
    <t>08/01/2025 05:00</t>
  </si>
  <si>
    <t>08/01/2025 05:15</t>
  </si>
  <si>
    <t>08/01/2025 05:30</t>
  </si>
  <si>
    <t>08/01/2025 05:45</t>
  </si>
  <si>
    <t>08/01/2025 06:00</t>
  </si>
  <si>
    <t>08/01/2025 06:15</t>
  </si>
  <si>
    <t>08/01/2025 06:30</t>
  </si>
  <si>
    <t>08/01/2025 06:45</t>
  </si>
  <si>
    <t>08/01/2025 07:00</t>
  </si>
  <si>
    <t>08/01/2025 07:15</t>
  </si>
  <si>
    <t>08/01/2025 07:30</t>
  </si>
  <si>
    <t>08/01/2025 07:45</t>
  </si>
  <si>
    <t>08/01/2025 08:00</t>
  </si>
  <si>
    <t>08/01/2025 08:15</t>
  </si>
  <si>
    <t>08/01/2025 08:30</t>
  </si>
  <si>
    <t>08/01/2025 08:45</t>
  </si>
  <si>
    <t>08/01/2025 09:00</t>
  </si>
  <si>
    <t>08/01/2025 09:15</t>
  </si>
  <si>
    <t>08/01/2025 09:30</t>
  </si>
  <si>
    <t>08/01/2025 09:45</t>
  </si>
  <si>
    <t>08/01/2025 10:00</t>
  </si>
  <si>
    <t>08/01/2025 10:15</t>
  </si>
  <si>
    <t>08/01/2025 10:30</t>
  </si>
  <si>
    <t>08/01/2025 10:45</t>
  </si>
  <si>
    <t>08/01/2025 11:00</t>
  </si>
  <si>
    <t>08/01/2025 11:15</t>
  </si>
  <si>
    <t>08/01/2025 11:30</t>
  </si>
  <si>
    <t>08/01/2025 11:45</t>
  </si>
  <si>
    <t>08/01/2025 12:00</t>
  </si>
  <si>
    <t>08/01/2025 12:15</t>
  </si>
  <si>
    <t>08/01/2025 12:30</t>
  </si>
  <si>
    <t>08/01/2025 12:45</t>
  </si>
  <si>
    <t>08/01/2025 13:00</t>
  </si>
  <si>
    <t>08/01/2025 13:15</t>
  </si>
  <si>
    <t>08/01/2025 13:30</t>
  </si>
  <si>
    <t>08/01/2025 13:45</t>
  </si>
  <si>
    <t>08/01/2025 14:00</t>
  </si>
  <si>
    <t>08/01/2025 14:15</t>
  </si>
  <si>
    <t>08/01/2025 14:30</t>
  </si>
  <si>
    <t>08/01/2025 14:45</t>
  </si>
  <si>
    <t>08/01/2025 15:00</t>
  </si>
  <si>
    <t>08/01/2025 15:15</t>
  </si>
  <si>
    <t>08/01/2025 15:30</t>
  </si>
  <si>
    <t>08/01/2025 15:45</t>
  </si>
  <si>
    <t>08/01/2025 16:00</t>
  </si>
  <si>
    <t>08/01/2025 16:15</t>
  </si>
  <si>
    <t>08/01/2025 16:30</t>
  </si>
  <si>
    <t>08/01/2025 16:45</t>
  </si>
  <si>
    <t>08/01/2025 17:00</t>
  </si>
  <si>
    <t>08/01/2025 17:15</t>
  </si>
  <si>
    <t>08/01/2025 17:30</t>
  </si>
  <si>
    <t>08/01/2025 17:45</t>
  </si>
  <si>
    <t>08/01/2025 18:00</t>
  </si>
  <si>
    <t>08/01/2025 18:15</t>
  </si>
  <si>
    <t>08/01/2025 18:30</t>
  </si>
  <si>
    <t>08/01/2025 18:45</t>
  </si>
  <si>
    <t>08/01/2025 19:00</t>
  </si>
  <si>
    <t>08/01/2025 19:15</t>
  </si>
  <si>
    <t>08/01/2025 19:30</t>
  </si>
  <si>
    <t>08/01/2025 19:45</t>
  </si>
  <si>
    <t>08/01/2025 20:00</t>
  </si>
  <si>
    <t>08/01/2025 20:15</t>
  </si>
  <si>
    <t>08/01/2025 20:30</t>
  </si>
  <si>
    <t>08/01/2025 20:45</t>
  </si>
  <si>
    <t>08/01/2025 21:00</t>
  </si>
  <si>
    <t>08/01/2025 21:15</t>
  </si>
  <si>
    <t>08/01/2025 21:30</t>
  </si>
  <si>
    <t>08/01/2025 21:45</t>
  </si>
  <si>
    <t>08/01/2025 22:00</t>
  </si>
  <si>
    <t>08/01/2025 22:15</t>
  </si>
  <si>
    <t>08/01/2025 22:30</t>
  </si>
  <si>
    <t>08/01/2025 22:45</t>
  </si>
  <si>
    <t>08/01/2025 23:00</t>
  </si>
  <si>
    <t>08/01/2025 23:15</t>
  </si>
  <si>
    <t>08/01/2025 23:30</t>
  </si>
  <si>
    <t>08/01/2025 23:45</t>
  </si>
  <si>
    <t>08/01/2025 24:00</t>
  </si>
  <si>
    <t>09/01/2025 00:15</t>
  </si>
  <si>
    <t>09/01/2025 00:30</t>
  </si>
  <si>
    <t>09/01/2025 00:45</t>
  </si>
  <si>
    <t>09/01/2025 01:00</t>
  </si>
  <si>
    <t>09/01/2025 01:15</t>
  </si>
  <si>
    <t>09/01/2025 01:30</t>
  </si>
  <si>
    <t>09/01/2025 01:45</t>
  </si>
  <si>
    <t>09/01/2025 02:00</t>
  </si>
  <si>
    <t>09/01/2025 02:15</t>
  </si>
  <si>
    <t>09/01/2025 02:30</t>
  </si>
  <si>
    <t>09/01/2025 02:45</t>
  </si>
  <si>
    <t>09/01/2025 03:00</t>
  </si>
  <si>
    <t>09/01/2025 03:15</t>
  </si>
  <si>
    <t>09/01/2025 03:30</t>
  </si>
  <si>
    <t>09/01/2025 03:45</t>
  </si>
  <si>
    <t>09/01/2025 04:00</t>
  </si>
  <si>
    <t>09/01/2025 04:15</t>
  </si>
  <si>
    <t>09/01/2025 04:30</t>
  </si>
  <si>
    <t>09/01/2025 04:45</t>
  </si>
  <si>
    <t>09/01/2025 05:00</t>
  </si>
  <si>
    <t>09/01/2025 05:15</t>
  </si>
  <si>
    <t>09/01/2025 05:30</t>
  </si>
  <si>
    <t>09/01/2025 05:45</t>
  </si>
  <si>
    <t>09/01/2025 06:00</t>
  </si>
  <si>
    <t>09/01/2025 06:15</t>
  </si>
  <si>
    <t>09/01/2025 06:30</t>
  </si>
  <si>
    <t>09/01/2025 06:45</t>
  </si>
  <si>
    <t>09/01/2025 07:00</t>
  </si>
  <si>
    <t>09/01/2025 07:15</t>
  </si>
  <si>
    <t>09/01/2025 07:30</t>
  </si>
  <si>
    <t>09/01/2025 07:45</t>
  </si>
  <si>
    <t>09/01/2025 08:00</t>
  </si>
  <si>
    <t>09/01/2025 08:15</t>
  </si>
  <si>
    <t>09/01/2025 08:30</t>
  </si>
  <si>
    <t>09/01/2025 08:45</t>
  </si>
  <si>
    <t>09/01/2025 09:00</t>
  </si>
  <si>
    <t>09/01/2025 09:15</t>
  </si>
  <si>
    <t>09/01/2025 09:30</t>
  </si>
  <si>
    <t>09/01/2025 09:45</t>
  </si>
  <si>
    <t>09/01/2025 10:00</t>
  </si>
  <si>
    <t>09/01/2025 10:15</t>
  </si>
  <si>
    <t>09/01/2025 10:30</t>
  </si>
  <si>
    <t>09/01/2025 10:45</t>
  </si>
  <si>
    <t>09/01/2025 11:00</t>
  </si>
  <si>
    <t>09/01/2025 11:15</t>
  </si>
  <si>
    <t>09/01/2025 11:30</t>
  </si>
  <si>
    <t>09/01/2025 11:45</t>
  </si>
  <si>
    <t>09/01/2025 12:00</t>
  </si>
  <si>
    <t>09/01/2025 12:15</t>
  </si>
  <si>
    <t>09/01/2025 12:30</t>
  </si>
  <si>
    <t>09/01/2025 12:45</t>
  </si>
  <si>
    <t>09/01/2025 13:00</t>
  </si>
  <si>
    <t>09/01/2025 13:15</t>
  </si>
  <si>
    <t>09/01/2025 13:30</t>
  </si>
  <si>
    <t>09/01/2025 13:45</t>
  </si>
  <si>
    <t>09/01/2025 14:00</t>
  </si>
  <si>
    <t>09/01/2025 14:15</t>
  </si>
  <si>
    <t>09/01/2025 14:30</t>
  </si>
  <si>
    <t>09/01/2025 14:45</t>
  </si>
  <si>
    <t>09/01/2025 15:00</t>
  </si>
  <si>
    <t>09/01/2025 15:15</t>
  </si>
  <si>
    <t>09/01/2025 15:30</t>
  </si>
  <si>
    <t>09/01/2025 15:45</t>
  </si>
  <si>
    <t>09/01/2025 16:00</t>
  </si>
  <si>
    <t>09/01/2025 16:15</t>
  </si>
  <si>
    <t>09/01/2025 16:30</t>
  </si>
  <si>
    <t>09/01/2025 16:45</t>
  </si>
  <si>
    <t>09/01/2025 17:00</t>
  </si>
  <si>
    <t>09/01/2025 17:15</t>
  </si>
  <si>
    <t>09/01/2025 17:30</t>
  </si>
  <si>
    <t>09/01/2025 17:45</t>
  </si>
  <si>
    <t>09/01/2025 18:00</t>
  </si>
  <si>
    <t>09/01/2025 18:15</t>
  </si>
  <si>
    <t>09/01/2025 18:30</t>
  </si>
  <si>
    <t>09/01/2025 18:45</t>
  </si>
  <si>
    <t>09/01/2025 19:00</t>
  </si>
  <si>
    <t>09/01/2025 19:15</t>
  </si>
  <si>
    <t>09/01/2025 19:30</t>
  </si>
  <si>
    <t>09/01/2025 19:45</t>
  </si>
  <si>
    <t>09/01/2025 20:00</t>
  </si>
  <si>
    <t>09/01/2025 20:15</t>
  </si>
  <si>
    <t>09/01/2025 20:30</t>
  </si>
  <si>
    <t>09/01/2025 20:45</t>
  </si>
  <si>
    <t>09/01/2025 21:00</t>
  </si>
  <si>
    <t>09/01/2025 21:15</t>
  </si>
  <si>
    <t>09/01/2025 21:30</t>
  </si>
  <si>
    <t>09/01/2025 21:45</t>
  </si>
  <si>
    <t>09/01/2025 22:00</t>
  </si>
  <si>
    <t>09/01/2025 22:15</t>
  </si>
  <si>
    <t>09/01/2025 22:30</t>
  </si>
  <si>
    <t>09/01/2025 22:45</t>
  </si>
  <si>
    <t>09/01/2025 23:00</t>
  </si>
  <si>
    <t>09/01/2025 23:15</t>
  </si>
  <si>
    <t>09/01/2025 23:30</t>
  </si>
  <si>
    <t>09/01/2025 23:45</t>
  </si>
  <si>
    <t>09/01/2025 24:00</t>
  </si>
  <si>
    <t>10/01/2025 00:15</t>
  </si>
  <si>
    <t>10/01/2025 00:30</t>
  </si>
  <si>
    <t>10/01/2025 00:45</t>
  </si>
  <si>
    <t>10/01/2025 01:00</t>
  </si>
  <si>
    <t>10/01/2025 01:15</t>
  </si>
  <si>
    <t>10/01/2025 01:30</t>
  </si>
  <si>
    <t>10/01/2025 01:45</t>
  </si>
  <si>
    <t>10/01/2025 02:00</t>
  </si>
  <si>
    <t>10/01/2025 02:15</t>
  </si>
  <si>
    <t>10/01/2025 02:30</t>
  </si>
  <si>
    <t>10/01/2025 02:45</t>
  </si>
  <si>
    <t>10/01/2025 03:00</t>
  </si>
  <si>
    <t>10/01/2025 03:15</t>
  </si>
  <si>
    <t>10/01/2025 03:30</t>
  </si>
  <si>
    <t>10/01/2025 03:45</t>
  </si>
  <si>
    <t>10/01/2025 04:00</t>
  </si>
  <si>
    <t>10/01/2025 04:15</t>
  </si>
  <si>
    <t>10/01/2025 04:30</t>
  </si>
  <si>
    <t>10/01/2025 04:45</t>
  </si>
  <si>
    <t>10/01/2025 05:00</t>
  </si>
  <si>
    <t>10/01/2025 05:15</t>
  </si>
  <si>
    <t>10/01/2025 05:30</t>
  </si>
  <si>
    <t>10/01/2025 05:45</t>
  </si>
  <si>
    <t>10/01/2025 06:00</t>
  </si>
  <si>
    <t>10/01/2025 06:15</t>
  </si>
  <si>
    <t>10/01/2025 06:30</t>
  </si>
  <si>
    <t>10/01/2025 06:45</t>
  </si>
  <si>
    <t>10/01/2025 07:00</t>
  </si>
  <si>
    <t>10/01/2025 07:15</t>
  </si>
  <si>
    <t>10/01/2025 07:30</t>
  </si>
  <si>
    <t>10/01/2025 07:45</t>
  </si>
  <si>
    <t>10/01/2025 08:00</t>
  </si>
  <si>
    <t>10/01/2025 08:15</t>
  </si>
  <si>
    <t>10/01/2025 08:30</t>
  </si>
  <si>
    <t>10/01/2025 08:45</t>
  </si>
  <si>
    <t>10/01/2025 09:00</t>
  </si>
  <si>
    <t>10/01/2025 09:15</t>
  </si>
  <si>
    <t>10/01/2025 09:30</t>
  </si>
  <si>
    <t>10/01/2025 09:45</t>
  </si>
  <si>
    <t>10/01/2025 10:00</t>
  </si>
  <si>
    <t>10/01/2025 10:15</t>
  </si>
  <si>
    <t>10/01/2025 10:30</t>
  </si>
  <si>
    <t>10/01/2025 10:45</t>
  </si>
  <si>
    <t>10/01/2025 11:00</t>
  </si>
  <si>
    <t>10/01/2025 11:15</t>
  </si>
  <si>
    <t>10/01/2025 11:30</t>
  </si>
  <si>
    <t>10/01/2025 11:45</t>
  </si>
  <si>
    <t>10/01/2025 12:00</t>
  </si>
  <si>
    <t>10/01/2025 12:15</t>
  </si>
  <si>
    <t>10/01/2025 12:30</t>
  </si>
  <si>
    <t>10/01/2025 12:45</t>
  </si>
  <si>
    <t>10/01/2025 13:00</t>
  </si>
  <si>
    <t>10/01/2025 13:15</t>
  </si>
  <si>
    <t>10/01/2025 13:30</t>
  </si>
  <si>
    <t>10/01/2025 13:45</t>
  </si>
  <si>
    <t>10/01/2025 14:00</t>
  </si>
  <si>
    <t>10/01/2025 14:15</t>
  </si>
  <si>
    <t>10/01/2025 14:30</t>
  </si>
  <si>
    <t>10/01/2025 14:45</t>
  </si>
  <si>
    <t>10/01/2025 15:00</t>
  </si>
  <si>
    <t>10/01/2025 15:15</t>
  </si>
  <si>
    <t>10/01/2025 15:30</t>
  </si>
  <si>
    <t>10/01/2025 15:45</t>
  </si>
  <si>
    <t>10/01/2025 16:00</t>
  </si>
  <si>
    <t>10/01/2025 16:15</t>
  </si>
  <si>
    <t>10/01/2025 16:30</t>
  </si>
  <si>
    <t>10/01/2025 16:45</t>
  </si>
  <si>
    <t>10/01/2025 17:00</t>
  </si>
  <si>
    <t>10/01/2025 17:15</t>
  </si>
  <si>
    <t>10/01/2025 17:30</t>
  </si>
  <si>
    <t>10/01/2025 17:45</t>
  </si>
  <si>
    <t>10/01/2025 18:00</t>
  </si>
  <si>
    <t>10/01/2025 18:15</t>
  </si>
  <si>
    <t>10/01/2025 18:30</t>
  </si>
  <si>
    <t>10/01/2025 18:45</t>
  </si>
  <si>
    <t>10/01/2025 19:00</t>
  </si>
  <si>
    <t>10/01/2025 19:15</t>
  </si>
  <si>
    <t>10/01/2025 19:30</t>
  </si>
  <si>
    <t>10/01/2025 19:45</t>
  </si>
  <si>
    <t>10/01/2025 20:00</t>
  </si>
  <si>
    <t>10/01/2025 20:15</t>
  </si>
  <si>
    <t>10/01/2025 20:30</t>
  </si>
  <si>
    <t>10/01/2025 20:45</t>
  </si>
  <si>
    <t>10/01/2025 21:00</t>
  </si>
  <si>
    <t>10/01/2025 21:15</t>
  </si>
  <si>
    <t>10/01/2025 21:30</t>
  </si>
  <si>
    <t>10/01/2025 21:45</t>
  </si>
  <si>
    <t>10/01/2025 22:00</t>
  </si>
  <si>
    <t>10/01/2025 22:15</t>
  </si>
  <si>
    <t>10/01/2025 22:30</t>
  </si>
  <si>
    <t>10/01/2025 22:45</t>
  </si>
  <si>
    <t>10/01/2025 23:00</t>
  </si>
  <si>
    <t>10/01/2025 23:15</t>
  </si>
  <si>
    <t>10/01/2025 23:30</t>
  </si>
  <si>
    <t>10/01/2025 23:45</t>
  </si>
  <si>
    <t>10/01/2025 24:00</t>
  </si>
  <si>
    <t>11/01/2025 00:15</t>
  </si>
  <si>
    <t>11/01/2025 00:30</t>
  </si>
  <si>
    <t>11/01/2025 00:45</t>
  </si>
  <si>
    <t>11/01/2025 01:00</t>
  </si>
  <si>
    <t>11/01/2025 01:15</t>
  </si>
  <si>
    <t>11/01/2025 01:30</t>
  </si>
  <si>
    <t>11/01/2025 01:45</t>
  </si>
  <si>
    <t>11/01/2025 02:00</t>
  </si>
  <si>
    <t>11/01/2025 02:15</t>
  </si>
  <si>
    <t>11/01/2025 02:30</t>
  </si>
  <si>
    <t>11/01/2025 02:45</t>
  </si>
  <si>
    <t>11/01/2025 03:00</t>
  </si>
  <si>
    <t>11/01/2025 03:15</t>
  </si>
  <si>
    <t>11/01/2025 03:30</t>
  </si>
  <si>
    <t>11/01/2025 03:45</t>
  </si>
  <si>
    <t>11/01/2025 04:00</t>
  </si>
  <si>
    <t>11/01/2025 04:15</t>
  </si>
  <si>
    <t>11/01/2025 04:30</t>
  </si>
  <si>
    <t>11/01/2025 04:45</t>
  </si>
  <si>
    <t>11/01/2025 05:00</t>
  </si>
  <si>
    <t>11/01/2025 05:15</t>
  </si>
  <si>
    <t>11/01/2025 05:30</t>
  </si>
  <si>
    <t>11/01/2025 05:45</t>
  </si>
  <si>
    <t>11/01/2025 06:00</t>
  </si>
  <si>
    <t>11/01/2025 06:15</t>
  </si>
  <si>
    <t>11/01/2025 06:30</t>
  </si>
  <si>
    <t>11/01/2025 06:45</t>
  </si>
  <si>
    <t>11/01/2025 07:00</t>
  </si>
  <si>
    <t>11/01/2025 07:15</t>
  </si>
  <si>
    <t>11/01/2025 07:30</t>
  </si>
  <si>
    <t>11/01/2025 07:45</t>
  </si>
  <si>
    <t>11/01/2025 08:00</t>
  </si>
  <si>
    <t>11/01/2025 08:15</t>
  </si>
  <si>
    <t>11/01/2025 08:30</t>
  </si>
  <si>
    <t>11/01/2025 08:45</t>
  </si>
  <si>
    <t>11/01/2025 09:00</t>
  </si>
  <si>
    <t>11/01/2025 09:15</t>
  </si>
  <si>
    <t>11/01/2025 09:30</t>
  </si>
  <si>
    <t>11/01/2025 09:45</t>
  </si>
  <si>
    <t>11/01/2025 10:00</t>
  </si>
  <si>
    <t>11/01/2025 10:15</t>
  </si>
  <si>
    <t>11/01/2025 10:30</t>
  </si>
  <si>
    <t>11/01/2025 10:45</t>
  </si>
  <si>
    <t>11/01/2025 11:00</t>
  </si>
  <si>
    <t>11/01/2025 11:15</t>
  </si>
  <si>
    <t>11/01/2025 11:30</t>
  </si>
  <si>
    <t>11/01/2025 11:45</t>
  </si>
  <si>
    <t>11/01/2025 12:00</t>
  </si>
  <si>
    <t>11/01/2025 12:15</t>
  </si>
  <si>
    <t>11/01/2025 12:30</t>
  </si>
  <si>
    <t>11/01/2025 12:45</t>
  </si>
  <si>
    <t>11/01/2025 13:00</t>
  </si>
  <si>
    <t>11/01/2025 13:15</t>
  </si>
  <si>
    <t>11/01/2025 13:30</t>
  </si>
  <si>
    <t>11/01/2025 13:45</t>
  </si>
  <si>
    <t>11/01/2025 14:00</t>
  </si>
  <si>
    <t>11/01/2025 14:15</t>
  </si>
  <si>
    <t>11/01/2025 14:30</t>
  </si>
  <si>
    <t>11/01/2025 14:45</t>
  </si>
  <si>
    <t>11/01/2025 15:00</t>
  </si>
  <si>
    <t>11/01/2025 15:15</t>
  </si>
  <si>
    <t>11/01/2025 15:30</t>
  </si>
  <si>
    <t>11/01/2025 15:45</t>
  </si>
  <si>
    <t>11/01/2025 16:00</t>
  </si>
  <si>
    <t>11/01/2025 16:15</t>
  </si>
  <si>
    <t>11/01/2025 16:30</t>
  </si>
  <si>
    <t>11/01/2025 16:45</t>
  </si>
  <si>
    <t>11/01/2025 17:00</t>
  </si>
  <si>
    <t>11/01/2025 17:15</t>
  </si>
  <si>
    <t>11/01/2025 17:30</t>
  </si>
  <si>
    <t>11/01/2025 17:45</t>
  </si>
  <si>
    <t>11/01/2025 18:00</t>
  </si>
  <si>
    <t>11/01/2025 18:15</t>
  </si>
  <si>
    <t>11/01/2025 18:30</t>
  </si>
  <si>
    <t>11/01/2025 18:45</t>
  </si>
  <si>
    <t>11/01/2025 19:00</t>
  </si>
  <si>
    <t>11/01/2025 19:15</t>
  </si>
  <si>
    <t>11/01/2025 19:30</t>
  </si>
  <si>
    <t>11/01/2025 19:45</t>
  </si>
  <si>
    <t>11/01/2025 20:00</t>
  </si>
  <si>
    <t>11/01/2025 20:15</t>
  </si>
  <si>
    <t>11/01/2025 20:30</t>
  </si>
  <si>
    <t>11/01/2025 20:45</t>
  </si>
  <si>
    <t>11/01/2025 21:00</t>
  </si>
  <si>
    <t>11/01/2025 21:15</t>
  </si>
  <si>
    <t>11/01/2025 21:30</t>
  </si>
  <si>
    <t>11/01/2025 21:45</t>
  </si>
  <si>
    <t>11/01/2025 22:00</t>
  </si>
  <si>
    <t>11/01/2025 22:15</t>
  </si>
  <si>
    <t>11/01/2025 22:30</t>
  </si>
  <si>
    <t>11/01/2025 22:45</t>
  </si>
  <si>
    <t>11/01/2025 23:00</t>
  </si>
  <si>
    <t>11/01/2025 23:15</t>
  </si>
  <si>
    <t>11/01/2025 23:30</t>
  </si>
  <si>
    <t>11/01/2025 23:45</t>
  </si>
  <si>
    <t>11/01/2025 24:00</t>
  </si>
  <si>
    <t>12/01/2025 00:15</t>
  </si>
  <si>
    <t>12/01/2025 00:30</t>
  </si>
  <si>
    <t>12/01/2025 00:45</t>
  </si>
  <si>
    <t>12/01/2025 01:00</t>
  </si>
  <si>
    <t>12/01/2025 01:15</t>
  </si>
  <si>
    <t>12/01/2025 01:30</t>
  </si>
  <si>
    <t>12/01/2025 01:45</t>
  </si>
  <si>
    <t>12/01/2025 02:00</t>
  </si>
  <si>
    <t>12/01/2025 02:15</t>
  </si>
  <si>
    <t>12/01/2025 02:30</t>
  </si>
  <si>
    <t>12/01/2025 02:45</t>
  </si>
  <si>
    <t>12/01/2025 03:00</t>
  </si>
  <si>
    <t>12/01/2025 03:15</t>
  </si>
  <si>
    <t>12/01/2025 03:30</t>
  </si>
  <si>
    <t>12/01/2025 03:45</t>
  </si>
  <si>
    <t>12/01/2025 04:00</t>
  </si>
  <si>
    <t>12/01/2025 04:15</t>
  </si>
  <si>
    <t>12/01/2025 04:30</t>
  </si>
  <si>
    <t>12/01/2025 04:45</t>
  </si>
  <si>
    <t>12/01/2025 05:00</t>
  </si>
  <si>
    <t>12/01/2025 05:15</t>
  </si>
  <si>
    <t>12/01/2025 05:30</t>
  </si>
  <si>
    <t>12/01/2025 05:45</t>
  </si>
  <si>
    <t>12/01/2025 06:00</t>
  </si>
  <si>
    <t>12/01/2025 06:15</t>
  </si>
  <si>
    <t>12/01/2025 06:30</t>
  </si>
  <si>
    <t>12/01/2025 06:45</t>
  </si>
  <si>
    <t>12/01/2025 07:00</t>
  </si>
  <si>
    <t>12/01/2025 07:15</t>
  </si>
  <si>
    <t>12/01/2025 07:30</t>
  </si>
  <si>
    <t>12/01/2025 07:45</t>
  </si>
  <si>
    <t>12/01/2025 08:00</t>
  </si>
  <si>
    <t>12/01/2025 08:15</t>
  </si>
  <si>
    <t>12/01/2025 08:30</t>
  </si>
  <si>
    <t>12/01/2025 08:45</t>
  </si>
  <si>
    <t>12/01/2025 09:00</t>
  </si>
  <si>
    <t>12/01/2025 09:15</t>
  </si>
  <si>
    <t>12/01/2025 09:30</t>
  </si>
  <si>
    <t>12/01/2025 09:45</t>
  </si>
  <si>
    <t>12/01/2025 10:00</t>
  </si>
  <si>
    <t>12/01/2025 10:15</t>
  </si>
  <si>
    <t>12/01/2025 10:30</t>
  </si>
  <si>
    <t>12/01/2025 10:45</t>
  </si>
  <si>
    <t>12/01/2025 11:00</t>
  </si>
  <si>
    <t>12/01/2025 11:15</t>
  </si>
  <si>
    <t>12/01/2025 11:30</t>
  </si>
  <si>
    <t>12/01/2025 11:45</t>
  </si>
  <si>
    <t>12/01/2025 12:00</t>
  </si>
  <si>
    <t>12/01/2025 12:15</t>
  </si>
  <si>
    <t>12/01/2025 12:30</t>
  </si>
  <si>
    <t>12/01/2025 12:45</t>
  </si>
  <si>
    <t>12/01/2025 13:00</t>
  </si>
  <si>
    <t>12/01/2025 13:15</t>
  </si>
  <si>
    <t>12/01/2025 13:30</t>
  </si>
  <si>
    <t>12/01/2025 13:45</t>
  </si>
  <si>
    <t>12/01/2025 14:00</t>
  </si>
  <si>
    <t>12/01/2025 14:15</t>
  </si>
  <si>
    <t>12/01/2025 14:30</t>
  </si>
  <si>
    <t>12/01/2025 14:45</t>
  </si>
  <si>
    <t>12/01/2025 15:00</t>
  </si>
  <si>
    <t>12/01/2025 15:15</t>
  </si>
  <si>
    <t>12/01/2025 15:30</t>
  </si>
  <si>
    <t>12/01/2025 15:45</t>
  </si>
  <si>
    <t>12/01/2025 16:00</t>
  </si>
  <si>
    <t>12/01/2025 16:15</t>
  </si>
  <si>
    <t>12/01/2025 16:30</t>
  </si>
  <si>
    <t>12/01/2025 16:45</t>
  </si>
  <si>
    <t>12/01/2025 17:00</t>
  </si>
  <si>
    <t>12/01/2025 17:15</t>
  </si>
  <si>
    <t>12/01/2025 17:30</t>
  </si>
  <si>
    <t>12/01/2025 17:45</t>
  </si>
  <si>
    <t>12/01/2025 18:00</t>
  </si>
  <si>
    <t>12/01/2025 18:15</t>
  </si>
  <si>
    <t>12/01/2025 18:30</t>
  </si>
  <si>
    <t>12/01/2025 18:45</t>
  </si>
  <si>
    <t>12/01/2025 19:00</t>
  </si>
  <si>
    <t>12/01/2025 19:15</t>
  </si>
  <si>
    <t>12/01/2025 19:30</t>
  </si>
  <si>
    <t>12/01/2025 19:45</t>
  </si>
  <si>
    <t>12/01/2025 20:00</t>
  </si>
  <si>
    <t>12/01/2025 20:15</t>
  </si>
  <si>
    <t>12/01/2025 20:30</t>
  </si>
  <si>
    <t>12/01/2025 20:45</t>
  </si>
  <si>
    <t>12/01/2025 21:00</t>
  </si>
  <si>
    <t>12/01/2025 21:15</t>
  </si>
  <si>
    <t>12/01/2025 21:30</t>
  </si>
  <si>
    <t>12/01/2025 21:45</t>
  </si>
  <si>
    <t>12/01/2025 22:00</t>
  </si>
  <si>
    <t>12/01/2025 22:15</t>
  </si>
  <si>
    <t>12/01/2025 22:30</t>
  </si>
  <si>
    <t>12/01/2025 22:45</t>
  </si>
  <si>
    <t>12/01/2025 23:00</t>
  </si>
  <si>
    <t>12/01/2025 23:15</t>
  </si>
  <si>
    <t>12/01/2025 23:30</t>
  </si>
  <si>
    <t>12/01/2025 23:45</t>
  </si>
  <si>
    <t>12/01/2025 24:00</t>
  </si>
  <si>
    <t>13/01/2025 00:15</t>
  </si>
  <si>
    <t>13/01/2025 00:30</t>
  </si>
  <si>
    <t>13/01/2025 00:45</t>
  </si>
  <si>
    <t>13/01/2025 01:00</t>
  </si>
  <si>
    <t>13/01/2025 01:15</t>
  </si>
  <si>
    <t>13/01/2025 01:30</t>
  </si>
  <si>
    <t>13/01/2025 01:45</t>
  </si>
  <si>
    <t>13/01/2025 02:00</t>
  </si>
  <si>
    <t>13/01/2025 02:15</t>
  </si>
  <si>
    <t>13/01/2025 02:30</t>
  </si>
  <si>
    <t>13/01/2025 02:45</t>
  </si>
  <si>
    <t>13/01/2025 03:00</t>
  </si>
  <si>
    <t>13/01/2025 03:15</t>
  </si>
  <si>
    <t>13/01/2025 03:30</t>
  </si>
  <si>
    <t>13/01/2025 03:45</t>
  </si>
  <si>
    <t>13/01/2025 04:00</t>
  </si>
  <si>
    <t>13/01/2025 04:15</t>
  </si>
  <si>
    <t>13/01/2025 04:30</t>
  </si>
  <si>
    <t>13/01/2025 04:45</t>
  </si>
  <si>
    <t>13/01/2025 05:00</t>
  </si>
  <si>
    <t>13/01/2025 05:15</t>
  </si>
  <si>
    <t>13/01/2025 05:30</t>
  </si>
  <si>
    <t>13/01/2025 05:45</t>
  </si>
  <si>
    <t>13/01/2025 06:00</t>
  </si>
  <si>
    <t>13/01/2025 06:15</t>
  </si>
  <si>
    <t>13/01/2025 06:30</t>
  </si>
  <si>
    <t>13/01/2025 06:45</t>
  </si>
  <si>
    <t>13/01/2025 07:00</t>
  </si>
  <si>
    <t>13/01/2025 07:15</t>
  </si>
  <si>
    <t>13/01/2025 07:30</t>
  </si>
  <si>
    <t>13/01/2025 07:45</t>
  </si>
  <si>
    <t>13/01/2025 08:00</t>
  </si>
  <si>
    <t>13/01/2025 08:15</t>
  </si>
  <si>
    <t>13/01/2025 08:30</t>
  </si>
  <si>
    <t>13/01/2025 08:45</t>
  </si>
  <si>
    <t>13/01/2025 09:00</t>
  </si>
  <si>
    <t>13/01/2025 09:15</t>
  </si>
  <si>
    <t>13/01/2025 09:30</t>
  </si>
  <si>
    <t>13/01/2025 09:45</t>
  </si>
  <si>
    <t>13/01/2025 10:00</t>
  </si>
  <si>
    <t>13/01/2025 10:15</t>
  </si>
  <si>
    <t>13/01/2025 10:30</t>
  </si>
  <si>
    <t>13/01/2025 10:45</t>
  </si>
  <si>
    <t>13/01/2025 11:00</t>
  </si>
  <si>
    <t>13/01/2025 11:15</t>
  </si>
  <si>
    <t>13/01/2025 11:30</t>
  </si>
  <si>
    <t>13/01/2025 11:45</t>
  </si>
  <si>
    <t>13/01/2025 12:00</t>
  </si>
  <si>
    <t>13/01/2025 12:15</t>
  </si>
  <si>
    <t>13/01/2025 12:30</t>
  </si>
  <si>
    <t>13/01/2025 12:45</t>
  </si>
  <si>
    <t>13/01/2025 13:00</t>
  </si>
  <si>
    <t>13/01/2025 13:15</t>
  </si>
  <si>
    <t>13/01/2025 13:30</t>
  </si>
  <si>
    <t>13/01/2025 13:45</t>
  </si>
  <si>
    <t>13/01/2025 14:00</t>
  </si>
  <si>
    <t>13/01/2025 14:15</t>
  </si>
  <si>
    <t>13/01/2025 14:30</t>
  </si>
  <si>
    <t>13/01/2025 14:45</t>
  </si>
  <si>
    <t>13/01/2025 15:00</t>
  </si>
  <si>
    <t>13/01/2025 15:15</t>
  </si>
  <si>
    <t>13/01/2025 15:30</t>
  </si>
  <si>
    <t>13/01/2025 15:45</t>
  </si>
  <si>
    <t>13/01/2025 16:00</t>
  </si>
  <si>
    <t>13/01/2025 16:15</t>
  </si>
  <si>
    <t>13/01/2025 16:30</t>
  </si>
  <si>
    <t>13/01/2025 16:45</t>
  </si>
  <si>
    <t>13/01/2025 17:00</t>
  </si>
  <si>
    <t>13/01/2025 17:15</t>
  </si>
  <si>
    <t>13/01/2025 17:30</t>
  </si>
  <si>
    <t>13/01/2025 17:45</t>
  </si>
  <si>
    <t>13/01/2025 18:00</t>
  </si>
  <si>
    <t>13/01/2025 18:15</t>
  </si>
  <si>
    <t>13/01/2025 18:30</t>
  </si>
  <si>
    <t>13/01/2025 18:45</t>
  </si>
  <si>
    <t>13/01/2025 19:00</t>
  </si>
  <si>
    <t>13/01/2025 19:15</t>
  </si>
  <si>
    <t>13/01/2025 19:30</t>
  </si>
  <si>
    <t>13/01/2025 19:45</t>
  </si>
  <si>
    <t>13/01/2025 20:00</t>
  </si>
  <si>
    <t>13/01/2025 20:15</t>
  </si>
  <si>
    <t>13/01/2025 20:30</t>
  </si>
  <si>
    <t>13/01/2025 20:45</t>
  </si>
  <si>
    <t>13/01/2025 21:00</t>
  </si>
  <si>
    <t>13/01/2025 21:15</t>
  </si>
  <si>
    <t>13/01/2025 21:30</t>
  </si>
  <si>
    <t>13/01/2025 21:45</t>
  </si>
  <si>
    <t>13/01/2025 22:00</t>
  </si>
  <si>
    <t>13/01/2025 22:15</t>
  </si>
  <si>
    <t>13/01/2025 22:30</t>
  </si>
  <si>
    <t>13/01/2025 22:45</t>
  </si>
  <si>
    <t>13/01/2025 23:00</t>
  </si>
  <si>
    <t>13/01/2025 23:15</t>
  </si>
  <si>
    <t>13/01/2025 23:30</t>
  </si>
  <si>
    <t>13/01/2025 23:45</t>
  </si>
  <si>
    <t>13/01/2025 24:00</t>
  </si>
  <si>
    <t>14/01/2025 00:15</t>
  </si>
  <si>
    <t>14/01/2025 00:30</t>
  </si>
  <si>
    <t>14/01/2025 00:45</t>
  </si>
  <si>
    <t>14/01/2025 01:00</t>
  </si>
  <si>
    <t>14/01/2025 01:15</t>
  </si>
  <si>
    <t>14/01/2025 01:30</t>
  </si>
  <si>
    <t>14/01/2025 01:45</t>
  </si>
  <si>
    <t>14/01/2025 02:00</t>
  </si>
  <si>
    <t>14/01/2025 02:15</t>
  </si>
  <si>
    <t>14/01/2025 02:30</t>
  </si>
  <si>
    <t>14/01/2025 02:45</t>
  </si>
  <si>
    <t>14/01/2025 03:00</t>
  </si>
  <si>
    <t>14/01/2025 03:15</t>
  </si>
  <si>
    <t>14/01/2025 03:30</t>
  </si>
  <si>
    <t>14/01/2025 03:45</t>
  </si>
  <si>
    <t>14/01/2025 04:00</t>
  </si>
  <si>
    <t>14/01/2025 04:15</t>
  </si>
  <si>
    <t>14/01/2025 04:30</t>
  </si>
  <si>
    <t>14/01/2025 04:45</t>
  </si>
  <si>
    <t>14/01/2025 05:00</t>
  </si>
  <si>
    <t>14/01/2025 05:15</t>
  </si>
  <si>
    <t>14/01/2025 05:30</t>
  </si>
  <si>
    <t>14/01/2025 05:45</t>
  </si>
  <si>
    <t>14/01/2025 06:00</t>
  </si>
  <si>
    <t>14/01/2025 06:15</t>
  </si>
  <si>
    <t>14/01/2025 06:30</t>
  </si>
  <si>
    <t>14/01/2025 06:45</t>
  </si>
  <si>
    <t>14/01/2025 07:00</t>
  </si>
  <si>
    <t>14/01/2025 07:15</t>
  </si>
  <si>
    <t>14/01/2025 07:30</t>
  </si>
  <si>
    <t>14/01/2025 07:45</t>
  </si>
  <si>
    <t>14/01/2025 08:00</t>
  </si>
  <si>
    <t>14/01/2025 08:15</t>
  </si>
  <si>
    <t>14/01/2025 08:30</t>
  </si>
  <si>
    <t>14/01/2025 08:45</t>
  </si>
  <si>
    <t>14/01/2025 09:00</t>
  </si>
  <si>
    <t>14/01/2025 09:15</t>
  </si>
  <si>
    <t>14/01/2025 09:30</t>
  </si>
  <si>
    <t>14/01/2025 09:45</t>
  </si>
  <si>
    <t>14/01/2025 10:00</t>
  </si>
  <si>
    <t>14/01/2025 10:15</t>
  </si>
  <si>
    <t>14/01/2025 10:30</t>
  </si>
  <si>
    <t>14/01/2025 10:45</t>
  </si>
  <si>
    <t>14/01/2025 11:00</t>
  </si>
  <si>
    <t>14/01/2025 11:15</t>
  </si>
  <si>
    <t>14/01/2025 11:30</t>
  </si>
  <si>
    <t>14/01/2025 11:45</t>
  </si>
  <si>
    <t>14/01/2025 12:00</t>
  </si>
  <si>
    <t>14/01/2025 12:15</t>
  </si>
  <si>
    <t>14/01/2025 12:30</t>
  </si>
  <si>
    <t>14/01/2025 12:45</t>
  </si>
  <si>
    <t>14/01/2025 13:00</t>
  </si>
  <si>
    <t>14/01/2025 13:15</t>
  </si>
  <si>
    <t>14/01/2025 13:30</t>
  </si>
  <si>
    <t>14/01/2025 13:45</t>
  </si>
  <si>
    <t>14/01/2025 14:00</t>
  </si>
  <si>
    <t>14/01/2025 14:15</t>
  </si>
  <si>
    <t>14/01/2025 14:30</t>
  </si>
  <si>
    <t>14/01/2025 14:45</t>
  </si>
  <si>
    <t>14/01/2025 15:00</t>
  </si>
  <si>
    <t>14/01/2025 15:15</t>
  </si>
  <si>
    <t>14/01/2025 15:30</t>
  </si>
  <si>
    <t>14/01/2025 15:45</t>
  </si>
  <si>
    <t>14/01/2025 16:00</t>
  </si>
  <si>
    <t>14/01/2025 16:15</t>
  </si>
  <si>
    <t>14/01/2025 16:30</t>
  </si>
  <si>
    <t>14/01/2025 16:45</t>
  </si>
  <si>
    <t>14/01/2025 17:00</t>
  </si>
  <si>
    <t>14/01/2025 17:15</t>
  </si>
  <si>
    <t>14/01/2025 17:30</t>
  </si>
  <si>
    <t>14/01/2025 17:45</t>
  </si>
  <si>
    <t>14/01/2025 18:00</t>
  </si>
  <si>
    <t>14/01/2025 18:15</t>
  </si>
  <si>
    <t>14/01/2025 18:30</t>
  </si>
  <si>
    <t>14/01/2025 18:45</t>
  </si>
  <si>
    <t>14/01/2025 19:00</t>
  </si>
  <si>
    <t>14/01/2025 19:15</t>
  </si>
  <si>
    <t>14/01/2025 19:30</t>
  </si>
  <si>
    <t>14/01/2025 19:45</t>
  </si>
  <si>
    <t>14/01/2025 20:00</t>
  </si>
  <si>
    <t>14/01/2025 20:15</t>
  </si>
  <si>
    <t>14/01/2025 20:30</t>
  </si>
  <si>
    <t>14/01/2025 20:45</t>
  </si>
  <si>
    <t>14/01/2025 21:00</t>
  </si>
  <si>
    <t>14/01/2025 21:15</t>
  </si>
  <si>
    <t>14/01/2025 21:30</t>
  </si>
  <si>
    <t>14/01/2025 21:45</t>
  </si>
  <si>
    <t>14/01/2025 22:00</t>
  </si>
  <si>
    <t>14/01/2025 22:15</t>
  </si>
  <si>
    <t>14/01/2025 22:30</t>
  </si>
  <si>
    <t>14/01/2025 22:45</t>
  </si>
  <si>
    <t>14/01/2025 23:00</t>
  </si>
  <si>
    <t>14/01/2025 23:15</t>
  </si>
  <si>
    <t>14/01/2025 23:30</t>
  </si>
  <si>
    <t>14/01/2025 23:45</t>
  </si>
  <si>
    <t>14/01/2025 24:00</t>
  </si>
  <si>
    <t>15/01/2025 00:15</t>
  </si>
  <si>
    <t>15/01/2025 00:30</t>
  </si>
  <si>
    <t>15/01/2025 00:45</t>
  </si>
  <si>
    <t>15/01/2025 01:00</t>
  </si>
  <si>
    <t>15/01/2025 01:15</t>
  </si>
  <si>
    <t>15/01/2025 01:30</t>
  </si>
  <si>
    <t>15/01/2025 01:45</t>
  </si>
  <si>
    <t>15/01/2025 02:00</t>
  </si>
  <si>
    <t>15/01/2025 02:15</t>
  </si>
  <si>
    <t>15/01/2025 02:30</t>
  </si>
  <si>
    <t>15/01/2025 02:45</t>
  </si>
  <si>
    <t>15/01/2025 03:00</t>
  </si>
  <si>
    <t>15/01/2025 03:15</t>
  </si>
  <si>
    <t>15/01/2025 03:30</t>
  </si>
  <si>
    <t>15/01/2025 03:45</t>
  </si>
  <si>
    <t>15/01/2025 04:00</t>
  </si>
  <si>
    <t>15/01/2025 04:15</t>
  </si>
  <si>
    <t>15/01/2025 04:30</t>
  </si>
  <si>
    <t>15/01/2025 04:45</t>
  </si>
  <si>
    <t>15/01/2025 05:00</t>
  </si>
  <si>
    <t>15/01/2025 05:15</t>
  </si>
  <si>
    <t>15/01/2025 05:30</t>
  </si>
  <si>
    <t>15/01/2025 05:45</t>
  </si>
  <si>
    <t>15/01/2025 06:00</t>
  </si>
  <si>
    <t>15/01/2025 06:15</t>
  </si>
  <si>
    <t>15/01/2025 06:30</t>
  </si>
  <si>
    <t>15/01/2025 06:45</t>
  </si>
  <si>
    <t>15/01/2025 07:00</t>
  </si>
  <si>
    <t>15/01/2025 07:15</t>
  </si>
  <si>
    <t>15/01/2025 07:30</t>
  </si>
  <si>
    <t>15/01/2025 07:45</t>
  </si>
  <si>
    <t>15/01/2025 08:00</t>
  </si>
  <si>
    <t>15/01/2025 08:15</t>
  </si>
  <si>
    <t>15/01/2025 08:30</t>
  </si>
  <si>
    <t>15/01/2025 08:45</t>
  </si>
  <si>
    <t>15/01/2025 09:00</t>
  </si>
  <si>
    <t>15/01/2025 09:15</t>
  </si>
  <si>
    <t>15/01/2025 09:30</t>
  </si>
  <si>
    <t>15/01/2025 09:45</t>
  </si>
  <si>
    <t>15/01/2025 10:00</t>
  </si>
  <si>
    <t>15/01/2025 10:15</t>
  </si>
  <si>
    <t>15/01/2025 10:30</t>
  </si>
  <si>
    <t>15/01/2025 10:45</t>
  </si>
  <si>
    <t>15/01/2025 11:00</t>
  </si>
  <si>
    <t>15/01/2025 11:15</t>
  </si>
  <si>
    <t>15/01/2025 11:30</t>
  </si>
  <si>
    <t>15/01/2025 11:45</t>
  </si>
  <si>
    <t>15/01/2025 12:00</t>
  </si>
  <si>
    <t>15/01/2025 12:15</t>
  </si>
  <si>
    <t>15/01/2025 12:30</t>
  </si>
  <si>
    <t>15/01/2025 12:45</t>
  </si>
  <si>
    <t>15/01/2025 13:00</t>
  </si>
  <si>
    <t>15/01/2025 13:15</t>
  </si>
  <si>
    <t>15/01/2025 13:30</t>
  </si>
  <si>
    <t>15/01/2025 13:45</t>
  </si>
  <si>
    <t>15/01/2025 14:00</t>
  </si>
  <si>
    <t>15/01/2025 14:15</t>
  </si>
  <si>
    <t>15/01/2025 14:30</t>
  </si>
  <si>
    <t>15/01/2025 14:45</t>
  </si>
  <si>
    <t>15/01/2025 15:00</t>
  </si>
  <si>
    <t>15/01/2025 15:15</t>
  </si>
  <si>
    <t>15/01/2025 15:30</t>
  </si>
  <si>
    <t>15/01/2025 15:45</t>
  </si>
  <si>
    <t>15/01/2025 16:00</t>
  </si>
  <si>
    <t>15/01/2025 16:15</t>
  </si>
  <si>
    <t>15/01/2025 16:30</t>
  </si>
  <si>
    <t>15/01/2025 16:45</t>
  </si>
  <si>
    <t>15/01/2025 17:00</t>
  </si>
  <si>
    <t>15/01/2025 17:15</t>
  </si>
  <si>
    <t>15/01/2025 17:30</t>
  </si>
  <si>
    <t>15/01/2025 17:45</t>
  </si>
  <si>
    <t>15/01/2025 18:00</t>
  </si>
  <si>
    <t>15/01/2025 18:15</t>
  </si>
  <si>
    <t>15/01/2025 18:30</t>
  </si>
  <si>
    <t>15/01/2025 18:45</t>
  </si>
  <si>
    <t>15/01/2025 19:00</t>
  </si>
  <si>
    <t>15/01/2025 19:15</t>
  </si>
  <si>
    <t>15/01/2025 19:30</t>
  </si>
  <si>
    <t>15/01/2025 19:45</t>
  </si>
  <si>
    <t>15/01/2025 20:00</t>
  </si>
  <si>
    <t>15/01/2025 20:15</t>
  </si>
  <si>
    <t>15/01/2025 20:30</t>
  </si>
  <si>
    <t>15/01/2025 20:45</t>
  </si>
  <si>
    <t>15/01/2025 21:00</t>
  </si>
  <si>
    <t>15/01/2025 21:15</t>
  </si>
  <si>
    <t>15/01/2025 21:30</t>
  </si>
  <si>
    <t>15/01/2025 21:45</t>
  </si>
  <si>
    <t>15/01/2025 22:00</t>
  </si>
  <si>
    <t>15/01/2025 22:15</t>
  </si>
  <si>
    <t>15/01/2025 22:30</t>
  </si>
  <si>
    <t>15/01/2025 22:45</t>
  </si>
  <si>
    <t>15/01/2025 23:00</t>
  </si>
  <si>
    <t>15/01/2025 23:15</t>
  </si>
  <si>
    <t>15/01/2025 23:30</t>
  </si>
  <si>
    <t>15/01/2025 23:45</t>
  </si>
  <si>
    <t>15/01/2025 24:00</t>
  </si>
  <si>
    <t>16/01/2025 00:15</t>
  </si>
  <si>
    <t>16/01/2025 00:30</t>
  </si>
  <si>
    <t>16/01/2025 00:45</t>
  </si>
  <si>
    <t>16/01/2025 01:00</t>
  </si>
  <si>
    <t>16/01/2025 01:15</t>
  </si>
  <si>
    <t>16/01/2025 01:30</t>
  </si>
  <si>
    <t>16/01/2025 01:45</t>
  </si>
  <si>
    <t>16/01/2025 02:00</t>
  </si>
  <si>
    <t>16/01/2025 02:15</t>
  </si>
  <si>
    <t>16/01/2025 02:30</t>
  </si>
  <si>
    <t>16/01/2025 02:45</t>
  </si>
  <si>
    <t>16/01/2025 03:00</t>
  </si>
  <si>
    <t>16/01/2025 03:15</t>
  </si>
  <si>
    <t>16/01/2025 03:30</t>
  </si>
  <si>
    <t>16/01/2025 03:45</t>
  </si>
  <si>
    <t>16/01/2025 04:00</t>
  </si>
  <si>
    <t>16/01/2025 04:15</t>
  </si>
  <si>
    <t>16/01/2025 04:30</t>
  </si>
  <si>
    <t>16/01/2025 04:45</t>
  </si>
  <si>
    <t>16/01/2025 05:00</t>
  </si>
  <si>
    <t>16/01/2025 05:15</t>
  </si>
  <si>
    <t>16/01/2025 05:30</t>
  </si>
  <si>
    <t>16/01/2025 05:45</t>
  </si>
  <si>
    <t>16/01/2025 06:00</t>
  </si>
  <si>
    <t>16/01/2025 06:15</t>
  </si>
  <si>
    <t>16/01/2025 06:30</t>
  </si>
  <si>
    <t>16/01/2025 06:45</t>
  </si>
  <si>
    <t>16/01/2025 07:00</t>
  </si>
  <si>
    <t>16/01/2025 07:15</t>
  </si>
  <si>
    <t>16/01/2025 07:30</t>
  </si>
  <si>
    <t>16/01/2025 07:45</t>
  </si>
  <si>
    <t>16/01/2025 08:00</t>
  </si>
  <si>
    <t>16/01/2025 08:15</t>
  </si>
  <si>
    <t>16/01/2025 08:30</t>
  </si>
  <si>
    <t>16/01/2025 08:45</t>
  </si>
  <si>
    <t>16/01/2025 09:00</t>
  </si>
  <si>
    <t>16/01/2025 09:15</t>
  </si>
  <si>
    <t>16/01/2025 09:30</t>
  </si>
  <si>
    <t>16/01/2025 09:45</t>
  </si>
  <si>
    <t>16/01/2025 10:00</t>
  </si>
  <si>
    <t>16/01/2025 10:15</t>
  </si>
  <si>
    <t>16/01/2025 10:30</t>
  </si>
  <si>
    <t>16/01/2025 10:45</t>
  </si>
  <si>
    <t>16/01/2025 11:00</t>
  </si>
  <si>
    <t>16/01/2025 11:15</t>
  </si>
  <si>
    <t>16/01/2025 11:30</t>
  </si>
  <si>
    <t>16/01/2025 11:45</t>
  </si>
  <si>
    <t>16/01/2025 12:00</t>
  </si>
  <si>
    <t>16/01/2025 12:15</t>
  </si>
  <si>
    <t>16/01/2025 12:30</t>
  </si>
  <si>
    <t>16/01/2025 12:45</t>
  </si>
  <si>
    <t>16/01/2025 13:00</t>
  </si>
  <si>
    <t>16/01/2025 13:15</t>
  </si>
  <si>
    <t>16/01/2025 13:30</t>
  </si>
  <si>
    <t>16/01/2025 13:45</t>
  </si>
  <si>
    <t>16/01/2025 14:00</t>
  </si>
  <si>
    <t>16/01/2025 14:15</t>
  </si>
  <si>
    <t>16/01/2025 14:30</t>
  </si>
  <si>
    <t>16/01/2025 14:45</t>
  </si>
  <si>
    <t>16/01/2025 15:00</t>
  </si>
  <si>
    <t>16/01/2025 15:15</t>
  </si>
  <si>
    <t>16/01/2025 15:30</t>
  </si>
  <si>
    <t>16/01/2025 15:45</t>
  </si>
  <si>
    <t>16/01/2025 16:00</t>
  </si>
  <si>
    <t>16/01/2025 16:15</t>
  </si>
  <si>
    <t>16/01/2025 16:30</t>
  </si>
  <si>
    <t>16/01/2025 16:45</t>
  </si>
  <si>
    <t>16/01/2025 17:00</t>
  </si>
  <si>
    <t>16/01/2025 17:15</t>
  </si>
  <si>
    <t>16/01/2025 17:30</t>
  </si>
  <si>
    <t>16/01/2025 17:45</t>
  </si>
  <si>
    <t>16/01/2025 18:00</t>
  </si>
  <si>
    <t>16/01/2025 18:15</t>
  </si>
  <si>
    <t>16/01/2025 18:30</t>
  </si>
  <si>
    <t>16/01/2025 18:45</t>
  </si>
  <si>
    <t>16/01/2025 19:00</t>
  </si>
  <si>
    <t>16/01/2025 19:15</t>
  </si>
  <si>
    <t>16/01/2025 19:30</t>
  </si>
  <si>
    <t>16/01/2025 19:45</t>
  </si>
  <si>
    <t>16/01/2025 20:00</t>
  </si>
  <si>
    <t>16/01/2025 20:15</t>
  </si>
  <si>
    <t>16/01/2025 20:30</t>
  </si>
  <si>
    <t>16/01/2025 20:45</t>
  </si>
  <si>
    <t>16/01/2025 21:00</t>
  </si>
  <si>
    <t>16/01/2025 21:15</t>
  </si>
  <si>
    <t>16/01/2025 21:30</t>
  </si>
  <si>
    <t>16/01/2025 21:45</t>
  </si>
  <si>
    <t>16/01/2025 22:00</t>
  </si>
  <si>
    <t>16/01/2025 22:15</t>
  </si>
  <si>
    <t>16/01/2025 22:30</t>
  </si>
  <si>
    <t>16/01/2025 22:45</t>
  </si>
  <si>
    <t>16/01/2025 23:00</t>
  </si>
  <si>
    <t>16/01/2025 23:15</t>
  </si>
  <si>
    <t>16/01/2025 23:30</t>
  </si>
  <si>
    <t>16/01/2025 23:45</t>
  </si>
  <si>
    <t>16/01/2025 24:00</t>
  </si>
  <si>
    <t>17/01/2025 00:15</t>
  </si>
  <si>
    <t>17/01/2025 00:30</t>
  </si>
  <si>
    <t>17/01/2025 00:45</t>
  </si>
  <si>
    <t>17/01/2025 01:00</t>
  </si>
  <si>
    <t>17/01/2025 01:15</t>
  </si>
  <si>
    <t>17/01/2025 01:30</t>
  </si>
  <si>
    <t>17/01/2025 01:45</t>
  </si>
  <si>
    <t>17/01/2025 02:00</t>
  </si>
  <si>
    <t>17/01/2025 02:15</t>
  </si>
  <si>
    <t>17/01/2025 02:30</t>
  </si>
  <si>
    <t>17/01/2025 02:45</t>
  </si>
  <si>
    <t>17/01/2025 03:00</t>
  </si>
  <si>
    <t>17/01/2025 03:15</t>
  </si>
  <si>
    <t>17/01/2025 03:30</t>
  </si>
  <si>
    <t>17/01/2025 03:45</t>
  </si>
  <si>
    <t>17/01/2025 04:00</t>
  </si>
  <si>
    <t>17/01/2025 04:15</t>
  </si>
  <si>
    <t>17/01/2025 04:30</t>
  </si>
  <si>
    <t>17/01/2025 04:45</t>
  </si>
  <si>
    <t>17/01/2025 05:00</t>
  </si>
  <si>
    <t>17/01/2025 05:15</t>
  </si>
  <si>
    <t>17/01/2025 05:30</t>
  </si>
  <si>
    <t>17/01/2025 05:45</t>
  </si>
  <si>
    <t>17/01/2025 06:00</t>
  </si>
  <si>
    <t>17/01/2025 06:15</t>
  </si>
  <si>
    <t>17/01/2025 06:30</t>
  </si>
  <si>
    <t>17/01/2025 06:45</t>
  </si>
  <si>
    <t>17/01/2025 07:00</t>
  </si>
  <si>
    <t>17/01/2025 07:15</t>
  </si>
  <si>
    <t>17/01/2025 07:30</t>
  </si>
  <si>
    <t>17/01/2025 07:45</t>
  </si>
  <si>
    <t>17/01/2025 08:00</t>
  </si>
  <si>
    <t>17/01/2025 08:15</t>
  </si>
  <si>
    <t>17/01/2025 08:30</t>
  </si>
  <si>
    <t>17/01/2025 08:45</t>
  </si>
  <si>
    <t>17/01/2025 09:00</t>
  </si>
  <si>
    <t>17/01/2025 09:15</t>
  </si>
  <si>
    <t>17/01/2025 09:30</t>
  </si>
  <si>
    <t>17/01/2025 09:45</t>
  </si>
  <si>
    <t>17/01/2025 10:00</t>
  </si>
  <si>
    <t>17/01/2025 10:15</t>
  </si>
  <si>
    <t>17/01/2025 10:30</t>
  </si>
  <si>
    <t>17/01/2025 10:45</t>
  </si>
  <si>
    <t>17/01/2025 11:00</t>
  </si>
  <si>
    <t>17/01/2025 11:15</t>
  </si>
  <si>
    <t>17/01/2025 11:30</t>
  </si>
  <si>
    <t>17/01/2025 11:45</t>
  </si>
  <si>
    <t>17/01/2025 12:00</t>
  </si>
  <si>
    <t>17/01/2025 12:15</t>
  </si>
  <si>
    <t>17/01/2025 12:30</t>
  </si>
  <si>
    <t>17/01/2025 12:45</t>
  </si>
  <si>
    <t>17/01/2025 13:00</t>
  </si>
  <si>
    <t>17/01/2025 13:15</t>
  </si>
  <si>
    <t>17/01/2025 13:30</t>
  </si>
  <si>
    <t>17/01/2025 13:45</t>
  </si>
  <si>
    <t>17/01/2025 14:00</t>
  </si>
  <si>
    <t>17/01/2025 14:15</t>
  </si>
  <si>
    <t>17/01/2025 14:30</t>
  </si>
  <si>
    <t>17/01/2025 14:45</t>
  </si>
  <si>
    <t>17/01/2025 15:00</t>
  </si>
  <si>
    <t>17/01/2025 15:15</t>
  </si>
  <si>
    <t>17/01/2025 15:30</t>
  </si>
  <si>
    <t>17/01/2025 15:45</t>
  </si>
  <si>
    <t>17/01/2025 16:00</t>
  </si>
  <si>
    <t>17/01/2025 16:15</t>
  </si>
  <si>
    <t>17/01/2025 16:30</t>
  </si>
  <si>
    <t>17/01/2025 16:45</t>
  </si>
  <si>
    <t>17/01/2025 17:00</t>
  </si>
  <si>
    <t>17/01/2025 17:15</t>
  </si>
  <si>
    <t>17/01/2025 17:30</t>
  </si>
  <si>
    <t>17/01/2025 17:45</t>
  </si>
  <si>
    <t>17/01/2025 18:00</t>
  </si>
  <si>
    <t>17/01/2025 18:15</t>
  </si>
  <si>
    <t>17/01/2025 18:30</t>
  </si>
  <si>
    <t>17/01/2025 18:45</t>
  </si>
  <si>
    <t>17/01/2025 19:00</t>
  </si>
  <si>
    <t>17/01/2025 19:15</t>
  </si>
  <si>
    <t>17/01/2025 19:30</t>
  </si>
  <si>
    <t>17/01/2025 19:45</t>
  </si>
  <si>
    <t>17/01/2025 20:00</t>
  </si>
  <si>
    <t>17/01/2025 20:15</t>
  </si>
  <si>
    <t>17/01/2025 20:30</t>
  </si>
  <si>
    <t>17/01/2025 20:45</t>
  </si>
  <si>
    <t>17/01/2025 21:00</t>
  </si>
  <si>
    <t>17/01/2025 21:15</t>
  </si>
  <si>
    <t>17/01/2025 21:30</t>
  </si>
  <si>
    <t>17/01/2025 21:45</t>
  </si>
  <si>
    <t>17/01/2025 22:00</t>
  </si>
  <si>
    <t>17/01/2025 22:15</t>
  </si>
  <si>
    <t>17/01/2025 22:30</t>
  </si>
  <si>
    <t>17/01/2025 22:45</t>
  </si>
  <si>
    <t>17/01/2025 23:00</t>
  </si>
  <si>
    <t>17/01/2025 23:15</t>
  </si>
  <si>
    <t>17/01/2025 23:30</t>
  </si>
  <si>
    <t>17/01/2025 23:45</t>
  </si>
  <si>
    <t>17/01/2025 24:00</t>
  </si>
  <si>
    <t>18/01/2025 00:15</t>
  </si>
  <si>
    <t>18/01/2025 00:30</t>
  </si>
  <si>
    <t>18/01/2025 00:45</t>
  </si>
  <si>
    <t>18/01/2025 01:00</t>
  </si>
  <si>
    <t>18/01/2025 01:15</t>
  </si>
  <si>
    <t>18/01/2025 01:30</t>
  </si>
  <si>
    <t>18/01/2025 01:45</t>
  </si>
  <si>
    <t>18/01/2025 02:00</t>
  </si>
  <si>
    <t>18/01/2025 02:15</t>
  </si>
  <si>
    <t>18/01/2025 02:30</t>
  </si>
  <si>
    <t>18/01/2025 02:45</t>
  </si>
  <si>
    <t>18/01/2025 03:00</t>
  </si>
  <si>
    <t>18/01/2025 03:15</t>
  </si>
  <si>
    <t>18/01/2025 03:30</t>
  </si>
  <si>
    <t>18/01/2025 03:45</t>
  </si>
  <si>
    <t>18/01/2025 04:00</t>
  </si>
  <si>
    <t>18/01/2025 04:15</t>
  </si>
  <si>
    <t>18/01/2025 04:30</t>
  </si>
  <si>
    <t>18/01/2025 04:45</t>
  </si>
  <si>
    <t>18/01/2025 05:00</t>
  </si>
  <si>
    <t>18/01/2025 05:15</t>
  </si>
  <si>
    <t>18/01/2025 05:30</t>
  </si>
  <si>
    <t>18/01/2025 05:45</t>
  </si>
  <si>
    <t>18/01/2025 06:00</t>
  </si>
  <si>
    <t>18/01/2025 06:15</t>
  </si>
  <si>
    <t>18/01/2025 06:30</t>
  </si>
  <si>
    <t>18/01/2025 06:45</t>
  </si>
  <si>
    <t>18/01/2025 07:00</t>
  </si>
  <si>
    <t>18/01/2025 07:15</t>
  </si>
  <si>
    <t>18/01/2025 07:30</t>
  </si>
  <si>
    <t>18/01/2025 07:45</t>
  </si>
  <si>
    <t>18/01/2025 08:00</t>
  </si>
  <si>
    <t>18/01/2025 08:15</t>
  </si>
  <si>
    <t>18/01/2025 08:30</t>
  </si>
  <si>
    <t>18/01/2025 08:45</t>
  </si>
  <si>
    <t>18/01/2025 09:00</t>
  </si>
  <si>
    <t>18/01/2025 09:15</t>
  </si>
  <si>
    <t>18/01/2025 09:30</t>
  </si>
  <si>
    <t>18/01/2025 09:45</t>
  </si>
  <si>
    <t>18/01/2025 10:00</t>
  </si>
  <si>
    <t>18/01/2025 10:15</t>
  </si>
  <si>
    <t>18/01/2025 10:30</t>
  </si>
  <si>
    <t>18/01/2025 10:45</t>
  </si>
  <si>
    <t>18/01/2025 11:00</t>
  </si>
  <si>
    <t>18/01/2025 11:15</t>
  </si>
  <si>
    <t>18/01/2025 11:30</t>
  </si>
  <si>
    <t>18/01/2025 11:45</t>
  </si>
  <si>
    <t>18/01/2025 12:00</t>
  </si>
  <si>
    <t>18/01/2025 12:15</t>
  </si>
  <si>
    <t>18/01/2025 12:30</t>
  </si>
  <si>
    <t>18/01/2025 12:45</t>
  </si>
  <si>
    <t>18/01/2025 13:00</t>
  </si>
  <si>
    <t>18/01/2025 13:15</t>
  </si>
  <si>
    <t>18/01/2025 13:30</t>
  </si>
  <si>
    <t>18/01/2025 13:45</t>
  </si>
  <si>
    <t>18/01/2025 14:00</t>
  </si>
  <si>
    <t>18/01/2025 14:15</t>
  </si>
  <si>
    <t>18/01/2025 14:30</t>
  </si>
  <si>
    <t>18/01/2025 14:45</t>
  </si>
  <si>
    <t>18/01/2025 15:00</t>
  </si>
  <si>
    <t>18/01/2025 15:15</t>
  </si>
  <si>
    <t>18/01/2025 15:30</t>
  </si>
  <si>
    <t>18/01/2025 15:45</t>
  </si>
  <si>
    <t>18/01/2025 16:00</t>
  </si>
  <si>
    <t>18/01/2025 16:15</t>
  </si>
  <si>
    <t>18/01/2025 16:30</t>
  </si>
  <si>
    <t>18/01/2025 16:45</t>
  </si>
  <si>
    <t>18/01/2025 17:00</t>
  </si>
  <si>
    <t>18/01/2025 17:15</t>
  </si>
  <si>
    <t>18/01/2025 17:30</t>
  </si>
  <si>
    <t>18/01/2025 17:45</t>
  </si>
  <si>
    <t>18/01/2025 18:00</t>
  </si>
  <si>
    <t>18/01/2025 18:15</t>
  </si>
  <si>
    <t>18/01/2025 18:30</t>
  </si>
  <si>
    <t>18/01/2025 18:45</t>
  </si>
  <si>
    <t>18/01/2025 19:00</t>
  </si>
  <si>
    <t>18/01/2025 19:15</t>
  </si>
  <si>
    <t>18/01/2025 19:30</t>
  </si>
  <si>
    <t>18/01/2025 19:45</t>
  </si>
  <si>
    <t>18/01/2025 20:00</t>
  </si>
  <si>
    <t>18/01/2025 20:15</t>
  </si>
  <si>
    <t>18/01/2025 20:30</t>
  </si>
  <si>
    <t>18/01/2025 20:45</t>
  </si>
  <si>
    <t>18/01/2025 21:00</t>
  </si>
  <si>
    <t>18/01/2025 21:15</t>
  </si>
  <si>
    <t>18/01/2025 21:30</t>
  </si>
  <si>
    <t>18/01/2025 21:45</t>
  </si>
  <si>
    <t>18/01/2025 22:00</t>
  </si>
  <si>
    <t>18/01/2025 22:15</t>
  </si>
  <si>
    <t>18/01/2025 22:30</t>
  </si>
  <si>
    <t>18/01/2025 22:45</t>
  </si>
  <si>
    <t>18/01/2025 23:00</t>
  </si>
  <si>
    <t>18/01/2025 23:15</t>
  </si>
  <si>
    <t>18/01/2025 23:30</t>
  </si>
  <si>
    <t>18/01/2025 23:45</t>
  </si>
  <si>
    <t>18/01/2025 24:00</t>
  </si>
  <si>
    <t>19/01/2025 00:15</t>
  </si>
  <si>
    <t>19/01/2025 00:30</t>
  </si>
  <si>
    <t>19/01/2025 00:45</t>
  </si>
  <si>
    <t>19/01/2025 01:00</t>
  </si>
  <si>
    <t>19/01/2025 01:15</t>
  </si>
  <si>
    <t>19/01/2025 01:30</t>
  </si>
  <si>
    <t>19/01/2025 01:45</t>
  </si>
  <si>
    <t>19/01/2025 02:00</t>
  </si>
  <si>
    <t>19/01/2025 02:15</t>
  </si>
  <si>
    <t>19/01/2025 02:30</t>
  </si>
  <si>
    <t>19/01/2025 02:45</t>
  </si>
  <si>
    <t>19/01/2025 03:00</t>
  </si>
  <si>
    <t>19/01/2025 03:15</t>
  </si>
  <si>
    <t>19/01/2025 03:30</t>
  </si>
  <si>
    <t>19/01/2025 03:45</t>
  </si>
  <si>
    <t>19/01/2025 04:00</t>
  </si>
  <si>
    <t>19/01/2025 04:15</t>
  </si>
  <si>
    <t>19/01/2025 04:30</t>
  </si>
  <si>
    <t>19/01/2025 04:45</t>
  </si>
  <si>
    <t>19/01/2025 05:00</t>
  </si>
  <si>
    <t>19/01/2025 05:15</t>
  </si>
  <si>
    <t>19/01/2025 05:30</t>
  </si>
  <si>
    <t>19/01/2025 05:45</t>
  </si>
  <si>
    <t>19/01/2025 06:00</t>
  </si>
  <si>
    <t>19/01/2025 06:15</t>
  </si>
  <si>
    <t>19/01/2025 06:30</t>
  </si>
  <si>
    <t>19/01/2025 06:45</t>
  </si>
  <si>
    <t>19/01/2025 07:00</t>
  </si>
  <si>
    <t>19/01/2025 07:15</t>
  </si>
  <si>
    <t>19/01/2025 07:30</t>
  </si>
  <si>
    <t>19/01/2025 07:45</t>
  </si>
  <si>
    <t>19/01/2025 08:00</t>
  </si>
  <si>
    <t>19/01/2025 08:15</t>
  </si>
  <si>
    <t>19/01/2025 08:30</t>
  </si>
  <si>
    <t>19/01/2025 08:45</t>
  </si>
  <si>
    <t>19/01/2025 09:00</t>
  </si>
  <si>
    <t>19/01/2025 09:15</t>
  </si>
  <si>
    <t>19/01/2025 09:30</t>
  </si>
  <si>
    <t>19/01/2025 09:45</t>
  </si>
  <si>
    <t>19/01/2025 10:00</t>
  </si>
  <si>
    <t>19/01/2025 10:15</t>
  </si>
  <si>
    <t>19/01/2025 10:30</t>
  </si>
  <si>
    <t>19/01/2025 10:45</t>
  </si>
  <si>
    <t>19/01/2025 11:00</t>
  </si>
  <si>
    <t>19/01/2025 11:15</t>
  </si>
  <si>
    <t>19/01/2025 11:30</t>
  </si>
  <si>
    <t>19/01/2025 11:45</t>
  </si>
  <si>
    <t>19/01/2025 12:00</t>
  </si>
  <si>
    <t>19/01/2025 12:15</t>
  </si>
  <si>
    <t>19/01/2025 12:30</t>
  </si>
  <si>
    <t>19/01/2025 12:45</t>
  </si>
  <si>
    <t>19/01/2025 13:00</t>
  </si>
  <si>
    <t>19/01/2025 13:15</t>
  </si>
  <si>
    <t>19/01/2025 13:30</t>
  </si>
  <si>
    <t>19/01/2025 13:45</t>
  </si>
  <si>
    <t>19/01/2025 14:00</t>
  </si>
  <si>
    <t>19/01/2025 14:15</t>
  </si>
  <si>
    <t>19/01/2025 14:30</t>
  </si>
  <si>
    <t>19/01/2025 14:45</t>
  </si>
  <si>
    <t>19/01/2025 15:00</t>
  </si>
  <si>
    <t>19/01/2025 15:15</t>
  </si>
  <si>
    <t>19/01/2025 15:30</t>
  </si>
  <si>
    <t>19/01/2025 15:45</t>
  </si>
  <si>
    <t>19/01/2025 16:00</t>
  </si>
  <si>
    <t>19/01/2025 16:15</t>
  </si>
  <si>
    <t>19/01/2025 16:30</t>
  </si>
  <si>
    <t>19/01/2025 16:45</t>
  </si>
  <si>
    <t>19/01/2025 17:00</t>
  </si>
  <si>
    <t>19/01/2025 17:15</t>
  </si>
  <si>
    <t>19/01/2025 17:30</t>
  </si>
  <si>
    <t>19/01/2025 17:45</t>
  </si>
  <si>
    <t>19/01/2025 18:00</t>
  </si>
  <si>
    <t>19/01/2025 18:15</t>
  </si>
  <si>
    <t>19/01/2025 18:30</t>
  </si>
  <si>
    <t>19/01/2025 18:45</t>
  </si>
  <si>
    <t>19/01/2025 19:00</t>
  </si>
  <si>
    <t>19/01/2025 19:15</t>
  </si>
  <si>
    <t>19/01/2025 19:30</t>
  </si>
  <si>
    <t>19/01/2025 19:45</t>
  </si>
  <si>
    <t>19/01/2025 20:00</t>
  </si>
  <si>
    <t>19/01/2025 20:15</t>
  </si>
  <si>
    <t>19/01/2025 20:30</t>
  </si>
  <si>
    <t>19/01/2025 20:45</t>
  </si>
  <si>
    <t>19/01/2025 21:00</t>
  </si>
  <si>
    <t>19/01/2025 21:15</t>
  </si>
  <si>
    <t>19/01/2025 21:30</t>
  </si>
  <si>
    <t>19/01/2025 21:45</t>
  </si>
  <si>
    <t>19/01/2025 22:00</t>
  </si>
  <si>
    <t>19/01/2025 22:15</t>
  </si>
  <si>
    <t>19/01/2025 22:30</t>
  </si>
  <si>
    <t>19/01/2025 22:45</t>
  </si>
  <si>
    <t>19/01/2025 23:00</t>
  </si>
  <si>
    <t>19/01/2025 23:15</t>
  </si>
  <si>
    <t>19/01/2025 23:30</t>
  </si>
  <si>
    <t>19/01/2025 23:45</t>
  </si>
  <si>
    <t>19/01/2025 24:00</t>
  </si>
  <si>
    <t>20/01/2025 00:15</t>
  </si>
  <si>
    <t>20/01/2025 00:30</t>
  </si>
  <si>
    <t>20/01/2025 00:45</t>
  </si>
  <si>
    <t>20/01/2025 01:00</t>
  </si>
  <si>
    <t>20/01/2025 01:15</t>
  </si>
  <si>
    <t>20/01/2025 01:30</t>
  </si>
  <si>
    <t>20/01/2025 01:45</t>
  </si>
  <si>
    <t>20/01/2025 02:00</t>
  </si>
  <si>
    <t>20/01/2025 02:15</t>
  </si>
  <si>
    <t>20/01/2025 02:30</t>
  </si>
  <si>
    <t>20/01/2025 02:45</t>
  </si>
  <si>
    <t>20/01/2025 03:00</t>
  </si>
  <si>
    <t>20/01/2025 03:15</t>
  </si>
  <si>
    <t>20/01/2025 03:30</t>
  </si>
  <si>
    <t>20/01/2025 03:45</t>
  </si>
  <si>
    <t>20/01/2025 04:00</t>
  </si>
  <si>
    <t>20/01/2025 04:15</t>
  </si>
  <si>
    <t>20/01/2025 04:30</t>
  </si>
  <si>
    <t>20/01/2025 04:45</t>
  </si>
  <si>
    <t>20/01/2025 05:00</t>
  </si>
  <si>
    <t>20/01/2025 05:15</t>
  </si>
  <si>
    <t>20/01/2025 05:30</t>
  </si>
  <si>
    <t>20/01/2025 05:45</t>
  </si>
  <si>
    <t>20/01/2025 06:00</t>
  </si>
  <si>
    <t>20/01/2025 06:15</t>
  </si>
  <si>
    <t>20/01/2025 06:30</t>
  </si>
  <si>
    <t>20/01/2025 06:45</t>
  </si>
  <si>
    <t>20/01/2025 07:00</t>
  </si>
  <si>
    <t>20/01/2025 07:15</t>
  </si>
  <si>
    <t>20/01/2025 07:30</t>
  </si>
  <si>
    <t>20/01/2025 07:45</t>
  </si>
  <si>
    <t>20/01/2025 08:00</t>
  </si>
  <si>
    <t>20/01/2025 08:15</t>
  </si>
  <si>
    <t>20/01/2025 08:30</t>
  </si>
  <si>
    <t>20/01/2025 08:45</t>
  </si>
  <si>
    <t>20/01/2025 09:00</t>
  </si>
  <si>
    <t>20/01/2025 09:15</t>
  </si>
  <si>
    <t>20/01/2025 09:30</t>
  </si>
  <si>
    <t>20/01/2025 09:45</t>
  </si>
  <si>
    <t>20/01/2025 10:00</t>
  </si>
  <si>
    <t>20/01/2025 10:15</t>
  </si>
  <si>
    <t>20/01/2025 10:30</t>
  </si>
  <si>
    <t>20/01/2025 10:45</t>
  </si>
  <si>
    <t>20/01/2025 11:00</t>
  </si>
  <si>
    <t>20/01/2025 11:15</t>
  </si>
  <si>
    <t>20/01/2025 11:30</t>
  </si>
  <si>
    <t>20/01/2025 11:45</t>
  </si>
  <si>
    <t>20/01/2025 12:00</t>
  </si>
  <si>
    <t>20/01/2025 12:15</t>
  </si>
  <si>
    <t>20/01/2025 12:30</t>
  </si>
  <si>
    <t>20/01/2025 12:45</t>
  </si>
  <si>
    <t>20/01/2025 13:00</t>
  </si>
  <si>
    <t>20/01/2025 13:15</t>
  </si>
  <si>
    <t>20/01/2025 13:30</t>
  </si>
  <si>
    <t>20/01/2025 13:45</t>
  </si>
  <si>
    <t>20/01/2025 14:00</t>
  </si>
  <si>
    <t>20/01/2025 14:15</t>
  </si>
  <si>
    <t>20/01/2025 14:30</t>
  </si>
  <si>
    <t>20/01/2025 14:45</t>
  </si>
  <si>
    <t>20/01/2025 15:00</t>
  </si>
  <si>
    <t>20/01/2025 15:15</t>
  </si>
  <si>
    <t>20/01/2025 15:30</t>
  </si>
  <si>
    <t>20/01/2025 15:45</t>
  </si>
  <si>
    <t>20/01/2025 16:00</t>
  </si>
  <si>
    <t>20/01/2025 16:15</t>
  </si>
  <si>
    <t>20/01/2025 16:30</t>
  </si>
  <si>
    <t>20/01/2025 16:45</t>
  </si>
  <si>
    <t>20/01/2025 17:00</t>
  </si>
  <si>
    <t>20/01/2025 17:15</t>
  </si>
  <si>
    <t>20/01/2025 17:30</t>
  </si>
  <si>
    <t>20/01/2025 17:45</t>
  </si>
  <si>
    <t>20/01/2025 18:00</t>
  </si>
  <si>
    <t>20/01/2025 18:15</t>
  </si>
  <si>
    <t>20/01/2025 18:30</t>
  </si>
  <si>
    <t>20/01/2025 18:45</t>
  </si>
  <si>
    <t>20/01/2025 19:00</t>
  </si>
  <si>
    <t>20/01/2025 19:15</t>
  </si>
  <si>
    <t>20/01/2025 19:30</t>
  </si>
  <si>
    <t>20/01/2025 19:45</t>
  </si>
  <si>
    <t>20/01/2025 20:00</t>
  </si>
  <si>
    <t>20/01/2025 20:15</t>
  </si>
  <si>
    <t>20/01/2025 20:30</t>
  </si>
  <si>
    <t>20/01/2025 20:45</t>
  </si>
  <si>
    <t>20/01/2025 21:00</t>
  </si>
  <si>
    <t>20/01/2025 21:15</t>
  </si>
  <si>
    <t>20/01/2025 21:30</t>
  </si>
  <si>
    <t>20/01/2025 21:45</t>
  </si>
  <si>
    <t>20/01/2025 22:00</t>
  </si>
  <si>
    <t>20/01/2025 22:15</t>
  </si>
  <si>
    <t>20/01/2025 22:30</t>
  </si>
  <si>
    <t>20/01/2025 22:45</t>
  </si>
  <si>
    <t>20/01/2025 23:00</t>
  </si>
  <si>
    <t>20/01/2025 23:15</t>
  </si>
  <si>
    <t>20/01/2025 23:30</t>
  </si>
  <si>
    <t>20/01/2025 23:45</t>
  </si>
  <si>
    <t>20/01/2025 24:00</t>
  </si>
  <si>
    <t>21/01/2025 00:15</t>
  </si>
  <si>
    <t>21/01/2025 00:30</t>
  </si>
  <si>
    <t>21/01/2025 00:45</t>
  </si>
  <si>
    <t>21/01/2025 01:00</t>
  </si>
  <si>
    <t>21/01/2025 01:15</t>
  </si>
  <si>
    <t>21/01/2025 01:30</t>
  </si>
  <si>
    <t>21/01/2025 01:45</t>
  </si>
  <si>
    <t>21/01/2025 02:00</t>
  </si>
  <si>
    <t>21/01/2025 02:15</t>
  </si>
  <si>
    <t>21/01/2025 02:30</t>
  </si>
  <si>
    <t>21/01/2025 02:45</t>
  </si>
  <si>
    <t>21/01/2025 03:00</t>
  </si>
  <si>
    <t>21/01/2025 03:15</t>
  </si>
  <si>
    <t>21/01/2025 03:30</t>
  </si>
  <si>
    <t>21/01/2025 03:45</t>
  </si>
  <si>
    <t>21/01/2025 04:00</t>
  </si>
  <si>
    <t>21/01/2025 04:15</t>
  </si>
  <si>
    <t>21/01/2025 04:30</t>
  </si>
  <si>
    <t>21/01/2025 04:45</t>
  </si>
  <si>
    <t>21/01/2025 05:00</t>
  </si>
  <si>
    <t>21/01/2025 05:15</t>
  </si>
  <si>
    <t>21/01/2025 05:30</t>
  </si>
  <si>
    <t>21/01/2025 05:45</t>
  </si>
  <si>
    <t>21/01/2025 06:00</t>
  </si>
  <si>
    <t>21/01/2025 06:15</t>
  </si>
  <si>
    <t>21/01/2025 06:30</t>
  </si>
  <si>
    <t>21/01/2025 06:45</t>
  </si>
  <si>
    <t>21/01/2025 07:00</t>
  </si>
  <si>
    <t>21/01/2025 07:15</t>
  </si>
  <si>
    <t>21/01/2025 07:30</t>
  </si>
  <si>
    <t>21/01/2025 07:45</t>
  </si>
  <si>
    <t>21/01/2025 08:00</t>
  </si>
  <si>
    <t>21/01/2025 08:15</t>
  </si>
  <si>
    <t>21/01/2025 08:30</t>
  </si>
  <si>
    <t>21/01/2025 08:45</t>
  </si>
  <si>
    <t>21/01/2025 09:00</t>
  </si>
  <si>
    <t>21/01/2025 09:15</t>
  </si>
  <si>
    <t>21/01/2025 09:30</t>
  </si>
  <si>
    <t>21/01/2025 09:45</t>
  </si>
  <si>
    <t>21/01/2025 10:00</t>
  </si>
  <si>
    <t>21/01/2025 10:15</t>
  </si>
  <si>
    <t>21/01/2025 10:30</t>
  </si>
  <si>
    <t>21/01/2025 10:45</t>
  </si>
  <si>
    <t>21/01/2025 11:00</t>
  </si>
  <si>
    <t>21/01/2025 11:15</t>
  </si>
  <si>
    <t>21/01/2025 11:30</t>
  </si>
  <si>
    <t>21/01/2025 11:45</t>
  </si>
  <si>
    <t>21/01/2025 12:00</t>
  </si>
  <si>
    <t>21/01/2025 12:15</t>
  </si>
  <si>
    <t>21/01/2025 12:30</t>
  </si>
  <si>
    <t>21/01/2025 12:45</t>
  </si>
  <si>
    <t>21/01/2025 13:00</t>
  </si>
  <si>
    <t>21/01/2025 13:15</t>
  </si>
  <si>
    <t>21/01/2025 13:30</t>
  </si>
  <si>
    <t>21/01/2025 13:45</t>
  </si>
  <si>
    <t>21/01/2025 14:00</t>
  </si>
  <si>
    <t>21/01/2025 14:15</t>
  </si>
  <si>
    <t>21/01/2025 14:30</t>
  </si>
  <si>
    <t>21/01/2025 14:45</t>
  </si>
  <si>
    <t>21/01/2025 15:00</t>
  </si>
  <si>
    <t>21/01/2025 15:15</t>
  </si>
  <si>
    <t>21/01/2025 15:30</t>
  </si>
  <si>
    <t>21/01/2025 15:45</t>
  </si>
  <si>
    <t>21/01/2025 16:00</t>
  </si>
  <si>
    <t>21/01/2025 16:15</t>
  </si>
  <si>
    <t>21/01/2025 16:30</t>
  </si>
  <si>
    <t>21/01/2025 16:45</t>
  </si>
  <si>
    <t>21/01/2025 17:00</t>
  </si>
  <si>
    <t>21/01/2025 17:15</t>
  </si>
  <si>
    <t>21/01/2025 17:30</t>
  </si>
  <si>
    <t>21/01/2025 17:45</t>
  </si>
  <si>
    <t>21/01/2025 18:00</t>
  </si>
  <si>
    <t>21/01/2025 18:15</t>
  </si>
  <si>
    <t>21/01/2025 18:30</t>
  </si>
  <si>
    <t>21/01/2025 18:45</t>
  </si>
  <si>
    <t>21/01/2025 19:00</t>
  </si>
  <si>
    <t>21/01/2025 19:15</t>
  </si>
  <si>
    <t>21/01/2025 19:30</t>
  </si>
  <si>
    <t>21/01/2025 19:45</t>
  </si>
  <si>
    <t>21/01/2025 20:00</t>
  </si>
  <si>
    <t>21/01/2025 20:15</t>
  </si>
  <si>
    <t>21/01/2025 20:30</t>
  </si>
  <si>
    <t>21/01/2025 20:45</t>
  </si>
  <si>
    <t>21/01/2025 21:00</t>
  </si>
  <si>
    <t>21/01/2025 21:15</t>
  </si>
  <si>
    <t>21/01/2025 21:30</t>
  </si>
  <si>
    <t>21/01/2025 21:45</t>
  </si>
  <si>
    <t>21/01/2025 22:00</t>
  </si>
  <si>
    <t>21/01/2025 22:15</t>
  </si>
  <si>
    <t>21/01/2025 22:30</t>
  </si>
  <si>
    <t>21/01/2025 22:45</t>
  </si>
  <si>
    <t>21/01/2025 23:00</t>
  </si>
  <si>
    <t>21/01/2025 23:15</t>
  </si>
  <si>
    <t>21/01/2025 23:30</t>
  </si>
  <si>
    <t>21/01/2025 23:45</t>
  </si>
  <si>
    <t>21/01/2025 24:00</t>
  </si>
  <si>
    <t>22/01/2025 00:15</t>
  </si>
  <si>
    <t>22/01/2025 00:30</t>
  </si>
  <si>
    <t>22/01/2025 00:45</t>
  </si>
  <si>
    <t>22/01/2025 01:00</t>
  </si>
  <si>
    <t>22/01/2025 01:15</t>
  </si>
  <si>
    <t>22/01/2025 01:30</t>
  </si>
  <si>
    <t>22/01/2025 01:45</t>
  </si>
  <si>
    <t>22/01/2025 02:00</t>
  </si>
  <si>
    <t>22/01/2025 02:15</t>
  </si>
  <si>
    <t>22/01/2025 02:30</t>
  </si>
  <si>
    <t>22/01/2025 02:45</t>
  </si>
  <si>
    <t>22/01/2025 03:00</t>
  </si>
  <si>
    <t>22/01/2025 03:15</t>
  </si>
  <si>
    <t>22/01/2025 03:30</t>
  </si>
  <si>
    <t>22/01/2025 03:45</t>
  </si>
  <si>
    <t>22/01/2025 04:00</t>
  </si>
  <si>
    <t>22/01/2025 04:15</t>
  </si>
  <si>
    <t>22/01/2025 04:30</t>
  </si>
  <si>
    <t>22/01/2025 04:45</t>
  </si>
  <si>
    <t>22/01/2025 05:00</t>
  </si>
  <si>
    <t>22/01/2025 05:15</t>
  </si>
  <si>
    <t>22/01/2025 05:30</t>
  </si>
  <si>
    <t>22/01/2025 05:45</t>
  </si>
  <si>
    <t>22/01/2025 06:00</t>
  </si>
  <si>
    <t>22/01/2025 06:15</t>
  </si>
  <si>
    <t>22/01/2025 06:30</t>
  </si>
  <si>
    <t>22/01/2025 06:45</t>
  </si>
  <si>
    <t>22/01/2025 07:00</t>
  </si>
  <si>
    <t>22/01/2025 07:15</t>
  </si>
  <si>
    <t>22/01/2025 07:30</t>
  </si>
  <si>
    <t>22/01/2025 07:45</t>
  </si>
  <si>
    <t>22/01/2025 08:00</t>
  </si>
  <si>
    <t>22/01/2025 08:15</t>
  </si>
  <si>
    <t>22/01/2025 08:30</t>
  </si>
  <si>
    <t>22/01/2025 08:45</t>
  </si>
  <si>
    <t>22/01/2025 09:00</t>
  </si>
  <si>
    <t>22/01/2025 09:15</t>
  </si>
  <si>
    <t>22/01/2025 09:30</t>
  </si>
  <si>
    <t>22/01/2025 09:45</t>
  </si>
  <si>
    <t>22/01/2025 10:00</t>
  </si>
  <si>
    <t>22/01/2025 10:15</t>
  </si>
  <si>
    <t>22/01/2025 10:30</t>
  </si>
  <si>
    <t>22/01/2025 10:45</t>
  </si>
  <si>
    <t>22/01/2025 11:00</t>
  </si>
  <si>
    <t>22/01/2025 11:15</t>
  </si>
  <si>
    <t>22/01/2025 11:30</t>
  </si>
  <si>
    <t>22/01/2025 11:45</t>
  </si>
  <si>
    <t>22/01/2025 12:00</t>
  </si>
  <si>
    <t>22/01/2025 12:15</t>
  </si>
  <si>
    <t>22/01/2025 12:30</t>
  </si>
  <si>
    <t>22/01/2025 12:45</t>
  </si>
  <si>
    <t>22/01/2025 13:00</t>
  </si>
  <si>
    <t>22/01/2025 13:15</t>
  </si>
  <si>
    <t>22/01/2025 13:30</t>
  </si>
  <si>
    <t>22/01/2025 13:45</t>
  </si>
  <si>
    <t>22/01/2025 14:00</t>
  </si>
  <si>
    <t>22/01/2025 14:15</t>
  </si>
  <si>
    <t>22/01/2025 14:30</t>
  </si>
  <si>
    <t>22/01/2025 14:45</t>
  </si>
  <si>
    <t>22/01/2025 15:00</t>
  </si>
  <si>
    <t>22/01/2025 15:15</t>
  </si>
  <si>
    <t>22/01/2025 15:30</t>
  </si>
  <si>
    <t>22/01/2025 15:45</t>
  </si>
  <si>
    <t>22/01/2025 16:00</t>
  </si>
  <si>
    <t>22/01/2025 16:15</t>
  </si>
  <si>
    <t>22/01/2025 16:30</t>
  </si>
  <si>
    <t>22/01/2025 16:45</t>
  </si>
  <si>
    <t>22/01/2025 17:00</t>
  </si>
  <si>
    <t>22/01/2025 17:15</t>
  </si>
  <si>
    <t>22/01/2025 17:30</t>
  </si>
  <si>
    <t>22/01/2025 17:45</t>
  </si>
  <si>
    <t>22/01/2025 18:00</t>
  </si>
  <si>
    <t>22/01/2025 18:15</t>
  </si>
  <si>
    <t>22/01/2025 18:30</t>
  </si>
  <si>
    <t>22/01/2025 18:45</t>
  </si>
  <si>
    <t>22/01/2025 19:00</t>
  </si>
  <si>
    <t>22/01/2025 19:15</t>
  </si>
  <si>
    <t>22/01/2025 19:30</t>
  </si>
  <si>
    <t>22/01/2025 19:45</t>
  </si>
  <si>
    <t>22/01/2025 20:00</t>
  </si>
  <si>
    <t>22/01/2025 20:15</t>
  </si>
  <si>
    <t>22/01/2025 20:30</t>
  </si>
  <si>
    <t>22/01/2025 20:45</t>
  </si>
  <si>
    <t>22/01/2025 21:00</t>
  </si>
  <si>
    <t>22/01/2025 21:15</t>
  </si>
  <si>
    <t>22/01/2025 21:30</t>
  </si>
  <si>
    <t>22/01/2025 21:45</t>
  </si>
  <si>
    <t>22/01/2025 22:00</t>
  </si>
  <si>
    <t>22/01/2025 22:15</t>
  </si>
  <si>
    <t>22/01/2025 22:30</t>
  </si>
  <si>
    <t>22/01/2025 22:45</t>
  </si>
  <si>
    <t>22/01/2025 23:00</t>
  </si>
  <si>
    <t>22/01/2025 23:15</t>
  </si>
  <si>
    <t>22/01/2025 23:30</t>
  </si>
  <si>
    <t>22/01/2025 23:45</t>
  </si>
  <si>
    <t>22/01/2025 24:00</t>
  </si>
  <si>
    <t>23/01/2025 00:15</t>
  </si>
  <si>
    <t>23/01/2025 00:30</t>
  </si>
  <si>
    <t>23/01/2025 00:45</t>
  </si>
  <si>
    <t>23/01/2025 01:00</t>
  </si>
  <si>
    <t>23/01/2025 01:15</t>
  </si>
  <si>
    <t>23/01/2025 01:30</t>
  </si>
  <si>
    <t>23/01/2025 01:45</t>
  </si>
  <si>
    <t>23/01/2025 02:00</t>
  </si>
  <si>
    <t>23/01/2025 02:15</t>
  </si>
  <si>
    <t>23/01/2025 02:30</t>
  </si>
  <si>
    <t>23/01/2025 02:45</t>
  </si>
  <si>
    <t>23/01/2025 03:00</t>
  </si>
  <si>
    <t>23/01/2025 03:15</t>
  </si>
  <si>
    <t>23/01/2025 03:30</t>
  </si>
  <si>
    <t>23/01/2025 03:45</t>
  </si>
  <si>
    <t>23/01/2025 04:00</t>
  </si>
  <si>
    <t>23/01/2025 04:15</t>
  </si>
  <si>
    <t>23/01/2025 04:30</t>
  </si>
  <si>
    <t>23/01/2025 04:45</t>
  </si>
  <si>
    <t>23/01/2025 05:00</t>
  </si>
  <si>
    <t>23/01/2025 05:15</t>
  </si>
  <si>
    <t>23/01/2025 05:30</t>
  </si>
  <si>
    <t>23/01/2025 05:45</t>
  </si>
  <si>
    <t>23/01/2025 06:00</t>
  </si>
  <si>
    <t>23/01/2025 06:15</t>
  </si>
  <si>
    <t>23/01/2025 06:30</t>
  </si>
  <si>
    <t>23/01/2025 06:45</t>
  </si>
  <si>
    <t>23/01/2025 07:00</t>
  </si>
  <si>
    <t>23/01/2025 07:15</t>
  </si>
  <si>
    <t>23/01/2025 07:30</t>
  </si>
  <si>
    <t>23/01/2025 07:45</t>
  </si>
  <si>
    <t>23/01/2025 08:00</t>
  </si>
  <si>
    <t>23/01/2025 08:15</t>
  </si>
  <si>
    <t>23/01/2025 08:30</t>
  </si>
  <si>
    <t>23/01/2025 08:45</t>
  </si>
  <si>
    <t>23/01/2025 09:00</t>
  </si>
  <si>
    <t>23/01/2025 09:15</t>
  </si>
  <si>
    <t>23/01/2025 09:30</t>
  </si>
  <si>
    <t>23/01/2025 09:45</t>
  </si>
  <si>
    <t>23/01/2025 10:00</t>
  </si>
  <si>
    <t>23/01/2025 10:15</t>
  </si>
  <si>
    <t>23/01/2025 10:30</t>
  </si>
  <si>
    <t>23/01/2025 10:45</t>
  </si>
  <si>
    <t>23/01/2025 11:00</t>
  </si>
  <si>
    <t>23/01/2025 11:15</t>
  </si>
  <si>
    <t>23/01/2025 11:30</t>
  </si>
  <si>
    <t>23/01/2025 11:45</t>
  </si>
  <si>
    <t>23/01/2025 12:00</t>
  </si>
  <si>
    <t>23/01/2025 12:15</t>
  </si>
  <si>
    <t>23/01/2025 12:30</t>
  </si>
  <si>
    <t>23/01/2025 12:45</t>
  </si>
  <si>
    <t>23/01/2025 13:00</t>
  </si>
  <si>
    <t>23/01/2025 13:15</t>
  </si>
  <si>
    <t>23/01/2025 13:30</t>
  </si>
  <si>
    <t>23/01/2025 13:45</t>
  </si>
  <si>
    <t>23/01/2025 14:00</t>
  </si>
  <si>
    <t>23/01/2025 14:15</t>
  </si>
  <si>
    <t>23/01/2025 14:30</t>
  </si>
  <si>
    <t>23/01/2025 14:45</t>
  </si>
  <si>
    <t>23/01/2025 15:00</t>
  </si>
  <si>
    <t>23/01/2025 15:15</t>
  </si>
  <si>
    <t>23/01/2025 15:30</t>
  </si>
  <si>
    <t>23/01/2025 15:45</t>
  </si>
  <si>
    <t>23/01/2025 16:00</t>
  </si>
  <si>
    <t>23/01/2025 16:15</t>
  </si>
  <si>
    <t>23/01/2025 16:30</t>
  </si>
  <si>
    <t>23/01/2025 16:45</t>
  </si>
  <si>
    <t>23/01/2025 17:00</t>
  </si>
  <si>
    <t>23/01/2025 17:15</t>
  </si>
  <si>
    <t>23/01/2025 17:30</t>
  </si>
  <si>
    <t>23/01/2025 17:45</t>
  </si>
  <si>
    <t>23/01/2025 18:00</t>
  </si>
  <si>
    <t>23/01/2025 18:15</t>
  </si>
  <si>
    <t>23/01/2025 18:30</t>
  </si>
  <si>
    <t>23/01/2025 18:45</t>
  </si>
  <si>
    <t>23/01/2025 19:00</t>
  </si>
  <si>
    <t>23/01/2025 19:15</t>
  </si>
  <si>
    <t>23/01/2025 19:30</t>
  </si>
  <si>
    <t>23/01/2025 19:45</t>
  </si>
  <si>
    <t>23/01/2025 20:00</t>
  </si>
  <si>
    <t>23/01/2025 20:15</t>
  </si>
  <si>
    <t>23/01/2025 20:30</t>
  </si>
  <si>
    <t>23/01/2025 20:45</t>
  </si>
  <si>
    <t>23/01/2025 21:00</t>
  </si>
  <si>
    <t>23/01/2025 21:15</t>
  </si>
  <si>
    <t>23/01/2025 21:30</t>
  </si>
  <si>
    <t>23/01/2025 21:45</t>
  </si>
  <si>
    <t>23/01/2025 22:00</t>
  </si>
  <si>
    <t>23/01/2025 22:15</t>
  </si>
  <si>
    <t>23/01/2025 22:30</t>
  </si>
  <si>
    <t>23/01/2025 22:45</t>
  </si>
  <si>
    <t>23/01/2025 23:00</t>
  </si>
  <si>
    <t>23/01/2025 23:15</t>
  </si>
  <si>
    <t>23/01/2025 23:30</t>
  </si>
  <si>
    <t>23/01/2025 23:45</t>
  </si>
  <si>
    <t>23/01/2025 24:00</t>
  </si>
  <si>
    <t>24/01/2025 00:15</t>
  </si>
  <si>
    <t>24/01/2025 00:30</t>
  </si>
  <si>
    <t>24/01/2025 00:45</t>
  </si>
  <si>
    <t>24/01/2025 01:00</t>
  </si>
  <si>
    <t>24/01/2025 01:15</t>
  </si>
  <si>
    <t>24/01/2025 01:30</t>
  </si>
  <si>
    <t>24/01/2025 01:45</t>
  </si>
  <si>
    <t>24/01/2025 02:00</t>
  </si>
  <si>
    <t>24/01/2025 02:15</t>
  </si>
  <si>
    <t>24/01/2025 02:30</t>
  </si>
  <si>
    <t>24/01/2025 02:45</t>
  </si>
  <si>
    <t>24/01/2025 03:00</t>
  </si>
  <si>
    <t>24/01/2025 03:15</t>
  </si>
  <si>
    <t>24/01/2025 03:30</t>
  </si>
  <si>
    <t>24/01/2025 03:45</t>
  </si>
  <si>
    <t>24/01/2025 04:00</t>
  </si>
  <si>
    <t>24/01/2025 04:15</t>
  </si>
  <si>
    <t>24/01/2025 04:30</t>
  </si>
  <si>
    <t>24/01/2025 04:45</t>
  </si>
  <si>
    <t>24/01/2025 05:00</t>
  </si>
  <si>
    <t>24/01/2025 05:15</t>
  </si>
  <si>
    <t>24/01/2025 05:30</t>
  </si>
  <si>
    <t>24/01/2025 05:45</t>
  </si>
  <si>
    <t>24/01/2025 06:00</t>
  </si>
  <si>
    <t>24/01/2025 06:15</t>
  </si>
  <si>
    <t>24/01/2025 06:30</t>
  </si>
  <si>
    <t>24/01/2025 06:45</t>
  </si>
  <si>
    <t>24/01/2025 07:00</t>
  </si>
  <si>
    <t>24/01/2025 07:15</t>
  </si>
  <si>
    <t>24/01/2025 07:30</t>
  </si>
  <si>
    <t>24/01/2025 07:45</t>
  </si>
  <si>
    <t>24/01/2025 08:00</t>
  </si>
  <si>
    <t>24/01/2025 08:15</t>
  </si>
  <si>
    <t>24/01/2025 08:30</t>
  </si>
  <si>
    <t>24/01/2025 08:45</t>
  </si>
  <si>
    <t>24/01/2025 09:00</t>
  </si>
  <si>
    <t>24/01/2025 09:15</t>
  </si>
  <si>
    <t>24/01/2025 09:30</t>
  </si>
  <si>
    <t>24/01/2025 09:45</t>
  </si>
  <si>
    <t>24/01/2025 10:00</t>
  </si>
  <si>
    <t>24/01/2025 10:15</t>
  </si>
  <si>
    <t>24/01/2025 10:30</t>
  </si>
  <si>
    <t>24/01/2025 10:45</t>
  </si>
  <si>
    <t>24/01/2025 11:00</t>
  </si>
  <si>
    <t>24/01/2025 11:15</t>
  </si>
  <si>
    <t>24/01/2025 11:30</t>
  </si>
  <si>
    <t>24/01/2025 11:45</t>
  </si>
  <si>
    <t>24/01/2025 12:00</t>
  </si>
  <si>
    <t>24/01/2025 12:15</t>
  </si>
  <si>
    <t>24/01/2025 12:30</t>
  </si>
  <si>
    <t>24/01/2025 12:45</t>
  </si>
  <si>
    <t>24/01/2025 13:00</t>
  </si>
  <si>
    <t>24/01/2025 13:15</t>
  </si>
  <si>
    <t>24/01/2025 13:30</t>
  </si>
  <si>
    <t>24/01/2025 13:45</t>
  </si>
  <si>
    <t>24/01/2025 14:00</t>
  </si>
  <si>
    <t>24/01/2025 14:15</t>
  </si>
  <si>
    <t>24/01/2025 14:30</t>
  </si>
  <si>
    <t>24/01/2025 14:45</t>
  </si>
  <si>
    <t>24/01/2025 15:00</t>
  </si>
  <si>
    <t>24/01/2025 15:15</t>
  </si>
  <si>
    <t>24/01/2025 15:30</t>
  </si>
  <si>
    <t>24/01/2025 15:45</t>
  </si>
  <si>
    <t>24/01/2025 16:00</t>
  </si>
  <si>
    <t>24/01/2025 16:15</t>
  </si>
  <si>
    <t>24/01/2025 16:30</t>
  </si>
  <si>
    <t>24/01/2025 16:45</t>
  </si>
  <si>
    <t>24/01/2025 17:00</t>
  </si>
  <si>
    <t>24/01/2025 17:15</t>
  </si>
  <si>
    <t>24/01/2025 17:30</t>
  </si>
  <si>
    <t>24/01/2025 17:45</t>
  </si>
  <si>
    <t>24/01/2025 18:00</t>
  </si>
  <si>
    <t>24/01/2025 18:15</t>
  </si>
  <si>
    <t>24/01/2025 18:30</t>
  </si>
  <si>
    <t>24/01/2025 18:45</t>
  </si>
  <si>
    <t>24/01/2025 19:00</t>
  </si>
  <si>
    <t>24/01/2025 19:15</t>
  </si>
  <si>
    <t>24/01/2025 19:30</t>
  </si>
  <si>
    <t>24/01/2025 19:45</t>
  </si>
  <si>
    <t>24/01/2025 20:00</t>
  </si>
  <si>
    <t>24/01/2025 20:15</t>
  </si>
  <si>
    <t>24/01/2025 20:30</t>
  </si>
  <si>
    <t>24/01/2025 20:45</t>
  </si>
  <si>
    <t>24/01/2025 21:00</t>
  </si>
  <si>
    <t>24/01/2025 21:15</t>
  </si>
  <si>
    <t>24/01/2025 21:30</t>
  </si>
  <si>
    <t>24/01/2025 21:45</t>
  </si>
  <si>
    <t>24/01/2025 22:00</t>
  </si>
  <si>
    <t>24/01/2025 22:15</t>
  </si>
  <si>
    <t>24/01/2025 22:30</t>
  </si>
  <si>
    <t>24/01/2025 22:45</t>
  </si>
  <si>
    <t>24/01/2025 23:00</t>
  </si>
  <si>
    <t>24/01/2025 23:15</t>
  </si>
  <si>
    <t>24/01/2025 23:30</t>
  </si>
  <si>
    <t>24/01/2025 23:45</t>
  </si>
  <si>
    <t>24/01/2025 24:00</t>
  </si>
  <si>
    <t>25/01/2025 00:15</t>
  </si>
  <si>
    <t>25/01/2025 00:30</t>
  </si>
  <si>
    <t>25/01/2025 00:45</t>
  </si>
  <si>
    <t>25/01/2025 01:00</t>
  </si>
  <si>
    <t>25/01/2025 01:15</t>
  </si>
  <si>
    <t>25/01/2025 01:30</t>
  </si>
  <si>
    <t>25/01/2025 01:45</t>
  </si>
  <si>
    <t>25/01/2025 02:00</t>
  </si>
  <si>
    <t>25/01/2025 02:15</t>
  </si>
  <si>
    <t>25/01/2025 02:30</t>
  </si>
  <si>
    <t>25/01/2025 02:45</t>
  </si>
  <si>
    <t>25/01/2025 03:00</t>
  </si>
  <si>
    <t>25/01/2025 03:15</t>
  </si>
  <si>
    <t>25/01/2025 03:30</t>
  </si>
  <si>
    <t>25/01/2025 03:45</t>
  </si>
  <si>
    <t>25/01/2025 04:00</t>
  </si>
  <si>
    <t>25/01/2025 04:15</t>
  </si>
  <si>
    <t>25/01/2025 04:30</t>
  </si>
  <si>
    <t>25/01/2025 04:45</t>
  </si>
  <si>
    <t>25/01/2025 05:00</t>
  </si>
  <si>
    <t>25/01/2025 05:15</t>
  </si>
  <si>
    <t>25/01/2025 05:30</t>
  </si>
  <si>
    <t>25/01/2025 05:45</t>
  </si>
  <si>
    <t>25/01/2025 06:00</t>
  </si>
  <si>
    <t>25/01/2025 06:15</t>
  </si>
  <si>
    <t>25/01/2025 06:30</t>
  </si>
  <si>
    <t>25/01/2025 06:45</t>
  </si>
  <si>
    <t>25/01/2025 07:00</t>
  </si>
  <si>
    <t>25/01/2025 07:15</t>
  </si>
  <si>
    <t>25/01/2025 07:30</t>
  </si>
  <si>
    <t>25/01/2025 07:45</t>
  </si>
  <si>
    <t>25/01/2025 08:00</t>
  </si>
  <si>
    <t>25/01/2025 08:15</t>
  </si>
  <si>
    <t>25/01/2025 08:30</t>
  </si>
  <si>
    <t>25/01/2025 08:45</t>
  </si>
  <si>
    <t>25/01/2025 09:00</t>
  </si>
  <si>
    <t>25/01/2025 09:15</t>
  </si>
  <si>
    <t>25/01/2025 09:30</t>
  </si>
  <si>
    <t>25/01/2025 09:45</t>
  </si>
  <si>
    <t>25/01/2025 10:00</t>
  </si>
  <si>
    <t>25/01/2025 10:15</t>
  </si>
  <si>
    <t>25/01/2025 10:30</t>
  </si>
  <si>
    <t>25/01/2025 10:45</t>
  </si>
  <si>
    <t>25/01/2025 11:00</t>
  </si>
  <si>
    <t>25/01/2025 11:15</t>
  </si>
  <si>
    <t>25/01/2025 11:30</t>
  </si>
  <si>
    <t>25/01/2025 11:45</t>
  </si>
  <si>
    <t>25/01/2025 12:00</t>
  </si>
  <si>
    <t>25/01/2025 12:15</t>
  </si>
  <si>
    <t>25/01/2025 12:30</t>
  </si>
  <si>
    <t>25/01/2025 12:45</t>
  </si>
  <si>
    <t>25/01/2025 13:00</t>
  </si>
  <si>
    <t>25/01/2025 13:15</t>
  </si>
  <si>
    <t>25/01/2025 13:30</t>
  </si>
  <si>
    <t>25/01/2025 13:45</t>
  </si>
  <si>
    <t>25/01/2025 14:00</t>
  </si>
  <si>
    <t>25/01/2025 14:15</t>
  </si>
  <si>
    <t>25/01/2025 14:30</t>
  </si>
  <si>
    <t>25/01/2025 14:45</t>
  </si>
  <si>
    <t>25/01/2025 15:00</t>
  </si>
  <si>
    <t>25/01/2025 15:15</t>
  </si>
  <si>
    <t>25/01/2025 15:30</t>
  </si>
  <si>
    <t>25/01/2025 15:45</t>
  </si>
  <si>
    <t>25/01/2025 16:00</t>
  </si>
  <si>
    <t>25/01/2025 16:15</t>
  </si>
  <si>
    <t>25/01/2025 16:30</t>
  </si>
  <si>
    <t>25/01/2025 16:45</t>
  </si>
  <si>
    <t>25/01/2025 17:00</t>
  </si>
  <si>
    <t>25/01/2025 17:15</t>
  </si>
  <si>
    <t>25/01/2025 17:30</t>
  </si>
  <si>
    <t>25/01/2025 17:45</t>
  </si>
  <si>
    <t>25/01/2025 18:00</t>
  </si>
  <si>
    <t>25/01/2025 18:15</t>
  </si>
  <si>
    <t>25/01/2025 18:30</t>
  </si>
  <si>
    <t>25/01/2025 18:45</t>
  </si>
  <si>
    <t>25/01/2025 19:00</t>
  </si>
  <si>
    <t>25/01/2025 19:15</t>
  </si>
  <si>
    <t>25/01/2025 19:30</t>
  </si>
  <si>
    <t>25/01/2025 19:45</t>
  </si>
  <si>
    <t>25/01/2025 20:00</t>
  </si>
  <si>
    <t>25/01/2025 20:15</t>
  </si>
  <si>
    <t>25/01/2025 20:30</t>
  </si>
  <si>
    <t>25/01/2025 20:45</t>
  </si>
  <si>
    <t>25/01/2025 21:00</t>
  </si>
  <si>
    <t>25/01/2025 21:15</t>
  </si>
  <si>
    <t>25/01/2025 21:30</t>
  </si>
  <si>
    <t>25/01/2025 21:45</t>
  </si>
  <si>
    <t>25/01/2025 22:00</t>
  </si>
  <si>
    <t>25/01/2025 22:15</t>
  </si>
  <si>
    <t>25/01/2025 22:30</t>
  </si>
  <si>
    <t>25/01/2025 22:45</t>
  </si>
  <si>
    <t>25/01/2025 23:00</t>
  </si>
  <si>
    <t>25/01/2025 23:15</t>
  </si>
  <si>
    <t>25/01/2025 23:30</t>
  </si>
  <si>
    <t>25/01/2025 23:45</t>
  </si>
  <si>
    <t>25/01/2025 24:00</t>
  </si>
  <si>
    <t>26/01/2025 00:15</t>
  </si>
  <si>
    <t>26/01/2025 00:30</t>
  </si>
  <si>
    <t>26/01/2025 00:45</t>
  </si>
  <si>
    <t>26/01/2025 01:00</t>
  </si>
  <si>
    <t>26/01/2025 01:15</t>
  </si>
  <si>
    <t>26/01/2025 01:30</t>
  </si>
  <si>
    <t>26/01/2025 01:45</t>
  </si>
  <si>
    <t>26/01/2025 02:00</t>
  </si>
  <si>
    <t>26/01/2025 02:15</t>
  </si>
  <si>
    <t>26/01/2025 02:30</t>
  </si>
  <si>
    <t>26/01/2025 02:45</t>
  </si>
  <si>
    <t>26/01/2025 03:00</t>
  </si>
  <si>
    <t>26/01/2025 03:15</t>
  </si>
  <si>
    <t>26/01/2025 03:30</t>
  </si>
  <si>
    <t>26/01/2025 03:45</t>
  </si>
  <si>
    <t>26/01/2025 04:00</t>
  </si>
  <si>
    <t>26/01/2025 04:15</t>
  </si>
  <si>
    <t>26/01/2025 04:30</t>
  </si>
  <si>
    <t>26/01/2025 04:45</t>
  </si>
  <si>
    <t>26/01/2025 05:00</t>
  </si>
  <si>
    <t>26/01/2025 05:15</t>
  </si>
  <si>
    <t>26/01/2025 05:30</t>
  </si>
  <si>
    <t>26/01/2025 05:45</t>
  </si>
  <si>
    <t>26/01/2025 06:00</t>
  </si>
  <si>
    <t>26/01/2025 06:15</t>
  </si>
  <si>
    <t>26/01/2025 06:30</t>
  </si>
  <si>
    <t>26/01/2025 06:45</t>
  </si>
  <si>
    <t>26/01/2025 07:00</t>
  </si>
  <si>
    <t>26/01/2025 07:15</t>
  </si>
  <si>
    <t>26/01/2025 07:30</t>
  </si>
  <si>
    <t>26/01/2025 07:45</t>
  </si>
  <si>
    <t>26/01/2025 08:00</t>
  </si>
  <si>
    <t>26/01/2025 08:15</t>
  </si>
  <si>
    <t>26/01/2025 08:30</t>
  </si>
  <si>
    <t>26/01/2025 08:45</t>
  </si>
  <si>
    <t>26/01/2025 09:00</t>
  </si>
  <si>
    <t>26/01/2025 09:15</t>
  </si>
  <si>
    <t>26/01/2025 09:30</t>
  </si>
  <si>
    <t>26/01/2025 09:45</t>
  </si>
  <si>
    <t>26/01/2025 10:00</t>
  </si>
  <si>
    <t>26/01/2025 10:15</t>
  </si>
  <si>
    <t>26/01/2025 10:30</t>
  </si>
  <si>
    <t>26/01/2025 10:45</t>
  </si>
  <si>
    <t>26/01/2025 11:00</t>
  </si>
  <si>
    <t>26/01/2025 11:15</t>
  </si>
  <si>
    <t>26/01/2025 11:30</t>
  </si>
  <si>
    <t>26/01/2025 11:45</t>
  </si>
  <si>
    <t>26/01/2025 12:00</t>
  </si>
  <si>
    <t>26/01/2025 12:15</t>
  </si>
  <si>
    <t>26/01/2025 12:30</t>
  </si>
  <si>
    <t>26/01/2025 12:45</t>
  </si>
  <si>
    <t>26/01/2025 13:00</t>
  </si>
  <si>
    <t>26/01/2025 13:15</t>
  </si>
  <si>
    <t>26/01/2025 13:30</t>
  </si>
  <si>
    <t>26/01/2025 13:45</t>
  </si>
  <si>
    <t>26/01/2025 14:00</t>
  </si>
  <si>
    <t>26/01/2025 14:15</t>
  </si>
  <si>
    <t>26/01/2025 14:30</t>
  </si>
  <si>
    <t>26/01/2025 14:45</t>
  </si>
  <si>
    <t>26/01/2025 15:00</t>
  </si>
  <si>
    <t>26/01/2025 15:15</t>
  </si>
  <si>
    <t>26/01/2025 15:30</t>
  </si>
  <si>
    <t>26/01/2025 15:45</t>
  </si>
  <si>
    <t>26/01/2025 16:00</t>
  </si>
  <si>
    <t>26/01/2025 16:15</t>
  </si>
  <si>
    <t>26/01/2025 16:30</t>
  </si>
  <si>
    <t>26/01/2025 16:45</t>
  </si>
  <si>
    <t>26/01/2025 17:00</t>
  </si>
  <si>
    <t>26/01/2025 17:15</t>
  </si>
  <si>
    <t>26/01/2025 17:30</t>
  </si>
  <si>
    <t>26/01/2025 17:45</t>
  </si>
  <si>
    <t>26/01/2025 18:00</t>
  </si>
  <si>
    <t>26/01/2025 18:15</t>
  </si>
  <si>
    <t>26/01/2025 18:30</t>
  </si>
  <si>
    <t>26/01/2025 18:45</t>
  </si>
  <si>
    <t>26/01/2025 19:00</t>
  </si>
  <si>
    <t>26/01/2025 19:15</t>
  </si>
  <si>
    <t>26/01/2025 19:30</t>
  </si>
  <si>
    <t>26/01/2025 19:45</t>
  </si>
  <si>
    <t>26/01/2025 20:00</t>
  </si>
  <si>
    <t>26/01/2025 20:15</t>
  </si>
  <si>
    <t>26/01/2025 20:30</t>
  </si>
  <si>
    <t>26/01/2025 20:45</t>
  </si>
  <si>
    <t>26/01/2025 21:00</t>
  </si>
  <si>
    <t>26/01/2025 21:15</t>
  </si>
  <si>
    <t>26/01/2025 21:30</t>
  </si>
  <si>
    <t>26/01/2025 21:45</t>
  </si>
  <si>
    <t>26/01/2025 22:00</t>
  </si>
  <si>
    <t>26/01/2025 22:15</t>
  </si>
  <si>
    <t>26/01/2025 22:30</t>
  </si>
  <si>
    <t>26/01/2025 22:45</t>
  </si>
  <si>
    <t>26/01/2025 23:00</t>
  </si>
  <si>
    <t>26/01/2025 23:15</t>
  </si>
  <si>
    <t>26/01/2025 23:30</t>
  </si>
  <si>
    <t>26/01/2025 23:45</t>
  </si>
  <si>
    <t>26/01/2025 24:00</t>
  </si>
  <si>
    <t>27/01/2025 00:15</t>
  </si>
  <si>
    <t>27/01/2025 00:30</t>
  </si>
  <si>
    <t>27/01/2025 00:45</t>
  </si>
  <si>
    <t>27/01/2025 01:00</t>
  </si>
  <si>
    <t>27/01/2025 01:15</t>
  </si>
  <si>
    <t>27/01/2025 01:30</t>
  </si>
  <si>
    <t>27/01/2025 01:45</t>
  </si>
  <si>
    <t>27/01/2025 02:00</t>
  </si>
  <si>
    <t>27/01/2025 02:15</t>
  </si>
  <si>
    <t>27/01/2025 02:30</t>
  </si>
  <si>
    <t>27/01/2025 02:45</t>
  </si>
  <si>
    <t>27/01/2025 03:00</t>
  </si>
  <si>
    <t>27/01/2025 03:15</t>
  </si>
  <si>
    <t>27/01/2025 03:30</t>
  </si>
  <si>
    <t>27/01/2025 03:45</t>
  </si>
  <si>
    <t>27/01/2025 04:00</t>
  </si>
  <si>
    <t>27/01/2025 04:15</t>
  </si>
  <si>
    <t>27/01/2025 04:30</t>
  </si>
  <si>
    <t>27/01/2025 04:45</t>
  </si>
  <si>
    <t>27/01/2025 05:00</t>
  </si>
  <si>
    <t>27/01/2025 05:15</t>
  </si>
  <si>
    <t>27/01/2025 05:30</t>
  </si>
  <si>
    <t>27/01/2025 05:45</t>
  </si>
  <si>
    <t>27/01/2025 06:00</t>
  </si>
  <si>
    <t>27/01/2025 06:15</t>
  </si>
  <si>
    <t>27/01/2025 06:30</t>
  </si>
  <si>
    <t>27/01/2025 06:45</t>
  </si>
  <si>
    <t>27/01/2025 07:00</t>
  </si>
  <si>
    <t>27/01/2025 07:15</t>
  </si>
  <si>
    <t>27/01/2025 07:30</t>
  </si>
  <si>
    <t>27/01/2025 07:45</t>
  </si>
  <si>
    <t>27/01/2025 08:00</t>
  </si>
  <si>
    <t>27/01/2025 08:15</t>
  </si>
  <si>
    <t>27/01/2025 08:30</t>
  </si>
  <si>
    <t>27/01/2025 08:45</t>
  </si>
  <si>
    <t>27/01/2025 09:00</t>
  </si>
  <si>
    <t>27/01/2025 09:15</t>
  </si>
  <si>
    <t>27/01/2025 09:30</t>
  </si>
  <si>
    <t>27/01/2025 09:45</t>
  </si>
  <si>
    <t>27/01/2025 10:00</t>
  </si>
  <si>
    <t>27/01/2025 10:15</t>
  </si>
  <si>
    <t>27/01/2025 10:30</t>
  </si>
  <si>
    <t>27/01/2025 10:45</t>
  </si>
  <si>
    <t>27/01/2025 11:00</t>
  </si>
  <si>
    <t>27/01/2025 11:15</t>
  </si>
  <si>
    <t>27/01/2025 11:30</t>
  </si>
  <si>
    <t>27/01/2025 11:45</t>
  </si>
  <si>
    <t>27/01/2025 12:00</t>
  </si>
  <si>
    <t>27/01/2025 12:15</t>
  </si>
  <si>
    <t>27/01/2025 12:30</t>
  </si>
  <si>
    <t>27/01/2025 12:45</t>
  </si>
  <si>
    <t>27/01/2025 13:00</t>
  </si>
  <si>
    <t>27/01/2025 13:15</t>
  </si>
  <si>
    <t>27/01/2025 13:30</t>
  </si>
  <si>
    <t>27/01/2025 13:45</t>
  </si>
  <si>
    <t>27/01/2025 14:00</t>
  </si>
  <si>
    <t>27/01/2025 14:15</t>
  </si>
  <si>
    <t>27/01/2025 14:30</t>
  </si>
  <si>
    <t>27/01/2025 14:45</t>
  </si>
  <si>
    <t>27/01/2025 15:00</t>
  </si>
  <si>
    <t>27/01/2025 15:15</t>
  </si>
  <si>
    <t>27/01/2025 15:30</t>
  </si>
  <si>
    <t>27/01/2025 15:45</t>
  </si>
  <si>
    <t>27/01/2025 16:00</t>
  </si>
  <si>
    <t>27/01/2025 16:15</t>
  </si>
  <si>
    <t>27/01/2025 16:30</t>
  </si>
  <si>
    <t>27/01/2025 16:45</t>
  </si>
  <si>
    <t>27/01/2025 17:00</t>
  </si>
  <si>
    <t>27/01/2025 17:15</t>
  </si>
  <si>
    <t>27/01/2025 17:30</t>
  </si>
  <si>
    <t>27/01/2025 17:45</t>
  </si>
  <si>
    <t>27/01/2025 18:00</t>
  </si>
  <si>
    <t>27/01/2025 18:15</t>
  </si>
  <si>
    <t>27/01/2025 18:30</t>
  </si>
  <si>
    <t>27/01/2025 18:45</t>
  </si>
  <si>
    <t>27/01/2025 19:00</t>
  </si>
  <si>
    <t>27/01/2025 19:15</t>
  </si>
  <si>
    <t>27/01/2025 19:30</t>
  </si>
  <si>
    <t>27/01/2025 19:45</t>
  </si>
  <si>
    <t>27/01/2025 20:00</t>
  </si>
  <si>
    <t>27/01/2025 20:15</t>
  </si>
  <si>
    <t>27/01/2025 20:30</t>
  </si>
  <si>
    <t>27/01/2025 20:45</t>
  </si>
  <si>
    <t>27/01/2025 21:00</t>
  </si>
  <si>
    <t>27/01/2025 21:15</t>
  </si>
  <si>
    <t>27/01/2025 21:30</t>
  </si>
  <si>
    <t>27/01/2025 21:45</t>
  </si>
  <si>
    <t>27/01/2025 22:00</t>
  </si>
  <si>
    <t>27/01/2025 22:15</t>
  </si>
  <si>
    <t>27/01/2025 22:30</t>
  </si>
  <si>
    <t>27/01/2025 22:45</t>
  </si>
  <si>
    <t>27/01/2025 23:00</t>
  </si>
  <si>
    <t>27/01/2025 23:15</t>
  </si>
  <si>
    <t>27/01/2025 23:30</t>
  </si>
  <si>
    <t>27/01/2025 23:45</t>
  </si>
  <si>
    <t>27/01/2025 24:00</t>
  </si>
  <si>
    <t>28/01/2025 00:15</t>
  </si>
  <si>
    <t>28/01/2025 00:30</t>
  </si>
  <si>
    <t>28/01/2025 00:45</t>
  </si>
  <si>
    <t>28/01/2025 01:00</t>
  </si>
  <si>
    <t>28/01/2025 01:15</t>
  </si>
  <si>
    <t>28/01/2025 01:30</t>
  </si>
  <si>
    <t>28/01/2025 01:45</t>
  </si>
  <si>
    <t>28/01/2025 02:00</t>
  </si>
  <si>
    <t>28/01/2025 02:15</t>
  </si>
  <si>
    <t>28/01/2025 02:30</t>
  </si>
  <si>
    <t>28/01/2025 02:45</t>
  </si>
  <si>
    <t>28/01/2025 03:00</t>
  </si>
  <si>
    <t>28/01/2025 03:15</t>
  </si>
  <si>
    <t>28/01/2025 03:30</t>
  </si>
  <si>
    <t>28/01/2025 03:45</t>
  </si>
  <si>
    <t>28/01/2025 04:00</t>
  </si>
  <si>
    <t>28/01/2025 04:15</t>
  </si>
  <si>
    <t>28/01/2025 04:30</t>
  </si>
  <si>
    <t>28/01/2025 04:45</t>
  </si>
  <si>
    <t>28/01/2025 05:00</t>
  </si>
  <si>
    <t>28/01/2025 05:15</t>
  </si>
  <si>
    <t>28/01/2025 05:30</t>
  </si>
  <si>
    <t>28/01/2025 05:45</t>
  </si>
  <si>
    <t>28/01/2025 06:00</t>
  </si>
  <si>
    <t>28/01/2025 06:15</t>
  </si>
  <si>
    <t>28/01/2025 06:30</t>
  </si>
  <si>
    <t>28/01/2025 06:45</t>
  </si>
  <si>
    <t>28/01/2025 07:00</t>
  </si>
  <si>
    <t>28/01/2025 07:15</t>
  </si>
  <si>
    <t>28/01/2025 07:30</t>
  </si>
  <si>
    <t>28/01/2025 07:45</t>
  </si>
  <si>
    <t>28/01/2025 08:00</t>
  </si>
  <si>
    <t>28/01/2025 08:15</t>
  </si>
  <si>
    <t>28/01/2025 08:30</t>
  </si>
  <si>
    <t>28/01/2025 08:45</t>
  </si>
  <si>
    <t>28/01/2025 09:00</t>
  </si>
  <si>
    <t>28/01/2025 09:15</t>
  </si>
  <si>
    <t>28/01/2025 09:30</t>
  </si>
  <si>
    <t>28/01/2025 09:45</t>
  </si>
  <si>
    <t>28/01/2025 10:00</t>
  </si>
  <si>
    <t>28/01/2025 10:15</t>
  </si>
  <si>
    <t>28/01/2025 10:30</t>
  </si>
  <si>
    <t>28/01/2025 10:45</t>
  </si>
  <si>
    <t>28/01/2025 11:00</t>
  </si>
  <si>
    <t>28/01/2025 11:15</t>
  </si>
  <si>
    <t>28/01/2025 11:30</t>
  </si>
  <si>
    <t>28/01/2025 11:45</t>
  </si>
  <si>
    <t>28/01/2025 12:00</t>
  </si>
  <si>
    <t>28/01/2025 12:15</t>
  </si>
  <si>
    <t>28/01/2025 12:30</t>
  </si>
  <si>
    <t>28/01/2025 12:45</t>
  </si>
  <si>
    <t>28/01/2025 13:00</t>
  </si>
  <si>
    <t>28/01/2025 13:15</t>
  </si>
  <si>
    <t>28/01/2025 13:30</t>
  </si>
  <si>
    <t>28/01/2025 13:45</t>
  </si>
  <si>
    <t>28/01/2025 14:00</t>
  </si>
  <si>
    <t>28/01/2025 14:15</t>
  </si>
  <si>
    <t>28/01/2025 14:30</t>
  </si>
  <si>
    <t>28/01/2025 14:45</t>
  </si>
  <si>
    <t>28/01/2025 15:00</t>
  </si>
  <si>
    <t>28/01/2025 15:15</t>
  </si>
  <si>
    <t>28/01/2025 15:30</t>
  </si>
  <si>
    <t>28/01/2025 15:45</t>
  </si>
  <si>
    <t>28/01/2025 16:00</t>
  </si>
  <si>
    <t>28/01/2025 16:15</t>
  </si>
  <si>
    <t>28/01/2025 16:30</t>
  </si>
  <si>
    <t>28/01/2025 16:45</t>
  </si>
  <si>
    <t>28/01/2025 17:00</t>
  </si>
  <si>
    <t>28/01/2025 17:15</t>
  </si>
  <si>
    <t>28/01/2025 17:30</t>
  </si>
  <si>
    <t>28/01/2025 17:45</t>
  </si>
  <si>
    <t>28/01/2025 18:00</t>
  </si>
  <si>
    <t>28/01/2025 18:15</t>
  </si>
  <si>
    <t>28/01/2025 18:30</t>
  </si>
  <si>
    <t>28/01/2025 18:45</t>
  </si>
  <si>
    <t>28/01/2025 19:00</t>
  </si>
  <si>
    <t>28/01/2025 19:15</t>
  </si>
  <si>
    <t>28/01/2025 19:30</t>
  </si>
  <si>
    <t>28/01/2025 19:45</t>
  </si>
  <si>
    <t>28/01/2025 20:00</t>
  </si>
  <si>
    <t>28/01/2025 20:15</t>
  </si>
  <si>
    <t>28/01/2025 20:30</t>
  </si>
  <si>
    <t>28/01/2025 20:45</t>
  </si>
  <si>
    <t>28/01/2025 21:00</t>
  </si>
  <si>
    <t>28/01/2025 21:15</t>
  </si>
  <si>
    <t>28/01/2025 21:30</t>
  </si>
  <si>
    <t>28/01/2025 21:45</t>
  </si>
  <si>
    <t>28/01/2025 22:00</t>
  </si>
  <si>
    <t>28/01/2025 22:15</t>
  </si>
  <si>
    <t>28/01/2025 22:30</t>
  </si>
  <si>
    <t>28/01/2025 22:45</t>
  </si>
  <si>
    <t>28/01/2025 23:00</t>
  </si>
  <si>
    <t>28/01/2025 23:15</t>
  </si>
  <si>
    <t>28/01/2025 23:30</t>
  </si>
  <si>
    <t>28/01/2025 23:45</t>
  </si>
  <si>
    <t>28/01/2025 24:00</t>
  </si>
  <si>
    <t>29/01/2025 00:15</t>
  </si>
  <si>
    <t>29/01/2025 00:30</t>
  </si>
  <si>
    <t>29/01/2025 00:45</t>
  </si>
  <si>
    <t>29/01/2025 01:00</t>
  </si>
  <si>
    <t>29/01/2025 01:15</t>
  </si>
  <si>
    <t>29/01/2025 01:30</t>
  </si>
  <si>
    <t>29/01/2025 01:45</t>
  </si>
  <si>
    <t>29/01/2025 02:00</t>
  </si>
  <si>
    <t>29/01/2025 02:15</t>
  </si>
  <si>
    <t>29/01/2025 02:30</t>
  </si>
  <si>
    <t>29/01/2025 02:45</t>
  </si>
  <si>
    <t>29/01/2025 03:00</t>
  </si>
  <si>
    <t>29/01/2025 03:15</t>
  </si>
  <si>
    <t>29/01/2025 03:30</t>
  </si>
  <si>
    <t>29/01/2025 03:45</t>
  </si>
  <si>
    <t>29/01/2025 04:00</t>
  </si>
  <si>
    <t>29/01/2025 04:15</t>
  </si>
  <si>
    <t>29/01/2025 04:30</t>
  </si>
  <si>
    <t>29/01/2025 04:45</t>
  </si>
  <si>
    <t>29/01/2025 05:00</t>
  </si>
  <si>
    <t>29/01/2025 05:15</t>
  </si>
  <si>
    <t>29/01/2025 05:30</t>
  </si>
  <si>
    <t>29/01/2025 05:45</t>
  </si>
  <si>
    <t>29/01/2025 06:00</t>
  </si>
  <si>
    <t>29/01/2025 06:15</t>
  </si>
  <si>
    <t>29/01/2025 06:30</t>
  </si>
  <si>
    <t>29/01/2025 06:45</t>
  </si>
  <si>
    <t>29/01/2025 07:00</t>
  </si>
  <si>
    <t>29/01/2025 07:15</t>
  </si>
  <si>
    <t>29/01/2025 07:30</t>
  </si>
  <si>
    <t>29/01/2025 07:45</t>
  </si>
  <si>
    <t>29/01/2025 08:00</t>
  </si>
  <si>
    <t>29/01/2025 08:15</t>
  </si>
  <si>
    <t>29/01/2025 08:30</t>
  </si>
  <si>
    <t>29/01/2025 08:45</t>
  </si>
  <si>
    <t>29/01/2025 09:00</t>
  </si>
  <si>
    <t>29/01/2025 09:15</t>
  </si>
  <si>
    <t>29/01/2025 09:30</t>
  </si>
  <si>
    <t>29/01/2025 09:45</t>
  </si>
  <si>
    <t>29/01/2025 10:00</t>
  </si>
  <si>
    <t>29/01/2025 10:15</t>
  </si>
  <si>
    <t>29/01/2025 10:30</t>
  </si>
  <si>
    <t>29/01/2025 10:45</t>
  </si>
  <si>
    <t>29/01/2025 11:00</t>
  </si>
  <si>
    <t>29/01/2025 11:15</t>
  </si>
  <si>
    <t>29/01/2025 11:30</t>
  </si>
  <si>
    <t>29/01/2025 11:45</t>
  </si>
  <si>
    <t>29/01/2025 12:00</t>
  </si>
  <si>
    <t>29/01/2025 12:15</t>
  </si>
  <si>
    <t>29/01/2025 12:30</t>
  </si>
  <si>
    <t>29/01/2025 12:45</t>
  </si>
  <si>
    <t>29/01/2025 13:00</t>
  </si>
  <si>
    <t>29/01/2025 13:15</t>
  </si>
  <si>
    <t>29/01/2025 13:30</t>
  </si>
  <si>
    <t>29/01/2025 13:45</t>
  </si>
  <si>
    <t>29/01/2025 14:00</t>
  </si>
  <si>
    <t>29/01/2025 14:15</t>
  </si>
  <si>
    <t>29/01/2025 14:30</t>
  </si>
  <si>
    <t>29/01/2025 14:45</t>
  </si>
  <si>
    <t>29/01/2025 15:00</t>
  </si>
  <si>
    <t>29/01/2025 15:15</t>
  </si>
  <si>
    <t>29/01/2025 15:30</t>
  </si>
  <si>
    <t>29/01/2025 15:45</t>
  </si>
  <si>
    <t>29/01/2025 16:00</t>
  </si>
  <si>
    <t>29/01/2025 16:15</t>
  </si>
  <si>
    <t>29/01/2025 16:30</t>
  </si>
  <si>
    <t>29/01/2025 16:45</t>
  </si>
  <si>
    <t>29/01/2025 17:00</t>
  </si>
  <si>
    <t>29/01/2025 17:15</t>
  </si>
  <si>
    <t>29/01/2025 17:30</t>
  </si>
  <si>
    <t>29/01/2025 17:45</t>
  </si>
  <si>
    <t>29/01/2025 18:00</t>
  </si>
  <si>
    <t>29/01/2025 18:15</t>
  </si>
  <si>
    <t>29/01/2025 18:30</t>
  </si>
  <si>
    <t>29/01/2025 18:45</t>
  </si>
  <si>
    <t>29/01/2025 19:00</t>
  </si>
  <si>
    <t>29/01/2025 19:15</t>
  </si>
  <si>
    <t>29/01/2025 19:30</t>
  </si>
  <si>
    <t>29/01/2025 19:45</t>
  </si>
  <si>
    <t>29/01/2025 20:00</t>
  </si>
  <si>
    <t>29/01/2025 20:15</t>
  </si>
  <si>
    <t>29/01/2025 20:30</t>
  </si>
  <si>
    <t>29/01/2025 20:45</t>
  </si>
  <si>
    <t>29/01/2025 21:00</t>
  </si>
  <si>
    <t>29/01/2025 21:15</t>
  </si>
  <si>
    <t>29/01/2025 21:30</t>
  </si>
  <si>
    <t>29/01/2025 21:45</t>
  </si>
  <si>
    <t>29/01/2025 22:00</t>
  </si>
  <si>
    <t>29/01/2025 22:15</t>
  </si>
  <si>
    <t>29/01/2025 22:30</t>
  </si>
  <si>
    <t>29/01/2025 22:45</t>
  </si>
  <si>
    <t>29/01/2025 23:00</t>
  </si>
  <si>
    <t>29/01/2025 23:15</t>
  </si>
  <si>
    <t>29/01/2025 23:30</t>
  </si>
  <si>
    <t>29/01/2025 23:45</t>
  </si>
  <si>
    <t>29/01/2025 24:00</t>
  </si>
  <si>
    <t>30/01/2025 00:15</t>
  </si>
  <si>
    <t>30/01/2025 00:30</t>
  </si>
  <si>
    <t>30/01/2025 00:45</t>
  </si>
  <si>
    <t>30/01/2025 01:00</t>
  </si>
  <si>
    <t>30/01/2025 01:15</t>
  </si>
  <si>
    <t>30/01/2025 01:30</t>
  </si>
  <si>
    <t>30/01/2025 01:45</t>
  </si>
  <si>
    <t>30/01/2025 02:00</t>
  </si>
  <si>
    <t>30/01/2025 02:15</t>
  </si>
  <si>
    <t>30/01/2025 02:30</t>
  </si>
  <si>
    <t>30/01/2025 02:45</t>
  </si>
  <si>
    <t>30/01/2025 03:00</t>
  </si>
  <si>
    <t>30/01/2025 03:15</t>
  </si>
  <si>
    <t>30/01/2025 03:30</t>
  </si>
  <si>
    <t>30/01/2025 03:45</t>
  </si>
  <si>
    <t>30/01/2025 04:00</t>
  </si>
  <si>
    <t>30/01/2025 04:15</t>
  </si>
  <si>
    <t>30/01/2025 04:30</t>
  </si>
  <si>
    <t>30/01/2025 04:45</t>
  </si>
  <si>
    <t>30/01/2025 05:00</t>
  </si>
  <si>
    <t>30/01/2025 05:15</t>
  </si>
  <si>
    <t>30/01/2025 05:30</t>
  </si>
  <si>
    <t>30/01/2025 05:45</t>
  </si>
  <si>
    <t>30/01/2025 06:00</t>
  </si>
  <si>
    <t>30/01/2025 06:15</t>
  </si>
  <si>
    <t>30/01/2025 06:30</t>
  </si>
  <si>
    <t>30/01/2025 06:45</t>
  </si>
  <si>
    <t>30/01/2025 07:00</t>
  </si>
  <si>
    <t>30/01/2025 07:15</t>
  </si>
  <si>
    <t>30/01/2025 07:30</t>
  </si>
  <si>
    <t>30/01/2025 07:45</t>
  </si>
  <si>
    <t>30/01/2025 08:00</t>
  </si>
  <si>
    <t>30/01/2025 08:15</t>
  </si>
  <si>
    <t>30/01/2025 08:30</t>
  </si>
  <si>
    <t>30/01/2025 08:45</t>
  </si>
  <si>
    <t>30/01/2025 09:00</t>
  </si>
  <si>
    <t>30/01/2025 09:15</t>
  </si>
  <si>
    <t>30/01/2025 09:30</t>
  </si>
  <si>
    <t>30/01/2025 09:45</t>
  </si>
  <si>
    <t>30/01/2025 10:00</t>
  </si>
  <si>
    <t>30/01/2025 10:15</t>
  </si>
  <si>
    <t>30/01/2025 10:30</t>
  </si>
  <si>
    <t>30/01/2025 10:45</t>
  </si>
  <si>
    <t>30/01/2025 11:00</t>
  </si>
  <si>
    <t>30/01/2025 11:15</t>
  </si>
  <si>
    <t>30/01/2025 11:30</t>
  </si>
  <si>
    <t>30/01/2025 11:45</t>
  </si>
  <si>
    <t>30/01/2025 12:00</t>
  </si>
  <si>
    <t>30/01/2025 12:15</t>
  </si>
  <si>
    <t>30/01/2025 12:30</t>
  </si>
  <si>
    <t>30/01/2025 12:45</t>
  </si>
  <si>
    <t>30/01/2025 13:00</t>
  </si>
  <si>
    <t>30/01/2025 13:15</t>
  </si>
  <si>
    <t>30/01/2025 13:30</t>
  </si>
  <si>
    <t>30/01/2025 13:45</t>
  </si>
  <si>
    <t>30/01/2025 14:00</t>
  </si>
  <si>
    <t>30/01/2025 14:15</t>
  </si>
  <si>
    <t>30/01/2025 14:30</t>
  </si>
  <si>
    <t>30/01/2025 14:45</t>
  </si>
  <si>
    <t>30/01/2025 15:00</t>
  </si>
  <si>
    <t>30/01/2025 15:15</t>
  </si>
  <si>
    <t>30/01/2025 15:30</t>
  </si>
  <si>
    <t>30/01/2025 15:45</t>
  </si>
  <si>
    <t>30/01/2025 16:00</t>
  </si>
  <si>
    <t>30/01/2025 16:15</t>
  </si>
  <si>
    <t>30/01/2025 16:30</t>
  </si>
  <si>
    <t>30/01/2025 16:45</t>
  </si>
  <si>
    <t>30/01/2025 17:00</t>
  </si>
  <si>
    <t>30/01/2025 17:15</t>
  </si>
  <si>
    <t>30/01/2025 17:30</t>
  </si>
  <si>
    <t>30/01/2025 17:45</t>
  </si>
  <si>
    <t>30/01/2025 18:00</t>
  </si>
  <si>
    <t>30/01/2025 18:15</t>
  </si>
  <si>
    <t>30/01/2025 18:30</t>
  </si>
  <si>
    <t>30/01/2025 18:45</t>
  </si>
  <si>
    <t>30/01/2025 19:00</t>
  </si>
  <si>
    <t>30/01/2025 19:15</t>
  </si>
  <si>
    <t>30/01/2025 19:30</t>
  </si>
  <si>
    <t>30/01/2025 19:45</t>
  </si>
  <si>
    <t>30/01/2025 20:00</t>
  </si>
  <si>
    <t>30/01/2025 20:15</t>
  </si>
  <si>
    <t>30/01/2025 20:30</t>
  </si>
  <si>
    <t>30/01/2025 20:45</t>
  </si>
  <si>
    <t>30/01/2025 21:00</t>
  </si>
  <si>
    <t>30/01/2025 21:15</t>
  </si>
  <si>
    <t>30/01/2025 21:30</t>
  </si>
  <si>
    <t>30/01/2025 21:45</t>
  </si>
  <si>
    <t>30/01/2025 22:00</t>
  </si>
  <si>
    <t>30/01/2025 22:15</t>
  </si>
  <si>
    <t>30/01/2025 22:30</t>
  </si>
  <si>
    <t>30/01/2025 22:45</t>
  </si>
  <si>
    <t>30/01/2025 23:00</t>
  </si>
  <si>
    <t>30/01/2025 23:15</t>
  </si>
  <si>
    <t>30/01/2025 23:30</t>
  </si>
  <si>
    <t>30/01/2025 23:45</t>
  </si>
  <si>
    <t>30/01/2025 24:00</t>
  </si>
  <si>
    <t>31/01/2025 00:15</t>
  </si>
  <si>
    <t>31/01/2025 00:30</t>
  </si>
  <si>
    <t>31/01/2025 00:45</t>
  </si>
  <si>
    <t>31/01/2025 01:00</t>
  </si>
  <si>
    <t>31/01/2025 01:15</t>
  </si>
  <si>
    <t>31/01/2025 01:30</t>
  </si>
  <si>
    <t>31/01/2025 01:45</t>
  </si>
  <si>
    <t>31/01/2025 02:00</t>
  </si>
  <si>
    <t>31/01/2025 02:15</t>
  </si>
  <si>
    <t>31/01/2025 02:30</t>
  </si>
  <si>
    <t>31/01/2025 02:45</t>
  </si>
  <si>
    <t>31/01/2025 03:00</t>
  </si>
  <si>
    <t>31/01/2025 03:15</t>
  </si>
  <si>
    <t>31/01/2025 03:30</t>
  </si>
  <si>
    <t>31/01/2025 03:45</t>
  </si>
  <si>
    <t>31/01/2025 04:00</t>
  </si>
  <si>
    <t>31/01/2025 04:15</t>
  </si>
  <si>
    <t>31/01/2025 04:30</t>
  </si>
  <si>
    <t>31/01/2025 04:45</t>
  </si>
  <si>
    <t>31/01/2025 05:00</t>
  </si>
  <si>
    <t>31/01/2025 05:15</t>
  </si>
  <si>
    <t>31/01/2025 05:30</t>
  </si>
  <si>
    <t>31/01/2025 05:45</t>
  </si>
  <si>
    <t>31/01/2025 06:00</t>
  </si>
  <si>
    <t>31/01/2025 06:15</t>
  </si>
  <si>
    <t>31/01/2025 06:30</t>
  </si>
  <si>
    <t>31/01/2025 06:45</t>
  </si>
  <si>
    <t>31/01/2025 07:00</t>
  </si>
  <si>
    <t>31/01/2025 07:15</t>
  </si>
  <si>
    <t>31/01/2025 07:30</t>
  </si>
  <si>
    <t>31/01/2025 07:45</t>
  </si>
  <si>
    <t>31/01/2025 08:00</t>
  </si>
  <si>
    <t>31/01/2025 08:15</t>
  </si>
  <si>
    <t>31/01/2025 08:30</t>
  </si>
  <si>
    <t>31/01/2025 08:45</t>
  </si>
  <si>
    <t>31/01/2025 09:00</t>
  </si>
  <si>
    <t>31/01/2025 09:15</t>
  </si>
  <si>
    <t>31/01/2025 09:30</t>
  </si>
  <si>
    <t>31/01/2025 09:45</t>
  </si>
  <si>
    <t>31/01/2025 10:00</t>
  </si>
  <si>
    <t>31/01/2025 10:15</t>
  </si>
  <si>
    <t>31/01/2025 10:30</t>
  </si>
  <si>
    <t>31/01/2025 10:45</t>
  </si>
  <si>
    <t>31/01/2025 11:00</t>
  </si>
  <si>
    <t>31/01/2025 11:15</t>
  </si>
  <si>
    <t>31/01/2025 11:30</t>
  </si>
  <si>
    <t>31/01/2025 11:45</t>
  </si>
  <si>
    <t>31/01/2025 12:00</t>
  </si>
  <si>
    <t>31/01/2025 12:15</t>
  </si>
  <si>
    <t>31/01/2025 12:30</t>
  </si>
  <si>
    <t>31/01/2025 12:45</t>
  </si>
  <si>
    <t>31/01/2025 13:00</t>
  </si>
  <si>
    <t>31/01/2025 13:15</t>
  </si>
  <si>
    <t>31/01/2025 13:30</t>
  </si>
  <si>
    <t>31/01/2025 13:45</t>
  </si>
  <si>
    <t>31/01/2025 14:00</t>
  </si>
  <si>
    <t>31/01/2025 14:15</t>
  </si>
  <si>
    <t>31/01/2025 14:30</t>
  </si>
  <si>
    <t>31/01/2025 14:45</t>
  </si>
  <si>
    <t>31/01/2025 15:00</t>
  </si>
  <si>
    <t>31/01/2025 15:15</t>
  </si>
  <si>
    <t>31/01/2025 15:30</t>
  </si>
  <si>
    <t>31/01/2025 15:45</t>
  </si>
  <si>
    <t>31/01/2025 16:00</t>
  </si>
  <si>
    <t>31/01/2025 16:15</t>
  </si>
  <si>
    <t>31/01/2025 16:30</t>
  </si>
  <si>
    <t>31/01/2025 16:45</t>
  </si>
  <si>
    <t>31/01/2025 17:00</t>
  </si>
  <si>
    <t>31/01/2025 17:15</t>
  </si>
  <si>
    <t>31/01/2025 17:30</t>
  </si>
  <si>
    <t>31/01/2025 17:45</t>
  </si>
  <si>
    <t>31/01/2025 18:00</t>
  </si>
  <si>
    <t>31/01/2025 18:15</t>
  </si>
  <si>
    <t>31/01/2025 18:30</t>
  </si>
  <si>
    <t>31/01/2025 18:45</t>
  </si>
  <si>
    <t>31/01/2025 19:00</t>
  </si>
  <si>
    <t>31/01/2025 19:15</t>
  </si>
  <si>
    <t>31/01/2025 19:30</t>
  </si>
  <si>
    <t>31/01/2025 19:45</t>
  </si>
  <si>
    <t>31/01/2025 20:00</t>
  </si>
  <si>
    <t>31/01/2025 20:15</t>
  </si>
  <si>
    <t>31/01/2025 20:30</t>
  </si>
  <si>
    <t>31/01/2025 20:45</t>
  </si>
  <si>
    <t>31/01/2025 21:00</t>
  </si>
  <si>
    <t>31/01/2025 21:15</t>
  </si>
  <si>
    <t>31/01/2025 21:30</t>
  </si>
  <si>
    <t>31/01/2025 21:45</t>
  </si>
  <si>
    <t>31/01/2025 22:00</t>
  </si>
  <si>
    <t>31/01/2025 22:15</t>
  </si>
  <si>
    <t>31/01/2025 22:30</t>
  </si>
  <si>
    <t>31/01/2025 22:45</t>
  </si>
  <si>
    <t>31/01/2025 23:00</t>
  </si>
  <si>
    <t>31/01/2025 23:15</t>
  </si>
  <si>
    <t>31/01/2025 23:30</t>
  </si>
  <si>
    <t>31/01/2025 23:45</t>
  </si>
  <si>
    <t>31/01/2025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</si>
</sst>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" fontId="0" fillId="0" borderId="0" xfId="0" applyNumberFormat="1"/>
    <xf numFmtId="0" fontId="28" fillId="0" borderId="13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zoomScale="80" zoomScaleNormal="80" workbookViewId="0">
      <pane xSplit="1" ySplit="8" topLeftCell="B75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239</v>
      </c>
      <c r="B9" s="100">
        <v>19.510000000000002</v>
      </c>
      <c r="C9" s="100">
        <v>24.12</v>
      </c>
      <c r="D9" s="100">
        <v>29.6</v>
      </c>
      <c r="E9" s="100">
        <v>9.9700000000000006</v>
      </c>
      <c r="F9" s="151" t="s">
        <v>8</v>
      </c>
      <c r="G9" s="100">
        <v>87.31</v>
      </c>
      <c r="H9" s="100">
        <v>20.99</v>
      </c>
      <c r="I9" s="100">
        <v>11.21</v>
      </c>
      <c r="J9" s="100">
        <v>0.14000000000000001</v>
      </c>
      <c r="K9" s="100">
        <v>228.46</v>
      </c>
      <c r="L9" s="100">
        <v>16.28</v>
      </c>
      <c r="M9" s="100">
        <v>76.58</v>
      </c>
      <c r="N9" s="100">
        <v>1.3</v>
      </c>
      <c r="O9" s="100">
        <v>0</v>
      </c>
      <c r="P9" s="100">
        <v>0.91</v>
      </c>
      <c r="Q9" s="100">
        <v>13.03</v>
      </c>
      <c r="R9" s="6"/>
      <c r="S9" s="6"/>
      <c r="T9" s="156"/>
      <c r="U9" s="6"/>
    </row>
    <row r="10" spans="1:21" customFormat="1">
      <c r="A10" s="163" t="s">
        <v>240</v>
      </c>
      <c r="B10" s="100">
        <v>18.850000000000001</v>
      </c>
      <c r="C10" s="100">
        <v>23.03</v>
      </c>
      <c r="D10" s="100">
        <v>28.5</v>
      </c>
      <c r="E10" s="100">
        <v>9.48</v>
      </c>
      <c r="F10" s="151" t="s">
        <v>8</v>
      </c>
      <c r="G10" s="100">
        <v>85.18</v>
      </c>
      <c r="H10" s="100">
        <v>21.41</v>
      </c>
      <c r="I10" s="100">
        <v>11.09</v>
      </c>
      <c r="J10" s="100">
        <v>0.14000000000000001</v>
      </c>
      <c r="K10" s="100">
        <v>215.06</v>
      </c>
      <c r="L10" s="100">
        <v>16.079999999999998</v>
      </c>
      <c r="M10" s="100">
        <v>78.19</v>
      </c>
      <c r="N10" s="100">
        <v>1.3</v>
      </c>
      <c r="O10" s="100">
        <v>0</v>
      </c>
      <c r="P10" s="100">
        <v>0.86</v>
      </c>
      <c r="Q10" s="100">
        <v>13.03</v>
      </c>
      <c r="R10" s="6"/>
      <c r="S10" s="6"/>
      <c r="T10" s="156"/>
      <c r="U10" s="6"/>
    </row>
    <row r="11" spans="1:21" customFormat="1">
      <c r="A11" s="163" t="s">
        <v>241</v>
      </c>
      <c r="B11" s="100">
        <v>17.86</v>
      </c>
      <c r="C11" s="100">
        <v>22.54</v>
      </c>
      <c r="D11" s="100">
        <v>27.45</v>
      </c>
      <c r="E11" s="100">
        <v>8.9700000000000006</v>
      </c>
      <c r="F11" s="151" t="s">
        <v>8</v>
      </c>
      <c r="G11" s="100">
        <v>85.18</v>
      </c>
      <c r="H11" s="100">
        <v>21.41</v>
      </c>
      <c r="I11" s="100">
        <v>10.95</v>
      </c>
      <c r="J11" s="100">
        <v>0.16</v>
      </c>
      <c r="K11" s="100">
        <v>181.02</v>
      </c>
      <c r="L11" s="100">
        <v>16.04</v>
      </c>
      <c r="M11" s="100">
        <v>76.760000000000005</v>
      </c>
      <c r="N11" s="100">
        <v>1.1000000000000001</v>
      </c>
      <c r="O11" s="100">
        <v>0</v>
      </c>
      <c r="P11" s="100">
        <v>0.84</v>
      </c>
      <c r="Q11" s="100">
        <v>13.02</v>
      </c>
      <c r="R11" s="6"/>
      <c r="S11" s="6"/>
      <c r="T11" s="156"/>
      <c r="U11" s="6"/>
    </row>
    <row r="12" spans="1:21" customFormat="1">
      <c r="A12" s="163" t="s">
        <v>242</v>
      </c>
      <c r="B12" s="100">
        <v>16.96</v>
      </c>
      <c r="C12" s="100">
        <v>22.38</v>
      </c>
      <c r="D12" s="100">
        <v>26.65</v>
      </c>
      <c r="E12" s="100">
        <v>9.1</v>
      </c>
      <c r="F12" s="151" t="s">
        <v>8</v>
      </c>
      <c r="G12" s="100">
        <v>85.18</v>
      </c>
      <c r="H12" s="100">
        <v>21.41</v>
      </c>
      <c r="I12" s="100">
        <v>10.81</v>
      </c>
      <c r="J12" s="100">
        <v>0.14000000000000001</v>
      </c>
      <c r="K12" s="100">
        <v>190.71</v>
      </c>
      <c r="L12" s="100">
        <v>15.89</v>
      </c>
      <c r="M12" s="100">
        <v>80.7</v>
      </c>
      <c r="N12" s="100">
        <v>1.2</v>
      </c>
      <c r="O12" s="100">
        <v>0</v>
      </c>
      <c r="P12" s="100">
        <v>0.83</v>
      </c>
      <c r="Q12" s="100">
        <v>13.01</v>
      </c>
      <c r="R12" s="6"/>
      <c r="S12" s="6"/>
      <c r="T12" s="156"/>
      <c r="U12" s="6"/>
    </row>
    <row r="13" spans="1:21" customFormat="1">
      <c r="A13" s="163" t="s">
        <v>243</v>
      </c>
      <c r="B13" s="100">
        <v>16.149999999999999</v>
      </c>
      <c r="C13" s="100">
        <v>22.2</v>
      </c>
      <c r="D13" s="100">
        <v>25.9</v>
      </c>
      <c r="E13" s="100">
        <v>9</v>
      </c>
      <c r="F13" s="151" t="s">
        <v>8</v>
      </c>
      <c r="G13" s="100">
        <v>80.09</v>
      </c>
      <c r="H13" s="100">
        <v>22.29</v>
      </c>
      <c r="I13" s="100">
        <v>10.73</v>
      </c>
      <c r="J13" s="100">
        <v>0.17</v>
      </c>
      <c r="K13" s="100">
        <v>212.13</v>
      </c>
      <c r="L13" s="100">
        <v>15.81</v>
      </c>
      <c r="M13" s="100">
        <v>80.44</v>
      </c>
      <c r="N13" s="100">
        <v>1.2</v>
      </c>
      <c r="O13" s="100">
        <v>0</v>
      </c>
      <c r="P13" s="100">
        <v>0.82</v>
      </c>
      <c r="Q13" s="100">
        <v>13</v>
      </c>
      <c r="R13" s="6"/>
      <c r="S13" s="6"/>
      <c r="T13" s="156"/>
      <c r="U13" s="6"/>
    </row>
    <row r="14" spans="1:21" customFormat="1">
      <c r="A14" s="163" t="s">
        <v>244</v>
      </c>
      <c r="B14" s="100">
        <v>15.36</v>
      </c>
      <c r="C14" s="100">
        <v>21.79</v>
      </c>
      <c r="D14" s="100">
        <v>25.05</v>
      </c>
      <c r="E14" s="100">
        <v>9.1300000000000008</v>
      </c>
      <c r="F14" s="151" t="s">
        <v>8</v>
      </c>
      <c r="G14" s="100">
        <v>76.36</v>
      </c>
      <c r="H14" s="100">
        <v>22.86</v>
      </c>
      <c r="I14" s="100">
        <v>10.67</v>
      </c>
      <c r="J14" s="100">
        <v>0.14000000000000001</v>
      </c>
      <c r="K14" s="100">
        <v>210.98</v>
      </c>
      <c r="L14" s="100">
        <v>15.46</v>
      </c>
      <c r="M14" s="100">
        <v>84.25</v>
      </c>
      <c r="N14" s="100">
        <v>1.4</v>
      </c>
      <c r="O14" s="100">
        <v>0</v>
      </c>
      <c r="P14" s="100">
        <v>0.82</v>
      </c>
      <c r="Q14" s="100">
        <v>12.99</v>
      </c>
      <c r="R14" s="6"/>
      <c r="S14" s="6"/>
      <c r="T14" s="156"/>
      <c r="U14" s="6"/>
    </row>
    <row r="15" spans="1:21" customFormat="1">
      <c r="A15" s="163" t="s">
        <v>245</v>
      </c>
      <c r="B15" s="100">
        <v>14.63</v>
      </c>
      <c r="C15" s="100">
        <v>21.52</v>
      </c>
      <c r="D15" s="100">
        <v>24.32</v>
      </c>
      <c r="E15" s="100">
        <v>9.48</v>
      </c>
      <c r="F15" s="151" t="s">
        <v>8</v>
      </c>
      <c r="G15" s="100">
        <v>76.36</v>
      </c>
      <c r="H15" s="100">
        <v>22.86</v>
      </c>
      <c r="I15" s="100">
        <v>10.62</v>
      </c>
      <c r="J15" s="100">
        <v>0.13</v>
      </c>
      <c r="K15" s="100">
        <v>173.36</v>
      </c>
      <c r="L15" s="100">
        <v>15.21</v>
      </c>
      <c r="M15" s="100">
        <v>83.34</v>
      </c>
      <c r="N15" s="100">
        <v>1.3</v>
      </c>
      <c r="O15" s="100">
        <v>0</v>
      </c>
      <c r="P15" s="100">
        <v>0.81</v>
      </c>
      <c r="Q15" s="100">
        <v>12.99</v>
      </c>
      <c r="R15" s="6"/>
      <c r="S15" s="6"/>
      <c r="T15" s="156"/>
      <c r="U15" s="6"/>
    </row>
    <row r="16" spans="1:21" customFormat="1">
      <c r="A16" s="163" t="s">
        <v>246</v>
      </c>
      <c r="B16" s="100">
        <v>14.03</v>
      </c>
      <c r="C16" s="100">
        <v>21.3</v>
      </c>
      <c r="D16" s="100">
        <v>23.73</v>
      </c>
      <c r="E16" s="100">
        <v>9.32</v>
      </c>
      <c r="F16" s="151" t="s">
        <v>8</v>
      </c>
      <c r="G16" s="100">
        <v>76.36</v>
      </c>
      <c r="H16" s="100">
        <v>22.86</v>
      </c>
      <c r="I16" s="100">
        <v>10.56</v>
      </c>
      <c r="J16" s="100">
        <v>0.17</v>
      </c>
      <c r="K16" s="100">
        <v>153.80000000000001</v>
      </c>
      <c r="L16" s="100">
        <v>15.36</v>
      </c>
      <c r="M16" s="100">
        <v>82.87</v>
      </c>
      <c r="N16" s="100">
        <v>1.2</v>
      </c>
      <c r="O16" s="100">
        <v>0</v>
      </c>
      <c r="P16" s="100">
        <v>0.81</v>
      </c>
      <c r="Q16" s="100">
        <v>13</v>
      </c>
      <c r="R16" s="6"/>
      <c r="S16" s="6"/>
      <c r="T16" s="156"/>
      <c r="U16" s="6"/>
    </row>
    <row r="17" spans="1:21" customFormat="1">
      <c r="A17" s="163" t="s">
        <v>247</v>
      </c>
      <c r="B17" s="100">
        <v>13.85</v>
      </c>
      <c r="C17" s="100">
        <v>21.26</v>
      </c>
      <c r="D17" s="100">
        <v>23.57</v>
      </c>
      <c r="E17" s="100">
        <v>6.57</v>
      </c>
      <c r="F17" s="151" t="s">
        <v>8</v>
      </c>
      <c r="G17" s="100">
        <v>75.19</v>
      </c>
      <c r="H17" s="100">
        <v>25.36</v>
      </c>
      <c r="I17" s="100">
        <v>10.55</v>
      </c>
      <c r="J17" s="100">
        <v>0.16</v>
      </c>
      <c r="K17" s="100">
        <v>192.45</v>
      </c>
      <c r="L17" s="100">
        <v>15.21</v>
      </c>
      <c r="M17" s="100">
        <v>83.03</v>
      </c>
      <c r="N17" s="100">
        <v>1.1000000000000001</v>
      </c>
      <c r="O17" s="100">
        <v>0</v>
      </c>
      <c r="P17" s="100">
        <v>0.81</v>
      </c>
      <c r="Q17" s="100">
        <v>12.99</v>
      </c>
      <c r="R17" s="6"/>
      <c r="S17" s="6"/>
      <c r="T17" s="156"/>
      <c r="U17" s="6"/>
    </row>
    <row r="18" spans="1:21" customFormat="1">
      <c r="A18" s="163" t="s">
        <v>248</v>
      </c>
      <c r="B18" s="100">
        <v>13.74</v>
      </c>
      <c r="C18" s="100">
        <v>21.08</v>
      </c>
      <c r="D18" s="100">
        <v>23.39</v>
      </c>
      <c r="E18" s="100">
        <v>7.86</v>
      </c>
      <c r="F18" s="151" t="s">
        <v>8</v>
      </c>
      <c r="G18" s="100">
        <v>74.34</v>
      </c>
      <c r="H18" s="100">
        <v>26.16</v>
      </c>
      <c r="I18" s="100">
        <v>10.56</v>
      </c>
      <c r="J18" s="100">
        <v>0.16</v>
      </c>
      <c r="K18" s="100">
        <v>188.26</v>
      </c>
      <c r="L18" s="100">
        <v>14.97</v>
      </c>
      <c r="M18" s="100">
        <v>87.67</v>
      </c>
      <c r="N18" s="100">
        <v>1.3</v>
      </c>
      <c r="O18" s="100">
        <v>0</v>
      </c>
      <c r="P18" s="100">
        <v>0.81</v>
      </c>
      <c r="Q18" s="100">
        <v>13</v>
      </c>
      <c r="R18" s="6"/>
      <c r="S18" s="6"/>
      <c r="T18" s="156"/>
      <c r="U18" s="6"/>
    </row>
    <row r="19" spans="1:21" customFormat="1">
      <c r="A19" s="163" t="s">
        <v>249</v>
      </c>
      <c r="B19" s="100">
        <v>13.34</v>
      </c>
      <c r="C19" s="100">
        <v>20.89</v>
      </c>
      <c r="D19" s="100">
        <v>22.96</v>
      </c>
      <c r="E19" s="100">
        <v>8.6</v>
      </c>
      <c r="F19" s="151" t="s">
        <v>8</v>
      </c>
      <c r="G19" s="100">
        <v>74.34</v>
      </c>
      <c r="H19" s="100">
        <v>26.16</v>
      </c>
      <c r="I19" s="100">
        <v>10.56</v>
      </c>
      <c r="J19" s="100">
        <v>0.14000000000000001</v>
      </c>
      <c r="K19" s="100">
        <v>173.83</v>
      </c>
      <c r="L19" s="100">
        <v>14.73</v>
      </c>
      <c r="M19" s="100">
        <v>87.45</v>
      </c>
      <c r="N19" s="100">
        <v>1.3</v>
      </c>
      <c r="O19" s="100">
        <v>0</v>
      </c>
      <c r="P19" s="100">
        <v>0.8</v>
      </c>
      <c r="Q19" s="100">
        <v>13</v>
      </c>
      <c r="R19" s="6"/>
      <c r="S19" s="6"/>
      <c r="T19" s="156"/>
      <c r="U19" s="6"/>
    </row>
    <row r="20" spans="1:21" customFormat="1">
      <c r="A20" s="163" t="s">
        <v>250</v>
      </c>
      <c r="B20" s="100">
        <v>13</v>
      </c>
      <c r="C20" s="100">
        <v>20.55</v>
      </c>
      <c r="D20" s="100">
        <v>22.52</v>
      </c>
      <c r="E20" s="100">
        <v>8.57</v>
      </c>
      <c r="F20" s="151" t="s">
        <v>8</v>
      </c>
      <c r="G20" s="100">
        <v>74.34</v>
      </c>
      <c r="H20" s="100">
        <v>26.16</v>
      </c>
      <c r="I20" s="100">
        <v>10.58</v>
      </c>
      <c r="J20" s="100">
        <v>0.13</v>
      </c>
      <c r="K20" s="100">
        <v>165.25</v>
      </c>
      <c r="L20" s="100">
        <v>14.88</v>
      </c>
      <c r="M20" s="100">
        <v>84.01</v>
      </c>
      <c r="N20" s="100">
        <v>1</v>
      </c>
      <c r="O20" s="100">
        <v>0</v>
      </c>
      <c r="P20" s="100">
        <v>0.8</v>
      </c>
      <c r="Q20" s="100">
        <v>13</v>
      </c>
      <c r="R20" s="6"/>
      <c r="S20" s="6"/>
      <c r="T20" s="156"/>
      <c r="U20" s="6"/>
    </row>
    <row r="21" spans="1:21" customFormat="1">
      <c r="A21" s="163" t="s">
        <v>251</v>
      </c>
      <c r="B21" s="100">
        <v>12.96</v>
      </c>
      <c r="C21" s="100">
        <v>20.5</v>
      </c>
      <c r="D21" s="100">
        <v>22.46</v>
      </c>
      <c r="E21" s="100">
        <v>8.2200000000000006</v>
      </c>
      <c r="F21" s="151" t="s">
        <v>8</v>
      </c>
      <c r="G21" s="100">
        <v>74.930000000000007</v>
      </c>
      <c r="H21" s="100">
        <v>26.31</v>
      </c>
      <c r="I21" s="100">
        <v>10.57</v>
      </c>
      <c r="J21" s="100">
        <v>0.13</v>
      </c>
      <c r="K21" s="100">
        <v>184.67</v>
      </c>
      <c r="L21" s="100">
        <v>14.69</v>
      </c>
      <c r="M21" s="100">
        <v>84.16</v>
      </c>
      <c r="N21" s="100">
        <v>1.3</v>
      </c>
      <c r="O21" s="100">
        <v>0</v>
      </c>
      <c r="P21" s="100">
        <v>0.81</v>
      </c>
      <c r="Q21" s="100">
        <v>13</v>
      </c>
      <c r="R21" s="6"/>
      <c r="S21" s="6"/>
      <c r="T21" s="156"/>
      <c r="U21" s="6"/>
    </row>
    <row r="22" spans="1:21" customFormat="1">
      <c r="A22" s="163" t="s">
        <v>252</v>
      </c>
      <c r="B22" s="100">
        <v>12.8</v>
      </c>
      <c r="C22" s="100">
        <v>20.41</v>
      </c>
      <c r="D22" s="100">
        <v>22.28</v>
      </c>
      <c r="E22" s="100">
        <v>7.98</v>
      </c>
      <c r="F22" s="151" t="s">
        <v>8</v>
      </c>
      <c r="G22" s="100">
        <v>75.36</v>
      </c>
      <c r="H22" s="100">
        <v>26.36</v>
      </c>
      <c r="I22" s="100">
        <v>10.56</v>
      </c>
      <c r="J22" s="100">
        <v>0.13</v>
      </c>
      <c r="K22" s="100">
        <v>168.31</v>
      </c>
      <c r="L22" s="100">
        <v>14.74</v>
      </c>
      <c r="M22" s="100">
        <v>85.81</v>
      </c>
      <c r="N22" s="100">
        <v>1.1000000000000001</v>
      </c>
      <c r="O22" s="100">
        <v>0</v>
      </c>
      <c r="P22" s="100">
        <v>0.79</v>
      </c>
      <c r="Q22" s="100">
        <v>13</v>
      </c>
      <c r="R22" s="6"/>
      <c r="S22" s="6"/>
      <c r="T22" s="156"/>
      <c r="U22" s="6"/>
    </row>
    <row r="23" spans="1:21" customFormat="1">
      <c r="A23" s="163" t="s">
        <v>253</v>
      </c>
      <c r="B23" s="100">
        <v>12.42</v>
      </c>
      <c r="C23" s="100">
        <v>20.21</v>
      </c>
      <c r="D23" s="100">
        <v>21.87</v>
      </c>
      <c r="E23" s="100">
        <v>7.76</v>
      </c>
      <c r="F23" s="151" t="s">
        <v>8</v>
      </c>
      <c r="G23" s="100">
        <v>75.36</v>
      </c>
      <c r="H23" s="100">
        <v>26.36</v>
      </c>
      <c r="I23" s="100">
        <v>10.55</v>
      </c>
      <c r="J23" s="100">
        <v>0.14000000000000001</v>
      </c>
      <c r="K23" s="100">
        <v>184.21</v>
      </c>
      <c r="L23" s="100">
        <v>14.71</v>
      </c>
      <c r="M23" s="100">
        <v>87.36</v>
      </c>
      <c r="N23" s="100">
        <v>1.2</v>
      </c>
      <c r="O23" s="100">
        <v>0</v>
      </c>
      <c r="P23" s="100">
        <v>0.79</v>
      </c>
      <c r="Q23" s="100">
        <v>12.98</v>
      </c>
      <c r="R23" s="6"/>
      <c r="S23" s="6"/>
      <c r="T23" s="156"/>
      <c r="U23" s="6"/>
    </row>
    <row r="24" spans="1:21" customFormat="1">
      <c r="A24" s="163" t="s">
        <v>254</v>
      </c>
      <c r="B24" s="100">
        <v>12.05</v>
      </c>
      <c r="C24" s="100">
        <v>19.920000000000002</v>
      </c>
      <c r="D24" s="100">
        <v>21.42</v>
      </c>
      <c r="E24" s="100">
        <v>7.76</v>
      </c>
      <c r="F24" s="151" t="s">
        <v>8</v>
      </c>
      <c r="G24" s="100">
        <v>75.36</v>
      </c>
      <c r="H24" s="100">
        <v>26.36</v>
      </c>
      <c r="I24" s="100">
        <v>10.51</v>
      </c>
      <c r="J24" s="100">
        <v>0.12</v>
      </c>
      <c r="K24" s="100">
        <v>169.34</v>
      </c>
      <c r="L24" s="100">
        <v>14.37</v>
      </c>
      <c r="M24" s="100">
        <v>88.88</v>
      </c>
      <c r="N24" s="100">
        <v>1.3</v>
      </c>
      <c r="O24" s="100">
        <v>0</v>
      </c>
      <c r="P24" s="100">
        <v>0.78</v>
      </c>
      <c r="Q24" s="100">
        <v>12.99</v>
      </c>
      <c r="R24" s="6"/>
      <c r="S24" s="6"/>
      <c r="T24" s="156"/>
      <c r="U24" s="6"/>
    </row>
    <row r="25" spans="1:21" customFormat="1">
      <c r="A25" s="163" t="s">
        <v>255</v>
      </c>
      <c r="B25" s="100">
        <v>11.71</v>
      </c>
      <c r="C25" s="100">
        <v>19.86</v>
      </c>
      <c r="D25" s="100">
        <v>21.12</v>
      </c>
      <c r="E25" s="100">
        <v>7.76</v>
      </c>
      <c r="F25" s="151" t="s">
        <v>8</v>
      </c>
      <c r="G25" s="100">
        <v>73.8</v>
      </c>
      <c r="H25" s="100">
        <v>26.7</v>
      </c>
      <c r="I25" s="100">
        <v>10.49</v>
      </c>
      <c r="J25" s="100">
        <v>0.14000000000000001</v>
      </c>
      <c r="K25" s="100">
        <v>191.27</v>
      </c>
      <c r="L25" s="100">
        <v>14.36</v>
      </c>
      <c r="M25" s="100">
        <v>84.63</v>
      </c>
      <c r="N25" s="100">
        <v>1</v>
      </c>
      <c r="O25" s="100">
        <v>0</v>
      </c>
      <c r="P25" s="100">
        <v>0.77</v>
      </c>
      <c r="Q25" s="100">
        <v>12.97</v>
      </c>
      <c r="R25" s="6"/>
      <c r="S25" s="6"/>
      <c r="T25" s="156"/>
      <c r="U25" s="6"/>
    </row>
    <row r="26" spans="1:21" customFormat="1">
      <c r="A26" s="163" t="s">
        <v>256</v>
      </c>
      <c r="B26" s="100">
        <v>11.43</v>
      </c>
      <c r="C26" s="100">
        <v>19.79</v>
      </c>
      <c r="D26" s="100">
        <v>20.86</v>
      </c>
      <c r="E26" s="100">
        <v>7.5</v>
      </c>
      <c r="F26" s="151" t="s">
        <v>8</v>
      </c>
      <c r="G26" s="100">
        <v>72.650000000000006</v>
      </c>
      <c r="H26" s="100">
        <v>26.81</v>
      </c>
      <c r="I26" s="100">
        <v>10.49</v>
      </c>
      <c r="J26" s="100">
        <v>0.08</v>
      </c>
      <c r="K26" s="100">
        <v>193.71</v>
      </c>
      <c r="L26" s="100">
        <v>14.17</v>
      </c>
      <c r="M26" s="100">
        <v>84.37</v>
      </c>
      <c r="N26" s="100">
        <v>1.3</v>
      </c>
      <c r="O26" s="100">
        <v>0</v>
      </c>
      <c r="P26" s="100">
        <v>0.77</v>
      </c>
      <c r="Q26" s="100">
        <v>13</v>
      </c>
      <c r="R26" s="6"/>
      <c r="S26" s="6"/>
      <c r="T26" s="156"/>
      <c r="U26" s="6"/>
    </row>
    <row r="27" spans="1:21" customFormat="1">
      <c r="A27" s="163" t="s">
        <v>257</v>
      </c>
      <c r="B27" s="100">
        <v>11.36</v>
      </c>
      <c r="C27" s="100">
        <v>20.11</v>
      </c>
      <c r="D27" s="100">
        <v>20.97</v>
      </c>
      <c r="E27" s="100">
        <v>7.84</v>
      </c>
      <c r="F27" s="151" t="s">
        <v>8</v>
      </c>
      <c r="G27" s="100">
        <v>72.650000000000006</v>
      </c>
      <c r="H27" s="100">
        <v>26.81</v>
      </c>
      <c r="I27" s="100">
        <v>10.43</v>
      </c>
      <c r="J27" s="100">
        <v>0.17</v>
      </c>
      <c r="K27" s="100">
        <v>160.28</v>
      </c>
      <c r="L27" s="100">
        <v>14.23</v>
      </c>
      <c r="M27" s="100">
        <v>83.36</v>
      </c>
      <c r="N27" s="100">
        <v>1</v>
      </c>
      <c r="O27" s="100">
        <v>0</v>
      </c>
      <c r="P27" s="100">
        <v>0.76</v>
      </c>
      <c r="Q27" s="100">
        <v>12.99</v>
      </c>
      <c r="R27" s="6"/>
      <c r="S27" s="6"/>
      <c r="T27" s="156"/>
      <c r="U27" s="6"/>
    </row>
    <row r="28" spans="1:21" customFormat="1">
      <c r="A28" s="163" t="s">
        <v>258</v>
      </c>
      <c r="B28" s="100">
        <v>11.39</v>
      </c>
      <c r="C28" s="100">
        <v>20.38</v>
      </c>
      <c r="D28" s="100">
        <v>21.13</v>
      </c>
      <c r="E28" s="100">
        <v>7.79</v>
      </c>
      <c r="F28" s="151" t="s">
        <v>8</v>
      </c>
      <c r="G28" s="100">
        <v>72.650000000000006</v>
      </c>
      <c r="H28" s="100">
        <v>26.81</v>
      </c>
      <c r="I28" s="100">
        <v>10.38</v>
      </c>
      <c r="J28" s="100">
        <v>0.11</v>
      </c>
      <c r="K28" s="100">
        <v>173.44</v>
      </c>
      <c r="L28" s="100">
        <v>14.23</v>
      </c>
      <c r="M28" s="100">
        <v>83.47</v>
      </c>
      <c r="N28" s="100">
        <v>1</v>
      </c>
      <c r="O28" s="100">
        <v>0</v>
      </c>
      <c r="P28" s="100">
        <v>0.76</v>
      </c>
      <c r="Q28" s="100">
        <v>13</v>
      </c>
      <c r="R28" s="6"/>
      <c r="S28" s="6"/>
      <c r="T28" s="156"/>
      <c r="U28" s="6"/>
    </row>
    <row r="29" spans="1:21" customFormat="1">
      <c r="A29" s="163" t="s">
        <v>259</v>
      </c>
      <c r="B29" s="100">
        <v>11.22</v>
      </c>
      <c r="C29" s="100">
        <v>20.350000000000001</v>
      </c>
      <c r="D29" s="100">
        <v>20.99</v>
      </c>
      <c r="E29" s="100">
        <v>8.0500000000000007</v>
      </c>
      <c r="F29" s="151" t="s">
        <v>8</v>
      </c>
      <c r="G29" s="100">
        <v>65.2</v>
      </c>
      <c r="H29" s="100">
        <v>23.2</v>
      </c>
      <c r="I29" s="100">
        <v>10.32</v>
      </c>
      <c r="J29" s="100">
        <v>0.06</v>
      </c>
      <c r="K29" s="100">
        <v>152.51</v>
      </c>
      <c r="L29" s="100">
        <v>13.97</v>
      </c>
      <c r="M29" s="100">
        <v>83.97</v>
      </c>
      <c r="N29" s="100">
        <v>1.2</v>
      </c>
      <c r="O29" s="100">
        <v>0</v>
      </c>
      <c r="P29" s="100">
        <v>0.74</v>
      </c>
      <c r="Q29" s="100">
        <v>12.98</v>
      </c>
      <c r="R29" s="6"/>
      <c r="S29" s="6"/>
      <c r="T29" s="156"/>
      <c r="U29" s="6"/>
    </row>
    <row r="30" spans="1:21" customFormat="1">
      <c r="A30" s="163" t="s">
        <v>260</v>
      </c>
      <c r="B30" s="100">
        <v>10.9</v>
      </c>
      <c r="C30" s="100">
        <v>20.059999999999999</v>
      </c>
      <c r="D30" s="100">
        <v>20.58</v>
      </c>
      <c r="E30" s="100">
        <v>7.95</v>
      </c>
      <c r="F30" s="151" t="s">
        <v>8</v>
      </c>
      <c r="G30" s="100">
        <v>59.76</v>
      </c>
      <c r="H30" s="100">
        <v>22.04</v>
      </c>
      <c r="I30" s="100">
        <v>10.23</v>
      </c>
      <c r="J30" s="100">
        <v>0.15</v>
      </c>
      <c r="K30" s="100">
        <v>211.99</v>
      </c>
      <c r="L30" s="100">
        <v>13.71</v>
      </c>
      <c r="M30" s="100">
        <v>86.63</v>
      </c>
      <c r="N30" s="100">
        <v>1.2</v>
      </c>
      <c r="O30" s="100">
        <v>0</v>
      </c>
      <c r="P30" s="100">
        <v>0.76</v>
      </c>
      <c r="Q30" s="100">
        <v>12.97</v>
      </c>
      <c r="R30" s="6"/>
      <c r="S30" s="6"/>
      <c r="T30" s="156"/>
      <c r="U30" s="6"/>
    </row>
    <row r="31" spans="1:21" customFormat="1">
      <c r="A31" s="163" t="s">
        <v>261</v>
      </c>
      <c r="B31" s="100">
        <v>10.66</v>
      </c>
      <c r="C31" s="100">
        <v>20.13</v>
      </c>
      <c r="D31" s="100">
        <v>20.420000000000002</v>
      </c>
      <c r="E31" s="100">
        <v>7.35</v>
      </c>
      <c r="F31" s="151" t="s">
        <v>8</v>
      </c>
      <c r="G31" s="100">
        <v>59.76</v>
      </c>
      <c r="H31" s="100">
        <v>22.04</v>
      </c>
      <c r="I31" s="100">
        <v>10.15</v>
      </c>
      <c r="J31" s="100">
        <v>0.13</v>
      </c>
      <c r="K31" s="100">
        <v>214.45</v>
      </c>
      <c r="L31" s="100">
        <v>13.33</v>
      </c>
      <c r="M31" s="100">
        <v>89.8</v>
      </c>
      <c r="N31" s="100">
        <v>1.2</v>
      </c>
      <c r="O31" s="100">
        <v>0</v>
      </c>
      <c r="P31" s="100">
        <v>0.76</v>
      </c>
      <c r="Q31" s="100">
        <v>12.97</v>
      </c>
      <c r="R31" s="6"/>
      <c r="S31" s="6"/>
      <c r="T31" s="156"/>
      <c r="U31" s="6"/>
    </row>
    <row r="32" spans="1:21" customFormat="1">
      <c r="A32" s="163" t="s">
        <v>262</v>
      </c>
      <c r="B32" s="100">
        <v>10.4</v>
      </c>
      <c r="C32" s="100">
        <v>20.28</v>
      </c>
      <c r="D32" s="100">
        <v>20.29</v>
      </c>
      <c r="E32" s="100">
        <v>7.91</v>
      </c>
      <c r="F32" s="151" t="s">
        <v>8</v>
      </c>
      <c r="G32" s="100">
        <v>59.76</v>
      </c>
      <c r="H32" s="100">
        <v>22.04</v>
      </c>
      <c r="I32" s="100">
        <v>10.07</v>
      </c>
      <c r="J32" s="100">
        <v>0.12</v>
      </c>
      <c r="K32" s="100">
        <v>182.72</v>
      </c>
      <c r="L32" s="100">
        <v>13.15</v>
      </c>
      <c r="M32" s="100">
        <v>91.91</v>
      </c>
      <c r="N32" s="100">
        <v>1.2</v>
      </c>
      <c r="O32" s="100">
        <v>0</v>
      </c>
      <c r="P32" s="100">
        <v>0.75</v>
      </c>
      <c r="Q32" s="100">
        <v>12.97</v>
      </c>
      <c r="R32" s="6"/>
      <c r="S32" s="6"/>
      <c r="T32" s="156"/>
      <c r="U32" s="6"/>
    </row>
    <row r="33" spans="1:21" customFormat="1">
      <c r="A33" s="163" t="s">
        <v>263</v>
      </c>
      <c r="B33" s="100">
        <v>10.31</v>
      </c>
      <c r="C33" s="100">
        <v>20.440000000000001</v>
      </c>
      <c r="D33" s="100">
        <v>20.3</v>
      </c>
      <c r="E33" s="100">
        <v>7.51</v>
      </c>
      <c r="F33" s="151" t="s">
        <v>8</v>
      </c>
      <c r="G33" s="100">
        <v>59.3</v>
      </c>
      <c r="H33" s="100">
        <v>21.85</v>
      </c>
      <c r="I33" s="100">
        <v>9.9600000000000009</v>
      </c>
      <c r="J33" s="100">
        <v>0.12</v>
      </c>
      <c r="K33" s="100">
        <v>106.93</v>
      </c>
      <c r="L33" s="100">
        <v>13.21</v>
      </c>
      <c r="M33" s="100">
        <v>88.97</v>
      </c>
      <c r="N33" s="100">
        <v>1.2</v>
      </c>
      <c r="O33" s="100">
        <v>0</v>
      </c>
      <c r="P33" s="100">
        <v>0.75</v>
      </c>
      <c r="Q33" s="100">
        <v>12.97</v>
      </c>
      <c r="R33" s="6"/>
      <c r="S33" s="6"/>
      <c r="T33" s="156"/>
      <c r="U33" s="6"/>
    </row>
    <row r="34" spans="1:21" customFormat="1">
      <c r="A34" s="163" t="s">
        <v>264</v>
      </c>
      <c r="B34" s="100">
        <v>10.69</v>
      </c>
      <c r="C34" s="100">
        <v>20.63</v>
      </c>
      <c r="D34" s="100">
        <v>20.7</v>
      </c>
      <c r="E34" s="100">
        <v>7.36</v>
      </c>
      <c r="F34" s="151" t="s">
        <v>8</v>
      </c>
      <c r="G34" s="100">
        <v>58.96</v>
      </c>
      <c r="H34" s="100">
        <v>21.79</v>
      </c>
      <c r="I34" s="100">
        <v>9.84</v>
      </c>
      <c r="J34" s="100">
        <v>0.12</v>
      </c>
      <c r="K34" s="100">
        <v>191.93</v>
      </c>
      <c r="L34" s="100">
        <v>13.23</v>
      </c>
      <c r="M34" s="100">
        <v>88.92</v>
      </c>
      <c r="N34" s="100">
        <v>2.6</v>
      </c>
      <c r="O34" s="100">
        <v>0</v>
      </c>
      <c r="P34" s="100">
        <v>0.74</v>
      </c>
      <c r="Q34" s="100">
        <v>12.96</v>
      </c>
      <c r="R34" s="6"/>
      <c r="S34" s="6"/>
      <c r="T34" s="156"/>
      <c r="U34" s="6"/>
    </row>
    <row r="35" spans="1:21" customFormat="1">
      <c r="A35" s="163" t="s">
        <v>265</v>
      </c>
      <c r="B35" s="100">
        <v>10.9</v>
      </c>
      <c r="C35" s="100">
        <v>20.69</v>
      </c>
      <c r="D35" s="100">
        <v>20.91</v>
      </c>
      <c r="E35" s="100">
        <v>7.61</v>
      </c>
      <c r="F35" s="151" t="s">
        <v>8</v>
      </c>
      <c r="G35" s="100">
        <v>58.96</v>
      </c>
      <c r="H35" s="100">
        <v>21.79</v>
      </c>
      <c r="I35" s="100">
        <v>9.75</v>
      </c>
      <c r="J35" s="100">
        <v>0.08</v>
      </c>
      <c r="K35" s="100">
        <v>189.16</v>
      </c>
      <c r="L35" s="100">
        <v>13.11</v>
      </c>
      <c r="M35" s="100">
        <v>90.7</v>
      </c>
      <c r="N35" s="100">
        <v>6.5</v>
      </c>
      <c r="O35" s="100">
        <v>0</v>
      </c>
      <c r="P35" s="100">
        <v>0.74</v>
      </c>
      <c r="Q35" s="100">
        <v>12.97</v>
      </c>
      <c r="R35" s="6"/>
      <c r="S35" s="6"/>
      <c r="T35" s="156"/>
      <c r="U35" s="6"/>
    </row>
    <row r="36" spans="1:21" customFormat="1">
      <c r="A36" s="163" t="s">
        <v>266</v>
      </c>
      <c r="B36" s="100">
        <v>11.38</v>
      </c>
      <c r="C36" s="100">
        <v>20.82</v>
      </c>
      <c r="D36" s="100">
        <v>21.36</v>
      </c>
      <c r="E36" s="100">
        <v>7.51</v>
      </c>
      <c r="F36" s="151" t="s">
        <v>8</v>
      </c>
      <c r="G36" s="100">
        <v>58.96</v>
      </c>
      <c r="H36" s="100">
        <v>21.79</v>
      </c>
      <c r="I36" s="100">
        <v>9.69</v>
      </c>
      <c r="J36" s="100">
        <v>0.2</v>
      </c>
      <c r="K36" s="100">
        <v>67.77</v>
      </c>
      <c r="L36" s="100">
        <v>13.3</v>
      </c>
      <c r="M36" s="100">
        <v>88.09</v>
      </c>
      <c r="N36" s="100">
        <v>13.6</v>
      </c>
      <c r="O36" s="100">
        <v>0</v>
      </c>
      <c r="P36" s="100">
        <v>0.74</v>
      </c>
      <c r="Q36" s="100">
        <v>13</v>
      </c>
      <c r="R36" s="6"/>
      <c r="S36" s="6"/>
      <c r="T36" s="156"/>
      <c r="U36" s="6"/>
    </row>
    <row r="37" spans="1:21" customFormat="1">
      <c r="A37" s="163" t="s">
        <v>267</v>
      </c>
      <c r="B37" s="100">
        <v>12.45</v>
      </c>
      <c r="C37" s="100">
        <v>20.97</v>
      </c>
      <c r="D37" s="100">
        <v>22.29</v>
      </c>
      <c r="E37" s="100">
        <v>7.3</v>
      </c>
      <c r="F37" s="151" t="s">
        <v>8</v>
      </c>
      <c r="G37" s="100">
        <v>57.44</v>
      </c>
      <c r="H37" s="100">
        <v>22.23</v>
      </c>
      <c r="I37" s="100">
        <v>9.68</v>
      </c>
      <c r="J37" s="100">
        <v>0.26</v>
      </c>
      <c r="K37" s="100">
        <v>65.53</v>
      </c>
      <c r="L37" s="100">
        <v>13.91</v>
      </c>
      <c r="M37" s="100">
        <v>82.83</v>
      </c>
      <c r="N37" s="100">
        <v>22.2</v>
      </c>
      <c r="O37" s="100">
        <v>0</v>
      </c>
      <c r="P37" s="100">
        <v>0.74</v>
      </c>
      <c r="Q37" s="100">
        <v>12.99</v>
      </c>
      <c r="R37" s="6"/>
      <c r="S37" s="6"/>
      <c r="T37" s="156"/>
      <c r="U37" s="6"/>
    </row>
    <row r="38" spans="1:21" customFormat="1">
      <c r="A38" s="163" t="s">
        <v>268</v>
      </c>
      <c r="B38" s="100">
        <v>13.09</v>
      </c>
      <c r="C38" s="100">
        <v>21.28</v>
      </c>
      <c r="D38" s="100">
        <v>22.97</v>
      </c>
      <c r="E38" s="100">
        <v>7.67</v>
      </c>
      <c r="F38" s="151" t="s">
        <v>8</v>
      </c>
      <c r="G38" s="100">
        <v>56.32</v>
      </c>
      <c r="H38" s="100">
        <v>22.48</v>
      </c>
      <c r="I38" s="100">
        <v>9.7100000000000009</v>
      </c>
      <c r="J38" s="100">
        <v>0.24</v>
      </c>
      <c r="K38" s="100">
        <v>82.37</v>
      </c>
      <c r="L38" s="100">
        <v>14.54</v>
      </c>
      <c r="M38" s="100">
        <v>80.38</v>
      </c>
      <c r="N38" s="100">
        <v>33.6</v>
      </c>
      <c r="O38" s="100">
        <v>0</v>
      </c>
      <c r="P38" s="100">
        <v>0.75</v>
      </c>
      <c r="Q38" s="100">
        <v>12.98</v>
      </c>
      <c r="R38" s="6"/>
      <c r="S38" s="6"/>
      <c r="T38" s="156"/>
      <c r="U38" s="6"/>
    </row>
    <row r="39" spans="1:21" customFormat="1">
      <c r="A39" s="163" t="s">
        <v>269</v>
      </c>
      <c r="B39" s="100">
        <v>13.28</v>
      </c>
      <c r="C39" s="100">
        <v>21.39</v>
      </c>
      <c r="D39" s="100">
        <v>23.17</v>
      </c>
      <c r="E39" s="100">
        <v>7.4</v>
      </c>
      <c r="F39" s="151" t="s">
        <v>8</v>
      </c>
      <c r="G39" s="100">
        <v>56.32</v>
      </c>
      <c r="H39" s="100">
        <v>22.48</v>
      </c>
      <c r="I39" s="100">
        <v>9.75</v>
      </c>
      <c r="J39" s="100">
        <v>0.55000000000000004</v>
      </c>
      <c r="K39" s="100">
        <v>68.209999999999994</v>
      </c>
      <c r="L39" s="100">
        <v>14.85</v>
      </c>
      <c r="M39" s="100">
        <v>79.48</v>
      </c>
      <c r="N39" s="100">
        <v>44</v>
      </c>
      <c r="O39" s="100">
        <v>0</v>
      </c>
      <c r="P39" s="100">
        <v>0.76</v>
      </c>
      <c r="Q39" s="100">
        <v>13</v>
      </c>
      <c r="R39" s="6"/>
      <c r="S39" s="6"/>
      <c r="T39" s="156"/>
      <c r="U39" s="6"/>
    </row>
    <row r="40" spans="1:21" customFormat="1">
      <c r="A40" s="163" t="s">
        <v>270</v>
      </c>
      <c r="B40" s="100">
        <v>13.11</v>
      </c>
      <c r="C40" s="100">
        <v>21.41</v>
      </c>
      <c r="D40" s="100">
        <v>23.05</v>
      </c>
      <c r="E40" s="100">
        <v>6.88</v>
      </c>
      <c r="F40" s="151" t="s">
        <v>8</v>
      </c>
      <c r="G40" s="100">
        <v>56.32</v>
      </c>
      <c r="H40" s="100">
        <v>22.48</v>
      </c>
      <c r="I40" s="100">
        <v>9.89</v>
      </c>
      <c r="J40" s="100">
        <v>0.49</v>
      </c>
      <c r="K40" s="100">
        <v>67.36</v>
      </c>
      <c r="L40" s="100">
        <v>15.35</v>
      </c>
      <c r="M40" s="100">
        <v>78.239999999999995</v>
      </c>
      <c r="N40" s="100">
        <v>72.099999999999994</v>
      </c>
      <c r="O40" s="100">
        <v>0</v>
      </c>
      <c r="P40" s="100">
        <v>0.75</v>
      </c>
      <c r="Q40" s="100">
        <v>13</v>
      </c>
      <c r="R40" s="6"/>
      <c r="S40" s="6"/>
      <c r="T40" s="156"/>
      <c r="U40" s="6"/>
    </row>
    <row r="41" spans="1:21" customFormat="1">
      <c r="A41" s="163" t="s">
        <v>271</v>
      </c>
      <c r="B41" s="100">
        <v>12.67</v>
      </c>
      <c r="C41" s="100">
        <v>21.28</v>
      </c>
      <c r="D41" s="100">
        <v>22.63</v>
      </c>
      <c r="E41" s="100">
        <v>6.97</v>
      </c>
      <c r="F41" s="151" t="s">
        <v>8</v>
      </c>
      <c r="G41" s="100">
        <v>58.91</v>
      </c>
      <c r="H41" s="100">
        <v>20.48</v>
      </c>
      <c r="I41" s="100">
        <v>9.9700000000000006</v>
      </c>
      <c r="J41" s="100">
        <v>0.51</v>
      </c>
      <c r="K41" s="100">
        <v>65.72</v>
      </c>
      <c r="L41" s="100">
        <v>16.04</v>
      </c>
      <c r="M41" s="100">
        <v>74.23</v>
      </c>
      <c r="N41" s="100">
        <v>182.6</v>
      </c>
      <c r="O41" s="100">
        <v>0</v>
      </c>
      <c r="P41" s="100">
        <v>0.74</v>
      </c>
      <c r="Q41" s="100">
        <v>12.99</v>
      </c>
      <c r="R41" s="6"/>
      <c r="S41" s="6"/>
      <c r="T41" s="156"/>
      <c r="U41" s="6"/>
    </row>
    <row r="42" spans="1:21" customFormat="1">
      <c r="A42" s="163" t="s">
        <v>272</v>
      </c>
      <c r="B42" s="100">
        <v>12.2</v>
      </c>
      <c r="C42" s="100">
        <v>21.12</v>
      </c>
      <c r="D42" s="100">
        <v>22.17</v>
      </c>
      <c r="E42" s="100">
        <v>7.24</v>
      </c>
      <c r="F42" s="151" t="s">
        <v>8</v>
      </c>
      <c r="G42" s="100">
        <v>60.8</v>
      </c>
      <c r="H42" s="100">
        <v>19.88</v>
      </c>
      <c r="I42" s="100">
        <v>9.94</v>
      </c>
      <c r="J42" s="100">
        <v>0.93</v>
      </c>
      <c r="K42" s="100">
        <v>50.91</v>
      </c>
      <c r="L42" s="100">
        <v>16.66</v>
      </c>
      <c r="M42" s="100">
        <v>70.41</v>
      </c>
      <c r="N42" s="100">
        <v>205.8</v>
      </c>
      <c r="O42" s="100">
        <v>0</v>
      </c>
      <c r="P42" s="100">
        <v>0.74</v>
      </c>
      <c r="Q42" s="100">
        <v>12.97</v>
      </c>
      <c r="R42" s="6"/>
      <c r="S42" s="6"/>
      <c r="T42" s="156"/>
      <c r="U42" s="6"/>
    </row>
    <row r="43" spans="1:21" customFormat="1">
      <c r="A43" s="163" t="s">
        <v>273</v>
      </c>
      <c r="B43" s="100">
        <v>12.11</v>
      </c>
      <c r="C43" s="100">
        <v>21.37</v>
      </c>
      <c r="D43" s="100">
        <v>22.23</v>
      </c>
      <c r="E43" s="100">
        <v>7.5</v>
      </c>
      <c r="F43" s="151" t="s">
        <v>8</v>
      </c>
      <c r="G43" s="100">
        <v>60.8</v>
      </c>
      <c r="H43" s="100">
        <v>19.88</v>
      </c>
      <c r="I43" s="100">
        <v>9.9</v>
      </c>
      <c r="J43" s="100">
        <v>1.04</v>
      </c>
      <c r="K43" s="100">
        <v>53.59</v>
      </c>
      <c r="L43" s="100">
        <v>17.16</v>
      </c>
      <c r="M43" s="100">
        <v>67.52</v>
      </c>
      <c r="N43" s="100">
        <v>169.9</v>
      </c>
      <c r="O43" s="100">
        <v>0</v>
      </c>
      <c r="P43" s="100">
        <v>0.74</v>
      </c>
      <c r="Q43" s="100">
        <v>12.98</v>
      </c>
      <c r="R43" s="6"/>
      <c r="S43" s="6"/>
      <c r="T43" s="156"/>
      <c r="U43" s="6"/>
    </row>
    <row r="44" spans="1:21" customFormat="1">
      <c r="A44" s="163" t="s">
        <v>274</v>
      </c>
      <c r="B44" s="100">
        <v>11.94</v>
      </c>
      <c r="C44" s="100">
        <v>21.68</v>
      </c>
      <c r="D44" s="100">
        <v>22.25</v>
      </c>
      <c r="E44" s="100">
        <v>7.2</v>
      </c>
      <c r="F44" s="151" t="s">
        <v>8</v>
      </c>
      <c r="G44" s="100">
        <v>60.8</v>
      </c>
      <c r="H44" s="100">
        <v>19.88</v>
      </c>
      <c r="I44" s="100">
        <v>9.89</v>
      </c>
      <c r="J44" s="100">
        <v>1.03</v>
      </c>
      <c r="K44" s="100">
        <v>48.83</v>
      </c>
      <c r="L44" s="100">
        <v>17.989999999999998</v>
      </c>
      <c r="M44" s="100">
        <v>64.760000000000005</v>
      </c>
      <c r="N44" s="100">
        <v>242.6</v>
      </c>
      <c r="O44" s="100">
        <v>0</v>
      </c>
      <c r="P44" s="100">
        <v>0.74</v>
      </c>
      <c r="Q44" s="100">
        <v>12.98</v>
      </c>
      <c r="R44" s="6"/>
      <c r="S44" s="6"/>
      <c r="T44" s="156"/>
      <c r="U44" s="6"/>
    </row>
    <row r="45" spans="1:21" customFormat="1">
      <c r="A45" s="163" t="s">
        <v>275</v>
      </c>
      <c r="B45" s="100">
        <v>11.91</v>
      </c>
      <c r="C45" s="100">
        <v>21.91</v>
      </c>
      <c r="D45" s="100">
        <v>22.35</v>
      </c>
      <c r="E45" s="100">
        <v>7.53</v>
      </c>
      <c r="F45" s="151" t="s">
        <v>8</v>
      </c>
      <c r="G45" s="100">
        <v>62.42</v>
      </c>
      <c r="H45" s="100">
        <v>21.31</v>
      </c>
      <c r="I45" s="100">
        <v>9.86</v>
      </c>
      <c r="J45" s="100">
        <v>1.21</v>
      </c>
      <c r="K45" s="100">
        <v>52.34</v>
      </c>
      <c r="L45" s="100">
        <v>18.690000000000001</v>
      </c>
      <c r="M45" s="100">
        <v>61.92</v>
      </c>
      <c r="N45" s="100">
        <v>115.1</v>
      </c>
      <c r="O45" s="100">
        <v>0</v>
      </c>
      <c r="P45" s="100">
        <v>0.74</v>
      </c>
      <c r="Q45" s="100">
        <v>13</v>
      </c>
      <c r="R45" s="6"/>
      <c r="S45" s="6"/>
      <c r="T45" s="156"/>
      <c r="U45" s="6"/>
    </row>
    <row r="46" spans="1:21" customFormat="1">
      <c r="A46" s="163" t="s">
        <v>276</v>
      </c>
      <c r="B46" s="100">
        <v>11.95</v>
      </c>
      <c r="C46" s="100">
        <v>22.03</v>
      </c>
      <c r="D46" s="100">
        <v>22.45</v>
      </c>
      <c r="E46" s="100">
        <v>7.67</v>
      </c>
      <c r="F46" s="151" t="s">
        <v>8</v>
      </c>
      <c r="G46" s="100">
        <v>63.62</v>
      </c>
      <c r="H46" s="100">
        <v>21.74</v>
      </c>
      <c r="I46" s="100">
        <v>9.81</v>
      </c>
      <c r="J46" s="100">
        <v>0.71</v>
      </c>
      <c r="K46" s="100">
        <v>48.68</v>
      </c>
      <c r="L46" s="100">
        <v>19.64</v>
      </c>
      <c r="M46" s="100">
        <v>57.68</v>
      </c>
      <c r="N46" s="100">
        <v>109.3</v>
      </c>
      <c r="O46" s="100">
        <v>0</v>
      </c>
      <c r="P46" s="100">
        <v>0.74</v>
      </c>
      <c r="Q46" s="100">
        <v>12.99</v>
      </c>
      <c r="R46" s="6"/>
      <c r="S46" s="6"/>
      <c r="T46" s="156"/>
      <c r="U46" s="6"/>
    </row>
    <row r="47" spans="1:21" customFormat="1">
      <c r="A47" s="163" t="s">
        <v>277</v>
      </c>
      <c r="B47" s="100">
        <v>12.34</v>
      </c>
      <c r="C47" s="100">
        <v>22.24</v>
      </c>
      <c r="D47" s="100">
        <v>22.87</v>
      </c>
      <c r="E47" s="100">
        <v>7.52</v>
      </c>
      <c r="F47" s="151" t="s">
        <v>8</v>
      </c>
      <c r="G47" s="100">
        <v>63.62</v>
      </c>
      <c r="H47" s="100">
        <v>21.74</v>
      </c>
      <c r="I47" s="100">
        <v>9.75</v>
      </c>
      <c r="J47" s="100">
        <v>0.87</v>
      </c>
      <c r="K47" s="100">
        <v>35.869999999999997</v>
      </c>
      <c r="L47" s="100">
        <v>20.260000000000002</v>
      </c>
      <c r="M47" s="100">
        <v>54.54</v>
      </c>
      <c r="N47" s="100">
        <v>121.5</v>
      </c>
      <c r="O47" s="100">
        <v>0</v>
      </c>
      <c r="P47" s="100">
        <v>0.74</v>
      </c>
      <c r="Q47" s="100">
        <v>12.99</v>
      </c>
      <c r="R47" s="6"/>
      <c r="S47" s="6"/>
      <c r="T47" s="156"/>
      <c r="U47" s="6"/>
    </row>
    <row r="48" spans="1:21" customFormat="1">
      <c r="A48" s="163" t="s">
        <v>278</v>
      </c>
      <c r="B48" s="100">
        <v>13.43</v>
      </c>
      <c r="C48" s="100">
        <v>22.45</v>
      </c>
      <c r="D48" s="100">
        <v>23.85</v>
      </c>
      <c r="E48" s="100">
        <v>7.53</v>
      </c>
      <c r="F48" s="151" t="s">
        <v>8</v>
      </c>
      <c r="G48" s="100">
        <v>63.62</v>
      </c>
      <c r="H48" s="100">
        <v>21.74</v>
      </c>
      <c r="I48" s="100">
        <v>9.7100000000000009</v>
      </c>
      <c r="J48" s="100">
        <v>0.96</v>
      </c>
      <c r="K48" s="100">
        <v>45.46</v>
      </c>
      <c r="L48" s="100">
        <v>20.78</v>
      </c>
      <c r="M48" s="100">
        <v>52.75</v>
      </c>
      <c r="N48" s="100">
        <v>268</v>
      </c>
      <c r="O48" s="100">
        <v>0</v>
      </c>
      <c r="P48" s="100">
        <v>0.74</v>
      </c>
      <c r="Q48" s="100">
        <v>13</v>
      </c>
      <c r="R48" s="6"/>
      <c r="S48" s="6"/>
      <c r="T48" s="156"/>
      <c r="U48" s="6"/>
    </row>
    <row r="49" spans="1:21" customFormat="1">
      <c r="A49" s="163" t="s">
        <v>279</v>
      </c>
      <c r="B49" s="100">
        <v>14.05</v>
      </c>
      <c r="C49" s="100">
        <v>22.43</v>
      </c>
      <c r="D49" s="100">
        <v>24.33</v>
      </c>
      <c r="E49" s="100">
        <v>10.01</v>
      </c>
      <c r="F49" s="151" t="s">
        <v>8</v>
      </c>
      <c r="G49" s="100">
        <v>64.819999999999993</v>
      </c>
      <c r="H49" s="100">
        <v>20.309999999999999</v>
      </c>
      <c r="I49" s="100">
        <v>9.68</v>
      </c>
      <c r="J49" s="100">
        <v>0.98</v>
      </c>
      <c r="K49" s="100">
        <v>45.93</v>
      </c>
      <c r="L49" s="100">
        <v>21.25</v>
      </c>
      <c r="M49" s="100">
        <v>50.64</v>
      </c>
      <c r="N49" s="100">
        <v>428.8</v>
      </c>
      <c r="O49" s="100">
        <v>0</v>
      </c>
      <c r="P49" s="100">
        <v>0.72</v>
      </c>
      <c r="Q49" s="100">
        <v>13</v>
      </c>
      <c r="R49" s="6"/>
      <c r="S49" s="6"/>
      <c r="T49" s="156"/>
      <c r="U49" s="6"/>
    </row>
    <row r="50" spans="1:21" customFormat="1">
      <c r="A50" s="163" t="s">
        <v>280</v>
      </c>
      <c r="B50" s="100">
        <v>14.22</v>
      </c>
      <c r="C50" s="100">
        <v>23</v>
      </c>
      <c r="D50" s="100">
        <v>24.77</v>
      </c>
      <c r="E50" s="100">
        <v>11.14</v>
      </c>
      <c r="F50" s="151" t="s">
        <v>8</v>
      </c>
      <c r="G50" s="100">
        <v>65.7</v>
      </c>
      <c r="H50" s="100">
        <v>19.89</v>
      </c>
      <c r="I50" s="100">
        <v>9.56</v>
      </c>
      <c r="J50" s="100">
        <v>0.83</v>
      </c>
      <c r="K50" s="100">
        <v>41.44</v>
      </c>
      <c r="L50" s="100">
        <v>21.79</v>
      </c>
      <c r="M50" s="100">
        <v>48.58</v>
      </c>
      <c r="N50" s="100">
        <v>451.8</v>
      </c>
      <c r="O50" s="100">
        <v>0</v>
      </c>
      <c r="P50" s="100">
        <v>0.69</v>
      </c>
      <c r="Q50" s="100">
        <v>13.01</v>
      </c>
      <c r="R50" s="6"/>
      <c r="S50" s="6"/>
      <c r="T50" s="156"/>
      <c r="U50" s="6"/>
    </row>
    <row r="51" spans="1:21" customFormat="1">
      <c r="A51" s="163" t="s">
        <v>281</v>
      </c>
      <c r="B51" s="100">
        <v>14.34</v>
      </c>
      <c r="C51" s="100">
        <v>23.84</v>
      </c>
      <c r="D51" s="100">
        <v>25.31</v>
      </c>
      <c r="E51" s="100">
        <v>10.93</v>
      </c>
      <c r="F51" s="151" t="s">
        <v>8</v>
      </c>
      <c r="G51" s="100">
        <v>65.7</v>
      </c>
      <c r="H51" s="100">
        <v>19.89</v>
      </c>
      <c r="I51" s="100">
        <v>9.39</v>
      </c>
      <c r="J51" s="100">
        <v>0.71</v>
      </c>
      <c r="K51" s="100">
        <v>25.52</v>
      </c>
      <c r="L51" s="100">
        <v>22.19</v>
      </c>
      <c r="M51" s="100">
        <v>47.3</v>
      </c>
      <c r="N51" s="100">
        <v>468.8</v>
      </c>
      <c r="O51" s="100">
        <v>0</v>
      </c>
      <c r="P51" s="100">
        <v>0.68</v>
      </c>
      <c r="Q51" s="100">
        <v>13.01</v>
      </c>
      <c r="R51" s="6"/>
      <c r="S51" s="6"/>
      <c r="T51" s="156"/>
      <c r="U51" s="6"/>
    </row>
    <row r="52" spans="1:21" customFormat="1">
      <c r="A52" s="163" t="s">
        <v>282</v>
      </c>
      <c r="B52" s="100">
        <v>14.03</v>
      </c>
      <c r="C52" s="100">
        <v>24.48</v>
      </c>
      <c r="D52" s="100">
        <v>25.39</v>
      </c>
      <c r="E52" s="100">
        <v>10.62</v>
      </c>
      <c r="F52" s="151" t="s">
        <v>8</v>
      </c>
      <c r="G52" s="100">
        <v>65.7</v>
      </c>
      <c r="H52" s="100">
        <v>19.89</v>
      </c>
      <c r="I52" s="100">
        <v>9.4</v>
      </c>
      <c r="J52" s="100">
        <v>0.56000000000000005</v>
      </c>
      <c r="K52" s="100">
        <v>359.18</v>
      </c>
      <c r="L52" s="100">
        <v>22.67</v>
      </c>
      <c r="M52" s="100">
        <v>45.79</v>
      </c>
      <c r="N52" s="100">
        <v>463</v>
      </c>
      <c r="O52" s="100">
        <v>0</v>
      </c>
      <c r="P52" s="100">
        <v>0.68</v>
      </c>
      <c r="Q52" s="100">
        <v>13.01</v>
      </c>
      <c r="R52" s="6"/>
      <c r="S52" s="6"/>
      <c r="T52" s="156"/>
      <c r="U52" s="6"/>
    </row>
    <row r="53" spans="1:21" customFormat="1">
      <c r="A53" s="163" t="s">
        <v>283</v>
      </c>
      <c r="B53" s="100">
        <v>13.04</v>
      </c>
      <c r="C53" s="100">
        <v>24.72</v>
      </c>
      <c r="D53" s="100">
        <v>24.73</v>
      </c>
      <c r="E53" s="100">
        <v>11.01</v>
      </c>
      <c r="F53" s="151" t="s">
        <v>8</v>
      </c>
      <c r="G53" s="100">
        <v>64.41</v>
      </c>
      <c r="H53" s="100">
        <v>19.61</v>
      </c>
      <c r="I53" s="100">
        <v>9.3000000000000007</v>
      </c>
      <c r="J53" s="100">
        <v>0.3</v>
      </c>
      <c r="K53" s="100">
        <v>111.13</v>
      </c>
      <c r="L53" s="100">
        <v>23.79</v>
      </c>
      <c r="M53" s="100">
        <v>42.24</v>
      </c>
      <c r="N53" s="100">
        <v>473.3</v>
      </c>
      <c r="O53" s="100">
        <v>0</v>
      </c>
      <c r="P53" s="100">
        <v>0.66</v>
      </c>
      <c r="Q53" s="100">
        <v>13.02</v>
      </c>
      <c r="R53" s="6"/>
      <c r="S53" s="6"/>
      <c r="T53" s="156"/>
      <c r="U53" s="6"/>
    </row>
    <row r="54" spans="1:21" customFormat="1">
      <c r="A54" s="163" t="s">
        <v>284</v>
      </c>
      <c r="B54" s="100">
        <v>11.54</v>
      </c>
      <c r="C54" s="100">
        <v>24.85</v>
      </c>
      <c r="D54" s="100">
        <v>23.59</v>
      </c>
      <c r="E54" s="100">
        <v>11.08</v>
      </c>
      <c r="F54" s="151" t="s">
        <v>8</v>
      </c>
      <c r="G54" s="100">
        <v>63.47</v>
      </c>
      <c r="H54" s="100">
        <v>19.53</v>
      </c>
      <c r="I54" s="100">
        <v>9.06</v>
      </c>
      <c r="J54" s="100">
        <v>0.56000000000000005</v>
      </c>
      <c r="K54" s="100">
        <v>60.92</v>
      </c>
      <c r="L54" s="100">
        <v>24.2</v>
      </c>
      <c r="M54" s="100">
        <v>40.18</v>
      </c>
      <c r="N54" s="100">
        <v>499.9</v>
      </c>
      <c r="O54" s="100">
        <v>0</v>
      </c>
      <c r="P54" s="100">
        <v>0.65</v>
      </c>
      <c r="Q54" s="100">
        <v>12.99</v>
      </c>
      <c r="R54" s="6"/>
      <c r="S54" s="6"/>
      <c r="T54" s="156"/>
      <c r="U54" s="6"/>
    </row>
    <row r="55" spans="1:21" customFormat="1">
      <c r="A55" s="163" t="s">
        <v>285</v>
      </c>
      <c r="B55" s="100">
        <v>9.99</v>
      </c>
      <c r="C55" s="100">
        <v>24.8</v>
      </c>
      <c r="D55" s="100">
        <v>22.32</v>
      </c>
      <c r="E55" s="100">
        <v>11.05</v>
      </c>
      <c r="F55" s="151" t="s">
        <v>8</v>
      </c>
      <c r="G55" s="100">
        <v>63.47</v>
      </c>
      <c r="H55" s="100">
        <v>19.53</v>
      </c>
      <c r="I55" s="100">
        <v>8.89</v>
      </c>
      <c r="J55" s="100">
        <v>0.68</v>
      </c>
      <c r="K55" s="100">
        <v>45.87</v>
      </c>
      <c r="L55" s="100">
        <v>23.98</v>
      </c>
      <c r="M55" s="100">
        <v>38.01</v>
      </c>
      <c r="N55" s="100">
        <v>525.9</v>
      </c>
      <c r="O55" s="100">
        <v>0</v>
      </c>
      <c r="P55" s="100">
        <v>0.64</v>
      </c>
      <c r="Q55" s="100">
        <v>12.99</v>
      </c>
      <c r="R55" s="6"/>
      <c r="S55" s="6"/>
      <c r="T55" s="156"/>
      <c r="U55" s="6"/>
    </row>
    <row r="56" spans="1:21" customFormat="1">
      <c r="A56" s="163" t="s">
        <v>286</v>
      </c>
      <c r="B56" s="100">
        <v>8.61</v>
      </c>
      <c r="C56" s="100">
        <v>24.7</v>
      </c>
      <c r="D56" s="100">
        <v>21.16</v>
      </c>
      <c r="E56" s="100">
        <v>11.1</v>
      </c>
      <c r="F56" s="151" t="s">
        <v>8</v>
      </c>
      <c r="G56" s="100">
        <v>63.47</v>
      </c>
      <c r="H56" s="100">
        <v>19.53</v>
      </c>
      <c r="I56" s="100">
        <v>8.6999999999999993</v>
      </c>
      <c r="J56" s="100">
        <v>0.41</v>
      </c>
      <c r="K56" s="100">
        <v>2.73</v>
      </c>
      <c r="L56" s="100">
        <v>24.23</v>
      </c>
      <c r="M56" s="100">
        <v>37.020000000000003</v>
      </c>
      <c r="N56" s="100">
        <v>525.79999999999995</v>
      </c>
      <c r="O56" s="100">
        <v>0</v>
      </c>
      <c r="P56" s="100">
        <v>0.62</v>
      </c>
      <c r="Q56" s="100">
        <v>12.98</v>
      </c>
      <c r="R56" s="6"/>
      <c r="S56" s="6"/>
      <c r="T56" s="156"/>
      <c r="U56" s="6"/>
    </row>
    <row r="57" spans="1:21" customFormat="1">
      <c r="A57" s="163" t="s">
        <v>287</v>
      </c>
      <c r="B57" s="100">
        <v>7.39</v>
      </c>
      <c r="C57" s="100">
        <v>24.51</v>
      </c>
      <c r="D57" s="100">
        <v>20.079999999999998</v>
      </c>
      <c r="E57" s="100">
        <v>10.82</v>
      </c>
      <c r="F57" s="151" t="s">
        <v>8</v>
      </c>
      <c r="G57" s="100">
        <v>57.3</v>
      </c>
      <c r="H57" s="100">
        <v>18.73</v>
      </c>
      <c r="I57" s="100">
        <v>8.5299999999999994</v>
      </c>
      <c r="J57" s="100">
        <v>0.41</v>
      </c>
      <c r="K57" s="100">
        <v>57.75</v>
      </c>
      <c r="L57" s="100">
        <v>25.06</v>
      </c>
      <c r="M57" s="100">
        <v>33.799999999999997</v>
      </c>
      <c r="N57" s="100">
        <v>492.5</v>
      </c>
      <c r="O57" s="100">
        <v>0</v>
      </c>
      <c r="P57" s="100">
        <v>0.6</v>
      </c>
      <c r="Q57" s="100">
        <v>12.99</v>
      </c>
      <c r="R57" s="6"/>
      <c r="S57" s="6"/>
      <c r="T57" s="156"/>
      <c r="U57" s="6"/>
    </row>
    <row r="58" spans="1:21" customFormat="1">
      <c r="A58" s="163" t="s">
        <v>288</v>
      </c>
      <c r="B58" s="100">
        <v>6.35</v>
      </c>
      <c r="C58" s="100">
        <v>24.35</v>
      </c>
      <c r="D58" s="100">
        <v>19.170000000000002</v>
      </c>
      <c r="E58" s="100">
        <v>10.9</v>
      </c>
      <c r="F58" s="151" t="s">
        <v>8</v>
      </c>
      <c r="G58" s="100">
        <v>52.79</v>
      </c>
      <c r="H58" s="100">
        <v>18.489999999999998</v>
      </c>
      <c r="I58" s="100">
        <v>8.35</v>
      </c>
      <c r="J58" s="100">
        <v>0.55000000000000004</v>
      </c>
      <c r="K58" s="100">
        <v>11.24</v>
      </c>
      <c r="L58" s="100">
        <v>25.28</v>
      </c>
      <c r="M58" s="100">
        <v>32.39</v>
      </c>
      <c r="N58" s="100">
        <v>411.6</v>
      </c>
      <c r="O58" s="100">
        <v>0</v>
      </c>
      <c r="P58" s="100">
        <v>0.59</v>
      </c>
      <c r="Q58" s="100">
        <v>13.01</v>
      </c>
      <c r="R58" s="6"/>
      <c r="S58" s="6"/>
      <c r="T58" s="156"/>
      <c r="U58" s="6"/>
    </row>
    <row r="59" spans="1:21" customFormat="1">
      <c r="A59" s="163" t="s">
        <v>289</v>
      </c>
      <c r="B59" s="100">
        <v>5.66</v>
      </c>
      <c r="C59" s="100">
        <v>24.25</v>
      </c>
      <c r="D59" s="100">
        <v>18.559999999999999</v>
      </c>
      <c r="E59" s="100">
        <v>11.16</v>
      </c>
      <c r="F59" s="151" t="s">
        <v>8</v>
      </c>
      <c r="G59" s="100">
        <v>52.79</v>
      </c>
      <c r="H59" s="100">
        <v>18.489999999999998</v>
      </c>
      <c r="I59" s="100">
        <v>8.17</v>
      </c>
      <c r="J59" s="100">
        <v>0.32</v>
      </c>
      <c r="K59" s="100">
        <v>41.46</v>
      </c>
      <c r="L59" s="100">
        <v>25.7</v>
      </c>
      <c r="M59" s="100">
        <v>30.72</v>
      </c>
      <c r="N59" s="100">
        <v>284.60000000000002</v>
      </c>
      <c r="O59" s="100">
        <v>0</v>
      </c>
      <c r="P59" s="100">
        <v>0.57999999999999996</v>
      </c>
      <c r="Q59" s="100">
        <v>12.99</v>
      </c>
      <c r="R59" s="6"/>
      <c r="S59" s="6"/>
      <c r="T59" s="156"/>
      <c r="U59" s="6"/>
    </row>
    <row r="60" spans="1:21" customFormat="1">
      <c r="A60" s="163" t="s">
        <v>290</v>
      </c>
      <c r="B60" s="100">
        <v>5.1100000000000003</v>
      </c>
      <c r="C60" s="100">
        <v>23.89</v>
      </c>
      <c r="D60" s="100">
        <v>17.93</v>
      </c>
      <c r="E60" s="100">
        <v>11.16</v>
      </c>
      <c r="F60" s="151" t="s">
        <v>8</v>
      </c>
      <c r="G60" s="100">
        <v>52.79</v>
      </c>
      <c r="H60" s="100">
        <v>18.489999999999998</v>
      </c>
      <c r="I60" s="100">
        <v>8.06</v>
      </c>
      <c r="J60" s="100">
        <v>0.31</v>
      </c>
      <c r="K60" s="100">
        <v>52.02</v>
      </c>
      <c r="L60" s="100">
        <v>26.15</v>
      </c>
      <c r="M60" s="100">
        <v>30.77</v>
      </c>
      <c r="N60" s="100">
        <v>446.2</v>
      </c>
      <c r="O60" s="100">
        <v>0</v>
      </c>
      <c r="P60" s="100">
        <v>0.57999999999999996</v>
      </c>
      <c r="Q60" s="100">
        <v>12.97</v>
      </c>
      <c r="R60" s="6"/>
      <c r="S60" s="6"/>
      <c r="T60" s="156"/>
      <c r="U60" s="6"/>
    </row>
    <row r="61" spans="1:21" customFormat="1">
      <c r="A61" s="163" t="s">
        <v>291</v>
      </c>
      <c r="B61" s="100">
        <v>4.74</v>
      </c>
      <c r="C61" s="100">
        <v>23.29</v>
      </c>
      <c r="D61" s="100">
        <v>17.32</v>
      </c>
      <c r="E61" s="100">
        <v>11.27</v>
      </c>
      <c r="F61" s="151" t="s">
        <v>8</v>
      </c>
      <c r="G61" s="100">
        <v>51.97</v>
      </c>
      <c r="H61" s="100">
        <v>18.440000000000001</v>
      </c>
      <c r="I61" s="100">
        <v>7.98</v>
      </c>
      <c r="J61" s="100">
        <v>0.86</v>
      </c>
      <c r="K61" s="100">
        <v>10.63</v>
      </c>
      <c r="L61" s="100">
        <v>25.65</v>
      </c>
      <c r="M61" s="100">
        <v>30.4</v>
      </c>
      <c r="N61" s="100">
        <v>482.2</v>
      </c>
      <c r="O61" s="100">
        <v>0</v>
      </c>
      <c r="P61" s="100">
        <v>0.56000000000000005</v>
      </c>
      <c r="Q61" s="100">
        <v>12.98</v>
      </c>
      <c r="R61" s="6"/>
      <c r="S61" s="6"/>
      <c r="T61" s="156"/>
      <c r="U61" s="6"/>
    </row>
    <row r="62" spans="1:21" customFormat="1">
      <c r="A62" s="163" t="s">
        <v>292</v>
      </c>
      <c r="B62" s="100">
        <v>4.58</v>
      </c>
      <c r="C62" s="100">
        <v>22.78</v>
      </c>
      <c r="D62" s="100">
        <v>16.920000000000002</v>
      </c>
      <c r="E62" s="100">
        <v>11.26</v>
      </c>
      <c r="F62" s="151" t="s">
        <v>8</v>
      </c>
      <c r="G62" s="100">
        <v>51.37</v>
      </c>
      <c r="H62" s="100">
        <v>18.41</v>
      </c>
      <c r="I62" s="100">
        <v>7.83</v>
      </c>
      <c r="J62" s="100">
        <v>0.28999999999999998</v>
      </c>
      <c r="K62" s="100">
        <v>103.06</v>
      </c>
      <c r="L62" s="100">
        <v>26.34</v>
      </c>
      <c r="M62" s="100">
        <v>29.22</v>
      </c>
      <c r="N62" s="100">
        <v>398.3</v>
      </c>
      <c r="O62" s="100">
        <v>0</v>
      </c>
      <c r="P62" s="100">
        <v>0.54</v>
      </c>
      <c r="Q62" s="100">
        <v>12.97</v>
      </c>
      <c r="R62" s="6"/>
      <c r="S62" s="6"/>
      <c r="T62" s="156"/>
      <c r="U62" s="6"/>
    </row>
    <row r="63" spans="1:21" customFormat="1">
      <c r="A63" s="163" t="s">
        <v>293</v>
      </c>
      <c r="B63" s="100">
        <v>4.43</v>
      </c>
      <c r="C63" s="100">
        <v>22.53</v>
      </c>
      <c r="D63" s="100">
        <v>16.68</v>
      </c>
      <c r="E63" s="100">
        <v>11.15</v>
      </c>
      <c r="F63" s="151" t="s">
        <v>8</v>
      </c>
      <c r="G63" s="100">
        <v>51.37</v>
      </c>
      <c r="H63" s="100">
        <v>18.41</v>
      </c>
      <c r="I63" s="100">
        <v>7.69</v>
      </c>
      <c r="J63" s="100">
        <v>0.7</v>
      </c>
      <c r="K63" s="100">
        <v>66.180000000000007</v>
      </c>
      <c r="L63" s="100">
        <v>25.78</v>
      </c>
      <c r="M63" s="100">
        <v>28.65</v>
      </c>
      <c r="N63" s="100">
        <v>130.69999999999999</v>
      </c>
      <c r="O63" s="100">
        <v>0</v>
      </c>
      <c r="P63" s="100">
        <v>0.54</v>
      </c>
      <c r="Q63" s="100">
        <v>12.98</v>
      </c>
      <c r="R63" s="6"/>
      <c r="S63" s="6"/>
      <c r="T63" s="156"/>
      <c r="U63" s="6"/>
    </row>
    <row r="64" spans="1:21" customFormat="1">
      <c r="A64" s="163" t="s">
        <v>294</v>
      </c>
      <c r="B64" s="100">
        <v>4.34</v>
      </c>
      <c r="C64" s="100">
        <v>22.28</v>
      </c>
      <c r="D64" s="100">
        <v>16.47</v>
      </c>
      <c r="E64" s="100">
        <v>11.51</v>
      </c>
      <c r="F64" s="151" t="s">
        <v>8</v>
      </c>
      <c r="G64" s="100">
        <v>51.37</v>
      </c>
      <c r="H64" s="100">
        <v>18.41</v>
      </c>
      <c r="I64" s="100">
        <v>7.59</v>
      </c>
      <c r="J64" s="100">
        <v>0.34</v>
      </c>
      <c r="K64" s="100">
        <v>353.12</v>
      </c>
      <c r="L64" s="100">
        <v>25.49</v>
      </c>
      <c r="M64" s="100">
        <v>29.56</v>
      </c>
      <c r="N64" s="100">
        <v>90.6</v>
      </c>
      <c r="O64" s="100">
        <v>0</v>
      </c>
      <c r="P64" s="100">
        <v>0.53</v>
      </c>
      <c r="Q64" s="100">
        <v>12.98</v>
      </c>
      <c r="R64" s="6"/>
      <c r="S64" s="6"/>
      <c r="T64" s="156"/>
      <c r="U64" s="6"/>
    </row>
    <row r="65" spans="1:21" customFormat="1">
      <c r="A65" s="163" t="s">
        <v>295</v>
      </c>
      <c r="B65" s="100">
        <v>4.33</v>
      </c>
      <c r="C65" s="100">
        <v>22.2</v>
      </c>
      <c r="D65" s="100">
        <v>16.420000000000002</v>
      </c>
      <c r="E65" s="100">
        <v>11.53</v>
      </c>
      <c r="F65" s="151" t="s">
        <v>8</v>
      </c>
      <c r="G65" s="100">
        <v>50.15</v>
      </c>
      <c r="H65" s="100">
        <v>18.420000000000002</v>
      </c>
      <c r="I65" s="100">
        <v>7.47</v>
      </c>
      <c r="J65" s="100">
        <v>0.55000000000000004</v>
      </c>
      <c r="K65" s="100">
        <v>48.61</v>
      </c>
      <c r="L65" s="100">
        <v>25.81</v>
      </c>
      <c r="M65" s="100">
        <v>28.69</v>
      </c>
      <c r="N65" s="100">
        <v>97.4</v>
      </c>
      <c r="O65" s="100">
        <v>0</v>
      </c>
      <c r="P65" s="100">
        <v>0.52</v>
      </c>
      <c r="Q65" s="100">
        <v>12.99</v>
      </c>
      <c r="R65" s="6"/>
      <c r="S65" s="6"/>
      <c r="T65" s="156"/>
      <c r="U65" s="6"/>
    </row>
    <row r="66" spans="1:21" customFormat="1">
      <c r="A66" s="163" t="s">
        <v>296</v>
      </c>
      <c r="B66" s="100">
        <v>4.3</v>
      </c>
      <c r="C66" s="100">
        <v>22.13</v>
      </c>
      <c r="D66" s="100">
        <v>16.37</v>
      </c>
      <c r="E66" s="100">
        <v>11.38</v>
      </c>
      <c r="F66" s="151" t="s">
        <v>8</v>
      </c>
      <c r="G66" s="100">
        <v>49.25</v>
      </c>
      <c r="H66" s="100">
        <v>18.420000000000002</v>
      </c>
      <c r="I66" s="100">
        <v>7.33</v>
      </c>
      <c r="J66" s="100">
        <v>0.4</v>
      </c>
      <c r="K66" s="100">
        <v>341.91</v>
      </c>
      <c r="L66" s="100">
        <v>25.89</v>
      </c>
      <c r="M66" s="100">
        <v>27.62</v>
      </c>
      <c r="N66" s="100">
        <v>106.9</v>
      </c>
      <c r="O66" s="100">
        <v>0</v>
      </c>
      <c r="P66" s="100">
        <v>0.53</v>
      </c>
      <c r="Q66" s="100">
        <v>12.97</v>
      </c>
      <c r="R66" s="6"/>
      <c r="S66" s="6"/>
      <c r="T66" s="156"/>
      <c r="U66" s="6"/>
    </row>
    <row r="67" spans="1:21" customFormat="1">
      <c r="A67" s="163" t="s">
        <v>297</v>
      </c>
      <c r="B67" s="100">
        <v>4.4400000000000004</v>
      </c>
      <c r="C67" s="100">
        <v>22.3</v>
      </c>
      <c r="D67" s="100">
        <v>16.559999999999999</v>
      </c>
      <c r="E67" s="100">
        <v>11.51</v>
      </c>
      <c r="F67" s="151" t="s">
        <v>8</v>
      </c>
      <c r="G67" s="100">
        <v>49.25</v>
      </c>
      <c r="H67" s="100">
        <v>18.420000000000002</v>
      </c>
      <c r="I67" s="100">
        <v>7.22</v>
      </c>
      <c r="J67" s="100">
        <v>0.64</v>
      </c>
      <c r="K67" s="100">
        <v>49.67</v>
      </c>
      <c r="L67" s="100">
        <v>26.01</v>
      </c>
      <c r="M67" s="100">
        <v>26.34</v>
      </c>
      <c r="N67" s="100">
        <v>68.8</v>
      </c>
      <c r="O67" s="100">
        <v>0</v>
      </c>
      <c r="P67" s="100">
        <v>0.52</v>
      </c>
      <c r="Q67" s="100">
        <v>12.97</v>
      </c>
      <c r="R67" s="6"/>
      <c r="S67" s="6"/>
      <c r="T67" s="156"/>
      <c r="U67" s="6"/>
    </row>
    <row r="68" spans="1:21" customFormat="1">
      <c r="A68" s="163" t="s">
        <v>298</v>
      </c>
      <c r="B68" s="100">
        <v>4.51</v>
      </c>
      <c r="C68" s="100">
        <v>22.52</v>
      </c>
      <c r="D68" s="100">
        <v>16.73</v>
      </c>
      <c r="E68" s="100">
        <v>11.18</v>
      </c>
      <c r="F68" s="151" t="s">
        <v>8</v>
      </c>
      <c r="G68" s="100">
        <v>49.25</v>
      </c>
      <c r="H68" s="100">
        <v>18.420000000000002</v>
      </c>
      <c r="I68" s="100">
        <v>7.22</v>
      </c>
      <c r="J68" s="100">
        <v>0.42</v>
      </c>
      <c r="K68" s="100">
        <v>3.08</v>
      </c>
      <c r="L68" s="100">
        <v>25.88</v>
      </c>
      <c r="M68" s="100">
        <v>25.57</v>
      </c>
      <c r="N68" s="100">
        <v>53.1</v>
      </c>
      <c r="O68" s="100">
        <v>0</v>
      </c>
      <c r="P68" s="100">
        <v>0.52</v>
      </c>
      <c r="Q68" s="100">
        <v>12.98</v>
      </c>
      <c r="R68" s="6"/>
      <c r="S68" s="6"/>
      <c r="T68" s="156"/>
      <c r="U68" s="6"/>
    </row>
    <row r="69" spans="1:21" customFormat="1">
      <c r="A69" s="163" t="s">
        <v>299</v>
      </c>
      <c r="B69" s="100">
        <v>4.4400000000000004</v>
      </c>
      <c r="C69" s="100">
        <v>22.47</v>
      </c>
      <c r="D69" s="100">
        <v>16.649999999999999</v>
      </c>
      <c r="E69" s="100">
        <v>11.45</v>
      </c>
      <c r="F69" s="151" t="s">
        <v>8</v>
      </c>
      <c r="G69" s="100">
        <v>47.4</v>
      </c>
      <c r="H69" s="100">
        <v>13.46</v>
      </c>
      <c r="I69" s="100">
        <v>7.14</v>
      </c>
      <c r="J69" s="100">
        <v>0.55000000000000004</v>
      </c>
      <c r="K69" s="100">
        <v>13.73</v>
      </c>
      <c r="L69" s="100">
        <v>25.86</v>
      </c>
      <c r="M69" s="100">
        <v>23.36</v>
      </c>
      <c r="N69" s="100">
        <v>48.2</v>
      </c>
      <c r="O69" s="100">
        <v>0</v>
      </c>
      <c r="P69" s="100">
        <v>0.51</v>
      </c>
      <c r="Q69" s="100">
        <v>12.98</v>
      </c>
      <c r="R69" s="6"/>
      <c r="S69" s="6"/>
      <c r="T69" s="156"/>
      <c r="U69" s="6"/>
    </row>
    <row r="70" spans="1:21" customFormat="1">
      <c r="A70" s="163" t="s">
        <v>300</v>
      </c>
      <c r="B70" s="100">
        <v>4.58</v>
      </c>
      <c r="C70" s="100">
        <v>22.32</v>
      </c>
      <c r="D70" s="100">
        <v>16.690000000000001</v>
      </c>
      <c r="E70" s="100">
        <v>11.71</v>
      </c>
      <c r="F70" s="151" t="s">
        <v>8</v>
      </c>
      <c r="G70" s="100">
        <v>46.04</v>
      </c>
      <c r="H70" s="100">
        <v>11.98</v>
      </c>
      <c r="I70" s="100">
        <v>7.01</v>
      </c>
      <c r="J70" s="100">
        <v>0.54</v>
      </c>
      <c r="K70" s="100">
        <v>40.47</v>
      </c>
      <c r="L70" s="100">
        <v>25.95</v>
      </c>
      <c r="M70" s="100">
        <v>22.5</v>
      </c>
      <c r="N70" s="100">
        <v>46.4</v>
      </c>
      <c r="O70" s="100">
        <v>0</v>
      </c>
      <c r="P70" s="100">
        <v>0.54</v>
      </c>
      <c r="Q70" s="100">
        <v>12.97</v>
      </c>
      <c r="R70" s="6"/>
      <c r="S70" s="6"/>
      <c r="T70" s="156"/>
      <c r="U70" s="6"/>
    </row>
    <row r="71" spans="1:21" customFormat="1">
      <c r="A71" s="163" t="s">
        <v>301</v>
      </c>
      <c r="B71" s="100">
        <v>4.8</v>
      </c>
      <c r="C71" s="100">
        <v>21.63</v>
      </c>
      <c r="D71" s="100">
        <v>16.5</v>
      </c>
      <c r="E71" s="100">
        <v>11.87</v>
      </c>
      <c r="F71" s="151" t="s">
        <v>8</v>
      </c>
      <c r="G71" s="100">
        <v>46.04</v>
      </c>
      <c r="H71" s="100">
        <v>11.98</v>
      </c>
      <c r="I71" s="100">
        <v>6.92</v>
      </c>
      <c r="J71" s="100">
        <v>0.63</v>
      </c>
      <c r="K71" s="100">
        <v>36.49</v>
      </c>
      <c r="L71" s="100">
        <v>25.78</v>
      </c>
      <c r="M71" s="100">
        <v>21.84</v>
      </c>
      <c r="N71" s="100">
        <v>35.4</v>
      </c>
      <c r="O71" s="100">
        <v>0</v>
      </c>
      <c r="P71" s="100">
        <v>0.56000000000000005</v>
      </c>
      <c r="Q71" s="100">
        <v>12.97</v>
      </c>
      <c r="R71" s="6"/>
      <c r="S71" s="6"/>
      <c r="T71" s="156"/>
      <c r="U71" s="6"/>
    </row>
    <row r="72" spans="1:21" customFormat="1">
      <c r="A72" s="163" t="s">
        <v>302</v>
      </c>
      <c r="B72" s="100">
        <v>5.0199999999999996</v>
      </c>
      <c r="C72" s="100">
        <v>21.05</v>
      </c>
      <c r="D72" s="100">
        <v>16.37</v>
      </c>
      <c r="E72" s="100">
        <v>11.48</v>
      </c>
      <c r="F72" s="151" t="s">
        <v>8</v>
      </c>
      <c r="G72" s="100">
        <v>46.04</v>
      </c>
      <c r="H72" s="100">
        <v>11.98</v>
      </c>
      <c r="I72" s="100">
        <v>6.84</v>
      </c>
      <c r="J72" s="100">
        <v>0.69</v>
      </c>
      <c r="K72" s="100">
        <v>38.43</v>
      </c>
      <c r="L72" s="100">
        <v>25.67</v>
      </c>
      <c r="M72" s="100">
        <v>20.059999999999999</v>
      </c>
      <c r="N72" s="100">
        <v>36.1</v>
      </c>
      <c r="O72" s="100">
        <v>0</v>
      </c>
      <c r="P72" s="100">
        <v>0.54</v>
      </c>
      <c r="Q72" s="100">
        <v>12.97</v>
      </c>
      <c r="R72" s="6"/>
      <c r="S72" s="6"/>
      <c r="T72" s="156"/>
      <c r="U72" s="6"/>
    </row>
    <row r="73" spans="1:21" customFormat="1">
      <c r="A73" s="163" t="s">
        <v>303</v>
      </c>
      <c r="B73" s="100">
        <v>5.21</v>
      </c>
      <c r="C73" s="100">
        <v>20.69</v>
      </c>
      <c r="D73" s="100">
        <v>16.34</v>
      </c>
      <c r="E73" s="100">
        <v>11.24</v>
      </c>
      <c r="F73" s="151" t="s">
        <v>8</v>
      </c>
      <c r="G73" s="100">
        <v>44.92</v>
      </c>
      <c r="H73" s="100">
        <v>13.61</v>
      </c>
      <c r="I73" s="100">
        <v>6.82</v>
      </c>
      <c r="J73" s="100">
        <v>0.56999999999999995</v>
      </c>
      <c r="K73" s="100">
        <v>41.9</v>
      </c>
      <c r="L73" s="100">
        <v>25.56</v>
      </c>
      <c r="M73" s="100">
        <v>21.28</v>
      </c>
      <c r="N73" s="100">
        <v>27</v>
      </c>
      <c r="O73" s="100">
        <v>0</v>
      </c>
      <c r="P73" s="100">
        <v>0.56000000000000005</v>
      </c>
      <c r="Q73" s="100">
        <v>12.98</v>
      </c>
      <c r="R73" s="6"/>
      <c r="S73" s="6"/>
      <c r="T73" s="156"/>
      <c r="U73" s="6"/>
    </row>
    <row r="74" spans="1:21" customFormat="1">
      <c r="A74" s="163" t="s">
        <v>304</v>
      </c>
      <c r="B74" s="100">
        <v>5.46</v>
      </c>
      <c r="C74" s="100">
        <v>20.47</v>
      </c>
      <c r="D74" s="100">
        <v>16.420000000000002</v>
      </c>
      <c r="E74" s="100">
        <v>11.49</v>
      </c>
      <c r="F74" s="151" t="s">
        <v>8</v>
      </c>
      <c r="G74" s="100">
        <v>44.1</v>
      </c>
      <c r="H74" s="100">
        <v>14.1</v>
      </c>
      <c r="I74" s="100">
        <v>6.76</v>
      </c>
      <c r="J74" s="100">
        <v>0.47</v>
      </c>
      <c r="K74" s="100">
        <v>42.9</v>
      </c>
      <c r="L74" s="100">
        <v>25.31</v>
      </c>
      <c r="M74" s="100">
        <v>22.14</v>
      </c>
      <c r="N74" s="100">
        <v>23.2</v>
      </c>
      <c r="O74" s="100">
        <v>0</v>
      </c>
      <c r="P74" s="100">
        <v>0.56000000000000005</v>
      </c>
      <c r="Q74" s="100">
        <v>12.97</v>
      </c>
      <c r="R74" s="6"/>
      <c r="S74" s="6"/>
      <c r="T74" s="156"/>
      <c r="U74" s="6"/>
    </row>
    <row r="75" spans="1:21" customFormat="1">
      <c r="A75" s="163" t="s">
        <v>305</v>
      </c>
      <c r="B75" s="100">
        <v>5.71</v>
      </c>
      <c r="C75" s="100">
        <v>20.440000000000001</v>
      </c>
      <c r="D75" s="100">
        <v>16.61</v>
      </c>
      <c r="E75" s="100">
        <v>11.34</v>
      </c>
      <c r="F75" s="151" t="s">
        <v>8</v>
      </c>
      <c r="G75" s="100">
        <v>44.1</v>
      </c>
      <c r="H75" s="100">
        <v>14.1</v>
      </c>
      <c r="I75" s="100">
        <v>6.82</v>
      </c>
      <c r="J75" s="100">
        <v>0.51</v>
      </c>
      <c r="K75" s="100">
        <v>42.9</v>
      </c>
      <c r="L75" s="100">
        <v>25.01</v>
      </c>
      <c r="M75" s="100">
        <v>24.35</v>
      </c>
      <c r="N75" s="100">
        <v>17.8</v>
      </c>
      <c r="O75" s="100">
        <v>0</v>
      </c>
      <c r="P75" s="100">
        <v>0.56000000000000005</v>
      </c>
      <c r="Q75" s="100">
        <v>12.95</v>
      </c>
      <c r="R75" s="6"/>
      <c r="S75" s="6"/>
      <c r="T75" s="156"/>
      <c r="U75" s="6"/>
    </row>
    <row r="76" spans="1:21" customFormat="1">
      <c r="A76" s="163" t="s">
        <v>306</v>
      </c>
      <c r="B76" s="100">
        <v>5.91</v>
      </c>
      <c r="C76" s="100">
        <v>20.45</v>
      </c>
      <c r="D76" s="100">
        <v>16.77</v>
      </c>
      <c r="E76" s="100">
        <v>10.71</v>
      </c>
      <c r="F76" s="151" t="s">
        <v>8</v>
      </c>
      <c r="G76" s="100">
        <v>44.1</v>
      </c>
      <c r="H76" s="100">
        <v>14.1</v>
      </c>
      <c r="I76" s="100">
        <v>6.92</v>
      </c>
      <c r="J76" s="100">
        <v>0.2</v>
      </c>
      <c r="K76" s="100">
        <v>55.27</v>
      </c>
      <c r="L76" s="100">
        <v>24.33</v>
      </c>
      <c r="M76" s="100">
        <v>28.14</v>
      </c>
      <c r="N76" s="100">
        <v>9.9</v>
      </c>
      <c r="O76" s="100">
        <v>0</v>
      </c>
      <c r="P76" s="100">
        <v>0.56999999999999995</v>
      </c>
      <c r="Q76" s="100">
        <v>12.96</v>
      </c>
      <c r="R76" s="6"/>
      <c r="S76" s="6"/>
      <c r="T76" s="156"/>
      <c r="U76" s="6"/>
    </row>
    <row r="77" spans="1:21" customFormat="1">
      <c r="A77" s="163" t="s">
        <v>307</v>
      </c>
      <c r="B77" s="100">
        <v>6.12</v>
      </c>
      <c r="C77" s="100">
        <v>20.52</v>
      </c>
      <c r="D77" s="100">
        <v>16.98</v>
      </c>
      <c r="E77" s="100">
        <v>10.83</v>
      </c>
      <c r="F77" s="151" t="s">
        <v>8</v>
      </c>
      <c r="G77" s="100">
        <v>45.02</v>
      </c>
      <c r="H77" s="100">
        <v>13.12</v>
      </c>
      <c r="I77" s="100">
        <v>6.94</v>
      </c>
      <c r="J77" s="100">
        <v>0.17</v>
      </c>
      <c r="K77" s="100">
        <v>122.73</v>
      </c>
      <c r="L77" s="100">
        <v>22.72</v>
      </c>
      <c r="M77" s="100">
        <v>34.97</v>
      </c>
      <c r="N77" s="100">
        <v>5.2</v>
      </c>
      <c r="O77" s="100">
        <v>0</v>
      </c>
      <c r="P77" s="100">
        <v>0.56999999999999995</v>
      </c>
      <c r="Q77" s="100">
        <v>12.95</v>
      </c>
      <c r="R77" s="6"/>
      <c r="S77" s="6"/>
      <c r="T77" s="156"/>
      <c r="U77" s="6"/>
    </row>
    <row r="78" spans="1:21" customFormat="1">
      <c r="A78" s="163" t="s">
        <v>308</v>
      </c>
      <c r="B78" s="100">
        <v>6.26</v>
      </c>
      <c r="C78" s="100">
        <v>20.71</v>
      </c>
      <c r="D78" s="100">
        <v>17.190000000000001</v>
      </c>
      <c r="E78" s="100">
        <v>10.98</v>
      </c>
      <c r="F78" s="151" t="s">
        <v>8</v>
      </c>
      <c r="G78" s="100">
        <v>45.7</v>
      </c>
      <c r="H78" s="100">
        <v>12.82</v>
      </c>
      <c r="I78" s="100">
        <v>6.96</v>
      </c>
      <c r="J78" s="100">
        <v>0.28999999999999998</v>
      </c>
      <c r="K78" s="100">
        <v>144.43</v>
      </c>
      <c r="L78" s="100">
        <v>21.64</v>
      </c>
      <c r="M78" s="100">
        <v>39.49</v>
      </c>
      <c r="N78" s="100">
        <v>3.1</v>
      </c>
      <c r="O78" s="100">
        <v>0</v>
      </c>
      <c r="P78" s="100">
        <v>0.57999999999999996</v>
      </c>
      <c r="Q78" s="100">
        <v>12.95</v>
      </c>
      <c r="R78" s="6"/>
      <c r="S78" s="6"/>
      <c r="T78" s="156"/>
      <c r="U78" s="6"/>
    </row>
    <row r="79" spans="1:21" customFormat="1">
      <c r="A79" s="163" t="s">
        <v>309</v>
      </c>
      <c r="B79" s="100">
        <v>6.47</v>
      </c>
      <c r="C79" s="100">
        <v>21.05</v>
      </c>
      <c r="D79" s="100">
        <v>17.54</v>
      </c>
      <c r="E79" s="100">
        <v>10.6</v>
      </c>
      <c r="F79" s="151" t="s">
        <v>8</v>
      </c>
      <c r="G79" s="100">
        <v>45.7</v>
      </c>
      <c r="H79" s="100">
        <v>12.82</v>
      </c>
      <c r="I79" s="100">
        <v>6.98</v>
      </c>
      <c r="J79" s="100">
        <v>0.31</v>
      </c>
      <c r="K79" s="100">
        <v>156.22999999999999</v>
      </c>
      <c r="L79" s="100">
        <v>20.64</v>
      </c>
      <c r="M79" s="100">
        <v>44.64</v>
      </c>
      <c r="N79" s="100">
        <v>2</v>
      </c>
      <c r="O79" s="100">
        <v>0</v>
      </c>
      <c r="P79" s="100">
        <v>0.61</v>
      </c>
      <c r="Q79" s="100">
        <v>12.97</v>
      </c>
      <c r="R79" s="6"/>
      <c r="S79" s="6"/>
      <c r="T79" s="156"/>
      <c r="U79" s="6"/>
    </row>
    <row r="80" spans="1:21" customFormat="1">
      <c r="A80" s="163" t="s">
        <v>310</v>
      </c>
      <c r="B80" s="100">
        <v>6.76</v>
      </c>
      <c r="C80" s="100">
        <v>21.58</v>
      </c>
      <c r="D80" s="100">
        <v>18.05</v>
      </c>
      <c r="E80" s="100">
        <v>11.14</v>
      </c>
      <c r="F80" s="151" t="s">
        <v>8</v>
      </c>
      <c r="G80" s="100">
        <v>45.7</v>
      </c>
      <c r="H80" s="100">
        <v>12.82</v>
      </c>
      <c r="I80" s="100">
        <v>6.95</v>
      </c>
      <c r="J80" s="100">
        <v>0.37</v>
      </c>
      <c r="K80" s="100">
        <v>163.12</v>
      </c>
      <c r="L80" s="100">
        <v>20.010000000000002</v>
      </c>
      <c r="M80" s="100">
        <v>50</v>
      </c>
      <c r="N80" s="100">
        <v>1.9</v>
      </c>
      <c r="O80" s="100">
        <v>0</v>
      </c>
      <c r="P80" s="100">
        <v>0.61</v>
      </c>
      <c r="Q80" s="100">
        <v>12.98</v>
      </c>
      <c r="R80" s="6"/>
      <c r="S80" s="6"/>
      <c r="T80" s="156"/>
      <c r="U80" s="6"/>
    </row>
    <row r="81" spans="1:21" customFormat="1">
      <c r="A81" s="163" t="s">
        <v>311</v>
      </c>
      <c r="B81" s="100">
        <v>7.12</v>
      </c>
      <c r="C81" s="100">
        <v>22.21</v>
      </c>
      <c r="D81" s="100">
        <v>18.66</v>
      </c>
      <c r="E81" s="100">
        <v>8.58</v>
      </c>
      <c r="F81" s="151" t="s">
        <v>8</v>
      </c>
      <c r="G81" s="100">
        <v>57.8</v>
      </c>
      <c r="H81" s="100">
        <v>15.87</v>
      </c>
      <c r="I81" s="100">
        <v>6.94</v>
      </c>
      <c r="J81" s="100">
        <v>0.21</v>
      </c>
      <c r="K81" s="100">
        <v>172.63</v>
      </c>
      <c r="L81" s="100">
        <v>19.54</v>
      </c>
      <c r="M81" s="100">
        <v>52.89</v>
      </c>
      <c r="N81" s="100">
        <v>1.6</v>
      </c>
      <c r="O81" s="100">
        <v>0</v>
      </c>
      <c r="P81" s="100">
        <v>0.63</v>
      </c>
      <c r="Q81" s="100">
        <v>12.99</v>
      </c>
      <c r="R81" s="6"/>
      <c r="S81" s="6"/>
      <c r="T81" s="156"/>
      <c r="U81" s="6"/>
    </row>
    <row r="82" spans="1:21" customFormat="1">
      <c r="A82" s="163" t="s">
        <v>312</v>
      </c>
      <c r="B82" s="100">
        <v>7.54</v>
      </c>
      <c r="C82" s="100">
        <v>22.74</v>
      </c>
      <c r="D82" s="100">
        <v>19.28</v>
      </c>
      <c r="E82" s="100">
        <v>8.99</v>
      </c>
      <c r="F82" s="151" t="s">
        <v>8</v>
      </c>
      <c r="G82" s="100">
        <v>66.650000000000006</v>
      </c>
      <c r="H82" s="100">
        <v>16.78</v>
      </c>
      <c r="I82" s="100">
        <v>7.06</v>
      </c>
      <c r="J82" s="100">
        <v>0.24</v>
      </c>
      <c r="K82" s="100">
        <v>166.53</v>
      </c>
      <c r="L82" s="100">
        <v>19.059999999999999</v>
      </c>
      <c r="M82" s="100">
        <v>59.62</v>
      </c>
      <c r="N82" s="100">
        <v>1.6</v>
      </c>
      <c r="O82" s="100">
        <v>0</v>
      </c>
      <c r="P82" s="100">
        <v>0.65</v>
      </c>
      <c r="Q82" s="100">
        <v>12.98</v>
      </c>
      <c r="R82" s="6"/>
      <c r="S82" s="6"/>
      <c r="T82" s="156"/>
      <c r="U82" s="6"/>
    </row>
    <row r="83" spans="1:21" customFormat="1">
      <c r="A83" s="163" t="s">
        <v>313</v>
      </c>
      <c r="B83" s="100">
        <v>7.91</v>
      </c>
      <c r="C83" s="100">
        <v>23.11</v>
      </c>
      <c r="D83" s="100">
        <v>19.77</v>
      </c>
      <c r="E83" s="100">
        <v>9.32</v>
      </c>
      <c r="F83" s="151" t="s">
        <v>8</v>
      </c>
      <c r="G83" s="100">
        <v>66.650000000000006</v>
      </c>
      <c r="H83" s="100">
        <v>16.78</v>
      </c>
      <c r="I83" s="100">
        <v>7.26</v>
      </c>
      <c r="J83" s="100">
        <v>0.2</v>
      </c>
      <c r="K83" s="100">
        <v>171.74</v>
      </c>
      <c r="L83" s="100">
        <v>18.16</v>
      </c>
      <c r="M83" s="100">
        <v>69.55</v>
      </c>
      <c r="N83" s="100">
        <v>1.7</v>
      </c>
      <c r="O83" s="100">
        <v>0</v>
      </c>
      <c r="P83" s="100">
        <v>0.67</v>
      </c>
      <c r="Q83" s="100">
        <v>12.97</v>
      </c>
      <c r="R83" s="6"/>
      <c r="S83" s="6"/>
      <c r="T83" s="156"/>
      <c r="U83" s="6"/>
    </row>
    <row r="84" spans="1:21" customFormat="1">
      <c r="A84" s="163" t="s">
        <v>314</v>
      </c>
      <c r="B84" s="100">
        <v>8.25</v>
      </c>
      <c r="C84" s="100">
        <v>23.39</v>
      </c>
      <c r="D84" s="100">
        <v>20.190000000000001</v>
      </c>
      <c r="E84" s="100">
        <v>9.41</v>
      </c>
      <c r="F84" s="151" t="s">
        <v>8</v>
      </c>
      <c r="G84" s="100">
        <v>66.650000000000006</v>
      </c>
      <c r="H84" s="100">
        <v>16.78</v>
      </c>
      <c r="I84" s="100">
        <v>7.54</v>
      </c>
      <c r="J84" s="100">
        <v>0.22</v>
      </c>
      <c r="K84" s="100">
        <v>174.51</v>
      </c>
      <c r="L84" s="100">
        <v>17.77</v>
      </c>
      <c r="M84" s="100">
        <v>67.14</v>
      </c>
      <c r="N84" s="100">
        <v>1.3</v>
      </c>
      <c r="O84" s="100">
        <v>0</v>
      </c>
      <c r="P84" s="100">
        <v>0.7</v>
      </c>
      <c r="Q84" s="100">
        <v>12.99</v>
      </c>
      <c r="R84" s="6"/>
      <c r="S84" s="6"/>
      <c r="T84" s="156"/>
      <c r="U84" s="6"/>
    </row>
    <row r="85" spans="1:21" customFormat="1">
      <c r="A85" s="163" t="s">
        <v>315</v>
      </c>
      <c r="B85" s="100">
        <v>8.6300000000000008</v>
      </c>
      <c r="C85" s="100">
        <v>23.51</v>
      </c>
      <c r="D85" s="100">
        <v>20.56</v>
      </c>
      <c r="E85" s="100">
        <v>9.6199999999999992</v>
      </c>
      <c r="F85" s="151" t="s">
        <v>8</v>
      </c>
      <c r="G85" s="100">
        <v>75.47</v>
      </c>
      <c r="H85" s="100">
        <v>17.27</v>
      </c>
      <c r="I85" s="100">
        <v>7.76</v>
      </c>
      <c r="J85" s="100">
        <v>0.19</v>
      </c>
      <c r="K85" s="100">
        <v>175.27</v>
      </c>
      <c r="L85" s="100">
        <v>17.420000000000002</v>
      </c>
      <c r="M85" s="100">
        <v>71.069999999999993</v>
      </c>
      <c r="N85" s="100">
        <v>1.4</v>
      </c>
      <c r="O85" s="100">
        <v>0</v>
      </c>
      <c r="P85" s="100">
        <v>0.72</v>
      </c>
      <c r="Q85" s="100">
        <v>12.98</v>
      </c>
      <c r="R85" s="6"/>
      <c r="S85" s="6"/>
      <c r="T85" s="156"/>
      <c r="U85" s="6"/>
    </row>
    <row r="86" spans="1:21" customFormat="1">
      <c r="A86" s="163" t="s">
        <v>316</v>
      </c>
      <c r="B86" s="100">
        <v>9.16</v>
      </c>
      <c r="C86" s="100">
        <v>23.66</v>
      </c>
      <c r="D86" s="100">
        <v>21.06</v>
      </c>
      <c r="E86" s="100">
        <v>9.42</v>
      </c>
      <c r="F86" s="151" t="s">
        <v>8</v>
      </c>
      <c r="G86" s="100">
        <v>81.92</v>
      </c>
      <c r="H86" s="100">
        <v>17.54</v>
      </c>
      <c r="I86" s="100">
        <v>7.94</v>
      </c>
      <c r="J86" s="100">
        <v>0.21</v>
      </c>
      <c r="K86" s="100">
        <v>168.72</v>
      </c>
      <c r="L86" s="100">
        <v>17.18</v>
      </c>
      <c r="M86" s="100">
        <v>70.930000000000007</v>
      </c>
      <c r="N86" s="100">
        <v>1.3</v>
      </c>
      <c r="O86" s="100">
        <v>0</v>
      </c>
      <c r="P86" s="100">
        <v>0.73</v>
      </c>
      <c r="Q86" s="100">
        <v>12.97</v>
      </c>
      <c r="R86" s="6"/>
      <c r="S86" s="6"/>
      <c r="T86" s="156"/>
      <c r="U86" s="6"/>
    </row>
    <row r="87" spans="1:21" customFormat="1">
      <c r="A87" s="163" t="s">
        <v>317</v>
      </c>
      <c r="B87" s="100">
        <v>9.89</v>
      </c>
      <c r="C87" s="100">
        <v>23.9</v>
      </c>
      <c r="D87" s="100">
        <v>21.77</v>
      </c>
      <c r="E87" s="100">
        <v>9.57</v>
      </c>
      <c r="F87" s="151" t="s">
        <v>8</v>
      </c>
      <c r="G87" s="100">
        <v>81.92</v>
      </c>
      <c r="H87" s="100">
        <v>17.54</v>
      </c>
      <c r="I87" s="100">
        <v>8.3000000000000007</v>
      </c>
      <c r="J87" s="100">
        <v>0.21</v>
      </c>
      <c r="K87" s="100">
        <v>176.44</v>
      </c>
      <c r="L87" s="100">
        <v>16.96</v>
      </c>
      <c r="M87" s="100">
        <v>73.900000000000006</v>
      </c>
      <c r="N87" s="100">
        <v>1.2</v>
      </c>
      <c r="O87" s="100">
        <v>0</v>
      </c>
      <c r="P87" s="100">
        <v>0.78</v>
      </c>
      <c r="Q87" s="100">
        <v>12.99</v>
      </c>
      <c r="R87" s="6"/>
      <c r="S87" s="6"/>
      <c r="T87" s="156"/>
      <c r="U87" s="6"/>
    </row>
    <row r="88" spans="1:21" customFormat="1">
      <c r="A88" s="163" t="s">
        <v>318</v>
      </c>
      <c r="B88" s="100">
        <v>10.5</v>
      </c>
      <c r="C88" s="100">
        <v>24.01</v>
      </c>
      <c r="D88" s="100">
        <v>22.31</v>
      </c>
      <c r="E88" s="100">
        <v>9.3000000000000007</v>
      </c>
      <c r="F88" s="151" t="s">
        <v>8</v>
      </c>
      <c r="G88" s="100">
        <v>81.92</v>
      </c>
      <c r="H88" s="100">
        <v>17.54</v>
      </c>
      <c r="I88" s="100">
        <v>8.75</v>
      </c>
      <c r="J88" s="100">
        <v>0.11</v>
      </c>
      <c r="K88" s="100">
        <v>180.26</v>
      </c>
      <c r="L88" s="100">
        <v>16.68</v>
      </c>
      <c r="M88" s="100">
        <v>73.540000000000006</v>
      </c>
      <c r="N88" s="100">
        <v>1.2</v>
      </c>
      <c r="O88" s="100">
        <v>0</v>
      </c>
      <c r="P88" s="100">
        <v>0.79</v>
      </c>
      <c r="Q88" s="100">
        <v>13</v>
      </c>
      <c r="R88" s="6"/>
      <c r="S88" s="6"/>
      <c r="T88" s="156"/>
      <c r="U88" s="6"/>
    </row>
    <row r="89" spans="1:21" customFormat="1">
      <c r="A89" s="163" t="s">
        <v>319</v>
      </c>
      <c r="B89" s="100">
        <v>10.83</v>
      </c>
      <c r="C89" s="100">
        <v>23.96</v>
      </c>
      <c r="D89" s="100">
        <v>22.56</v>
      </c>
      <c r="E89" s="100">
        <v>9.1199999999999992</v>
      </c>
      <c r="F89" s="151" t="s">
        <v>8</v>
      </c>
      <c r="G89" s="100">
        <v>83.31</v>
      </c>
      <c r="H89" s="100">
        <v>18.72</v>
      </c>
      <c r="I89" s="100">
        <v>9.07</v>
      </c>
      <c r="J89" s="100">
        <v>0.18</v>
      </c>
      <c r="K89" s="100">
        <v>180.31</v>
      </c>
      <c r="L89" s="100">
        <v>16.670000000000002</v>
      </c>
      <c r="M89" s="100">
        <v>73.2</v>
      </c>
      <c r="N89" s="100">
        <v>1</v>
      </c>
      <c r="O89" s="100">
        <v>0</v>
      </c>
      <c r="P89" s="100">
        <v>0.79</v>
      </c>
      <c r="Q89" s="100">
        <v>13</v>
      </c>
      <c r="R89" s="6"/>
      <c r="S89" s="6"/>
      <c r="T89" s="156"/>
      <c r="U89" s="6"/>
    </row>
    <row r="90" spans="1:21" customFormat="1">
      <c r="A90" s="163" t="s">
        <v>320</v>
      </c>
      <c r="B90" s="100">
        <v>10.87</v>
      </c>
      <c r="C90" s="100">
        <v>24.01</v>
      </c>
      <c r="D90" s="100">
        <v>22.61</v>
      </c>
      <c r="E90" s="100">
        <v>9.44</v>
      </c>
      <c r="F90" s="151" t="s">
        <v>8</v>
      </c>
      <c r="G90" s="100">
        <v>84.33</v>
      </c>
      <c r="H90" s="100">
        <v>19.07</v>
      </c>
      <c r="I90" s="100">
        <v>9.34</v>
      </c>
      <c r="J90" s="100">
        <v>0.2</v>
      </c>
      <c r="K90" s="100">
        <v>172.41</v>
      </c>
      <c r="L90" s="100">
        <v>16.22</v>
      </c>
      <c r="M90" s="100">
        <v>76.72</v>
      </c>
      <c r="N90" s="100">
        <v>1.3</v>
      </c>
      <c r="O90" s="100">
        <v>0</v>
      </c>
      <c r="P90" s="100">
        <v>0.79</v>
      </c>
      <c r="Q90" s="100">
        <v>13.01</v>
      </c>
      <c r="R90" s="6"/>
      <c r="S90" s="6"/>
      <c r="T90" s="156"/>
      <c r="U90" s="6"/>
    </row>
    <row r="91" spans="1:21" customFormat="1">
      <c r="A91" s="163" t="s">
        <v>321</v>
      </c>
      <c r="B91" s="100">
        <v>10.8</v>
      </c>
      <c r="C91" s="100">
        <v>23.89</v>
      </c>
      <c r="D91" s="100">
        <v>22.5</v>
      </c>
      <c r="E91" s="100">
        <v>9.0399999999999991</v>
      </c>
      <c r="F91" s="151" t="s">
        <v>8</v>
      </c>
      <c r="G91" s="100">
        <v>84.33</v>
      </c>
      <c r="H91" s="100">
        <v>19.07</v>
      </c>
      <c r="I91" s="100">
        <v>9.6</v>
      </c>
      <c r="J91" s="100">
        <v>0.25</v>
      </c>
      <c r="K91" s="100">
        <v>163</v>
      </c>
      <c r="L91" s="100">
        <v>16.14</v>
      </c>
      <c r="M91" s="100">
        <v>76.81</v>
      </c>
      <c r="N91" s="100">
        <v>1</v>
      </c>
      <c r="O91" s="100">
        <v>0</v>
      </c>
      <c r="P91" s="100">
        <v>0.81</v>
      </c>
      <c r="Q91" s="100">
        <v>13.02</v>
      </c>
      <c r="R91" s="6"/>
      <c r="S91" s="6"/>
      <c r="T91" s="156"/>
      <c r="U91" s="6"/>
    </row>
    <row r="92" spans="1:21" customFormat="1">
      <c r="A92" s="163" t="s">
        <v>322</v>
      </c>
      <c r="B92" s="100">
        <v>10.81</v>
      </c>
      <c r="C92" s="100">
        <v>23.7</v>
      </c>
      <c r="D92" s="100">
        <v>22.4</v>
      </c>
      <c r="E92" s="100">
        <v>9.31</v>
      </c>
      <c r="F92" s="151" t="s">
        <v>8</v>
      </c>
      <c r="G92" s="100">
        <v>84.33</v>
      </c>
      <c r="H92" s="100">
        <v>19.07</v>
      </c>
      <c r="I92" s="100">
        <v>9.84</v>
      </c>
      <c r="J92" s="100">
        <v>0.22</v>
      </c>
      <c r="K92" s="100">
        <v>200.88</v>
      </c>
      <c r="L92" s="100">
        <v>15.88</v>
      </c>
      <c r="M92" s="100">
        <v>79.55</v>
      </c>
      <c r="N92" s="100">
        <v>1.1000000000000001</v>
      </c>
      <c r="O92" s="100">
        <v>0</v>
      </c>
      <c r="P92" s="100">
        <v>0.83</v>
      </c>
      <c r="Q92" s="100">
        <v>13</v>
      </c>
      <c r="R92" s="6"/>
      <c r="S92" s="6"/>
      <c r="T92" s="156"/>
      <c r="U92" s="6"/>
    </row>
    <row r="93" spans="1:21" customFormat="1">
      <c r="A93" s="163" t="s">
        <v>323</v>
      </c>
      <c r="B93" s="100">
        <v>10.78</v>
      </c>
      <c r="C93" s="100">
        <v>23.43</v>
      </c>
      <c r="D93" s="100">
        <v>22.24</v>
      </c>
      <c r="E93" s="100">
        <v>8.74</v>
      </c>
      <c r="F93" s="151" t="s">
        <v>8</v>
      </c>
      <c r="G93" s="100">
        <v>85.25</v>
      </c>
      <c r="H93" s="100">
        <v>20.09</v>
      </c>
      <c r="I93" s="100">
        <v>10.02</v>
      </c>
      <c r="J93" s="100">
        <v>0.17</v>
      </c>
      <c r="K93" s="100">
        <v>198.15</v>
      </c>
      <c r="L93" s="100">
        <v>15.5</v>
      </c>
      <c r="M93" s="100">
        <v>80.150000000000006</v>
      </c>
      <c r="N93" s="100">
        <v>1.2</v>
      </c>
      <c r="O93" s="100">
        <v>0</v>
      </c>
      <c r="P93" s="100">
        <v>0.84</v>
      </c>
      <c r="Q93" s="100">
        <v>13</v>
      </c>
      <c r="R93" s="6"/>
      <c r="S93" s="6"/>
      <c r="T93" s="156"/>
      <c r="U93" s="6"/>
    </row>
    <row r="94" spans="1:21" customFormat="1">
      <c r="A94" s="163" t="s">
        <v>324</v>
      </c>
      <c r="B94" s="100">
        <v>10.74</v>
      </c>
      <c r="C94" s="100">
        <v>23.15</v>
      </c>
      <c r="D94" s="100">
        <v>22.06</v>
      </c>
      <c r="E94" s="100">
        <v>8.91</v>
      </c>
      <c r="F94" s="151" t="s">
        <v>8</v>
      </c>
      <c r="G94" s="100">
        <v>85.93</v>
      </c>
      <c r="H94" s="100">
        <v>20.39</v>
      </c>
      <c r="I94" s="100">
        <v>10.17</v>
      </c>
      <c r="J94" s="100">
        <v>0.13</v>
      </c>
      <c r="K94" s="100">
        <v>191.16</v>
      </c>
      <c r="L94" s="100">
        <v>15.39</v>
      </c>
      <c r="M94" s="100">
        <v>80.69</v>
      </c>
      <c r="N94" s="100">
        <v>1.1000000000000001</v>
      </c>
      <c r="O94" s="100">
        <v>0</v>
      </c>
      <c r="P94" s="100">
        <v>0.85</v>
      </c>
      <c r="Q94" s="100">
        <v>12.99</v>
      </c>
      <c r="R94" s="6"/>
      <c r="S94" s="6"/>
      <c r="T94" s="156"/>
      <c r="U94" s="6"/>
    </row>
    <row r="95" spans="1:21" customFormat="1">
      <c r="A95" s="163" t="s">
        <v>325</v>
      </c>
      <c r="B95" s="100">
        <v>10.56</v>
      </c>
      <c r="C95" s="100">
        <v>22.95</v>
      </c>
      <c r="D95" s="100">
        <v>21.81</v>
      </c>
      <c r="E95" s="100">
        <v>9.2100000000000009</v>
      </c>
      <c r="F95" s="151" t="s">
        <v>8</v>
      </c>
      <c r="G95" s="100">
        <v>85.93</v>
      </c>
      <c r="H95" s="100">
        <v>20.39</v>
      </c>
      <c r="I95" s="100">
        <v>10.29</v>
      </c>
      <c r="J95" s="100">
        <v>0.22</v>
      </c>
      <c r="K95" s="100">
        <v>160.5</v>
      </c>
      <c r="L95" s="100">
        <v>15.22</v>
      </c>
      <c r="M95" s="100">
        <v>80.88</v>
      </c>
      <c r="N95" s="100">
        <v>1</v>
      </c>
      <c r="O95" s="100">
        <v>0</v>
      </c>
      <c r="P95" s="100">
        <v>0.86</v>
      </c>
      <c r="Q95" s="100">
        <v>12.98</v>
      </c>
      <c r="R95" s="6"/>
      <c r="S95" s="6"/>
      <c r="T95" s="156"/>
      <c r="U95" s="6"/>
    </row>
    <row r="96" spans="1:21" customFormat="1">
      <c r="A96" s="163" t="s">
        <v>326</v>
      </c>
      <c r="B96" s="100">
        <v>10.47</v>
      </c>
      <c r="C96" s="100">
        <v>22.64</v>
      </c>
      <c r="D96" s="100">
        <v>21.58</v>
      </c>
      <c r="E96" s="100">
        <v>8.5399999999999991</v>
      </c>
      <c r="F96" s="151" t="s">
        <v>8</v>
      </c>
      <c r="G96" s="100">
        <v>85.93</v>
      </c>
      <c r="H96" s="100">
        <v>20.39</v>
      </c>
      <c r="I96" s="100">
        <v>10.41</v>
      </c>
      <c r="J96" s="100">
        <v>0.2</v>
      </c>
      <c r="K96" s="100">
        <v>164.6</v>
      </c>
      <c r="L96" s="100">
        <v>15.12</v>
      </c>
      <c r="M96" s="100">
        <v>80.38</v>
      </c>
      <c r="N96" s="100">
        <v>1</v>
      </c>
      <c r="O96" s="100">
        <v>0</v>
      </c>
      <c r="P96" s="100">
        <v>0.87</v>
      </c>
      <c r="Q96" s="100">
        <v>12.97</v>
      </c>
      <c r="R96" s="6"/>
      <c r="S96" s="6"/>
      <c r="T96" s="156"/>
      <c r="U96" s="6"/>
    </row>
    <row r="97" spans="1:28" customFormat="1">
      <c r="A97" s="163" t="s">
        <v>327</v>
      </c>
      <c r="B97" s="100">
        <v>10.49</v>
      </c>
      <c r="C97" s="100">
        <v>22.38</v>
      </c>
      <c r="D97" s="100">
        <v>21.45</v>
      </c>
      <c r="E97" s="100">
        <v>8.85</v>
      </c>
      <c r="F97" s="151" t="s">
        <v>8</v>
      </c>
      <c r="G97" s="100">
        <v>83.53</v>
      </c>
      <c r="H97" s="100">
        <v>19.64</v>
      </c>
      <c r="I97" s="100">
        <v>10.5</v>
      </c>
      <c r="J97" s="100">
        <v>0.22</v>
      </c>
      <c r="K97" s="100">
        <v>160.44</v>
      </c>
      <c r="L97" s="100">
        <v>15.04</v>
      </c>
      <c r="M97" s="100">
        <v>76.73</v>
      </c>
      <c r="N97" s="100">
        <v>1</v>
      </c>
      <c r="O97" s="100">
        <v>0</v>
      </c>
      <c r="P97" s="100">
        <v>0.87</v>
      </c>
      <c r="Q97" s="100">
        <v>12.99</v>
      </c>
      <c r="R97" s="6"/>
      <c r="S97" s="6"/>
      <c r="T97" s="156"/>
      <c r="U97" s="6"/>
    </row>
    <row r="98" spans="1:28" customFormat="1">
      <c r="A98" s="163" t="s">
        <v>328</v>
      </c>
      <c r="B98" s="100">
        <v>10.55</v>
      </c>
      <c r="C98" s="100">
        <v>22.28</v>
      </c>
      <c r="D98" s="100">
        <v>21.45</v>
      </c>
      <c r="E98" s="100">
        <v>9.06</v>
      </c>
      <c r="F98" s="151" t="s">
        <v>8</v>
      </c>
      <c r="G98" s="100">
        <v>81.78</v>
      </c>
      <c r="H98" s="100">
        <v>19.420000000000002</v>
      </c>
      <c r="I98" s="100">
        <v>10.53</v>
      </c>
      <c r="J98" s="100">
        <v>0.22</v>
      </c>
      <c r="K98" s="100">
        <v>192.19</v>
      </c>
      <c r="L98" s="100">
        <v>15.11</v>
      </c>
      <c r="M98" s="100">
        <v>81.06</v>
      </c>
      <c r="N98" s="100">
        <v>1.1000000000000001</v>
      </c>
      <c r="O98" s="100">
        <v>0</v>
      </c>
      <c r="P98" s="100">
        <v>0.87</v>
      </c>
      <c r="Q98" s="100">
        <v>12.98</v>
      </c>
      <c r="R98" s="6"/>
      <c r="S98" s="6"/>
      <c r="T98" s="156"/>
      <c r="U98" s="6"/>
    </row>
    <row r="99" spans="1:28" customFormat="1">
      <c r="A99" s="163" t="s">
        <v>329</v>
      </c>
      <c r="B99" s="100">
        <v>10.53</v>
      </c>
      <c r="C99" s="100">
        <v>22.02</v>
      </c>
      <c r="D99" s="100">
        <v>21.3</v>
      </c>
      <c r="E99" s="100">
        <v>8.9499999999999993</v>
      </c>
      <c r="F99" s="151" t="s">
        <v>8</v>
      </c>
      <c r="G99" s="100">
        <v>81.78</v>
      </c>
      <c r="H99" s="100">
        <v>19.420000000000002</v>
      </c>
      <c r="I99" s="100">
        <v>10.57</v>
      </c>
      <c r="J99" s="100">
        <v>0.13</v>
      </c>
      <c r="K99" s="100">
        <v>212.38</v>
      </c>
      <c r="L99" s="100">
        <v>14.6</v>
      </c>
      <c r="M99" s="100">
        <v>82.86</v>
      </c>
      <c r="N99" s="100">
        <v>1.3</v>
      </c>
      <c r="O99" s="100">
        <v>0</v>
      </c>
      <c r="P99" s="100">
        <v>0.88</v>
      </c>
      <c r="Q99" s="100">
        <v>13</v>
      </c>
      <c r="R99" s="6"/>
      <c r="S99" s="6"/>
      <c r="T99" s="156"/>
      <c r="U99" s="6"/>
    </row>
    <row r="100" spans="1:28" customFormat="1">
      <c r="A100" s="163" t="s">
        <v>330</v>
      </c>
      <c r="B100" s="100">
        <v>10.49</v>
      </c>
      <c r="C100" s="100">
        <v>21.86</v>
      </c>
      <c r="D100" s="100">
        <v>21.18</v>
      </c>
      <c r="E100" s="100">
        <v>8.65</v>
      </c>
      <c r="F100" s="151" t="s">
        <v>8</v>
      </c>
      <c r="G100" s="100">
        <v>81.78</v>
      </c>
      <c r="H100" s="100">
        <v>19.420000000000002</v>
      </c>
      <c r="I100" s="100">
        <v>10.64</v>
      </c>
      <c r="J100" s="100">
        <v>0.13</v>
      </c>
      <c r="K100" s="100">
        <v>169.63</v>
      </c>
      <c r="L100" s="100">
        <v>14.45</v>
      </c>
      <c r="M100" s="100">
        <v>80.64</v>
      </c>
      <c r="N100" s="100">
        <v>1</v>
      </c>
      <c r="O100" s="100">
        <v>0</v>
      </c>
      <c r="P100" s="100">
        <v>0.88</v>
      </c>
      <c r="Q100" s="100">
        <v>12.98</v>
      </c>
      <c r="R100" s="6"/>
      <c r="S100" s="6"/>
      <c r="T100" s="156"/>
      <c r="U100" s="6"/>
      <c r="AB100" s="161"/>
    </row>
    <row r="101" spans="1:28" customFormat="1">
      <c r="A101" s="163" t="s">
        <v>331</v>
      </c>
      <c r="B101" s="100">
        <v>10.89</v>
      </c>
      <c r="C101" s="100">
        <v>21.81</v>
      </c>
      <c r="D101" s="100">
        <v>21.48</v>
      </c>
      <c r="E101" s="100">
        <v>9.34</v>
      </c>
      <c r="F101" s="151" t="s">
        <v>8</v>
      </c>
      <c r="G101" s="100">
        <v>81.06</v>
      </c>
      <c r="H101" s="100">
        <v>24.35</v>
      </c>
      <c r="I101" s="100">
        <v>10.71</v>
      </c>
      <c r="J101" s="100">
        <v>0.21</v>
      </c>
      <c r="K101" s="100">
        <v>162.58000000000001</v>
      </c>
      <c r="L101" s="100">
        <v>14.52</v>
      </c>
      <c r="M101" s="100">
        <v>80.2</v>
      </c>
      <c r="N101" s="100">
        <v>1</v>
      </c>
      <c r="O101" s="100">
        <v>0</v>
      </c>
      <c r="P101" s="100">
        <v>0.89</v>
      </c>
      <c r="Q101" s="100">
        <v>12.98</v>
      </c>
      <c r="R101" s="6"/>
      <c r="S101" s="6"/>
      <c r="T101" s="156"/>
      <c r="U101" s="6"/>
    </row>
    <row r="102" spans="1:28" customFormat="1">
      <c r="A102" s="163" t="s">
        <v>332</v>
      </c>
      <c r="B102" s="100">
        <v>11.73</v>
      </c>
      <c r="C102" s="100">
        <v>21.83</v>
      </c>
      <c r="D102" s="100">
        <v>22.17</v>
      </c>
      <c r="E102" s="100">
        <v>8.6999999999999993</v>
      </c>
      <c r="F102" s="151" t="s">
        <v>8</v>
      </c>
      <c r="G102" s="100">
        <v>80.53</v>
      </c>
      <c r="H102" s="100">
        <v>25.8</v>
      </c>
      <c r="I102" s="100">
        <v>10.77</v>
      </c>
      <c r="J102" s="100">
        <v>0.2</v>
      </c>
      <c r="K102" s="100">
        <v>182.45</v>
      </c>
      <c r="L102" s="100">
        <v>14.54</v>
      </c>
      <c r="M102" s="100">
        <v>85.16</v>
      </c>
      <c r="N102" s="100">
        <v>1</v>
      </c>
      <c r="O102" s="100">
        <v>0</v>
      </c>
      <c r="P102" s="100">
        <v>0.89</v>
      </c>
      <c r="Q102" s="100">
        <v>12.99</v>
      </c>
      <c r="R102" s="6"/>
      <c r="S102" s="6"/>
      <c r="T102" s="156"/>
      <c r="U102" s="6"/>
    </row>
    <row r="103" spans="1:28" customFormat="1">
      <c r="A103" s="163" t="s">
        <v>333</v>
      </c>
      <c r="B103" s="100">
        <v>12.19</v>
      </c>
      <c r="C103" s="100">
        <v>21.63</v>
      </c>
      <c r="D103" s="100">
        <v>22.43</v>
      </c>
      <c r="E103" s="100">
        <v>9.08</v>
      </c>
      <c r="F103" s="151" t="s">
        <v>8</v>
      </c>
      <c r="G103" s="100">
        <v>80.53</v>
      </c>
      <c r="H103" s="100">
        <v>25.8</v>
      </c>
      <c r="I103" s="100">
        <v>10.87</v>
      </c>
      <c r="J103" s="100">
        <v>0.18</v>
      </c>
      <c r="K103" s="100">
        <v>215.01</v>
      </c>
      <c r="L103" s="100">
        <v>14.08</v>
      </c>
      <c r="M103" s="100">
        <v>87.1</v>
      </c>
      <c r="N103" s="100">
        <v>1.3</v>
      </c>
      <c r="O103" s="100">
        <v>0</v>
      </c>
      <c r="P103" s="100">
        <v>0.91</v>
      </c>
      <c r="Q103" s="100">
        <v>12.99</v>
      </c>
      <c r="R103" s="6"/>
      <c r="S103" s="6"/>
      <c r="T103" s="156"/>
      <c r="U103" s="6"/>
    </row>
    <row r="104" spans="1:28" customFormat="1">
      <c r="A104" s="163" t="s">
        <v>334</v>
      </c>
      <c r="B104" s="100">
        <v>12.31</v>
      </c>
      <c r="C104" s="100">
        <v>21.26</v>
      </c>
      <c r="D104" s="100">
        <v>22.33</v>
      </c>
      <c r="E104" s="100">
        <v>8.83</v>
      </c>
      <c r="F104" s="151" t="s">
        <v>8</v>
      </c>
      <c r="G104" s="100">
        <v>80.53</v>
      </c>
      <c r="H104" s="100">
        <v>25.8</v>
      </c>
      <c r="I104" s="100">
        <v>10.97</v>
      </c>
      <c r="J104" s="100">
        <v>0.16</v>
      </c>
      <c r="K104" s="100">
        <v>150.94999999999999</v>
      </c>
      <c r="L104" s="100">
        <v>13.86</v>
      </c>
      <c r="M104" s="100">
        <v>87.42</v>
      </c>
      <c r="N104" s="100">
        <v>1.1000000000000001</v>
      </c>
      <c r="O104" s="100">
        <v>0</v>
      </c>
      <c r="P104" s="100">
        <v>0.92</v>
      </c>
      <c r="Q104" s="100">
        <v>13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4.3</v>
      </c>
      <c r="C106" s="158">
        <f>MIN(C9:C104)</f>
        <v>19.79</v>
      </c>
      <c r="D106" s="158">
        <f t="shared" ref="D106:Q106" si="0">MIN(D9:D104)</f>
        <v>16.34</v>
      </c>
      <c r="E106" s="158">
        <f t="shared" si="0"/>
        <v>6.57</v>
      </c>
      <c r="F106" s="158">
        <f t="shared" si="0"/>
        <v>0</v>
      </c>
      <c r="G106" s="158">
        <f t="shared" si="0"/>
        <v>44.1</v>
      </c>
      <c r="H106" s="158">
        <f t="shared" si="0"/>
        <v>11.98</v>
      </c>
      <c r="I106" s="158">
        <f t="shared" si="0"/>
        <v>6.76</v>
      </c>
      <c r="J106" s="158">
        <f t="shared" si="0"/>
        <v>0.06</v>
      </c>
      <c r="K106" s="158">
        <f t="shared" si="0"/>
        <v>2.73</v>
      </c>
      <c r="L106" s="158">
        <f t="shared" si="0"/>
        <v>13.11</v>
      </c>
      <c r="M106" s="158">
        <f t="shared" si="0"/>
        <v>20.059999999999999</v>
      </c>
      <c r="N106" s="158">
        <f t="shared" si="0"/>
        <v>1</v>
      </c>
      <c r="O106" s="158">
        <f t="shared" si="0"/>
        <v>0</v>
      </c>
      <c r="P106" s="158">
        <f t="shared" si="0"/>
        <v>0.51</v>
      </c>
      <c r="Q106" s="158">
        <f t="shared" si="0"/>
        <v>12.95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19.510000000000002</v>
      </c>
      <c r="C107" s="157">
        <f t="shared" ref="C107:Q107" si="1">MAX(C9:C104)</f>
        <v>24.85</v>
      </c>
      <c r="D107" s="157">
        <f t="shared" si="1"/>
        <v>29.6</v>
      </c>
      <c r="E107" s="157">
        <f t="shared" si="1"/>
        <v>11.87</v>
      </c>
      <c r="F107" s="157">
        <f t="shared" si="1"/>
        <v>0</v>
      </c>
      <c r="G107" s="157">
        <f t="shared" si="1"/>
        <v>87.31</v>
      </c>
      <c r="H107" s="157">
        <f t="shared" si="1"/>
        <v>26.81</v>
      </c>
      <c r="I107" s="157">
        <f t="shared" si="1"/>
        <v>11.21</v>
      </c>
      <c r="J107" s="157">
        <f t="shared" si="1"/>
        <v>1.21</v>
      </c>
      <c r="K107" s="157">
        <f t="shared" si="1"/>
        <v>359.18</v>
      </c>
      <c r="L107" s="157">
        <f t="shared" si="1"/>
        <v>26.34</v>
      </c>
      <c r="M107" s="157">
        <f t="shared" si="1"/>
        <v>91.91</v>
      </c>
      <c r="N107" s="157">
        <f t="shared" si="1"/>
        <v>525.9</v>
      </c>
      <c r="O107" s="157">
        <f t="shared" si="1"/>
        <v>0</v>
      </c>
      <c r="P107" s="157">
        <f t="shared" si="1"/>
        <v>0.92</v>
      </c>
      <c r="Q107" s="157">
        <f t="shared" si="1"/>
        <v>13.03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10.324166666666665</v>
      </c>
      <c r="C108" s="158">
        <f t="shared" ref="C108:Q108" si="2">AVERAGE(C9:C104)</f>
        <v>22.072187500000013</v>
      </c>
      <c r="D108" s="158">
        <f t="shared" si="2"/>
        <v>21.163020833333327</v>
      </c>
      <c r="E108" s="158">
        <f t="shared" si="2"/>
        <v>9.3011458333333366</v>
      </c>
      <c r="F108" s="158" t="e">
        <f t="shared" si="2"/>
        <v>#DIV/0!</v>
      </c>
      <c r="G108" s="158">
        <f t="shared" si="2"/>
        <v>65.997187499999995</v>
      </c>
      <c r="H108" s="158">
        <f t="shared" si="2"/>
        <v>20.154895833333331</v>
      </c>
      <c r="I108" s="158">
        <f t="shared" si="2"/>
        <v>9.2403125000000035</v>
      </c>
      <c r="J108" s="158">
        <f t="shared" si="2"/>
        <v>0.34697916666666667</v>
      </c>
      <c r="K108" s="158">
        <f t="shared" si="2"/>
        <v>132.35062500000001</v>
      </c>
      <c r="L108" s="158">
        <f t="shared" si="2"/>
        <v>18.552395833333339</v>
      </c>
      <c r="M108" s="158">
        <f t="shared" si="2"/>
        <v>63.390729166666667</v>
      </c>
      <c r="N108" s="158">
        <f t="shared" si="2"/>
        <v>91.921875000000014</v>
      </c>
      <c r="O108" s="158">
        <f t="shared" si="2"/>
        <v>0</v>
      </c>
      <c r="P108" s="158">
        <f t="shared" si="2"/>
        <v>0.72072916666666653</v>
      </c>
      <c r="Q108" s="158">
        <f t="shared" si="2"/>
        <v>12.987395833333345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3.5878528006731569</v>
      </c>
      <c r="C109" s="158">
        <f t="shared" ref="C109:Q109" si="3">STDEV(C9:C104)</f>
        <v>1.3774065662266213</v>
      </c>
      <c r="D109" s="158">
        <f t="shared" si="3"/>
        <v>2.9367171502571296</v>
      </c>
      <c r="E109" s="158">
        <f t="shared" si="3"/>
        <v>1.4976169630390617</v>
      </c>
      <c r="F109" s="158" t="e">
        <f t="shared" si="3"/>
        <v>#DIV/0!</v>
      </c>
      <c r="G109" s="158">
        <f t="shared" si="3"/>
        <v>13.413311667940812</v>
      </c>
      <c r="H109" s="158">
        <f t="shared" si="3"/>
        <v>3.8447076392283104</v>
      </c>
      <c r="I109" s="158">
        <f t="shared" si="3"/>
        <v>1.398488246285938</v>
      </c>
      <c r="J109" s="158">
        <f t="shared" si="3"/>
        <v>0.26718067922452254</v>
      </c>
      <c r="K109" s="158">
        <f t="shared" si="3"/>
        <v>77.853266433349503</v>
      </c>
      <c r="L109" s="158">
        <f t="shared" si="3"/>
        <v>4.5446879910950306</v>
      </c>
      <c r="M109" s="158">
        <f t="shared" si="3"/>
        <v>23.514027269059834</v>
      </c>
      <c r="N109" s="158">
        <f t="shared" si="3"/>
        <v>161.17721414192707</v>
      </c>
      <c r="O109" s="158">
        <f t="shared" si="3"/>
        <v>0</v>
      </c>
      <c r="P109" s="158">
        <f t="shared" si="3"/>
        <v>0.11382576520525403</v>
      </c>
      <c r="Q109" s="158">
        <f t="shared" si="3"/>
        <v>1.6495281090227191E-2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"/>
  <sheetViews>
    <sheetView zoomScale="85" zoomScaleNormal="85" workbookViewId="0">
      <pane xSplit="1" ySplit="8" topLeftCell="B78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335</v>
      </c>
      <c r="B9" s="100">
        <v>12.34</v>
      </c>
      <c r="C9" s="100">
        <v>20.92</v>
      </c>
      <c r="D9" s="100">
        <v>22.17</v>
      </c>
      <c r="E9" s="100">
        <v>8.61</v>
      </c>
      <c r="F9" s="151" t="s">
        <v>8</v>
      </c>
      <c r="G9" s="100">
        <v>78.16</v>
      </c>
      <c r="H9" s="100">
        <v>25.59</v>
      </c>
      <c r="I9" s="100">
        <v>11.07</v>
      </c>
      <c r="J9" s="100">
        <v>0.15</v>
      </c>
      <c r="K9" s="100">
        <v>226.33</v>
      </c>
      <c r="L9" s="100">
        <v>13.81</v>
      </c>
      <c r="M9" s="100">
        <v>87.55</v>
      </c>
      <c r="N9" s="100">
        <v>1</v>
      </c>
      <c r="O9" s="100">
        <v>0</v>
      </c>
      <c r="P9" s="100">
        <v>0.93</v>
      </c>
      <c r="Q9" s="100">
        <v>13.01</v>
      </c>
      <c r="R9" s="6"/>
      <c r="S9" s="6"/>
      <c r="T9" s="156"/>
      <c r="U9" s="6"/>
    </row>
    <row r="10" spans="1:21" customFormat="1">
      <c r="A10" s="163" t="s">
        <v>336</v>
      </c>
      <c r="B10" s="100">
        <v>12.27</v>
      </c>
      <c r="C10" s="100">
        <v>20.74</v>
      </c>
      <c r="D10" s="100">
        <v>22.03</v>
      </c>
      <c r="E10" s="100">
        <v>8.7899999999999991</v>
      </c>
      <c r="F10" s="151" t="s">
        <v>8</v>
      </c>
      <c r="G10" s="100">
        <v>76.430000000000007</v>
      </c>
      <c r="H10" s="100">
        <v>25.53</v>
      </c>
      <c r="I10" s="100">
        <v>11.18</v>
      </c>
      <c r="J10" s="100">
        <v>0.21</v>
      </c>
      <c r="K10" s="100">
        <v>234.74</v>
      </c>
      <c r="L10" s="100">
        <v>13.57</v>
      </c>
      <c r="M10" s="100">
        <v>86.49</v>
      </c>
      <c r="N10" s="100">
        <v>1.1000000000000001</v>
      </c>
      <c r="O10" s="100">
        <v>0</v>
      </c>
      <c r="P10" s="100">
        <v>0.93</v>
      </c>
      <c r="Q10" s="100">
        <v>13.02</v>
      </c>
      <c r="R10" s="6"/>
      <c r="S10" s="6"/>
      <c r="T10" s="156"/>
      <c r="U10" s="6"/>
    </row>
    <row r="11" spans="1:21" customFormat="1">
      <c r="A11" s="163" t="s">
        <v>337</v>
      </c>
      <c r="B11" s="100">
        <v>12.27</v>
      </c>
      <c r="C11" s="100">
        <v>20.71</v>
      </c>
      <c r="D11" s="100">
        <v>22.01</v>
      </c>
      <c r="E11" s="100">
        <v>8.68</v>
      </c>
      <c r="F11" s="151" t="s">
        <v>8</v>
      </c>
      <c r="G11" s="100">
        <v>76.430000000000007</v>
      </c>
      <c r="H11" s="100">
        <v>25.53</v>
      </c>
      <c r="I11" s="100">
        <v>11.32</v>
      </c>
      <c r="J11" s="100">
        <v>0.09</v>
      </c>
      <c r="K11" s="100">
        <v>180.44</v>
      </c>
      <c r="L11" s="100">
        <v>13.29</v>
      </c>
      <c r="M11" s="100">
        <v>87.05</v>
      </c>
      <c r="N11" s="100">
        <v>1.3</v>
      </c>
      <c r="O11" s="100">
        <v>0</v>
      </c>
      <c r="P11" s="100">
        <v>0.94</v>
      </c>
      <c r="Q11" s="100">
        <v>13</v>
      </c>
      <c r="R11" s="6"/>
      <c r="S11" s="6"/>
      <c r="T11" s="156"/>
      <c r="U11" s="6"/>
    </row>
    <row r="12" spans="1:21" customFormat="1">
      <c r="A12" s="163" t="s">
        <v>338</v>
      </c>
      <c r="B12" s="100">
        <v>12.49</v>
      </c>
      <c r="C12" s="100">
        <v>20.63</v>
      </c>
      <c r="D12" s="100">
        <v>22.14</v>
      </c>
      <c r="E12" s="100">
        <v>8.6300000000000008</v>
      </c>
      <c r="F12" s="151" t="s">
        <v>8</v>
      </c>
      <c r="G12" s="100">
        <v>76.430000000000007</v>
      </c>
      <c r="H12" s="100">
        <v>25.53</v>
      </c>
      <c r="I12" s="100">
        <v>11.48</v>
      </c>
      <c r="J12" s="100">
        <v>0.11</v>
      </c>
      <c r="K12" s="100">
        <v>150.94999999999999</v>
      </c>
      <c r="L12" s="100">
        <v>13.32</v>
      </c>
      <c r="M12" s="100">
        <v>83.39</v>
      </c>
      <c r="N12" s="100">
        <v>1</v>
      </c>
      <c r="O12" s="100">
        <v>0</v>
      </c>
      <c r="P12" s="100">
        <v>0.95</v>
      </c>
      <c r="Q12" s="100">
        <v>12.99</v>
      </c>
      <c r="R12" s="6"/>
      <c r="S12" s="6"/>
      <c r="T12" s="156"/>
      <c r="U12" s="6"/>
    </row>
    <row r="13" spans="1:21" customFormat="1">
      <c r="A13" s="163" t="s">
        <v>339</v>
      </c>
      <c r="B13" s="100">
        <v>13.11</v>
      </c>
      <c r="C13" s="100">
        <v>20.88</v>
      </c>
      <c r="D13" s="100">
        <v>22.78</v>
      </c>
      <c r="E13" s="100">
        <v>8.8800000000000008</v>
      </c>
      <c r="F13" s="151" t="s">
        <v>8</v>
      </c>
      <c r="G13" s="100">
        <v>76.489999999999995</v>
      </c>
      <c r="H13" s="100">
        <v>24.14</v>
      </c>
      <c r="I13" s="100">
        <v>11.6</v>
      </c>
      <c r="J13" s="100">
        <v>0.09</v>
      </c>
      <c r="K13" s="100">
        <v>150.91</v>
      </c>
      <c r="L13" s="100">
        <v>13.35</v>
      </c>
      <c r="M13" s="100">
        <v>82.2</v>
      </c>
      <c r="N13" s="100">
        <v>1</v>
      </c>
      <c r="O13" s="100">
        <v>0</v>
      </c>
      <c r="P13" s="100">
        <v>0.99</v>
      </c>
      <c r="Q13" s="100">
        <v>12.99</v>
      </c>
      <c r="R13" s="6"/>
      <c r="S13" s="6"/>
      <c r="T13" s="156"/>
      <c r="U13" s="6"/>
    </row>
    <row r="14" spans="1:21" customFormat="1">
      <c r="A14" s="163" t="s">
        <v>340</v>
      </c>
      <c r="B14" s="100">
        <v>15.34</v>
      </c>
      <c r="C14" s="100">
        <v>21.39</v>
      </c>
      <c r="D14" s="100">
        <v>24.83</v>
      </c>
      <c r="E14" s="100">
        <v>8.9700000000000006</v>
      </c>
      <c r="F14" s="151" t="s">
        <v>8</v>
      </c>
      <c r="G14" s="100">
        <v>76.53</v>
      </c>
      <c r="H14" s="100">
        <v>23.25</v>
      </c>
      <c r="I14" s="100">
        <v>11.74</v>
      </c>
      <c r="J14" s="100">
        <v>0.14000000000000001</v>
      </c>
      <c r="K14" s="100">
        <v>124.16</v>
      </c>
      <c r="L14" s="100">
        <v>13.62</v>
      </c>
      <c r="M14" s="100">
        <v>79.33</v>
      </c>
      <c r="N14" s="100">
        <v>0.9</v>
      </c>
      <c r="O14" s="100">
        <v>0</v>
      </c>
      <c r="P14" s="100">
        <v>1.02</v>
      </c>
      <c r="Q14" s="100">
        <v>13.01</v>
      </c>
      <c r="R14" s="6"/>
      <c r="S14" s="6"/>
      <c r="T14" s="156"/>
      <c r="U14" s="6"/>
    </row>
    <row r="15" spans="1:21" customFormat="1">
      <c r="A15" s="163" t="s">
        <v>341</v>
      </c>
      <c r="B15" s="100">
        <v>18.690000000000001</v>
      </c>
      <c r="C15" s="100">
        <v>22</v>
      </c>
      <c r="D15" s="100">
        <v>27.83</v>
      </c>
      <c r="E15" s="100">
        <v>8.6300000000000008</v>
      </c>
      <c r="F15" s="151" t="s">
        <v>8</v>
      </c>
      <c r="G15" s="100">
        <v>76.53</v>
      </c>
      <c r="H15" s="100">
        <v>23.25</v>
      </c>
      <c r="I15" s="100">
        <v>11.89</v>
      </c>
      <c r="J15" s="100">
        <v>0.1</v>
      </c>
      <c r="K15" s="100">
        <v>164.37</v>
      </c>
      <c r="L15" s="100">
        <v>13.79</v>
      </c>
      <c r="M15" s="100">
        <v>78.52</v>
      </c>
      <c r="N15" s="100">
        <v>1</v>
      </c>
      <c r="O15" s="100">
        <v>0</v>
      </c>
      <c r="P15" s="100">
        <v>1.04</v>
      </c>
      <c r="Q15" s="100">
        <v>13.03</v>
      </c>
      <c r="R15" s="6"/>
      <c r="S15" s="6"/>
      <c r="T15" s="156"/>
      <c r="U15" s="6"/>
    </row>
    <row r="16" spans="1:21" customFormat="1">
      <c r="A16" s="163" t="s">
        <v>342</v>
      </c>
      <c r="B16" s="100">
        <v>21.4</v>
      </c>
      <c r="C16" s="100">
        <v>22.47</v>
      </c>
      <c r="D16" s="100">
        <v>30.26</v>
      </c>
      <c r="E16" s="100">
        <v>8.43</v>
      </c>
      <c r="F16" s="151" t="s">
        <v>8</v>
      </c>
      <c r="G16" s="100">
        <v>76.53</v>
      </c>
      <c r="H16" s="100">
        <v>23.25</v>
      </c>
      <c r="I16" s="100">
        <v>12.03</v>
      </c>
      <c r="J16" s="100">
        <v>0.08</v>
      </c>
      <c r="K16" s="100">
        <v>190.79</v>
      </c>
      <c r="L16" s="100">
        <v>13.6</v>
      </c>
      <c r="M16" s="100">
        <v>79.209999999999994</v>
      </c>
      <c r="N16" s="100">
        <v>1</v>
      </c>
      <c r="O16" s="100">
        <v>0</v>
      </c>
      <c r="P16" s="100">
        <v>1.04</v>
      </c>
      <c r="Q16" s="100">
        <v>13.05</v>
      </c>
      <c r="R16" s="6"/>
      <c r="S16" s="6"/>
      <c r="T16" s="156"/>
      <c r="U16" s="6"/>
    </row>
    <row r="17" spans="1:21" customFormat="1">
      <c r="A17" s="163" t="s">
        <v>343</v>
      </c>
      <c r="B17" s="100">
        <v>23.82</v>
      </c>
      <c r="C17" s="100">
        <v>22.96</v>
      </c>
      <c r="D17" s="100">
        <v>32.450000000000003</v>
      </c>
      <c r="E17" s="100">
        <v>7.93</v>
      </c>
      <c r="F17" s="151" t="s">
        <v>8</v>
      </c>
      <c r="G17" s="100">
        <v>76.91</v>
      </c>
      <c r="H17" s="100">
        <v>21.82</v>
      </c>
      <c r="I17" s="100">
        <v>12.18</v>
      </c>
      <c r="J17" s="100">
        <v>0.14000000000000001</v>
      </c>
      <c r="K17" s="100">
        <v>163.16</v>
      </c>
      <c r="L17" s="100">
        <v>13.62</v>
      </c>
      <c r="M17" s="100">
        <v>77.98</v>
      </c>
      <c r="N17" s="100">
        <v>1.1000000000000001</v>
      </c>
      <c r="O17" s="100">
        <v>0</v>
      </c>
      <c r="P17" s="100">
        <v>1.06</v>
      </c>
      <c r="Q17" s="100">
        <v>13.04</v>
      </c>
      <c r="R17" s="6"/>
      <c r="S17" s="6"/>
      <c r="T17" s="156"/>
      <c r="U17" s="6"/>
    </row>
    <row r="18" spans="1:21" customFormat="1">
      <c r="A18" s="163" t="s">
        <v>344</v>
      </c>
      <c r="B18" s="100">
        <v>25.65</v>
      </c>
      <c r="C18" s="100">
        <v>23.19</v>
      </c>
      <c r="D18" s="100">
        <v>34.04</v>
      </c>
      <c r="E18" s="100">
        <v>9.89</v>
      </c>
      <c r="F18" s="151" t="s">
        <v>8</v>
      </c>
      <c r="G18" s="100">
        <v>77.19</v>
      </c>
      <c r="H18" s="100">
        <v>21.37</v>
      </c>
      <c r="I18" s="100">
        <v>12.35</v>
      </c>
      <c r="J18" s="100">
        <v>0.14000000000000001</v>
      </c>
      <c r="K18" s="100">
        <v>179.37</v>
      </c>
      <c r="L18" s="100">
        <v>13.43</v>
      </c>
      <c r="M18" s="100">
        <v>82.66</v>
      </c>
      <c r="N18" s="100">
        <v>1.2</v>
      </c>
      <c r="O18" s="100">
        <v>0</v>
      </c>
      <c r="P18" s="100">
        <v>1.08</v>
      </c>
      <c r="Q18" s="100">
        <v>13.05</v>
      </c>
      <c r="R18" s="6"/>
      <c r="S18" s="6"/>
      <c r="T18" s="156"/>
      <c r="U18" s="6"/>
    </row>
    <row r="19" spans="1:21" customFormat="1">
      <c r="A19" s="163" t="s">
        <v>345</v>
      </c>
      <c r="B19" s="100">
        <v>26.67</v>
      </c>
      <c r="C19" s="100">
        <v>23.26</v>
      </c>
      <c r="D19" s="100">
        <v>34.89</v>
      </c>
      <c r="E19" s="100">
        <v>9.42</v>
      </c>
      <c r="F19" s="151" t="s">
        <v>8</v>
      </c>
      <c r="G19" s="100">
        <v>77.19</v>
      </c>
      <c r="H19" s="100">
        <v>21.37</v>
      </c>
      <c r="I19" s="100">
        <v>12.56</v>
      </c>
      <c r="J19" s="100">
        <v>0.2</v>
      </c>
      <c r="K19" s="100">
        <v>204.8</v>
      </c>
      <c r="L19" s="100">
        <v>13.18</v>
      </c>
      <c r="M19" s="100">
        <v>84.8</v>
      </c>
      <c r="N19" s="100">
        <v>1.1000000000000001</v>
      </c>
      <c r="O19" s="100">
        <v>0</v>
      </c>
      <c r="P19" s="100">
        <v>1.0900000000000001</v>
      </c>
      <c r="Q19" s="100">
        <v>13.06</v>
      </c>
      <c r="R19" s="6"/>
      <c r="S19" s="6"/>
      <c r="T19" s="156"/>
      <c r="U19" s="6"/>
    </row>
    <row r="20" spans="1:21" customFormat="1">
      <c r="A20" s="163" t="s">
        <v>346</v>
      </c>
      <c r="B20" s="100">
        <v>27</v>
      </c>
      <c r="C20" s="100">
        <v>23.27</v>
      </c>
      <c r="D20" s="100">
        <v>35.159999999999997</v>
      </c>
      <c r="E20" s="100">
        <v>9.32</v>
      </c>
      <c r="F20" s="151" t="s">
        <v>8</v>
      </c>
      <c r="G20" s="100">
        <v>77.19</v>
      </c>
      <c r="H20" s="100">
        <v>21.37</v>
      </c>
      <c r="I20" s="100">
        <v>12.82</v>
      </c>
      <c r="J20" s="100">
        <v>0.23</v>
      </c>
      <c r="K20" s="100">
        <v>198.52</v>
      </c>
      <c r="L20" s="100">
        <v>12.76</v>
      </c>
      <c r="M20" s="100">
        <v>88.51</v>
      </c>
      <c r="N20" s="100">
        <v>1.5</v>
      </c>
      <c r="O20" s="100">
        <v>0</v>
      </c>
      <c r="P20" s="100">
        <v>1.1000000000000001</v>
      </c>
      <c r="Q20" s="100">
        <v>13.05</v>
      </c>
      <c r="R20" s="6"/>
      <c r="S20" s="6"/>
      <c r="T20" s="156"/>
      <c r="U20" s="6"/>
    </row>
    <row r="21" spans="1:21" customFormat="1">
      <c r="A21" s="163" t="s">
        <v>347</v>
      </c>
      <c r="B21" s="100">
        <v>26.48</v>
      </c>
      <c r="C21" s="100">
        <v>22.83</v>
      </c>
      <c r="D21" s="100">
        <v>34.51</v>
      </c>
      <c r="E21" s="100">
        <v>9.6199999999999992</v>
      </c>
      <c r="F21" s="151" t="s">
        <v>8</v>
      </c>
      <c r="G21" s="100">
        <v>75.849999999999994</v>
      </c>
      <c r="H21" s="100">
        <v>22.84</v>
      </c>
      <c r="I21" s="100">
        <v>13.1</v>
      </c>
      <c r="J21" s="100">
        <v>0.17</v>
      </c>
      <c r="K21" s="100">
        <v>204.22</v>
      </c>
      <c r="L21" s="100">
        <v>12.25</v>
      </c>
      <c r="M21" s="100">
        <v>89.3</v>
      </c>
      <c r="N21" s="100">
        <v>1.4</v>
      </c>
      <c r="O21" s="100">
        <v>0</v>
      </c>
      <c r="P21" s="100">
        <v>1.1100000000000001</v>
      </c>
      <c r="Q21" s="100">
        <v>13.06</v>
      </c>
      <c r="R21" s="6"/>
      <c r="S21" s="6"/>
      <c r="T21" s="156"/>
      <c r="U21" s="6"/>
    </row>
    <row r="22" spans="1:21" customFormat="1">
      <c r="A22" s="163" t="s">
        <v>348</v>
      </c>
      <c r="B22" s="100">
        <v>25.75</v>
      </c>
      <c r="C22" s="100">
        <v>22.37</v>
      </c>
      <c r="D22" s="100">
        <v>33.69</v>
      </c>
      <c r="E22" s="100">
        <v>9.2200000000000006</v>
      </c>
      <c r="F22" s="151" t="s">
        <v>8</v>
      </c>
      <c r="G22" s="100">
        <v>74.87</v>
      </c>
      <c r="H22" s="100">
        <v>23.31</v>
      </c>
      <c r="I22" s="100">
        <v>13.31</v>
      </c>
      <c r="J22" s="100">
        <v>0.21</v>
      </c>
      <c r="K22" s="100">
        <v>223.86</v>
      </c>
      <c r="L22" s="100">
        <v>12.09</v>
      </c>
      <c r="M22" s="100">
        <v>88.54</v>
      </c>
      <c r="N22" s="100">
        <v>1.3</v>
      </c>
      <c r="O22" s="100">
        <v>0</v>
      </c>
      <c r="P22" s="100">
        <v>1.1200000000000001</v>
      </c>
      <c r="Q22" s="100">
        <v>13.03</v>
      </c>
      <c r="R22" s="6"/>
      <c r="S22" s="6"/>
      <c r="T22" s="156"/>
      <c r="U22" s="6"/>
    </row>
    <row r="23" spans="1:21" customFormat="1">
      <c r="A23" s="163" t="s">
        <v>349</v>
      </c>
      <c r="B23" s="100">
        <v>24.78</v>
      </c>
      <c r="C23" s="100">
        <v>22.38</v>
      </c>
      <c r="D23" s="100">
        <v>32.909999999999997</v>
      </c>
      <c r="E23" s="100">
        <v>9.4</v>
      </c>
      <c r="F23" s="151" t="s">
        <v>8</v>
      </c>
      <c r="G23" s="100">
        <v>74.87</v>
      </c>
      <c r="H23" s="100">
        <v>23.31</v>
      </c>
      <c r="I23" s="100">
        <v>13.43</v>
      </c>
      <c r="J23" s="100">
        <v>0.11</v>
      </c>
      <c r="K23" s="100">
        <v>206.26</v>
      </c>
      <c r="L23" s="100">
        <v>12.01</v>
      </c>
      <c r="M23" s="100">
        <v>85.52</v>
      </c>
      <c r="N23" s="100">
        <v>1.2</v>
      </c>
      <c r="O23" s="100">
        <v>0</v>
      </c>
      <c r="P23" s="100">
        <v>1.1299999999999999</v>
      </c>
      <c r="Q23" s="100">
        <v>13.03</v>
      </c>
      <c r="R23" s="6"/>
      <c r="S23" s="6"/>
      <c r="T23" s="156"/>
      <c r="U23" s="6"/>
    </row>
    <row r="24" spans="1:21" customFormat="1">
      <c r="A24" s="163" t="s">
        <v>350</v>
      </c>
      <c r="B24" s="100">
        <v>23.62</v>
      </c>
      <c r="C24" s="100">
        <v>22.1</v>
      </c>
      <c r="D24" s="100">
        <v>31.84</v>
      </c>
      <c r="E24" s="100">
        <v>8.9600000000000009</v>
      </c>
      <c r="F24" s="151" t="s">
        <v>8</v>
      </c>
      <c r="G24" s="100">
        <v>74.87</v>
      </c>
      <c r="H24" s="100">
        <v>23.31</v>
      </c>
      <c r="I24" s="100">
        <v>13.59</v>
      </c>
      <c r="J24" s="100">
        <v>0.06</v>
      </c>
      <c r="K24" s="100">
        <v>156.01</v>
      </c>
      <c r="L24" s="100">
        <v>11.88</v>
      </c>
      <c r="M24" s="100">
        <v>89.81</v>
      </c>
      <c r="N24" s="100">
        <v>1.2</v>
      </c>
      <c r="O24" s="100">
        <v>0</v>
      </c>
      <c r="P24" s="100">
        <v>1.1399999999999999</v>
      </c>
      <c r="Q24" s="100">
        <v>13.04</v>
      </c>
      <c r="R24" s="6"/>
      <c r="S24" s="6"/>
      <c r="T24" s="156"/>
      <c r="U24" s="6"/>
    </row>
    <row r="25" spans="1:21" customFormat="1">
      <c r="A25" s="163" t="s">
        <v>351</v>
      </c>
      <c r="B25" s="100">
        <v>22.56</v>
      </c>
      <c r="C25" s="100">
        <v>21.71</v>
      </c>
      <c r="D25" s="100">
        <v>30.78</v>
      </c>
      <c r="E25" s="100">
        <v>8.77</v>
      </c>
      <c r="F25" s="151" t="s">
        <v>8</v>
      </c>
      <c r="G25" s="100">
        <v>73.97</v>
      </c>
      <c r="H25" s="100">
        <v>26.27</v>
      </c>
      <c r="I25" s="100">
        <v>13.75</v>
      </c>
      <c r="J25" s="100">
        <v>0.09</v>
      </c>
      <c r="K25" s="100">
        <v>146.85</v>
      </c>
      <c r="L25" s="100">
        <v>11.73</v>
      </c>
      <c r="M25" s="100">
        <v>91.39</v>
      </c>
      <c r="N25" s="100">
        <v>1.1000000000000001</v>
      </c>
      <c r="O25" s="100">
        <v>0</v>
      </c>
      <c r="P25" s="100">
        <v>1.1399999999999999</v>
      </c>
      <c r="Q25" s="100">
        <v>13.04</v>
      </c>
      <c r="R25" s="6"/>
      <c r="S25" s="6"/>
      <c r="T25" s="156"/>
      <c r="U25" s="6"/>
    </row>
    <row r="26" spans="1:21" customFormat="1">
      <c r="A26" s="163" t="s">
        <v>352</v>
      </c>
      <c r="B26" s="100">
        <v>22.42</v>
      </c>
      <c r="C26" s="100">
        <v>21.61</v>
      </c>
      <c r="D26" s="100">
        <v>30.62</v>
      </c>
      <c r="E26" s="100">
        <v>8.74</v>
      </c>
      <c r="F26" s="151" t="s">
        <v>8</v>
      </c>
      <c r="G26" s="100">
        <v>73.319999999999993</v>
      </c>
      <c r="H26" s="100">
        <v>27.22</v>
      </c>
      <c r="I26" s="100">
        <v>13.83</v>
      </c>
      <c r="J26" s="100">
        <v>0.13</v>
      </c>
      <c r="K26" s="100">
        <v>130.38999999999999</v>
      </c>
      <c r="L26" s="100">
        <v>11.89</v>
      </c>
      <c r="M26" s="100">
        <v>89.42</v>
      </c>
      <c r="N26" s="100">
        <v>1</v>
      </c>
      <c r="O26" s="100">
        <v>0</v>
      </c>
      <c r="P26" s="100">
        <v>1.1299999999999999</v>
      </c>
      <c r="Q26" s="100">
        <v>13.04</v>
      </c>
      <c r="R26" s="6"/>
      <c r="S26" s="6"/>
      <c r="T26" s="156"/>
      <c r="U26" s="6"/>
    </row>
    <row r="27" spans="1:21" customFormat="1">
      <c r="A27" s="163" t="s">
        <v>353</v>
      </c>
      <c r="B27" s="100">
        <v>23.77</v>
      </c>
      <c r="C27" s="100">
        <v>21.71</v>
      </c>
      <c r="D27" s="100">
        <v>31.76</v>
      </c>
      <c r="E27" s="100">
        <v>8.8800000000000008</v>
      </c>
      <c r="F27" s="151" t="s">
        <v>8</v>
      </c>
      <c r="G27" s="100">
        <v>73.319999999999993</v>
      </c>
      <c r="H27" s="100">
        <v>27.22</v>
      </c>
      <c r="I27" s="100">
        <v>13.87</v>
      </c>
      <c r="J27" s="100">
        <v>0.09</v>
      </c>
      <c r="K27" s="100">
        <v>116.82</v>
      </c>
      <c r="L27" s="100">
        <v>12</v>
      </c>
      <c r="M27" s="100">
        <v>88.35</v>
      </c>
      <c r="N27" s="100">
        <v>1</v>
      </c>
      <c r="O27" s="100">
        <v>0</v>
      </c>
      <c r="P27" s="100">
        <v>1.1399999999999999</v>
      </c>
      <c r="Q27" s="100">
        <v>13.03</v>
      </c>
      <c r="R27" s="6"/>
      <c r="S27" s="6"/>
      <c r="T27" s="156"/>
      <c r="U27" s="6"/>
    </row>
    <row r="28" spans="1:21" customFormat="1">
      <c r="A28" s="163" t="s">
        <v>354</v>
      </c>
      <c r="B28" s="100">
        <v>25.99</v>
      </c>
      <c r="C28" s="100">
        <v>21.82</v>
      </c>
      <c r="D28" s="100">
        <v>33.590000000000003</v>
      </c>
      <c r="E28" s="100">
        <v>8.92</v>
      </c>
      <c r="F28" s="151" t="s">
        <v>8</v>
      </c>
      <c r="G28" s="100">
        <v>73.319999999999993</v>
      </c>
      <c r="H28" s="100">
        <v>27.22</v>
      </c>
      <c r="I28" s="100">
        <v>13.92</v>
      </c>
      <c r="J28" s="100">
        <v>0.11</v>
      </c>
      <c r="K28" s="100">
        <v>152.38999999999999</v>
      </c>
      <c r="L28" s="100">
        <v>12.08</v>
      </c>
      <c r="M28" s="100">
        <v>87.54</v>
      </c>
      <c r="N28" s="100">
        <v>1</v>
      </c>
      <c r="O28" s="100">
        <v>0</v>
      </c>
      <c r="P28" s="100">
        <v>1.1399999999999999</v>
      </c>
      <c r="Q28" s="100">
        <v>13.06</v>
      </c>
      <c r="R28" s="6"/>
      <c r="S28" s="6"/>
      <c r="T28" s="156"/>
      <c r="U28" s="6"/>
    </row>
    <row r="29" spans="1:21" customFormat="1">
      <c r="A29" s="163" t="s">
        <v>355</v>
      </c>
      <c r="B29" s="100">
        <v>28.22</v>
      </c>
      <c r="C29" s="100">
        <v>22</v>
      </c>
      <c r="D29" s="100">
        <v>35.479999999999997</v>
      </c>
      <c r="E29" s="100">
        <v>8.75</v>
      </c>
      <c r="F29" s="151" t="s">
        <v>8</v>
      </c>
      <c r="G29" s="100">
        <v>73.73</v>
      </c>
      <c r="H29" s="100">
        <v>26.28</v>
      </c>
      <c r="I29" s="100">
        <v>13.96</v>
      </c>
      <c r="J29" s="100">
        <v>0.14000000000000001</v>
      </c>
      <c r="K29" s="100">
        <v>148.62</v>
      </c>
      <c r="L29" s="100">
        <v>12.13</v>
      </c>
      <c r="M29" s="100">
        <v>86.93</v>
      </c>
      <c r="N29" s="100">
        <v>1</v>
      </c>
      <c r="O29" s="100">
        <v>0</v>
      </c>
      <c r="P29" s="100">
        <v>1.1399999999999999</v>
      </c>
      <c r="Q29" s="100">
        <v>13.06</v>
      </c>
      <c r="R29" s="6"/>
      <c r="S29" s="6"/>
      <c r="T29" s="156"/>
      <c r="U29" s="6"/>
    </row>
    <row r="30" spans="1:21" customFormat="1">
      <c r="A30" s="163" t="s">
        <v>356</v>
      </c>
      <c r="B30" s="100">
        <v>29.68</v>
      </c>
      <c r="C30" s="100">
        <v>21.92</v>
      </c>
      <c r="D30" s="100">
        <v>36.61</v>
      </c>
      <c r="E30" s="100">
        <v>8.7799999999999994</v>
      </c>
      <c r="F30" s="151" t="s">
        <v>8</v>
      </c>
      <c r="G30" s="100">
        <v>74.03</v>
      </c>
      <c r="H30" s="100">
        <v>26</v>
      </c>
      <c r="I30" s="100">
        <v>13.98</v>
      </c>
      <c r="J30" s="100">
        <v>0.12</v>
      </c>
      <c r="K30" s="100">
        <v>147.75</v>
      </c>
      <c r="L30" s="100">
        <v>11.94</v>
      </c>
      <c r="M30" s="100">
        <v>87.97</v>
      </c>
      <c r="N30" s="100">
        <v>1</v>
      </c>
      <c r="O30" s="100">
        <v>0</v>
      </c>
      <c r="P30" s="100">
        <v>1.1399999999999999</v>
      </c>
      <c r="Q30" s="100">
        <v>13.07</v>
      </c>
      <c r="R30" s="6"/>
      <c r="S30" s="6"/>
      <c r="T30" s="156"/>
      <c r="U30" s="6"/>
    </row>
    <row r="31" spans="1:21" customFormat="1">
      <c r="A31" s="163" t="s">
        <v>357</v>
      </c>
      <c r="B31" s="100">
        <v>30.62</v>
      </c>
      <c r="C31" s="100">
        <v>21.92</v>
      </c>
      <c r="D31" s="100">
        <v>37.36</v>
      </c>
      <c r="E31" s="100">
        <v>8.18</v>
      </c>
      <c r="F31" s="151" t="s">
        <v>8</v>
      </c>
      <c r="G31" s="100">
        <v>74.03</v>
      </c>
      <c r="H31" s="100">
        <v>26</v>
      </c>
      <c r="I31" s="100">
        <v>14.01</v>
      </c>
      <c r="J31" s="100">
        <v>0.14000000000000001</v>
      </c>
      <c r="K31" s="100">
        <v>192.09</v>
      </c>
      <c r="L31" s="100">
        <v>11.87</v>
      </c>
      <c r="M31" s="100">
        <v>89.39</v>
      </c>
      <c r="N31" s="100">
        <v>0.9</v>
      </c>
      <c r="O31" s="100">
        <v>0</v>
      </c>
      <c r="P31" s="100">
        <v>1.1299999999999999</v>
      </c>
      <c r="Q31" s="100">
        <v>13.06</v>
      </c>
      <c r="R31" s="6"/>
      <c r="S31" s="6"/>
      <c r="T31" s="156"/>
      <c r="U31" s="6"/>
    </row>
    <row r="32" spans="1:21" customFormat="1">
      <c r="A32" s="163" t="s">
        <v>358</v>
      </c>
      <c r="B32" s="100">
        <v>30.6</v>
      </c>
      <c r="C32" s="100">
        <v>21.64</v>
      </c>
      <c r="D32" s="100">
        <v>37.19</v>
      </c>
      <c r="E32" s="100">
        <v>8.5500000000000007</v>
      </c>
      <c r="F32" s="151" t="s">
        <v>8</v>
      </c>
      <c r="G32" s="100">
        <v>74.03</v>
      </c>
      <c r="H32" s="100">
        <v>26</v>
      </c>
      <c r="I32" s="100">
        <v>14.09</v>
      </c>
      <c r="J32" s="100">
        <v>0.15</v>
      </c>
      <c r="K32" s="100">
        <v>214.67</v>
      </c>
      <c r="L32" s="100">
        <v>11.75</v>
      </c>
      <c r="M32" s="100">
        <v>92.69</v>
      </c>
      <c r="N32" s="100">
        <v>1.1000000000000001</v>
      </c>
      <c r="O32" s="100">
        <v>0</v>
      </c>
      <c r="P32" s="100">
        <v>1.0900000000000001</v>
      </c>
      <c r="Q32" s="100">
        <v>13.05</v>
      </c>
      <c r="R32" s="6"/>
      <c r="S32" s="6"/>
      <c r="T32" s="156"/>
      <c r="U32" s="6"/>
    </row>
    <row r="33" spans="1:21" customFormat="1">
      <c r="A33" s="163" t="s">
        <v>359</v>
      </c>
      <c r="B33" s="100">
        <v>30.16</v>
      </c>
      <c r="C33" s="100">
        <v>21.5</v>
      </c>
      <c r="D33" s="100">
        <v>36.770000000000003</v>
      </c>
      <c r="E33" s="100">
        <v>8.68</v>
      </c>
      <c r="F33" s="151" t="s">
        <v>8</v>
      </c>
      <c r="G33" s="100">
        <v>73.430000000000007</v>
      </c>
      <c r="H33" s="100">
        <v>26.72</v>
      </c>
      <c r="I33" s="100">
        <v>14.16</v>
      </c>
      <c r="J33" s="100">
        <v>0.1</v>
      </c>
      <c r="K33" s="100">
        <v>199.54</v>
      </c>
      <c r="L33" s="100">
        <v>11.49</v>
      </c>
      <c r="M33" s="100">
        <v>92.96</v>
      </c>
      <c r="N33" s="100">
        <v>1.3</v>
      </c>
      <c r="O33" s="100">
        <v>0</v>
      </c>
      <c r="P33" s="100">
        <v>1.07</v>
      </c>
      <c r="Q33" s="100">
        <v>13.07</v>
      </c>
      <c r="R33" s="6"/>
      <c r="S33" s="6"/>
      <c r="T33" s="156"/>
      <c r="U33" s="6"/>
    </row>
    <row r="34" spans="1:21" customFormat="1">
      <c r="A34" s="163" t="s">
        <v>360</v>
      </c>
      <c r="B34" s="100">
        <v>30.11</v>
      </c>
      <c r="C34" s="100">
        <v>21.09</v>
      </c>
      <c r="D34" s="100">
        <v>36.520000000000003</v>
      </c>
      <c r="E34" s="100">
        <v>8.77</v>
      </c>
      <c r="F34" s="151" t="s">
        <v>8</v>
      </c>
      <c r="G34" s="100">
        <v>72.989999999999995</v>
      </c>
      <c r="H34" s="100">
        <v>26.94</v>
      </c>
      <c r="I34" s="100">
        <v>14.2</v>
      </c>
      <c r="J34" s="100">
        <v>0.12</v>
      </c>
      <c r="K34" s="100">
        <v>207.59</v>
      </c>
      <c r="L34" s="100">
        <v>11.39</v>
      </c>
      <c r="M34" s="100">
        <v>93.84</v>
      </c>
      <c r="N34" s="100">
        <v>2.6</v>
      </c>
      <c r="O34" s="100">
        <v>0</v>
      </c>
      <c r="P34" s="100">
        <v>1.06</v>
      </c>
      <c r="Q34" s="100">
        <v>13.06</v>
      </c>
      <c r="R34" s="6"/>
      <c r="S34" s="6"/>
      <c r="T34" s="156"/>
      <c r="U34" s="6"/>
    </row>
    <row r="35" spans="1:21" customFormat="1">
      <c r="A35" s="163" t="s">
        <v>361</v>
      </c>
      <c r="B35" s="100">
        <v>30.25</v>
      </c>
      <c r="C35" s="100">
        <v>20.98</v>
      </c>
      <c r="D35" s="100">
        <v>36.57</v>
      </c>
      <c r="E35" s="100">
        <v>8.5399999999999991</v>
      </c>
      <c r="F35" s="151" t="s">
        <v>8</v>
      </c>
      <c r="G35" s="100">
        <v>72.989999999999995</v>
      </c>
      <c r="H35" s="100">
        <v>26.94</v>
      </c>
      <c r="I35" s="100">
        <v>14.21</v>
      </c>
      <c r="J35" s="100">
        <v>0.11</v>
      </c>
      <c r="K35" s="100">
        <v>221.85</v>
      </c>
      <c r="L35" s="100">
        <v>11.49</v>
      </c>
      <c r="M35" s="100">
        <v>94.56</v>
      </c>
      <c r="N35" s="100">
        <v>6.5</v>
      </c>
      <c r="O35" s="100">
        <v>0</v>
      </c>
      <c r="P35" s="100">
        <v>1.05</v>
      </c>
      <c r="Q35" s="100">
        <v>13.07</v>
      </c>
      <c r="R35" s="6"/>
      <c r="S35" s="6"/>
      <c r="T35" s="156"/>
      <c r="U35" s="6"/>
    </row>
    <row r="36" spans="1:21" customFormat="1">
      <c r="A36" s="163" t="s">
        <v>362</v>
      </c>
      <c r="B36" s="100">
        <v>30.31</v>
      </c>
      <c r="C36" s="100">
        <v>20.92</v>
      </c>
      <c r="D36" s="100">
        <v>36.58</v>
      </c>
      <c r="E36" s="100">
        <v>8.39</v>
      </c>
      <c r="F36" s="151" t="s">
        <v>8</v>
      </c>
      <c r="G36" s="100">
        <v>72.989999999999995</v>
      </c>
      <c r="H36" s="100">
        <v>26.94</v>
      </c>
      <c r="I36" s="100">
        <v>14.22</v>
      </c>
      <c r="J36" s="100">
        <v>0.19</v>
      </c>
      <c r="K36" s="100">
        <v>153.32</v>
      </c>
      <c r="L36" s="100">
        <v>11.76</v>
      </c>
      <c r="M36" s="100">
        <v>94.3</v>
      </c>
      <c r="N36" s="100">
        <v>12.7</v>
      </c>
      <c r="O36" s="100">
        <v>0</v>
      </c>
      <c r="P36" s="100">
        <v>1.05</v>
      </c>
      <c r="Q36" s="100">
        <v>13.06</v>
      </c>
      <c r="R36" s="6"/>
      <c r="S36" s="6"/>
      <c r="T36" s="156"/>
      <c r="U36" s="6"/>
    </row>
    <row r="37" spans="1:21" customFormat="1">
      <c r="A37" s="163" t="s">
        <v>363</v>
      </c>
      <c r="B37" s="100">
        <v>30.32</v>
      </c>
      <c r="C37" s="100">
        <v>20.59</v>
      </c>
      <c r="D37" s="100">
        <v>36.42</v>
      </c>
      <c r="E37" s="100">
        <v>8.36</v>
      </c>
      <c r="F37" s="151" t="s">
        <v>8</v>
      </c>
      <c r="G37" s="100">
        <v>70.64</v>
      </c>
      <c r="H37" s="100">
        <v>26.71</v>
      </c>
      <c r="I37" s="100">
        <v>14.21</v>
      </c>
      <c r="J37" s="100">
        <v>0.25</v>
      </c>
      <c r="K37" s="100">
        <v>160.80000000000001</v>
      </c>
      <c r="L37" s="100">
        <v>12.27</v>
      </c>
      <c r="M37" s="100">
        <v>94.12</v>
      </c>
      <c r="N37" s="100">
        <v>20.7</v>
      </c>
      <c r="O37" s="100">
        <v>0</v>
      </c>
      <c r="P37" s="100">
        <v>1.05</v>
      </c>
      <c r="Q37" s="100">
        <v>13.05</v>
      </c>
      <c r="R37" s="6"/>
      <c r="S37" s="6"/>
      <c r="T37" s="156"/>
      <c r="U37" s="6"/>
    </row>
    <row r="38" spans="1:21" customFormat="1">
      <c r="A38" s="163" t="s">
        <v>364</v>
      </c>
      <c r="B38" s="100">
        <v>30.39</v>
      </c>
      <c r="C38" s="100">
        <v>20.239999999999998</v>
      </c>
      <c r="D38" s="100">
        <v>36.29</v>
      </c>
      <c r="E38" s="100">
        <v>9.27</v>
      </c>
      <c r="F38" s="151" t="s">
        <v>8</v>
      </c>
      <c r="G38" s="100">
        <v>68.92</v>
      </c>
      <c r="H38" s="100">
        <v>26.58</v>
      </c>
      <c r="I38" s="100">
        <v>14.22</v>
      </c>
      <c r="J38" s="100">
        <v>0.19</v>
      </c>
      <c r="K38" s="100">
        <v>117.5</v>
      </c>
      <c r="L38" s="100">
        <v>12.92</v>
      </c>
      <c r="M38" s="100">
        <v>92.51</v>
      </c>
      <c r="N38" s="100">
        <v>29.8</v>
      </c>
      <c r="O38" s="100">
        <v>0</v>
      </c>
      <c r="P38" s="100">
        <v>1.04</v>
      </c>
      <c r="Q38" s="100">
        <v>13.05</v>
      </c>
      <c r="R38" s="6"/>
      <c r="S38" s="6"/>
      <c r="T38" s="156"/>
      <c r="U38" s="6"/>
    </row>
    <row r="39" spans="1:21" customFormat="1">
      <c r="A39" s="163" t="s">
        <v>365</v>
      </c>
      <c r="B39" s="100">
        <v>30.39</v>
      </c>
      <c r="C39" s="100">
        <v>20.239999999999998</v>
      </c>
      <c r="D39" s="100">
        <v>36.299999999999997</v>
      </c>
      <c r="E39" s="100">
        <v>8.75</v>
      </c>
      <c r="F39" s="151" t="s">
        <v>8</v>
      </c>
      <c r="G39" s="100">
        <v>68.92</v>
      </c>
      <c r="H39" s="100">
        <v>26.58</v>
      </c>
      <c r="I39" s="100">
        <v>14.26</v>
      </c>
      <c r="J39" s="100">
        <v>0.73</v>
      </c>
      <c r="K39" s="100">
        <v>61.86</v>
      </c>
      <c r="L39" s="100">
        <v>14.15</v>
      </c>
      <c r="M39" s="100">
        <v>73.849999999999994</v>
      </c>
      <c r="N39" s="100">
        <v>37.6</v>
      </c>
      <c r="O39" s="100">
        <v>0</v>
      </c>
      <c r="P39" s="100">
        <v>1.05</v>
      </c>
      <c r="Q39" s="100">
        <v>13.06</v>
      </c>
      <c r="R39" s="6"/>
      <c r="S39" s="6"/>
      <c r="T39" s="156"/>
      <c r="U39" s="6"/>
    </row>
    <row r="40" spans="1:21" customFormat="1">
      <c r="A40" s="163" t="s">
        <v>366</v>
      </c>
      <c r="B40" s="100">
        <v>29.84</v>
      </c>
      <c r="C40" s="100">
        <v>20.58</v>
      </c>
      <c r="D40" s="100">
        <v>36.03</v>
      </c>
      <c r="E40" s="100">
        <v>8.5500000000000007</v>
      </c>
      <c r="F40" s="151" t="s">
        <v>8</v>
      </c>
      <c r="G40" s="100">
        <v>68.92</v>
      </c>
      <c r="H40" s="100">
        <v>26.58</v>
      </c>
      <c r="I40" s="100">
        <v>14.3</v>
      </c>
      <c r="J40" s="100">
        <v>0.75</v>
      </c>
      <c r="K40" s="100">
        <v>49.75</v>
      </c>
      <c r="L40" s="100">
        <v>15.12</v>
      </c>
      <c r="M40" s="100">
        <v>69.14</v>
      </c>
      <c r="N40" s="100">
        <v>66.099999999999994</v>
      </c>
      <c r="O40" s="100">
        <v>0</v>
      </c>
      <c r="P40" s="100">
        <v>1.04</v>
      </c>
      <c r="Q40" s="100">
        <v>13.05</v>
      </c>
      <c r="R40" s="6"/>
      <c r="S40" s="6"/>
      <c r="T40" s="156"/>
      <c r="U40" s="6"/>
    </row>
    <row r="41" spans="1:21" customFormat="1">
      <c r="A41" s="163" t="s">
        <v>367</v>
      </c>
      <c r="B41" s="100">
        <v>29.11</v>
      </c>
      <c r="C41" s="100">
        <v>21.21</v>
      </c>
      <c r="D41" s="100">
        <v>35.78</v>
      </c>
      <c r="E41" s="100">
        <v>8.77</v>
      </c>
      <c r="F41" s="151" t="s">
        <v>8</v>
      </c>
      <c r="G41" s="100">
        <v>67.03</v>
      </c>
      <c r="H41" s="100">
        <v>23.96</v>
      </c>
      <c r="I41" s="100">
        <v>14.29</v>
      </c>
      <c r="J41" s="100">
        <v>0.85</v>
      </c>
      <c r="K41" s="100">
        <v>56.38</v>
      </c>
      <c r="L41" s="100">
        <v>15.88</v>
      </c>
      <c r="M41" s="100">
        <v>66.47</v>
      </c>
      <c r="N41" s="100">
        <v>210.7</v>
      </c>
      <c r="O41" s="100">
        <v>0</v>
      </c>
      <c r="P41" s="100">
        <v>1.02</v>
      </c>
      <c r="Q41" s="100">
        <v>13.04</v>
      </c>
      <c r="R41" s="6"/>
      <c r="S41" s="6"/>
      <c r="T41" s="156"/>
      <c r="U41" s="6"/>
    </row>
    <row r="42" spans="1:21" customFormat="1">
      <c r="A42" s="163" t="s">
        <v>368</v>
      </c>
      <c r="B42" s="100">
        <v>28.11</v>
      </c>
      <c r="C42" s="100">
        <v>21.83</v>
      </c>
      <c r="D42" s="100">
        <v>35.299999999999997</v>
      </c>
      <c r="E42" s="100">
        <v>9.17</v>
      </c>
      <c r="F42" s="151" t="s">
        <v>8</v>
      </c>
      <c r="G42" s="100">
        <v>65.64</v>
      </c>
      <c r="H42" s="100">
        <v>23.18</v>
      </c>
      <c r="I42" s="100">
        <v>14.15</v>
      </c>
      <c r="J42" s="100">
        <v>0.83</v>
      </c>
      <c r="K42" s="100">
        <v>48.34</v>
      </c>
      <c r="L42" s="100">
        <v>16.8</v>
      </c>
      <c r="M42" s="100">
        <v>63.49</v>
      </c>
      <c r="N42" s="100">
        <v>241.2</v>
      </c>
      <c r="O42" s="100">
        <v>0</v>
      </c>
      <c r="P42" s="100">
        <v>1</v>
      </c>
      <c r="Q42" s="100">
        <v>13.04</v>
      </c>
      <c r="R42" s="6"/>
      <c r="S42" s="6"/>
      <c r="T42" s="156"/>
      <c r="U42" s="6"/>
    </row>
    <row r="43" spans="1:21" customFormat="1">
      <c r="A43" s="163" t="s">
        <v>369</v>
      </c>
      <c r="B43" s="100">
        <v>27.1</v>
      </c>
      <c r="C43" s="100">
        <v>22.26</v>
      </c>
      <c r="D43" s="100">
        <v>34.71</v>
      </c>
      <c r="E43" s="100">
        <v>8.8000000000000007</v>
      </c>
      <c r="F43" s="151" t="s">
        <v>8</v>
      </c>
      <c r="G43" s="100">
        <v>65.64</v>
      </c>
      <c r="H43" s="100">
        <v>23.18</v>
      </c>
      <c r="I43" s="100">
        <v>14.01</v>
      </c>
      <c r="J43" s="100">
        <v>0.85</v>
      </c>
      <c r="K43" s="100">
        <v>54.97</v>
      </c>
      <c r="L43" s="100">
        <v>18.04</v>
      </c>
      <c r="M43" s="100">
        <v>59.31</v>
      </c>
      <c r="N43" s="100">
        <v>211.4</v>
      </c>
      <c r="O43" s="100">
        <v>0</v>
      </c>
      <c r="P43" s="100">
        <v>0.99</v>
      </c>
      <c r="Q43" s="100">
        <v>13.06</v>
      </c>
      <c r="R43" s="6"/>
      <c r="S43" s="6"/>
      <c r="T43" s="156"/>
      <c r="U43" s="6"/>
    </row>
    <row r="44" spans="1:21" customFormat="1">
      <c r="A44" s="163" t="s">
        <v>370</v>
      </c>
      <c r="B44" s="100">
        <v>25.99</v>
      </c>
      <c r="C44" s="100">
        <v>22.66</v>
      </c>
      <c r="D44" s="100">
        <v>34.04</v>
      </c>
      <c r="E44" s="100">
        <v>8.92</v>
      </c>
      <c r="F44" s="151" t="s">
        <v>8</v>
      </c>
      <c r="G44" s="100">
        <v>65.64</v>
      </c>
      <c r="H44" s="100">
        <v>23.18</v>
      </c>
      <c r="I44" s="100">
        <v>13.89</v>
      </c>
      <c r="J44" s="100">
        <v>1.25</v>
      </c>
      <c r="K44" s="100">
        <v>49.52</v>
      </c>
      <c r="L44" s="100">
        <v>18.82</v>
      </c>
      <c r="M44" s="100">
        <v>55.02</v>
      </c>
      <c r="N44" s="100">
        <v>286.8</v>
      </c>
      <c r="O44" s="100">
        <v>0</v>
      </c>
      <c r="P44" s="100">
        <v>0.96</v>
      </c>
      <c r="Q44" s="100">
        <v>13.05</v>
      </c>
      <c r="R44" s="6"/>
      <c r="S44" s="6"/>
      <c r="T44" s="156"/>
      <c r="U44" s="6"/>
    </row>
    <row r="45" spans="1:21" customFormat="1">
      <c r="A45" s="163" t="s">
        <v>371</v>
      </c>
      <c r="B45" s="100">
        <v>24.71</v>
      </c>
      <c r="C45" s="100">
        <v>23.19</v>
      </c>
      <c r="D45" s="100">
        <v>33.28</v>
      </c>
      <c r="E45" s="100">
        <v>8.76</v>
      </c>
      <c r="F45" s="151" t="s">
        <v>8</v>
      </c>
      <c r="G45" s="100">
        <v>63.05</v>
      </c>
      <c r="H45" s="100">
        <v>22.76</v>
      </c>
      <c r="I45" s="100">
        <v>13.71</v>
      </c>
      <c r="J45" s="100">
        <v>1.06</v>
      </c>
      <c r="K45" s="100">
        <v>50.25</v>
      </c>
      <c r="L45" s="100">
        <v>19.18</v>
      </c>
      <c r="M45" s="100">
        <v>53.19</v>
      </c>
      <c r="N45" s="100">
        <v>110.8</v>
      </c>
      <c r="O45" s="100">
        <v>0</v>
      </c>
      <c r="P45" s="100">
        <v>0.93</v>
      </c>
      <c r="Q45" s="100">
        <v>13.05</v>
      </c>
      <c r="R45" s="6"/>
      <c r="S45" s="6"/>
      <c r="T45" s="156"/>
      <c r="U45" s="6"/>
    </row>
    <row r="46" spans="1:21" customFormat="1">
      <c r="A46" s="163" t="s">
        <v>372</v>
      </c>
      <c r="B46" s="100">
        <v>23.37</v>
      </c>
      <c r="C46" s="100">
        <v>23.6</v>
      </c>
      <c r="D46" s="100">
        <v>32.42</v>
      </c>
      <c r="E46" s="100">
        <v>8.9499999999999993</v>
      </c>
      <c r="F46" s="151" t="s">
        <v>8</v>
      </c>
      <c r="G46" s="100">
        <v>61.16</v>
      </c>
      <c r="H46" s="100">
        <v>22.63</v>
      </c>
      <c r="I46" s="100">
        <v>13.45</v>
      </c>
      <c r="J46" s="100">
        <v>0.39</v>
      </c>
      <c r="K46" s="100">
        <v>83.33</v>
      </c>
      <c r="L46" s="100">
        <v>20.46</v>
      </c>
      <c r="M46" s="100">
        <v>50.33</v>
      </c>
      <c r="N46" s="100">
        <v>96.4</v>
      </c>
      <c r="O46" s="100">
        <v>0</v>
      </c>
      <c r="P46" s="100">
        <v>0.9</v>
      </c>
      <c r="Q46" s="100">
        <v>13.04</v>
      </c>
      <c r="R46" s="6"/>
      <c r="S46" s="6"/>
      <c r="T46" s="156"/>
      <c r="U46" s="6"/>
    </row>
    <row r="47" spans="1:21" customFormat="1">
      <c r="A47" s="163" t="s">
        <v>373</v>
      </c>
      <c r="B47" s="100">
        <v>21.92</v>
      </c>
      <c r="C47" s="100">
        <v>23.92</v>
      </c>
      <c r="D47" s="100">
        <v>31.43</v>
      </c>
      <c r="E47" s="100">
        <v>8.86</v>
      </c>
      <c r="F47" s="151" t="s">
        <v>8</v>
      </c>
      <c r="G47" s="100">
        <v>61.16</v>
      </c>
      <c r="H47" s="100">
        <v>22.63</v>
      </c>
      <c r="I47" s="100">
        <v>13.1</v>
      </c>
      <c r="J47" s="100">
        <v>0.43</v>
      </c>
      <c r="K47" s="100">
        <v>62.12</v>
      </c>
      <c r="L47" s="100">
        <v>21.5</v>
      </c>
      <c r="M47" s="100">
        <v>45.93</v>
      </c>
      <c r="N47" s="100">
        <v>106.9</v>
      </c>
      <c r="O47" s="100">
        <v>0</v>
      </c>
      <c r="P47" s="100">
        <v>0.87</v>
      </c>
      <c r="Q47" s="100">
        <v>13.04</v>
      </c>
      <c r="R47" s="6"/>
      <c r="S47" s="6"/>
      <c r="T47" s="156"/>
      <c r="U47" s="6"/>
    </row>
    <row r="48" spans="1:21" customFormat="1">
      <c r="A48" s="163" t="s">
        <v>374</v>
      </c>
      <c r="B48" s="100">
        <v>20.46</v>
      </c>
      <c r="C48" s="100">
        <v>24.29</v>
      </c>
      <c r="D48" s="100">
        <v>30.45</v>
      </c>
      <c r="E48" s="100">
        <v>9</v>
      </c>
      <c r="F48" s="151" t="s">
        <v>8</v>
      </c>
      <c r="G48" s="100">
        <v>61.16</v>
      </c>
      <c r="H48" s="100">
        <v>22.63</v>
      </c>
      <c r="I48" s="100">
        <v>12.74</v>
      </c>
      <c r="J48" s="100">
        <v>0.17</v>
      </c>
      <c r="K48" s="100">
        <v>74.53</v>
      </c>
      <c r="L48" s="100">
        <v>22.4</v>
      </c>
      <c r="M48" s="100">
        <v>43.51</v>
      </c>
      <c r="N48" s="100">
        <v>276.10000000000002</v>
      </c>
      <c r="O48" s="100">
        <v>0</v>
      </c>
      <c r="P48" s="100">
        <v>0.86</v>
      </c>
      <c r="Q48" s="100">
        <v>13.04</v>
      </c>
      <c r="R48" s="6"/>
      <c r="S48" s="6"/>
      <c r="T48" s="156"/>
      <c r="U48" s="6"/>
    </row>
    <row r="49" spans="1:21" customFormat="1">
      <c r="A49" s="163" t="s">
        <v>375</v>
      </c>
      <c r="B49" s="100">
        <v>18.63</v>
      </c>
      <c r="C49" s="100">
        <v>24.44</v>
      </c>
      <c r="D49" s="100">
        <v>29.06</v>
      </c>
      <c r="E49" s="100">
        <v>7.22</v>
      </c>
      <c r="F49" s="151" t="s">
        <v>8</v>
      </c>
      <c r="G49" s="100">
        <v>59.83</v>
      </c>
      <c r="H49" s="100">
        <v>20.75</v>
      </c>
      <c r="I49" s="100">
        <v>12.4</v>
      </c>
      <c r="J49" s="100">
        <v>0.39</v>
      </c>
      <c r="K49" s="100">
        <v>3.27</v>
      </c>
      <c r="L49" s="100">
        <v>23.04</v>
      </c>
      <c r="M49" s="100">
        <v>40.770000000000003</v>
      </c>
      <c r="N49" s="100">
        <v>451.2</v>
      </c>
      <c r="O49" s="100">
        <v>0</v>
      </c>
      <c r="P49" s="100">
        <v>0.84</v>
      </c>
      <c r="Q49" s="100">
        <v>13.06</v>
      </c>
      <c r="R49" s="6"/>
      <c r="S49" s="6"/>
      <c r="T49" s="156"/>
      <c r="U49" s="6"/>
    </row>
    <row r="50" spans="1:21" customFormat="1">
      <c r="A50" s="163" t="s">
        <v>376</v>
      </c>
      <c r="B50" s="100">
        <v>16.87</v>
      </c>
      <c r="C50" s="100">
        <v>24.78</v>
      </c>
      <c r="D50" s="100">
        <v>27.83</v>
      </c>
      <c r="E50" s="100">
        <v>8.3800000000000008</v>
      </c>
      <c r="F50" s="151" t="s">
        <v>8</v>
      </c>
      <c r="G50" s="100">
        <v>58.82</v>
      </c>
      <c r="H50" s="100">
        <v>20.18</v>
      </c>
      <c r="I50" s="100">
        <v>12.06</v>
      </c>
      <c r="J50" s="100">
        <v>0.34</v>
      </c>
      <c r="K50" s="100">
        <v>353.34</v>
      </c>
      <c r="L50" s="100">
        <v>23.27</v>
      </c>
      <c r="M50" s="100">
        <v>38.06</v>
      </c>
      <c r="N50" s="100">
        <v>470.1</v>
      </c>
      <c r="O50" s="100">
        <v>0</v>
      </c>
      <c r="P50" s="100">
        <v>0.83</v>
      </c>
      <c r="Q50" s="100">
        <v>13.05</v>
      </c>
      <c r="R50" s="6"/>
      <c r="S50" s="6"/>
      <c r="T50" s="156"/>
      <c r="U50" s="6"/>
    </row>
    <row r="51" spans="1:21" customFormat="1">
      <c r="A51" s="163" t="s">
        <v>377</v>
      </c>
      <c r="B51" s="100">
        <v>15.05</v>
      </c>
      <c r="C51" s="100">
        <v>25.05</v>
      </c>
      <c r="D51" s="100">
        <v>26.51</v>
      </c>
      <c r="E51" s="100">
        <v>8.2799999999999994</v>
      </c>
      <c r="F51" s="151" t="s">
        <v>8</v>
      </c>
      <c r="G51" s="100">
        <v>58.82</v>
      </c>
      <c r="H51" s="100">
        <v>20.18</v>
      </c>
      <c r="I51" s="100">
        <v>11.78</v>
      </c>
      <c r="J51" s="100">
        <v>0.72</v>
      </c>
      <c r="K51" s="100">
        <v>293.56</v>
      </c>
      <c r="L51" s="100">
        <v>23.42</v>
      </c>
      <c r="M51" s="100">
        <v>37.47</v>
      </c>
      <c r="N51" s="100">
        <v>488.7</v>
      </c>
      <c r="O51" s="100">
        <v>0</v>
      </c>
      <c r="P51" s="100">
        <v>0.81</v>
      </c>
      <c r="Q51" s="100">
        <v>13.04</v>
      </c>
      <c r="R51" s="6"/>
      <c r="S51" s="6"/>
      <c r="T51" s="156"/>
      <c r="U51" s="6"/>
    </row>
    <row r="52" spans="1:21" customFormat="1">
      <c r="A52" s="163" t="s">
        <v>378</v>
      </c>
      <c r="B52" s="100">
        <v>13.33</v>
      </c>
      <c r="C52" s="100">
        <v>25.34</v>
      </c>
      <c r="D52" s="100">
        <v>25.28</v>
      </c>
      <c r="E52" s="100">
        <v>8.73</v>
      </c>
      <c r="F52" s="151" t="s">
        <v>8</v>
      </c>
      <c r="G52" s="100">
        <v>58.82</v>
      </c>
      <c r="H52" s="100">
        <v>20.18</v>
      </c>
      <c r="I52" s="100">
        <v>11.5</v>
      </c>
      <c r="J52" s="100">
        <v>0.22</v>
      </c>
      <c r="K52" s="100">
        <v>84.74</v>
      </c>
      <c r="L52" s="100">
        <v>24.24</v>
      </c>
      <c r="M52" s="100">
        <v>34.880000000000003</v>
      </c>
      <c r="N52" s="100">
        <v>477.9</v>
      </c>
      <c r="O52" s="100">
        <v>0</v>
      </c>
      <c r="P52" s="100">
        <v>0.81</v>
      </c>
      <c r="Q52" s="100">
        <v>13.02</v>
      </c>
      <c r="R52" s="6"/>
      <c r="S52" s="6"/>
      <c r="T52" s="156"/>
      <c r="U52" s="6"/>
    </row>
    <row r="53" spans="1:21" customFormat="1">
      <c r="A53" s="163" t="s">
        <v>379</v>
      </c>
      <c r="B53" s="100">
        <v>12.3</v>
      </c>
      <c r="C53" s="100">
        <v>25.03</v>
      </c>
      <c r="D53" s="100">
        <v>24.29</v>
      </c>
      <c r="E53" s="100">
        <v>8.8000000000000007</v>
      </c>
      <c r="F53" s="151" t="s">
        <v>8</v>
      </c>
      <c r="G53" s="100">
        <v>56.15</v>
      </c>
      <c r="H53" s="100">
        <v>22.57</v>
      </c>
      <c r="I53" s="100">
        <v>11.21</v>
      </c>
      <c r="J53" s="100">
        <v>0.54</v>
      </c>
      <c r="K53" s="100">
        <v>44.18</v>
      </c>
      <c r="L53" s="100">
        <v>24.49</v>
      </c>
      <c r="M53" s="100">
        <v>33.43</v>
      </c>
      <c r="N53" s="100">
        <v>464</v>
      </c>
      <c r="O53" s="100">
        <v>0</v>
      </c>
      <c r="P53" s="100">
        <v>0.82</v>
      </c>
      <c r="Q53" s="100">
        <v>13.01</v>
      </c>
      <c r="R53" s="6"/>
      <c r="S53" s="6"/>
      <c r="T53" s="156"/>
      <c r="U53" s="6"/>
    </row>
    <row r="54" spans="1:21" customFormat="1">
      <c r="A54" s="163" t="s">
        <v>380</v>
      </c>
      <c r="B54" s="100">
        <v>11.4</v>
      </c>
      <c r="C54" s="100">
        <v>24.46</v>
      </c>
      <c r="D54" s="100">
        <v>23.27</v>
      </c>
      <c r="E54" s="100">
        <v>8.65</v>
      </c>
      <c r="F54" s="151" t="s">
        <v>8</v>
      </c>
      <c r="G54" s="100">
        <v>54.2</v>
      </c>
      <c r="H54" s="100">
        <v>23.29</v>
      </c>
      <c r="I54" s="100">
        <v>11</v>
      </c>
      <c r="J54" s="100">
        <v>0.27</v>
      </c>
      <c r="K54" s="100">
        <v>307.41000000000003</v>
      </c>
      <c r="L54" s="100">
        <v>25.07</v>
      </c>
      <c r="M54" s="100">
        <v>32.93</v>
      </c>
      <c r="N54" s="100">
        <v>511.6</v>
      </c>
      <c r="O54" s="100">
        <v>0</v>
      </c>
      <c r="P54" s="100">
        <v>0.81</v>
      </c>
      <c r="Q54" s="100">
        <v>13.01</v>
      </c>
      <c r="R54" s="6"/>
      <c r="S54" s="6"/>
      <c r="T54" s="156"/>
      <c r="U54" s="6"/>
    </row>
    <row r="55" spans="1:21" customFormat="1">
      <c r="A55" s="163" t="s">
        <v>381</v>
      </c>
      <c r="B55" s="100">
        <v>10.199999999999999</v>
      </c>
      <c r="C55" s="100">
        <v>23.94</v>
      </c>
      <c r="D55" s="100">
        <v>22.04</v>
      </c>
      <c r="E55" s="100">
        <v>11.45</v>
      </c>
      <c r="F55" s="151" t="s">
        <v>8</v>
      </c>
      <c r="G55" s="100">
        <v>54.2</v>
      </c>
      <c r="H55" s="100">
        <v>23.29</v>
      </c>
      <c r="I55" s="100">
        <v>10.87</v>
      </c>
      <c r="J55" s="100">
        <v>0.52</v>
      </c>
      <c r="K55" s="100">
        <v>316.88</v>
      </c>
      <c r="L55" s="100">
        <v>25.3</v>
      </c>
      <c r="M55" s="100">
        <v>30.55</v>
      </c>
      <c r="N55" s="100">
        <v>519</v>
      </c>
      <c r="O55" s="100">
        <v>0</v>
      </c>
      <c r="P55" s="100">
        <v>0.79</v>
      </c>
      <c r="Q55" s="100">
        <v>12.99</v>
      </c>
      <c r="R55" s="6"/>
      <c r="S55" s="6"/>
      <c r="T55" s="156"/>
      <c r="U55" s="6"/>
    </row>
    <row r="56" spans="1:21" customFormat="1">
      <c r="A56" s="163" t="s">
        <v>382</v>
      </c>
      <c r="B56" s="100">
        <v>7.75</v>
      </c>
      <c r="C56" s="100">
        <v>23.88</v>
      </c>
      <c r="D56" s="100">
        <v>20.05</v>
      </c>
      <c r="E56" s="100">
        <v>11.64</v>
      </c>
      <c r="F56" s="151" t="s">
        <v>8</v>
      </c>
      <c r="G56" s="100">
        <v>54.2</v>
      </c>
      <c r="H56" s="100">
        <v>23.29</v>
      </c>
      <c r="I56" s="100">
        <v>10.7</v>
      </c>
      <c r="J56" s="100">
        <v>0.04</v>
      </c>
      <c r="K56" s="100">
        <v>221.69</v>
      </c>
      <c r="L56" s="100">
        <v>26.07</v>
      </c>
      <c r="M56" s="100">
        <v>29.78</v>
      </c>
      <c r="N56" s="100">
        <v>514.1</v>
      </c>
      <c r="O56" s="100">
        <v>0</v>
      </c>
      <c r="P56" s="100">
        <v>0.77</v>
      </c>
      <c r="Q56" s="100">
        <v>12.99</v>
      </c>
      <c r="R56" s="6"/>
      <c r="S56" s="6"/>
      <c r="T56" s="156"/>
      <c r="U56" s="6"/>
    </row>
    <row r="57" spans="1:21" customFormat="1">
      <c r="A57" s="163" t="s">
        <v>383</v>
      </c>
      <c r="B57" s="100">
        <v>5.2</v>
      </c>
      <c r="C57" s="100">
        <v>23.74</v>
      </c>
      <c r="D57" s="100">
        <v>17.93</v>
      </c>
      <c r="E57" s="100">
        <v>11.95</v>
      </c>
      <c r="F57" s="151" t="s">
        <v>8</v>
      </c>
      <c r="G57" s="100">
        <v>52.73</v>
      </c>
      <c r="H57" s="100">
        <v>18.420000000000002</v>
      </c>
      <c r="I57" s="100">
        <v>10.32</v>
      </c>
      <c r="J57" s="100">
        <v>0.14000000000000001</v>
      </c>
      <c r="K57" s="100">
        <v>103.88</v>
      </c>
      <c r="L57" s="100">
        <v>26.4</v>
      </c>
      <c r="M57" s="100">
        <v>28.19</v>
      </c>
      <c r="N57" s="100">
        <v>471.3</v>
      </c>
      <c r="O57" s="100">
        <v>0</v>
      </c>
      <c r="P57" s="100">
        <v>0.71</v>
      </c>
      <c r="Q57" s="100">
        <v>13</v>
      </c>
      <c r="R57" s="6"/>
      <c r="S57" s="6"/>
      <c r="T57" s="156"/>
      <c r="U57" s="6"/>
    </row>
    <row r="58" spans="1:21" customFormat="1">
      <c r="A58" s="163" t="s">
        <v>384</v>
      </c>
      <c r="B58" s="100">
        <v>4.01</v>
      </c>
      <c r="C58" s="100">
        <v>23.08</v>
      </c>
      <c r="D58" s="100">
        <v>16.63</v>
      </c>
      <c r="E58" s="100">
        <v>12.68</v>
      </c>
      <c r="F58" s="151" t="s">
        <v>8</v>
      </c>
      <c r="G58" s="100">
        <v>51.65</v>
      </c>
      <c r="H58" s="100">
        <v>16.989999999999998</v>
      </c>
      <c r="I58" s="100">
        <v>9.69</v>
      </c>
      <c r="J58" s="100">
        <v>0.24</v>
      </c>
      <c r="K58" s="100">
        <v>94.69</v>
      </c>
      <c r="L58" s="100">
        <v>26.86</v>
      </c>
      <c r="M58" s="100">
        <v>27.13</v>
      </c>
      <c r="N58" s="100">
        <v>379.8</v>
      </c>
      <c r="O58" s="100">
        <v>0</v>
      </c>
      <c r="P58" s="100">
        <v>0.69</v>
      </c>
      <c r="Q58" s="100">
        <v>13.01</v>
      </c>
      <c r="R58" s="6"/>
      <c r="S58" s="6"/>
      <c r="T58" s="156"/>
      <c r="U58" s="6"/>
    </row>
    <row r="59" spans="1:21" customFormat="1">
      <c r="A59" s="163" t="s">
        <v>385</v>
      </c>
      <c r="B59" s="100">
        <v>3.64</v>
      </c>
      <c r="C59" s="100">
        <v>22.57</v>
      </c>
      <c r="D59" s="100">
        <v>16.059999999999999</v>
      </c>
      <c r="E59" s="100">
        <v>10.24</v>
      </c>
      <c r="F59" s="151" t="s">
        <v>8</v>
      </c>
      <c r="G59" s="100">
        <v>51.65</v>
      </c>
      <c r="H59" s="100">
        <v>16.989999999999998</v>
      </c>
      <c r="I59" s="100">
        <v>9.0299999999999994</v>
      </c>
      <c r="J59" s="100">
        <v>0.64</v>
      </c>
      <c r="K59" s="100">
        <v>47.58</v>
      </c>
      <c r="L59" s="100">
        <v>27.02</v>
      </c>
      <c r="M59" s="100">
        <v>26.14</v>
      </c>
      <c r="N59" s="100">
        <v>309.89999999999998</v>
      </c>
      <c r="O59" s="100">
        <v>0</v>
      </c>
      <c r="P59" s="100">
        <v>0.66</v>
      </c>
      <c r="Q59" s="100">
        <v>13</v>
      </c>
      <c r="R59" s="6"/>
      <c r="S59" s="6"/>
      <c r="T59" s="156"/>
      <c r="U59" s="6"/>
    </row>
    <row r="60" spans="1:21" customFormat="1">
      <c r="A60" s="163" t="s">
        <v>386</v>
      </c>
      <c r="B60" s="100">
        <v>3.8</v>
      </c>
      <c r="C60" s="100">
        <v>22.22</v>
      </c>
      <c r="D60" s="100">
        <v>16</v>
      </c>
      <c r="E60" s="100">
        <v>11.45</v>
      </c>
      <c r="F60" s="151" t="s">
        <v>8</v>
      </c>
      <c r="G60" s="100">
        <v>51.65</v>
      </c>
      <c r="H60" s="100">
        <v>16.989999999999998</v>
      </c>
      <c r="I60" s="100">
        <v>8.51</v>
      </c>
      <c r="J60" s="100">
        <v>0.49</v>
      </c>
      <c r="K60" s="100">
        <v>25.51</v>
      </c>
      <c r="L60" s="100">
        <v>27.2</v>
      </c>
      <c r="M60" s="100">
        <v>24.61</v>
      </c>
      <c r="N60" s="100">
        <v>454.7</v>
      </c>
      <c r="O60" s="100">
        <v>0</v>
      </c>
      <c r="P60" s="100">
        <v>0.66</v>
      </c>
      <c r="Q60" s="100">
        <v>12.98</v>
      </c>
      <c r="R60" s="6"/>
      <c r="S60" s="6"/>
      <c r="T60" s="156"/>
      <c r="U60" s="6"/>
    </row>
    <row r="61" spans="1:21" customFormat="1">
      <c r="A61" s="163" t="s">
        <v>387</v>
      </c>
      <c r="B61" s="100">
        <v>3.97</v>
      </c>
      <c r="C61" s="100">
        <v>22.43</v>
      </c>
      <c r="D61" s="100">
        <v>16.25</v>
      </c>
      <c r="E61" s="100">
        <v>14.19</v>
      </c>
      <c r="F61" s="151" t="s">
        <v>8</v>
      </c>
      <c r="G61" s="100">
        <v>53.1</v>
      </c>
      <c r="H61" s="100">
        <v>17.579999999999998</v>
      </c>
      <c r="I61" s="100">
        <v>8.26</v>
      </c>
      <c r="J61" s="100">
        <v>0.41</v>
      </c>
      <c r="K61" s="100">
        <v>75.44</v>
      </c>
      <c r="L61" s="100">
        <v>27.24</v>
      </c>
      <c r="M61" s="100">
        <v>24.75</v>
      </c>
      <c r="N61" s="100">
        <v>437</v>
      </c>
      <c r="O61" s="100">
        <v>0</v>
      </c>
      <c r="P61" s="100">
        <v>0.65</v>
      </c>
      <c r="Q61" s="100">
        <v>12.99</v>
      </c>
      <c r="R61" s="6"/>
      <c r="S61" s="6"/>
      <c r="T61" s="156"/>
      <c r="U61" s="6"/>
    </row>
    <row r="62" spans="1:21" customFormat="1">
      <c r="A62" s="163" t="s">
        <v>388</v>
      </c>
      <c r="B62" s="100">
        <v>3.77</v>
      </c>
      <c r="C62" s="100">
        <v>22.97</v>
      </c>
      <c r="D62" s="100">
        <v>16.38</v>
      </c>
      <c r="E62" s="100">
        <v>18.25</v>
      </c>
      <c r="F62" s="151" t="s">
        <v>8</v>
      </c>
      <c r="G62" s="100">
        <v>54.16</v>
      </c>
      <c r="H62" s="100">
        <v>17.899999999999999</v>
      </c>
      <c r="I62" s="100">
        <v>8.1199999999999992</v>
      </c>
      <c r="J62" s="100">
        <v>0.5</v>
      </c>
      <c r="K62" s="100">
        <v>341.03</v>
      </c>
      <c r="L62" s="100">
        <v>27.14</v>
      </c>
      <c r="M62" s="100">
        <v>24.86</v>
      </c>
      <c r="N62" s="100">
        <v>372.6</v>
      </c>
      <c r="O62" s="100">
        <v>0</v>
      </c>
      <c r="P62" s="100">
        <v>0.63</v>
      </c>
      <c r="Q62" s="100">
        <v>12.99</v>
      </c>
      <c r="R62" s="6"/>
      <c r="S62" s="6"/>
      <c r="T62" s="156"/>
      <c r="U62" s="6"/>
    </row>
    <row r="63" spans="1:21" customFormat="1">
      <c r="A63" s="163" t="s">
        <v>389</v>
      </c>
      <c r="B63" s="100">
        <v>3.77</v>
      </c>
      <c r="C63" s="100">
        <v>23.59</v>
      </c>
      <c r="D63" s="100">
        <v>16.7</v>
      </c>
      <c r="E63" s="100">
        <v>16.559999999999999</v>
      </c>
      <c r="F63" s="151" t="s">
        <v>8</v>
      </c>
      <c r="G63" s="100">
        <v>54.16</v>
      </c>
      <c r="H63" s="100">
        <v>17.899999999999999</v>
      </c>
      <c r="I63" s="100">
        <v>7.83</v>
      </c>
      <c r="J63" s="100">
        <v>0.48</v>
      </c>
      <c r="K63" s="100">
        <v>17.22</v>
      </c>
      <c r="L63" s="100">
        <v>26.81</v>
      </c>
      <c r="M63" s="100">
        <v>24.03</v>
      </c>
      <c r="N63" s="100">
        <v>162</v>
      </c>
      <c r="O63" s="100">
        <v>0</v>
      </c>
      <c r="P63" s="100">
        <v>0.63</v>
      </c>
      <c r="Q63" s="100">
        <v>12.99</v>
      </c>
      <c r="R63" s="6"/>
      <c r="S63" s="6"/>
      <c r="T63" s="156"/>
      <c r="U63" s="6"/>
    </row>
    <row r="64" spans="1:21" customFormat="1">
      <c r="A64" s="163" t="s">
        <v>390</v>
      </c>
      <c r="B64" s="100">
        <v>3.91</v>
      </c>
      <c r="C64" s="100">
        <v>24.48</v>
      </c>
      <c r="D64" s="100">
        <v>17.28</v>
      </c>
      <c r="E64" s="100">
        <v>14.57</v>
      </c>
      <c r="F64" s="151" t="s">
        <v>8</v>
      </c>
      <c r="G64" s="100">
        <v>54.16</v>
      </c>
      <c r="H64" s="100">
        <v>17.899999999999999</v>
      </c>
      <c r="I64" s="100">
        <v>7.57</v>
      </c>
      <c r="J64" s="100">
        <v>0.52</v>
      </c>
      <c r="K64" s="100">
        <v>25.32</v>
      </c>
      <c r="L64" s="100">
        <v>26.85</v>
      </c>
      <c r="M64" s="100">
        <v>22.4</v>
      </c>
      <c r="N64" s="100">
        <v>118.3</v>
      </c>
      <c r="O64" s="100">
        <v>0</v>
      </c>
      <c r="P64" s="100">
        <v>0.61</v>
      </c>
      <c r="Q64" s="100">
        <v>13.01</v>
      </c>
      <c r="R64" s="6"/>
      <c r="S64" s="6"/>
      <c r="T64" s="156"/>
      <c r="U64" s="6"/>
    </row>
    <row r="65" spans="1:21" customFormat="1">
      <c r="A65" s="163" t="s">
        <v>391</v>
      </c>
      <c r="B65" s="100">
        <v>3.77</v>
      </c>
      <c r="C65" s="100">
        <v>24.82</v>
      </c>
      <c r="D65" s="100">
        <v>17.34</v>
      </c>
      <c r="E65" s="100">
        <v>15.36</v>
      </c>
      <c r="F65" s="151" t="s">
        <v>8</v>
      </c>
      <c r="G65" s="100">
        <v>54.19</v>
      </c>
      <c r="H65" s="100">
        <v>17.53</v>
      </c>
      <c r="I65" s="100">
        <v>7.39</v>
      </c>
      <c r="J65" s="100">
        <v>0.55000000000000004</v>
      </c>
      <c r="K65" s="100">
        <v>23.22</v>
      </c>
      <c r="L65" s="100">
        <v>27.04</v>
      </c>
      <c r="M65" s="100">
        <v>20.76</v>
      </c>
      <c r="N65" s="100">
        <v>88.6</v>
      </c>
      <c r="O65" s="100">
        <v>0</v>
      </c>
      <c r="P65" s="100">
        <v>0.57999999999999996</v>
      </c>
      <c r="Q65" s="100">
        <v>12.99</v>
      </c>
      <c r="R65" s="6"/>
      <c r="S65" s="6"/>
      <c r="T65" s="156"/>
      <c r="U65" s="6"/>
    </row>
    <row r="66" spans="1:21" customFormat="1">
      <c r="A66" s="163" t="s">
        <v>392</v>
      </c>
      <c r="B66" s="100">
        <v>3.63</v>
      </c>
      <c r="C66" s="100">
        <v>24.96</v>
      </c>
      <c r="D66" s="100">
        <v>17.3</v>
      </c>
      <c r="E66" s="100">
        <v>16.079999999999998</v>
      </c>
      <c r="F66" s="151" t="s">
        <v>8</v>
      </c>
      <c r="G66" s="100">
        <v>54.22</v>
      </c>
      <c r="H66" s="100">
        <v>17.41</v>
      </c>
      <c r="I66" s="100">
        <v>7.09</v>
      </c>
      <c r="J66" s="100">
        <v>0.76</v>
      </c>
      <c r="K66" s="100">
        <v>28.69</v>
      </c>
      <c r="L66" s="100">
        <v>27.03</v>
      </c>
      <c r="M66" s="100">
        <v>20.87</v>
      </c>
      <c r="N66" s="100">
        <v>108</v>
      </c>
      <c r="O66" s="100">
        <v>0</v>
      </c>
      <c r="P66" s="100">
        <v>0.56000000000000005</v>
      </c>
      <c r="Q66" s="100">
        <v>13</v>
      </c>
      <c r="R66" s="6"/>
      <c r="S66" s="6"/>
      <c r="T66" s="156"/>
      <c r="U66" s="6"/>
    </row>
    <row r="67" spans="1:21" customFormat="1">
      <c r="A67" s="163" t="s">
        <v>393</v>
      </c>
      <c r="B67" s="100">
        <v>3.59</v>
      </c>
      <c r="C67" s="100">
        <v>24.4</v>
      </c>
      <c r="D67" s="100">
        <v>16.98</v>
      </c>
      <c r="E67" s="100">
        <v>9.2899999999999991</v>
      </c>
      <c r="F67" s="151" t="s">
        <v>8</v>
      </c>
      <c r="G67" s="100">
        <v>54.22</v>
      </c>
      <c r="H67" s="100">
        <v>17.41</v>
      </c>
      <c r="I67" s="100">
        <v>6.67</v>
      </c>
      <c r="J67" s="100">
        <v>0.15</v>
      </c>
      <c r="K67" s="100">
        <v>127.83</v>
      </c>
      <c r="L67" s="100">
        <v>26.89</v>
      </c>
      <c r="M67" s="100">
        <v>21.84</v>
      </c>
      <c r="N67" s="100">
        <v>59.2</v>
      </c>
      <c r="O67" s="100">
        <v>0</v>
      </c>
      <c r="P67" s="100">
        <v>0.56999999999999995</v>
      </c>
      <c r="Q67" s="100">
        <v>12.99</v>
      </c>
      <c r="R67" s="6"/>
      <c r="S67" s="6"/>
      <c r="T67" s="156"/>
      <c r="U67" s="6"/>
    </row>
    <row r="68" spans="1:21" customFormat="1">
      <c r="A68" s="163" t="s">
        <v>394</v>
      </c>
      <c r="B68" s="100">
        <v>3.66</v>
      </c>
      <c r="C68" s="100">
        <v>23.14</v>
      </c>
      <c r="D68" s="100">
        <v>16.38</v>
      </c>
      <c r="E68" s="100">
        <v>9.41</v>
      </c>
      <c r="F68" s="151" t="s">
        <v>8</v>
      </c>
      <c r="G68" s="100">
        <v>54.22</v>
      </c>
      <c r="H68" s="100">
        <v>17.41</v>
      </c>
      <c r="I68" s="100">
        <v>6.5</v>
      </c>
      <c r="J68" s="100">
        <v>0.3</v>
      </c>
      <c r="K68" s="100">
        <v>27.08</v>
      </c>
      <c r="L68" s="100">
        <v>26.83</v>
      </c>
      <c r="M68" s="100">
        <v>21.21</v>
      </c>
      <c r="N68" s="100">
        <v>49.6</v>
      </c>
      <c r="O68" s="100">
        <v>0</v>
      </c>
      <c r="P68" s="100">
        <v>0.56999999999999995</v>
      </c>
      <c r="Q68" s="100">
        <v>13</v>
      </c>
      <c r="R68" s="6"/>
      <c r="S68" s="6"/>
      <c r="T68" s="156"/>
      <c r="U68" s="6"/>
    </row>
    <row r="69" spans="1:21" customFormat="1">
      <c r="A69" s="163" t="s">
        <v>395</v>
      </c>
      <c r="B69" s="100">
        <v>3.86</v>
      </c>
      <c r="C69" s="100">
        <v>22.17</v>
      </c>
      <c r="D69" s="100">
        <v>16.02</v>
      </c>
      <c r="E69" s="100">
        <v>11.95</v>
      </c>
      <c r="F69" s="151" t="s">
        <v>8</v>
      </c>
      <c r="G69" s="100">
        <v>50.96</v>
      </c>
      <c r="H69" s="100">
        <v>17.47</v>
      </c>
      <c r="I69" s="100">
        <v>6.54</v>
      </c>
      <c r="J69" s="100">
        <v>0.76</v>
      </c>
      <c r="K69" s="100">
        <v>31.61</v>
      </c>
      <c r="L69" s="100">
        <v>27.18</v>
      </c>
      <c r="M69" s="100">
        <v>21</v>
      </c>
      <c r="N69" s="100">
        <v>44.9</v>
      </c>
      <c r="O69" s="100">
        <v>0</v>
      </c>
      <c r="P69" s="100">
        <v>0.56000000000000005</v>
      </c>
      <c r="Q69" s="100">
        <v>12.97</v>
      </c>
      <c r="R69" s="6"/>
      <c r="S69" s="6"/>
      <c r="T69" s="156"/>
      <c r="U69" s="6"/>
    </row>
    <row r="70" spans="1:21" customFormat="1">
      <c r="A70" s="163" t="s">
        <v>396</v>
      </c>
      <c r="B70" s="100">
        <v>3.65</v>
      </c>
      <c r="C70" s="100">
        <v>22.96</v>
      </c>
      <c r="D70" s="100">
        <v>16.27</v>
      </c>
      <c r="E70" s="100">
        <v>14.34</v>
      </c>
      <c r="F70" s="151" t="s">
        <v>8</v>
      </c>
      <c r="G70" s="100">
        <v>48.58</v>
      </c>
      <c r="H70" s="100">
        <v>17.48</v>
      </c>
      <c r="I70" s="100">
        <v>6.53</v>
      </c>
      <c r="J70" s="100">
        <v>0.36</v>
      </c>
      <c r="K70" s="100">
        <v>318.60000000000002</v>
      </c>
      <c r="L70" s="100">
        <v>27.02</v>
      </c>
      <c r="M70" s="100">
        <v>22.23</v>
      </c>
      <c r="N70" s="100">
        <v>44.1</v>
      </c>
      <c r="O70" s="100">
        <v>0</v>
      </c>
      <c r="P70" s="100">
        <v>0.54</v>
      </c>
      <c r="Q70" s="100">
        <v>12.96</v>
      </c>
      <c r="R70" s="6"/>
      <c r="S70" s="6"/>
      <c r="T70" s="156"/>
      <c r="U70" s="6"/>
    </row>
    <row r="71" spans="1:21" customFormat="1">
      <c r="A71" s="163" t="s">
        <v>397</v>
      </c>
      <c r="B71" s="100">
        <v>3.45</v>
      </c>
      <c r="C71" s="100">
        <v>23.74</v>
      </c>
      <c r="D71" s="100">
        <v>16.52</v>
      </c>
      <c r="E71" s="100">
        <v>9.92</v>
      </c>
      <c r="F71" s="151" t="s">
        <v>8</v>
      </c>
      <c r="G71" s="100">
        <v>48.58</v>
      </c>
      <c r="H71" s="100">
        <v>17.48</v>
      </c>
      <c r="I71" s="100">
        <v>6.27</v>
      </c>
      <c r="J71" s="100">
        <v>0.64</v>
      </c>
      <c r="K71" s="100">
        <v>53.52</v>
      </c>
      <c r="L71" s="100">
        <v>27.05</v>
      </c>
      <c r="M71" s="100">
        <v>21.4</v>
      </c>
      <c r="N71" s="100">
        <v>37.4</v>
      </c>
      <c r="O71" s="100">
        <v>0</v>
      </c>
      <c r="P71" s="100">
        <v>0.52</v>
      </c>
      <c r="Q71" s="100">
        <v>12.95</v>
      </c>
      <c r="R71" s="6"/>
      <c r="S71" s="6"/>
      <c r="T71" s="156"/>
      <c r="U71" s="6"/>
    </row>
    <row r="72" spans="1:21" customFormat="1">
      <c r="A72" s="163" t="s">
        <v>398</v>
      </c>
      <c r="B72" s="100">
        <v>3.35</v>
      </c>
      <c r="C72" s="100">
        <v>23.71</v>
      </c>
      <c r="D72" s="100">
        <v>16.420000000000002</v>
      </c>
      <c r="E72" s="100">
        <v>8.73</v>
      </c>
      <c r="F72" s="151" t="s">
        <v>8</v>
      </c>
      <c r="G72" s="100">
        <v>48.58</v>
      </c>
      <c r="H72" s="100">
        <v>17.48</v>
      </c>
      <c r="I72" s="100">
        <v>5.93</v>
      </c>
      <c r="J72" s="100">
        <v>0.47</v>
      </c>
      <c r="K72" s="100">
        <v>25.19</v>
      </c>
      <c r="L72" s="100">
        <v>26.99</v>
      </c>
      <c r="M72" s="100">
        <v>21.36</v>
      </c>
      <c r="N72" s="100">
        <v>36.1</v>
      </c>
      <c r="O72" s="100">
        <v>0</v>
      </c>
      <c r="P72" s="100">
        <v>0.48</v>
      </c>
      <c r="Q72" s="100">
        <v>12.97</v>
      </c>
      <c r="R72" s="6"/>
      <c r="S72" s="6"/>
      <c r="T72" s="156"/>
      <c r="U72" s="6"/>
    </row>
    <row r="73" spans="1:21" customFormat="1">
      <c r="A73" s="163" t="s">
        <v>399</v>
      </c>
      <c r="B73" s="100">
        <v>3.39</v>
      </c>
      <c r="C73" s="100">
        <v>23.63</v>
      </c>
      <c r="D73" s="100">
        <v>16.41</v>
      </c>
      <c r="E73" s="100">
        <v>8.7200000000000006</v>
      </c>
      <c r="F73" s="151" t="s">
        <v>8</v>
      </c>
      <c r="G73" s="100">
        <v>48.21</v>
      </c>
      <c r="H73" s="100">
        <v>15.58</v>
      </c>
      <c r="I73" s="100">
        <v>5.78</v>
      </c>
      <c r="J73" s="100">
        <v>0.52</v>
      </c>
      <c r="K73" s="100">
        <v>34.01</v>
      </c>
      <c r="L73" s="100">
        <v>26.88</v>
      </c>
      <c r="M73" s="100">
        <v>20.88</v>
      </c>
      <c r="N73" s="100">
        <v>29.7</v>
      </c>
      <c r="O73" s="100">
        <v>0</v>
      </c>
      <c r="P73" s="100">
        <v>0.47</v>
      </c>
      <c r="Q73" s="100">
        <v>12.99</v>
      </c>
      <c r="R73" s="6"/>
      <c r="S73" s="6"/>
      <c r="T73" s="156"/>
      <c r="U73" s="6"/>
    </row>
    <row r="74" spans="1:21" customFormat="1">
      <c r="A74" s="163" t="s">
        <v>400</v>
      </c>
      <c r="B74" s="100">
        <v>3.56</v>
      </c>
      <c r="C74" s="100">
        <v>23.74</v>
      </c>
      <c r="D74" s="100">
        <v>16.61</v>
      </c>
      <c r="E74" s="100">
        <v>7.9</v>
      </c>
      <c r="F74" s="151" t="s">
        <v>8</v>
      </c>
      <c r="G74" s="100">
        <v>47.94</v>
      </c>
      <c r="H74" s="100">
        <v>15.01</v>
      </c>
      <c r="I74" s="100">
        <v>5.67</v>
      </c>
      <c r="J74" s="100">
        <v>0.36</v>
      </c>
      <c r="K74" s="100">
        <v>42.17</v>
      </c>
      <c r="L74" s="100">
        <v>26.64</v>
      </c>
      <c r="M74" s="100">
        <v>21.24</v>
      </c>
      <c r="N74" s="100">
        <v>21.9</v>
      </c>
      <c r="O74" s="100">
        <v>0</v>
      </c>
      <c r="P74" s="100">
        <v>0.47</v>
      </c>
      <c r="Q74" s="100">
        <v>12.98</v>
      </c>
      <c r="R74" s="6"/>
      <c r="S74" s="6"/>
      <c r="T74" s="156"/>
      <c r="U74" s="6"/>
    </row>
    <row r="75" spans="1:21" customFormat="1">
      <c r="A75" s="163" t="s">
        <v>401</v>
      </c>
      <c r="B75" s="100">
        <v>3.72</v>
      </c>
      <c r="C75" s="100">
        <v>23.82</v>
      </c>
      <c r="D75" s="100">
        <v>16.78</v>
      </c>
      <c r="E75" s="100">
        <v>7.26</v>
      </c>
      <c r="F75" s="151" t="s">
        <v>8</v>
      </c>
      <c r="G75" s="100">
        <v>47.94</v>
      </c>
      <c r="H75" s="100">
        <v>15.01</v>
      </c>
      <c r="I75" s="100">
        <v>5.65</v>
      </c>
      <c r="J75" s="100">
        <v>0.09</v>
      </c>
      <c r="K75" s="100">
        <v>116.18</v>
      </c>
      <c r="L75" s="100">
        <v>25.78</v>
      </c>
      <c r="M75" s="100">
        <v>27.75</v>
      </c>
      <c r="N75" s="100">
        <v>17.3</v>
      </c>
      <c r="O75" s="100">
        <v>0</v>
      </c>
      <c r="P75" s="100">
        <v>0.48</v>
      </c>
      <c r="Q75" s="100">
        <v>12.98</v>
      </c>
      <c r="R75" s="6"/>
      <c r="S75" s="6"/>
      <c r="T75" s="156"/>
      <c r="U75" s="6"/>
    </row>
    <row r="76" spans="1:21" customFormat="1">
      <c r="A76" s="163" t="s">
        <v>402</v>
      </c>
      <c r="B76" s="100">
        <v>3.85</v>
      </c>
      <c r="C76" s="100">
        <v>23.81</v>
      </c>
      <c r="D76" s="100">
        <v>16.88</v>
      </c>
      <c r="E76" s="100">
        <v>7.06</v>
      </c>
      <c r="F76" s="151" t="s">
        <v>8</v>
      </c>
      <c r="G76" s="100">
        <v>47.94</v>
      </c>
      <c r="H76" s="100">
        <v>15.01</v>
      </c>
      <c r="I76" s="100">
        <v>5.66</v>
      </c>
      <c r="J76" s="100">
        <v>0.26</v>
      </c>
      <c r="K76" s="100">
        <v>160.72</v>
      </c>
      <c r="L76" s="100">
        <v>24.49</v>
      </c>
      <c r="M76" s="100">
        <v>33.53</v>
      </c>
      <c r="N76" s="100">
        <v>12.1</v>
      </c>
      <c r="O76" s="100">
        <v>0</v>
      </c>
      <c r="P76" s="100">
        <v>0.49</v>
      </c>
      <c r="Q76" s="100">
        <v>12.97</v>
      </c>
      <c r="R76" s="6"/>
      <c r="S76" s="6"/>
      <c r="T76" s="156"/>
      <c r="U76" s="6"/>
    </row>
    <row r="77" spans="1:21" customFormat="1">
      <c r="A77" s="163" t="s">
        <v>403</v>
      </c>
      <c r="B77" s="100">
        <v>3.99</v>
      </c>
      <c r="C77" s="100">
        <v>23.97</v>
      </c>
      <c r="D77" s="100">
        <v>17.079999999999998</v>
      </c>
      <c r="E77" s="100">
        <v>7.48</v>
      </c>
      <c r="F77" s="151" t="s">
        <v>8</v>
      </c>
      <c r="G77" s="100">
        <v>51.72</v>
      </c>
      <c r="H77" s="100">
        <v>16.579999999999998</v>
      </c>
      <c r="I77" s="100">
        <v>5.69</v>
      </c>
      <c r="J77" s="100">
        <v>0.32</v>
      </c>
      <c r="K77" s="100">
        <v>168.72</v>
      </c>
      <c r="L77" s="100">
        <v>23.24</v>
      </c>
      <c r="M77" s="100">
        <v>38.26</v>
      </c>
      <c r="N77" s="100">
        <v>5.9</v>
      </c>
      <c r="O77" s="100">
        <v>0</v>
      </c>
      <c r="P77" s="100">
        <v>0.5</v>
      </c>
      <c r="Q77" s="100">
        <v>12.97</v>
      </c>
      <c r="R77" s="6"/>
      <c r="S77" s="6"/>
      <c r="T77" s="156"/>
      <c r="U77" s="6"/>
    </row>
    <row r="78" spans="1:21" customFormat="1">
      <c r="A78" s="163" t="s">
        <v>404</v>
      </c>
      <c r="B78" s="100">
        <v>4.4000000000000004</v>
      </c>
      <c r="C78" s="100">
        <v>24.66</v>
      </c>
      <c r="D78" s="100">
        <v>17.760000000000002</v>
      </c>
      <c r="E78" s="100">
        <v>7.41</v>
      </c>
      <c r="F78" s="151" t="s">
        <v>8</v>
      </c>
      <c r="G78" s="100">
        <v>54.49</v>
      </c>
      <c r="H78" s="100">
        <v>17.05</v>
      </c>
      <c r="I78" s="100">
        <v>5.74</v>
      </c>
      <c r="J78" s="100">
        <v>0.3</v>
      </c>
      <c r="K78" s="100">
        <v>162.6</v>
      </c>
      <c r="L78" s="100">
        <v>22.3</v>
      </c>
      <c r="M78" s="100">
        <v>43.21</v>
      </c>
      <c r="N78" s="100">
        <v>2.7</v>
      </c>
      <c r="O78" s="100">
        <v>0</v>
      </c>
      <c r="P78" s="100">
        <v>0.52</v>
      </c>
      <c r="Q78" s="100">
        <v>12.98</v>
      </c>
      <c r="R78" s="6"/>
      <c r="S78" s="6"/>
      <c r="T78" s="156"/>
      <c r="U78" s="6"/>
    </row>
    <row r="79" spans="1:21" customFormat="1">
      <c r="A79" s="163" t="s">
        <v>405</v>
      </c>
      <c r="B79" s="100">
        <v>4.9800000000000004</v>
      </c>
      <c r="C79" s="100">
        <v>25.43</v>
      </c>
      <c r="D79" s="100">
        <v>18.63</v>
      </c>
      <c r="E79" s="100">
        <v>7.37</v>
      </c>
      <c r="F79" s="151" t="s">
        <v>8</v>
      </c>
      <c r="G79" s="100">
        <v>54.49</v>
      </c>
      <c r="H79" s="100">
        <v>17.05</v>
      </c>
      <c r="I79" s="100">
        <v>5.89</v>
      </c>
      <c r="J79" s="100">
        <v>0.35</v>
      </c>
      <c r="K79" s="100">
        <v>162.88</v>
      </c>
      <c r="L79" s="100">
        <v>21.46</v>
      </c>
      <c r="M79" s="100">
        <v>47.59</v>
      </c>
      <c r="N79" s="100">
        <v>2.1</v>
      </c>
      <c r="O79" s="100">
        <v>0</v>
      </c>
      <c r="P79" s="100">
        <v>0.55000000000000004</v>
      </c>
      <c r="Q79" s="100">
        <v>12.99</v>
      </c>
      <c r="R79" s="6"/>
      <c r="S79" s="6"/>
      <c r="T79" s="156"/>
      <c r="U79" s="6"/>
    </row>
    <row r="80" spans="1:21" customFormat="1">
      <c r="A80" s="163" t="s">
        <v>406</v>
      </c>
      <c r="B80" s="100">
        <v>5.5</v>
      </c>
      <c r="C80" s="100">
        <v>25.99</v>
      </c>
      <c r="D80" s="100">
        <v>19.34</v>
      </c>
      <c r="E80" s="100">
        <v>7.41</v>
      </c>
      <c r="F80" s="151" t="s">
        <v>8</v>
      </c>
      <c r="G80" s="100">
        <v>54.49</v>
      </c>
      <c r="H80" s="100">
        <v>17.05</v>
      </c>
      <c r="I80" s="100">
        <v>6.11</v>
      </c>
      <c r="J80" s="100">
        <v>0.33</v>
      </c>
      <c r="K80" s="100">
        <v>165.29</v>
      </c>
      <c r="L80" s="100">
        <v>20.58</v>
      </c>
      <c r="M80" s="100">
        <v>50.56</v>
      </c>
      <c r="N80" s="100">
        <v>1.9</v>
      </c>
      <c r="O80" s="100">
        <v>0</v>
      </c>
      <c r="P80" s="100">
        <v>0.56999999999999995</v>
      </c>
      <c r="Q80" s="100">
        <v>12.99</v>
      </c>
      <c r="R80" s="6"/>
      <c r="S80" s="6"/>
      <c r="T80" s="156"/>
      <c r="U80" s="6"/>
    </row>
    <row r="81" spans="1:21" customFormat="1">
      <c r="A81" s="163" t="s">
        <v>407</v>
      </c>
      <c r="B81" s="100">
        <v>5.8</v>
      </c>
      <c r="C81" s="100">
        <v>26.15</v>
      </c>
      <c r="D81" s="100">
        <v>19.66</v>
      </c>
      <c r="E81" s="100">
        <v>6.19</v>
      </c>
      <c r="F81" s="151" t="s">
        <v>8</v>
      </c>
      <c r="G81" s="100">
        <v>68.34</v>
      </c>
      <c r="H81" s="100">
        <v>19.2</v>
      </c>
      <c r="I81" s="100">
        <v>6.34</v>
      </c>
      <c r="J81" s="100">
        <v>0.25</v>
      </c>
      <c r="K81" s="100">
        <v>171.18</v>
      </c>
      <c r="L81" s="100">
        <v>19.88</v>
      </c>
      <c r="M81" s="100">
        <v>59.26</v>
      </c>
      <c r="N81" s="100">
        <v>1.8</v>
      </c>
      <c r="O81" s="100">
        <v>0</v>
      </c>
      <c r="P81" s="100">
        <v>0.59</v>
      </c>
      <c r="Q81" s="100">
        <v>12.98</v>
      </c>
      <c r="R81" s="6"/>
      <c r="S81" s="6"/>
      <c r="T81" s="156"/>
      <c r="U81" s="6"/>
    </row>
    <row r="82" spans="1:21" customFormat="1">
      <c r="A82" s="163" t="s">
        <v>408</v>
      </c>
      <c r="B82" s="100">
        <v>6.13</v>
      </c>
      <c r="C82" s="100">
        <v>26.26</v>
      </c>
      <c r="D82" s="100">
        <v>19.98</v>
      </c>
      <c r="E82" s="100">
        <v>7.25</v>
      </c>
      <c r="F82" s="151" t="s">
        <v>8</v>
      </c>
      <c r="G82" s="100">
        <v>78.47</v>
      </c>
      <c r="H82" s="100">
        <v>19.84</v>
      </c>
      <c r="I82" s="100">
        <v>6.59</v>
      </c>
      <c r="J82" s="100">
        <v>0.17</v>
      </c>
      <c r="K82" s="100">
        <v>177.09</v>
      </c>
      <c r="L82" s="100">
        <v>19.149999999999999</v>
      </c>
      <c r="M82" s="100">
        <v>60.12</v>
      </c>
      <c r="N82" s="100">
        <v>1.6</v>
      </c>
      <c r="O82" s="100">
        <v>0</v>
      </c>
      <c r="P82" s="100">
        <v>0.61</v>
      </c>
      <c r="Q82" s="100">
        <v>12.99</v>
      </c>
      <c r="R82" s="6"/>
      <c r="S82" s="6"/>
      <c r="T82" s="156"/>
      <c r="U82" s="6"/>
    </row>
    <row r="83" spans="1:21" customFormat="1">
      <c r="A83" s="163" t="s">
        <v>409</v>
      </c>
      <c r="B83" s="100">
        <v>6.73</v>
      </c>
      <c r="C83" s="100">
        <v>26.51</v>
      </c>
      <c r="D83" s="100">
        <v>20.6</v>
      </c>
      <c r="E83" s="100">
        <v>7.45</v>
      </c>
      <c r="F83" s="151" t="s">
        <v>8</v>
      </c>
      <c r="G83" s="100">
        <v>78.47</v>
      </c>
      <c r="H83" s="100">
        <v>19.84</v>
      </c>
      <c r="I83" s="100">
        <v>6.82</v>
      </c>
      <c r="J83" s="100">
        <v>0.16</v>
      </c>
      <c r="K83" s="100">
        <v>200.07</v>
      </c>
      <c r="L83" s="100">
        <v>18.84</v>
      </c>
      <c r="M83" s="100">
        <v>56.29</v>
      </c>
      <c r="N83" s="100">
        <v>1.4</v>
      </c>
      <c r="O83" s="100">
        <v>0</v>
      </c>
      <c r="P83" s="100">
        <v>0.63</v>
      </c>
      <c r="Q83" s="100">
        <v>12.98</v>
      </c>
      <c r="R83" s="6"/>
      <c r="S83" s="6"/>
      <c r="T83" s="156"/>
      <c r="U83" s="6"/>
    </row>
    <row r="84" spans="1:21" customFormat="1">
      <c r="A84" s="163" t="s">
        <v>410</v>
      </c>
      <c r="B84" s="100">
        <v>8.0299999999999994</v>
      </c>
      <c r="C84" s="100">
        <v>26.77</v>
      </c>
      <c r="D84" s="100">
        <v>21.78</v>
      </c>
      <c r="E84" s="100">
        <v>7.89</v>
      </c>
      <c r="F84" s="151" t="s">
        <v>8</v>
      </c>
      <c r="G84" s="100">
        <v>78.47</v>
      </c>
      <c r="H84" s="100">
        <v>19.84</v>
      </c>
      <c r="I84" s="100">
        <v>7.13</v>
      </c>
      <c r="J84" s="100">
        <v>0.26</v>
      </c>
      <c r="K84" s="100">
        <v>163.04</v>
      </c>
      <c r="L84" s="100">
        <v>18.54</v>
      </c>
      <c r="M84" s="100">
        <v>61.05</v>
      </c>
      <c r="N84" s="100">
        <v>1.3</v>
      </c>
      <c r="O84" s="100">
        <v>0</v>
      </c>
      <c r="P84" s="100">
        <v>0.67</v>
      </c>
      <c r="Q84" s="100">
        <v>13</v>
      </c>
      <c r="R84" s="6"/>
      <c r="S84" s="6"/>
      <c r="T84" s="156"/>
      <c r="U84" s="6"/>
    </row>
    <row r="85" spans="1:21" customFormat="1">
      <c r="A85" s="163" t="s">
        <v>411</v>
      </c>
      <c r="B85" s="100">
        <v>9.66</v>
      </c>
      <c r="C85" s="100">
        <v>26.89</v>
      </c>
      <c r="D85" s="100">
        <v>23.14</v>
      </c>
      <c r="E85" s="100">
        <v>8.26</v>
      </c>
      <c r="F85" s="151" t="s">
        <v>8</v>
      </c>
      <c r="G85" s="100">
        <v>86.2</v>
      </c>
      <c r="H85" s="100">
        <v>21.68</v>
      </c>
      <c r="I85" s="100">
        <v>7.55</v>
      </c>
      <c r="J85" s="100">
        <v>0.26</v>
      </c>
      <c r="K85" s="100">
        <v>162.29</v>
      </c>
      <c r="L85" s="100">
        <v>18.12</v>
      </c>
      <c r="M85" s="100">
        <v>65.64</v>
      </c>
      <c r="N85" s="100">
        <v>1.3</v>
      </c>
      <c r="O85" s="100">
        <v>0</v>
      </c>
      <c r="P85" s="100">
        <v>0.69</v>
      </c>
      <c r="Q85" s="100">
        <v>13.02</v>
      </c>
      <c r="R85" s="6"/>
      <c r="S85" s="6"/>
      <c r="T85" s="156"/>
      <c r="U85" s="6"/>
    </row>
    <row r="86" spans="1:21" customFormat="1">
      <c r="A86" s="163" t="s">
        <v>412</v>
      </c>
      <c r="B86" s="100">
        <v>11.19</v>
      </c>
      <c r="C86" s="100">
        <v>26.84</v>
      </c>
      <c r="D86" s="100">
        <v>24.35</v>
      </c>
      <c r="E86" s="100">
        <v>7.93</v>
      </c>
      <c r="F86" s="151" t="s">
        <v>8</v>
      </c>
      <c r="G86" s="100">
        <v>91.85</v>
      </c>
      <c r="H86" s="100">
        <v>22.74</v>
      </c>
      <c r="I86" s="100">
        <v>7.97</v>
      </c>
      <c r="J86" s="100">
        <v>0.15</v>
      </c>
      <c r="K86" s="100">
        <v>174.19</v>
      </c>
      <c r="L86" s="100">
        <v>17.670000000000002</v>
      </c>
      <c r="M86" s="100">
        <v>65.13</v>
      </c>
      <c r="N86" s="100">
        <v>1.3</v>
      </c>
      <c r="O86" s="100">
        <v>0</v>
      </c>
      <c r="P86" s="100">
        <v>0.72</v>
      </c>
      <c r="Q86" s="100">
        <v>13.01</v>
      </c>
      <c r="R86" s="6"/>
      <c r="S86" s="6"/>
      <c r="T86" s="156"/>
      <c r="U86" s="6"/>
    </row>
    <row r="87" spans="1:21" customFormat="1">
      <c r="A87" s="163" t="s">
        <v>413</v>
      </c>
      <c r="B87" s="100">
        <v>12.31</v>
      </c>
      <c r="C87" s="100">
        <v>27.05</v>
      </c>
      <c r="D87" s="100">
        <v>25.35</v>
      </c>
      <c r="E87" s="100">
        <v>7.81</v>
      </c>
      <c r="F87" s="151" t="s">
        <v>8</v>
      </c>
      <c r="G87" s="100">
        <v>91.85</v>
      </c>
      <c r="H87" s="100">
        <v>22.74</v>
      </c>
      <c r="I87" s="100">
        <v>8.35</v>
      </c>
      <c r="J87" s="100">
        <v>0.27</v>
      </c>
      <c r="K87" s="100">
        <v>165.69</v>
      </c>
      <c r="L87" s="100">
        <v>17.82</v>
      </c>
      <c r="M87" s="100">
        <v>64.67</v>
      </c>
      <c r="N87" s="100">
        <v>1.1000000000000001</v>
      </c>
      <c r="O87" s="100">
        <v>0</v>
      </c>
      <c r="P87" s="100">
        <v>0.74</v>
      </c>
      <c r="Q87" s="100">
        <v>13.01</v>
      </c>
      <c r="R87" s="6"/>
      <c r="S87" s="6"/>
      <c r="T87" s="156"/>
      <c r="U87" s="6"/>
    </row>
    <row r="88" spans="1:21" customFormat="1">
      <c r="A88" s="163" t="s">
        <v>414</v>
      </c>
      <c r="B88" s="100">
        <v>13.21</v>
      </c>
      <c r="C88" s="100">
        <v>26.88</v>
      </c>
      <c r="D88" s="100">
        <v>25.99</v>
      </c>
      <c r="E88" s="100">
        <v>8.19</v>
      </c>
      <c r="F88" s="151" t="s">
        <v>8</v>
      </c>
      <c r="G88" s="100">
        <v>91.85</v>
      </c>
      <c r="H88" s="100">
        <v>22.74</v>
      </c>
      <c r="I88" s="100">
        <v>8.75</v>
      </c>
      <c r="J88" s="100">
        <v>0.18</v>
      </c>
      <c r="K88" s="100">
        <v>173.21</v>
      </c>
      <c r="L88" s="100">
        <v>17.41</v>
      </c>
      <c r="M88" s="100">
        <v>71.17</v>
      </c>
      <c r="N88" s="100">
        <v>1.3</v>
      </c>
      <c r="O88" s="100">
        <v>0</v>
      </c>
      <c r="P88" s="100">
        <v>0.77</v>
      </c>
      <c r="Q88" s="100">
        <v>13.03</v>
      </c>
      <c r="R88" s="6"/>
      <c r="S88" s="6"/>
      <c r="T88" s="156"/>
      <c r="U88" s="6"/>
    </row>
    <row r="89" spans="1:21" customFormat="1">
      <c r="A89" s="163" t="s">
        <v>415</v>
      </c>
      <c r="B89" s="100">
        <v>14.08</v>
      </c>
      <c r="C89" s="100">
        <v>26.65</v>
      </c>
      <c r="D89" s="100">
        <v>26.57</v>
      </c>
      <c r="E89" s="100">
        <v>7.92</v>
      </c>
      <c r="F89" s="151" t="s">
        <v>8</v>
      </c>
      <c r="G89" s="100">
        <v>94.17</v>
      </c>
      <c r="H89" s="100">
        <v>22.67</v>
      </c>
      <c r="I89" s="100">
        <v>9.14</v>
      </c>
      <c r="J89" s="100">
        <v>0.19</v>
      </c>
      <c r="K89" s="100">
        <v>179.24</v>
      </c>
      <c r="L89" s="100">
        <v>16.93</v>
      </c>
      <c r="M89" s="100">
        <v>73.62</v>
      </c>
      <c r="N89" s="100">
        <v>1.4</v>
      </c>
      <c r="O89" s="100">
        <v>0</v>
      </c>
      <c r="P89" s="100">
        <v>0.79</v>
      </c>
      <c r="Q89" s="100">
        <v>13.03</v>
      </c>
      <c r="R89" s="6"/>
      <c r="S89" s="6"/>
      <c r="T89" s="156"/>
      <c r="U89" s="6"/>
    </row>
    <row r="90" spans="1:21" customFormat="1">
      <c r="A90" s="163" t="s">
        <v>416</v>
      </c>
      <c r="B90" s="100">
        <v>14.93</v>
      </c>
      <c r="C90" s="100">
        <v>26.55</v>
      </c>
      <c r="D90" s="100">
        <v>27.2</v>
      </c>
      <c r="E90" s="100">
        <v>8.14</v>
      </c>
      <c r="F90" s="151" t="s">
        <v>8</v>
      </c>
      <c r="G90" s="100">
        <v>95.87</v>
      </c>
      <c r="H90" s="100">
        <v>22.65</v>
      </c>
      <c r="I90" s="100">
        <v>9.52</v>
      </c>
      <c r="J90" s="100">
        <v>0.23</v>
      </c>
      <c r="K90" s="100">
        <v>165.48</v>
      </c>
      <c r="L90" s="100">
        <v>16.940000000000001</v>
      </c>
      <c r="M90" s="100">
        <v>67.8</v>
      </c>
      <c r="N90" s="100">
        <v>1</v>
      </c>
      <c r="O90" s="100">
        <v>0</v>
      </c>
      <c r="P90" s="100">
        <v>0.82</v>
      </c>
      <c r="Q90" s="100">
        <v>13.01</v>
      </c>
      <c r="R90" s="6"/>
      <c r="S90" s="6"/>
      <c r="T90" s="156"/>
      <c r="U90" s="6"/>
    </row>
    <row r="91" spans="1:21" customFormat="1">
      <c r="A91" s="163" t="s">
        <v>417</v>
      </c>
      <c r="B91" s="100">
        <v>15.87</v>
      </c>
      <c r="C91" s="100">
        <v>26.54</v>
      </c>
      <c r="D91" s="100">
        <v>27.95</v>
      </c>
      <c r="E91" s="100">
        <v>8.75</v>
      </c>
      <c r="F91" s="151" t="s">
        <v>8</v>
      </c>
      <c r="G91" s="100">
        <v>95.87</v>
      </c>
      <c r="H91" s="100">
        <v>22.65</v>
      </c>
      <c r="I91" s="100">
        <v>9.92</v>
      </c>
      <c r="J91" s="100">
        <v>0.24</v>
      </c>
      <c r="K91" s="100">
        <v>162.44</v>
      </c>
      <c r="L91" s="100">
        <v>16.649999999999999</v>
      </c>
      <c r="M91" s="100">
        <v>75.14</v>
      </c>
      <c r="N91" s="100">
        <v>1.3</v>
      </c>
      <c r="O91" s="100">
        <v>0</v>
      </c>
      <c r="P91" s="100">
        <v>0.87</v>
      </c>
      <c r="Q91" s="100">
        <v>13.04</v>
      </c>
      <c r="R91" s="6"/>
      <c r="S91" s="6"/>
      <c r="T91" s="156"/>
      <c r="U91" s="6"/>
    </row>
    <row r="92" spans="1:21" customFormat="1">
      <c r="A92" s="163" t="s">
        <v>418</v>
      </c>
      <c r="B92" s="100">
        <v>16.600000000000001</v>
      </c>
      <c r="C92" s="100">
        <v>26.04</v>
      </c>
      <c r="D92" s="100">
        <v>28.27</v>
      </c>
      <c r="E92" s="100">
        <v>8.3699999999999992</v>
      </c>
      <c r="F92" s="151" t="s">
        <v>8</v>
      </c>
      <c r="G92" s="100">
        <v>95.87</v>
      </c>
      <c r="H92" s="100">
        <v>22.65</v>
      </c>
      <c r="I92" s="100">
        <v>10.33</v>
      </c>
      <c r="J92" s="100">
        <v>0.23</v>
      </c>
      <c r="K92" s="100">
        <v>165.84</v>
      </c>
      <c r="L92" s="100">
        <v>16.420000000000002</v>
      </c>
      <c r="M92" s="100">
        <v>75.33</v>
      </c>
      <c r="N92" s="100">
        <v>1.3</v>
      </c>
      <c r="O92" s="100">
        <v>0</v>
      </c>
      <c r="P92" s="100">
        <v>0.93</v>
      </c>
      <c r="Q92" s="100">
        <v>13.03</v>
      </c>
      <c r="R92" s="6"/>
      <c r="S92" s="6"/>
      <c r="T92" s="156"/>
      <c r="U92" s="6"/>
    </row>
    <row r="93" spans="1:21" customFormat="1">
      <c r="A93" s="163" t="s">
        <v>419</v>
      </c>
      <c r="B93" s="100">
        <v>17.22</v>
      </c>
      <c r="C93" s="100">
        <v>25.58</v>
      </c>
      <c r="D93" s="100">
        <v>28.53</v>
      </c>
      <c r="E93" s="100">
        <v>8.4600000000000009</v>
      </c>
      <c r="F93" s="151" t="s">
        <v>8</v>
      </c>
      <c r="G93" s="100">
        <v>96.85</v>
      </c>
      <c r="H93" s="100">
        <v>22.19</v>
      </c>
      <c r="I93" s="100">
        <v>10.67</v>
      </c>
      <c r="J93" s="100">
        <v>0.21</v>
      </c>
      <c r="K93" s="100">
        <v>186.73</v>
      </c>
      <c r="L93" s="100">
        <v>16.14</v>
      </c>
      <c r="M93" s="100">
        <v>77.790000000000006</v>
      </c>
      <c r="N93" s="100">
        <v>1.4</v>
      </c>
      <c r="O93" s="100">
        <v>0</v>
      </c>
      <c r="P93" s="100">
        <v>0.95</v>
      </c>
      <c r="Q93" s="100">
        <v>13.01</v>
      </c>
      <c r="R93" s="6"/>
      <c r="S93" s="6"/>
      <c r="T93" s="156"/>
      <c r="U93" s="6"/>
    </row>
    <row r="94" spans="1:21" customFormat="1">
      <c r="A94" s="163" t="s">
        <v>420</v>
      </c>
      <c r="B94" s="100">
        <v>17.739999999999998</v>
      </c>
      <c r="C94" s="100">
        <v>25.07</v>
      </c>
      <c r="D94" s="100">
        <v>28.68</v>
      </c>
      <c r="E94" s="100">
        <v>8.25</v>
      </c>
      <c r="F94" s="151" t="s">
        <v>8</v>
      </c>
      <c r="G94" s="100">
        <v>97.57</v>
      </c>
      <c r="H94" s="100">
        <v>22.05</v>
      </c>
      <c r="I94" s="100">
        <v>10.91</v>
      </c>
      <c r="J94" s="100">
        <v>0.12</v>
      </c>
      <c r="K94" s="100">
        <v>222.23</v>
      </c>
      <c r="L94" s="100">
        <v>15.78</v>
      </c>
      <c r="M94" s="100">
        <v>74.97</v>
      </c>
      <c r="N94" s="100">
        <v>1.3</v>
      </c>
      <c r="O94" s="100">
        <v>0</v>
      </c>
      <c r="P94" s="100">
        <v>0.96</v>
      </c>
      <c r="Q94" s="100">
        <v>13.02</v>
      </c>
      <c r="R94" s="6"/>
      <c r="S94" s="6"/>
      <c r="T94" s="156"/>
      <c r="U94" s="6"/>
    </row>
    <row r="95" spans="1:21" customFormat="1">
      <c r="A95" s="163" t="s">
        <v>421</v>
      </c>
      <c r="B95" s="100">
        <v>18.850000000000001</v>
      </c>
      <c r="C95" s="100">
        <v>24.74</v>
      </c>
      <c r="D95" s="100">
        <v>29.39</v>
      </c>
      <c r="E95" s="100">
        <v>8.3699999999999992</v>
      </c>
      <c r="F95" s="151" t="s">
        <v>8</v>
      </c>
      <c r="G95" s="100">
        <v>97.57</v>
      </c>
      <c r="H95" s="100">
        <v>22.05</v>
      </c>
      <c r="I95" s="100">
        <v>11.14</v>
      </c>
      <c r="J95" s="100">
        <v>0.15</v>
      </c>
      <c r="K95" s="100">
        <v>159.47</v>
      </c>
      <c r="L95" s="100">
        <v>15.89</v>
      </c>
      <c r="M95" s="100">
        <v>70.709999999999994</v>
      </c>
      <c r="N95" s="100">
        <v>1.1000000000000001</v>
      </c>
      <c r="O95" s="100">
        <v>0</v>
      </c>
      <c r="P95" s="100">
        <v>0.98</v>
      </c>
      <c r="Q95" s="100">
        <v>13.03</v>
      </c>
      <c r="R95" s="6"/>
      <c r="S95" s="6"/>
      <c r="T95" s="156"/>
      <c r="U95" s="6"/>
    </row>
    <row r="96" spans="1:21" customFormat="1">
      <c r="A96" s="163" t="s">
        <v>422</v>
      </c>
      <c r="B96" s="100">
        <v>21.88</v>
      </c>
      <c r="C96" s="100">
        <v>24.85</v>
      </c>
      <c r="D96" s="100">
        <v>31.88</v>
      </c>
      <c r="E96" s="100">
        <v>8.18</v>
      </c>
      <c r="F96" s="151" t="s">
        <v>8</v>
      </c>
      <c r="G96" s="100">
        <v>97.57</v>
      </c>
      <c r="H96" s="100">
        <v>22.05</v>
      </c>
      <c r="I96" s="100">
        <v>11.36</v>
      </c>
      <c r="J96" s="100">
        <v>0.22</v>
      </c>
      <c r="K96" s="100">
        <v>175.22</v>
      </c>
      <c r="L96" s="100">
        <v>16.04</v>
      </c>
      <c r="M96" s="100">
        <v>75.22</v>
      </c>
      <c r="N96" s="100">
        <v>1.1000000000000001</v>
      </c>
      <c r="O96" s="100">
        <v>0</v>
      </c>
      <c r="P96" s="100">
        <v>1.01</v>
      </c>
      <c r="Q96" s="100">
        <v>13.02</v>
      </c>
      <c r="R96" s="6"/>
      <c r="S96" s="6"/>
      <c r="T96" s="156"/>
      <c r="U96" s="6"/>
    </row>
    <row r="97" spans="1:28" customFormat="1">
      <c r="A97" s="163" t="s">
        <v>423</v>
      </c>
      <c r="B97" s="100">
        <v>24.43</v>
      </c>
      <c r="C97" s="100">
        <v>24.73</v>
      </c>
      <c r="D97" s="100">
        <v>33.869999999999997</v>
      </c>
      <c r="E97" s="100">
        <v>8.5500000000000007</v>
      </c>
      <c r="F97" s="151" t="s">
        <v>8</v>
      </c>
      <c r="G97" s="100">
        <v>99.68</v>
      </c>
      <c r="H97" s="100">
        <v>24.21</v>
      </c>
      <c r="I97" s="100">
        <v>11.61</v>
      </c>
      <c r="J97" s="100">
        <v>0.23</v>
      </c>
      <c r="K97" s="100">
        <v>161.65</v>
      </c>
      <c r="L97" s="100">
        <v>15.82</v>
      </c>
      <c r="M97" s="100">
        <v>80</v>
      </c>
      <c r="N97" s="100">
        <v>1.3</v>
      </c>
      <c r="O97" s="100">
        <v>0</v>
      </c>
      <c r="P97" s="100">
        <v>1.03</v>
      </c>
      <c r="Q97" s="100">
        <v>13.04</v>
      </c>
      <c r="R97" s="6"/>
      <c r="S97" s="6"/>
      <c r="T97" s="156"/>
      <c r="U97" s="6"/>
    </row>
    <row r="98" spans="1:28" customFormat="1">
      <c r="A98" s="163" t="s">
        <v>424</v>
      </c>
      <c r="B98" s="100">
        <v>26.44</v>
      </c>
      <c r="C98" s="100">
        <v>24.41</v>
      </c>
      <c r="D98" s="100">
        <v>35.31</v>
      </c>
      <c r="E98" s="100">
        <v>8.74</v>
      </c>
      <c r="F98" s="151" t="s">
        <v>8</v>
      </c>
      <c r="G98" s="100">
        <v>101.23</v>
      </c>
      <c r="H98" s="100">
        <v>24.86</v>
      </c>
      <c r="I98" s="100">
        <v>11.9</v>
      </c>
      <c r="J98" s="100">
        <v>0.2</v>
      </c>
      <c r="K98" s="100">
        <v>185.8</v>
      </c>
      <c r="L98" s="100">
        <v>15.62</v>
      </c>
      <c r="M98" s="100">
        <v>81.459999999999994</v>
      </c>
      <c r="N98" s="100">
        <v>1.3</v>
      </c>
      <c r="O98" s="100">
        <v>0</v>
      </c>
      <c r="P98" s="100">
        <v>1.05</v>
      </c>
      <c r="Q98" s="100">
        <v>13.06</v>
      </c>
      <c r="R98" s="6"/>
      <c r="S98" s="6"/>
      <c r="T98" s="156"/>
      <c r="U98" s="6"/>
    </row>
    <row r="99" spans="1:28" customFormat="1">
      <c r="A99" s="163" t="s">
        <v>425</v>
      </c>
      <c r="B99" s="100">
        <v>28.28</v>
      </c>
      <c r="C99" s="100">
        <v>24.09</v>
      </c>
      <c r="D99" s="100">
        <v>36.619999999999997</v>
      </c>
      <c r="E99" s="100">
        <v>9.2100000000000009</v>
      </c>
      <c r="F99" s="151" t="s">
        <v>8</v>
      </c>
      <c r="G99" s="100">
        <v>101.23</v>
      </c>
      <c r="H99" s="100">
        <v>24.86</v>
      </c>
      <c r="I99" s="100">
        <v>12.15</v>
      </c>
      <c r="J99" s="100">
        <v>0.17</v>
      </c>
      <c r="K99" s="100">
        <v>191.27</v>
      </c>
      <c r="L99" s="100">
        <v>15.01</v>
      </c>
      <c r="M99" s="100">
        <v>81.290000000000006</v>
      </c>
      <c r="N99" s="100">
        <v>1.6</v>
      </c>
      <c r="O99" s="100">
        <v>0</v>
      </c>
      <c r="P99" s="100">
        <v>1.08</v>
      </c>
      <c r="Q99" s="100">
        <v>13.05</v>
      </c>
      <c r="R99" s="6"/>
      <c r="S99" s="6"/>
      <c r="T99" s="156"/>
      <c r="U99" s="6"/>
    </row>
    <row r="100" spans="1:28" customFormat="1">
      <c r="A100" s="163" t="s">
        <v>426</v>
      </c>
      <c r="B100" s="100">
        <v>29.34</v>
      </c>
      <c r="C100" s="100">
        <v>23.87</v>
      </c>
      <c r="D100" s="100">
        <v>37.35</v>
      </c>
      <c r="E100" s="100">
        <v>9.11</v>
      </c>
      <c r="F100" s="151" t="s">
        <v>8</v>
      </c>
      <c r="G100" s="100">
        <v>101.23</v>
      </c>
      <c r="H100" s="100">
        <v>24.86</v>
      </c>
      <c r="I100" s="100">
        <v>12.39</v>
      </c>
      <c r="J100" s="100">
        <v>0.18</v>
      </c>
      <c r="K100" s="100">
        <v>177.4</v>
      </c>
      <c r="L100" s="100">
        <v>14.95</v>
      </c>
      <c r="M100" s="100">
        <v>82.06</v>
      </c>
      <c r="N100" s="100">
        <v>1.3</v>
      </c>
      <c r="O100" s="100">
        <v>0</v>
      </c>
      <c r="P100" s="100">
        <v>1.1000000000000001</v>
      </c>
      <c r="Q100" s="100">
        <v>13.06</v>
      </c>
      <c r="R100" s="6"/>
      <c r="S100" s="6"/>
      <c r="T100" s="156"/>
      <c r="U100" s="6"/>
      <c r="AB100" s="161"/>
    </row>
    <row r="101" spans="1:28" customFormat="1">
      <c r="A101" s="163" t="s">
        <v>427</v>
      </c>
      <c r="B101" s="100">
        <v>29.81</v>
      </c>
      <c r="C101" s="100">
        <v>23.54</v>
      </c>
      <c r="D101" s="100">
        <v>37.56</v>
      </c>
      <c r="E101" s="100">
        <v>9.1</v>
      </c>
      <c r="F101" s="151" t="s">
        <v>8</v>
      </c>
      <c r="G101" s="100">
        <v>99.49</v>
      </c>
      <c r="H101" s="100">
        <v>26.72</v>
      </c>
      <c r="I101" s="100">
        <v>12.61</v>
      </c>
      <c r="J101" s="100">
        <v>0.14000000000000001</v>
      </c>
      <c r="K101" s="100">
        <v>116.93</v>
      </c>
      <c r="L101" s="100">
        <v>14.94</v>
      </c>
      <c r="M101" s="100">
        <v>78.27</v>
      </c>
      <c r="N101" s="100">
        <v>1.2</v>
      </c>
      <c r="O101" s="100">
        <v>0</v>
      </c>
      <c r="P101" s="100">
        <v>1.1100000000000001</v>
      </c>
      <c r="Q101" s="100">
        <v>13.06</v>
      </c>
      <c r="R101" s="6"/>
      <c r="S101" s="6"/>
      <c r="T101" s="156"/>
      <c r="U101" s="6"/>
    </row>
    <row r="102" spans="1:28" customFormat="1">
      <c r="A102" s="163" t="s">
        <v>428</v>
      </c>
      <c r="B102" s="100">
        <v>31.56</v>
      </c>
      <c r="C102" s="100">
        <v>23.57</v>
      </c>
      <c r="D102" s="100">
        <v>38.97</v>
      </c>
      <c r="E102" s="100">
        <v>8.84</v>
      </c>
      <c r="F102" s="151" t="s">
        <v>8</v>
      </c>
      <c r="G102" s="100">
        <v>98.22</v>
      </c>
      <c r="H102" s="100">
        <v>27.28</v>
      </c>
      <c r="I102" s="100">
        <v>12.8</v>
      </c>
      <c r="J102" s="100">
        <v>0.14000000000000001</v>
      </c>
      <c r="K102" s="100">
        <v>134.68</v>
      </c>
      <c r="L102" s="100">
        <v>15.28</v>
      </c>
      <c r="M102" s="100">
        <v>68.849999999999994</v>
      </c>
      <c r="N102" s="100">
        <v>1</v>
      </c>
      <c r="O102" s="100">
        <v>0</v>
      </c>
      <c r="P102" s="100">
        <v>1.1299999999999999</v>
      </c>
      <c r="Q102" s="100">
        <v>13.07</v>
      </c>
      <c r="R102" s="6"/>
      <c r="S102" s="6"/>
      <c r="T102" s="156"/>
      <c r="U102" s="6"/>
    </row>
    <row r="103" spans="1:28" customFormat="1">
      <c r="A103" s="163" t="s">
        <v>429</v>
      </c>
      <c r="B103" s="100">
        <v>34.17</v>
      </c>
      <c r="C103" s="100">
        <v>24</v>
      </c>
      <c r="D103" s="100">
        <v>41.3</v>
      </c>
      <c r="E103" s="100">
        <v>9.0399999999999991</v>
      </c>
      <c r="F103" s="151" t="s">
        <v>8</v>
      </c>
      <c r="G103" s="100">
        <v>98.22</v>
      </c>
      <c r="H103" s="100">
        <v>27.28</v>
      </c>
      <c r="I103" s="100">
        <v>12.93</v>
      </c>
      <c r="J103" s="100">
        <v>0.18</v>
      </c>
      <c r="K103" s="100">
        <v>177.59</v>
      </c>
      <c r="L103" s="100">
        <v>15.39</v>
      </c>
      <c r="M103" s="100">
        <v>74.41</v>
      </c>
      <c r="N103" s="100">
        <v>1.2</v>
      </c>
      <c r="O103" s="100">
        <v>0</v>
      </c>
      <c r="P103" s="100">
        <v>1.1499999999999999</v>
      </c>
      <c r="Q103" s="100">
        <v>13.08</v>
      </c>
      <c r="R103" s="6"/>
      <c r="S103" s="6"/>
      <c r="T103" s="156"/>
      <c r="U103" s="6"/>
    </row>
    <row r="104" spans="1:28" customFormat="1">
      <c r="A104" s="163" t="s">
        <v>430</v>
      </c>
      <c r="B104" s="100">
        <v>36.65</v>
      </c>
      <c r="C104" s="100">
        <v>24.24</v>
      </c>
      <c r="D104" s="100">
        <v>43.4</v>
      </c>
      <c r="E104" s="100">
        <v>9.0500000000000007</v>
      </c>
      <c r="F104" s="151" t="s">
        <v>8</v>
      </c>
      <c r="G104" s="100">
        <v>98.22</v>
      </c>
      <c r="H104" s="100">
        <v>27.28</v>
      </c>
      <c r="I104" s="100">
        <v>13.1</v>
      </c>
      <c r="J104" s="100">
        <v>0.1</v>
      </c>
      <c r="K104" s="100">
        <v>196.2</v>
      </c>
      <c r="L104" s="100">
        <v>14.96</v>
      </c>
      <c r="M104" s="100">
        <v>72.989999999999995</v>
      </c>
      <c r="N104" s="100">
        <v>1.4</v>
      </c>
      <c r="O104" s="100">
        <v>0</v>
      </c>
      <c r="P104" s="100">
        <v>1.1599999999999999</v>
      </c>
      <c r="Q104" s="100">
        <v>13.09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3.35</v>
      </c>
      <c r="C106" s="158">
        <f>MIN(C9:C104)</f>
        <v>20.239999999999998</v>
      </c>
      <c r="D106" s="158">
        <f t="shared" ref="D106:Q106" si="0">MIN(D9:D104)</f>
        <v>16</v>
      </c>
      <c r="E106" s="158">
        <f t="shared" si="0"/>
        <v>6.19</v>
      </c>
      <c r="F106" s="158">
        <f t="shared" si="0"/>
        <v>0</v>
      </c>
      <c r="G106" s="158">
        <f t="shared" si="0"/>
        <v>47.94</v>
      </c>
      <c r="H106" s="158">
        <f t="shared" si="0"/>
        <v>15.01</v>
      </c>
      <c r="I106" s="158">
        <f t="shared" si="0"/>
        <v>5.65</v>
      </c>
      <c r="J106" s="158">
        <f t="shared" si="0"/>
        <v>0.04</v>
      </c>
      <c r="K106" s="158">
        <f t="shared" si="0"/>
        <v>3.27</v>
      </c>
      <c r="L106" s="158">
        <f t="shared" si="0"/>
        <v>11.39</v>
      </c>
      <c r="M106" s="158">
        <f t="shared" si="0"/>
        <v>20.76</v>
      </c>
      <c r="N106" s="158">
        <f t="shared" si="0"/>
        <v>0.9</v>
      </c>
      <c r="O106" s="158">
        <f t="shared" si="0"/>
        <v>0</v>
      </c>
      <c r="P106" s="158">
        <f t="shared" si="0"/>
        <v>0.47</v>
      </c>
      <c r="Q106" s="158">
        <f t="shared" si="0"/>
        <v>12.95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36.65</v>
      </c>
      <c r="C107" s="157">
        <f t="shared" ref="C107:Q107" si="1">MAX(C9:C104)</f>
        <v>27.05</v>
      </c>
      <c r="D107" s="157">
        <f t="shared" si="1"/>
        <v>43.4</v>
      </c>
      <c r="E107" s="157">
        <f t="shared" si="1"/>
        <v>18.25</v>
      </c>
      <c r="F107" s="157">
        <f t="shared" si="1"/>
        <v>0</v>
      </c>
      <c r="G107" s="157">
        <f t="shared" si="1"/>
        <v>101.23</v>
      </c>
      <c r="H107" s="157">
        <f t="shared" si="1"/>
        <v>27.28</v>
      </c>
      <c r="I107" s="157">
        <f t="shared" si="1"/>
        <v>14.3</v>
      </c>
      <c r="J107" s="157">
        <f t="shared" si="1"/>
        <v>1.25</v>
      </c>
      <c r="K107" s="157">
        <f t="shared" si="1"/>
        <v>353.34</v>
      </c>
      <c r="L107" s="157">
        <f t="shared" si="1"/>
        <v>27.24</v>
      </c>
      <c r="M107" s="157">
        <f t="shared" si="1"/>
        <v>94.56</v>
      </c>
      <c r="N107" s="157">
        <f t="shared" si="1"/>
        <v>519</v>
      </c>
      <c r="O107" s="157">
        <f t="shared" si="1"/>
        <v>0</v>
      </c>
      <c r="P107" s="157">
        <f t="shared" si="1"/>
        <v>1.1599999999999999</v>
      </c>
      <c r="Q107" s="157">
        <f t="shared" si="1"/>
        <v>13.09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16.968125000000004</v>
      </c>
      <c r="C108" s="158">
        <f t="shared" ref="C108:Q108" si="2">AVERAGE(C9:C104)</f>
        <v>23.482291666666672</v>
      </c>
      <c r="D108" s="158">
        <f t="shared" si="2"/>
        <v>27.227083333333326</v>
      </c>
      <c r="E108" s="158">
        <f t="shared" si="2"/>
        <v>9.2840624999999992</v>
      </c>
      <c r="F108" s="158" t="e">
        <f t="shared" si="2"/>
        <v>#DIV/0!</v>
      </c>
      <c r="G108" s="158">
        <f t="shared" si="2"/>
        <v>71.10343749999997</v>
      </c>
      <c r="H108" s="158">
        <f t="shared" si="2"/>
        <v>22.108958333333344</v>
      </c>
      <c r="I108" s="158">
        <f t="shared" si="2"/>
        <v>10.751249999999997</v>
      </c>
      <c r="J108" s="158">
        <f t="shared" si="2"/>
        <v>0.30291666666666678</v>
      </c>
      <c r="K108" s="158">
        <f t="shared" si="2"/>
        <v>145.92812500000002</v>
      </c>
      <c r="L108" s="158">
        <f t="shared" si="2"/>
        <v>18.506666666666671</v>
      </c>
      <c r="M108" s="158">
        <f t="shared" si="2"/>
        <v>60.978958333333374</v>
      </c>
      <c r="N108" s="158">
        <f t="shared" si="2"/>
        <v>93.1145833333333</v>
      </c>
      <c r="O108" s="158">
        <f t="shared" si="2"/>
        <v>0</v>
      </c>
      <c r="P108" s="158">
        <f t="shared" si="2"/>
        <v>0.86822916666666661</v>
      </c>
      <c r="Q108" s="158">
        <f t="shared" si="2"/>
        <v>13.023333333333332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10.223870140895501</v>
      </c>
      <c r="C109" s="158">
        <f t="shared" ref="C109:Q109" si="3">STDEV(C9:C104)</f>
        <v>1.8111732046364271</v>
      </c>
      <c r="D109" s="158">
        <f t="shared" si="3"/>
        <v>7.8590477415211799</v>
      </c>
      <c r="E109" s="158">
        <f t="shared" si="3"/>
        <v>2.0941525496763029</v>
      </c>
      <c r="F109" s="158" t="e">
        <f t="shared" si="3"/>
        <v>#DIV/0!</v>
      </c>
      <c r="G109" s="158">
        <f t="shared" si="3"/>
        <v>16.260524613025122</v>
      </c>
      <c r="H109" s="158">
        <f t="shared" si="3"/>
        <v>3.5739079242304168</v>
      </c>
      <c r="I109" s="158">
        <f t="shared" si="3"/>
        <v>2.9014773913700651</v>
      </c>
      <c r="J109" s="158">
        <f t="shared" si="3"/>
        <v>0.23859199557168137</v>
      </c>
      <c r="K109" s="158">
        <f t="shared" si="3"/>
        <v>76.958932743892419</v>
      </c>
      <c r="L109" s="158">
        <f t="shared" si="3"/>
        <v>5.6094766932334901</v>
      </c>
      <c r="M109" s="158">
        <f t="shared" si="3"/>
        <v>25.416496030776027</v>
      </c>
      <c r="N109" s="158">
        <f t="shared" si="3"/>
        <v>161.87901393790602</v>
      </c>
      <c r="O109" s="158">
        <f t="shared" si="3"/>
        <v>0</v>
      </c>
      <c r="P109" s="158">
        <f t="shared" si="3"/>
        <v>0.21951139422130944</v>
      </c>
      <c r="Q109" s="158">
        <f t="shared" si="3"/>
        <v>3.1942931568548646E-2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7"/>
  <sheetViews>
    <sheetView zoomScale="85" zoomScaleNormal="85" workbookViewId="0">
      <pane xSplit="1" ySplit="8" topLeftCell="B76" activePane="bottomRight" state="frozen"/>
      <selection pane="topRight"/>
      <selection pane="bottomLeft"/>
      <selection pane="bottomRight" activeCell="K115" sqref="K1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431</v>
      </c>
      <c r="B9" s="100">
        <v>40.33</v>
      </c>
      <c r="C9" s="100">
        <v>24.33</v>
      </c>
      <c r="D9" s="100">
        <v>46.4</v>
      </c>
      <c r="E9" s="100">
        <v>9.43</v>
      </c>
      <c r="F9" s="151" t="s">
        <v>8</v>
      </c>
      <c r="G9" s="100">
        <v>103.17</v>
      </c>
      <c r="H9" s="100">
        <v>28.97</v>
      </c>
      <c r="I9" s="100">
        <v>13.31</v>
      </c>
      <c r="J9" s="100">
        <v>0.21</v>
      </c>
      <c r="K9" s="100">
        <v>151.06</v>
      </c>
      <c r="L9" s="100">
        <v>15.02</v>
      </c>
      <c r="M9" s="100">
        <v>77.61</v>
      </c>
      <c r="N9" s="100">
        <v>1.2</v>
      </c>
      <c r="O9" s="100">
        <v>0</v>
      </c>
      <c r="P9" s="100">
        <v>1.17</v>
      </c>
      <c r="Q9" s="100">
        <v>13.08</v>
      </c>
      <c r="R9" s="6"/>
      <c r="S9" s="6"/>
      <c r="T9" s="156"/>
      <c r="U9" s="6"/>
    </row>
    <row r="10" spans="1:21" customFormat="1">
      <c r="A10" s="163" t="s">
        <v>432</v>
      </c>
      <c r="B10" s="100">
        <v>41.55</v>
      </c>
      <c r="C10" s="100">
        <v>24.57</v>
      </c>
      <c r="D10" s="100">
        <v>47.51</v>
      </c>
      <c r="E10" s="100">
        <v>9.1999999999999993</v>
      </c>
      <c r="F10" s="151" t="s">
        <v>8</v>
      </c>
      <c r="G10" s="100">
        <v>106.78</v>
      </c>
      <c r="H10" s="100">
        <v>29.47</v>
      </c>
      <c r="I10" s="100">
        <v>13.44</v>
      </c>
      <c r="J10" s="100">
        <v>0.25</v>
      </c>
      <c r="K10" s="100">
        <v>81.31</v>
      </c>
      <c r="L10" s="100">
        <v>15.03</v>
      </c>
      <c r="M10" s="100">
        <v>68.03</v>
      </c>
      <c r="N10" s="100">
        <v>1</v>
      </c>
      <c r="O10" s="100">
        <v>0</v>
      </c>
      <c r="P10" s="100">
        <v>1.17</v>
      </c>
      <c r="Q10" s="100">
        <v>13.1</v>
      </c>
      <c r="R10" s="6"/>
      <c r="S10" s="6"/>
      <c r="T10" s="156"/>
      <c r="U10" s="6"/>
    </row>
    <row r="11" spans="1:21" customFormat="1">
      <c r="A11" s="163" t="s">
        <v>433</v>
      </c>
      <c r="B11" s="100">
        <v>42.59</v>
      </c>
      <c r="C11" s="100">
        <v>24.76</v>
      </c>
      <c r="D11" s="100">
        <v>48.44</v>
      </c>
      <c r="E11" s="100">
        <v>9.07</v>
      </c>
      <c r="F11" s="151" t="s">
        <v>8</v>
      </c>
      <c r="G11" s="100">
        <v>106.78</v>
      </c>
      <c r="H11" s="100">
        <v>29.47</v>
      </c>
      <c r="I11" s="100">
        <v>13.5</v>
      </c>
      <c r="J11" s="100">
        <v>0.16</v>
      </c>
      <c r="K11" s="100">
        <v>129.72</v>
      </c>
      <c r="L11" s="100">
        <v>15.47</v>
      </c>
      <c r="M11" s="100">
        <v>67.55</v>
      </c>
      <c r="N11" s="100">
        <v>1.2</v>
      </c>
      <c r="O11" s="100">
        <v>0</v>
      </c>
      <c r="P11" s="100">
        <v>1.17</v>
      </c>
      <c r="Q11" s="100">
        <v>13.11</v>
      </c>
      <c r="R11" s="6"/>
      <c r="S11" s="6"/>
      <c r="T11" s="156"/>
      <c r="U11" s="6"/>
    </row>
    <row r="12" spans="1:21" customFormat="1">
      <c r="A12" s="163" t="s">
        <v>434</v>
      </c>
      <c r="B12" s="100">
        <v>42.8</v>
      </c>
      <c r="C12" s="100">
        <v>24.88</v>
      </c>
      <c r="D12" s="100">
        <v>48.67</v>
      </c>
      <c r="E12" s="100">
        <v>9.5</v>
      </c>
      <c r="F12" s="151" t="s">
        <v>8</v>
      </c>
      <c r="G12" s="100">
        <v>106.78</v>
      </c>
      <c r="H12" s="100">
        <v>29.47</v>
      </c>
      <c r="I12" s="100">
        <v>13.54</v>
      </c>
      <c r="J12" s="100">
        <v>0.08</v>
      </c>
      <c r="K12" s="100">
        <v>198.4</v>
      </c>
      <c r="L12" s="100">
        <v>14.98</v>
      </c>
      <c r="M12" s="100">
        <v>70.099999999999994</v>
      </c>
      <c r="N12" s="100">
        <v>1.4</v>
      </c>
      <c r="O12" s="100">
        <v>0</v>
      </c>
      <c r="P12" s="100">
        <v>1.1499999999999999</v>
      </c>
      <c r="Q12" s="100">
        <v>13.11</v>
      </c>
      <c r="R12" s="6"/>
      <c r="S12" s="6"/>
      <c r="T12" s="156"/>
      <c r="U12" s="6"/>
    </row>
    <row r="13" spans="1:21" customFormat="1">
      <c r="A13" s="163" t="s">
        <v>435</v>
      </c>
      <c r="B13" s="100">
        <v>42.64</v>
      </c>
      <c r="C13" s="100">
        <v>24.68</v>
      </c>
      <c r="D13" s="100">
        <v>48.44</v>
      </c>
      <c r="E13" s="100">
        <v>9.2799999999999994</v>
      </c>
      <c r="F13" s="151" t="s">
        <v>8</v>
      </c>
      <c r="G13" s="100">
        <v>107.8</v>
      </c>
      <c r="H13" s="100">
        <v>28.66</v>
      </c>
      <c r="I13" s="100">
        <v>13.51</v>
      </c>
      <c r="J13" s="100">
        <v>0.2</v>
      </c>
      <c r="K13" s="100">
        <v>224.63</v>
      </c>
      <c r="L13" s="100">
        <v>14.57</v>
      </c>
      <c r="M13" s="100">
        <v>71.319999999999993</v>
      </c>
      <c r="N13" s="100">
        <v>1.4</v>
      </c>
      <c r="O13" s="100">
        <v>0</v>
      </c>
      <c r="P13" s="100">
        <v>1.1399999999999999</v>
      </c>
      <c r="Q13" s="100">
        <v>13.11</v>
      </c>
      <c r="R13" s="6"/>
      <c r="S13" s="6"/>
      <c r="T13" s="156"/>
      <c r="U13" s="6"/>
    </row>
    <row r="14" spans="1:21" customFormat="1">
      <c r="A14" s="163" t="s">
        <v>436</v>
      </c>
      <c r="B14" s="100">
        <v>41.88</v>
      </c>
      <c r="C14" s="100">
        <v>24.59</v>
      </c>
      <c r="D14" s="100">
        <v>47.78</v>
      </c>
      <c r="E14" s="100">
        <v>8.8000000000000007</v>
      </c>
      <c r="F14" s="151" t="s">
        <v>8</v>
      </c>
      <c r="G14" s="100">
        <v>108.54</v>
      </c>
      <c r="H14" s="100">
        <v>28.15</v>
      </c>
      <c r="I14" s="100">
        <v>13.43</v>
      </c>
      <c r="J14" s="100">
        <v>0.11</v>
      </c>
      <c r="K14" s="100">
        <v>203.49</v>
      </c>
      <c r="L14" s="100">
        <v>14.1</v>
      </c>
      <c r="M14" s="100">
        <v>77.760000000000005</v>
      </c>
      <c r="N14" s="100">
        <v>1.5</v>
      </c>
      <c r="O14" s="100">
        <v>0</v>
      </c>
      <c r="P14" s="100">
        <v>1.1000000000000001</v>
      </c>
      <c r="Q14" s="100">
        <v>13.1</v>
      </c>
      <c r="R14" s="6"/>
      <c r="S14" s="6"/>
      <c r="T14" s="156"/>
      <c r="U14" s="6"/>
    </row>
    <row r="15" spans="1:21" customFormat="1">
      <c r="A15" s="163" t="s">
        <v>437</v>
      </c>
      <c r="B15" s="100">
        <v>40.56</v>
      </c>
      <c r="C15" s="100">
        <v>24.14</v>
      </c>
      <c r="D15" s="100">
        <v>46.49</v>
      </c>
      <c r="E15" s="100">
        <v>8.7100000000000009</v>
      </c>
      <c r="F15" s="151" t="s">
        <v>8</v>
      </c>
      <c r="G15" s="100">
        <v>108.54</v>
      </c>
      <c r="H15" s="100">
        <v>28.15</v>
      </c>
      <c r="I15" s="100">
        <v>13.29</v>
      </c>
      <c r="J15" s="100">
        <v>0.14000000000000001</v>
      </c>
      <c r="K15" s="100">
        <v>187.87</v>
      </c>
      <c r="L15" s="100">
        <v>13.93</v>
      </c>
      <c r="M15" s="100">
        <v>76.73</v>
      </c>
      <c r="N15" s="100">
        <v>1.2</v>
      </c>
      <c r="O15" s="100">
        <v>0</v>
      </c>
      <c r="P15" s="100">
        <v>1.06</v>
      </c>
      <c r="Q15" s="100">
        <v>13.11</v>
      </c>
      <c r="R15" s="6"/>
      <c r="S15" s="6"/>
      <c r="T15" s="156"/>
      <c r="U15" s="6"/>
    </row>
    <row r="16" spans="1:21" customFormat="1">
      <c r="A16" s="163" t="s">
        <v>438</v>
      </c>
      <c r="B16" s="100">
        <v>39.85</v>
      </c>
      <c r="C16" s="100">
        <v>24.09</v>
      </c>
      <c r="D16" s="100">
        <v>45.89</v>
      </c>
      <c r="E16" s="100">
        <v>9.1300000000000008</v>
      </c>
      <c r="F16" s="151" t="s">
        <v>8</v>
      </c>
      <c r="G16" s="100">
        <v>108.54</v>
      </c>
      <c r="H16" s="100">
        <v>28.15</v>
      </c>
      <c r="I16" s="100">
        <v>13.24</v>
      </c>
      <c r="J16" s="100">
        <v>0.19</v>
      </c>
      <c r="K16" s="100">
        <v>150.19</v>
      </c>
      <c r="L16" s="100">
        <v>14.11</v>
      </c>
      <c r="M16" s="100">
        <v>79.47</v>
      </c>
      <c r="N16" s="100">
        <v>1.1000000000000001</v>
      </c>
      <c r="O16" s="100">
        <v>0</v>
      </c>
      <c r="P16" s="100">
        <v>1.05</v>
      </c>
      <c r="Q16" s="100">
        <v>13.09</v>
      </c>
      <c r="R16" s="6"/>
      <c r="S16" s="6"/>
      <c r="T16" s="156"/>
      <c r="U16" s="6"/>
    </row>
    <row r="17" spans="1:21" customFormat="1">
      <c r="A17" s="163" t="s">
        <v>439</v>
      </c>
      <c r="B17" s="100">
        <v>38.92</v>
      </c>
      <c r="C17" s="100">
        <v>23.8</v>
      </c>
      <c r="D17" s="100">
        <v>45</v>
      </c>
      <c r="E17" s="100">
        <v>6</v>
      </c>
      <c r="F17" s="151" t="s">
        <v>8</v>
      </c>
      <c r="G17" s="100">
        <v>101.57</v>
      </c>
      <c r="H17" s="100">
        <v>25.86</v>
      </c>
      <c r="I17" s="100">
        <v>13.37</v>
      </c>
      <c r="J17" s="100">
        <v>0.18</v>
      </c>
      <c r="K17" s="100">
        <v>169.89</v>
      </c>
      <c r="L17" s="100">
        <v>13.92</v>
      </c>
      <c r="M17" s="100">
        <v>84.53</v>
      </c>
      <c r="N17" s="100">
        <v>1.3</v>
      </c>
      <c r="O17" s="100">
        <v>0</v>
      </c>
      <c r="P17" s="100">
        <v>1.04</v>
      </c>
      <c r="Q17" s="100">
        <v>13.1</v>
      </c>
      <c r="R17" s="6"/>
      <c r="S17" s="6"/>
      <c r="T17" s="156"/>
      <c r="U17" s="6"/>
    </row>
    <row r="18" spans="1:21" customFormat="1">
      <c r="A18" s="163" t="s">
        <v>440</v>
      </c>
      <c r="B18" s="100">
        <v>37.56</v>
      </c>
      <c r="C18" s="100">
        <v>23.17</v>
      </c>
      <c r="D18" s="100">
        <v>43.58</v>
      </c>
      <c r="E18" s="100">
        <v>7.55</v>
      </c>
      <c r="F18" s="151" t="s">
        <v>8</v>
      </c>
      <c r="G18" s="100">
        <v>96.47</v>
      </c>
      <c r="H18" s="100">
        <v>25.13</v>
      </c>
      <c r="I18" s="100">
        <v>13.59</v>
      </c>
      <c r="J18" s="100">
        <v>0.15</v>
      </c>
      <c r="K18" s="100">
        <v>193.78</v>
      </c>
      <c r="L18" s="100">
        <v>13.62</v>
      </c>
      <c r="M18" s="100">
        <v>85.57</v>
      </c>
      <c r="N18" s="100">
        <v>1.3</v>
      </c>
      <c r="O18" s="100">
        <v>0</v>
      </c>
      <c r="P18" s="100">
        <v>1.03</v>
      </c>
      <c r="Q18" s="100">
        <v>13.1</v>
      </c>
      <c r="R18" s="6"/>
      <c r="S18" s="6"/>
      <c r="T18" s="156"/>
      <c r="U18" s="6"/>
    </row>
    <row r="19" spans="1:21" customFormat="1">
      <c r="A19" s="163" t="s">
        <v>441</v>
      </c>
      <c r="B19" s="100">
        <v>36.04</v>
      </c>
      <c r="C19" s="100">
        <v>22.87</v>
      </c>
      <c r="D19" s="100">
        <v>42.2</v>
      </c>
      <c r="E19" s="100">
        <v>7.29</v>
      </c>
      <c r="F19" s="151" t="s">
        <v>8</v>
      </c>
      <c r="G19" s="100">
        <v>96.47</v>
      </c>
      <c r="H19" s="100">
        <v>25.13</v>
      </c>
      <c r="I19" s="100">
        <v>13.79</v>
      </c>
      <c r="J19" s="100">
        <v>0.17</v>
      </c>
      <c r="K19" s="100">
        <v>237.29</v>
      </c>
      <c r="L19" s="100">
        <v>13.37</v>
      </c>
      <c r="M19" s="100">
        <v>84.15</v>
      </c>
      <c r="N19" s="100">
        <v>1.3</v>
      </c>
      <c r="O19" s="100">
        <v>0</v>
      </c>
      <c r="P19" s="100">
        <v>1.02</v>
      </c>
      <c r="Q19" s="100">
        <v>13.08</v>
      </c>
      <c r="R19" s="6"/>
      <c r="S19" s="6"/>
      <c r="T19" s="156"/>
      <c r="U19" s="6"/>
    </row>
    <row r="20" spans="1:21" customFormat="1">
      <c r="A20" s="163" t="s">
        <v>442</v>
      </c>
      <c r="B20" s="100">
        <v>34.44</v>
      </c>
      <c r="C20" s="100">
        <v>22.74</v>
      </c>
      <c r="D20" s="100">
        <v>40.85</v>
      </c>
      <c r="E20" s="100">
        <v>7.43</v>
      </c>
      <c r="F20" s="151" t="s">
        <v>8</v>
      </c>
      <c r="G20" s="100">
        <v>96.47</v>
      </c>
      <c r="H20" s="100">
        <v>25.13</v>
      </c>
      <c r="I20" s="100">
        <v>13.93</v>
      </c>
      <c r="J20" s="100">
        <v>0.09</v>
      </c>
      <c r="K20" s="100">
        <v>208.46</v>
      </c>
      <c r="L20" s="100">
        <v>13.13</v>
      </c>
      <c r="M20" s="100">
        <v>83.54</v>
      </c>
      <c r="N20" s="100">
        <v>1.3</v>
      </c>
      <c r="O20" s="100">
        <v>0</v>
      </c>
      <c r="P20" s="100">
        <v>1.01</v>
      </c>
      <c r="Q20" s="100">
        <v>13.09</v>
      </c>
      <c r="R20" s="6"/>
      <c r="S20" s="6"/>
      <c r="T20" s="156"/>
      <c r="U20" s="6"/>
    </row>
    <row r="21" spans="1:21" customFormat="1">
      <c r="A21" s="163" t="s">
        <v>443</v>
      </c>
      <c r="B21" s="100">
        <v>33.020000000000003</v>
      </c>
      <c r="C21" s="100">
        <v>22.35</v>
      </c>
      <c r="D21" s="100">
        <v>39.51</v>
      </c>
      <c r="E21" s="100">
        <v>7.42</v>
      </c>
      <c r="F21" s="151" t="s">
        <v>8</v>
      </c>
      <c r="G21" s="100">
        <v>93.72</v>
      </c>
      <c r="H21" s="100">
        <v>24.45</v>
      </c>
      <c r="I21" s="100">
        <v>14.01</v>
      </c>
      <c r="J21" s="100">
        <v>0.12</v>
      </c>
      <c r="K21" s="100">
        <v>200.59</v>
      </c>
      <c r="L21" s="100">
        <v>13.13</v>
      </c>
      <c r="M21" s="100">
        <v>84.36</v>
      </c>
      <c r="N21" s="100">
        <v>1.1000000000000001</v>
      </c>
      <c r="O21" s="100">
        <v>0</v>
      </c>
      <c r="P21" s="100">
        <v>1</v>
      </c>
      <c r="Q21" s="100">
        <v>13.09</v>
      </c>
      <c r="R21" s="6"/>
      <c r="S21" s="6"/>
      <c r="T21" s="156"/>
      <c r="U21" s="6"/>
    </row>
    <row r="22" spans="1:21" customFormat="1">
      <c r="A22" s="163" t="s">
        <v>444</v>
      </c>
      <c r="B22" s="100">
        <v>32.479999999999997</v>
      </c>
      <c r="C22" s="100">
        <v>22.1</v>
      </c>
      <c r="D22" s="100">
        <v>38.950000000000003</v>
      </c>
      <c r="E22" s="100">
        <v>7.17</v>
      </c>
      <c r="F22" s="151" t="s">
        <v>8</v>
      </c>
      <c r="G22" s="100">
        <v>91.71</v>
      </c>
      <c r="H22" s="100">
        <v>24.23</v>
      </c>
      <c r="I22" s="100">
        <v>14.04</v>
      </c>
      <c r="J22" s="100">
        <v>0.18</v>
      </c>
      <c r="K22" s="100">
        <v>204.38</v>
      </c>
      <c r="L22" s="100">
        <v>12.96</v>
      </c>
      <c r="M22" s="100">
        <v>86.25</v>
      </c>
      <c r="N22" s="100">
        <v>1.2</v>
      </c>
      <c r="O22" s="100">
        <v>0</v>
      </c>
      <c r="P22" s="100">
        <v>0.98</v>
      </c>
      <c r="Q22" s="100">
        <v>13.08</v>
      </c>
      <c r="R22" s="6"/>
      <c r="S22" s="6"/>
      <c r="T22" s="156"/>
      <c r="U22" s="6"/>
    </row>
    <row r="23" spans="1:21" customFormat="1">
      <c r="A23" s="163" t="s">
        <v>445</v>
      </c>
      <c r="B23" s="100">
        <v>31.51</v>
      </c>
      <c r="C23" s="100">
        <v>21.78</v>
      </c>
      <c r="D23" s="100">
        <v>38</v>
      </c>
      <c r="E23" s="100">
        <v>7.02</v>
      </c>
      <c r="F23" s="151" t="s">
        <v>8</v>
      </c>
      <c r="G23" s="100">
        <v>91.71</v>
      </c>
      <c r="H23" s="100">
        <v>24.23</v>
      </c>
      <c r="I23" s="100">
        <v>14.07</v>
      </c>
      <c r="J23" s="100">
        <v>0.12</v>
      </c>
      <c r="K23" s="100">
        <v>230.88</v>
      </c>
      <c r="L23" s="100">
        <v>12.55</v>
      </c>
      <c r="M23" s="100">
        <v>87.03</v>
      </c>
      <c r="N23" s="100">
        <v>1.3</v>
      </c>
      <c r="O23" s="100">
        <v>0</v>
      </c>
      <c r="P23" s="100">
        <v>0.99</v>
      </c>
      <c r="Q23" s="100">
        <v>13.09</v>
      </c>
      <c r="R23" s="6"/>
      <c r="S23" s="6"/>
      <c r="T23" s="156"/>
      <c r="U23" s="6"/>
    </row>
    <row r="24" spans="1:21" customFormat="1">
      <c r="A24" s="163" t="s">
        <v>446</v>
      </c>
      <c r="B24" s="100">
        <v>30.27</v>
      </c>
      <c r="C24" s="100">
        <v>21.51</v>
      </c>
      <c r="D24" s="100">
        <v>36.86</v>
      </c>
      <c r="E24" s="100">
        <v>6.71</v>
      </c>
      <c r="F24" s="151" t="s">
        <v>8</v>
      </c>
      <c r="G24" s="100">
        <v>91.71</v>
      </c>
      <c r="H24" s="100">
        <v>24.23</v>
      </c>
      <c r="I24" s="100">
        <v>14.09</v>
      </c>
      <c r="J24" s="100">
        <v>0.18</v>
      </c>
      <c r="K24" s="100">
        <v>160.57</v>
      </c>
      <c r="L24" s="100">
        <v>12.6</v>
      </c>
      <c r="M24" s="100">
        <v>87.28</v>
      </c>
      <c r="N24" s="100">
        <v>1.1000000000000001</v>
      </c>
      <c r="O24" s="100">
        <v>0</v>
      </c>
      <c r="P24" s="100">
        <v>0.98</v>
      </c>
      <c r="Q24" s="100">
        <v>13.07</v>
      </c>
      <c r="R24" s="6"/>
      <c r="S24" s="6"/>
      <c r="T24" s="156"/>
      <c r="U24" s="6"/>
    </row>
    <row r="25" spans="1:21" customFormat="1">
      <c r="A25" s="163" t="s">
        <v>447</v>
      </c>
      <c r="B25" s="100">
        <v>29.05</v>
      </c>
      <c r="C25" s="100">
        <v>21.17</v>
      </c>
      <c r="D25" s="100">
        <v>35.700000000000003</v>
      </c>
      <c r="E25" s="100">
        <v>7.13</v>
      </c>
      <c r="F25" s="151" t="s">
        <v>8</v>
      </c>
      <c r="G25" s="100">
        <v>86.14</v>
      </c>
      <c r="H25" s="100">
        <v>24.19</v>
      </c>
      <c r="I25" s="100">
        <v>14.11</v>
      </c>
      <c r="J25" s="100">
        <v>0.15</v>
      </c>
      <c r="K25" s="100">
        <v>202.14</v>
      </c>
      <c r="L25" s="100">
        <v>12.46</v>
      </c>
      <c r="M25" s="100">
        <v>89.73</v>
      </c>
      <c r="N25" s="100">
        <v>1.1000000000000001</v>
      </c>
      <c r="O25" s="100">
        <v>0</v>
      </c>
      <c r="P25" s="100">
        <v>0.97</v>
      </c>
      <c r="Q25" s="100">
        <v>13.05</v>
      </c>
      <c r="R25" s="6"/>
      <c r="S25" s="6"/>
      <c r="T25" s="156"/>
      <c r="U25" s="6"/>
    </row>
    <row r="26" spans="1:21" customFormat="1">
      <c r="A26" s="163" t="s">
        <v>448</v>
      </c>
      <c r="B26" s="100">
        <v>27.74</v>
      </c>
      <c r="C26" s="100">
        <v>20.8</v>
      </c>
      <c r="D26" s="100">
        <v>34.47</v>
      </c>
      <c r="E26" s="100">
        <v>7.16</v>
      </c>
      <c r="F26" s="151" t="s">
        <v>8</v>
      </c>
      <c r="G26" s="100">
        <v>82.07</v>
      </c>
      <c r="H26" s="100">
        <v>24.17</v>
      </c>
      <c r="I26" s="100">
        <v>14.14</v>
      </c>
      <c r="J26" s="100">
        <v>0.2</v>
      </c>
      <c r="K26" s="100">
        <v>218.3</v>
      </c>
      <c r="L26" s="100">
        <v>12.11</v>
      </c>
      <c r="M26" s="100">
        <v>91.05</v>
      </c>
      <c r="N26" s="100">
        <v>1.3</v>
      </c>
      <c r="O26" s="100">
        <v>0</v>
      </c>
      <c r="P26" s="100">
        <v>0.97</v>
      </c>
      <c r="Q26" s="100">
        <v>13.05</v>
      </c>
      <c r="R26" s="6"/>
      <c r="S26" s="6"/>
      <c r="T26" s="156"/>
      <c r="U26" s="6"/>
    </row>
    <row r="27" spans="1:21" customFormat="1">
      <c r="A27" s="163" t="s">
        <v>449</v>
      </c>
      <c r="B27" s="100">
        <v>26.4</v>
      </c>
      <c r="C27" s="100">
        <v>20.54</v>
      </c>
      <c r="D27" s="100">
        <v>33.25</v>
      </c>
      <c r="E27" s="100">
        <v>6.78</v>
      </c>
      <c r="F27" s="151" t="s">
        <v>8</v>
      </c>
      <c r="G27" s="100">
        <v>82.07</v>
      </c>
      <c r="H27" s="100">
        <v>24.17</v>
      </c>
      <c r="I27" s="100">
        <v>14.16</v>
      </c>
      <c r="J27" s="100">
        <v>0.14000000000000001</v>
      </c>
      <c r="K27" s="100">
        <v>236.1</v>
      </c>
      <c r="L27" s="100">
        <v>11.87</v>
      </c>
      <c r="M27" s="100">
        <v>89.74</v>
      </c>
      <c r="N27" s="100">
        <v>1.3</v>
      </c>
      <c r="O27" s="100">
        <v>0</v>
      </c>
      <c r="P27" s="100">
        <v>0.96</v>
      </c>
      <c r="Q27" s="100">
        <v>13.05</v>
      </c>
      <c r="R27" s="6"/>
      <c r="S27" s="6"/>
      <c r="T27" s="156"/>
      <c r="U27" s="6"/>
    </row>
    <row r="28" spans="1:21" customFormat="1">
      <c r="A28" s="163" t="s">
        <v>450</v>
      </c>
      <c r="B28" s="100">
        <v>25.01</v>
      </c>
      <c r="C28" s="100">
        <v>20.190000000000001</v>
      </c>
      <c r="D28" s="100">
        <v>31.96</v>
      </c>
      <c r="E28" s="100">
        <v>7</v>
      </c>
      <c r="F28" s="151" t="s">
        <v>8</v>
      </c>
      <c r="G28" s="100">
        <v>82.07</v>
      </c>
      <c r="H28" s="100">
        <v>24.17</v>
      </c>
      <c r="I28" s="100">
        <v>14.15</v>
      </c>
      <c r="J28" s="100">
        <v>0.06</v>
      </c>
      <c r="K28" s="100">
        <v>205.5</v>
      </c>
      <c r="L28" s="100">
        <v>11.69</v>
      </c>
      <c r="M28" s="100">
        <v>87.39</v>
      </c>
      <c r="N28" s="100">
        <v>1.1000000000000001</v>
      </c>
      <c r="O28" s="100">
        <v>0</v>
      </c>
      <c r="P28" s="100">
        <v>0.94</v>
      </c>
      <c r="Q28" s="100">
        <v>13.04</v>
      </c>
      <c r="R28" s="6"/>
      <c r="S28" s="6"/>
      <c r="T28" s="156"/>
      <c r="U28" s="6"/>
    </row>
    <row r="29" spans="1:21" customFormat="1">
      <c r="A29" s="163" t="s">
        <v>451</v>
      </c>
      <c r="B29" s="100">
        <v>23.88</v>
      </c>
      <c r="C29" s="100">
        <v>20.05</v>
      </c>
      <c r="D29" s="100">
        <v>30.98</v>
      </c>
      <c r="E29" s="100">
        <v>7.01</v>
      </c>
      <c r="F29" s="151" t="s">
        <v>8</v>
      </c>
      <c r="G29" s="100">
        <v>79.84</v>
      </c>
      <c r="H29" s="100">
        <v>23.88</v>
      </c>
      <c r="I29" s="100">
        <v>14.05</v>
      </c>
      <c r="J29" s="100">
        <v>0.15</v>
      </c>
      <c r="K29" s="100">
        <v>146.24</v>
      </c>
      <c r="L29" s="100">
        <v>11.85</v>
      </c>
      <c r="M29" s="100">
        <v>87.01</v>
      </c>
      <c r="N29" s="100">
        <v>1</v>
      </c>
      <c r="O29" s="100">
        <v>0</v>
      </c>
      <c r="P29" s="100">
        <v>0.93</v>
      </c>
      <c r="Q29" s="100">
        <v>13.04</v>
      </c>
      <c r="R29" s="6"/>
      <c r="S29" s="6"/>
      <c r="T29" s="156"/>
      <c r="U29" s="6"/>
    </row>
    <row r="30" spans="1:21" customFormat="1">
      <c r="A30" s="163" t="s">
        <v>452</v>
      </c>
      <c r="B30" s="100">
        <v>22.71</v>
      </c>
      <c r="C30" s="100">
        <v>19.79</v>
      </c>
      <c r="D30" s="100">
        <v>29.9</v>
      </c>
      <c r="E30" s="100">
        <v>7.12</v>
      </c>
      <c r="F30" s="151" t="s">
        <v>8</v>
      </c>
      <c r="G30" s="100">
        <v>78.209999999999994</v>
      </c>
      <c r="H30" s="100">
        <v>23.78</v>
      </c>
      <c r="I30" s="100">
        <v>13.89</v>
      </c>
      <c r="J30" s="100">
        <v>0.21</v>
      </c>
      <c r="K30" s="100">
        <v>153.21</v>
      </c>
      <c r="L30" s="100">
        <v>12.04</v>
      </c>
      <c r="M30" s="100">
        <v>88.25</v>
      </c>
      <c r="N30" s="100">
        <v>1</v>
      </c>
      <c r="O30" s="100">
        <v>0</v>
      </c>
      <c r="P30" s="100">
        <v>0.92</v>
      </c>
      <c r="Q30" s="100">
        <v>13.03</v>
      </c>
      <c r="R30" s="6"/>
      <c r="S30" s="6"/>
      <c r="T30" s="156"/>
      <c r="U30" s="6"/>
    </row>
    <row r="31" spans="1:21" customFormat="1">
      <c r="A31" s="163" t="s">
        <v>453</v>
      </c>
      <c r="B31" s="100">
        <v>21.58</v>
      </c>
      <c r="C31" s="100">
        <v>19.41</v>
      </c>
      <c r="D31" s="100">
        <v>28.79</v>
      </c>
      <c r="E31" s="100">
        <v>6.51</v>
      </c>
      <c r="F31" s="151" t="s">
        <v>8</v>
      </c>
      <c r="G31" s="100">
        <v>78.209999999999994</v>
      </c>
      <c r="H31" s="100">
        <v>23.78</v>
      </c>
      <c r="I31" s="100">
        <v>13.72</v>
      </c>
      <c r="J31" s="100">
        <v>0.15</v>
      </c>
      <c r="K31" s="100">
        <v>168.18</v>
      </c>
      <c r="L31" s="100">
        <v>11.83</v>
      </c>
      <c r="M31" s="100">
        <v>90.6</v>
      </c>
      <c r="N31" s="100">
        <v>1</v>
      </c>
      <c r="O31" s="100">
        <v>0</v>
      </c>
      <c r="P31" s="100">
        <v>0.91</v>
      </c>
      <c r="Q31" s="100">
        <v>13.03</v>
      </c>
      <c r="R31" s="6"/>
      <c r="S31" s="6"/>
      <c r="T31" s="156"/>
      <c r="U31" s="6"/>
    </row>
    <row r="32" spans="1:21" customFormat="1">
      <c r="A32" s="163" t="s">
        <v>454</v>
      </c>
      <c r="B32" s="100">
        <v>20.54</v>
      </c>
      <c r="C32" s="100">
        <v>19.100000000000001</v>
      </c>
      <c r="D32" s="100">
        <v>27.8</v>
      </c>
      <c r="E32" s="100">
        <v>6.73</v>
      </c>
      <c r="F32" s="151" t="s">
        <v>8</v>
      </c>
      <c r="G32" s="100">
        <v>78.209999999999994</v>
      </c>
      <c r="H32" s="100">
        <v>23.78</v>
      </c>
      <c r="I32" s="100">
        <v>13.58</v>
      </c>
      <c r="J32" s="100">
        <v>0.17</v>
      </c>
      <c r="K32" s="100">
        <v>210.6</v>
      </c>
      <c r="L32" s="100">
        <v>11.54</v>
      </c>
      <c r="M32" s="100">
        <v>91.4</v>
      </c>
      <c r="N32" s="100">
        <v>1.2</v>
      </c>
      <c r="O32" s="100">
        <v>0</v>
      </c>
      <c r="P32" s="100">
        <v>0.89</v>
      </c>
      <c r="Q32" s="100">
        <v>13.02</v>
      </c>
      <c r="R32" s="6"/>
      <c r="S32" s="6"/>
      <c r="T32" s="156"/>
      <c r="U32" s="6"/>
    </row>
    <row r="33" spans="1:21" customFormat="1">
      <c r="A33" s="163" t="s">
        <v>455</v>
      </c>
      <c r="B33" s="100">
        <v>19.600000000000001</v>
      </c>
      <c r="C33" s="100">
        <v>18.75</v>
      </c>
      <c r="D33" s="100">
        <v>26.87</v>
      </c>
      <c r="E33" s="100">
        <v>6.41</v>
      </c>
      <c r="F33" s="151" t="s">
        <v>8</v>
      </c>
      <c r="G33" s="100">
        <v>73.459999999999994</v>
      </c>
      <c r="H33" s="100">
        <v>22.79</v>
      </c>
      <c r="I33" s="100">
        <v>13.54</v>
      </c>
      <c r="J33" s="100">
        <v>0.11</v>
      </c>
      <c r="K33" s="100">
        <v>169.81</v>
      </c>
      <c r="L33" s="100">
        <v>11.26</v>
      </c>
      <c r="M33" s="100">
        <v>93.17</v>
      </c>
      <c r="N33" s="100">
        <v>1.3</v>
      </c>
      <c r="O33" s="100">
        <v>0</v>
      </c>
      <c r="P33" s="100">
        <v>0.89</v>
      </c>
      <c r="Q33" s="100">
        <v>13.02</v>
      </c>
      <c r="R33" s="6"/>
      <c r="S33" s="6"/>
      <c r="T33" s="156"/>
      <c r="U33" s="6"/>
    </row>
    <row r="34" spans="1:21" customFormat="1">
      <c r="A34" s="163" t="s">
        <v>456</v>
      </c>
      <c r="B34" s="100">
        <v>18.82</v>
      </c>
      <c r="C34" s="100">
        <v>18.510000000000002</v>
      </c>
      <c r="D34" s="100">
        <v>26.11</v>
      </c>
      <c r="E34" s="100">
        <v>6.58</v>
      </c>
      <c r="F34" s="151" t="s">
        <v>8</v>
      </c>
      <c r="G34" s="100">
        <v>69.98</v>
      </c>
      <c r="H34" s="100">
        <v>22.47</v>
      </c>
      <c r="I34" s="100">
        <v>13.5</v>
      </c>
      <c r="J34" s="100">
        <v>0.13</v>
      </c>
      <c r="K34" s="100">
        <v>157.55000000000001</v>
      </c>
      <c r="L34" s="100">
        <v>11.2</v>
      </c>
      <c r="M34" s="100">
        <v>93.06</v>
      </c>
      <c r="N34" s="100">
        <v>2.2999999999999998</v>
      </c>
      <c r="O34" s="100">
        <v>0</v>
      </c>
      <c r="P34" s="100">
        <v>0.89</v>
      </c>
      <c r="Q34" s="100">
        <v>13.03</v>
      </c>
      <c r="R34" s="6"/>
      <c r="S34" s="6"/>
      <c r="T34" s="156"/>
      <c r="U34" s="6"/>
    </row>
    <row r="35" spans="1:21" customFormat="1">
      <c r="A35" s="163" t="s">
        <v>457</v>
      </c>
      <c r="B35" s="100">
        <v>18.329999999999998</v>
      </c>
      <c r="C35" s="100">
        <v>18.59</v>
      </c>
      <c r="D35" s="100">
        <v>25.77</v>
      </c>
      <c r="E35" s="100">
        <v>6.73</v>
      </c>
      <c r="F35" s="151" t="s">
        <v>8</v>
      </c>
      <c r="G35" s="100">
        <v>69.98</v>
      </c>
      <c r="H35" s="100">
        <v>22.47</v>
      </c>
      <c r="I35" s="100">
        <v>13.39</v>
      </c>
      <c r="J35" s="100">
        <v>0.15</v>
      </c>
      <c r="K35" s="100">
        <v>171.73</v>
      </c>
      <c r="L35" s="100">
        <v>11.36</v>
      </c>
      <c r="M35" s="100">
        <v>92.76</v>
      </c>
      <c r="N35" s="100">
        <v>5.5</v>
      </c>
      <c r="O35" s="100">
        <v>0</v>
      </c>
      <c r="P35" s="100">
        <v>0.92</v>
      </c>
      <c r="Q35" s="100">
        <v>13</v>
      </c>
      <c r="R35" s="6"/>
      <c r="S35" s="6"/>
      <c r="T35" s="156"/>
      <c r="U35" s="6"/>
    </row>
    <row r="36" spans="1:21" customFormat="1">
      <c r="A36" s="163" t="s">
        <v>458</v>
      </c>
      <c r="B36" s="100">
        <v>17.89</v>
      </c>
      <c r="C36" s="100">
        <v>18.440000000000001</v>
      </c>
      <c r="D36" s="100">
        <v>25.34</v>
      </c>
      <c r="E36" s="100">
        <v>6.37</v>
      </c>
      <c r="F36" s="151" t="s">
        <v>8</v>
      </c>
      <c r="G36" s="100">
        <v>69.98</v>
      </c>
      <c r="H36" s="100">
        <v>22.47</v>
      </c>
      <c r="I36" s="100">
        <v>13.28</v>
      </c>
      <c r="J36" s="100">
        <v>0.15</v>
      </c>
      <c r="K36" s="100">
        <v>160.68</v>
      </c>
      <c r="L36" s="100">
        <v>11.43</v>
      </c>
      <c r="M36" s="100">
        <v>93.4</v>
      </c>
      <c r="N36" s="100">
        <v>10.7</v>
      </c>
      <c r="O36" s="100">
        <v>0</v>
      </c>
      <c r="P36" s="100">
        <v>0.92</v>
      </c>
      <c r="Q36" s="100">
        <v>13</v>
      </c>
      <c r="R36" s="6"/>
      <c r="S36" s="6"/>
      <c r="T36" s="156"/>
      <c r="U36" s="6"/>
    </row>
    <row r="37" spans="1:21" customFormat="1">
      <c r="A37" s="163" t="s">
        <v>459</v>
      </c>
      <c r="B37" s="100">
        <v>17.510000000000002</v>
      </c>
      <c r="C37" s="100">
        <v>18.29</v>
      </c>
      <c r="D37" s="100">
        <v>24.95</v>
      </c>
      <c r="E37" s="100">
        <v>6.39</v>
      </c>
      <c r="F37" s="151" t="s">
        <v>8</v>
      </c>
      <c r="G37" s="100">
        <v>70.099999999999994</v>
      </c>
      <c r="H37" s="100">
        <v>21.88</v>
      </c>
      <c r="I37" s="100">
        <v>13.14</v>
      </c>
      <c r="J37" s="100">
        <v>0.19</v>
      </c>
      <c r="K37" s="100">
        <v>151.36000000000001</v>
      </c>
      <c r="L37" s="100">
        <v>11.97</v>
      </c>
      <c r="M37" s="100">
        <v>93.27</v>
      </c>
      <c r="N37" s="100">
        <v>19</v>
      </c>
      <c r="O37" s="100">
        <v>0</v>
      </c>
      <c r="P37" s="100">
        <v>0.91</v>
      </c>
      <c r="Q37" s="100">
        <v>13.01</v>
      </c>
      <c r="R37" s="6"/>
      <c r="S37" s="6"/>
      <c r="T37" s="156"/>
      <c r="U37" s="6"/>
    </row>
    <row r="38" spans="1:21" customFormat="1">
      <c r="A38" s="163" t="s">
        <v>460</v>
      </c>
      <c r="B38" s="100">
        <v>17.37</v>
      </c>
      <c r="C38" s="100">
        <v>18.18</v>
      </c>
      <c r="D38" s="100">
        <v>24.77</v>
      </c>
      <c r="E38" s="100">
        <v>6.53</v>
      </c>
      <c r="F38" s="151" t="s">
        <v>8</v>
      </c>
      <c r="G38" s="100">
        <v>70.19</v>
      </c>
      <c r="H38" s="100">
        <v>21.53</v>
      </c>
      <c r="I38" s="100">
        <v>12.94</v>
      </c>
      <c r="J38" s="100">
        <v>0.26</v>
      </c>
      <c r="K38" s="100">
        <v>164.73</v>
      </c>
      <c r="L38" s="100">
        <v>12.46</v>
      </c>
      <c r="M38" s="100">
        <v>91.73</v>
      </c>
      <c r="N38" s="100">
        <v>27.3</v>
      </c>
      <c r="O38" s="100">
        <v>0</v>
      </c>
      <c r="P38" s="100">
        <v>0.9</v>
      </c>
      <c r="Q38" s="100">
        <v>13</v>
      </c>
      <c r="R38" s="6"/>
      <c r="S38" s="6"/>
      <c r="T38" s="156"/>
      <c r="U38" s="6"/>
    </row>
    <row r="39" spans="1:21" customFormat="1">
      <c r="A39" s="163" t="s">
        <v>461</v>
      </c>
      <c r="B39" s="100">
        <v>17.43</v>
      </c>
      <c r="C39" s="100">
        <v>18.420000000000002</v>
      </c>
      <c r="D39" s="100">
        <v>24.96</v>
      </c>
      <c r="E39" s="100">
        <v>6.35</v>
      </c>
      <c r="F39" s="151" t="s">
        <v>8</v>
      </c>
      <c r="G39" s="100">
        <v>70.19</v>
      </c>
      <c r="H39" s="100">
        <v>21.53</v>
      </c>
      <c r="I39" s="100">
        <v>12.78</v>
      </c>
      <c r="J39" s="100">
        <v>0.28000000000000003</v>
      </c>
      <c r="K39" s="100">
        <v>170.63</v>
      </c>
      <c r="L39" s="100">
        <v>13.34</v>
      </c>
      <c r="M39" s="100">
        <v>86.7</v>
      </c>
      <c r="N39" s="100">
        <v>35.9</v>
      </c>
      <c r="O39" s="100">
        <v>0</v>
      </c>
      <c r="P39" s="100">
        <v>0.91</v>
      </c>
      <c r="Q39" s="100">
        <v>13</v>
      </c>
      <c r="R39" s="6"/>
      <c r="S39" s="6"/>
      <c r="T39" s="156"/>
      <c r="U39" s="6"/>
    </row>
    <row r="40" spans="1:21" customFormat="1">
      <c r="A40" s="163" t="s">
        <v>462</v>
      </c>
      <c r="B40" s="100">
        <v>17.48</v>
      </c>
      <c r="C40" s="100">
        <v>18.75</v>
      </c>
      <c r="D40" s="100">
        <v>25.16</v>
      </c>
      <c r="E40" s="100">
        <v>6.51</v>
      </c>
      <c r="F40" s="151" t="s">
        <v>8</v>
      </c>
      <c r="G40" s="100">
        <v>70.19</v>
      </c>
      <c r="H40" s="100">
        <v>21.53</v>
      </c>
      <c r="I40" s="100">
        <v>12.75</v>
      </c>
      <c r="J40" s="100">
        <v>0.28000000000000003</v>
      </c>
      <c r="K40" s="100">
        <v>163.13</v>
      </c>
      <c r="L40" s="100">
        <v>14.48</v>
      </c>
      <c r="M40" s="100">
        <v>79.77</v>
      </c>
      <c r="N40" s="100">
        <v>63.5</v>
      </c>
      <c r="O40" s="100">
        <v>0</v>
      </c>
      <c r="P40" s="100">
        <v>0.92</v>
      </c>
      <c r="Q40" s="100">
        <v>13.01</v>
      </c>
      <c r="R40" s="6"/>
      <c r="S40" s="6"/>
      <c r="T40" s="156"/>
      <c r="U40" s="6"/>
    </row>
    <row r="41" spans="1:21" customFormat="1">
      <c r="A41" s="163" t="s">
        <v>463</v>
      </c>
      <c r="B41" s="100">
        <v>17.559999999999999</v>
      </c>
      <c r="C41" s="100">
        <v>19.37</v>
      </c>
      <c r="D41" s="100">
        <v>25.55</v>
      </c>
      <c r="E41" s="100">
        <v>6.45</v>
      </c>
      <c r="F41" s="151" t="s">
        <v>8</v>
      </c>
      <c r="G41" s="100">
        <v>71.39</v>
      </c>
      <c r="H41" s="100">
        <v>22.41</v>
      </c>
      <c r="I41" s="100">
        <v>12.79</v>
      </c>
      <c r="J41" s="100">
        <v>0.24</v>
      </c>
      <c r="K41" s="100">
        <v>84</v>
      </c>
      <c r="L41" s="100">
        <v>16.14</v>
      </c>
      <c r="M41" s="100">
        <v>61.4</v>
      </c>
      <c r="N41" s="100">
        <v>214.3</v>
      </c>
      <c r="O41" s="100">
        <v>0</v>
      </c>
      <c r="P41" s="100">
        <v>0.93</v>
      </c>
      <c r="Q41" s="100">
        <v>13.02</v>
      </c>
      <c r="R41" s="6"/>
      <c r="S41" s="6"/>
      <c r="T41" s="156"/>
      <c r="U41" s="6"/>
    </row>
    <row r="42" spans="1:21" customFormat="1">
      <c r="A42" s="163" t="s">
        <v>464</v>
      </c>
      <c r="B42" s="100">
        <v>17.43</v>
      </c>
      <c r="C42" s="100">
        <v>20.13</v>
      </c>
      <c r="D42" s="100">
        <v>25.84</v>
      </c>
      <c r="E42" s="100">
        <v>7.07</v>
      </c>
      <c r="F42" s="151" t="s">
        <v>8</v>
      </c>
      <c r="G42" s="100">
        <v>72.27</v>
      </c>
      <c r="H42" s="100">
        <v>22.67</v>
      </c>
      <c r="I42" s="100">
        <v>12.89</v>
      </c>
      <c r="J42" s="100">
        <v>0.34</v>
      </c>
      <c r="K42" s="100">
        <v>64.180000000000007</v>
      </c>
      <c r="L42" s="100">
        <v>17.89</v>
      </c>
      <c r="M42" s="100">
        <v>50.63</v>
      </c>
      <c r="N42" s="100">
        <v>247.1</v>
      </c>
      <c r="O42" s="100">
        <v>0</v>
      </c>
      <c r="P42" s="100">
        <v>0.92</v>
      </c>
      <c r="Q42" s="100">
        <v>13.01</v>
      </c>
      <c r="R42" s="6"/>
      <c r="S42" s="6"/>
      <c r="T42" s="156"/>
      <c r="U42" s="6"/>
    </row>
    <row r="43" spans="1:21" customFormat="1">
      <c r="A43" s="163" t="s">
        <v>465</v>
      </c>
      <c r="B43" s="100">
        <v>17.09</v>
      </c>
      <c r="C43" s="100">
        <v>21.14</v>
      </c>
      <c r="D43" s="100">
        <v>26.1</v>
      </c>
      <c r="E43" s="100">
        <v>6.86</v>
      </c>
      <c r="F43" s="151" t="s">
        <v>8</v>
      </c>
      <c r="G43" s="100">
        <v>72.27</v>
      </c>
      <c r="H43" s="100">
        <v>22.67</v>
      </c>
      <c r="I43" s="100">
        <v>13.05</v>
      </c>
      <c r="J43" s="100">
        <v>0.2</v>
      </c>
      <c r="K43" s="100">
        <v>88.5</v>
      </c>
      <c r="L43" s="100">
        <v>19.329999999999998</v>
      </c>
      <c r="M43" s="100">
        <v>48.71</v>
      </c>
      <c r="N43" s="100">
        <v>217.7</v>
      </c>
      <c r="O43" s="100">
        <v>0</v>
      </c>
      <c r="P43" s="100">
        <v>0.93</v>
      </c>
      <c r="Q43" s="100">
        <v>13.02</v>
      </c>
      <c r="R43" s="6"/>
      <c r="S43" s="6"/>
      <c r="T43" s="156"/>
      <c r="U43" s="6"/>
    </row>
    <row r="44" spans="1:21" customFormat="1">
      <c r="A44" s="163" t="s">
        <v>466</v>
      </c>
      <c r="B44" s="100">
        <v>16.440000000000001</v>
      </c>
      <c r="C44" s="100">
        <v>21.71</v>
      </c>
      <c r="D44" s="100">
        <v>25.88</v>
      </c>
      <c r="E44" s="100">
        <v>7.11</v>
      </c>
      <c r="F44" s="151" t="s">
        <v>8</v>
      </c>
      <c r="G44" s="100">
        <v>72.27</v>
      </c>
      <c r="H44" s="100">
        <v>22.67</v>
      </c>
      <c r="I44" s="100">
        <v>13.28</v>
      </c>
      <c r="J44" s="100">
        <v>0.2</v>
      </c>
      <c r="K44" s="100">
        <v>253.47</v>
      </c>
      <c r="L44" s="100">
        <v>20.51</v>
      </c>
      <c r="M44" s="100">
        <v>47.6</v>
      </c>
      <c r="N44" s="100">
        <v>298.89999999999998</v>
      </c>
      <c r="O44" s="100">
        <v>0</v>
      </c>
      <c r="P44" s="100">
        <v>0.92</v>
      </c>
      <c r="Q44" s="100">
        <v>13.02</v>
      </c>
      <c r="R44" s="6"/>
      <c r="S44" s="6"/>
      <c r="T44" s="156"/>
      <c r="U44" s="6"/>
    </row>
    <row r="45" spans="1:21" customFormat="1">
      <c r="A45" s="163" t="s">
        <v>467</v>
      </c>
      <c r="B45" s="100">
        <v>15.73</v>
      </c>
      <c r="C45" s="100">
        <v>22.06</v>
      </c>
      <c r="D45" s="100">
        <v>25.49</v>
      </c>
      <c r="E45" s="100">
        <v>7.44</v>
      </c>
      <c r="F45" s="151" t="s">
        <v>8</v>
      </c>
      <c r="G45" s="100">
        <v>73.599999999999994</v>
      </c>
      <c r="H45" s="100">
        <v>21.5</v>
      </c>
      <c r="I45" s="100">
        <v>13.45</v>
      </c>
      <c r="J45" s="100">
        <v>0.32</v>
      </c>
      <c r="K45" s="100">
        <v>9.44</v>
      </c>
      <c r="L45" s="100">
        <v>21.17</v>
      </c>
      <c r="M45" s="100">
        <v>46.24</v>
      </c>
      <c r="N45" s="100">
        <v>115.7</v>
      </c>
      <c r="O45" s="100">
        <v>0</v>
      </c>
      <c r="P45" s="100">
        <v>0.91</v>
      </c>
      <c r="Q45" s="100">
        <v>13</v>
      </c>
      <c r="R45" s="6"/>
      <c r="S45" s="6"/>
      <c r="T45" s="156"/>
      <c r="U45" s="6"/>
    </row>
    <row r="46" spans="1:21" customFormat="1">
      <c r="A46" s="163" t="s">
        <v>468</v>
      </c>
      <c r="B46" s="100">
        <v>15.47</v>
      </c>
      <c r="C46" s="100">
        <v>22.17</v>
      </c>
      <c r="D46" s="100">
        <v>25.34</v>
      </c>
      <c r="E46" s="100">
        <v>7.39</v>
      </c>
      <c r="F46" s="151" t="s">
        <v>8</v>
      </c>
      <c r="G46" s="100">
        <v>74.569999999999993</v>
      </c>
      <c r="H46" s="100">
        <v>21.14</v>
      </c>
      <c r="I46" s="100">
        <v>13.43</v>
      </c>
      <c r="J46" s="100">
        <v>0.23</v>
      </c>
      <c r="K46" s="100">
        <v>221.14</v>
      </c>
      <c r="L46" s="100">
        <v>22</v>
      </c>
      <c r="M46" s="100">
        <v>43.83</v>
      </c>
      <c r="N46" s="100">
        <v>96.7</v>
      </c>
      <c r="O46" s="100">
        <v>0</v>
      </c>
      <c r="P46" s="100">
        <v>0.91</v>
      </c>
      <c r="Q46" s="100">
        <v>13</v>
      </c>
      <c r="R46" s="6"/>
      <c r="S46" s="6"/>
      <c r="T46" s="156"/>
      <c r="U46" s="6"/>
    </row>
    <row r="47" spans="1:21" customFormat="1">
      <c r="A47" s="163" t="s">
        <v>469</v>
      </c>
      <c r="B47" s="100">
        <v>15.27</v>
      </c>
      <c r="C47" s="100">
        <v>22.17</v>
      </c>
      <c r="D47" s="100">
        <v>25.18</v>
      </c>
      <c r="E47" s="100">
        <v>7.66</v>
      </c>
      <c r="F47" s="151" t="s">
        <v>8</v>
      </c>
      <c r="G47" s="100">
        <v>74.569999999999993</v>
      </c>
      <c r="H47" s="100">
        <v>21.14</v>
      </c>
      <c r="I47" s="100">
        <v>13.33</v>
      </c>
      <c r="J47" s="100">
        <v>0.57999999999999996</v>
      </c>
      <c r="K47" s="100">
        <v>26.54</v>
      </c>
      <c r="L47" s="100">
        <v>22.62</v>
      </c>
      <c r="M47" s="100">
        <v>38.64</v>
      </c>
      <c r="N47" s="100">
        <v>105.3</v>
      </c>
      <c r="O47" s="100">
        <v>0</v>
      </c>
      <c r="P47" s="100">
        <v>0.91</v>
      </c>
      <c r="Q47" s="100">
        <v>13.02</v>
      </c>
      <c r="R47" s="6"/>
      <c r="S47" s="6"/>
      <c r="T47" s="156"/>
      <c r="U47" s="6"/>
    </row>
    <row r="48" spans="1:21" customFormat="1">
      <c r="A48" s="163" t="s">
        <v>470</v>
      </c>
      <c r="B48" s="100">
        <v>15.56</v>
      </c>
      <c r="C48" s="100">
        <v>22.31</v>
      </c>
      <c r="D48" s="100">
        <v>25.48</v>
      </c>
      <c r="E48" s="100">
        <v>7.7</v>
      </c>
      <c r="F48" s="151" t="s">
        <v>8</v>
      </c>
      <c r="G48" s="100">
        <v>74.569999999999993</v>
      </c>
      <c r="H48" s="100">
        <v>21.14</v>
      </c>
      <c r="I48" s="100">
        <v>13.2</v>
      </c>
      <c r="J48" s="100">
        <v>0.69</v>
      </c>
      <c r="K48" s="100">
        <v>43.24</v>
      </c>
      <c r="L48" s="100">
        <v>23.11</v>
      </c>
      <c r="M48" s="100">
        <v>33.340000000000003</v>
      </c>
      <c r="N48" s="100">
        <v>283.3</v>
      </c>
      <c r="O48" s="100">
        <v>0</v>
      </c>
      <c r="P48" s="100">
        <v>0.9</v>
      </c>
      <c r="Q48" s="100">
        <v>13.01</v>
      </c>
      <c r="R48" s="6"/>
      <c r="S48" s="6"/>
      <c r="T48" s="156"/>
      <c r="U48" s="6"/>
    </row>
    <row r="49" spans="1:21" customFormat="1">
      <c r="A49" s="163" t="s">
        <v>471</v>
      </c>
      <c r="B49" s="100">
        <v>15.93</v>
      </c>
      <c r="C49" s="100">
        <v>22.39</v>
      </c>
      <c r="D49" s="100">
        <v>25.83</v>
      </c>
      <c r="E49" s="100">
        <v>7.82</v>
      </c>
      <c r="F49" s="151" t="s">
        <v>8</v>
      </c>
      <c r="G49" s="100">
        <v>72.7</v>
      </c>
      <c r="H49" s="100">
        <v>20.95</v>
      </c>
      <c r="I49" s="100">
        <v>13.03</v>
      </c>
      <c r="J49" s="100">
        <v>0.43</v>
      </c>
      <c r="K49" s="100">
        <v>58.14</v>
      </c>
      <c r="L49" s="100">
        <v>23.83</v>
      </c>
      <c r="M49" s="100">
        <v>30.26</v>
      </c>
      <c r="N49" s="100">
        <v>469</v>
      </c>
      <c r="O49" s="100">
        <v>0</v>
      </c>
      <c r="P49" s="100">
        <v>0.89</v>
      </c>
      <c r="Q49" s="100">
        <v>13</v>
      </c>
      <c r="R49" s="6"/>
      <c r="S49" s="6"/>
      <c r="T49" s="156"/>
      <c r="U49" s="6"/>
    </row>
    <row r="50" spans="1:21" customFormat="1">
      <c r="A50" s="163" t="s">
        <v>472</v>
      </c>
      <c r="B50" s="100">
        <v>15.86</v>
      </c>
      <c r="C50" s="100">
        <v>22.21</v>
      </c>
      <c r="D50" s="100">
        <v>25.68</v>
      </c>
      <c r="E50" s="100">
        <v>9.1999999999999993</v>
      </c>
      <c r="F50" s="151" t="s">
        <v>8</v>
      </c>
      <c r="G50" s="100">
        <v>71.33</v>
      </c>
      <c r="H50" s="100">
        <v>20.89</v>
      </c>
      <c r="I50" s="100">
        <v>12.85</v>
      </c>
      <c r="J50" s="100">
        <v>0.34</v>
      </c>
      <c r="K50" s="100">
        <v>78.83</v>
      </c>
      <c r="L50" s="100">
        <v>24.76</v>
      </c>
      <c r="M50" s="100">
        <v>30.15</v>
      </c>
      <c r="N50" s="100">
        <v>480.8</v>
      </c>
      <c r="O50" s="100">
        <v>0</v>
      </c>
      <c r="P50" s="100">
        <v>0.87</v>
      </c>
      <c r="Q50" s="100">
        <v>13.01</v>
      </c>
      <c r="R50" s="6"/>
      <c r="S50" s="6"/>
      <c r="T50" s="156"/>
      <c r="U50" s="6"/>
    </row>
    <row r="51" spans="1:21" customFormat="1">
      <c r="A51" s="163" t="s">
        <v>473</v>
      </c>
      <c r="B51" s="100">
        <v>15.79</v>
      </c>
      <c r="C51" s="100">
        <v>22.21</v>
      </c>
      <c r="D51" s="100">
        <v>25.62</v>
      </c>
      <c r="E51" s="100">
        <v>9.3800000000000008</v>
      </c>
      <c r="F51" s="151" t="s">
        <v>8</v>
      </c>
      <c r="G51" s="100">
        <v>71.33</v>
      </c>
      <c r="H51" s="100">
        <v>20.89</v>
      </c>
      <c r="I51" s="100">
        <v>12.66</v>
      </c>
      <c r="J51" s="100">
        <v>0.5</v>
      </c>
      <c r="K51" s="100">
        <v>39.53</v>
      </c>
      <c r="L51" s="100">
        <v>24.95</v>
      </c>
      <c r="M51" s="100">
        <v>26.11</v>
      </c>
      <c r="N51" s="100">
        <v>497.1</v>
      </c>
      <c r="O51" s="100">
        <v>0</v>
      </c>
      <c r="P51" s="100">
        <v>0.86</v>
      </c>
      <c r="Q51" s="100">
        <v>13.01</v>
      </c>
      <c r="R51" s="6"/>
      <c r="S51" s="6"/>
      <c r="T51" s="156"/>
      <c r="U51" s="6"/>
    </row>
    <row r="52" spans="1:21" customFormat="1">
      <c r="A52" s="163" t="s">
        <v>474</v>
      </c>
      <c r="B52" s="100">
        <v>16</v>
      </c>
      <c r="C52" s="100">
        <v>22.24</v>
      </c>
      <c r="D52" s="100">
        <v>25.8</v>
      </c>
      <c r="E52" s="100">
        <v>9.84</v>
      </c>
      <c r="F52" s="151" t="s">
        <v>8</v>
      </c>
      <c r="G52" s="100">
        <v>71.33</v>
      </c>
      <c r="H52" s="100">
        <v>20.89</v>
      </c>
      <c r="I52" s="100">
        <v>12.47</v>
      </c>
      <c r="J52" s="100">
        <v>0.35</v>
      </c>
      <c r="K52" s="100">
        <v>24.99</v>
      </c>
      <c r="L52" s="100">
        <v>25.4</v>
      </c>
      <c r="M52" s="100">
        <v>24.82</v>
      </c>
      <c r="N52" s="100">
        <v>494.1</v>
      </c>
      <c r="O52" s="100">
        <v>0</v>
      </c>
      <c r="P52" s="100">
        <v>0.85</v>
      </c>
      <c r="Q52" s="100">
        <v>13.02</v>
      </c>
      <c r="R52" s="6"/>
      <c r="S52" s="6"/>
      <c r="T52" s="156"/>
      <c r="U52" s="6"/>
    </row>
    <row r="53" spans="1:21" customFormat="1">
      <c r="A53" s="163" t="s">
        <v>475</v>
      </c>
      <c r="B53" s="100">
        <v>16.170000000000002</v>
      </c>
      <c r="C53" s="100">
        <v>22.15</v>
      </c>
      <c r="D53" s="100">
        <v>25.89</v>
      </c>
      <c r="E53" s="100">
        <v>9.42</v>
      </c>
      <c r="F53" s="151" t="s">
        <v>8</v>
      </c>
      <c r="G53" s="100">
        <v>68.97</v>
      </c>
      <c r="H53" s="100">
        <v>21.13</v>
      </c>
      <c r="I53" s="100">
        <v>12.25</v>
      </c>
      <c r="J53" s="100">
        <v>0.17</v>
      </c>
      <c r="K53" s="100">
        <v>78.03</v>
      </c>
      <c r="L53" s="100">
        <v>26.47</v>
      </c>
      <c r="M53" s="100">
        <v>24.69</v>
      </c>
      <c r="N53" s="100">
        <v>465.3</v>
      </c>
      <c r="O53" s="100">
        <v>0</v>
      </c>
      <c r="P53" s="100">
        <v>0.82</v>
      </c>
      <c r="Q53" s="100">
        <v>13.02</v>
      </c>
      <c r="R53" s="6"/>
      <c r="S53" s="6"/>
      <c r="T53" s="156"/>
      <c r="U53" s="6"/>
    </row>
    <row r="54" spans="1:21" customFormat="1">
      <c r="A54" s="163" t="s">
        <v>476</v>
      </c>
      <c r="B54" s="100">
        <v>16.09</v>
      </c>
      <c r="C54" s="100">
        <v>22.86</v>
      </c>
      <c r="D54" s="100">
        <v>26.19</v>
      </c>
      <c r="E54" s="100">
        <v>8.9600000000000009</v>
      </c>
      <c r="F54" s="151" t="s">
        <v>8</v>
      </c>
      <c r="G54" s="100">
        <v>67.25</v>
      </c>
      <c r="H54" s="100">
        <v>21.2</v>
      </c>
      <c r="I54" s="100">
        <v>12.06</v>
      </c>
      <c r="J54" s="100">
        <v>0.56000000000000005</v>
      </c>
      <c r="K54" s="100">
        <v>4.83</v>
      </c>
      <c r="L54" s="100">
        <v>26.34</v>
      </c>
      <c r="M54" s="100">
        <v>23.38</v>
      </c>
      <c r="N54" s="100">
        <v>519.20000000000005</v>
      </c>
      <c r="O54" s="100">
        <v>0</v>
      </c>
      <c r="P54" s="100">
        <v>0.76</v>
      </c>
      <c r="Q54" s="100">
        <v>13.01</v>
      </c>
      <c r="R54" s="6"/>
      <c r="S54" s="6"/>
      <c r="T54" s="156"/>
      <c r="U54" s="6"/>
    </row>
    <row r="55" spans="1:21" customFormat="1">
      <c r="A55" s="163" t="s">
        <v>477</v>
      </c>
      <c r="B55" s="100">
        <v>15.7</v>
      </c>
      <c r="C55" s="100">
        <v>23.63</v>
      </c>
      <c r="D55" s="100">
        <v>26.28</v>
      </c>
      <c r="E55" s="100">
        <v>9.31</v>
      </c>
      <c r="F55" s="151" t="s">
        <v>8</v>
      </c>
      <c r="G55" s="100">
        <v>67.25</v>
      </c>
      <c r="H55" s="100">
        <v>21.2</v>
      </c>
      <c r="I55" s="100">
        <v>11.85</v>
      </c>
      <c r="J55" s="100">
        <v>0.15</v>
      </c>
      <c r="K55" s="100">
        <v>64.7</v>
      </c>
      <c r="L55" s="100">
        <v>27.22</v>
      </c>
      <c r="M55" s="100">
        <v>22.79</v>
      </c>
      <c r="N55" s="100">
        <v>532</v>
      </c>
      <c r="O55" s="100">
        <v>0</v>
      </c>
      <c r="P55" s="100">
        <v>0.73</v>
      </c>
      <c r="Q55" s="100">
        <v>13.02</v>
      </c>
      <c r="R55" s="6"/>
      <c r="S55" s="6"/>
      <c r="T55" s="156"/>
      <c r="U55" s="6"/>
    </row>
    <row r="56" spans="1:21" customFormat="1">
      <c r="A56" s="163" t="s">
        <v>478</v>
      </c>
      <c r="B56" s="100">
        <v>14.94</v>
      </c>
      <c r="C56" s="100">
        <v>24.29</v>
      </c>
      <c r="D56" s="100">
        <v>26.02</v>
      </c>
      <c r="E56" s="100">
        <v>8.8000000000000007</v>
      </c>
      <c r="F56" s="151" t="s">
        <v>8</v>
      </c>
      <c r="G56" s="100">
        <v>67.25</v>
      </c>
      <c r="H56" s="100">
        <v>21.2</v>
      </c>
      <c r="I56" s="100">
        <v>11.55</v>
      </c>
      <c r="J56" s="100">
        <v>0.57999999999999996</v>
      </c>
      <c r="K56" s="100">
        <v>317.02</v>
      </c>
      <c r="L56" s="100">
        <v>26.84</v>
      </c>
      <c r="M56" s="100">
        <v>23.4</v>
      </c>
      <c r="N56" s="100">
        <v>531.4</v>
      </c>
      <c r="O56" s="100">
        <v>0</v>
      </c>
      <c r="P56" s="100">
        <v>0.71</v>
      </c>
      <c r="Q56" s="100">
        <v>13.03</v>
      </c>
      <c r="R56" s="6"/>
      <c r="S56" s="6"/>
      <c r="T56" s="156"/>
      <c r="U56" s="6"/>
    </row>
    <row r="57" spans="1:21" customFormat="1">
      <c r="A57" s="163" t="s">
        <v>479</v>
      </c>
      <c r="B57" s="100">
        <v>13.7</v>
      </c>
      <c r="C57" s="100">
        <v>24.77</v>
      </c>
      <c r="D57" s="100">
        <v>25.28</v>
      </c>
      <c r="E57" s="100">
        <v>9.85</v>
      </c>
      <c r="F57" s="151" t="s">
        <v>8</v>
      </c>
      <c r="G57" s="100">
        <v>61.75</v>
      </c>
      <c r="H57" s="100">
        <v>19.96</v>
      </c>
      <c r="I57" s="100">
        <v>11.22</v>
      </c>
      <c r="J57" s="100">
        <v>0.51</v>
      </c>
      <c r="K57" s="100">
        <v>343.28</v>
      </c>
      <c r="L57" s="100">
        <v>27.04</v>
      </c>
      <c r="M57" s="100">
        <v>23.2</v>
      </c>
      <c r="N57" s="100">
        <v>498.2</v>
      </c>
      <c r="O57" s="100">
        <v>0</v>
      </c>
      <c r="P57" s="100">
        <v>0.69</v>
      </c>
      <c r="Q57" s="100">
        <v>13.03</v>
      </c>
      <c r="R57" s="6"/>
      <c r="S57" s="6"/>
      <c r="T57" s="156"/>
      <c r="U57" s="6"/>
    </row>
    <row r="58" spans="1:21" customFormat="1">
      <c r="A58" s="163" t="s">
        <v>480</v>
      </c>
      <c r="B58" s="100">
        <v>12.44</v>
      </c>
      <c r="C58" s="100">
        <v>24.94</v>
      </c>
      <c r="D58" s="100">
        <v>24.36</v>
      </c>
      <c r="E58" s="100">
        <v>9.1999999999999993</v>
      </c>
      <c r="F58" s="151" t="s">
        <v>8</v>
      </c>
      <c r="G58" s="100">
        <v>57.73</v>
      </c>
      <c r="H58" s="100">
        <v>19.579999999999998</v>
      </c>
      <c r="I58" s="100">
        <v>10.92</v>
      </c>
      <c r="J58" s="100">
        <v>0</v>
      </c>
      <c r="K58" s="100">
        <v>260.25</v>
      </c>
      <c r="L58" s="100">
        <v>27.74</v>
      </c>
      <c r="M58" s="100">
        <v>21.61</v>
      </c>
      <c r="N58" s="100">
        <v>395.4</v>
      </c>
      <c r="O58" s="100">
        <v>0</v>
      </c>
      <c r="P58" s="100">
        <v>0.68</v>
      </c>
      <c r="Q58" s="100">
        <v>13</v>
      </c>
      <c r="R58" s="6"/>
      <c r="S58" s="6"/>
      <c r="T58" s="156"/>
      <c r="U58" s="6"/>
    </row>
    <row r="59" spans="1:21" customFormat="1">
      <c r="A59" s="163" t="s">
        <v>481</v>
      </c>
      <c r="B59" s="100">
        <v>11.23</v>
      </c>
      <c r="C59" s="100">
        <v>25.17</v>
      </c>
      <c r="D59" s="100">
        <v>23.51</v>
      </c>
      <c r="E59" s="100">
        <v>9.24</v>
      </c>
      <c r="F59" s="151" t="s">
        <v>8</v>
      </c>
      <c r="G59" s="100">
        <v>57.73</v>
      </c>
      <c r="H59" s="100">
        <v>19.579999999999998</v>
      </c>
      <c r="I59" s="100">
        <v>10.67</v>
      </c>
      <c r="J59" s="100">
        <v>0.25</v>
      </c>
      <c r="K59" s="100">
        <v>315.49</v>
      </c>
      <c r="L59" s="100">
        <v>28.15</v>
      </c>
      <c r="M59" s="100">
        <v>20.83</v>
      </c>
      <c r="N59" s="100">
        <v>297.2</v>
      </c>
      <c r="O59" s="100">
        <v>0</v>
      </c>
      <c r="P59" s="100">
        <v>0.67</v>
      </c>
      <c r="Q59" s="100">
        <v>13</v>
      </c>
      <c r="R59" s="6"/>
      <c r="S59" s="6"/>
      <c r="T59" s="156"/>
      <c r="U59" s="6"/>
    </row>
    <row r="60" spans="1:21" customFormat="1">
      <c r="A60" s="163" t="s">
        <v>482</v>
      </c>
      <c r="B60" s="100">
        <v>10.14</v>
      </c>
      <c r="C60" s="100">
        <v>25.25</v>
      </c>
      <c r="D60" s="100">
        <v>22.68</v>
      </c>
      <c r="E60" s="100">
        <v>10.130000000000001</v>
      </c>
      <c r="F60" s="151" t="s">
        <v>8</v>
      </c>
      <c r="G60" s="100">
        <v>57.73</v>
      </c>
      <c r="H60" s="100">
        <v>19.579999999999998</v>
      </c>
      <c r="I60" s="100">
        <v>10.41</v>
      </c>
      <c r="J60" s="100">
        <v>0.15</v>
      </c>
      <c r="K60" s="100">
        <v>248.97</v>
      </c>
      <c r="L60" s="100">
        <v>28.31</v>
      </c>
      <c r="M60" s="100">
        <v>21.55</v>
      </c>
      <c r="N60" s="100">
        <v>446.3</v>
      </c>
      <c r="O60" s="100">
        <v>0</v>
      </c>
      <c r="P60" s="100">
        <v>0.66</v>
      </c>
      <c r="Q60" s="100">
        <v>13.01</v>
      </c>
      <c r="R60" s="6"/>
      <c r="S60" s="6"/>
      <c r="T60" s="156"/>
      <c r="U60" s="6"/>
    </row>
    <row r="61" spans="1:21" customFormat="1">
      <c r="A61" s="163" t="s">
        <v>483</v>
      </c>
      <c r="B61" s="100">
        <v>9.02</v>
      </c>
      <c r="C61" s="100">
        <v>25.47</v>
      </c>
      <c r="D61" s="100">
        <v>21.89</v>
      </c>
      <c r="E61" s="100">
        <v>10.220000000000001</v>
      </c>
      <c r="F61" s="151" t="s">
        <v>8</v>
      </c>
      <c r="G61" s="100">
        <v>59.77</v>
      </c>
      <c r="H61" s="100">
        <v>18.75</v>
      </c>
      <c r="I61" s="100">
        <v>10.14</v>
      </c>
      <c r="J61" s="100">
        <v>0.28999999999999998</v>
      </c>
      <c r="K61" s="100">
        <v>167</v>
      </c>
      <c r="L61" s="100">
        <v>28.77</v>
      </c>
      <c r="M61" s="100">
        <v>21.81</v>
      </c>
      <c r="N61" s="100">
        <v>427.5</v>
      </c>
      <c r="O61" s="100">
        <v>0</v>
      </c>
      <c r="P61" s="100">
        <v>0.66</v>
      </c>
      <c r="Q61" s="100">
        <v>12.99</v>
      </c>
      <c r="R61" s="6"/>
      <c r="S61" s="6"/>
      <c r="T61" s="156"/>
      <c r="U61" s="6"/>
    </row>
    <row r="62" spans="1:21" customFormat="1">
      <c r="A62" s="163" t="s">
        <v>484</v>
      </c>
      <c r="B62" s="100">
        <v>8.01</v>
      </c>
      <c r="C62" s="100">
        <v>25.71</v>
      </c>
      <c r="D62" s="100">
        <v>21.21</v>
      </c>
      <c r="E62" s="100">
        <v>10.77</v>
      </c>
      <c r="F62" s="151" t="s">
        <v>8</v>
      </c>
      <c r="G62" s="100">
        <v>61.27</v>
      </c>
      <c r="H62" s="100">
        <v>18.25</v>
      </c>
      <c r="I62" s="100">
        <v>9.91</v>
      </c>
      <c r="J62" s="100">
        <v>0.3</v>
      </c>
      <c r="K62" s="100">
        <v>2.7</v>
      </c>
      <c r="L62" s="100">
        <v>28.63</v>
      </c>
      <c r="M62" s="100">
        <v>21.39</v>
      </c>
      <c r="N62" s="100">
        <v>351</v>
      </c>
      <c r="O62" s="100">
        <v>0</v>
      </c>
      <c r="P62" s="100">
        <v>0.65</v>
      </c>
      <c r="Q62" s="100">
        <v>13</v>
      </c>
      <c r="R62" s="6"/>
      <c r="S62" s="6"/>
      <c r="T62" s="156"/>
      <c r="U62" s="6"/>
    </row>
    <row r="63" spans="1:21" customFormat="1">
      <c r="A63" s="163" t="s">
        <v>485</v>
      </c>
      <c r="B63" s="100">
        <v>7.24</v>
      </c>
      <c r="C63" s="100">
        <v>26.08</v>
      </c>
      <c r="D63" s="100">
        <v>20.78</v>
      </c>
      <c r="E63" s="100">
        <v>10.16</v>
      </c>
      <c r="F63" s="151" t="s">
        <v>8</v>
      </c>
      <c r="G63" s="100">
        <v>61.27</v>
      </c>
      <c r="H63" s="100">
        <v>18.25</v>
      </c>
      <c r="I63" s="100">
        <v>9.59</v>
      </c>
      <c r="J63" s="100">
        <v>0.14000000000000001</v>
      </c>
      <c r="K63" s="100">
        <v>31.39</v>
      </c>
      <c r="L63" s="100">
        <v>28</v>
      </c>
      <c r="M63" s="100">
        <v>22.23</v>
      </c>
      <c r="N63" s="100">
        <v>139.1</v>
      </c>
      <c r="O63" s="100">
        <v>0</v>
      </c>
      <c r="P63" s="100">
        <v>0.66</v>
      </c>
      <c r="Q63" s="100">
        <v>13</v>
      </c>
      <c r="R63" s="6"/>
      <c r="S63" s="6"/>
      <c r="T63" s="156"/>
      <c r="U63" s="6"/>
    </row>
    <row r="64" spans="1:21" customFormat="1">
      <c r="A64" s="163" t="s">
        <v>486</v>
      </c>
      <c r="B64" s="100">
        <v>6.66</v>
      </c>
      <c r="C64" s="100">
        <v>26.36</v>
      </c>
      <c r="D64" s="100">
        <v>20.47</v>
      </c>
      <c r="E64" s="100">
        <v>11.39</v>
      </c>
      <c r="F64" s="151" t="s">
        <v>8</v>
      </c>
      <c r="G64" s="100">
        <v>61.27</v>
      </c>
      <c r="H64" s="100">
        <v>18.25</v>
      </c>
      <c r="I64" s="100">
        <v>9.4499999999999993</v>
      </c>
      <c r="J64" s="100">
        <v>0.57999999999999996</v>
      </c>
      <c r="K64" s="100">
        <v>344.4</v>
      </c>
      <c r="L64" s="100">
        <v>27.85</v>
      </c>
      <c r="M64" s="100">
        <v>22.68</v>
      </c>
      <c r="N64" s="100">
        <v>131.6</v>
      </c>
      <c r="O64" s="100">
        <v>0</v>
      </c>
      <c r="P64" s="100">
        <v>0.65</v>
      </c>
      <c r="Q64" s="100">
        <v>13.01</v>
      </c>
      <c r="R64" s="6"/>
      <c r="S64" s="6"/>
      <c r="T64" s="156"/>
      <c r="U64" s="6"/>
    </row>
    <row r="65" spans="1:21" customFormat="1">
      <c r="A65" s="163" t="s">
        <v>487</v>
      </c>
      <c r="B65" s="100">
        <v>6.27</v>
      </c>
      <c r="C65" s="100">
        <v>26.71</v>
      </c>
      <c r="D65" s="100">
        <v>20.34</v>
      </c>
      <c r="E65" s="100">
        <v>14.6</v>
      </c>
      <c r="F65" s="151" t="s">
        <v>8</v>
      </c>
      <c r="G65" s="100">
        <v>68.349999999999994</v>
      </c>
      <c r="H65" s="100">
        <v>17.559999999999999</v>
      </c>
      <c r="I65" s="100">
        <v>9.36</v>
      </c>
      <c r="J65" s="100">
        <v>0.57999999999999996</v>
      </c>
      <c r="K65" s="100">
        <v>347.17</v>
      </c>
      <c r="L65" s="100">
        <v>27.84</v>
      </c>
      <c r="M65" s="100">
        <v>21.69</v>
      </c>
      <c r="N65" s="100">
        <v>85.1</v>
      </c>
      <c r="O65" s="100">
        <v>0</v>
      </c>
      <c r="P65" s="100">
        <v>0.65</v>
      </c>
      <c r="Q65" s="100">
        <v>13.01</v>
      </c>
      <c r="R65" s="6"/>
      <c r="S65" s="6"/>
      <c r="T65" s="156"/>
      <c r="U65" s="6"/>
    </row>
    <row r="66" spans="1:21" customFormat="1">
      <c r="A66" s="163" t="s">
        <v>488</v>
      </c>
      <c r="B66" s="100">
        <v>5.91</v>
      </c>
      <c r="C66" s="100">
        <v>27</v>
      </c>
      <c r="D66" s="100">
        <v>20.2</v>
      </c>
      <c r="E66" s="100">
        <v>12.3</v>
      </c>
      <c r="F66" s="151" t="s">
        <v>8</v>
      </c>
      <c r="G66" s="100">
        <v>73.52</v>
      </c>
      <c r="H66" s="100">
        <v>17.350000000000001</v>
      </c>
      <c r="I66" s="100">
        <v>9.2899999999999991</v>
      </c>
      <c r="J66" s="100">
        <v>0.53</v>
      </c>
      <c r="K66" s="100">
        <v>12.22</v>
      </c>
      <c r="L66" s="100">
        <v>28</v>
      </c>
      <c r="M66" s="100">
        <v>20.54</v>
      </c>
      <c r="N66" s="100">
        <v>107.4</v>
      </c>
      <c r="O66" s="100">
        <v>0</v>
      </c>
      <c r="P66" s="100">
        <v>0.66</v>
      </c>
      <c r="Q66" s="100">
        <v>12.99</v>
      </c>
      <c r="R66" s="6"/>
      <c r="S66" s="6"/>
      <c r="T66" s="156"/>
      <c r="U66" s="6"/>
    </row>
    <row r="67" spans="1:21" customFormat="1">
      <c r="A67" s="163" t="s">
        <v>489</v>
      </c>
      <c r="B67" s="100">
        <v>5.45</v>
      </c>
      <c r="C67" s="100">
        <v>27.16</v>
      </c>
      <c r="D67" s="100">
        <v>19.91</v>
      </c>
      <c r="E67" s="100">
        <v>11.8</v>
      </c>
      <c r="F67" s="151" t="s">
        <v>8</v>
      </c>
      <c r="G67" s="100">
        <v>73.52</v>
      </c>
      <c r="H67" s="100">
        <v>17.350000000000001</v>
      </c>
      <c r="I67" s="100">
        <v>9.36</v>
      </c>
      <c r="J67" s="100">
        <v>0.47</v>
      </c>
      <c r="K67" s="100">
        <v>1.67</v>
      </c>
      <c r="L67" s="100">
        <v>27.87</v>
      </c>
      <c r="M67" s="100">
        <v>20.05</v>
      </c>
      <c r="N67" s="100">
        <v>61.1</v>
      </c>
      <c r="O67" s="100">
        <v>0</v>
      </c>
      <c r="P67" s="100">
        <v>0.66</v>
      </c>
      <c r="Q67" s="100">
        <v>13</v>
      </c>
      <c r="R67" s="6"/>
      <c r="S67" s="6"/>
      <c r="T67" s="156"/>
      <c r="U67" s="6"/>
    </row>
    <row r="68" spans="1:21" customFormat="1">
      <c r="A68" s="163" t="s">
        <v>490</v>
      </c>
      <c r="B68" s="100">
        <v>5.14</v>
      </c>
      <c r="C68" s="100">
        <v>27.08</v>
      </c>
      <c r="D68" s="100">
        <v>19.62</v>
      </c>
      <c r="E68" s="100">
        <v>11.78</v>
      </c>
      <c r="F68" s="151" t="s">
        <v>8</v>
      </c>
      <c r="G68" s="100">
        <v>73.52</v>
      </c>
      <c r="H68" s="100">
        <v>17.350000000000001</v>
      </c>
      <c r="I68" s="100">
        <v>9.1199999999999992</v>
      </c>
      <c r="J68" s="100">
        <v>0.56999999999999995</v>
      </c>
      <c r="K68" s="100">
        <v>1.85</v>
      </c>
      <c r="L68" s="100">
        <v>27.84</v>
      </c>
      <c r="M68" s="100">
        <v>19.71</v>
      </c>
      <c r="N68" s="100">
        <v>51.4</v>
      </c>
      <c r="O68" s="100">
        <v>0</v>
      </c>
      <c r="P68" s="100">
        <v>0.66</v>
      </c>
      <c r="Q68" s="100">
        <v>13.01</v>
      </c>
      <c r="R68" s="6"/>
      <c r="S68" s="6"/>
      <c r="T68" s="156"/>
      <c r="U68" s="6"/>
    </row>
    <row r="69" spans="1:21" customFormat="1">
      <c r="A69" s="163" t="s">
        <v>491</v>
      </c>
      <c r="B69" s="100">
        <v>4.8099999999999996</v>
      </c>
      <c r="C69" s="100">
        <v>26.79</v>
      </c>
      <c r="D69" s="100">
        <v>19.21</v>
      </c>
      <c r="E69" s="100">
        <v>14.88</v>
      </c>
      <c r="F69" s="151" t="s">
        <v>8</v>
      </c>
      <c r="G69" s="100">
        <v>73.84</v>
      </c>
      <c r="H69" s="100">
        <v>18.329999999999998</v>
      </c>
      <c r="I69" s="100">
        <v>8.8000000000000007</v>
      </c>
      <c r="J69" s="100">
        <v>0.21</v>
      </c>
      <c r="K69" s="100">
        <v>325.54000000000002</v>
      </c>
      <c r="L69" s="100">
        <v>27.66</v>
      </c>
      <c r="M69" s="100">
        <v>20.82</v>
      </c>
      <c r="N69" s="100">
        <v>45.6</v>
      </c>
      <c r="O69" s="100">
        <v>0</v>
      </c>
      <c r="P69" s="100">
        <v>0.65</v>
      </c>
      <c r="Q69" s="100">
        <v>13</v>
      </c>
      <c r="R69" s="6"/>
      <c r="S69" s="6"/>
      <c r="T69" s="156"/>
      <c r="U69" s="6"/>
    </row>
    <row r="70" spans="1:21" customFormat="1">
      <c r="A70" s="163" t="s">
        <v>492</v>
      </c>
      <c r="B70" s="100">
        <v>4.5199999999999996</v>
      </c>
      <c r="C70" s="100">
        <v>26.26</v>
      </c>
      <c r="D70" s="100">
        <v>18.690000000000001</v>
      </c>
      <c r="E70" s="100">
        <v>11.68</v>
      </c>
      <c r="F70" s="151" t="s">
        <v>8</v>
      </c>
      <c r="G70" s="100">
        <v>74.06</v>
      </c>
      <c r="H70" s="100">
        <v>18.63</v>
      </c>
      <c r="I70" s="100">
        <v>8.59</v>
      </c>
      <c r="J70" s="100">
        <v>0.64</v>
      </c>
      <c r="K70" s="100">
        <v>44.16</v>
      </c>
      <c r="L70" s="100">
        <v>27.68</v>
      </c>
      <c r="M70" s="100">
        <v>19.16</v>
      </c>
      <c r="N70" s="100">
        <v>39.799999999999997</v>
      </c>
      <c r="O70" s="100">
        <v>0</v>
      </c>
      <c r="P70" s="100">
        <v>0.65</v>
      </c>
      <c r="Q70" s="100">
        <v>12.99</v>
      </c>
      <c r="R70" s="6"/>
      <c r="S70" s="6"/>
      <c r="T70" s="156"/>
      <c r="U70" s="6"/>
    </row>
    <row r="71" spans="1:21" customFormat="1">
      <c r="A71" s="163" t="s">
        <v>493</v>
      </c>
      <c r="B71" s="100">
        <v>4.37</v>
      </c>
      <c r="C71" s="100">
        <v>25.74</v>
      </c>
      <c r="D71" s="100">
        <v>18.309999999999999</v>
      </c>
      <c r="E71" s="100">
        <v>10.64</v>
      </c>
      <c r="F71" s="151" t="s">
        <v>8</v>
      </c>
      <c r="G71" s="100">
        <v>74.06</v>
      </c>
      <c r="H71" s="100">
        <v>18.63</v>
      </c>
      <c r="I71" s="100">
        <v>8.44</v>
      </c>
      <c r="J71" s="100">
        <v>0.73</v>
      </c>
      <c r="K71" s="100">
        <v>33.86</v>
      </c>
      <c r="L71" s="100">
        <v>27.79</v>
      </c>
      <c r="M71" s="100">
        <v>18.940000000000001</v>
      </c>
      <c r="N71" s="100">
        <v>38.1</v>
      </c>
      <c r="O71" s="100">
        <v>0</v>
      </c>
      <c r="P71" s="100">
        <v>0.63</v>
      </c>
      <c r="Q71" s="100">
        <v>12.99</v>
      </c>
      <c r="R71" s="6"/>
      <c r="S71" s="6"/>
      <c r="T71" s="156"/>
      <c r="U71" s="6"/>
    </row>
    <row r="72" spans="1:21" customFormat="1">
      <c r="A72" s="163" t="s">
        <v>494</v>
      </c>
      <c r="B72" s="100">
        <v>4.3499999999999996</v>
      </c>
      <c r="C72" s="100">
        <v>25.73</v>
      </c>
      <c r="D72" s="100">
        <v>18.28</v>
      </c>
      <c r="E72" s="100">
        <v>10.18</v>
      </c>
      <c r="F72" s="151" t="s">
        <v>8</v>
      </c>
      <c r="G72" s="100">
        <v>74.06</v>
      </c>
      <c r="H72" s="100">
        <v>18.63</v>
      </c>
      <c r="I72" s="100">
        <v>8.3000000000000007</v>
      </c>
      <c r="J72" s="100">
        <v>0.5</v>
      </c>
      <c r="K72" s="100">
        <v>356.98</v>
      </c>
      <c r="L72" s="100">
        <v>27.63</v>
      </c>
      <c r="M72" s="100">
        <v>19.739999999999998</v>
      </c>
      <c r="N72" s="100">
        <v>36.700000000000003</v>
      </c>
      <c r="O72" s="100">
        <v>0</v>
      </c>
      <c r="P72" s="100">
        <v>0.62</v>
      </c>
      <c r="Q72" s="100">
        <v>12.99</v>
      </c>
      <c r="R72" s="6"/>
      <c r="S72" s="6"/>
      <c r="T72" s="156"/>
      <c r="U72" s="6"/>
    </row>
    <row r="73" spans="1:21" customFormat="1">
      <c r="A73" s="163" t="s">
        <v>495</v>
      </c>
      <c r="B73" s="100">
        <v>4.3099999999999996</v>
      </c>
      <c r="C73" s="100">
        <v>25.52</v>
      </c>
      <c r="D73" s="100">
        <v>18.14</v>
      </c>
      <c r="E73" s="100">
        <v>9.75</v>
      </c>
      <c r="F73" s="151" t="s">
        <v>8</v>
      </c>
      <c r="G73" s="100">
        <v>67.790000000000006</v>
      </c>
      <c r="H73" s="100">
        <v>17.21</v>
      </c>
      <c r="I73" s="100">
        <v>8.0299999999999994</v>
      </c>
      <c r="J73" s="100">
        <v>0.73</v>
      </c>
      <c r="K73" s="100">
        <v>35.06</v>
      </c>
      <c r="L73" s="100">
        <v>27.45</v>
      </c>
      <c r="M73" s="100">
        <v>19.43</v>
      </c>
      <c r="N73" s="100">
        <v>37.200000000000003</v>
      </c>
      <c r="O73" s="100">
        <v>0</v>
      </c>
      <c r="P73" s="100">
        <v>0.62</v>
      </c>
      <c r="Q73" s="100">
        <v>12.98</v>
      </c>
      <c r="R73" s="6"/>
      <c r="S73" s="6"/>
      <c r="T73" s="156"/>
      <c r="U73" s="6"/>
    </row>
    <row r="74" spans="1:21" customFormat="1">
      <c r="A74" s="163" t="s">
        <v>496</v>
      </c>
      <c r="B74" s="100">
        <v>4.47</v>
      </c>
      <c r="C74" s="100">
        <v>25.29</v>
      </c>
      <c r="D74" s="100">
        <v>18.149999999999999</v>
      </c>
      <c r="E74" s="100">
        <v>9.9</v>
      </c>
      <c r="F74" s="151" t="s">
        <v>8</v>
      </c>
      <c r="G74" s="100">
        <v>63.21</v>
      </c>
      <c r="H74" s="100">
        <v>16.79</v>
      </c>
      <c r="I74" s="100">
        <v>7.82</v>
      </c>
      <c r="J74" s="100">
        <v>0.52</v>
      </c>
      <c r="K74" s="100">
        <v>40.64</v>
      </c>
      <c r="L74" s="100">
        <v>27.19</v>
      </c>
      <c r="M74" s="100">
        <v>20.48</v>
      </c>
      <c r="N74" s="100">
        <v>24.4</v>
      </c>
      <c r="O74" s="100">
        <v>0</v>
      </c>
      <c r="P74" s="100">
        <v>0.65</v>
      </c>
      <c r="Q74" s="100">
        <v>12.98</v>
      </c>
      <c r="R74" s="6"/>
      <c r="S74" s="6"/>
      <c r="T74" s="156"/>
      <c r="U74" s="6"/>
    </row>
    <row r="75" spans="1:21" customFormat="1">
      <c r="A75" s="163" t="s">
        <v>497</v>
      </c>
      <c r="B75" s="100">
        <v>4.9400000000000004</v>
      </c>
      <c r="C75" s="100">
        <v>24.77</v>
      </c>
      <c r="D75" s="100">
        <v>18.260000000000002</v>
      </c>
      <c r="E75" s="100">
        <v>9.25</v>
      </c>
      <c r="F75" s="151" t="s">
        <v>8</v>
      </c>
      <c r="G75" s="100">
        <v>63.21</v>
      </c>
      <c r="H75" s="100">
        <v>16.79</v>
      </c>
      <c r="I75" s="100">
        <v>7.68</v>
      </c>
      <c r="J75" s="100">
        <v>0.3</v>
      </c>
      <c r="K75" s="100">
        <v>53.76</v>
      </c>
      <c r="L75" s="100">
        <v>26.65</v>
      </c>
      <c r="M75" s="100">
        <v>22.49</v>
      </c>
      <c r="N75" s="100">
        <v>17.600000000000001</v>
      </c>
      <c r="O75" s="100">
        <v>0</v>
      </c>
      <c r="P75" s="100">
        <v>0.66</v>
      </c>
      <c r="Q75" s="100">
        <v>12.97</v>
      </c>
      <c r="R75" s="6"/>
      <c r="S75" s="6"/>
      <c r="T75" s="156"/>
      <c r="U75" s="6"/>
    </row>
    <row r="76" spans="1:21" customFormat="1">
      <c r="A76" s="163" t="s">
        <v>498</v>
      </c>
      <c r="B76" s="100">
        <v>5.26</v>
      </c>
      <c r="C76" s="100">
        <v>24.27</v>
      </c>
      <c r="D76" s="100">
        <v>18.25</v>
      </c>
      <c r="E76" s="100">
        <v>9.25</v>
      </c>
      <c r="F76" s="151" t="s">
        <v>8</v>
      </c>
      <c r="G76" s="100">
        <v>63.21</v>
      </c>
      <c r="H76" s="100">
        <v>16.79</v>
      </c>
      <c r="I76" s="100">
        <v>7.58</v>
      </c>
      <c r="J76" s="100">
        <v>0.36</v>
      </c>
      <c r="K76" s="100">
        <v>168.37</v>
      </c>
      <c r="L76" s="100">
        <v>25.07</v>
      </c>
      <c r="M76" s="100">
        <v>29.74</v>
      </c>
      <c r="N76" s="100">
        <v>13.9</v>
      </c>
      <c r="O76" s="100">
        <v>0</v>
      </c>
      <c r="P76" s="100">
        <v>0.68</v>
      </c>
      <c r="Q76" s="100">
        <v>12.98</v>
      </c>
      <c r="R76" s="6"/>
      <c r="S76" s="6"/>
      <c r="T76" s="156"/>
      <c r="U76" s="6"/>
    </row>
    <row r="77" spans="1:21" customFormat="1">
      <c r="A77" s="163" t="s">
        <v>499</v>
      </c>
      <c r="B77" s="100">
        <v>5.53</v>
      </c>
      <c r="C77" s="100">
        <v>23.63</v>
      </c>
      <c r="D77" s="100">
        <v>18.14</v>
      </c>
      <c r="E77" s="100">
        <v>8.85</v>
      </c>
      <c r="F77" s="151" t="s">
        <v>8</v>
      </c>
      <c r="G77" s="100">
        <v>63.63</v>
      </c>
      <c r="H77" s="100">
        <v>15.99</v>
      </c>
      <c r="I77" s="100">
        <v>7.59</v>
      </c>
      <c r="J77" s="100">
        <v>0.32</v>
      </c>
      <c r="K77" s="100">
        <v>170.76</v>
      </c>
      <c r="L77" s="100">
        <v>23.62</v>
      </c>
      <c r="M77" s="100">
        <v>33.6</v>
      </c>
      <c r="N77" s="100">
        <v>6.6</v>
      </c>
      <c r="O77" s="100">
        <v>0</v>
      </c>
      <c r="P77" s="100">
        <v>0.68</v>
      </c>
      <c r="Q77" s="100">
        <v>12.96</v>
      </c>
      <c r="R77" s="6"/>
      <c r="S77" s="6"/>
      <c r="T77" s="156"/>
      <c r="U77" s="6"/>
    </row>
    <row r="78" spans="1:21" customFormat="1">
      <c r="A78" s="163" t="s">
        <v>500</v>
      </c>
      <c r="B78" s="100">
        <v>5.95</v>
      </c>
      <c r="C78" s="100">
        <v>23.52</v>
      </c>
      <c r="D78" s="100">
        <v>18.41</v>
      </c>
      <c r="E78" s="100">
        <v>8.68</v>
      </c>
      <c r="F78" s="151" t="s">
        <v>8</v>
      </c>
      <c r="G78" s="100">
        <v>63.94</v>
      </c>
      <c r="H78" s="100">
        <v>15.75</v>
      </c>
      <c r="I78" s="100">
        <v>7.57</v>
      </c>
      <c r="J78" s="100">
        <v>0.28999999999999998</v>
      </c>
      <c r="K78" s="100">
        <v>159.74</v>
      </c>
      <c r="L78" s="100">
        <v>22.64</v>
      </c>
      <c r="M78" s="100">
        <v>36.82</v>
      </c>
      <c r="N78" s="100">
        <v>3.3</v>
      </c>
      <c r="O78" s="100">
        <v>0</v>
      </c>
      <c r="P78" s="100">
        <v>0.68</v>
      </c>
      <c r="Q78" s="100">
        <v>12.96</v>
      </c>
      <c r="R78" s="6"/>
      <c r="S78" s="6"/>
      <c r="T78" s="156"/>
      <c r="U78" s="6"/>
    </row>
    <row r="79" spans="1:21" customFormat="1">
      <c r="A79" s="163" t="s">
        <v>501</v>
      </c>
      <c r="B79" s="100">
        <v>6.76</v>
      </c>
      <c r="C79" s="100">
        <v>23.77</v>
      </c>
      <c r="D79" s="100">
        <v>19.190000000000001</v>
      </c>
      <c r="E79" s="100">
        <v>8.7899999999999991</v>
      </c>
      <c r="F79" s="151" t="s">
        <v>8</v>
      </c>
      <c r="G79" s="100">
        <v>63.94</v>
      </c>
      <c r="H79" s="100">
        <v>15.75</v>
      </c>
      <c r="I79" s="100">
        <v>7.53</v>
      </c>
      <c r="J79" s="100">
        <v>0.26</v>
      </c>
      <c r="K79" s="100">
        <v>169.95</v>
      </c>
      <c r="L79" s="100">
        <v>22.01</v>
      </c>
      <c r="M79" s="100">
        <v>39.03</v>
      </c>
      <c r="N79" s="100">
        <v>2</v>
      </c>
      <c r="O79" s="100">
        <v>0</v>
      </c>
      <c r="P79" s="100">
        <v>0.7</v>
      </c>
      <c r="Q79" s="100">
        <v>12.97</v>
      </c>
      <c r="R79" s="6"/>
      <c r="S79" s="6"/>
      <c r="T79" s="156"/>
      <c r="U79" s="6"/>
    </row>
    <row r="80" spans="1:21" customFormat="1">
      <c r="A80" s="163" t="s">
        <v>502</v>
      </c>
      <c r="B80" s="100">
        <v>8.11</v>
      </c>
      <c r="C80" s="100">
        <v>24.17</v>
      </c>
      <c r="D80" s="100">
        <v>20.48</v>
      </c>
      <c r="E80" s="100">
        <v>8.76</v>
      </c>
      <c r="F80" s="151" t="s">
        <v>8</v>
      </c>
      <c r="G80" s="100">
        <v>63.94</v>
      </c>
      <c r="H80" s="100">
        <v>15.75</v>
      </c>
      <c r="I80" s="100">
        <v>7.54</v>
      </c>
      <c r="J80" s="100">
        <v>0.27</v>
      </c>
      <c r="K80" s="100">
        <v>172.93</v>
      </c>
      <c r="L80" s="100">
        <v>21.29</v>
      </c>
      <c r="M80" s="100">
        <v>46.71</v>
      </c>
      <c r="N80" s="100">
        <v>1.9</v>
      </c>
      <c r="O80" s="100">
        <v>0</v>
      </c>
      <c r="P80" s="100">
        <v>0.71</v>
      </c>
      <c r="Q80" s="100">
        <v>12.99</v>
      </c>
      <c r="R80" s="6"/>
      <c r="S80" s="6"/>
      <c r="T80" s="156"/>
      <c r="U80" s="6"/>
    </row>
    <row r="81" spans="1:21" customFormat="1">
      <c r="A81" s="163" t="s">
        <v>503</v>
      </c>
      <c r="B81" s="100">
        <v>9.4700000000000006</v>
      </c>
      <c r="C81" s="100">
        <v>24.22</v>
      </c>
      <c r="D81" s="100">
        <v>21.6</v>
      </c>
      <c r="E81" s="100">
        <v>7.24</v>
      </c>
      <c r="F81" s="151" t="s">
        <v>8</v>
      </c>
      <c r="G81" s="100">
        <v>74.91</v>
      </c>
      <c r="H81" s="100">
        <v>16.79</v>
      </c>
      <c r="I81" s="100">
        <v>7.59</v>
      </c>
      <c r="J81" s="100">
        <v>0.24</v>
      </c>
      <c r="K81" s="100">
        <v>171.4</v>
      </c>
      <c r="L81" s="100">
        <v>20.39</v>
      </c>
      <c r="M81" s="100">
        <v>55.24</v>
      </c>
      <c r="N81" s="100">
        <v>1.9</v>
      </c>
      <c r="O81" s="100">
        <v>0</v>
      </c>
      <c r="P81" s="100">
        <v>0.73</v>
      </c>
      <c r="Q81" s="100">
        <v>13.01</v>
      </c>
      <c r="R81" s="6"/>
      <c r="S81" s="6"/>
      <c r="T81" s="156"/>
      <c r="U81" s="6"/>
    </row>
    <row r="82" spans="1:21" customFormat="1">
      <c r="A82" s="163" t="s">
        <v>504</v>
      </c>
      <c r="B82" s="100">
        <v>10.34</v>
      </c>
      <c r="C82" s="100">
        <v>24.37</v>
      </c>
      <c r="D82" s="100">
        <v>22.38</v>
      </c>
      <c r="E82" s="100">
        <v>8.99</v>
      </c>
      <c r="F82" s="151" t="s">
        <v>8</v>
      </c>
      <c r="G82" s="100">
        <v>82.94</v>
      </c>
      <c r="H82" s="100">
        <v>17.100000000000001</v>
      </c>
      <c r="I82" s="100">
        <v>7.66</v>
      </c>
      <c r="J82" s="100">
        <v>0.33</v>
      </c>
      <c r="K82" s="100">
        <v>166.49</v>
      </c>
      <c r="L82" s="100">
        <v>19.57</v>
      </c>
      <c r="M82" s="100">
        <v>63.31</v>
      </c>
      <c r="N82" s="100">
        <v>1.7</v>
      </c>
      <c r="O82" s="100">
        <v>0</v>
      </c>
      <c r="P82" s="100">
        <v>0.74</v>
      </c>
      <c r="Q82" s="100">
        <v>13</v>
      </c>
      <c r="R82" s="6"/>
      <c r="S82" s="6"/>
      <c r="T82" s="156"/>
      <c r="U82" s="6"/>
    </row>
    <row r="83" spans="1:21" customFormat="1">
      <c r="A83" s="163" t="s">
        <v>505</v>
      </c>
      <c r="B83" s="100">
        <v>10.83</v>
      </c>
      <c r="C83" s="100">
        <v>24.52</v>
      </c>
      <c r="D83" s="100">
        <v>22.84</v>
      </c>
      <c r="E83" s="100">
        <v>8.99</v>
      </c>
      <c r="F83" s="151" t="s">
        <v>8</v>
      </c>
      <c r="G83" s="100">
        <v>82.94</v>
      </c>
      <c r="H83" s="100">
        <v>17.100000000000001</v>
      </c>
      <c r="I83" s="100">
        <v>7.74</v>
      </c>
      <c r="J83" s="100">
        <v>0.21</v>
      </c>
      <c r="K83" s="100">
        <v>186.86</v>
      </c>
      <c r="L83" s="100">
        <v>18.989999999999998</v>
      </c>
      <c r="M83" s="100">
        <v>60.04</v>
      </c>
      <c r="N83" s="100">
        <v>1.7</v>
      </c>
      <c r="O83" s="100">
        <v>0</v>
      </c>
      <c r="P83" s="100">
        <v>0.75</v>
      </c>
      <c r="Q83" s="100">
        <v>13</v>
      </c>
      <c r="R83" s="6"/>
      <c r="S83" s="6"/>
      <c r="T83" s="156"/>
      <c r="U83" s="6"/>
    </row>
    <row r="84" spans="1:21" customFormat="1">
      <c r="A84" s="163" t="s">
        <v>506</v>
      </c>
      <c r="B84" s="100">
        <v>11.18</v>
      </c>
      <c r="C84" s="100">
        <v>24.61</v>
      </c>
      <c r="D84" s="100">
        <v>23.18</v>
      </c>
      <c r="E84" s="100">
        <v>8.91</v>
      </c>
      <c r="F84" s="151" t="s">
        <v>8</v>
      </c>
      <c r="G84" s="100">
        <v>82.94</v>
      </c>
      <c r="H84" s="100">
        <v>17.100000000000001</v>
      </c>
      <c r="I84" s="100">
        <v>7.86</v>
      </c>
      <c r="J84" s="100">
        <v>0.22</v>
      </c>
      <c r="K84" s="100">
        <v>167.46</v>
      </c>
      <c r="L84" s="100">
        <v>18.579999999999998</v>
      </c>
      <c r="M84" s="100">
        <v>64.42</v>
      </c>
      <c r="N84" s="100">
        <v>1.4</v>
      </c>
      <c r="O84" s="100">
        <v>0</v>
      </c>
      <c r="P84" s="100">
        <v>0.77</v>
      </c>
      <c r="Q84" s="100">
        <v>13.01</v>
      </c>
      <c r="R84" s="6"/>
      <c r="S84" s="6"/>
      <c r="T84" s="156"/>
      <c r="U84" s="6"/>
    </row>
    <row r="85" spans="1:21" customFormat="1">
      <c r="A85" s="163" t="s">
        <v>507</v>
      </c>
      <c r="B85" s="100">
        <v>11.58</v>
      </c>
      <c r="C85" s="100">
        <v>24.56</v>
      </c>
      <c r="D85" s="100">
        <v>23.47</v>
      </c>
      <c r="E85" s="100">
        <v>8.7200000000000006</v>
      </c>
      <c r="F85" s="151" t="s">
        <v>8</v>
      </c>
      <c r="G85" s="100">
        <v>83.98</v>
      </c>
      <c r="H85" s="100">
        <v>19.579999999999998</v>
      </c>
      <c r="I85" s="100">
        <v>8.01</v>
      </c>
      <c r="J85" s="100">
        <v>0.25</v>
      </c>
      <c r="K85" s="100">
        <v>166.38</v>
      </c>
      <c r="L85" s="100">
        <v>18.149999999999999</v>
      </c>
      <c r="M85" s="100">
        <v>67.290000000000006</v>
      </c>
      <c r="N85" s="100">
        <v>1.3</v>
      </c>
      <c r="O85" s="100">
        <v>0</v>
      </c>
      <c r="P85" s="100">
        <v>0.78</v>
      </c>
      <c r="Q85" s="100">
        <v>13.02</v>
      </c>
      <c r="R85" s="6"/>
      <c r="S85" s="6"/>
      <c r="T85" s="156"/>
      <c r="U85" s="6"/>
    </row>
    <row r="86" spans="1:21" customFormat="1">
      <c r="A86" s="163" t="s">
        <v>508</v>
      </c>
      <c r="B86" s="100">
        <v>12.01</v>
      </c>
      <c r="C86" s="100">
        <v>24.41</v>
      </c>
      <c r="D86" s="100">
        <v>23.73</v>
      </c>
      <c r="E86" s="100">
        <v>8.94</v>
      </c>
      <c r="F86" s="151" t="s">
        <v>8</v>
      </c>
      <c r="G86" s="100">
        <v>84.74</v>
      </c>
      <c r="H86" s="100">
        <v>20.96</v>
      </c>
      <c r="I86" s="100">
        <v>8.3000000000000007</v>
      </c>
      <c r="J86" s="100">
        <v>0.21</v>
      </c>
      <c r="K86" s="100">
        <v>171.18</v>
      </c>
      <c r="L86" s="100">
        <v>18</v>
      </c>
      <c r="M86" s="100">
        <v>67.569999999999993</v>
      </c>
      <c r="N86" s="100">
        <v>1.2</v>
      </c>
      <c r="O86" s="100">
        <v>0</v>
      </c>
      <c r="P86" s="100">
        <v>0.8</v>
      </c>
      <c r="Q86" s="100">
        <v>13.02</v>
      </c>
      <c r="R86" s="6"/>
      <c r="S86" s="6"/>
      <c r="T86" s="156"/>
      <c r="U86" s="6"/>
    </row>
    <row r="87" spans="1:21" customFormat="1">
      <c r="A87" s="163" t="s">
        <v>509</v>
      </c>
      <c r="B87" s="100">
        <v>12.43</v>
      </c>
      <c r="C87" s="100">
        <v>24.41</v>
      </c>
      <c r="D87" s="100">
        <v>24.07</v>
      </c>
      <c r="E87" s="100">
        <v>8.68</v>
      </c>
      <c r="F87" s="151" t="s">
        <v>8</v>
      </c>
      <c r="G87" s="100">
        <v>84.74</v>
      </c>
      <c r="H87" s="100">
        <v>20.96</v>
      </c>
      <c r="I87" s="100">
        <v>8.6300000000000008</v>
      </c>
      <c r="J87" s="100">
        <v>0.2</v>
      </c>
      <c r="K87" s="100">
        <v>186.78</v>
      </c>
      <c r="L87" s="100">
        <v>17.46</v>
      </c>
      <c r="M87" s="100">
        <v>70.959999999999994</v>
      </c>
      <c r="N87" s="100">
        <v>1.5</v>
      </c>
      <c r="O87" s="100">
        <v>0</v>
      </c>
      <c r="P87" s="100">
        <v>0.82</v>
      </c>
      <c r="Q87" s="100">
        <v>13.02</v>
      </c>
      <c r="R87" s="6"/>
      <c r="S87" s="6"/>
      <c r="T87" s="156"/>
      <c r="U87" s="6"/>
    </row>
    <row r="88" spans="1:21" customFormat="1">
      <c r="A88" s="163" t="s">
        <v>510</v>
      </c>
      <c r="B88" s="100">
        <v>12.86</v>
      </c>
      <c r="C88" s="100">
        <v>24.33</v>
      </c>
      <c r="D88" s="100">
        <v>24.37</v>
      </c>
      <c r="E88" s="100">
        <v>9.0299999999999994</v>
      </c>
      <c r="F88" s="151" t="s">
        <v>8</v>
      </c>
      <c r="G88" s="100">
        <v>84.74</v>
      </c>
      <c r="H88" s="100">
        <v>20.96</v>
      </c>
      <c r="I88" s="100">
        <v>8.81</v>
      </c>
      <c r="J88" s="100">
        <v>0.15</v>
      </c>
      <c r="K88" s="100">
        <v>185.02</v>
      </c>
      <c r="L88" s="100">
        <v>17.12</v>
      </c>
      <c r="M88" s="100">
        <v>72.069999999999993</v>
      </c>
      <c r="N88" s="100">
        <v>1.4</v>
      </c>
      <c r="O88" s="100">
        <v>0</v>
      </c>
      <c r="P88" s="100">
        <v>0.83</v>
      </c>
      <c r="Q88" s="100">
        <v>13.02</v>
      </c>
      <c r="R88" s="6"/>
      <c r="S88" s="6"/>
      <c r="T88" s="156"/>
      <c r="U88" s="6"/>
    </row>
    <row r="89" spans="1:21" customFormat="1">
      <c r="A89" s="163" t="s">
        <v>511</v>
      </c>
      <c r="B89" s="100">
        <v>13.13</v>
      </c>
      <c r="C89" s="100">
        <v>24.06</v>
      </c>
      <c r="D89" s="100">
        <v>24.45</v>
      </c>
      <c r="E89" s="100">
        <v>8.8699999999999992</v>
      </c>
      <c r="F89" s="151" t="s">
        <v>8</v>
      </c>
      <c r="G89" s="100">
        <v>83.73</v>
      </c>
      <c r="H89" s="100">
        <v>15.57</v>
      </c>
      <c r="I89" s="100">
        <v>8.99</v>
      </c>
      <c r="J89" s="100">
        <v>0.13</v>
      </c>
      <c r="K89" s="100">
        <v>168.29</v>
      </c>
      <c r="L89" s="100">
        <v>16.920000000000002</v>
      </c>
      <c r="M89" s="100">
        <v>70.650000000000006</v>
      </c>
      <c r="N89" s="100">
        <v>1.2</v>
      </c>
      <c r="O89" s="100">
        <v>0</v>
      </c>
      <c r="P89" s="100">
        <v>0.84</v>
      </c>
      <c r="Q89" s="100">
        <v>13.02</v>
      </c>
      <c r="R89" s="6"/>
      <c r="S89" s="6"/>
      <c r="T89" s="156"/>
      <c r="U89" s="6"/>
    </row>
    <row r="90" spans="1:21" customFormat="1">
      <c r="A90" s="163" t="s">
        <v>512</v>
      </c>
      <c r="B90" s="100">
        <v>13.12</v>
      </c>
      <c r="C90" s="100">
        <v>23.95</v>
      </c>
      <c r="D90" s="100">
        <v>24.39</v>
      </c>
      <c r="E90" s="100">
        <v>8.73</v>
      </c>
      <c r="F90" s="151" t="s">
        <v>8</v>
      </c>
      <c r="G90" s="100">
        <v>82.99</v>
      </c>
      <c r="H90" s="100">
        <v>13.98</v>
      </c>
      <c r="I90" s="100">
        <v>9.1300000000000008</v>
      </c>
      <c r="J90" s="100">
        <v>0.15</v>
      </c>
      <c r="K90" s="100">
        <v>195.02</v>
      </c>
      <c r="L90" s="100">
        <v>16.739999999999998</v>
      </c>
      <c r="M90" s="100">
        <v>68.459999999999994</v>
      </c>
      <c r="N90" s="100">
        <v>1.2</v>
      </c>
      <c r="O90" s="100">
        <v>0</v>
      </c>
      <c r="P90" s="100">
        <v>0.84</v>
      </c>
      <c r="Q90" s="100">
        <v>13.02</v>
      </c>
      <c r="R90" s="6"/>
      <c r="S90" s="6"/>
      <c r="T90" s="156"/>
      <c r="U90" s="6"/>
    </row>
    <row r="91" spans="1:21" customFormat="1">
      <c r="A91" s="163" t="s">
        <v>513</v>
      </c>
      <c r="B91" s="100">
        <v>12.98</v>
      </c>
      <c r="C91" s="100">
        <v>23.81</v>
      </c>
      <c r="D91" s="100">
        <v>24.2</v>
      </c>
      <c r="E91" s="100">
        <v>8.98</v>
      </c>
      <c r="F91" s="151" t="s">
        <v>8</v>
      </c>
      <c r="G91" s="100">
        <v>82.99</v>
      </c>
      <c r="H91" s="100">
        <v>13.98</v>
      </c>
      <c r="I91" s="100">
        <v>9.24</v>
      </c>
      <c r="J91" s="100">
        <v>0.2</v>
      </c>
      <c r="K91" s="100">
        <v>172</v>
      </c>
      <c r="L91" s="100">
        <v>16.52</v>
      </c>
      <c r="M91" s="100">
        <v>73.72</v>
      </c>
      <c r="N91" s="100">
        <v>1.2</v>
      </c>
      <c r="O91" s="100">
        <v>0</v>
      </c>
      <c r="P91" s="100">
        <v>0.85</v>
      </c>
      <c r="Q91" s="100">
        <v>13.01</v>
      </c>
      <c r="R91" s="6"/>
      <c r="S91" s="6"/>
      <c r="T91" s="156"/>
      <c r="U91" s="6"/>
    </row>
    <row r="92" spans="1:21" customFormat="1">
      <c r="A92" s="163" t="s">
        <v>514</v>
      </c>
      <c r="B92" s="100">
        <v>12.81</v>
      </c>
      <c r="C92" s="100">
        <v>23.73</v>
      </c>
      <c r="D92" s="100">
        <v>24.03</v>
      </c>
      <c r="E92" s="100">
        <v>8.57</v>
      </c>
      <c r="F92" s="151" t="s">
        <v>8</v>
      </c>
      <c r="G92" s="100">
        <v>82.99</v>
      </c>
      <c r="H92" s="100">
        <v>13.98</v>
      </c>
      <c r="I92" s="100">
        <v>9.32</v>
      </c>
      <c r="J92" s="100">
        <v>0.21</v>
      </c>
      <c r="K92" s="100">
        <v>167.76</v>
      </c>
      <c r="L92" s="100">
        <v>16.190000000000001</v>
      </c>
      <c r="M92" s="100">
        <v>74.959999999999994</v>
      </c>
      <c r="N92" s="100">
        <v>1.3</v>
      </c>
      <c r="O92" s="100">
        <v>0</v>
      </c>
      <c r="P92" s="100">
        <v>0.86</v>
      </c>
      <c r="Q92" s="100">
        <v>13.01</v>
      </c>
      <c r="R92" s="6"/>
      <c r="S92" s="6"/>
      <c r="T92" s="156"/>
      <c r="U92" s="6"/>
    </row>
    <row r="93" spans="1:21" customFormat="1">
      <c r="A93" s="163" t="s">
        <v>515</v>
      </c>
      <c r="B93" s="100">
        <v>12.71</v>
      </c>
      <c r="C93" s="100">
        <v>23.46</v>
      </c>
      <c r="D93" s="100">
        <v>23.81</v>
      </c>
      <c r="E93" s="100">
        <v>9.07</v>
      </c>
      <c r="F93" s="151" t="s">
        <v>8</v>
      </c>
      <c r="G93" s="100">
        <v>82.69</v>
      </c>
      <c r="H93" s="100">
        <v>17.55</v>
      </c>
      <c r="I93" s="100">
        <v>9.39</v>
      </c>
      <c r="J93" s="100">
        <v>0.15</v>
      </c>
      <c r="K93" s="100">
        <v>187.05</v>
      </c>
      <c r="L93" s="100">
        <v>16.329999999999998</v>
      </c>
      <c r="M93" s="100">
        <v>75.58</v>
      </c>
      <c r="N93" s="100">
        <v>1</v>
      </c>
      <c r="O93" s="100">
        <v>0</v>
      </c>
      <c r="P93" s="100">
        <v>0.82</v>
      </c>
      <c r="Q93" s="100">
        <v>13</v>
      </c>
      <c r="R93" s="6"/>
      <c r="S93" s="6"/>
      <c r="T93" s="156"/>
      <c r="U93" s="6"/>
    </row>
    <row r="94" spans="1:21" customFormat="1">
      <c r="A94" s="163" t="s">
        <v>516</v>
      </c>
      <c r="B94" s="100">
        <v>12.49</v>
      </c>
      <c r="C94" s="100">
        <v>23.21</v>
      </c>
      <c r="D94" s="100">
        <v>23.49</v>
      </c>
      <c r="E94" s="100">
        <v>9.07</v>
      </c>
      <c r="F94" s="151" t="s">
        <v>8</v>
      </c>
      <c r="G94" s="100">
        <v>82.47</v>
      </c>
      <c r="H94" s="100">
        <v>18.62</v>
      </c>
      <c r="I94" s="100">
        <v>9.42</v>
      </c>
      <c r="J94" s="100">
        <v>0.18</v>
      </c>
      <c r="K94" s="100">
        <v>168.07</v>
      </c>
      <c r="L94" s="100">
        <v>16.18</v>
      </c>
      <c r="M94" s="100">
        <v>76.91</v>
      </c>
      <c r="N94" s="100">
        <v>1.1000000000000001</v>
      </c>
      <c r="O94" s="100">
        <v>0</v>
      </c>
      <c r="P94" s="100">
        <v>0.8</v>
      </c>
      <c r="Q94" s="100">
        <v>13.01</v>
      </c>
      <c r="R94" s="6"/>
      <c r="S94" s="6"/>
      <c r="T94" s="156"/>
      <c r="U94" s="6"/>
    </row>
    <row r="95" spans="1:21" customFormat="1">
      <c r="A95" s="163" t="s">
        <v>517</v>
      </c>
      <c r="B95" s="100">
        <v>12.43</v>
      </c>
      <c r="C95" s="100">
        <v>23.15</v>
      </c>
      <c r="D95" s="100">
        <v>23.41</v>
      </c>
      <c r="E95" s="100">
        <v>8.8800000000000008</v>
      </c>
      <c r="F95" s="151" t="s">
        <v>8</v>
      </c>
      <c r="G95" s="100">
        <v>82.47</v>
      </c>
      <c r="H95" s="100">
        <v>18.62</v>
      </c>
      <c r="I95" s="100">
        <v>9.48</v>
      </c>
      <c r="J95" s="100">
        <v>0.16</v>
      </c>
      <c r="K95" s="100">
        <v>197.49</v>
      </c>
      <c r="L95" s="100">
        <v>15.99</v>
      </c>
      <c r="M95" s="100">
        <v>76.36</v>
      </c>
      <c r="N95" s="100">
        <v>1.1000000000000001</v>
      </c>
      <c r="O95" s="100">
        <v>0</v>
      </c>
      <c r="P95" s="100">
        <v>0.81</v>
      </c>
      <c r="Q95" s="100">
        <v>13</v>
      </c>
      <c r="R95" s="6"/>
      <c r="S95" s="6"/>
      <c r="T95" s="156"/>
      <c r="U95" s="6"/>
    </row>
    <row r="96" spans="1:21" customFormat="1">
      <c r="A96" s="163" t="s">
        <v>518</v>
      </c>
      <c r="B96" s="100">
        <v>12.33</v>
      </c>
      <c r="C96" s="100">
        <v>23.14</v>
      </c>
      <c r="D96" s="100">
        <v>23.33</v>
      </c>
      <c r="E96" s="100">
        <v>8.6</v>
      </c>
      <c r="F96" s="151" t="s">
        <v>8</v>
      </c>
      <c r="G96" s="100">
        <v>82.47</v>
      </c>
      <c r="H96" s="100">
        <v>18.62</v>
      </c>
      <c r="I96" s="100">
        <v>9.5500000000000007</v>
      </c>
      <c r="J96" s="100">
        <v>0.15</v>
      </c>
      <c r="K96" s="100">
        <v>216.89</v>
      </c>
      <c r="L96" s="100">
        <v>15.58</v>
      </c>
      <c r="M96" s="100">
        <v>75.790000000000006</v>
      </c>
      <c r="N96" s="100">
        <v>1.4</v>
      </c>
      <c r="O96" s="100">
        <v>0</v>
      </c>
      <c r="P96" s="100">
        <v>0.81</v>
      </c>
      <c r="Q96" s="100">
        <v>13</v>
      </c>
      <c r="R96" s="6"/>
      <c r="S96" s="6"/>
      <c r="T96" s="156"/>
      <c r="U96" s="6"/>
    </row>
    <row r="97" spans="1:28" customFormat="1">
      <c r="A97" s="163" t="s">
        <v>519</v>
      </c>
      <c r="B97" s="100">
        <v>12.23</v>
      </c>
      <c r="C97" s="100">
        <v>23.07</v>
      </c>
      <c r="D97" s="100">
        <v>23.21</v>
      </c>
      <c r="E97" s="100">
        <v>9.01</v>
      </c>
      <c r="F97" s="151" t="s">
        <v>8</v>
      </c>
      <c r="G97" s="100">
        <v>83.78</v>
      </c>
      <c r="H97" s="100">
        <v>18.61</v>
      </c>
      <c r="I97" s="100">
        <v>9.6300000000000008</v>
      </c>
      <c r="J97" s="100">
        <v>0.2</v>
      </c>
      <c r="K97" s="100">
        <v>155.59</v>
      </c>
      <c r="L97" s="100">
        <v>15.4</v>
      </c>
      <c r="M97" s="100">
        <v>79.58</v>
      </c>
      <c r="N97" s="100">
        <v>1.3</v>
      </c>
      <c r="O97" s="100">
        <v>0</v>
      </c>
      <c r="P97" s="100">
        <v>0.82</v>
      </c>
      <c r="Q97" s="100">
        <v>13.02</v>
      </c>
      <c r="R97" s="6"/>
      <c r="S97" s="6"/>
      <c r="T97" s="156"/>
      <c r="U97" s="6"/>
    </row>
    <row r="98" spans="1:28" customFormat="1">
      <c r="A98" s="163" t="s">
        <v>520</v>
      </c>
      <c r="B98" s="100">
        <v>12.25</v>
      </c>
      <c r="C98" s="100">
        <v>22.64</v>
      </c>
      <c r="D98" s="100">
        <v>23</v>
      </c>
      <c r="E98" s="100">
        <v>9.24</v>
      </c>
      <c r="F98" s="151" t="s">
        <v>8</v>
      </c>
      <c r="G98" s="100">
        <v>84.74</v>
      </c>
      <c r="H98" s="100">
        <v>18.61</v>
      </c>
      <c r="I98" s="100">
        <v>9.73</v>
      </c>
      <c r="J98" s="100">
        <v>0.16</v>
      </c>
      <c r="K98" s="100">
        <v>166.17</v>
      </c>
      <c r="L98" s="100">
        <v>15.32</v>
      </c>
      <c r="M98" s="100">
        <v>81.72</v>
      </c>
      <c r="N98" s="100">
        <v>1</v>
      </c>
      <c r="O98" s="100">
        <v>0</v>
      </c>
      <c r="P98" s="100">
        <v>0.83</v>
      </c>
      <c r="Q98" s="100">
        <v>13</v>
      </c>
      <c r="R98" s="6"/>
      <c r="S98" s="6"/>
      <c r="T98" s="156"/>
      <c r="U98" s="6"/>
    </row>
    <row r="99" spans="1:28" customFormat="1">
      <c r="A99" s="163" t="s">
        <v>521</v>
      </c>
      <c r="B99" s="100">
        <v>12.47</v>
      </c>
      <c r="C99" s="100">
        <v>22.39</v>
      </c>
      <c r="D99" s="100">
        <v>23.05</v>
      </c>
      <c r="E99" s="100">
        <v>8.94</v>
      </c>
      <c r="F99" s="151" t="s">
        <v>8</v>
      </c>
      <c r="G99" s="100">
        <v>84.74</v>
      </c>
      <c r="H99" s="100">
        <v>18.61</v>
      </c>
      <c r="I99" s="100">
        <v>9.86</v>
      </c>
      <c r="J99" s="100">
        <v>0.16</v>
      </c>
      <c r="K99" s="100">
        <v>189.63</v>
      </c>
      <c r="L99" s="100">
        <v>15.37</v>
      </c>
      <c r="M99" s="100">
        <v>81.73</v>
      </c>
      <c r="N99" s="100">
        <v>0.9</v>
      </c>
      <c r="O99" s="100">
        <v>0</v>
      </c>
      <c r="P99" s="100">
        <v>0.85</v>
      </c>
      <c r="Q99" s="100">
        <v>13</v>
      </c>
      <c r="R99" s="6"/>
      <c r="S99" s="6"/>
      <c r="T99" s="156"/>
      <c r="U99" s="6"/>
    </row>
    <row r="100" spans="1:28" customFormat="1">
      <c r="A100" s="163" t="s">
        <v>522</v>
      </c>
      <c r="B100" s="100">
        <v>12.95</v>
      </c>
      <c r="C100" s="100">
        <v>22.13</v>
      </c>
      <c r="D100" s="100">
        <v>23.3</v>
      </c>
      <c r="E100" s="100">
        <v>8.91</v>
      </c>
      <c r="F100" s="151" t="s">
        <v>8</v>
      </c>
      <c r="G100" s="100">
        <v>84.74</v>
      </c>
      <c r="H100" s="100">
        <v>18.61</v>
      </c>
      <c r="I100" s="100">
        <v>10.06</v>
      </c>
      <c r="J100" s="100">
        <v>0.18</v>
      </c>
      <c r="K100" s="100">
        <v>186.7</v>
      </c>
      <c r="L100" s="100">
        <v>15.3</v>
      </c>
      <c r="M100" s="100">
        <v>83.49</v>
      </c>
      <c r="N100" s="100">
        <v>1.1000000000000001</v>
      </c>
      <c r="O100" s="100">
        <v>0</v>
      </c>
      <c r="P100" s="100">
        <v>0.88</v>
      </c>
      <c r="Q100" s="100">
        <v>13.01</v>
      </c>
      <c r="R100" s="6"/>
      <c r="S100" s="6"/>
      <c r="T100" s="156"/>
      <c r="U100" s="6"/>
      <c r="AB100" s="161"/>
    </row>
    <row r="101" spans="1:28" customFormat="1">
      <c r="A101" s="163" t="s">
        <v>523</v>
      </c>
      <c r="B101" s="100">
        <v>13.35</v>
      </c>
      <c r="C101" s="100">
        <v>21.97</v>
      </c>
      <c r="D101" s="100">
        <v>23.53</v>
      </c>
      <c r="E101" s="100">
        <v>9.08</v>
      </c>
      <c r="F101" s="151" t="s">
        <v>8</v>
      </c>
      <c r="G101" s="100">
        <v>89.76</v>
      </c>
      <c r="H101" s="100">
        <v>21.76</v>
      </c>
      <c r="I101" s="100">
        <v>10.37</v>
      </c>
      <c r="J101" s="100">
        <v>0.19</v>
      </c>
      <c r="K101" s="100">
        <v>200.05</v>
      </c>
      <c r="L101" s="100">
        <v>15.06</v>
      </c>
      <c r="M101" s="100">
        <v>84.03</v>
      </c>
      <c r="N101" s="100">
        <v>1.2</v>
      </c>
      <c r="O101" s="100">
        <v>0</v>
      </c>
      <c r="P101" s="100">
        <v>0.91</v>
      </c>
      <c r="Q101" s="100">
        <v>13.03</v>
      </c>
      <c r="R101" s="6"/>
      <c r="S101" s="6"/>
      <c r="T101" s="156"/>
      <c r="U101" s="6"/>
    </row>
    <row r="102" spans="1:28" customFormat="1">
      <c r="A102" s="163" t="s">
        <v>524</v>
      </c>
      <c r="B102" s="100">
        <v>13.9</v>
      </c>
      <c r="C102" s="100">
        <v>21.9</v>
      </c>
      <c r="D102" s="100">
        <v>23.94</v>
      </c>
      <c r="E102" s="100">
        <v>8.9700000000000006</v>
      </c>
      <c r="F102" s="151" t="s">
        <v>8</v>
      </c>
      <c r="G102" s="100">
        <v>93.42</v>
      </c>
      <c r="H102" s="100">
        <v>22.69</v>
      </c>
      <c r="I102" s="100">
        <v>10.78</v>
      </c>
      <c r="J102" s="100">
        <v>0.14000000000000001</v>
      </c>
      <c r="K102" s="100">
        <v>175.28</v>
      </c>
      <c r="L102" s="100">
        <v>14.91</v>
      </c>
      <c r="M102" s="100">
        <v>82.64</v>
      </c>
      <c r="N102" s="100">
        <v>1.2</v>
      </c>
      <c r="O102" s="100">
        <v>0</v>
      </c>
      <c r="P102" s="100">
        <v>0.94</v>
      </c>
      <c r="Q102" s="100">
        <v>13.02</v>
      </c>
      <c r="R102" s="6"/>
      <c r="S102" s="6"/>
      <c r="T102" s="156"/>
      <c r="U102" s="6"/>
    </row>
    <row r="103" spans="1:28" customFormat="1">
      <c r="A103" s="163" t="s">
        <v>525</v>
      </c>
      <c r="B103" s="100">
        <v>14.84</v>
      </c>
      <c r="C103" s="100">
        <v>21.89</v>
      </c>
      <c r="D103" s="100">
        <v>24.69</v>
      </c>
      <c r="E103" s="100">
        <v>9.11</v>
      </c>
      <c r="F103" s="151" t="s">
        <v>8</v>
      </c>
      <c r="G103" s="100">
        <v>93.42</v>
      </c>
      <c r="H103" s="100">
        <v>22.69</v>
      </c>
      <c r="I103" s="100">
        <v>11.18</v>
      </c>
      <c r="J103" s="100">
        <v>0.12</v>
      </c>
      <c r="K103" s="100">
        <v>179.67</v>
      </c>
      <c r="L103" s="100">
        <v>14.77</v>
      </c>
      <c r="M103" s="100">
        <v>82.64</v>
      </c>
      <c r="N103" s="100">
        <v>1.1000000000000001</v>
      </c>
      <c r="O103" s="100">
        <v>0</v>
      </c>
      <c r="P103" s="100">
        <v>0.98</v>
      </c>
      <c r="Q103" s="100">
        <v>13.03</v>
      </c>
      <c r="R103" s="6"/>
      <c r="S103" s="6"/>
      <c r="T103" s="156"/>
      <c r="U103" s="6"/>
    </row>
    <row r="104" spans="1:28" customFormat="1">
      <c r="A104" s="163" t="s">
        <v>526</v>
      </c>
      <c r="B104" s="100">
        <v>16.57</v>
      </c>
      <c r="C104" s="100">
        <v>22.13</v>
      </c>
      <c r="D104" s="100">
        <v>26.2</v>
      </c>
      <c r="E104" s="100">
        <v>9.43</v>
      </c>
      <c r="F104" s="151" t="s">
        <v>8</v>
      </c>
      <c r="G104" s="100">
        <v>93.42</v>
      </c>
      <c r="H104" s="100">
        <v>22.69</v>
      </c>
      <c r="I104" s="100">
        <v>11.63</v>
      </c>
      <c r="J104" s="100">
        <v>0.2</v>
      </c>
      <c r="K104" s="100">
        <v>198.39</v>
      </c>
      <c r="L104" s="100">
        <v>14.95</v>
      </c>
      <c r="M104" s="100">
        <v>81.569999999999993</v>
      </c>
      <c r="N104" s="100">
        <v>1</v>
      </c>
      <c r="O104" s="100">
        <v>0</v>
      </c>
      <c r="P104" s="100">
        <v>1.02</v>
      </c>
      <c r="Q104" s="100">
        <v>13.02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4.3099999999999996</v>
      </c>
      <c r="C106" s="158">
        <f>MIN(C9:C104)</f>
        <v>18.18</v>
      </c>
      <c r="D106" s="158">
        <f t="shared" ref="D106:Q106" si="0">MIN(D9:D104)</f>
        <v>18.14</v>
      </c>
      <c r="E106" s="158">
        <f t="shared" si="0"/>
        <v>6</v>
      </c>
      <c r="F106" s="158">
        <f t="shared" si="0"/>
        <v>0</v>
      </c>
      <c r="G106" s="158">
        <f t="shared" si="0"/>
        <v>57.73</v>
      </c>
      <c r="H106" s="158">
        <f t="shared" si="0"/>
        <v>13.98</v>
      </c>
      <c r="I106" s="158">
        <f t="shared" si="0"/>
        <v>7.53</v>
      </c>
      <c r="J106" s="158">
        <f t="shared" si="0"/>
        <v>0</v>
      </c>
      <c r="K106" s="158">
        <f t="shared" si="0"/>
        <v>1.67</v>
      </c>
      <c r="L106" s="158">
        <f t="shared" si="0"/>
        <v>11.2</v>
      </c>
      <c r="M106" s="158">
        <f t="shared" si="0"/>
        <v>18.940000000000001</v>
      </c>
      <c r="N106" s="158">
        <f t="shared" si="0"/>
        <v>0.9</v>
      </c>
      <c r="O106" s="158">
        <f t="shared" si="0"/>
        <v>0</v>
      </c>
      <c r="P106" s="158">
        <f t="shared" si="0"/>
        <v>0.62</v>
      </c>
      <c r="Q106" s="158">
        <f t="shared" si="0"/>
        <v>12.96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42.8</v>
      </c>
      <c r="C107" s="157">
        <f t="shared" ref="C107:Q107" si="1">MAX(C9:C104)</f>
        <v>27.16</v>
      </c>
      <c r="D107" s="157">
        <f t="shared" si="1"/>
        <v>48.67</v>
      </c>
      <c r="E107" s="157">
        <f t="shared" si="1"/>
        <v>14.88</v>
      </c>
      <c r="F107" s="157">
        <f t="shared" si="1"/>
        <v>0</v>
      </c>
      <c r="G107" s="157">
        <f t="shared" si="1"/>
        <v>108.54</v>
      </c>
      <c r="H107" s="157">
        <f t="shared" si="1"/>
        <v>29.47</v>
      </c>
      <c r="I107" s="157">
        <f t="shared" si="1"/>
        <v>14.16</v>
      </c>
      <c r="J107" s="157">
        <f t="shared" si="1"/>
        <v>0.73</v>
      </c>
      <c r="K107" s="157">
        <f t="shared" si="1"/>
        <v>356.98</v>
      </c>
      <c r="L107" s="157">
        <f t="shared" si="1"/>
        <v>28.77</v>
      </c>
      <c r="M107" s="157">
        <f t="shared" si="1"/>
        <v>93.4</v>
      </c>
      <c r="N107" s="157">
        <f t="shared" si="1"/>
        <v>532</v>
      </c>
      <c r="O107" s="157">
        <f t="shared" si="1"/>
        <v>0</v>
      </c>
      <c r="P107" s="157">
        <f t="shared" si="1"/>
        <v>1.17</v>
      </c>
      <c r="Q107" s="157">
        <f t="shared" si="1"/>
        <v>13.11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17.402708333333333</v>
      </c>
      <c r="C108" s="158">
        <f t="shared" ref="C108:Q108" si="2">AVERAGE(C9:C104)</f>
        <v>23.037499999999998</v>
      </c>
      <c r="D108" s="158">
        <f t="shared" si="2"/>
        <v>27.343229166666664</v>
      </c>
      <c r="E108" s="158">
        <f t="shared" si="2"/>
        <v>8.6712500000000006</v>
      </c>
      <c r="F108" s="158" t="e">
        <f t="shared" si="2"/>
        <v>#DIV/0!</v>
      </c>
      <c r="G108" s="158">
        <f t="shared" si="2"/>
        <v>78.954583333333332</v>
      </c>
      <c r="H108" s="158">
        <f t="shared" si="2"/>
        <v>20.976562499999989</v>
      </c>
      <c r="I108" s="158">
        <f t="shared" si="2"/>
        <v>11.215416666666664</v>
      </c>
      <c r="J108" s="158">
        <f t="shared" si="2"/>
        <v>0.26229166666666665</v>
      </c>
      <c r="K108" s="158">
        <f t="shared" si="2"/>
        <v>160.13270833333334</v>
      </c>
      <c r="L108" s="158">
        <f t="shared" si="2"/>
        <v>19.025729166666668</v>
      </c>
      <c r="M108" s="158">
        <f t="shared" si="2"/>
        <v>58.763333333333314</v>
      </c>
      <c r="N108" s="158">
        <f t="shared" si="2"/>
        <v>94.282291666666694</v>
      </c>
      <c r="O108" s="158">
        <f t="shared" si="2"/>
        <v>0</v>
      </c>
      <c r="P108" s="158">
        <f t="shared" si="2"/>
        <v>0.84989583333333252</v>
      </c>
      <c r="Q108" s="158">
        <f t="shared" si="2"/>
        <v>13.023124999999999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10.74813006788345</v>
      </c>
      <c r="C109" s="158">
        <f t="shared" ref="C109:Q109" si="3">STDEV(C9:C104)</f>
        <v>2.2704272725634707</v>
      </c>
      <c r="D109" s="158">
        <f t="shared" si="3"/>
        <v>8.3756042352074456</v>
      </c>
      <c r="E109" s="158">
        <f t="shared" si="3"/>
        <v>1.6540917367801087</v>
      </c>
      <c r="F109" s="158" t="e">
        <f t="shared" si="3"/>
        <v>#DIV/0!</v>
      </c>
      <c r="G109" s="158">
        <f t="shared" si="3"/>
        <v>13.132363471625217</v>
      </c>
      <c r="H109" s="158">
        <f t="shared" si="3"/>
        <v>3.6881716560478104</v>
      </c>
      <c r="I109" s="158">
        <f t="shared" si="3"/>
        <v>2.3021015189406304</v>
      </c>
      <c r="J109" s="158">
        <f t="shared" si="3"/>
        <v>0.16137879053669907</v>
      </c>
      <c r="K109" s="158">
        <f t="shared" si="3"/>
        <v>83.411225377064952</v>
      </c>
      <c r="L109" s="158">
        <f t="shared" si="3"/>
        <v>5.9702350733568483</v>
      </c>
      <c r="M109" s="158">
        <f t="shared" si="3"/>
        <v>27.221726062550939</v>
      </c>
      <c r="N109" s="158">
        <f t="shared" si="3"/>
        <v>164.59812878311675</v>
      </c>
      <c r="O109" s="158">
        <f t="shared" si="3"/>
        <v>0</v>
      </c>
      <c r="P109" s="158">
        <f t="shared" si="3"/>
        <v>0.14442987583976377</v>
      </c>
      <c r="Q109" s="158">
        <f t="shared" si="3"/>
        <v>3.6456535043369265E-2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7"/>
  <sheetViews>
    <sheetView zoomScale="85" zoomScaleNormal="85" workbookViewId="0">
      <pane xSplit="1" ySplit="8" topLeftCell="B95" activePane="bottomRight" state="frozen"/>
      <selection pane="topRight"/>
      <selection pane="bottomLeft"/>
      <selection pane="bottomRight" activeCell="J106" sqref="J10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527</v>
      </c>
      <c r="B9" s="100">
        <v>33.020000000000003</v>
      </c>
      <c r="C9" s="100">
        <v>28.26</v>
      </c>
      <c r="D9" s="100">
        <v>42.6</v>
      </c>
      <c r="E9" s="100">
        <v>9.4600000000000009</v>
      </c>
      <c r="F9" s="152" t="s">
        <v>15</v>
      </c>
      <c r="G9" s="100">
        <v>135.36000000000001</v>
      </c>
      <c r="H9" s="100">
        <v>35.299999999999997</v>
      </c>
      <c r="I9" s="100">
        <v>14.81</v>
      </c>
      <c r="J9" s="100">
        <v>0.14000000000000001</v>
      </c>
      <c r="K9" s="100">
        <v>213.15</v>
      </c>
      <c r="L9" s="100">
        <v>13.6</v>
      </c>
      <c r="M9" s="100">
        <v>78.069999999999993</v>
      </c>
      <c r="N9" s="100">
        <v>1.3</v>
      </c>
      <c r="O9" s="100">
        <v>0</v>
      </c>
      <c r="P9" s="100">
        <v>1.22</v>
      </c>
      <c r="Q9" s="100">
        <v>11.25</v>
      </c>
      <c r="R9" s="6"/>
      <c r="S9" s="6"/>
      <c r="T9" s="156"/>
      <c r="U9" s="6"/>
    </row>
    <row r="10" spans="1:21" customFormat="1">
      <c r="A10" s="163" t="s">
        <v>528</v>
      </c>
      <c r="B10" s="100">
        <v>35.18</v>
      </c>
      <c r="C10" s="100">
        <v>28.25</v>
      </c>
      <c r="D10" s="100">
        <v>44.32</v>
      </c>
      <c r="E10" s="100">
        <v>9.61</v>
      </c>
      <c r="F10" s="152" t="s">
        <v>15</v>
      </c>
      <c r="G10" s="100">
        <v>146.88999999999999</v>
      </c>
      <c r="H10" s="100">
        <v>35.79</v>
      </c>
      <c r="I10" s="100">
        <v>15.06</v>
      </c>
      <c r="J10" s="100">
        <v>0.13</v>
      </c>
      <c r="K10" s="100">
        <v>179.03</v>
      </c>
      <c r="L10" s="100">
        <v>13.19</v>
      </c>
      <c r="M10" s="100">
        <v>83.39</v>
      </c>
      <c r="N10" s="100">
        <v>1.4</v>
      </c>
      <c r="O10" s="100">
        <v>0</v>
      </c>
      <c r="P10" s="100">
        <v>1.23</v>
      </c>
      <c r="Q10" s="100">
        <v>11.25</v>
      </c>
      <c r="R10" s="6"/>
      <c r="S10" s="6"/>
      <c r="T10" s="156"/>
      <c r="U10" s="6"/>
    </row>
    <row r="11" spans="1:21" customFormat="1">
      <c r="A11" s="163" t="s">
        <v>529</v>
      </c>
      <c r="B11" s="100">
        <v>37.380000000000003</v>
      </c>
      <c r="C11" s="100">
        <v>28.01</v>
      </c>
      <c r="D11" s="100">
        <v>45.96</v>
      </c>
      <c r="E11" s="100">
        <v>9.89</v>
      </c>
      <c r="F11" s="152" t="s">
        <v>15</v>
      </c>
      <c r="G11" s="100">
        <v>146.88999999999999</v>
      </c>
      <c r="H11" s="100">
        <v>35.79</v>
      </c>
      <c r="I11" s="100">
        <v>15.33</v>
      </c>
      <c r="J11" s="100">
        <v>0.14000000000000001</v>
      </c>
      <c r="K11" s="100">
        <v>174.25</v>
      </c>
      <c r="L11" s="100">
        <v>13.09</v>
      </c>
      <c r="M11" s="100">
        <v>83.29</v>
      </c>
      <c r="N11" s="100">
        <v>1.1000000000000001</v>
      </c>
      <c r="O11" s="100">
        <v>0</v>
      </c>
      <c r="P11" s="100">
        <v>1.25</v>
      </c>
      <c r="Q11" s="100">
        <v>11.25</v>
      </c>
      <c r="R11" s="6"/>
      <c r="S11" s="6"/>
      <c r="T11" s="156"/>
      <c r="U11" s="6"/>
    </row>
    <row r="12" spans="1:21" customFormat="1">
      <c r="A12" s="163" t="s">
        <v>530</v>
      </c>
      <c r="B12" s="100">
        <v>39.53</v>
      </c>
      <c r="C12" s="100">
        <v>27.91</v>
      </c>
      <c r="D12" s="100">
        <v>47.63</v>
      </c>
      <c r="E12" s="100">
        <v>9.5</v>
      </c>
      <c r="F12" s="152" t="s">
        <v>15</v>
      </c>
      <c r="G12" s="100">
        <v>146.88999999999999</v>
      </c>
      <c r="H12" s="100">
        <v>35.79</v>
      </c>
      <c r="I12" s="100">
        <v>15.54</v>
      </c>
      <c r="J12" s="100">
        <v>0.14000000000000001</v>
      </c>
      <c r="K12" s="100">
        <v>170.48</v>
      </c>
      <c r="L12" s="100">
        <v>13.02</v>
      </c>
      <c r="M12" s="100">
        <v>83.6</v>
      </c>
      <c r="N12" s="100">
        <v>1.1000000000000001</v>
      </c>
      <c r="O12" s="100">
        <v>0</v>
      </c>
      <c r="P12" s="100">
        <v>1.26</v>
      </c>
      <c r="Q12" s="100">
        <v>11.25</v>
      </c>
      <c r="R12" s="6"/>
      <c r="S12" s="6"/>
      <c r="T12" s="156"/>
      <c r="U12" s="6"/>
    </row>
    <row r="13" spans="1:21" customFormat="1">
      <c r="A13" s="163" t="s">
        <v>531</v>
      </c>
      <c r="B13" s="100">
        <v>40.909999999999997</v>
      </c>
      <c r="C13" s="100">
        <v>27.73</v>
      </c>
      <c r="D13" s="100">
        <v>48.65</v>
      </c>
      <c r="E13" s="100">
        <v>9.44</v>
      </c>
      <c r="F13" s="152" t="s">
        <v>15</v>
      </c>
      <c r="G13" s="100">
        <v>134.05000000000001</v>
      </c>
      <c r="H13" s="100">
        <v>36.770000000000003</v>
      </c>
      <c r="I13" s="100">
        <v>15.73</v>
      </c>
      <c r="J13" s="100">
        <v>0.19</v>
      </c>
      <c r="K13" s="100">
        <v>167.78</v>
      </c>
      <c r="L13" s="100">
        <v>12.85</v>
      </c>
      <c r="M13" s="100">
        <v>86.21</v>
      </c>
      <c r="N13" s="100">
        <v>1.2</v>
      </c>
      <c r="O13" s="100">
        <v>0</v>
      </c>
      <c r="P13" s="100">
        <v>1.25</v>
      </c>
      <c r="Q13" s="100">
        <v>11.25</v>
      </c>
      <c r="R13" s="6"/>
      <c r="S13" s="6"/>
      <c r="T13" s="156"/>
      <c r="U13" s="6"/>
    </row>
    <row r="14" spans="1:21" customFormat="1">
      <c r="A14" s="163" t="s">
        <v>532</v>
      </c>
      <c r="B14" s="100">
        <v>41.83</v>
      </c>
      <c r="C14" s="100">
        <v>27.29</v>
      </c>
      <c r="D14" s="100">
        <v>49.15</v>
      </c>
      <c r="E14" s="100">
        <v>10.06</v>
      </c>
      <c r="F14" s="152" t="s">
        <v>15</v>
      </c>
      <c r="G14" s="100">
        <v>124.23</v>
      </c>
      <c r="H14" s="100">
        <v>37.520000000000003</v>
      </c>
      <c r="I14" s="100">
        <v>15.94</v>
      </c>
      <c r="J14" s="100">
        <v>0.28000000000000003</v>
      </c>
      <c r="K14" s="100">
        <v>184.08</v>
      </c>
      <c r="L14" s="100">
        <v>12.5</v>
      </c>
      <c r="M14" s="100">
        <v>86.86</v>
      </c>
      <c r="N14" s="100">
        <v>1.4</v>
      </c>
      <c r="O14" s="100">
        <v>0</v>
      </c>
      <c r="P14" s="100">
        <v>1.22</v>
      </c>
      <c r="Q14" s="100">
        <v>11.25</v>
      </c>
      <c r="R14" s="6"/>
      <c r="S14" s="6"/>
      <c r="T14" s="156"/>
      <c r="U14" s="6"/>
    </row>
    <row r="15" spans="1:21" customFormat="1">
      <c r="A15" s="163" t="s">
        <v>533</v>
      </c>
      <c r="B15" s="100">
        <v>42.36</v>
      </c>
      <c r="C15" s="100">
        <v>27.29</v>
      </c>
      <c r="D15" s="100">
        <v>49.58</v>
      </c>
      <c r="E15" s="100">
        <v>9.6199999999999992</v>
      </c>
      <c r="F15" s="152" t="s">
        <v>15</v>
      </c>
      <c r="G15" s="100">
        <v>124.23</v>
      </c>
      <c r="H15" s="100">
        <v>37.520000000000003</v>
      </c>
      <c r="I15" s="100">
        <v>16.09</v>
      </c>
      <c r="J15" s="100">
        <v>7.0000000000000007E-2</v>
      </c>
      <c r="K15" s="100">
        <v>173.76</v>
      </c>
      <c r="L15" s="100">
        <v>12.28</v>
      </c>
      <c r="M15" s="100">
        <v>84.27</v>
      </c>
      <c r="N15" s="100">
        <v>1.2</v>
      </c>
      <c r="O15" s="100">
        <v>0</v>
      </c>
      <c r="P15" s="100">
        <v>1.22</v>
      </c>
      <c r="Q15" s="100">
        <v>11.25</v>
      </c>
      <c r="R15" s="6"/>
      <c r="S15" s="6"/>
      <c r="T15" s="156"/>
      <c r="U15" s="6"/>
    </row>
    <row r="16" spans="1:21" customFormat="1">
      <c r="A16" s="163" t="s">
        <v>534</v>
      </c>
      <c r="B16" s="100">
        <v>43</v>
      </c>
      <c r="C16" s="100">
        <v>26.97</v>
      </c>
      <c r="D16" s="100">
        <v>49.93</v>
      </c>
      <c r="E16" s="100">
        <v>9.6300000000000008</v>
      </c>
      <c r="F16" s="152" t="s">
        <v>15</v>
      </c>
      <c r="G16" s="100">
        <v>124.23</v>
      </c>
      <c r="H16" s="100">
        <v>37.520000000000003</v>
      </c>
      <c r="I16" s="100">
        <v>16.23</v>
      </c>
      <c r="J16" s="100">
        <v>0.09</v>
      </c>
      <c r="K16" s="100">
        <v>190.22</v>
      </c>
      <c r="L16" s="100">
        <v>12.5</v>
      </c>
      <c r="M16" s="100">
        <v>81.17</v>
      </c>
      <c r="N16" s="100">
        <v>0.9</v>
      </c>
      <c r="O16" s="100">
        <v>0</v>
      </c>
      <c r="P16" s="100">
        <v>1.23</v>
      </c>
      <c r="Q16" s="100">
        <v>11.25</v>
      </c>
      <c r="R16" s="6"/>
      <c r="S16" s="6"/>
      <c r="T16" s="156"/>
      <c r="U16" s="6"/>
    </row>
    <row r="17" spans="1:21" customFormat="1">
      <c r="A17" s="163" t="s">
        <v>535</v>
      </c>
      <c r="B17" s="100">
        <v>45.41</v>
      </c>
      <c r="C17" s="100">
        <v>27.13</v>
      </c>
      <c r="D17" s="100">
        <v>51.94</v>
      </c>
      <c r="E17" s="100">
        <v>8.3000000000000007</v>
      </c>
      <c r="F17" s="152" t="s">
        <v>15</v>
      </c>
      <c r="G17" s="100">
        <v>120.51</v>
      </c>
      <c r="H17" s="100">
        <v>34.200000000000003</v>
      </c>
      <c r="I17" s="100">
        <v>16.38</v>
      </c>
      <c r="J17" s="100">
        <v>0.11</v>
      </c>
      <c r="K17" s="100">
        <v>183.74</v>
      </c>
      <c r="L17" s="100">
        <v>12.58</v>
      </c>
      <c r="M17" s="100">
        <v>80.63</v>
      </c>
      <c r="N17" s="100">
        <v>1</v>
      </c>
      <c r="O17" s="100">
        <v>0</v>
      </c>
      <c r="P17" s="100">
        <v>1.22</v>
      </c>
      <c r="Q17" s="100">
        <v>11.25</v>
      </c>
      <c r="R17" s="6"/>
      <c r="S17" s="6"/>
      <c r="T17" s="156"/>
      <c r="U17" s="6"/>
    </row>
    <row r="18" spans="1:21" customFormat="1">
      <c r="A18" s="163" t="s">
        <v>536</v>
      </c>
      <c r="B18" s="100">
        <v>48.93</v>
      </c>
      <c r="C18" s="100">
        <v>27.63</v>
      </c>
      <c r="D18" s="100">
        <v>55.03</v>
      </c>
      <c r="E18" s="100">
        <v>10.050000000000001</v>
      </c>
      <c r="F18" s="152" t="s">
        <v>15</v>
      </c>
      <c r="G18" s="100">
        <v>117.67</v>
      </c>
      <c r="H18" s="100">
        <v>33.14</v>
      </c>
      <c r="I18" s="100">
        <v>16.55</v>
      </c>
      <c r="J18" s="100">
        <v>0.09</v>
      </c>
      <c r="K18" s="100">
        <v>168.38</v>
      </c>
      <c r="L18" s="100">
        <v>12.45</v>
      </c>
      <c r="M18" s="100">
        <v>80.75</v>
      </c>
      <c r="N18" s="100">
        <v>1</v>
      </c>
      <c r="O18" s="100">
        <v>0</v>
      </c>
      <c r="P18" s="100">
        <v>1.23</v>
      </c>
      <c r="Q18" s="100">
        <v>11.25</v>
      </c>
      <c r="R18" s="6"/>
      <c r="S18" s="6"/>
      <c r="T18" s="156"/>
      <c r="U18" s="6"/>
    </row>
    <row r="19" spans="1:21" customFormat="1">
      <c r="A19" s="163" t="s">
        <v>537</v>
      </c>
      <c r="B19" s="100">
        <v>52.85</v>
      </c>
      <c r="C19" s="100">
        <v>28.17</v>
      </c>
      <c r="D19" s="100">
        <v>58.45</v>
      </c>
      <c r="E19" s="100">
        <v>10.02</v>
      </c>
      <c r="F19" s="152" t="s">
        <v>15</v>
      </c>
      <c r="G19" s="100">
        <v>117.67</v>
      </c>
      <c r="H19" s="100">
        <v>33.14</v>
      </c>
      <c r="I19" s="100">
        <v>16.72</v>
      </c>
      <c r="J19" s="100">
        <v>0.16</v>
      </c>
      <c r="K19" s="100">
        <v>90.44</v>
      </c>
      <c r="L19" s="100">
        <v>12.64</v>
      </c>
      <c r="M19" s="100">
        <v>79.81</v>
      </c>
      <c r="N19" s="100">
        <v>0.9</v>
      </c>
      <c r="O19" s="100">
        <v>0</v>
      </c>
      <c r="P19" s="100">
        <v>1.24</v>
      </c>
      <c r="Q19" s="100">
        <v>11.25</v>
      </c>
      <c r="R19" s="6"/>
      <c r="S19" s="6"/>
      <c r="T19" s="156"/>
      <c r="U19" s="6"/>
    </row>
    <row r="20" spans="1:21" customFormat="1">
      <c r="A20" s="163" t="s">
        <v>538</v>
      </c>
      <c r="B20" s="100">
        <v>56.07</v>
      </c>
      <c r="C20" s="100">
        <v>28.38</v>
      </c>
      <c r="D20" s="100">
        <v>61.14</v>
      </c>
      <c r="E20" s="100">
        <v>9.7799999999999994</v>
      </c>
      <c r="F20" s="152" t="s">
        <v>15</v>
      </c>
      <c r="G20" s="100">
        <v>117.67</v>
      </c>
      <c r="H20" s="100">
        <v>33.14</v>
      </c>
      <c r="I20" s="100">
        <v>16.84</v>
      </c>
      <c r="J20" s="100">
        <v>0.12</v>
      </c>
      <c r="K20" s="100">
        <v>112.55</v>
      </c>
      <c r="L20" s="100">
        <v>12.87</v>
      </c>
      <c r="M20" s="100">
        <v>77.59</v>
      </c>
      <c r="N20" s="100">
        <v>0.9</v>
      </c>
      <c r="O20" s="100">
        <v>0</v>
      </c>
      <c r="P20" s="100">
        <v>1.24</v>
      </c>
      <c r="Q20" s="100">
        <v>11.25</v>
      </c>
      <c r="R20" s="6"/>
      <c r="S20" s="6"/>
      <c r="T20" s="156"/>
      <c r="U20" s="6"/>
    </row>
    <row r="21" spans="1:21" customFormat="1">
      <c r="A21" s="163" t="s">
        <v>539</v>
      </c>
      <c r="B21" s="100">
        <v>57</v>
      </c>
      <c r="C21" s="100">
        <v>28.41</v>
      </c>
      <c r="D21" s="100">
        <v>61.91</v>
      </c>
      <c r="E21" s="100">
        <v>9.68</v>
      </c>
      <c r="F21" s="152" t="s">
        <v>15</v>
      </c>
      <c r="G21" s="100">
        <v>120.78</v>
      </c>
      <c r="H21" s="100">
        <v>35.380000000000003</v>
      </c>
      <c r="I21" s="100">
        <v>16.98</v>
      </c>
      <c r="J21" s="100">
        <v>0.17</v>
      </c>
      <c r="K21" s="100">
        <v>182.55</v>
      </c>
      <c r="L21" s="100">
        <v>12.73</v>
      </c>
      <c r="M21" s="100">
        <v>80.73</v>
      </c>
      <c r="N21" s="100">
        <v>1.2</v>
      </c>
      <c r="O21" s="100">
        <v>0</v>
      </c>
      <c r="P21" s="100">
        <v>1.25</v>
      </c>
      <c r="Q21" s="100">
        <v>11.25</v>
      </c>
      <c r="R21" s="6"/>
      <c r="S21" s="6"/>
      <c r="T21" s="156"/>
      <c r="U21" s="6"/>
    </row>
    <row r="22" spans="1:21" customFormat="1">
      <c r="A22" s="163" t="s">
        <v>540</v>
      </c>
      <c r="B22" s="100">
        <v>57.2</v>
      </c>
      <c r="C22" s="100">
        <v>28.24</v>
      </c>
      <c r="D22" s="100">
        <v>61.98</v>
      </c>
      <c r="E22" s="100">
        <v>10.07</v>
      </c>
      <c r="F22" s="152" t="s">
        <v>15</v>
      </c>
      <c r="G22" s="100">
        <v>123.06</v>
      </c>
      <c r="H22" s="100">
        <v>36.1</v>
      </c>
      <c r="I22" s="100">
        <v>17.2</v>
      </c>
      <c r="J22" s="100">
        <v>0.12</v>
      </c>
      <c r="K22" s="100">
        <v>126.39</v>
      </c>
      <c r="L22" s="100">
        <v>12.43</v>
      </c>
      <c r="M22" s="100">
        <v>83.52</v>
      </c>
      <c r="N22" s="100">
        <v>1.1000000000000001</v>
      </c>
      <c r="O22" s="100">
        <v>0</v>
      </c>
      <c r="P22" s="100">
        <v>1.25</v>
      </c>
      <c r="Q22" s="100">
        <v>11.25</v>
      </c>
      <c r="R22" s="6"/>
      <c r="S22" s="6"/>
      <c r="T22" s="156"/>
      <c r="U22" s="6"/>
    </row>
    <row r="23" spans="1:21" customFormat="1">
      <c r="A23" s="163" t="s">
        <v>541</v>
      </c>
      <c r="B23" s="100">
        <v>57.37</v>
      </c>
      <c r="C23" s="100">
        <v>27.98</v>
      </c>
      <c r="D23" s="100">
        <v>61.98</v>
      </c>
      <c r="E23" s="100">
        <v>10</v>
      </c>
      <c r="F23" s="152" t="s">
        <v>15</v>
      </c>
      <c r="G23" s="100">
        <v>123.06</v>
      </c>
      <c r="H23" s="100">
        <v>36.1</v>
      </c>
      <c r="I23" s="100">
        <v>17.399999999999999</v>
      </c>
      <c r="J23" s="100">
        <v>0.15</v>
      </c>
      <c r="K23" s="100">
        <v>57.33</v>
      </c>
      <c r="L23" s="100">
        <v>12.96</v>
      </c>
      <c r="M23" s="100">
        <v>73.92</v>
      </c>
      <c r="N23" s="100">
        <v>0.6</v>
      </c>
      <c r="O23" s="100">
        <v>0</v>
      </c>
      <c r="P23" s="100">
        <v>1.24</v>
      </c>
      <c r="Q23" s="100">
        <v>11.25</v>
      </c>
      <c r="R23" s="6"/>
      <c r="S23" s="6"/>
      <c r="T23" s="156"/>
      <c r="U23" s="6"/>
    </row>
    <row r="24" spans="1:21" customFormat="1">
      <c r="A24" s="163" t="s">
        <v>542</v>
      </c>
      <c r="B24" s="100">
        <v>56.43</v>
      </c>
      <c r="C24" s="100">
        <v>27.81</v>
      </c>
      <c r="D24" s="100">
        <v>61.13</v>
      </c>
      <c r="E24" s="100">
        <v>9.43</v>
      </c>
      <c r="F24" s="152" t="s">
        <v>15</v>
      </c>
      <c r="G24" s="100">
        <v>123.06</v>
      </c>
      <c r="H24" s="100">
        <v>36.1</v>
      </c>
      <c r="I24" s="100">
        <v>17.55</v>
      </c>
      <c r="J24" s="100">
        <v>0.12</v>
      </c>
      <c r="K24" s="100">
        <v>152.36000000000001</v>
      </c>
      <c r="L24" s="100">
        <v>12.91</v>
      </c>
      <c r="M24" s="100">
        <v>75.23</v>
      </c>
      <c r="N24" s="100">
        <v>1.1000000000000001</v>
      </c>
      <c r="O24" s="100">
        <v>0</v>
      </c>
      <c r="P24" s="100">
        <v>1.26</v>
      </c>
      <c r="Q24" s="100">
        <v>11.25</v>
      </c>
      <c r="R24" s="6"/>
      <c r="S24" s="6"/>
      <c r="T24" s="156"/>
      <c r="U24" s="6"/>
    </row>
    <row r="25" spans="1:21" customFormat="1">
      <c r="A25" s="163" t="s">
        <v>543</v>
      </c>
      <c r="B25" s="100">
        <v>54.71</v>
      </c>
      <c r="C25" s="100">
        <v>27.67</v>
      </c>
      <c r="D25" s="100">
        <v>59.68</v>
      </c>
      <c r="E25" s="100">
        <v>9.6</v>
      </c>
      <c r="F25" s="152" t="s">
        <v>15</v>
      </c>
      <c r="G25" s="100">
        <v>120.61</v>
      </c>
      <c r="H25" s="100">
        <v>38.94</v>
      </c>
      <c r="I25" s="100">
        <v>17.72</v>
      </c>
      <c r="J25" s="100">
        <v>0.12</v>
      </c>
      <c r="K25" s="100">
        <v>174.6</v>
      </c>
      <c r="L25" s="100">
        <v>12.03</v>
      </c>
      <c r="M25" s="100">
        <v>85.25</v>
      </c>
      <c r="N25" s="100">
        <v>1.8</v>
      </c>
      <c r="O25" s="100">
        <v>0</v>
      </c>
      <c r="P25" s="100">
        <v>1.26</v>
      </c>
      <c r="Q25" s="100">
        <v>11.25</v>
      </c>
      <c r="R25" s="6"/>
      <c r="S25" s="6"/>
      <c r="T25" s="156"/>
      <c r="U25" s="6"/>
    </row>
    <row r="26" spans="1:21" customFormat="1">
      <c r="A26" s="163" t="s">
        <v>544</v>
      </c>
      <c r="B26" s="100">
        <v>53.19</v>
      </c>
      <c r="C26" s="100">
        <v>27.33</v>
      </c>
      <c r="D26" s="100">
        <v>58.28</v>
      </c>
      <c r="E26" s="100">
        <v>9.4</v>
      </c>
      <c r="F26" s="152" t="s">
        <v>15</v>
      </c>
      <c r="G26" s="100">
        <v>118.83</v>
      </c>
      <c r="H26" s="100">
        <v>39.79</v>
      </c>
      <c r="I26" s="100">
        <v>17.86</v>
      </c>
      <c r="J26" s="100">
        <v>0.28999999999999998</v>
      </c>
      <c r="K26" s="100">
        <v>167.64</v>
      </c>
      <c r="L26" s="100">
        <v>11.82</v>
      </c>
      <c r="M26" s="100">
        <v>84.44</v>
      </c>
      <c r="N26" s="100">
        <v>1.3</v>
      </c>
      <c r="O26" s="100">
        <v>0</v>
      </c>
      <c r="P26" s="100">
        <v>1.26</v>
      </c>
      <c r="Q26" s="100">
        <v>11.25</v>
      </c>
      <c r="R26" s="6"/>
      <c r="S26" s="6"/>
      <c r="T26" s="156"/>
      <c r="U26" s="6"/>
    </row>
    <row r="27" spans="1:21" customFormat="1">
      <c r="A27" s="163" t="s">
        <v>545</v>
      </c>
      <c r="B27" s="100">
        <v>51.84</v>
      </c>
      <c r="C27" s="100">
        <v>26.88</v>
      </c>
      <c r="D27" s="100">
        <v>56.96</v>
      </c>
      <c r="E27" s="100">
        <v>9.6199999999999992</v>
      </c>
      <c r="F27" s="152" t="s">
        <v>15</v>
      </c>
      <c r="G27" s="100">
        <v>118.83</v>
      </c>
      <c r="H27" s="100">
        <v>39.79</v>
      </c>
      <c r="I27" s="100">
        <v>17.920000000000002</v>
      </c>
      <c r="J27" s="100">
        <v>0.21</v>
      </c>
      <c r="K27" s="100">
        <v>198</v>
      </c>
      <c r="L27" s="100">
        <v>11.17</v>
      </c>
      <c r="M27" s="100">
        <v>87.13</v>
      </c>
      <c r="N27" s="100">
        <v>1.7</v>
      </c>
      <c r="O27" s="100">
        <v>0</v>
      </c>
      <c r="P27" s="100">
        <v>1.26</v>
      </c>
      <c r="Q27" s="100">
        <v>11.25</v>
      </c>
      <c r="R27" s="6"/>
      <c r="S27" s="6"/>
      <c r="T27" s="156"/>
      <c r="U27" s="6"/>
    </row>
    <row r="28" spans="1:21" customFormat="1">
      <c r="A28" s="163" t="s">
        <v>546</v>
      </c>
      <c r="B28" s="100">
        <v>49.66</v>
      </c>
      <c r="C28" s="100">
        <v>26.44</v>
      </c>
      <c r="D28" s="100">
        <v>54.99</v>
      </c>
      <c r="E28" s="100">
        <v>9.4700000000000006</v>
      </c>
      <c r="F28" s="152" t="s">
        <v>15</v>
      </c>
      <c r="G28" s="100">
        <v>118.83</v>
      </c>
      <c r="H28" s="100">
        <v>39.79</v>
      </c>
      <c r="I28" s="100">
        <v>18</v>
      </c>
      <c r="J28" s="100">
        <v>0.08</v>
      </c>
      <c r="K28" s="100">
        <v>190.19</v>
      </c>
      <c r="L28" s="100">
        <v>10.85</v>
      </c>
      <c r="M28" s="100">
        <v>88.09</v>
      </c>
      <c r="N28" s="100">
        <v>1.3</v>
      </c>
      <c r="O28" s="100">
        <v>0</v>
      </c>
      <c r="P28" s="100">
        <v>1.25</v>
      </c>
      <c r="Q28" s="100">
        <v>11.25</v>
      </c>
      <c r="R28" s="6"/>
      <c r="S28" s="6"/>
      <c r="T28" s="156"/>
      <c r="U28" s="6"/>
    </row>
    <row r="29" spans="1:21" customFormat="1">
      <c r="A29" s="163" t="s">
        <v>547</v>
      </c>
      <c r="B29" s="100">
        <v>47.88</v>
      </c>
      <c r="C29" s="100">
        <v>26.25</v>
      </c>
      <c r="D29" s="100">
        <v>53.46</v>
      </c>
      <c r="E29" s="100">
        <v>9.25</v>
      </c>
      <c r="F29" s="152" t="s">
        <v>15</v>
      </c>
      <c r="G29" s="100">
        <v>119.32</v>
      </c>
      <c r="H29" s="100">
        <v>37.83</v>
      </c>
      <c r="I29" s="100">
        <v>18.07</v>
      </c>
      <c r="J29" s="100">
        <v>0.18</v>
      </c>
      <c r="K29" s="100">
        <v>206.28</v>
      </c>
      <c r="L29" s="100">
        <v>11.09</v>
      </c>
      <c r="M29" s="100">
        <v>85.47</v>
      </c>
      <c r="N29" s="100">
        <v>0.9</v>
      </c>
      <c r="O29" s="100">
        <v>0</v>
      </c>
      <c r="P29" s="100">
        <v>1.23</v>
      </c>
      <c r="Q29" s="100">
        <v>11.25</v>
      </c>
      <c r="R29" s="6"/>
      <c r="S29" s="6"/>
      <c r="T29" s="156"/>
      <c r="U29" s="6"/>
    </row>
    <row r="30" spans="1:21" customFormat="1">
      <c r="A30" s="163" t="s">
        <v>548</v>
      </c>
      <c r="B30" s="100">
        <v>46.68</v>
      </c>
      <c r="C30" s="100">
        <v>26.11</v>
      </c>
      <c r="D30" s="100">
        <v>52.42</v>
      </c>
      <c r="E30" s="100">
        <v>9.56</v>
      </c>
      <c r="F30" s="152" t="s">
        <v>15</v>
      </c>
      <c r="G30" s="100">
        <v>119.68</v>
      </c>
      <c r="H30" s="100">
        <v>37.200000000000003</v>
      </c>
      <c r="I30" s="100">
        <v>17.98</v>
      </c>
      <c r="J30" s="100">
        <v>0.08</v>
      </c>
      <c r="K30" s="100">
        <v>55.55</v>
      </c>
      <c r="L30" s="100">
        <v>10.97</v>
      </c>
      <c r="M30" s="100">
        <v>86.58</v>
      </c>
      <c r="N30" s="100">
        <v>1</v>
      </c>
      <c r="O30" s="100">
        <v>0</v>
      </c>
      <c r="P30" s="100">
        <v>1.23</v>
      </c>
      <c r="Q30" s="100">
        <v>11.25</v>
      </c>
      <c r="R30" s="6"/>
      <c r="S30" s="6"/>
      <c r="T30" s="156"/>
      <c r="U30" s="6"/>
    </row>
    <row r="31" spans="1:21" customFormat="1">
      <c r="A31" s="163" t="s">
        <v>549</v>
      </c>
      <c r="B31" s="100">
        <v>48.79</v>
      </c>
      <c r="C31" s="100">
        <v>26.33</v>
      </c>
      <c r="D31" s="100">
        <v>54.24</v>
      </c>
      <c r="E31" s="100">
        <v>9.5500000000000007</v>
      </c>
      <c r="F31" s="152" t="s">
        <v>15</v>
      </c>
      <c r="G31" s="100">
        <v>119.68</v>
      </c>
      <c r="H31" s="100">
        <v>37.200000000000003</v>
      </c>
      <c r="I31" s="100">
        <v>17.78</v>
      </c>
      <c r="J31" s="100">
        <v>0.16</v>
      </c>
      <c r="K31" s="100">
        <v>97.14</v>
      </c>
      <c r="L31" s="100">
        <v>11.3</v>
      </c>
      <c r="M31" s="100">
        <v>83.45</v>
      </c>
      <c r="N31" s="100">
        <v>0.9</v>
      </c>
      <c r="O31" s="100">
        <v>0</v>
      </c>
      <c r="P31" s="100">
        <v>1.22</v>
      </c>
      <c r="Q31" s="100">
        <v>11.25</v>
      </c>
      <c r="R31" s="6"/>
      <c r="S31" s="6"/>
      <c r="T31" s="156"/>
      <c r="U31" s="6"/>
    </row>
    <row r="32" spans="1:21" customFormat="1">
      <c r="A32" s="163" t="s">
        <v>550</v>
      </c>
      <c r="B32" s="100">
        <v>51.77</v>
      </c>
      <c r="C32" s="100">
        <v>26.71</v>
      </c>
      <c r="D32" s="100">
        <v>56.82</v>
      </c>
      <c r="E32" s="100">
        <v>9.4600000000000009</v>
      </c>
      <c r="F32" s="152" t="s">
        <v>15</v>
      </c>
      <c r="G32" s="100">
        <v>119.68</v>
      </c>
      <c r="H32" s="100">
        <v>37.200000000000003</v>
      </c>
      <c r="I32" s="100">
        <v>17.63</v>
      </c>
      <c r="J32" s="100">
        <v>0.26</v>
      </c>
      <c r="K32" s="100">
        <v>168.36</v>
      </c>
      <c r="L32" s="100">
        <v>11.31</v>
      </c>
      <c r="M32" s="100">
        <v>85.6</v>
      </c>
      <c r="N32" s="100">
        <v>1.1000000000000001</v>
      </c>
      <c r="O32" s="100">
        <v>0</v>
      </c>
      <c r="P32" s="100">
        <v>1.22</v>
      </c>
      <c r="Q32" s="100">
        <v>11.25</v>
      </c>
      <c r="R32" s="6"/>
      <c r="S32" s="6"/>
      <c r="T32" s="156"/>
      <c r="U32" s="6"/>
    </row>
    <row r="33" spans="1:21" customFormat="1">
      <c r="A33" s="163" t="s">
        <v>551</v>
      </c>
      <c r="B33" s="100">
        <v>52.33</v>
      </c>
      <c r="C33" s="100">
        <v>26.4</v>
      </c>
      <c r="D33" s="100">
        <v>57.11</v>
      </c>
      <c r="E33" s="100">
        <v>9.4499999999999993</v>
      </c>
      <c r="F33" s="152" t="s">
        <v>15</v>
      </c>
      <c r="G33" s="100">
        <v>116.76</v>
      </c>
      <c r="H33" s="100">
        <v>37.409999999999997</v>
      </c>
      <c r="I33" s="100">
        <v>17.54</v>
      </c>
      <c r="J33" s="100">
        <v>0.21</v>
      </c>
      <c r="K33" s="100">
        <v>211.83</v>
      </c>
      <c r="L33" s="100">
        <v>10.6</v>
      </c>
      <c r="M33" s="100">
        <v>90.78</v>
      </c>
      <c r="N33" s="100">
        <v>1.7</v>
      </c>
      <c r="O33" s="100">
        <v>0</v>
      </c>
      <c r="P33" s="100">
        <v>1.22</v>
      </c>
      <c r="Q33" s="100">
        <v>11.25</v>
      </c>
      <c r="R33" s="6"/>
      <c r="S33" s="6"/>
      <c r="T33" s="156"/>
      <c r="U33" s="6"/>
    </row>
    <row r="34" spans="1:21" customFormat="1">
      <c r="A34" s="163" t="s">
        <v>552</v>
      </c>
      <c r="B34" s="100">
        <v>50.83</v>
      </c>
      <c r="C34" s="100">
        <v>25.85</v>
      </c>
      <c r="D34" s="100">
        <v>55.62</v>
      </c>
      <c r="E34" s="100">
        <v>9.65</v>
      </c>
      <c r="F34" s="152" t="s">
        <v>15</v>
      </c>
      <c r="G34" s="100">
        <v>114.63</v>
      </c>
      <c r="H34" s="100">
        <v>37.47</v>
      </c>
      <c r="I34" s="100">
        <v>17.489999999999998</v>
      </c>
      <c r="J34" s="100">
        <v>0.12</v>
      </c>
      <c r="K34" s="100">
        <v>214.97</v>
      </c>
      <c r="L34" s="100">
        <v>10.16</v>
      </c>
      <c r="M34" s="100">
        <v>92.42</v>
      </c>
      <c r="N34" s="100">
        <v>2.6</v>
      </c>
      <c r="O34" s="100">
        <v>0</v>
      </c>
      <c r="P34" s="100">
        <v>1.25</v>
      </c>
      <c r="Q34" s="100">
        <v>11.25</v>
      </c>
      <c r="R34" s="6"/>
      <c r="S34" s="6"/>
      <c r="T34" s="156"/>
      <c r="U34" s="6"/>
    </row>
    <row r="35" spans="1:21" customFormat="1">
      <c r="A35" s="163" t="s">
        <v>553</v>
      </c>
      <c r="B35" s="100">
        <v>48.63</v>
      </c>
      <c r="C35" s="100">
        <v>25.44</v>
      </c>
      <c r="D35" s="100">
        <v>53.64</v>
      </c>
      <c r="E35" s="100">
        <v>9.19</v>
      </c>
      <c r="F35" s="152" t="s">
        <v>15</v>
      </c>
      <c r="G35" s="100">
        <v>114.63</v>
      </c>
      <c r="H35" s="100">
        <v>37.47</v>
      </c>
      <c r="I35" s="100">
        <v>17.47</v>
      </c>
      <c r="J35" s="100">
        <v>0.09</v>
      </c>
      <c r="K35" s="100">
        <v>211.42</v>
      </c>
      <c r="L35" s="100">
        <v>10.15</v>
      </c>
      <c r="M35" s="100">
        <v>92.61</v>
      </c>
      <c r="N35" s="100">
        <v>6.1</v>
      </c>
      <c r="O35" s="100">
        <v>0</v>
      </c>
      <c r="P35" s="100">
        <v>1.24</v>
      </c>
      <c r="Q35" s="100">
        <v>11.25</v>
      </c>
      <c r="R35" s="6"/>
      <c r="S35" s="6"/>
      <c r="T35" s="156"/>
      <c r="U35" s="6"/>
    </row>
    <row r="36" spans="1:21" customFormat="1">
      <c r="A36" s="163" t="s">
        <v>554</v>
      </c>
      <c r="B36" s="100">
        <v>46.76</v>
      </c>
      <c r="C36" s="100">
        <v>24.91</v>
      </c>
      <c r="D36" s="100">
        <v>51.87</v>
      </c>
      <c r="E36" s="100">
        <v>9.42</v>
      </c>
      <c r="F36" s="152" t="s">
        <v>15</v>
      </c>
      <c r="G36" s="100">
        <v>114.63</v>
      </c>
      <c r="H36" s="100">
        <v>37.47</v>
      </c>
      <c r="I36" s="100">
        <v>17.39</v>
      </c>
      <c r="J36" s="100">
        <v>0.13</v>
      </c>
      <c r="K36" s="100">
        <v>216.74</v>
      </c>
      <c r="L36" s="100">
        <v>10.52</v>
      </c>
      <c r="M36" s="100">
        <v>93</v>
      </c>
      <c r="N36" s="100">
        <v>12</v>
      </c>
      <c r="O36" s="100">
        <v>0</v>
      </c>
      <c r="P36" s="100">
        <v>1.24</v>
      </c>
      <c r="Q36" s="100">
        <v>11.25</v>
      </c>
      <c r="R36" s="6"/>
      <c r="S36" s="6"/>
      <c r="T36" s="156"/>
      <c r="U36" s="6"/>
    </row>
    <row r="37" spans="1:21" customFormat="1">
      <c r="A37" s="163" t="s">
        <v>555</v>
      </c>
      <c r="B37" s="100">
        <v>45.22</v>
      </c>
      <c r="C37" s="100">
        <v>24.53</v>
      </c>
      <c r="D37" s="100">
        <v>50.43</v>
      </c>
      <c r="E37" s="100">
        <v>9.15</v>
      </c>
      <c r="F37" s="152" t="s">
        <v>15</v>
      </c>
      <c r="G37" s="100">
        <v>104.63</v>
      </c>
      <c r="H37" s="100">
        <v>35.659999999999997</v>
      </c>
      <c r="I37" s="100">
        <v>17.309999999999999</v>
      </c>
      <c r="J37" s="100">
        <v>0.05</v>
      </c>
      <c r="K37" s="100">
        <v>147.02000000000001</v>
      </c>
      <c r="L37" s="100">
        <v>10.91</v>
      </c>
      <c r="M37" s="100">
        <v>93.81</v>
      </c>
      <c r="N37" s="100">
        <v>20.6</v>
      </c>
      <c r="O37" s="100">
        <v>0</v>
      </c>
      <c r="P37" s="100">
        <v>1.22</v>
      </c>
      <c r="Q37" s="100">
        <v>11.25</v>
      </c>
      <c r="R37" s="6"/>
      <c r="S37" s="6"/>
      <c r="T37" s="156"/>
      <c r="U37" s="6"/>
    </row>
    <row r="38" spans="1:21" customFormat="1">
      <c r="A38" s="163" t="s">
        <v>556</v>
      </c>
      <c r="B38" s="100">
        <v>45.47</v>
      </c>
      <c r="C38" s="100">
        <v>24.46</v>
      </c>
      <c r="D38" s="100">
        <v>50.59</v>
      </c>
      <c r="E38" s="100">
        <v>9.4600000000000009</v>
      </c>
      <c r="F38" s="152" t="s">
        <v>15</v>
      </c>
      <c r="G38" s="100">
        <v>96.98</v>
      </c>
      <c r="H38" s="100">
        <v>34.58</v>
      </c>
      <c r="I38" s="100">
        <v>17.260000000000002</v>
      </c>
      <c r="J38" s="100">
        <v>0.15</v>
      </c>
      <c r="K38" s="100">
        <v>141</v>
      </c>
      <c r="L38" s="100">
        <v>11.66</v>
      </c>
      <c r="M38" s="100">
        <v>87.02</v>
      </c>
      <c r="N38" s="100">
        <v>29.3</v>
      </c>
      <c r="O38" s="100">
        <v>0</v>
      </c>
      <c r="P38" s="100">
        <v>1.22</v>
      </c>
      <c r="Q38" s="100">
        <v>11.25</v>
      </c>
      <c r="R38" s="6"/>
      <c r="S38" s="6"/>
      <c r="T38" s="156"/>
      <c r="U38" s="6"/>
    </row>
    <row r="39" spans="1:21" customFormat="1">
      <c r="A39" s="163" t="s">
        <v>557</v>
      </c>
      <c r="B39" s="100">
        <v>47.18</v>
      </c>
      <c r="C39" s="100">
        <v>25.02</v>
      </c>
      <c r="D39" s="100">
        <v>52.26</v>
      </c>
      <c r="E39" s="100">
        <v>9.18</v>
      </c>
      <c r="F39" s="152" t="s">
        <v>15</v>
      </c>
      <c r="G39" s="100">
        <v>96.98</v>
      </c>
      <c r="H39" s="100">
        <v>34.58</v>
      </c>
      <c r="I39" s="100">
        <v>17.22</v>
      </c>
      <c r="J39" s="100">
        <v>0.3</v>
      </c>
      <c r="K39" s="100">
        <v>60.86</v>
      </c>
      <c r="L39" s="100">
        <v>13.11</v>
      </c>
      <c r="M39" s="100">
        <v>71.989999999999995</v>
      </c>
      <c r="N39" s="100">
        <v>38</v>
      </c>
      <c r="O39" s="100">
        <v>0</v>
      </c>
      <c r="P39" s="100">
        <v>1.25</v>
      </c>
      <c r="Q39" s="100">
        <v>11.25</v>
      </c>
      <c r="R39" s="6"/>
      <c r="S39" s="6"/>
      <c r="T39" s="156"/>
      <c r="U39" s="6"/>
    </row>
    <row r="40" spans="1:21" customFormat="1">
      <c r="A40" s="163" t="s">
        <v>558</v>
      </c>
      <c r="B40" s="100">
        <v>46.89</v>
      </c>
      <c r="C40" s="100">
        <v>25.87</v>
      </c>
      <c r="D40" s="100">
        <v>52.47</v>
      </c>
      <c r="E40" s="100">
        <v>9.23</v>
      </c>
      <c r="F40" s="152" t="s">
        <v>15</v>
      </c>
      <c r="G40" s="100">
        <v>96.98</v>
      </c>
      <c r="H40" s="100">
        <v>34.58</v>
      </c>
      <c r="I40" s="100">
        <v>17.48</v>
      </c>
      <c r="J40" s="100">
        <v>0.77</v>
      </c>
      <c r="K40" s="100">
        <v>52.6</v>
      </c>
      <c r="L40" s="100">
        <v>14.47</v>
      </c>
      <c r="M40" s="100">
        <v>62.12</v>
      </c>
      <c r="N40" s="100">
        <v>52.7</v>
      </c>
      <c r="O40" s="100">
        <v>0</v>
      </c>
      <c r="P40" s="100">
        <v>1.27</v>
      </c>
      <c r="Q40" s="100">
        <v>11.25</v>
      </c>
      <c r="R40" s="6"/>
      <c r="S40" s="6"/>
      <c r="T40" s="156"/>
      <c r="U40" s="6"/>
    </row>
    <row r="41" spans="1:21" customFormat="1">
      <c r="A41" s="163" t="s">
        <v>559</v>
      </c>
      <c r="B41" s="100">
        <v>45.15</v>
      </c>
      <c r="C41" s="100">
        <v>27.19</v>
      </c>
      <c r="D41" s="100">
        <v>51.77</v>
      </c>
      <c r="E41" s="100">
        <v>9.39</v>
      </c>
      <c r="F41" s="152" t="s">
        <v>15</v>
      </c>
      <c r="G41" s="100">
        <v>113.49</v>
      </c>
      <c r="H41" s="100">
        <v>33.86</v>
      </c>
      <c r="I41" s="100">
        <v>18.489999999999998</v>
      </c>
      <c r="J41" s="100">
        <v>0.85</v>
      </c>
      <c r="K41" s="100">
        <v>54.7</v>
      </c>
      <c r="L41" s="100">
        <v>15.34</v>
      </c>
      <c r="M41" s="100">
        <v>57.71</v>
      </c>
      <c r="N41" s="100">
        <v>175.6</v>
      </c>
      <c r="O41" s="100">
        <v>0</v>
      </c>
      <c r="P41" s="100">
        <v>1.28</v>
      </c>
      <c r="Q41" s="100">
        <v>11.25</v>
      </c>
      <c r="R41" s="6"/>
      <c r="S41" s="6"/>
      <c r="T41" s="156"/>
      <c r="U41" s="6"/>
    </row>
    <row r="42" spans="1:21" customFormat="1">
      <c r="A42" s="163" t="s">
        <v>560</v>
      </c>
      <c r="B42" s="100">
        <v>42.57</v>
      </c>
      <c r="C42" s="100">
        <v>28.14</v>
      </c>
      <c r="D42" s="100">
        <v>50.19</v>
      </c>
      <c r="E42" s="100">
        <v>9.2200000000000006</v>
      </c>
      <c r="F42" s="152" t="s">
        <v>15</v>
      </c>
      <c r="G42" s="100">
        <v>125.56</v>
      </c>
      <c r="H42" s="100">
        <v>33.65</v>
      </c>
      <c r="I42" s="100">
        <v>20.28</v>
      </c>
      <c r="J42" s="100">
        <v>0.52</v>
      </c>
      <c r="K42" s="100">
        <v>71.06</v>
      </c>
      <c r="L42" s="100">
        <v>16.38</v>
      </c>
      <c r="M42" s="100">
        <v>53.98</v>
      </c>
      <c r="N42" s="100">
        <v>210.8</v>
      </c>
      <c r="O42" s="100">
        <v>0</v>
      </c>
      <c r="P42" s="100">
        <v>1.25</v>
      </c>
      <c r="Q42" s="100">
        <v>11.25</v>
      </c>
      <c r="R42" s="6"/>
      <c r="S42" s="6"/>
      <c r="T42" s="156"/>
      <c r="U42" s="6"/>
    </row>
    <row r="43" spans="1:21" customFormat="1">
      <c r="A43" s="163" t="s">
        <v>561</v>
      </c>
      <c r="B43" s="100">
        <v>39.35</v>
      </c>
      <c r="C43" s="100">
        <v>28.97</v>
      </c>
      <c r="D43" s="100">
        <v>48.05</v>
      </c>
      <c r="E43" s="100">
        <v>9.52</v>
      </c>
      <c r="F43" s="152" t="s">
        <v>15</v>
      </c>
      <c r="G43" s="100">
        <v>125.56</v>
      </c>
      <c r="H43" s="100">
        <v>33.65</v>
      </c>
      <c r="I43" s="100">
        <v>21.31</v>
      </c>
      <c r="J43" s="100">
        <v>0.65</v>
      </c>
      <c r="K43" s="100">
        <v>54.68</v>
      </c>
      <c r="L43" s="100">
        <v>17.47</v>
      </c>
      <c r="M43" s="100">
        <v>50.96</v>
      </c>
      <c r="N43" s="100">
        <v>186.8</v>
      </c>
      <c r="O43" s="100">
        <v>0</v>
      </c>
      <c r="P43" s="100">
        <v>1.23</v>
      </c>
      <c r="Q43" s="100">
        <v>11.25</v>
      </c>
      <c r="R43" s="6"/>
      <c r="S43" s="6"/>
      <c r="T43" s="156"/>
      <c r="U43" s="6"/>
    </row>
    <row r="44" spans="1:21" customFormat="1">
      <c r="A44" s="163" t="s">
        <v>562</v>
      </c>
      <c r="B44" s="100">
        <v>36.340000000000003</v>
      </c>
      <c r="C44" s="100">
        <v>29.44</v>
      </c>
      <c r="D44" s="100">
        <v>45.88</v>
      </c>
      <c r="E44" s="100">
        <v>9.92</v>
      </c>
      <c r="F44" s="152" t="s">
        <v>15</v>
      </c>
      <c r="G44" s="100">
        <v>125.56</v>
      </c>
      <c r="H44" s="100">
        <v>33.65</v>
      </c>
      <c r="I44" s="100">
        <v>21.32</v>
      </c>
      <c r="J44" s="100">
        <v>0.56999999999999995</v>
      </c>
      <c r="K44" s="100">
        <v>62.89</v>
      </c>
      <c r="L44" s="100">
        <v>18.600000000000001</v>
      </c>
      <c r="M44" s="100">
        <v>48.07</v>
      </c>
      <c r="N44" s="100">
        <v>277.2</v>
      </c>
      <c r="O44" s="100">
        <v>0</v>
      </c>
      <c r="P44" s="100">
        <v>1.22</v>
      </c>
      <c r="Q44" s="100">
        <v>11.25</v>
      </c>
      <c r="R44" s="6"/>
      <c r="S44" s="6"/>
      <c r="T44" s="156"/>
      <c r="U44" s="6"/>
    </row>
    <row r="45" spans="1:21" customFormat="1">
      <c r="A45" s="163" t="s">
        <v>563</v>
      </c>
      <c r="B45" s="100">
        <v>33.47</v>
      </c>
      <c r="C45" s="100">
        <v>29.73</v>
      </c>
      <c r="D45" s="100">
        <v>43.72</v>
      </c>
      <c r="E45" s="100">
        <v>10.16</v>
      </c>
      <c r="F45" s="152" t="s">
        <v>15</v>
      </c>
      <c r="G45" s="100">
        <v>123.3</v>
      </c>
      <c r="H45" s="100">
        <v>34.17</v>
      </c>
      <c r="I45" s="100">
        <v>21.43</v>
      </c>
      <c r="J45" s="100">
        <v>0.68</v>
      </c>
      <c r="K45" s="100">
        <v>62.9</v>
      </c>
      <c r="L45" s="100">
        <v>19.420000000000002</v>
      </c>
      <c r="M45" s="100">
        <v>46.19</v>
      </c>
      <c r="N45" s="100">
        <v>192.2</v>
      </c>
      <c r="O45" s="100">
        <v>0</v>
      </c>
      <c r="P45" s="100">
        <v>1.2</v>
      </c>
      <c r="Q45" s="100">
        <v>11.25</v>
      </c>
      <c r="R45" s="6"/>
      <c r="S45" s="6"/>
      <c r="T45" s="156"/>
      <c r="U45" s="6"/>
    </row>
    <row r="46" spans="1:21" customFormat="1">
      <c r="A46" s="163" t="s">
        <v>564</v>
      </c>
      <c r="B46" s="100">
        <v>31.06</v>
      </c>
      <c r="C46" s="100">
        <v>29.75</v>
      </c>
      <c r="D46" s="100">
        <v>41.8</v>
      </c>
      <c r="E46" s="100">
        <v>10.01</v>
      </c>
      <c r="F46" s="152" t="s">
        <v>15</v>
      </c>
      <c r="G46" s="100">
        <v>121.64</v>
      </c>
      <c r="H46" s="100">
        <v>34.33</v>
      </c>
      <c r="I46" s="100">
        <v>21.36</v>
      </c>
      <c r="J46" s="100">
        <v>0.39</v>
      </c>
      <c r="K46" s="100">
        <v>88.83</v>
      </c>
      <c r="L46" s="100">
        <v>20.51</v>
      </c>
      <c r="M46" s="100">
        <v>43.69</v>
      </c>
      <c r="N46" s="100">
        <v>126</v>
      </c>
      <c r="O46" s="100">
        <v>0</v>
      </c>
      <c r="P46" s="100">
        <v>1.18</v>
      </c>
      <c r="Q46" s="100">
        <v>11.25</v>
      </c>
      <c r="R46" s="6"/>
      <c r="S46" s="6"/>
      <c r="T46" s="156"/>
      <c r="U46" s="6"/>
    </row>
    <row r="47" spans="1:21" customFormat="1">
      <c r="A47" s="163" t="s">
        <v>565</v>
      </c>
      <c r="B47" s="100">
        <v>28.88</v>
      </c>
      <c r="C47" s="100">
        <v>29.54</v>
      </c>
      <c r="D47" s="100">
        <v>39.94</v>
      </c>
      <c r="E47" s="100">
        <v>9.75</v>
      </c>
      <c r="F47" s="152" t="s">
        <v>15</v>
      </c>
      <c r="G47" s="100">
        <v>121.64</v>
      </c>
      <c r="H47" s="100">
        <v>34.33</v>
      </c>
      <c r="I47" s="100">
        <v>20.87</v>
      </c>
      <c r="J47" s="100">
        <v>0.47</v>
      </c>
      <c r="K47" s="100">
        <v>77.53</v>
      </c>
      <c r="L47" s="100">
        <v>21.28</v>
      </c>
      <c r="M47" s="100">
        <v>41.88</v>
      </c>
      <c r="N47" s="100">
        <v>157.5</v>
      </c>
      <c r="O47" s="100">
        <v>0</v>
      </c>
      <c r="P47" s="100">
        <v>1.1499999999999999</v>
      </c>
      <c r="Q47" s="100">
        <v>11.25</v>
      </c>
      <c r="R47" s="6"/>
      <c r="S47" s="6"/>
      <c r="T47" s="156"/>
      <c r="U47" s="6"/>
    </row>
    <row r="48" spans="1:21" customFormat="1">
      <c r="A48" s="163" t="s">
        <v>566</v>
      </c>
      <c r="B48" s="100">
        <v>26.8</v>
      </c>
      <c r="C48" s="100">
        <v>29.36</v>
      </c>
      <c r="D48" s="100">
        <v>38.18</v>
      </c>
      <c r="E48" s="100">
        <v>9.68</v>
      </c>
      <c r="F48" s="152" t="s">
        <v>15</v>
      </c>
      <c r="G48" s="100">
        <v>121.64</v>
      </c>
      <c r="H48" s="100">
        <v>34.33</v>
      </c>
      <c r="I48" s="100">
        <v>20.34</v>
      </c>
      <c r="J48" s="100">
        <v>0.46</v>
      </c>
      <c r="K48" s="100">
        <v>75.790000000000006</v>
      </c>
      <c r="L48" s="100">
        <v>22.01</v>
      </c>
      <c r="M48" s="100">
        <v>39.92</v>
      </c>
      <c r="N48" s="100">
        <v>304.5</v>
      </c>
      <c r="O48" s="100">
        <v>0</v>
      </c>
      <c r="P48" s="100">
        <v>1.1399999999999999</v>
      </c>
      <c r="Q48" s="100">
        <v>11.25</v>
      </c>
      <c r="R48" s="6"/>
      <c r="S48" s="6"/>
      <c r="T48" s="156"/>
      <c r="U48" s="6"/>
    </row>
    <row r="49" spans="1:21" customFormat="1">
      <c r="A49" s="163" t="s">
        <v>567</v>
      </c>
      <c r="B49" s="100">
        <v>24.82</v>
      </c>
      <c r="C49" s="100">
        <v>29.02</v>
      </c>
      <c r="D49" s="100">
        <v>36.42</v>
      </c>
      <c r="E49" s="100">
        <v>6.69</v>
      </c>
      <c r="F49" s="152" t="s">
        <v>15</v>
      </c>
      <c r="G49" s="100">
        <v>113.36</v>
      </c>
      <c r="H49" s="100">
        <v>33.450000000000003</v>
      </c>
      <c r="I49" s="100">
        <v>19.88</v>
      </c>
      <c r="J49" s="100">
        <v>0.37</v>
      </c>
      <c r="K49" s="100">
        <v>125.98</v>
      </c>
      <c r="L49" s="100">
        <v>22.67</v>
      </c>
      <c r="M49" s="100">
        <v>37.97</v>
      </c>
      <c r="N49" s="100">
        <v>400.9</v>
      </c>
      <c r="O49" s="100">
        <v>0</v>
      </c>
      <c r="P49" s="100">
        <v>1.1299999999999999</v>
      </c>
      <c r="Q49" s="100">
        <v>11.25</v>
      </c>
      <c r="R49" s="6"/>
      <c r="S49" s="6"/>
      <c r="T49" s="156"/>
      <c r="U49" s="6"/>
    </row>
    <row r="50" spans="1:21" customFormat="1">
      <c r="A50" s="163" t="s">
        <v>568</v>
      </c>
      <c r="B50" s="100">
        <v>22.72</v>
      </c>
      <c r="C50" s="100">
        <v>28.7</v>
      </c>
      <c r="D50" s="100">
        <v>34.57</v>
      </c>
      <c r="E50" s="100">
        <v>8.34</v>
      </c>
      <c r="F50" s="152" t="s">
        <v>15</v>
      </c>
      <c r="G50" s="100">
        <v>107.31</v>
      </c>
      <c r="H50" s="100">
        <v>33.19</v>
      </c>
      <c r="I50" s="100">
        <v>19.399999999999999</v>
      </c>
      <c r="J50" s="100">
        <v>0.35</v>
      </c>
      <c r="K50" s="100">
        <v>112.55</v>
      </c>
      <c r="L50" s="100">
        <v>23.46</v>
      </c>
      <c r="M50" s="100">
        <v>36.409999999999997</v>
      </c>
      <c r="N50" s="100">
        <v>408.1</v>
      </c>
      <c r="O50" s="100">
        <v>0</v>
      </c>
      <c r="P50" s="100">
        <v>1.1000000000000001</v>
      </c>
      <c r="Q50" s="100">
        <v>11.25</v>
      </c>
      <c r="R50" s="6"/>
      <c r="S50" s="6"/>
      <c r="T50" s="156"/>
      <c r="U50" s="6"/>
    </row>
    <row r="51" spans="1:21" customFormat="1">
      <c r="A51" s="163" t="s">
        <v>569</v>
      </c>
      <c r="B51" s="100">
        <v>20.7</v>
      </c>
      <c r="C51" s="100">
        <v>28.41</v>
      </c>
      <c r="D51" s="100">
        <v>32.799999999999997</v>
      </c>
      <c r="E51" s="100">
        <v>8.94</v>
      </c>
      <c r="F51" s="152" t="s">
        <v>15</v>
      </c>
      <c r="G51" s="100">
        <v>107.31</v>
      </c>
      <c r="H51" s="100">
        <v>33.19</v>
      </c>
      <c r="I51" s="100">
        <v>18.97</v>
      </c>
      <c r="J51" s="100">
        <v>0.42</v>
      </c>
      <c r="K51" s="100">
        <v>101.64</v>
      </c>
      <c r="L51" s="100">
        <v>24.04</v>
      </c>
      <c r="M51" s="100">
        <v>34.49</v>
      </c>
      <c r="N51" s="100">
        <v>416.8</v>
      </c>
      <c r="O51" s="100">
        <v>0</v>
      </c>
      <c r="P51" s="100">
        <v>1.08</v>
      </c>
      <c r="Q51" s="100">
        <v>11.25</v>
      </c>
      <c r="R51" s="6"/>
      <c r="S51" s="6"/>
      <c r="T51" s="156"/>
      <c r="U51" s="6"/>
    </row>
    <row r="52" spans="1:21" customFormat="1">
      <c r="A52" s="163" t="s">
        <v>570</v>
      </c>
      <c r="B52" s="100">
        <v>18.79</v>
      </c>
      <c r="C52" s="100">
        <v>28.66</v>
      </c>
      <c r="D52" s="100">
        <v>31.39</v>
      </c>
      <c r="E52" s="100">
        <v>8.9700000000000006</v>
      </c>
      <c r="F52" s="152" t="s">
        <v>15</v>
      </c>
      <c r="G52" s="100">
        <v>107.31</v>
      </c>
      <c r="H52" s="100">
        <v>33.19</v>
      </c>
      <c r="I52" s="100">
        <v>18.559999999999999</v>
      </c>
      <c r="J52" s="100">
        <v>0.59</v>
      </c>
      <c r="K52" s="100">
        <v>44.5</v>
      </c>
      <c r="L52" s="100">
        <v>24.2</v>
      </c>
      <c r="M52" s="100">
        <v>34.07</v>
      </c>
      <c r="N52" s="100">
        <v>427.3</v>
      </c>
      <c r="O52" s="100">
        <v>0</v>
      </c>
      <c r="P52" s="100">
        <v>1.07</v>
      </c>
      <c r="Q52" s="100">
        <v>11.25</v>
      </c>
      <c r="R52" s="6"/>
      <c r="S52" s="6"/>
      <c r="T52" s="156"/>
      <c r="U52" s="6"/>
    </row>
    <row r="53" spans="1:21" customFormat="1">
      <c r="A53" s="163" t="s">
        <v>571</v>
      </c>
      <c r="B53" s="100">
        <v>16.12</v>
      </c>
      <c r="C53" s="100">
        <v>29.61</v>
      </c>
      <c r="D53" s="100">
        <v>29.75</v>
      </c>
      <c r="E53" s="100">
        <v>8.42</v>
      </c>
      <c r="F53" s="152" t="s">
        <v>15</v>
      </c>
      <c r="G53" s="100">
        <v>96.86</v>
      </c>
      <c r="H53" s="100">
        <v>32.130000000000003</v>
      </c>
      <c r="I53" s="100">
        <v>18.18</v>
      </c>
      <c r="J53" s="100">
        <v>0.4</v>
      </c>
      <c r="K53" s="100">
        <v>72.56</v>
      </c>
      <c r="L53" s="100">
        <v>24.98</v>
      </c>
      <c r="M53" s="100">
        <v>31.62</v>
      </c>
      <c r="N53" s="100">
        <v>382.3</v>
      </c>
      <c r="O53" s="100">
        <v>0</v>
      </c>
      <c r="P53" s="100">
        <v>1</v>
      </c>
      <c r="Q53" s="100">
        <v>11.25</v>
      </c>
      <c r="R53" s="6"/>
      <c r="S53" s="6"/>
      <c r="T53" s="156"/>
      <c r="U53" s="6"/>
    </row>
    <row r="54" spans="1:21" customFormat="1">
      <c r="A54" s="163" t="s">
        <v>572</v>
      </c>
      <c r="B54" s="100">
        <v>13.09</v>
      </c>
      <c r="C54" s="100">
        <v>30.52</v>
      </c>
      <c r="D54" s="100">
        <v>27.79</v>
      </c>
      <c r="E54" s="100">
        <v>8.5299999999999994</v>
      </c>
      <c r="F54" s="152" t="s">
        <v>15</v>
      </c>
      <c r="G54" s="100">
        <v>89.22</v>
      </c>
      <c r="H54" s="100">
        <v>31.82</v>
      </c>
      <c r="I54" s="100">
        <v>17.72</v>
      </c>
      <c r="J54" s="100">
        <v>0.37</v>
      </c>
      <c r="K54" s="100">
        <v>118.81</v>
      </c>
      <c r="L54" s="100">
        <v>25.38</v>
      </c>
      <c r="M54" s="100">
        <v>29.74</v>
      </c>
      <c r="N54" s="100">
        <v>461</v>
      </c>
      <c r="O54" s="100">
        <v>0</v>
      </c>
      <c r="P54" s="100">
        <v>0.97</v>
      </c>
      <c r="Q54" s="100">
        <v>11.25</v>
      </c>
      <c r="R54" s="6"/>
      <c r="S54" s="6"/>
      <c r="T54" s="156"/>
      <c r="U54" s="6"/>
    </row>
    <row r="55" spans="1:21" customFormat="1">
      <c r="A55" s="163" t="s">
        <v>573</v>
      </c>
      <c r="B55" s="100">
        <v>10.220000000000001</v>
      </c>
      <c r="C55" s="100">
        <v>31.45</v>
      </c>
      <c r="D55" s="100">
        <v>25.98</v>
      </c>
      <c r="E55" s="100">
        <v>8.74</v>
      </c>
      <c r="F55" s="152" t="s">
        <v>15</v>
      </c>
      <c r="G55" s="100">
        <v>89.22</v>
      </c>
      <c r="H55" s="100">
        <v>31.82</v>
      </c>
      <c r="I55" s="100">
        <v>17.170000000000002</v>
      </c>
      <c r="J55" s="100">
        <v>0.35</v>
      </c>
      <c r="K55" s="100">
        <v>95.11</v>
      </c>
      <c r="L55" s="100">
        <v>25.93</v>
      </c>
      <c r="M55" s="100">
        <v>29.27</v>
      </c>
      <c r="N55" s="100">
        <v>460</v>
      </c>
      <c r="O55" s="100">
        <v>0</v>
      </c>
      <c r="P55" s="100">
        <v>0.94</v>
      </c>
      <c r="Q55" s="100">
        <v>11.25</v>
      </c>
      <c r="R55" s="6"/>
      <c r="S55" s="6"/>
      <c r="T55" s="156"/>
      <c r="U55" s="6"/>
    </row>
    <row r="56" spans="1:21" customFormat="1">
      <c r="A56" s="163" t="s">
        <v>574</v>
      </c>
      <c r="B56" s="100">
        <v>7.98</v>
      </c>
      <c r="C56" s="100">
        <v>31.69</v>
      </c>
      <c r="D56" s="100">
        <v>24.31</v>
      </c>
      <c r="E56" s="100">
        <v>9.11</v>
      </c>
      <c r="F56" s="152" t="s">
        <v>15</v>
      </c>
      <c r="G56" s="100">
        <v>89.22</v>
      </c>
      <c r="H56" s="100">
        <v>31.82</v>
      </c>
      <c r="I56" s="100">
        <v>16.57</v>
      </c>
      <c r="J56" s="100">
        <v>0.5</v>
      </c>
      <c r="K56" s="100">
        <v>52.58</v>
      </c>
      <c r="L56" s="100">
        <v>26.21</v>
      </c>
      <c r="M56" s="100">
        <v>27.28</v>
      </c>
      <c r="N56" s="100">
        <v>453.4</v>
      </c>
      <c r="O56" s="100">
        <v>0</v>
      </c>
      <c r="P56" s="100">
        <v>0.92</v>
      </c>
      <c r="Q56" s="100">
        <v>11.25</v>
      </c>
      <c r="R56" s="6"/>
      <c r="S56" s="6"/>
      <c r="T56" s="156"/>
      <c r="U56" s="6"/>
    </row>
    <row r="57" spans="1:21" customFormat="1">
      <c r="A57" s="163" t="s">
        <v>575</v>
      </c>
      <c r="B57" s="100">
        <v>6.25</v>
      </c>
      <c r="C57" s="100">
        <v>31.51</v>
      </c>
      <c r="D57" s="100">
        <v>22.83</v>
      </c>
      <c r="E57" s="100">
        <v>8.89</v>
      </c>
      <c r="F57" s="152" t="s">
        <v>15</v>
      </c>
      <c r="G57" s="100">
        <v>82.44</v>
      </c>
      <c r="H57" s="100">
        <v>30.19</v>
      </c>
      <c r="I57" s="100">
        <v>16.010000000000002</v>
      </c>
      <c r="J57" s="100">
        <v>0.8</v>
      </c>
      <c r="K57" s="100">
        <v>60.02</v>
      </c>
      <c r="L57" s="100">
        <v>25.86</v>
      </c>
      <c r="M57" s="100">
        <v>24.5</v>
      </c>
      <c r="N57" s="100">
        <v>422.7</v>
      </c>
      <c r="O57" s="100">
        <v>0</v>
      </c>
      <c r="P57" s="100">
        <v>0.89</v>
      </c>
      <c r="Q57" s="100">
        <v>11.25</v>
      </c>
      <c r="R57" s="6"/>
      <c r="S57" s="6"/>
      <c r="T57" s="156"/>
      <c r="U57" s="6"/>
    </row>
    <row r="58" spans="1:21" customFormat="1">
      <c r="A58" s="163" t="s">
        <v>576</v>
      </c>
      <c r="B58" s="100">
        <v>5.23</v>
      </c>
      <c r="C58" s="100">
        <v>31.22</v>
      </c>
      <c r="D58" s="100">
        <v>21.86</v>
      </c>
      <c r="E58" s="100">
        <v>9.24</v>
      </c>
      <c r="F58" s="152" t="s">
        <v>15</v>
      </c>
      <c r="G58" s="100">
        <v>77.48</v>
      </c>
      <c r="H58" s="100">
        <v>29.71</v>
      </c>
      <c r="I58" s="100">
        <v>15.52</v>
      </c>
      <c r="J58" s="100">
        <v>0.73</v>
      </c>
      <c r="K58" s="100">
        <v>36.590000000000003</v>
      </c>
      <c r="L58" s="100">
        <v>26.37</v>
      </c>
      <c r="M58" s="100">
        <v>24.92</v>
      </c>
      <c r="N58" s="100">
        <v>390.9</v>
      </c>
      <c r="O58" s="100">
        <v>0</v>
      </c>
      <c r="P58" s="100">
        <v>0.86</v>
      </c>
      <c r="Q58" s="100">
        <v>11.25</v>
      </c>
      <c r="R58" s="6"/>
      <c r="S58" s="6"/>
      <c r="T58" s="156"/>
      <c r="U58" s="6"/>
    </row>
    <row r="59" spans="1:21" customFormat="1">
      <c r="A59" s="163" t="s">
        <v>577</v>
      </c>
      <c r="B59" s="100">
        <v>4.7</v>
      </c>
      <c r="C59" s="100">
        <v>30.42</v>
      </c>
      <c r="D59" s="100">
        <v>21.01</v>
      </c>
      <c r="E59" s="100">
        <v>8.85</v>
      </c>
      <c r="F59" s="152" t="s">
        <v>15</v>
      </c>
      <c r="G59" s="100">
        <v>77.48</v>
      </c>
      <c r="H59" s="100">
        <v>29.71</v>
      </c>
      <c r="I59" s="100">
        <v>15.01</v>
      </c>
      <c r="J59" s="100">
        <v>0.4</v>
      </c>
      <c r="K59" s="100">
        <v>12.57</v>
      </c>
      <c r="L59" s="100">
        <v>26.61</v>
      </c>
      <c r="M59" s="100">
        <v>24.02</v>
      </c>
      <c r="N59" s="100">
        <v>319.39999999999998</v>
      </c>
      <c r="O59" s="100">
        <v>0</v>
      </c>
      <c r="P59" s="100">
        <v>0.84</v>
      </c>
      <c r="Q59" s="100">
        <v>11.25</v>
      </c>
      <c r="R59" s="6"/>
      <c r="S59" s="6"/>
      <c r="T59" s="156"/>
      <c r="U59" s="6"/>
    </row>
    <row r="60" spans="1:21" customFormat="1">
      <c r="A60" s="163" t="s">
        <v>578</v>
      </c>
      <c r="B60" s="100">
        <v>4.4000000000000004</v>
      </c>
      <c r="C60" s="100">
        <v>29.53</v>
      </c>
      <c r="D60" s="100">
        <v>20.309999999999999</v>
      </c>
      <c r="E60" s="100">
        <v>9.4600000000000009</v>
      </c>
      <c r="F60" s="152" t="s">
        <v>15</v>
      </c>
      <c r="G60" s="100">
        <v>77.48</v>
      </c>
      <c r="H60" s="100">
        <v>29.71</v>
      </c>
      <c r="I60" s="100">
        <v>14.49</v>
      </c>
      <c r="J60" s="100">
        <v>0.22</v>
      </c>
      <c r="K60" s="100">
        <v>49.5</v>
      </c>
      <c r="L60" s="100">
        <v>27.06</v>
      </c>
      <c r="M60" s="100">
        <v>24.55</v>
      </c>
      <c r="N60" s="100">
        <v>423.3</v>
      </c>
      <c r="O60" s="100">
        <v>0</v>
      </c>
      <c r="P60" s="100">
        <v>0.82</v>
      </c>
      <c r="Q60" s="100">
        <v>11.25</v>
      </c>
      <c r="R60" s="6"/>
      <c r="S60" s="6"/>
      <c r="T60" s="156"/>
      <c r="U60" s="6"/>
    </row>
    <row r="61" spans="1:21" customFormat="1">
      <c r="A61" s="163" t="s">
        <v>579</v>
      </c>
      <c r="B61" s="100">
        <v>4.2300000000000004</v>
      </c>
      <c r="C61" s="100">
        <v>28.39</v>
      </c>
      <c r="D61" s="100">
        <v>19.579999999999998</v>
      </c>
      <c r="E61" s="100">
        <v>9.6199999999999992</v>
      </c>
      <c r="F61" s="152" t="s">
        <v>15</v>
      </c>
      <c r="G61" s="100">
        <v>70.47</v>
      </c>
      <c r="H61" s="100">
        <v>28.79</v>
      </c>
      <c r="I61" s="100">
        <v>14.01</v>
      </c>
      <c r="J61" s="100">
        <v>0.25</v>
      </c>
      <c r="K61" s="100">
        <v>41.04</v>
      </c>
      <c r="L61" s="100">
        <v>27.04</v>
      </c>
      <c r="M61" s="100">
        <v>24.27</v>
      </c>
      <c r="N61" s="100">
        <v>424.1</v>
      </c>
      <c r="O61" s="100">
        <v>0</v>
      </c>
      <c r="P61" s="100">
        <v>0.8</v>
      </c>
      <c r="Q61" s="100">
        <v>11.25</v>
      </c>
      <c r="R61" s="6"/>
      <c r="S61" s="6"/>
      <c r="T61" s="156"/>
      <c r="U61" s="6"/>
    </row>
    <row r="62" spans="1:21" customFormat="1">
      <c r="A62" s="163" t="s">
        <v>580</v>
      </c>
      <c r="B62" s="100">
        <v>4.09</v>
      </c>
      <c r="C62" s="100">
        <v>27.35</v>
      </c>
      <c r="D62" s="100">
        <v>18.920000000000002</v>
      </c>
      <c r="E62" s="100">
        <v>9.61</v>
      </c>
      <c r="F62" s="152" t="s">
        <v>15</v>
      </c>
      <c r="G62" s="100">
        <v>65.349999999999994</v>
      </c>
      <c r="H62" s="100">
        <v>28.27</v>
      </c>
      <c r="I62" s="100">
        <v>13.56</v>
      </c>
      <c r="J62" s="100">
        <v>0.3</v>
      </c>
      <c r="K62" s="100">
        <v>154.24</v>
      </c>
      <c r="L62" s="100">
        <v>27.67</v>
      </c>
      <c r="M62" s="100">
        <v>22.84</v>
      </c>
      <c r="N62" s="100">
        <v>428.9</v>
      </c>
      <c r="O62" s="100">
        <v>0</v>
      </c>
      <c r="P62" s="100">
        <v>0.77</v>
      </c>
      <c r="Q62" s="100">
        <v>11.25</v>
      </c>
      <c r="R62" s="6"/>
      <c r="S62" s="6"/>
      <c r="T62" s="156"/>
      <c r="U62" s="6"/>
    </row>
    <row r="63" spans="1:21" customFormat="1">
      <c r="A63" s="163" t="s">
        <v>581</v>
      </c>
      <c r="B63" s="100">
        <v>4.0199999999999996</v>
      </c>
      <c r="C63" s="100">
        <v>26.21</v>
      </c>
      <c r="D63" s="100">
        <v>18.27</v>
      </c>
      <c r="E63" s="100">
        <v>9.4499999999999993</v>
      </c>
      <c r="F63" s="152" t="s">
        <v>15</v>
      </c>
      <c r="G63" s="100">
        <v>65.349999999999994</v>
      </c>
      <c r="H63" s="100">
        <v>28.27</v>
      </c>
      <c r="I63" s="100">
        <v>13.16</v>
      </c>
      <c r="J63" s="100">
        <v>0.42</v>
      </c>
      <c r="K63" s="100">
        <v>78.52</v>
      </c>
      <c r="L63" s="100">
        <v>27.67</v>
      </c>
      <c r="M63" s="100">
        <v>22.39</v>
      </c>
      <c r="N63" s="100">
        <v>338.5</v>
      </c>
      <c r="O63" s="100">
        <v>0</v>
      </c>
      <c r="P63" s="100">
        <v>0.75</v>
      </c>
      <c r="Q63" s="100">
        <v>11.25</v>
      </c>
      <c r="R63" s="6"/>
      <c r="S63" s="6"/>
      <c r="T63" s="156"/>
      <c r="U63" s="6"/>
    </row>
    <row r="64" spans="1:21" customFormat="1">
      <c r="A64" s="163" t="s">
        <v>582</v>
      </c>
      <c r="B64" s="100">
        <v>4.0199999999999996</v>
      </c>
      <c r="C64" s="100">
        <v>25.6</v>
      </c>
      <c r="D64" s="100">
        <v>17.95</v>
      </c>
      <c r="E64" s="100">
        <v>9.4499999999999993</v>
      </c>
      <c r="F64" s="152" t="s">
        <v>15</v>
      </c>
      <c r="G64" s="100">
        <v>65.349999999999994</v>
      </c>
      <c r="H64" s="100">
        <v>28.27</v>
      </c>
      <c r="I64" s="100">
        <v>12.77</v>
      </c>
      <c r="J64" s="100">
        <v>0.33</v>
      </c>
      <c r="K64" s="100">
        <v>77.900000000000006</v>
      </c>
      <c r="L64" s="100">
        <v>27.3</v>
      </c>
      <c r="M64" s="100">
        <v>22.28</v>
      </c>
      <c r="N64" s="100">
        <v>191.2</v>
      </c>
      <c r="O64" s="100">
        <v>0</v>
      </c>
      <c r="P64" s="100">
        <v>0.74</v>
      </c>
      <c r="Q64" s="100">
        <v>11.25</v>
      </c>
      <c r="R64" s="6"/>
      <c r="S64" s="6"/>
      <c r="T64" s="156"/>
      <c r="U64" s="6"/>
    </row>
    <row r="65" spans="1:21" customFormat="1">
      <c r="A65" s="163" t="s">
        <v>583</v>
      </c>
      <c r="B65" s="100">
        <v>4.01</v>
      </c>
      <c r="C65" s="100">
        <v>25.22</v>
      </c>
      <c r="D65" s="100">
        <v>17.739999999999998</v>
      </c>
      <c r="E65" s="100">
        <v>9.24</v>
      </c>
      <c r="F65" s="152" t="s">
        <v>15</v>
      </c>
      <c r="G65" s="100">
        <v>59.72</v>
      </c>
      <c r="H65" s="100">
        <v>27.3</v>
      </c>
      <c r="I65" s="100">
        <v>12.41</v>
      </c>
      <c r="J65" s="100">
        <v>0.52</v>
      </c>
      <c r="K65" s="100">
        <v>83.47</v>
      </c>
      <c r="L65" s="100">
        <v>27.13</v>
      </c>
      <c r="M65" s="100">
        <v>21.28</v>
      </c>
      <c r="N65" s="100">
        <v>97.3</v>
      </c>
      <c r="O65" s="100">
        <v>0</v>
      </c>
      <c r="P65" s="100">
        <v>0.71</v>
      </c>
      <c r="Q65" s="100">
        <v>11.25</v>
      </c>
      <c r="R65" s="6"/>
      <c r="S65" s="6"/>
      <c r="T65" s="156"/>
      <c r="U65" s="6"/>
    </row>
    <row r="66" spans="1:21" customFormat="1">
      <c r="A66" s="163" t="s">
        <v>584</v>
      </c>
      <c r="B66" s="100">
        <v>3.92</v>
      </c>
      <c r="C66" s="100">
        <v>24.53</v>
      </c>
      <c r="D66" s="100">
        <v>17.309999999999999</v>
      </c>
      <c r="E66" s="100">
        <v>9.2100000000000009</v>
      </c>
      <c r="F66" s="152" t="s">
        <v>15</v>
      </c>
      <c r="G66" s="100">
        <v>55.6</v>
      </c>
      <c r="H66" s="100">
        <v>27.01</v>
      </c>
      <c r="I66" s="100">
        <v>12.08</v>
      </c>
      <c r="J66" s="100">
        <v>0.15</v>
      </c>
      <c r="K66" s="100">
        <v>76.010000000000005</v>
      </c>
      <c r="L66" s="100">
        <v>26.9</v>
      </c>
      <c r="M66" s="100">
        <v>21.24</v>
      </c>
      <c r="N66" s="100">
        <v>115.3</v>
      </c>
      <c r="O66" s="100">
        <v>0</v>
      </c>
      <c r="P66" s="100">
        <v>0.7</v>
      </c>
      <c r="Q66" s="100">
        <v>11.25</v>
      </c>
      <c r="R66" s="6"/>
      <c r="S66" s="6"/>
      <c r="T66" s="156"/>
      <c r="U66" s="6"/>
    </row>
    <row r="67" spans="1:21" customFormat="1">
      <c r="A67" s="163" t="s">
        <v>585</v>
      </c>
      <c r="B67" s="100">
        <v>3.87</v>
      </c>
      <c r="C67" s="100">
        <v>23.65</v>
      </c>
      <c r="D67" s="100">
        <v>16.809999999999999</v>
      </c>
      <c r="E67" s="100">
        <v>9.48</v>
      </c>
      <c r="F67" s="152" t="s">
        <v>15</v>
      </c>
      <c r="G67" s="100">
        <v>55.6</v>
      </c>
      <c r="H67" s="100">
        <v>27.01</v>
      </c>
      <c r="I67" s="100">
        <v>11.59</v>
      </c>
      <c r="J67" s="100">
        <v>0.37</v>
      </c>
      <c r="K67" s="100">
        <v>85.55</v>
      </c>
      <c r="L67" s="100">
        <v>27.01</v>
      </c>
      <c r="M67" s="100">
        <v>20.73</v>
      </c>
      <c r="N67" s="100">
        <v>69.400000000000006</v>
      </c>
      <c r="O67" s="100">
        <v>0</v>
      </c>
      <c r="P67" s="100">
        <v>0.68</v>
      </c>
      <c r="Q67" s="100">
        <v>11.25</v>
      </c>
      <c r="R67" s="6"/>
      <c r="S67" s="6"/>
      <c r="T67" s="156"/>
      <c r="U67" s="6"/>
    </row>
    <row r="68" spans="1:21" customFormat="1">
      <c r="A68" s="163" t="s">
        <v>586</v>
      </c>
      <c r="B68" s="100">
        <v>3.88</v>
      </c>
      <c r="C68" s="100">
        <v>23.36</v>
      </c>
      <c r="D68" s="100">
        <v>16.670000000000002</v>
      </c>
      <c r="E68" s="100">
        <v>9.74</v>
      </c>
      <c r="F68" s="152" t="s">
        <v>15</v>
      </c>
      <c r="G68" s="100">
        <v>55.6</v>
      </c>
      <c r="H68" s="100">
        <v>27.01</v>
      </c>
      <c r="I68" s="100">
        <v>11.28</v>
      </c>
      <c r="J68" s="100">
        <v>0.55000000000000004</v>
      </c>
      <c r="K68" s="100">
        <v>54.68</v>
      </c>
      <c r="L68" s="100">
        <v>26.87</v>
      </c>
      <c r="M68" s="100">
        <v>21.45</v>
      </c>
      <c r="N68" s="100">
        <v>54.2</v>
      </c>
      <c r="O68" s="100">
        <v>0</v>
      </c>
      <c r="P68" s="100">
        <v>0.67</v>
      </c>
      <c r="Q68" s="100">
        <v>11.25</v>
      </c>
      <c r="R68" s="6"/>
      <c r="S68" s="6"/>
      <c r="T68" s="156"/>
      <c r="U68" s="6"/>
    </row>
    <row r="69" spans="1:21" customFormat="1">
      <c r="A69" s="163" t="s">
        <v>587</v>
      </c>
      <c r="B69" s="100">
        <v>3.89</v>
      </c>
      <c r="C69" s="100">
        <v>23.23</v>
      </c>
      <c r="D69" s="100">
        <v>16.600000000000001</v>
      </c>
      <c r="E69" s="100">
        <v>10.25</v>
      </c>
      <c r="F69" s="152" t="s">
        <v>15</v>
      </c>
      <c r="G69" s="100">
        <v>55.37</v>
      </c>
      <c r="H69" s="100">
        <v>23.65</v>
      </c>
      <c r="I69" s="100">
        <v>10.9</v>
      </c>
      <c r="J69" s="100">
        <v>0.56000000000000005</v>
      </c>
      <c r="K69" s="100">
        <v>53.2</v>
      </c>
      <c r="L69" s="100">
        <v>26.69</v>
      </c>
      <c r="M69" s="100">
        <v>20.420000000000002</v>
      </c>
      <c r="N69" s="100">
        <v>52.9</v>
      </c>
      <c r="O69" s="100">
        <v>0</v>
      </c>
      <c r="P69" s="100">
        <v>0.66</v>
      </c>
      <c r="Q69" s="100">
        <v>11.25</v>
      </c>
      <c r="R69" s="6"/>
      <c r="S69" s="6"/>
      <c r="T69" s="156"/>
      <c r="U69" s="6"/>
    </row>
    <row r="70" spans="1:21" customFormat="1">
      <c r="A70" s="163" t="s">
        <v>588</v>
      </c>
      <c r="B70" s="100">
        <v>3.91</v>
      </c>
      <c r="C70" s="100">
        <v>22.96</v>
      </c>
      <c r="D70" s="100">
        <v>16.48</v>
      </c>
      <c r="E70" s="100">
        <v>9.5500000000000007</v>
      </c>
      <c r="F70" s="152" t="s">
        <v>15</v>
      </c>
      <c r="G70" s="100">
        <v>55.2</v>
      </c>
      <c r="H70" s="100">
        <v>22.64</v>
      </c>
      <c r="I70" s="100">
        <v>10.48</v>
      </c>
      <c r="J70" s="100">
        <v>0.41</v>
      </c>
      <c r="K70" s="100">
        <v>69.78</v>
      </c>
      <c r="L70" s="100">
        <v>26.7</v>
      </c>
      <c r="M70" s="100">
        <v>20.95</v>
      </c>
      <c r="N70" s="100">
        <v>55.1</v>
      </c>
      <c r="O70" s="100">
        <v>0</v>
      </c>
      <c r="P70" s="100">
        <v>0.65</v>
      </c>
      <c r="Q70" s="100">
        <v>11.25</v>
      </c>
      <c r="R70" s="6"/>
      <c r="S70" s="6"/>
      <c r="T70" s="156"/>
      <c r="U70" s="6"/>
    </row>
    <row r="71" spans="1:21" customFormat="1">
      <c r="A71" s="163" t="s">
        <v>589</v>
      </c>
      <c r="B71" s="100">
        <v>3.85</v>
      </c>
      <c r="C71" s="100">
        <v>22.58</v>
      </c>
      <c r="D71" s="100">
        <v>16.239999999999998</v>
      </c>
      <c r="E71" s="100">
        <v>9.17</v>
      </c>
      <c r="F71" s="152" t="s">
        <v>15</v>
      </c>
      <c r="G71" s="100">
        <v>55.2</v>
      </c>
      <c r="H71" s="100">
        <v>22.64</v>
      </c>
      <c r="I71" s="100">
        <v>10.199999999999999</v>
      </c>
      <c r="J71" s="100">
        <v>0.62</v>
      </c>
      <c r="K71" s="100">
        <v>51.39</v>
      </c>
      <c r="L71" s="100">
        <v>26.7</v>
      </c>
      <c r="M71" s="100">
        <v>20.64</v>
      </c>
      <c r="N71" s="100">
        <v>42.5</v>
      </c>
      <c r="O71" s="100">
        <v>0</v>
      </c>
      <c r="P71" s="100">
        <v>0.65</v>
      </c>
      <c r="Q71" s="100">
        <v>11.25</v>
      </c>
      <c r="R71" s="6"/>
      <c r="S71" s="6"/>
      <c r="T71" s="156"/>
      <c r="U71" s="6"/>
    </row>
    <row r="72" spans="1:21" customFormat="1">
      <c r="A72" s="163" t="s">
        <v>590</v>
      </c>
      <c r="B72" s="100">
        <v>3.87</v>
      </c>
      <c r="C72" s="100">
        <v>22.5</v>
      </c>
      <c r="D72" s="100">
        <v>16.21</v>
      </c>
      <c r="E72" s="100">
        <v>8.81</v>
      </c>
      <c r="F72" s="152" t="s">
        <v>15</v>
      </c>
      <c r="G72" s="100">
        <v>55.2</v>
      </c>
      <c r="H72" s="100">
        <v>22.64</v>
      </c>
      <c r="I72" s="100">
        <v>9.9600000000000009</v>
      </c>
      <c r="J72" s="100">
        <v>0.16</v>
      </c>
      <c r="K72" s="100">
        <v>104.41</v>
      </c>
      <c r="L72" s="100">
        <v>26.35</v>
      </c>
      <c r="M72" s="100">
        <v>23.39</v>
      </c>
      <c r="N72" s="100">
        <v>36.5</v>
      </c>
      <c r="O72" s="100">
        <v>0</v>
      </c>
      <c r="P72" s="100">
        <v>0.64</v>
      </c>
      <c r="Q72" s="100">
        <v>11.25</v>
      </c>
      <c r="R72" s="6"/>
      <c r="S72" s="6"/>
      <c r="T72" s="156"/>
      <c r="U72" s="6"/>
    </row>
    <row r="73" spans="1:21" customFormat="1">
      <c r="A73" s="163" t="s">
        <v>591</v>
      </c>
      <c r="B73" s="100">
        <v>3.97</v>
      </c>
      <c r="C73" s="100">
        <v>22.3</v>
      </c>
      <c r="D73" s="100">
        <v>16.18</v>
      </c>
      <c r="E73" s="100">
        <v>9.65</v>
      </c>
      <c r="F73" s="152" t="s">
        <v>15</v>
      </c>
      <c r="G73" s="100">
        <v>53.75</v>
      </c>
      <c r="H73" s="100">
        <v>24.02</v>
      </c>
      <c r="I73" s="100">
        <v>9.73</v>
      </c>
      <c r="J73" s="100">
        <v>0.16</v>
      </c>
      <c r="K73" s="100">
        <v>161.71</v>
      </c>
      <c r="L73" s="100">
        <v>25.74</v>
      </c>
      <c r="M73" s="100">
        <v>24.6</v>
      </c>
      <c r="N73" s="100">
        <v>30.9</v>
      </c>
      <c r="O73" s="100">
        <v>0</v>
      </c>
      <c r="P73" s="100">
        <v>0.66</v>
      </c>
      <c r="Q73" s="100">
        <v>11.25</v>
      </c>
      <c r="R73" s="6"/>
      <c r="S73" s="6"/>
      <c r="T73" s="156"/>
      <c r="U73" s="6"/>
    </row>
    <row r="74" spans="1:21" customFormat="1">
      <c r="A74" s="163" t="s">
        <v>592</v>
      </c>
      <c r="B74" s="100">
        <v>4.1900000000000004</v>
      </c>
      <c r="C74" s="100">
        <v>21.78</v>
      </c>
      <c r="D74" s="100">
        <v>16.09</v>
      </c>
      <c r="E74" s="100">
        <v>8.6999999999999993</v>
      </c>
      <c r="F74" s="152" t="s">
        <v>15</v>
      </c>
      <c r="G74" s="100">
        <v>52.69</v>
      </c>
      <c r="H74" s="100">
        <v>24.43</v>
      </c>
      <c r="I74" s="100">
        <v>9.51</v>
      </c>
      <c r="J74" s="100">
        <v>0.19</v>
      </c>
      <c r="K74" s="100">
        <v>96.32</v>
      </c>
      <c r="L74" s="100">
        <v>25.56</v>
      </c>
      <c r="M74" s="100">
        <v>25</v>
      </c>
      <c r="N74" s="100">
        <v>27.7</v>
      </c>
      <c r="O74" s="100">
        <v>0</v>
      </c>
      <c r="P74" s="100">
        <v>0.67</v>
      </c>
      <c r="Q74" s="100">
        <v>11.25</v>
      </c>
      <c r="R74" s="6"/>
      <c r="S74" s="6"/>
      <c r="T74" s="156"/>
      <c r="U74" s="6"/>
    </row>
    <row r="75" spans="1:21" customFormat="1">
      <c r="A75" s="163" t="s">
        <v>593</v>
      </c>
      <c r="B75" s="100">
        <v>4.3499999999999996</v>
      </c>
      <c r="C75" s="100">
        <v>21.27</v>
      </c>
      <c r="D75" s="100">
        <v>15.95</v>
      </c>
      <c r="E75" s="100">
        <v>8.7899999999999991</v>
      </c>
      <c r="F75" s="152" t="s">
        <v>15</v>
      </c>
      <c r="G75" s="100">
        <v>52.69</v>
      </c>
      <c r="H75" s="100">
        <v>24.43</v>
      </c>
      <c r="I75" s="100">
        <v>9.3800000000000008</v>
      </c>
      <c r="J75" s="100">
        <v>0.24</v>
      </c>
      <c r="K75" s="100">
        <v>167.02</v>
      </c>
      <c r="L75" s="100">
        <v>25.12</v>
      </c>
      <c r="M75" s="100">
        <v>25.01</v>
      </c>
      <c r="N75" s="100">
        <v>19.899999999999999</v>
      </c>
      <c r="O75" s="100">
        <v>0</v>
      </c>
      <c r="P75" s="100">
        <v>0.67</v>
      </c>
      <c r="Q75" s="100">
        <v>11.25</v>
      </c>
      <c r="R75" s="6"/>
      <c r="S75" s="6"/>
      <c r="T75" s="156"/>
      <c r="U75" s="6"/>
    </row>
    <row r="76" spans="1:21" customFormat="1">
      <c r="A76" s="163" t="s">
        <v>594</v>
      </c>
      <c r="B76" s="133" t="s">
        <v>4</v>
      </c>
      <c r="C76" s="133" t="s">
        <v>4</v>
      </c>
      <c r="D76" s="133" t="s">
        <v>4</v>
      </c>
      <c r="E76" s="133" t="s">
        <v>4</v>
      </c>
      <c r="F76" s="133" t="s">
        <v>4</v>
      </c>
      <c r="G76" s="133" t="s">
        <v>4</v>
      </c>
      <c r="H76" s="133" t="s">
        <v>4</v>
      </c>
      <c r="I76" s="133" t="s">
        <v>4</v>
      </c>
      <c r="J76" s="133" t="s">
        <v>4</v>
      </c>
      <c r="K76" s="133" t="s">
        <v>4</v>
      </c>
      <c r="L76" s="133" t="s">
        <v>4</v>
      </c>
      <c r="M76" s="133" t="s">
        <v>4</v>
      </c>
      <c r="N76" s="133" t="s">
        <v>4</v>
      </c>
      <c r="O76" s="133" t="s">
        <v>4</v>
      </c>
      <c r="P76" s="133" t="s">
        <v>4</v>
      </c>
      <c r="Q76" s="133" t="s">
        <v>4</v>
      </c>
      <c r="R76" s="6"/>
      <c r="S76" s="6"/>
      <c r="T76" s="156"/>
      <c r="U76" s="6"/>
    </row>
    <row r="77" spans="1:21" customFormat="1">
      <c r="A77" s="163" t="s">
        <v>595</v>
      </c>
      <c r="B77" s="133" t="s">
        <v>4</v>
      </c>
      <c r="C77" s="133" t="s">
        <v>4</v>
      </c>
      <c r="D77" s="133" t="s">
        <v>4</v>
      </c>
      <c r="E77" s="133" t="s">
        <v>4</v>
      </c>
      <c r="F77" s="133" t="s">
        <v>4</v>
      </c>
      <c r="G77" s="133" t="s">
        <v>4</v>
      </c>
      <c r="H77" s="133" t="s">
        <v>4</v>
      </c>
      <c r="I77" s="133" t="s">
        <v>4</v>
      </c>
      <c r="J77" s="133" t="s">
        <v>4</v>
      </c>
      <c r="K77" s="133" t="s">
        <v>4</v>
      </c>
      <c r="L77" s="133" t="s">
        <v>4</v>
      </c>
      <c r="M77" s="133" t="s">
        <v>4</v>
      </c>
      <c r="N77" s="133" t="s">
        <v>4</v>
      </c>
      <c r="O77" s="133" t="s">
        <v>4</v>
      </c>
      <c r="P77" s="133" t="s">
        <v>4</v>
      </c>
      <c r="Q77" s="133" t="s">
        <v>4</v>
      </c>
      <c r="R77" s="6"/>
      <c r="S77" s="6"/>
      <c r="T77" s="156"/>
      <c r="U77" s="6"/>
    </row>
    <row r="78" spans="1:21" customFormat="1">
      <c r="A78" s="163" t="s">
        <v>596</v>
      </c>
      <c r="B78" s="133" t="s">
        <v>4</v>
      </c>
      <c r="C78" s="133" t="s">
        <v>4</v>
      </c>
      <c r="D78" s="133" t="s">
        <v>4</v>
      </c>
      <c r="E78" s="133" t="s">
        <v>4</v>
      </c>
      <c r="F78" s="133" t="s">
        <v>4</v>
      </c>
      <c r="G78" s="133" t="s">
        <v>4</v>
      </c>
      <c r="H78" s="133" t="s">
        <v>4</v>
      </c>
      <c r="I78" s="133" t="s">
        <v>4</v>
      </c>
      <c r="J78" s="133" t="s">
        <v>4</v>
      </c>
      <c r="K78" s="133" t="s">
        <v>4</v>
      </c>
      <c r="L78" s="133" t="s">
        <v>4</v>
      </c>
      <c r="M78" s="133" t="s">
        <v>4</v>
      </c>
      <c r="N78" s="133" t="s">
        <v>4</v>
      </c>
      <c r="O78" s="133" t="s">
        <v>4</v>
      </c>
      <c r="P78" s="133" t="s">
        <v>4</v>
      </c>
      <c r="Q78" s="133" t="s">
        <v>4</v>
      </c>
      <c r="R78" s="6"/>
      <c r="S78" s="6"/>
      <c r="T78" s="156"/>
      <c r="U78" s="6"/>
    </row>
    <row r="79" spans="1:21" customFormat="1">
      <c r="A79" s="163" t="s">
        <v>597</v>
      </c>
      <c r="B79" s="133" t="s">
        <v>4</v>
      </c>
      <c r="C79" s="133" t="s">
        <v>4</v>
      </c>
      <c r="D79" s="133" t="s">
        <v>4</v>
      </c>
      <c r="E79" s="133" t="s">
        <v>4</v>
      </c>
      <c r="F79" s="133" t="s">
        <v>4</v>
      </c>
      <c r="G79" s="133" t="s">
        <v>4</v>
      </c>
      <c r="H79" s="133" t="s">
        <v>4</v>
      </c>
      <c r="I79" s="133" t="s">
        <v>4</v>
      </c>
      <c r="J79" s="133" t="s">
        <v>4</v>
      </c>
      <c r="K79" s="133" t="s">
        <v>4</v>
      </c>
      <c r="L79" s="133" t="s">
        <v>4</v>
      </c>
      <c r="M79" s="133" t="s">
        <v>4</v>
      </c>
      <c r="N79" s="133" t="s">
        <v>4</v>
      </c>
      <c r="O79" s="133" t="s">
        <v>4</v>
      </c>
      <c r="P79" s="133" t="s">
        <v>4</v>
      </c>
      <c r="Q79" s="133" t="s">
        <v>4</v>
      </c>
      <c r="R79" s="6"/>
      <c r="S79" s="6"/>
      <c r="T79" s="156"/>
      <c r="U79" s="6"/>
    </row>
    <row r="80" spans="1:21" customFormat="1">
      <c r="A80" s="163" t="s">
        <v>598</v>
      </c>
      <c r="B80" s="133" t="s">
        <v>4</v>
      </c>
      <c r="C80" s="133" t="s">
        <v>4</v>
      </c>
      <c r="D80" s="133" t="s">
        <v>4</v>
      </c>
      <c r="E80" s="133" t="s">
        <v>4</v>
      </c>
      <c r="F80" s="133" t="s">
        <v>4</v>
      </c>
      <c r="G80" s="133" t="s">
        <v>4</v>
      </c>
      <c r="H80" s="133" t="s">
        <v>4</v>
      </c>
      <c r="I80" s="133" t="s">
        <v>4</v>
      </c>
      <c r="J80" s="133" t="s">
        <v>4</v>
      </c>
      <c r="K80" s="133" t="s">
        <v>4</v>
      </c>
      <c r="L80" s="133" t="s">
        <v>4</v>
      </c>
      <c r="M80" s="133" t="s">
        <v>4</v>
      </c>
      <c r="N80" s="133" t="s">
        <v>4</v>
      </c>
      <c r="O80" s="133" t="s">
        <v>4</v>
      </c>
      <c r="P80" s="133" t="s">
        <v>4</v>
      </c>
      <c r="Q80" s="133" t="s">
        <v>4</v>
      </c>
      <c r="R80" s="6"/>
      <c r="S80" s="6"/>
      <c r="T80" s="156"/>
      <c r="U80" s="6"/>
    </row>
    <row r="81" spans="1:21" customFormat="1">
      <c r="A81" s="163" t="s">
        <v>599</v>
      </c>
      <c r="B81" s="133" t="s">
        <v>4</v>
      </c>
      <c r="C81" s="133" t="s">
        <v>4</v>
      </c>
      <c r="D81" s="133" t="s">
        <v>4</v>
      </c>
      <c r="E81" s="133" t="s">
        <v>4</v>
      </c>
      <c r="F81" s="133" t="s">
        <v>4</v>
      </c>
      <c r="G81" s="133" t="s">
        <v>4</v>
      </c>
      <c r="H81" s="133" t="s">
        <v>4</v>
      </c>
      <c r="I81" s="133" t="s">
        <v>4</v>
      </c>
      <c r="J81" s="133" t="s">
        <v>4</v>
      </c>
      <c r="K81" s="133" t="s">
        <v>4</v>
      </c>
      <c r="L81" s="133" t="s">
        <v>4</v>
      </c>
      <c r="M81" s="133" t="s">
        <v>4</v>
      </c>
      <c r="N81" s="133" t="s">
        <v>4</v>
      </c>
      <c r="O81" s="133" t="s">
        <v>4</v>
      </c>
      <c r="P81" s="133" t="s">
        <v>4</v>
      </c>
      <c r="Q81" s="133" t="s">
        <v>4</v>
      </c>
      <c r="R81" s="6"/>
      <c r="S81" s="6"/>
      <c r="T81" s="156"/>
      <c r="U81" s="6"/>
    </row>
    <row r="82" spans="1:21" customFormat="1">
      <c r="A82" s="163" t="s">
        <v>600</v>
      </c>
      <c r="B82" s="133" t="s">
        <v>4</v>
      </c>
      <c r="C82" s="133" t="s">
        <v>4</v>
      </c>
      <c r="D82" s="133" t="s">
        <v>4</v>
      </c>
      <c r="E82" s="133" t="s">
        <v>4</v>
      </c>
      <c r="F82" s="133" t="s">
        <v>4</v>
      </c>
      <c r="G82" s="133" t="s">
        <v>4</v>
      </c>
      <c r="H82" s="133" t="s">
        <v>4</v>
      </c>
      <c r="I82" s="133" t="s">
        <v>4</v>
      </c>
      <c r="J82" s="133" t="s">
        <v>4</v>
      </c>
      <c r="K82" s="133" t="s">
        <v>4</v>
      </c>
      <c r="L82" s="133" t="s">
        <v>4</v>
      </c>
      <c r="M82" s="133" t="s">
        <v>4</v>
      </c>
      <c r="N82" s="133" t="s">
        <v>4</v>
      </c>
      <c r="O82" s="133" t="s">
        <v>4</v>
      </c>
      <c r="P82" s="133" t="s">
        <v>4</v>
      </c>
      <c r="Q82" s="133" t="s">
        <v>4</v>
      </c>
      <c r="R82" s="6"/>
      <c r="S82" s="6"/>
      <c r="T82" s="156"/>
      <c r="U82" s="6"/>
    </row>
    <row r="83" spans="1:21" customFormat="1">
      <c r="A83" s="163" t="s">
        <v>601</v>
      </c>
      <c r="B83" s="133" t="s">
        <v>4</v>
      </c>
      <c r="C83" s="133" t="s">
        <v>4</v>
      </c>
      <c r="D83" s="133" t="s">
        <v>4</v>
      </c>
      <c r="E83" s="133" t="s">
        <v>4</v>
      </c>
      <c r="F83" s="133" t="s">
        <v>4</v>
      </c>
      <c r="G83" s="133" t="s">
        <v>4</v>
      </c>
      <c r="H83" s="133" t="s">
        <v>4</v>
      </c>
      <c r="I83" s="133" t="s">
        <v>4</v>
      </c>
      <c r="J83" s="133" t="s">
        <v>4</v>
      </c>
      <c r="K83" s="133" t="s">
        <v>4</v>
      </c>
      <c r="L83" s="133" t="s">
        <v>4</v>
      </c>
      <c r="M83" s="133" t="s">
        <v>4</v>
      </c>
      <c r="N83" s="133" t="s">
        <v>4</v>
      </c>
      <c r="O83" s="133" t="s">
        <v>4</v>
      </c>
      <c r="P83" s="133" t="s">
        <v>4</v>
      </c>
      <c r="Q83" s="133" t="s">
        <v>4</v>
      </c>
      <c r="R83" s="6"/>
      <c r="S83" s="6"/>
      <c r="T83" s="156"/>
      <c r="U83" s="6"/>
    </row>
    <row r="84" spans="1:21" customFormat="1">
      <c r="A84" s="163" t="s">
        <v>602</v>
      </c>
      <c r="B84" s="133" t="s">
        <v>4</v>
      </c>
      <c r="C84" s="133" t="s">
        <v>4</v>
      </c>
      <c r="D84" s="133" t="s">
        <v>4</v>
      </c>
      <c r="E84" s="133" t="s">
        <v>4</v>
      </c>
      <c r="F84" s="133" t="s">
        <v>4</v>
      </c>
      <c r="G84" s="133" t="s">
        <v>4</v>
      </c>
      <c r="H84" s="133" t="s">
        <v>4</v>
      </c>
      <c r="I84" s="133" t="s">
        <v>4</v>
      </c>
      <c r="J84" s="133" t="s">
        <v>4</v>
      </c>
      <c r="K84" s="133" t="s">
        <v>4</v>
      </c>
      <c r="L84" s="133" t="s">
        <v>4</v>
      </c>
      <c r="M84" s="133" t="s">
        <v>4</v>
      </c>
      <c r="N84" s="133" t="s">
        <v>4</v>
      </c>
      <c r="O84" s="133" t="s">
        <v>4</v>
      </c>
      <c r="P84" s="133" t="s">
        <v>4</v>
      </c>
      <c r="Q84" s="133" t="s">
        <v>4</v>
      </c>
      <c r="R84" s="6"/>
      <c r="S84" s="6"/>
      <c r="T84" s="156"/>
      <c r="U84" s="6"/>
    </row>
    <row r="85" spans="1:21" customFormat="1">
      <c r="A85" s="163" t="s">
        <v>603</v>
      </c>
      <c r="B85" s="133" t="s">
        <v>4</v>
      </c>
      <c r="C85" s="133" t="s">
        <v>4</v>
      </c>
      <c r="D85" s="133" t="s">
        <v>4</v>
      </c>
      <c r="E85" s="133" t="s">
        <v>4</v>
      </c>
      <c r="F85" s="133" t="s">
        <v>4</v>
      </c>
      <c r="G85" s="133" t="s">
        <v>4</v>
      </c>
      <c r="H85" s="133" t="s">
        <v>4</v>
      </c>
      <c r="I85" s="133" t="s">
        <v>4</v>
      </c>
      <c r="J85" s="133" t="s">
        <v>4</v>
      </c>
      <c r="K85" s="133" t="s">
        <v>4</v>
      </c>
      <c r="L85" s="133" t="s">
        <v>4</v>
      </c>
      <c r="M85" s="133" t="s">
        <v>4</v>
      </c>
      <c r="N85" s="133" t="s">
        <v>4</v>
      </c>
      <c r="O85" s="133" t="s">
        <v>4</v>
      </c>
      <c r="P85" s="133" t="s">
        <v>4</v>
      </c>
      <c r="Q85" s="133" t="s">
        <v>4</v>
      </c>
      <c r="R85" s="6"/>
      <c r="S85" s="6"/>
      <c r="T85" s="156"/>
      <c r="U85" s="6"/>
    </row>
    <row r="86" spans="1:21" customFormat="1">
      <c r="A86" s="163" t="s">
        <v>604</v>
      </c>
      <c r="B86" s="133" t="s">
        <v>4</v>
      </c>
      <c r="C86" s="133" t="s">
        <v>4</v>
      </c>
      <c r="D86" s="133" t="s">
        <v>4</v>
      </c>
      <c r="E86" s="133" t="s">
        <v>4</v>
      </c>
      <c r="F86" s="133" t="s">
        <v>4</v>
      </c>
      <c r="G86" s="133" t="s">
        <v>4</v>
      </c>
      <c r="H86" s="133" t="s">
        <v>4</v>
      </c>
      <c r="I86" s="133" t="s">
        <v>4</v>
      </c>
      <c r="J86" s="133" t="s">
        <v>4</v>
      </c>
      <c r="K86" s="133" t="s">
        <v>4</v>
      </c>
      <c r="L86" s="133" t="s">
        <v>4</v>
      </c>
      <c r="M86" s="133" t="s">
        <v>4</v>
      </c>
      <c r="N86" s="133" t="s">
        <v>4</v>
      </c>
      <c r="O86" s="133" t="s">
        <v>4</v>
      </c>
      <c r="P86" s="133" t="s">
        <v>4</v>
      </c>
      <c r="Q86" s="133" t="s">
        <v>4</v>
      </c>
      <c r="R86" s="6"/>
      <c r="S86" s="6"/>
      <c r="T86" s="156"/>
      <c r="U86" s="6"/>
    </row>
    <row r="87" spans="1:21" customFormat="1">
      <c r="A87" s="163" t="s">
        <v>605</v>
      </c>
      <c r="B87" s="133" t="s">
        <v>4</v>
      </c>
      <c r="C87" s="133" t="s">
        <v>4</v>
      </c>
      <c r="D87" s="133" t="s">
        <v>4</v>
      </c>
      <c r="E87" s="133" t="s">
        <v>4</v>
      </c>
      <c r="F87" s="133" t="s">
        <v>4</v>
      </c>
      <c r="G87" s="133" t="s">
        <v>4</v>
      </c>
      <c r="H87" s="133" t="s">
        <v>4</v>
      </c>
      <c r="I87" s="133" t="s">
        <v>4</v>
      </c>
      <c r="J87" s="133" t="s">
        <v>4</v>
      </c>
      <c r="K87" s="133" t="s">
        <v>4</v>
      </c>
      <c r="L87" s="133" t="s">
        <v>4</v>
      </c>
      <c r="M87" s="133" t="s">
        <v>4</v>
      </c>
      <c r="N87" s="133" t="s">
        <v>4</v>
      </c>
      <c r="O87" s="133" t="s">
        <v>4</v>
      </c>
      <c r="P87" s="133" t="s">
        <v>4</v>
      </c>
      <c r="Q87" s="133" t="s">
        <v>4</v>
      </c>
      <c r="R87" s="6"/>
      <c r="S87" s="6"/>
      <c r="T87" s="156"/>
      <c r="U87" s="6"/>
    </row>
    <row r="88" spans="1:21" customFormat="1">
      <c r="A88" s="163" t="s">
        <v>606</v>
      </c>
      <c r="B88" s="133" t="s">
        <v>4</v>
      </c>
      <c r="C88" s="133" t="s">
        <v>4</v>
      </c>
      <c r="D88" s="133" t="s">
        <v>4</v>
      </c>
      <c r="E88" s="133" t="s">
        <v>4</v>
      </c>
      <c r="F88" s="133" t="s">
        <v>4</v>
      </c>
      <c r="G88" s="133" t="s">
        <v>4</v>
      </c>
      <c r="H88" s="133" t="s">
        <v>4</v>
      </c>
      <c r="I88" s="133" t="s">
        <v>4</v>
      </c>
      <c r="J88" s="133" t="s">
        <v>4</v>
      </c>
      <c r="K88" s="133" t="s">
        <v>4</v>
      </c>
      <c r="L88" s="133" t="s">
        <v>4</v>
      </c>
      <c r="M88" s="133" t="s">
        <v>4</v>
      </c>
      <c r="N88" s="133" t="s">
        <v>4</v>
      </c>
      <c r="O88" s="133" t="s">
        <v>4</v>
      </c>
      <c r="P88" s="133" t="s">
        <v>4</v>
      </c>
      <c r="Q88" s="133" t="s">
        <v>4</v>
      </c>
      <c r="R88" s="6"/>
      <c r="S88" s="6"/>
      <c r="T88" s="156"/>
      <c r="U88" s="6"/>
    </row>
    <row r="89" spans="1:21" customFormat="1">
      <c r="A89" s="163" t="s">
        <v>607</v>
      </c>
      <c r="B89" s="133" t="s">
        <v>4</v>
      </c>
      <c r="C89" s="133" t="s">
        <v>4</v>
      </c>
      <c r="D89" s="133" t="s">
        <v>4</v>
      </c>
      <c r="E89" s="133" t="s">
        <v>4</v>
      </c>
      <c r="F89" s="133" t="s">
        <v>4</v>
      </c>
      <c r="G89" s="133" t="s">
        <v>4</v>
      </c>
      <c r="H89" s="133" t="s">
        <v>4</v>
      </c>
      <c r="I89" s="133" t="s">
        <v>4</v>
      </c>
      <c r="J89" s="133" t="s">
        <v>4</v>
      </c>
      <c r="K89" s="133" t="s">
        <v>4</v>
      </c>
      <c r="L89" s="133" t="s">
        <v>4</v>
      </c>
      <c r="M89" s="133" t="s">
        <v>4</v>
      </c>
      <c r="N89" s="133" t="s">
        <v>4</v>
      </c>
      <c r="O89" s="133" t="s">
        <v>4</v>
      </c>
      <c r="P89" s="133" t="s">
        <v>4</v>
      </c>
      <c r="Q89" s="133" t="s">
        <v>4</v>
      </c>
      <c r="R89" s="6"/>
      <c r="S89" s="6"/>
      <c r="T89" s="156"/>
      <c r="U89" s="6"/>
    </row>
    <row r="90" spans="1:21" customFormat="1">
      <c r="A90" s="163" t="s">
        <v>608</v>
      </c>
      <c r="B90" s="133" t="s">
        <v>4</v>
      </c>
      <c r="C90" s="133" t="s">
        <v>4</v>
      </c>
      <c r="D90" s="133" t="s">
        <v>4</v>
      </c>
      <c r="E90" s="133" t="s">
        <v>4</v>
      </c>
      <c r="F90" s="133" t="s">
        <v>4</v>
      </c>
      <c r="G90" s="133" t="s">
        <v>4</v>
      </c>
      <c r="H90" s="133" t="s">
        <v>4</v>
      </c>
      <c r="I90" s="133" t="s">
        <v>4</v>
      </c>
      <c r="J90" s="133" t="s">
        <v>4</v>
      </c>
      <c r="K90" s="133" t="s">
        <v>4</v>
      </c>
      <c r="L90" s="133" t="s">
        <v>4</v>
      </c>
      <c r="M90" s="133" t="s">
        <v>4</v>
      </c>
      <c r="N90" s="133" t="s">
        <v>4</v>
      </c>
      <c r="O90" s="133" t="s">
        <v>4</v>
      </c>
      <c r="P90" s="133" t="s">
        <v>4</v>
      </c>
      <c r="Q90" s="133" t="s">
        <v>4</v>
      </c>
      <c r="R90" s="6"/>
      <c r="S90" s="6"/>
      <c r="T90" s="156"/>
      <c r="U90" s="6"/>
    </row>
    <row r="91" spans="1:21" customFormat="1">
      <c r="A91" s="163" t="s">
        <v>609</v>
      </c>
      <c r="B91" s="133" t="s">
        <v>4</v>
      </c>
      <c r="C91" s="133" t="s">
        <v>4</v>
      </c>
      <c r="D91" s="133" t="s">
        <v>4</v>
      </c>
      <c r="E91" s="133" t="s">
        <v>4</v>
      </c>
      <c r="F91" s="133" t="s">
        <v>4</v>
      </c>
      <c r="G91" s="133" t="s">
        <v>4</v>
      </c>
      <c r="H91" s="133" t="s">
        <v>4</v>
      </c>
      <c r="I91" s="133" t="s">
        <v>4</v>
      </c>
      <c r="J91" s="133" t="s">
        <v>4</v>
      </c>
      <c r="K91" s="133" t="s">
        <v>4</v>
      </c>
      <c r="L91" s="133" t="s">
        <v>4</v>
      </c>
      <c r="M91" s="133" t="s">
        <v>4</v>
      </c>
      <c r="N91" s="133" t="s">
        <v>4</v>
      </c>
      <c r="O91" s="133" t="s">
        <v>4</v>
      </c>
      <c r="P91" s="133" t="s">
        <v>4</v>
      </c>
      <c r="Q91" s="133" t="s">
        <v>4</v>
      </c>
      <c r="R91" s="6"/>
      <c r="S91" s="6"/>
      <c r="T91" s="156"/>
      <c r="U91" s="6"/>
    </row>
    <row r="92" spans="1:21" customFormat="1">
      <c r="A92" s="163" t="s">
        <v>610</v>
      </c>
      <c r="B92" s="133" t="s">
        <v>4</v>
      </c>
      <c r="C92" s="133" t="s">
        <v>4</v>
      </c>
      <c r="D92" s="133" t="s">
        <v>4</v>
      </c>
      <c r="E92" s="133" t="s">
        <v>4</v>
      </c>
      <c r="F92" s="133" t="s">
        <v>4</v>
      </c>
      <c r="G92" s="133" t="s">
        <v>4</v>
      </c>
      <c r="H92" s="133" t="s">
        <v>4</v>
      </c>
      <c r="I92" s="133" t="s">
        <v>4</v>
      </c>
      <c r="J92" s="133" t="s">
        <v>4</v>
      </c>
      <c r="K92" s="133" t="s">
        <v>4</v>
      </c>
      <c r="L92" s="133" t="s">
        <v>4</v>
      </c>
      <c r="M92" s="133" t="s">
        <v>4</v>
      </c>
      <c r="N92" s="133" t="s">
        <v>4</v>
      </c>
      <c r="O92" s="133" t="s">
        <v>4</v>
      </c>
      <c r="P92" s="133" t="s">
        <v>4</v>
      </c>
      <c r="Q92" s="133" t="s">
        <v>4</v>
      </c>
      <c r="R92" s="6"/>
      <c r="S92" s="6"/>
      <c r="T92" s="156"/>
      <c r="U92" s="6"/>
    </row>
    <row r="93" spans="1:21" customFormat="1">
      <c r="A93" s="163" t="s">
        <v>611</v>
      </c>
      <c r="B93" s="133" t="s">
        <v>4</v>
      </c>
      <c r="C93" s="133" t="s">
        <v>4</v>
      </c>
      <c r="D93" s="133" t="s">
        <v>4</v>
      </c>
      <c r="E93" s="133" t="s">
        <v>4</v>
      </c>
      <c r="F93" s="133" t="s">
        <v>4</v>
      </c>
      <c r="G93" s="133" t="s">
        <v>4</v>
      </c>
      <c r="H93" s="133" t="s">
        <v>4</v>
      </c>
      <c r="I93" s="133" t="s">
        <v>4</v>
      </c>
      <c r="J93" s="133" t="s">
        <v>4</v>
      </c>
      <c r="K93" s="133" t="s">
        <v>4</v>
      </c>
      <c r="L93" s="133" t="s">
        <v>4</v>
      </c>
      <c r="M93" s="133" t="s">
        <v>4</v>
      </c>
      <c r="N93" s="133" t="s">
        <v>4</v>
      </c>
      <c r="O93" s="133" t="s">
        <v>4</v>
      </c>
      <c r="P93" s="133" t="s">
        <v>4</v>
      </c>
      <c r="Q93" s="133" t="s">
        <v>4</v>
      </c>
      <c r="R93" s="6"/>
      <c r="S93" s="6"/>
      <c r="T93" s="156"/>
      <c r="U93" s="6"/>
    </row>
    <row r="94" spans="1:21" customFormat="1">
      <c r="A94" s="163" t="s">
        <v>612</v>
      </c>
      <c r="B94" s="133" t="s">
        <v>4</v>
      </c>
      <c r="C94" s="133" t="s">
        <v>4</v>
      </c>
      <c r="D94" s="133" t="s">
        <v>4</v>
      </c>
      <c r="E94" s="133" t="s">
        <v>4</v>
      </c>
      <c r="F94" s="133" t="s">
        <v>4</v>
      </c>
      <c r="G94" s="133" t="s">
        <v>4</v>
      </c>
      <c r="H94" s="133" t="s">
        <v>4</v>
      </c>
      <c r="I94" s="133" t="s">
        <v>4</v>
      </c>
      <c r="J94" s="133" t="s">
        <v>4</v>
      </c>
      <c r="K94" s="133" t="s">
        <v>4</v>
      </c>
      <c r="L94" s="133" t="s">
        <v>4</v>
      </c>
      <c r="M94" s="133" t="s">
        <v>4</v>
      </c>
      <c r="N94" s="133" t="s">
        <v>4</v>
      </c>
      <c r="O94" s="133" t="s">
        <v>4</v>
      </c>
      <c r="P94" s="133" t="s">
        <v>4</v>
      </c>
      <c r="Q94" s="133" t="s">
        <v>4</v>
      </c>
      <c r="R94" s="6"/>
      <c r="S94" s="6"/>
      <c r="T94" s="156"/>
      <c r="U94" s="6"/>
    </row>
    <row r="95" spans="1:21" customFormat="1">
      <c r="A95" s="163" t="s">
        <v>613</v>
      </c>
      <c r="B95" s="133" t="s">
        <v>4</v>
      </c>
      <c r="C95" s="133" t="s">
        <v>4</v>
      </c>
      <c r="D95" s="133" t="s">
        <v>4</v>
      </c>
      <c r="E95" s="133" t="s">
        <v>4</v>
      </c>
      <c r="F95" s="133" t="s">
        <v>4</v>
      </c>
      <c r="G95" s="133" t="s">
        <v>4</v>
      </c>
      <c r="H95" s="133" t="s">
        <v>4</v>
      </c>
      <c r="I95" s="133" t="s">
        <v>4</v>
      </c>
      <c r="J95" s="133" t="s">
        <v>4</v>
      </c>
      <c r="K95" s="133" t="s">
        <v>4</v>
      </c>
      <c r="L95" s="133" t="s">
        <v>4</v>
      </c>
      <c r="M95" s="133" t="s">
        <v>4</v>
      </c>
      <c r="N95" s="133" t="s">
        <v>4</v>
      </c>
      <c r="O95" s="133" t="s">
        <v>4</v>
      </c>
      <c r="P95" s="133" t="s">
        <v>4</v>
      </c>
      <c r="Q95" s="133" t="s">
        <v>4</v>
      </c>
      <c r="R95" s="6"/>
      <c r="S95" s="6"/>
      <c r="T95" s="156"/>
      <c r="U95" s="6"/>
    </row>
    <row r="96" spans="1:21" customFormat="1">
      <c r="A96" s="163" t="s">
        <v>614</v>
      </c>
      <c r="B96" s="133" t="s">
        <v>4</v>
      </c>
      <c r="C96" s="133" t="s">
        <v>4</v>
      </c>
      <c r="D96" s="133" t="s">
        <v>4</v>
      </c>
      <c r="E96" s="133" t="s">
        <v>4</v>
      </c>
      <c r="F96" s="133" t="s">
        <v>4</v>
      </c>
      <c r="G96" s="133" t="s">
        <v>4</v>
      </c>
      <c r="H96" s="133" t="s">
        <v>4</v>
      </c>
      <c r="I96" s="133" t="s">
        <v>4</v>
      </c>
      <c r="J96" s="133" t="s">
        <v>4</v>
      </c>
      <c r="K96" s="133" t="s">
        <v>4</v>
      </c>
      <c r="L96" s="133" t="s">
        <v>4</v>
      </c>
      <c r="M96" s="133" t="s">
        <v>4</v>
      </c>
      <c r="N96" s="133" t="s">
        <v>4</v>
      </c>
      <c r="O96" s="133" t="s">
        <v>4</v>
      </c>
      <c r="P96" s="133" t="s">
        <v>4</v>
      </c>
      <c r="Q96" s="133" t="s">
        <v>4</v>
      </c>
      <c r="R96" s="6"/>
      <c r="S96" s="6"/>
      <c r="T96" s="156"/>
      <c r="U96" s="6"/>
    </row>
    <row r="97" spans="1:28" customFormat="1">
      <c r="A97" s="163" t="s">
        <v>615</v>
      </c>
      <c r="B97" s="133" t="s">
        <v>4</v>
      </c>
      <c r="C97" s="133" t="s">
        <v>4</v>
      </c>
      <c r="D97" s="133" t="s">
        <v>4</v>
      </c>
      <c r="E97" s="133" t="s">
        <v>4</v>
      </c>
      <c r="F97" s="133" t="s">
        <v>4</v>
      </c>
      <c r="G97" s="133" t="s">
        <v>4</v>
      </c>
      <c r="H97" s="133" t="s">
        <v>4</v>
      </c>
      <c r="I97" s="133" t="s">
        <v>4</v>
      </c>
      <c r="J97" s="133" t="s">
        <v>4</v>
      </c>
      <c r="K97" s="133" t="s">
        <v>4</v>
      </c>
      <c r="L97" s="133" t="s">
        <v>4</v>
      </c>
      <c r="M97" s="133" t="s">
        <v>4</v>
      </c>
      <c r="N97" s="133" t="s">
        <v>4</v>
      </c>
      <c r="O97" s="133" t="s">
        <v>4</v>
      </c>
      <c r="P97" s="133" t="s">
        <v>4</v>
      </c>
      <c r="Q97" s="133" t="s">
        <v>4</v>
      </c>
      <c r="R97" s="6"/>
      <c r="S97" s="6"/>
      <c r="T97" s="156"/>
      <c r="U97" s="6"/>
    </row>
    <row r="98" spans="1:28" customFormat="1">
      <c r="A98" s="163" t="s">
        <v>616</v>
      </c>
      <c r="B98" s="133" t="s">
        <v>4</v>
      </c>
      <c r="C98" s="133" t="s">
        <v>4</v>
      </c>
      <c r="D98" s="133" t="s">
        <v>4</v>
      </c>
      <c r="E98" s="133" t="s">
        <v>4</v>
      </c>
      <c r="F98" s="133" t="s">
        <v>4</v>
      </c>
      <c r="G98" s="133" t="s">
        <v>4</v>
      </c>
      <c r="H98" s="133" t="s">
        <v>4</v>
      </c>
      <c r="I98" s="133" t="s">
        <v>4</v>
      </c>
      <c r="J98" s="133" t="s">
        <v>4</v>
      </c>
      <c r="K98" s="133" t="s">
        <v>4</v>
      </c>
      <c r="L98" s="133" t="s">
        <v>4</v>
      </c>
      <c r="M98" s="133" t="s">
        <v>4</v>
      </c>
      <c r="N98" s="133" t="s">
        <v>4</v>
      </c>
      <c r="O98" s="133" t="s">
        <v>4</v>
      </c>
      <c r="P98" s="133" t="s">
        <v>4</v>
      </c>
      <c r="Q98" s="133" t="s">
        <v>4</v>
      </c>
      <c r="R98" s="6"/>
      <c r="S98" s="6"/>
      <c r="T98" s="156"/>
      <c r="U98" s="6"/>
    </row>
    <row r="99" spans="1:28" customFormat="1">
      <c r="A99" s="163" t="s">
        <v>617</v>
      </c>
      <c r="B99" s="133" t="s">
        <v>4</v>
      </c>
      <c r="C99" s="133" t="s">
        <v>4</v>
      </c>
      <c r="D99" s="133" t="s">
        <v>4</v>
      </c>
      <c r="E99" s="133" t="s">
        <v>4</v>
      </c>
      <c r="F99" s="133" t="s">
        <v>4</v>
      </c>
      <c r="G99" s="133" t="s">
        <v>4</v>
      </c>
      <c r="H99" s="133" t="s">
        <v>4</v>
      </c>
      <c r="I99" s="133" t="s">
        <v>4</v>
      </c>
      <c r="J99" s="133" t="s">
        <v>4</v>
      </c>
      <c r="K99" s="133" t="s">
        <v>4</v>
      </c>
      <c r="L99" s="133" t="s">
        <v>4</v>
      </c>
      <c r="M99" s="133" t="s">
        <v>4</v>
      </c>
      <c r="N99" s="133" t="s">
        <v>4</v>
      </c>
      <c r="O99" s="133" t="s">
        <v>4</v>
      </c>
      <c r="P99" s="133" t="s">
        <v>4</v>
      </c>
      <c r="Q99" s="133" t="s">
        <v>4</v>
      </c>
      <c r="R99" s="6"/>
      <c r="S99" s="6"/>
      <c r="T99" s="156"/>
      <c r="U99" s="6"/>
    </row>
    <row r="100" spans="1:28" customFormat="1">
      <c r="A100" s="163" t="s">
        <v>618</v>
      </c>
      <c r="B100" s="133" t="s">
        <v>4</v>
      </c>
      <c r="C100" s="133" t="s">
        <v>4</v>
      </c>
      <c r="D100" s="133" t="s">
        <v>4</v>
      </c>
      <c r="E100" s="133" t="s">
        <v>4</v>
      </c>
      <c r="F100" s="133" t="s">
        <v>4</v>
      </c>
      <c r="G100" s="133" t="s">
        <v>4</v>
      </c>
      <c r="H100" s="133" t="s">
        <v>4</v>
      </c>
      <c r="I100" s="133" t="s">
        <v>4</v>
      </c>
      <c r="J100" s="133" t="s">
        <v>4</v>
      </c>
      <c r="K100" s="133" t="s">
        <v>4</v>
      </c>
      <c r="L100" s="133" t="s">
        <v>4</v>
      </c>
      <c r="M100" s="133" t="s">
        <v>4</v>
      </c>
      <c r="N100" s="133" t="s">
        <v>4</v>
      </c>
      <c r="O100" s="133" t="s">
        <v>4</v>
      </c>
      <c r="P100" s="133" t="s">
        <v>4</v>
      </c>
      <c r="Q100" s="133" t="s">
        <v>4</v>
      </c>
      <c r="R100" s="6"/>
      <c r="S100" s="6"/>
      <c r="T100" s="156"/>
      <c r="U100" s="6"/>
      <c r="AB100" s="161"/>
    </row>
    <row r="101" spans="1:28" customFormat="1">
      <c r="A101" s="163" t="s">
        <v>619</v>
      </c>
      <c r="B101" s="133" t="s">
        <v>4</v>
      </c>
      <c r="C101" s="133" t="s">
        <v>4</v>
      </c>
      <c r="D101" s="133" t="s">
        <v>4</v>
      </c>
      <c r="E101" s="133" t="s">
        <v>4</v>
      </c>
      <c r="F101" s="133" t="s">
        <v>4</v>
      </c>
      <c r="G101" s="133" t="s">
        <v>4</v>
      </c>
      <c r="H101" s="133" t="s">
        <v>4</v>
      </c>
      <c r="I101" s="133" t="s">
        <v>4</v>
      </c>
      <c r="J101" s="133" t="s">
        <v>4</v>
      </c>
      <c r="K101" s="133" t="s">
        <v>4</v>
      </c>
      <c r="L101" s="133" t="s">
        <v>4</v>
      </c>
      <c r="M101" s="133" t="s">
        <v>4</v>
      </c>
      <c r="N101" s="133" t="s">
        <v>4</v>
      </c>
      <c r="O101" s="133" t="s">
        <v>4</v>
      </c>
      <c r="P101" s="133" t="s">
        <v>4</v>
      </c>
      <c r="Q101" s="133" t="s">
        <v>4</v>
      </c>
      <c r="R101" s="6"/>
      <c r="S101" s="6"/>
      <c r="T101" s="156"/>
      <c r="U101" s="6"/>
    </row>
    <row r="102" spans="1:28" customFormat="1">
      <c r="A102" s="163" t="s">
        <v>620</v>
      </c>
      <c r="B102" s="133" t="s">
        <v>4</v>
      </c>
      <c r="C102" s="133" t="s">
        <v>4</v>
      </c>
      <c r="D102" s="133" t="s">
        <v>4</v>
      </c>
      <c r="E102" s="133" t="s">
        <v>4</v>
      </c>
      <c r="F102" s="133" t="s">
        <v>4</v>
      </c>
      <c r="G102" s="133" t="s">
        <v>4</v>
      </c>
      <c r="H102" s="133" t="s">
        <v>4</v>
      </c>
      <c r="I102" s="133" t="s">
        <v>4</v>
      </c>
      <c r="J102" s="133" t="s">
        <v>4</v>
      </c>
      <c r="K102" s="133" t="s">
        <v>4</v>
      </c>
      <c r="L102" s="133" t="s">
        <v>4</v>
      </c>
      <c r="M102" s="133" t="s">
        <v>4</v>
      </c>
      <c r="N102" s="133" t="s">
        <v>4</v>
      </c>
      <c r="O102" s="133" t="s">
        <v>4</v>
      </c>
      <c r="P102" s="133" t="s">
        <v>4</v>
      </c>
      <c r="Q102" s="133" t="s">
        <v>4</v>
      </c>
      <c r="R102" s="6"/>
      <c r="S102" s="6"/>
      <c r="T102" s="156"/>
      <c r="U102" s="6"/>
    </row>
    <row r="103" spans="1:28" customFormat="1">
      <c r="A103" s="163" t="s">
        <v>621</v>
      </c>
      <c r="B103" s="133" t="s">
        <v>4</v>
      </c>
      <c r="C103" s="133" t="s">
        <v>4</v>
      </c>
      <c r="D103" s="133" t="s">
        <v>4</v>
      </c>
      <c r="E103" s="133" t="s">
        <v>4</v>
      </c>
      <c r="F103" s="133" t="s">
        <v>4</v>
      </c>
      <c r="G103" s="133" t="s">
        <v>4</v>
      </c>
      <c r="H103" s="133" t="s">
        <v>4</v>
      </c>
      <c r="I103" s="133" t="s">
        <v>4</v>
      </c>
      <c r="J103" s="133" t="s">
        <v>4</v>
      </c>
      <c r="K103" s="133" t="s">
        <v>4</v>
      </c>
      <c r="L103" s="133" t="s">
        <v>4</v>
      </c>
      <c r="M103" s="133" t="s">
        <v>4</v>
      </c>
      <c r="N103" s="133" t="s">
        <v>4</v>
      </c>
      <c r="O103" s="133" t="s">
        <v>4</v>
      </c>
      <c r="P103" s="133" t="s">
        <v>4</v>
      </c>
      <c r="Q103" s="133" t="s">
        <v>4</v>
      </c>
      <c r="R103" s="6"/>
      <c r="S103" s="6"/>
      <c r="T103" s="156"/>
      <c r="U103" s="6"/>
    </row>
    <row r="104" spans="1:28" customFormat="1">
      <c r="A104" s="163" t="s">
        <v>622</v>
      </c>
      <c r="B104" s="133" t="s">
        <v>4</v>
      </c>
      <c r="C104" s="133" t="s">
        <v>4</v>
      </c>
      <c r="D104" s="133" t="s">
        <v>4</v>
      </c>
      <c r="E104" s="133" t="s">
        <v>4</v>
      </c>
      <c r="F104" s="133" t="s">
        <v>4</v>
      </c>
      <c r="G104" s="133" t="s">
        <v>4</v>
      </c>
      <c r="H104" s="133" t="s">
        <v>4</v>
      </c>
      <c r="I104" s="133" t="s">
        <v>4</v>
      </c>
      <c r="J104" s="133" t="s">
        <v>4</v>
      </c>
      <c r="K104" s="133" t="s">
        <v>4</v>
      </c>
      <c r="L104" s="133" t="s">
        <v>4</v>
      </c>
      <c r="M104" s="133" t="s">
        <v>4</v>
      </c>
      <c r="N104" s="133" t="s">
        <v>4</v>
      </c>
      <c r="O104" s="133" t="s">
        <v>4</v>
      </c>
      <c r="P104" s="133" t="s">
        <v>4</v>
      </c>
      <c r="Q104" s="133" t="s">
        <v>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3.85</v>
      </c>
      <c r="C106" s="158">
        <f>MIN(C9:C104)</f>
        <v>21.27</v>
      </c>
      <c r="D106" s="158">
        <f t="shared" ref="D106:Q106" si="0">MIN(D9:D104)</f>
        <v>15.95</v>
      </c>
      <c r="E106" s="158">
        <f t="shared" si="0"/>
        <v>6.69</v>
      </c>
      <c r="F106" s="158">
        <f t="shared" si="0"/>
        <v>0</v>
      </c>
      <c r="G106" s="158">
        <f t="shared" si="0"/>
        <v>52.69</v>
      </c>
      <c r="H106" s="158">
        <f t="shared" si="0"/>
        <v>22.64</v>
      </c>
      <c r="I106" s="158">
        <f t="shared" si="0"/>
        <v>9.3800000000000008</v>
      </c>
      <c r="J106" s="158">
        <f t="shared" si="0"/>
        <v>0.05</v>
      </c>
      <c r="K106" s="158">
        <f t="shared" si="0"/>
        <v>12.57</v>
      </c>
      <c r="L106" s="158">
        <f t="shared" si="0"/>
        <v>10.15</v>
      </c>
      <c r="M106" s="158">
        <f t="shared" si="0"/>
        <v>20.420000000000002</v>
      </c>
      <c r="N106" s="158">
        <f t="shared" si="0"/>
        <v>0.6</v>
      </c>
      <c r="O106" s="158">
        <f t="shared" si="0"/>
        <v>0</v>
      </c>
      <c r="P106" s="158">
        <f t="shared" si="0"/>
        <v>0.64</v>
      </c>
      <c r="Q106" s="158">
        <f t="shared" si="0"/>
        <v>11.25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57.37</v>
      </c>
      <c r="C107" s="157">
        <f t="shared" ref="C107:Q107" si="1">MAX(C9:C104)</f>
        <v>31.69</v>
      </c>
      <c r="D107" s="157">
        <f t="shared" si="1"/>
        <v>61.98</v>
      </c>
      <c r="E107" s="157">
        <f t="shared" si="1"/>
        <v>10.25</v>
      </c>
      <c r="F107" s="157">
        <f t="shared" si="1"/>
        <v>0</v>
      </c>
      <c r="G107" s="157">
        <f t="shared" si="1"/>
        <v>146.88999999999999</v>
      </c>
      <c r="H107" s="157">
        <f t="shared" si="1"/>
        <v>39.79</v>
      </c>
      <c r="I107" s="157">
        <f t="shared" si="1"/>
        <v>21.43</v>
      </c>
      <c r="J107" s="157">
        <f t="shared" si="1"/>
        <v>0.85</v>
      </c>
      <c r="K107" s="157">
        <f t="shared" si="1"/>
        <v>216.74</v>
      </c>
      <c r="L107" s="157">
        <f t="shared" si="1"/>
        <v>27.67</v>
      </c>
      <c r="M107" s="157">
        <f t="shared" si="1"/>
        <v>93.81</v>
      </c>
      <c r="N107" s="157">
        <f t="shared" si="1"/>
        <v>461</v>
      </c>
      <c r="O107" s="157">
        <f t="shared" si="1"/>
        <v>0</v>
      </c>
      <c r="P107" s="157">
        <f t="shared" si="1"/>
        <v>1.28</v>
      </c>
      <c r="Q107" s="157">
        <f t="shared" si="1"/>
        <v>11.25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30.313582089552238</v>
      </c>
      <c r="C108" s="158">
        <f t="shared" ref="C108:Q108" si="2">AVERAGE(C9:C104)</f>
        <v>27.096268656716422</v>
      </c>
      <c r="D108" s="158">
        <f t="shared" si="2"/>
        <v>39.817462686567154</v>
      </c>
      <c r="E108" s="158">
        <f t="shared" si="2"/>
        <v>9.3691044776119412</v>
      </c>
      <c r="F108" s="158" t="e">
        <f t="shared" si="2"/>
        <v>#DIV/0!</v>
      </c>
      <c r="G108" s="158">
        <f t="shared" si="2"/>
        <v>101.85298507462691</v>
      </c>
      <c r="H108" s="158">
        <f t="shared" si="2"/>
        <v>32.903582089552231</v>
      </c>
      <c r="I108" s="158">
        <f t="shared" si="2"/>
        <v>16.2144776119403</v>
      </c>
      <c r="J108" s="158">
        <f t="shared" si="2"/>
        <v>0.30955223880597016</v>
      </c>
      <c r="K108" s="158">
        <f t="shared" si="2"/>
        <v>116.81671641791048</v>
      </c>
      <c r="L108" s="158">
        <f t="shared" si="2"/>
        <v>18.521641791044772</v>
      </c>
      <c r="M108" s="158">
        <f t="shared" si="2"/>
        <v>55.918358208955219</v>
      </c>
      <c r="N108" s="158">
        <f t="shared" si="2"/>
        <v>130.91791044776116</v>
      </c>
      <c r="O108" s="158">
        <f t="shared" si="2"/>
        <v>0</v>
      </c>
      <c r="P108" s="158">
        <f t="shared" si="2"/>
        <v>1.0647761194029854</v>
      </c>
      <c r="Q108" s="158">
        <f t="shared" si="2"/>
        <v>11.25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19.967551154195935</v>
      </c>
      <c r="C109" s="158">
        <f t="shared" ref="C109:Q109" si="3">STDEV(C9:C104)</f>
        <v>2.4647704643397326</v>
      </c>
      <c r="D109" s="158">
        <f t="shared" si="3"/>
        <v>16.246256290742696</v>
      </c>
      <c r="E109" s="158">
        <f t="shared" si="3"/>
        <v>0.54709904743740867</v>
      </c>
      <c r="F109" s="158" t="e">
        <f t="shared" si="3"/>
        <v>#DIV/0!</v>
      </c>
      <c r="G109" s="158">
        <f t="shared" si="3"/>
        <v>27.844967284511757</v>
      </c>
      <c r="H109" s="158">
        <f t="shared" si="3"/>
        <v>4.6048849890197339</v>
      </c>
      <c r="I109" s="158">
        <f t="shared" si="3"/>
        <v>3.1119818705078983</v>
      </c>
      <c r="J109" s="158">
        <f t="shared" si="3"/>
        <v>0.20593050339801597</v>
      </c>
      <c r="K109" s="158">
        <f t="shared" si="3"/>
        <v>57.918923776939735</v>
      </c>
      <c r="L109" s="158">
        <f t="shared" si="3"/>
        <v>6.711470867334187</v>
      </c>
      <c r="M109" s="158">
        <f t="shared" si="3"/>
        <v>27.952008850507223</v>
      </c>
      <c r="N109" s="158">
        <f t="shared" si="3"/>
        <v>167.12316899146398</v>
      </c>
      <c r="O109" s="158">
        <f t="shared" si="3"/>
        <v>0</v>
      </c>
      <c r="P109" s="158">
        <f t="shared" si="3"/>
        <v>0.22971892053415635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COUNT(B9:B104)+29</f>
        <v>96</v>
      </c>
      <c r="C110" s="157">
        <f t="shared" ref="C110:Q110" si="4">COUNT(C9:C104)+29</f>
        <v>96</v>
      </c>
      <c r="D110" s="157">
        <f t="shared" si="4"/>
        <v>96</v>
      </c>
      <c r="E110" s="157">
        <f t="shared" si="4"/>
        <v>96</v>
      </c>
      <c r="F110" s="157"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K99" sqref="K9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623</v>
      </c>
      <c r="B9" s="100">
        <v>20.18</v>
      </c>
      <c r="C9" s="100">
        <v>22.06</v>
      </c>
      <c r="D9" s="100">
        <v>29.06</v>
      </c>
      <c r="E9" s="100">
        <v>7.45</v>
      </c>
      <c r="F9" s="152" t="s">
        <v>15</v>
      </c>
      <c r="G9" s="100">
        <v>147.74</v>
      </c>
      <c r="H9" s="100">
        <v>29.64</v>
      </c>
      <c r="I9" s="100">
        <v>13.68</v>
      </c>
      <c r="J9" s="100">
        <v>0.2</v>
      </c>
      <c r="K9" s="100">
        <v>165.99</v>
      </c>
      <c r="L9" s="100">
        <v>14.41</v>
      </c>
      <c r="M9" s="100">
        <v>81.42</v>
      </c>
      <c r="N9" s="100">
        <v>1.2</v>
      </c>
      <c r="O9" s="100">
        <v>0</v>
      </c>
      <c r="P9" s="100">
        <v>1.05</v>
      </c>
      <c r="Q9" s="100">
        <v>13.03</v>
      </c>
      <c r="R9" s="6"/>
      <c r="S9" s="6"/>
      <c r="T9" s="156"/>
      <c r="U9" s="6"/>
    </row>
    <row r="10" spans="1:21" customFormat="1">
      <c r="A10" s="163" t="s">
        <v>624</v>
      </c>
      <c r="B10" s="100">
        <v>20.87</v>
      </c>
      <c r="C10" s="100">
        <v>21.96</v>
      </c>
      <c r="D10" s="100">
        <v>29.56</v>
      </c>
      <c r="E10" s="100">
        <v>7.35</v>
      </c>
      <c r="F10" s="152" t="s">
        <v>15</v>
      </c>
      <c r="G10" s="100">
        <v>116.33</v>
      </c>
      <c r="H10" s="100">
        <v>30.17</v>
      </c>
      <c r="I10" s="100">
        <v>13.82</v>
      </c>
      <c r="J10" s="100">
        <v>0.14000000000000001</v>
      </c>
      <c r="K10" s="100">
        <v>190.17</v>
      </c>
      <c r="L10" s="100">
        <v>14.1</v>
      </c>
      <c r="M10" s="100">
        <v>83.62</v>
      </c>
      <c r="N10" s="100">
        <v>1.3</v>
      </c>
      <c r="O10" s="100">
        <v>0</v>
      </c>
      <c r="P10" s="100">
        <v>1.06</v>
      </c>
      <c r="Q10" s="100">
        <v>13.03</v>
      </c>
      <c r="R10" s="6"/>
      <c r="S10" s="6"/>
      <c r="T10" s="156"/>
      <c r="U10" s="6"/>
    </row>
    <row r="11" spans="1:21" customFormat="1">
      <c r="A11" s="163" t="s">
        <v>625</v>
      </c>
      <c r="B11" s="100">
        <v>21.09</v>
      </c>
      <c r="C11" s="100">
        <v>21.84</v>
      </c>
      <c r="D11" s="100">
        <v>29.67</v>
      </c>
      <c r="E11" s="100">
        <v>7.61</v>
      </c>
      <c r="F11" s="152" t="s">
        <v>15</v>
      </c>
      <c r="G11" s="100">
        <v>116.33</v>
      </c>
      <c r="H11" s="100">
        <v>30.17</v>
      </c>
      <c r="I11" s="100">
        <v>13.93</v>
      </c>
      <c r="J11" s="100">
        <v>0.09</v>
      </c>
      <c r="K11" s="100">
        <v>190.47</v>
      </c>
      <c r="L11" s="100">
        <v>14.01</v>
      </c>
      <c r="M11" s="100">
        <v>82.64</v>
      </c>
      <c r="N11" s="100">
        <v>1.1000000000000001</v>
      </c>
      <c r="O11" s="100">
        <v>0</v>
      </c>
      <c r="P11" s="100">
        <v>1.05</v>
      </c>
      <c r="Q11" s="100">
        <v>13.02</v>
      </c>
      <c r="R11" s="6"/>
      <c r="S11" s="6"/>
      <c r="T11" s="156"/>
      <c r="U11" s="6"/>
    </row>
    <row r="12" spans="1:21" customFormat="1">
      <c r="A12" s="163" t="s">
        <v>626</v>
      </c>
      <c r="B12" s="100">
        <v>21.46</v>
      </c>
      <c r="C12" s="100">
        <v>21.91</v>
      </c>
      <c r="D12" s="100">
        <v>30.01</v>
      </c>
      <c r="E12" s="100">
        <v>7.21</v>
      </c>
      <c r="F12" s="152" t="s">
        <v>15</v>
      </c>
      <c r="G12" s="100">
        <v>116.33</v>
      </c>
      <c r="H12" s="100">
        <v>30.17</v>
      </c>
      <c r="I12" s="100">
        <v>14</v>
      </c>
      <c r="J12" s="100">
        <v>0.12</v>
      </c>
      <c r="K12" s="100">
        <v>86.45</v>
      </c>
      <c r="L12" s="100">
        <v>13.89</v>
      </c>
      <c r="M12" s="100">
        <v>78.41</v>
      </c>
      <c r="N12" s="100">
        <v>1.1000000000000001</v>
      </c>
      <c r="O12" s="100">
        <v>0</v>
      </c>
      <c r="P12" s="100">
        <v>1.05</v>
      </c>
      <c r="Q12" s="100">
        <v>13.04</v>
      </c>
      <c r="R12" s="6"/>
      <c r="S12" s="6"/>
      <c r="T12" s="156"/>
      <c r="U12" s="6"/>
    </row>
    <row r="13" spans="1:21" customFormat="1">
      <c r="A13" s="163" t="s">
        <v>627</v>
      </c>
      <c r="B13" s="100">
        <v>24.29</v>
      </c>
      <c r="C13" s="100">
        <v>22.45</v>
      </c>
      <c r="D13" s="100">
        <v>32.56</v>
      </c>
      <c r="E13" s="100">
        <v>7.47</v>
      </c>
      <c r="F13" s="152" t="s">
        <v>15</v>
      </c>
      <c r="G13" s="100">
        <v>118.94</v>
      </c>
      <c r="H13" s="100">
        <v>29.64</v>
      </c>
      <c r="I13" s="100">
        <v>14.02</v>
      </c>
      <c r="J13" s="100">
        <v>0.1</v>
      </c>
      <c r="K13" s="100">
        <v>220.83</v>
      </c>
      <c r="L13" s="100">
        <v>14.33</v>
      </c>
      <c r="M13" s="100">
        <v>75.239999999999995</v>
      </c>
      <c r="N13" s="100">
        <v>0.9</v>
      </c>
      <c r="O13" s="100">
        <v>0</v>
      </c>
      <c r="P13" s="100">
        <v>1.07</v>
      </c>
      <c r="Q13" s="100">
        <v>13.04</v>
      </c>
      <c r="R13" s="6"/>
      <c r="S13" s="6"/>
      <c r="T13" s="156"/>
      <c r="U13" s="6"/>
    </row>
    <row r="14" spans="1:21" customFormat="1">
      <c r="A14" s="163" t="s">
        <v>628</v>
      </c>
      <c r="B14" s="100">
        <v>29.22</v>
      </c>
      <c r="C14" s="100">
        <v>23.01</v>
      </c>
      <c r="D14" s="100">
        <v>36.799999999999997</v>
      </c>
      <c r="E14" s="100">
        <v>7.93</v>
      </c>
      <c r="F14" s="152" t="s">
        <v>15</v>
      </c>
      <c r="G14" s="100">
        <v>120.85</v>
      </c>
      <c r="H14" s="100">
        <v>29.32</v>
      </c>
      <c r="I14" s="100">
        <v>14.07</v>
      </c>
      <c r="J14" s="100">
        <v>0.1</v>
      </c>
      <c r="K14" s="100">
        <v>184.11</v>
      </c>
      <c r="L14" s="100">
        <v>14.17</v>
      </c>
      <c r="M14" s="100">
        <v>76.790000000000006</v>
      </c>
      <c r="N14" s="100">
        <v>1.2</v>
      </c>
      <c r="O14" s="100">
        <v>0</v>
      </c>
      <c r="P14" s="100">
        <v>1.07</v>
      </c>
      <c r="Q14" s="100">
        <v>13.05</v>
      </c>
      <c r="R14" s="6"/>
      <c r="S14" s="6"/>
      <c r="T14" s="156"/>
      <c r="U14" s="6"/>
    </row>
    <row r="15" spans="1:21" customFormat="1">
      <c r="A15" s="163" t="s">
        <v>629</v>
      </c>
      <c r="B15" s="100">
        <v>34.119999999999997</v>
      </c>
      <c r="C15" s="100">
        <v>23.39</v>
      </c>
      <c r="D15" s="100">
        <v>40.93</v>
      </c>
      <c r="E15" s="100">
        <v>7.84</v>
      </c>
      <c r="F15" s="152" t="s">
        <v>15</v>
      </c>
      <c r="G15" s="100">
        <v>120.85</v>
      </c>
      <c r="H15" s="100">
        <v>29.32</v>
      </c>
      <c r="I15" s="100">
        <v>14.14</v>
      </c>
      <c r="J15" s="100">
        <v>0.17</v>
      </c>
      <c r="K15" s="100">
        <v>172.82</v>
      </c>
      <c r="L15" s="100">
        <v>13.81</v>
      </c>
      <c r="M15" s="100">
        <v>81.05</v>
      </c>
      <c r="N15" s="100">
        <v>1.4</v>
      </c>
      <c r="O15" s="100">
        <v>0</v>
      </c>
      <c r="P15" s="100">
        <v>1.0900000000000001</v>
      </c>
      <c r="Q15" s="100">
        <v>13.08</v>
      </c>
      <c r="R15" s="6"/>
      <c r="S15" s="6"/>
      <c r="T15" s="156"/>
      <c r="U15" s="6"/>
    </row>
    <row r="16" spans="1:21" customFormat="1">
      <c r="A16" s="163" t="s">
        <v>630</v>
      </c>
      <c r="B16" s="100">
        <v>37.92</v>
      </c>
      <c r="C16" s="100">
        <v>23.53</v>
      </c>
      <c r="D16" s="100">
        <v>44.06</v>
      </c>
      <c r="E16" s="100">
        <v>7.99</v>
      </c>
      <c r="F16" s="152" t="s">
        <v>15</v>
      </c>
      <c r="G16" s="100">
        <v>120.85</v>
      </c>
      <c r="H16" s="100">
        <v>29.32</v>
      </c>
      <c r="I16" s="100">
        <v>14.22</v>
      </c>
      <c r="J16" s="100">
        <v>0.18</v>
      </c>
      <c r="K16" s="100">
        <v>218.85</v>
      </c>
      <c r="L16" s="100">
        <v>13.47</v>
      </c>
      <c r="M16" s="100">
        <v>85.8</v>
      </c>
      <c r="N16" s="100">
        <v>1.4</v>
      </c>
      <c r="O16" s="100">
        <v>0</v>
      </c>
      <c r="P16" s="100">
        <v>1.1000000000000001</v>
      </c>
      <c r="Q16" s="100">
        <v>13.09</v>
      </c>
      <c r="R16" s="6"/>
      <c r="S16" s="6"/>
      <c r="T16" s="156"/>
      <c r="U16" s="6"/>
    </row>
    <row r="17" spans="1:21" customFormat="1">
      <c r="A17" s="163" t="s">
        <v>631</v>
      </c>
      <c r="B17" s="100">
        <v>40.369999999999997</v>
      </c>
      <c r="C17" s="100">
        <v>23.58</v>
      </c>
      <c r="D17" s="100">
        <v>46.04</v>
      </c>
      <c r="E17" s="100">
        <v>7.28</v>
      </c>
      <c r="F17" s="152" t="s">
        <v>15</v>
      </c>
      <c r="G17" s="100">
        <v>113.9</v>
      </c>
      <c r="H17" s="100">
        <v>28.46</v>
      </c>
      <c r="I17" s="100">
        <v>14.29</v>
      </c>
      <c r="J17" s="100">
        <v>0.19</v>
      </c>
      <c r="K17" s="100">
        <v>219.21</v>
      </c>
      <c r="L17" s="100">
        <v>12.94</v>
      </c>
      <c r="M17" s="100">
        <v>89</v>
      </c>
      <c r="N17" s="100">
        <v>1.4</v>
      </c>
      <c r="O17" s="100">
        <v>0</v>
      </c>
      <c r="P17" s="100">
        <v>1.1000000000000001</v>
      </c>
      <c r="Q17" s="100">
        <v>13.09</v>
      </c>
      <c r="R17" s="6"/>
      <c r="S17" s="6"/>
      <c r="T17" s="156"/>
      <c r="U17" s="6"/>
    </row>
    <row r="18" spans="1:21" customFormat="1">
      <c r="A18" s="163" t="s">
        <v>632</v>
      </c>
      <c r="B18" s="100">
        <v>41.59</v>
      </c>
      <c r="C18" s="100">
        <v>23.22</v>
      </c>
      <c r="D18" s="100">
        <v>46.83</v>
      </c>
      <c r="E18" s="100">
        <v>8.4700000000000006</v>
      </c>
      <c r="F18" s="152" t="s">
        <v>15</v>
      </c>
      <c r="G18" s="100">
        <v>108.83</v>
      </c>
      <c r="H18" s="100">
        <v>28.18</v>
      </c>
      <c r="I18" s="100">
        <v>14.3</v>
      </c>
      <c r="J18" s="100">
        <v>0.19</v>
      </c>
      <c r="K18" s="100">
        <v>227.4</v>
      </c>
      <c r="L18" s="100">
        <v>12.63</v>
      </c>
      <c r="M18" s="100">
        <v>89.29</v>
      </c>
      <c r="N18" s="100">
        <v>1.4</v>
      </c>
      <c r="O18" s="100">
        <v>0</v>
      </c>
      <c r="P18" s="100">
        <v>1.1000000000000001</v>
      </c>
      <c r="Q18" s="100">
        <v>13.09</v>
      </c>
      <c r="R18" s="6"/>
      <c r="S18" s="6"/>
      <c r="T18" s="156"/>
      <c r="U18" s="6"/>
    </row>
    <row r="19" spans="1:21" customFormat="1">
      <c r="A19" s="163" t="s">
        <v>633</v>
      </c>
      <c r="B19" s="100">
        <v>41.93</v>
      </c>
      <c r="C19" s="100">
        <v>22.96</v>
      </c>
      <c r="D19" s="100">
        <v>46.97</v>
      </c>
      <c r="E19" s="100">
        <v>8.64</v>
      </c>
      <c r="F19" s="152" t="s">
        <v>15</v>
      </c>
      <c r="G19" s="100">
        <v>108.83</v>
      </c>
      <c r="H19" s="100">
        <v>28.18</v>
      </c>
      <c r="I19" s="100">
        <v>14.35</v>
      </c>
      <c r="J19" s="100">
        <v>0.15</v>
      </c>
      <c r="K19" s="100">
        <v>213.63</v>
      </c>
      <c r="L19" s="100">
        <v>12.51</v>
      </c>
      <c r="M19" s="100">
        <v>88.62</v>
      </c>
      <c r="N19" s="100">
        <v>1.2</v>
      </c>
      <c r="O19" s="100">
        <v>0</v>
      </c>
      <c r="P19" s="100">
        <v>1.07</v>
      </c>
      <c r="Q19" s="100">
        <v>13.1</v>
      </c>
      <c r="R19" s="6"/>
      <c r="S19" s="6"/>
      <c r="T19" s="156"/>
      <c r="U19" s="6"/>
    </row>
    <row r="20" spans="1:21" customFormat="1">
      <c r="A20" s="163" t="s">
        <v>634</v>
      </c>
      <c r="B20" s="100">
        <v>41.73</v>
      </c>
      <c r="C20" s="100">
        <v>22.7</v>
      </c>
      <c r="D20" s="100">
        <v>46.68</v>
      </c>
      <c r="E20" s="100">
        <v>8.51</v>
      </c>
      <c r="F20" s="152" t="s">
        <v>15</v>
      </c>
      <c r="G20" s="100">
        <v>108.83</v>
      </c>
      <c r="H20" s="100">
        <v>28.18</v>
      </c>
      <c r="I20" s="100">
        <v>14.44</v>
      </c>
      <c r="J20" s="100">
        <v>0.17</v>
      </c>
      <c r="K20" s="100">
        <v>191.95</v>
      </c>
      <c r="L20" s="100">
        <v>12.51</v>
      </c>
      <c r="M20" s="100">
        <v>90.07</v>
      </c>
      <c r="N20" s="100">
        <v>1</v>
      </c>
      <c r="O20" s="100">
        <v>0</v>
      </c>
      <c r="P20" s="100">
        <v>1.07</v>
      </c>
      <c r="Q20" s="100">
        <v>13.11</v>
      </c>
      <c r="R20" s="6"/>
      <c r="S20" s="6"/>
      <c r="T20" s="156"/>
      <c r="U20" s="6"/>
    </row>
    <row r="21" spans="1:21" customFormat="1">
      <c r="A21" s="163" t="s">
        <v>635</v>
      </c>
      <c r="B21" s="100">
        <v>41.4</v>
      </c>
      <c r="C21" s="100">
        <v>22.31</v>
      </c>
      <c r="D21" s="100">
        <v>46.2</v>
      </c>
      <c r="E21" s="100">
        <v>8.73</v>
      </c>
      <c r="F21" s="152" t="s">
        <v>15</v>
      </c>
      <c r="G21" s="100">
        <v>98.89</v>
      </c>
      <c r="H21" s="100">
        <v>28.15</v>
      </c>
      <c r="I21" s="100">
        <v>14.54</v>
      </c>
      <c r="J21" s="100">
        <v>0.19</v>
      </c>
      <c r="K21" s="100">
        <v>158.29</v>
      </c>
      <c r="L21" s="100">
        <v>12.54</v>
      </c>
      <c r="M21" s="100">
        <v>91.02</v>
      </c>
      <c r="N21" s="100">
        <v>1.2</v>
      </c>
      <c r="O21" s="100">
        <v>0</v>
      </c>
      <c r="P21" s="100">
        <v>1.0900000000000001</v>
      </c>
      <c r="Q21" s="100">
        <v>13.12</v>
      </c>
      <c r="R21" s="6"/>
      <c r="S21" s="6"/>
      <c r="T21" s="156"/>
      <c r="U21" s="6"/>
    </row>
    <row r="22" spans="1:21" customFormat="1">
      <c r="A22" s="163" t="s">
        <v>636</v>
      </c>
      <c r="B22" s="100">
        <v>40.96</v>
      </c>
      <c r="C22" s="100">
        <v>21.81</v>
      </c>
      <c r="D22" s="100">
        <v>45.6</v>
      </c>
      <c r="E22" s="100">
        <v>7.87</v>
      </c>
      <c r="F22" s="152" t="s">
        <v>15</v>
      </c>
      <c r="G22" s="100">
        <v>91.63</v>
      </c>
      <c r="H22" s="100">
        <v>28.14</v>
      </c>
      <c r="I22" s="100">
        <v>14.69</v>
      </c>
      <c r="J22" s="100">
        <v>0.16</v>
      </c>
      <c r="K22" s="100">
        <v>154.84</v>
      </c>
      <c r="L22" s="100">
        <v>12.44</v>
      </c>
      <c r="M22" s="100">
        <v>91.37</v>
      </c>
      <c r="N22" s="100">
        <v>1</v>
      </c>
      <c r="O22" s="100">
        <v>0</v>
      </c>
      <c r="P22" s="100">
        <v>1.0900000000000001</v>
      </c>
      <c r="Q22" s="100">
        <v>13.12</v>
      </c>
      <c r="R22" s="6"/>
      <c r="S22" s="6"/>
      <c r="T22" s="156"/>
      <c r="U22" s="6"/>
    </row>
    <row r="23" spans="1:21" customFormat="1">
      <c r="A23" s="163" t="s">
        <v>637</v>
      </c>
      <c r="B23" s="100">
        <v>40.25</v>
      </c>
      <c r="C23" s="100">
        <v>21.46</v>
      </c>
      <c r="D23" s="100">
        <v>44.84</v>
      </c>
      <c r="E23" s="100">
        <v>8.99</v>
      </c>
      <c r="F23" s="152" t="s">
        <v>15</v>
      </c>
      <c r="G23" s="100">
        <v>91.63</v>
      </c>
      <c r="H23" s="100">
        <v>28.14</v>
      </c>
      <c r="I23" s="100">
        <v>14.89</v>
      </c>
      <c r="J23" s="100">
        <v>0.14000000000000001</v>
      </c>
      <c r="K23" s="100">
        <v>154.61000000000001</v>
      </c>
      <c r="L23" s="100">
        <v>12.32</v>
      </c>
      <c r="M23" s="100">
        <v>92.2</v>
      </c>
      <c r="N23" s="100">
        <v>1</v>
      </c>
      <c r="O23" s="100">
        <v>0</v>
      </c>
      <c r="P23" s="100">
        <v>1.0900000000000001</v>
      </c>
      <c r="Q23" s="100">
        <v>13.1</v>
      </c>
      <c r="R23" s="6"/>
      <c r="S23" s="6"/>
      <c r="T23" s="156"/>
      <c r="U23" s="6"/>
    </row>
    <row r="24" spans="1:21" customFormat="1">
      <c r="A24" s="163" t="s">
        <v>638</v>
      </c>
      <c r="B24" s="100">
        <v>39.020000000000003</v>
      </c>
      <c r="C24" s="100">
        <v>21.03</v>
      </c>
      <c r="D24" s="100">
        <v>43.63</v>
      </c>
      <c r="E24" s="100">
        <v>8.93</v>
      </c>
      <c r="F24" s="152" t="s">
        <v>15</v>
      </c>
      <c r="G24" s="100">
        <v>91.63</v>
      </c>
      <c r="H24" s="100">
        <v>28.14</v>
      </c>
      <c r="I24" s="100">
        <v>15.19</v>
      </c>
      <c r="J24" s="100">
        <v>0.16</v>
      </c>
      <c r="K24" s="100">
        <v>147.49</v>
      </c>
      <c r="L24" s="100">
        <v>12.33</v>
      </c>
      <c r="M24" s="100">
        <v>89.47</v>
      </c>
      <c r="N24" s="100">
        <v>1</v>
      </c>
      <c r="O24" s="100">
        <v>0</v>
      </c>
      <c r="P24" s="100">
        <v>1.08</v>
      </c>
      <c r="Q24" s="100">
        <v>13.07</v>
      </c>
      <c r="R24" s="6"/>
      <c r="S24" s="6"/>
      <c r="T24" s="156"/>
      <c r="U24" s="6"/>
    </row>
    <row r="25" spans="1:21" customFormat="1">
      <c r="A25" s="163" t="s">
        <v>639</v>
      </c>
      <c r="B25" s="100">
        <v>37.450000000000003</v>
      </c>
      <c r="C25" s="100">
        <v>20.69</v>
      </c>
      <c r="D25" s="100">
        <v>42.2</v>
      </c>
      <c r="E25" s="100">
        <v>8.2799999999999994</v>
      </c>
      <c r="F25" s="152" t="s">
        <v>15</v>
      </c>
      <c r="G25" s="100">
        <v>84.01</v>
      </c>
      <c r="H25" s="100">
        <v>26.24</v>
      </c>
      <c r="I25" s="100">
        <v>15.36</v>
      </c>
      <c r="J25" s="100">
        <v>0.17</v>
      </c>
      <c r="K25" s="100">
        <v>172.41</v>
      </c>
      <c r="L25" s="100">
        <v>12.41</v>
      </c>
      <c r="M25" s="100">
        <v>86.72</v>
      </c>
      <c r="N25" s="100">
        <v>1</v>
      </c>
      <c r="O25" s="100">
        <v>0</v>
      </c>
      <c r="P25" s="100">
        <v>1.07</v>
      </c>
      <c r="Q25" s="100">
        <v>13.08</v>
      </c>
      <c r="R25" s="6"/>
      <c r="S25" s="6"/>
      <c r="T25" s="156"/>
      <c r="U25" s="6"/>
    </row>
    <row r="26" spans="1:21" customFormat="1">
      <c r="A26" s="163" t="s">
        <v>640</v>
      </c>
      <c r="B26" s="100">
        <v>35.549999999999997</v>
      </c>
      <c r="C26" s="100">
        <v>20.45</v>
      </c>
      <c r="D26" s="100">
        <v>40.549999999999997</v>
      </c>
      <c r="E26" s="100">
        <v>8.24</v>
      </c>
      <c r="F26" s="152" t="s">
        <v>15</v>
      </c>
      <c r="G26" s="100">
        <v>78.44</v>
      </c>
      <c r="H26" s="100">
        <v>25.64</v>
      </c>
      <c r="I26" s="100">
        <v>15.32</v>
      </c>
      <c r="J26" s="100">
        <v>0.1</v>
      </c>
      <c r="K26" s="100">
        <v>203.32</v>
      </c>
      <c r="L26" s="100">
        <v>12.19</v>
      </c>
      <c r="M26" s="100">
        <v>91.15</v>
      </c>
      <c r="N26" s="100">
        <v>1.1000000000000001</v>
      </c>
      <c r="O26" s="100">
        <v>0</v>
      </c>
      <c r="P26" s="100">
        <v>1.04</v>
      </c>
      <c r="Q26" s="100">
        <v>13.07</v>
      </c>
      <c r="R26" s="6"/>
      <c r="S26" s="6"/>
      <c r="T26" s="156"/>
      <c r="U26" s="6"/>
    </row>
    <row r="27" spans="1:21" customFormat="1">
      <c r="A27" s="163" t="s">
        <v>641</v>
      </c>
      <c r="B27" s="100">
        <v>33.5</v>
      </c>
      <c r="C27" s="100">
        <v>20.39</v>
      </c>
      <c r="D27" s="100">
        <v>38.86</v>
      </c>
      <c r="E27" s="100">
        <v>8.6199999999999992</v>
      </c>
      <c r="F27" s="152" t="s">
        <v>15</v>
      </c>
      <c r="G27" s="100">
        <v>78.44</v>
      </c>
      <c r="H27" s="100">
        <v>25.64</v>
      </c>
      <c r="I27" s="100">
        <v>15.17</v>
      </c>
      <c r="J27" s="100">
        <v>0.16</v>
      </c>
      <c r="K27" s="100">
        <v>158.9</v>
      </c>
      <c r="L27" s="100">
        <v>12.1</v>
      </c>
      <c r="M27" s="100">
        <v>89.53</v>
      </c>
      <c r="N27" s="100">
        <v>1</v>
      </c>
      <c r="O27" s="100">
        <v>0</v>
      </c>
      <c r="P27" s="100">
        <v>1.03</v>
      </c>
      <c r="Q27" s="100">
        <v>13.07</v>
      </c>
      <c r="R27" s="6"/>
      <c r="S27" s="6"/>
      <c r="T27" s="156"/>
      <c r="U27" s="6"/>
    </row>
    <row r="28" spans="1:21" customFormat="1">
      <c r="A28" s="163" t="s">
        <v>642</v>
      </c>
      <c r="B28" s="100">
        <v>31.53</v>
      </c>
      <c r="C28" s="100">
        <v>20.260000000000002</v>
      </c>
      <c r="D28" s="100">
        <v>37.229999999999997</v>
      </c>
      <c r="E28" s="100">
        <v>8.25</v>
      </c>
      <c r="F28" s="152" t="s">
        <v>15</v>
      </c>
      <c r="G28" s="100">
        <v>78.44</v>
      </c>
      <c r="H28" s="100">
        <v>25.64</v>
      </c>
      <c r="I28" s="100">
        <v>14.99</v>
      </c>
      <c r="J28" s="100">
        <v>0.1</v>
      </c>
      <c r="K28" s="100">
        <v>167.2</v>
      </c>
      <c r="L28" s="100">
        <v>12.14</v>
      </c>
      <c r="M28" s="100">
        <v>90.76</v>
      </c>
      <c r="N28" s="100">
        <v>1.1000000000000001</v>
      </c>
      <c r="O28" s="100">
        <v>0</v>
      </c>
      <c r="P28" s="100">
        <v>1.01</v>
      </c>
      <c r="Q28" s="100">
        <v>13.07</v>
      </c>
      <c r="R28" s="6"/>
      <c r="S28" s="6"/>
      <c r="T28" s="156"/>
      <c r="U28" s="6"/>
    </row>
    <row r="29" spans="1:21" customFormat="1">
      <c r="A29" s="163" t="s">
        <v>643</v>
      </c>
      <c r="B29" s="100">
        <v>29.95</v>
      </c>
      <c r="C29" s="100">
        <v>20.059999999999999</v>
      </c>
      <c r="D29" s="100">
        <v>35.86</v>
      </c>
      <c r="E29" s="100">
        <v>8.5399999999999991</v>
      </c>
      <c r="F29" s="152" t="s">
        <v>15</v>
      </c>
      <c r="G29" s="100">
        <v>68.63</v>
      </c>
      <c r="H29" s="100">
        <v>23.84</v>
      </c>
      <c r="I29" s="100">
        <v>14.8</v>
      </c>
      <c r="J29" s="100">
        <v>0.17</v>
      </c>
      <c r="K29" s="100">
        <v>158.09</v>
      </c>
      <c r="L29" s="100">
        <v>11.87</v>
      </c>
      <c r="M29" s="100">
        <v>91.59</v>
      </c>
      <c r="N29" s="100">
        <v>1.1000000000000001</v>
      </c>
      <c r="O29" s="100">
        <v>0</v>
      </c>
      <c r="P29" s="100">
        <v>0.99</v>
      </c>
      <c r="Q29" s="100">
        <v>13.07</v>
      </c>
      <c r="R29" s="6"/>
      <c r="S29" s="6"/>
      <c r="T29" s="156"/>
      <c r="U29" s="6"/>
    </row>
    <row r="30" spans="1:21" customFormat="1">
      <c r="A30" s="163" t="s">
        <v>644</v>
      </c>
      <c r="B30" s="100">
        <v>28.88</v>
      </c>
      <c r="C30" s="100">
        <v>19.739999999999998</v>
      </c>
      <c r="D30" s="100">
        <v>34.82</v>
      </c>
      <c r="E30" s="100">
        <v>8.5</v>
      </c>
      <c r="F30" s="152" t="s">
        <v>15</v>
      </c>
      <c r="G30" s="100">
        <v>61.13</v>
      </c>
      <c r="H30" s="100">
        <v>23.28</v>
      </c>
      <c r="I30" s="100">
        <v>14.59</v>
      </c>
      <c r="J30" s="100">
        <v>0.17</v>
      </c>
      <c r="K30" s="100">
        <v>157.24</v>
      </c>
      <c r="L30" s="100">
        <v>11.95</v>
      </c>
      <c r="M30" s="100">
        <v>91.78</v>
      </c>
      <c r="N30" s="100">
        <v>0.9</v>
      </c>
      <c r="O30" s="100">
        <v>0</v>
      </c>
      <c r="P30" s="100">
        <v>0.98</v>
      </c>
      <c r="Q30" s="100">
        <v>13.07</v>
      </c>
      <c r="R30" s="6"/>
      <c r="S30" s="6"/>
      <c r="T30" s="156"/>
      <c r="U30" s="6"/>
    </row>
    <row r="31" spans="1:21" customFormat="1">
      <c r="A31" s="163" t="s">
        <v>645</v>
      </c>
      <c r="B31" s="100">
        <v>30.66</v>
      </c>
      <c r="C31" s="100">
        <v>19.82</v>
      </c>
      <c r="D31" s="100">
        <v>36.299999999999997</v>
      </c>
      <c r="E31" s="100">
        <v>8.44</v>
      </c>
      <c r="F31" s="152" t="s">
        <v>15</v>
      </c>
      <c r="G31" s="100">
        <v>61.13</v>
      </c>
      <c r="H31" s="100">
        <v>23.28</v>
      </c>
      <c r="I31" s="100">
        <v>14.4</v>
      </c>
      <c r="J31" s="100">
        <v>0.2</v>
      </c>
      <c r="K31" s="100">
        <v>152.52000000000001</v>
      </c>
      <c r="L31" s="100">
        <v>12.04</v>
      </c>
      <c r="M31" s="100">
        <v>89.99</v>
      </c>
      <c r="N31" s="100">
        <v>1</v>
      </c>
      <c r="O31" s="100">
        <v>0</v>
      </c>
      <c r="P31" s="100">
        <v>0.97</v>
      </c>
      <c r="Q31" s="100">
        <v>13.05</v>
      </c>
      <c r="R31" s="6"/>
      <c r="S31" s="6"/>
      <c r="T31" s="156"/>
      <c r="U31" s="6"/>
    </row>
    <row r="32" spans="1:21" customFormat="1">
      <c r="A32" s="163" t="s">
        <v>646</v>
      </c>
      <c r="B32" s="100">
        <v>35.22</v>
      </c>
      <c r="C32" s="100">
        <v>20.3</v>
      </c>
      <c r="D32" s="100">
        <v>40.200000000000003</v>
      </c>
      <c r="E32" s="100">
        <v>8.2899999999999991</v>
      </c>
      <c r="F32" s="152" t="s">
        <v>15</v>
      </c>
      <c r="G32" s="100">
        <v>61.13</v>
      </c>
      <c r="H32" s="100">
        <v>23.28</v>
      </c>
      <c r="I32" s="100">
        <v>14.25</v>
      </c>
      <c r="J32" s="100">
        <v>0.23</v>
      </c>
      <c r="K32" s="100">
        <v>156.30000000000001</v>
      </c>
      <c r="L32" s="100">
        <v>12.12</v>
      </c>
      <c r="M32" s="100">
        <v>90</v>
      </c>
      <c r="N32" s="100">
        <v>1.1000000000000001</v>
      </c>
      <c r="O32" s="100">
        <v>0</v>
      </c>
      <c r="P32" s="100">
        <v>0.96</v>
      </c>
      <c r="Q32" s="100">
        <v>13.06</v>
      </c>
      <c r="R32" s="6"/>
      <c r="S32" s="6"/>
      <c r="T32" s="156"/>
      <c r="U32" s="6"/>
    </row>
    <row r="33" spans="1:21" customFormat="1">
      <c r="A33" s="163" t="s">
        <v>647</v>
      </c>
      <c r="B33" s="100">
        <v>38.79</v>
      </c>
      <c r="C33" s="100">
        <v>20.56</v>
      </c>
      <c r="D33" s="100">
        <v>43.2</v>
      </c>
      <c r="E33" s="100">
        <v>8.57</v>
      </c>
      <c r="F33" s="152" t="s">
        <v>15</v>
      </c>
      <c r="G33" s="100">
        <v>60.43</v>
      </c>
      <c r="H33" s="100">
        <v>26.72</v>
      </c>
      <c r="I33" s="100">
        <v>14.13</v>
      </c>
      <c r="J33" s="100">
        <v>0.15</v>
      </c>
      <c r="K33" s="100">
        <v>173.32</v>
      </c>
      <c r="L33" s="100">
        <v>11.96</v>
      </c>
      <c r="M33" s="100">
        <v>91.98</v>
      </c>
      <c r="N33" s="100">
        <v>1.3</v>
      </c>
      <c r="O33" s="100">
        <v>0</v>
      </c>
      <c r="P33" s="100">
        <v>0.95</v>
      </c>
      <c r="Q33" s="100">
        <v>13.07</v>
      </c>
      <c r="R33" s="6"/>
      <c r="S33" s="6"/>
      <c r="T33" s="156"/>
      <c r="U33" s="6"/>
    </row>
    <row r="34" spans="1:21" customFormat="1">
      <c r="A34" s="163" t="s">
        <v>648</v>
      </c>
      <c r="B34" s="100">
        <v>41.07</v>
      </c>
      <c r="C34" s="100">
        <v>20.46</v>
      </c>
      <c r="D34" s="100">
        <v>44.97</v>
      </c>
      <c r="E34" s="100">
        <v>8.59</v>
      </c>
      <c r="F34" s="152" t="s">
        <v>15</v>
      </c>
      <c r="G34" s="100">
        <v>59.93</v>
      </c>
      <c r="H34" s="100">
        <v>27.73</v>
      </c>
      <c r="I34" s="100">
        <v>14.06</v>
      </c>
      <c r="J34" s="100">
        <v>0.13</v>
      </c>
      <c r="K34" s="100">
        <v>201.54</v>
      </c>
      <c r="L34" s="100">
        <v>11.82</v>
      </c>
      <c r="M34" s="100">
        <v>93.62</v>
      </c>
      <c r="N34" s="100">
        <v>2.5</v>
      </c>
      <c r="O34" s="100">
        <v>0</v>
      </c>
      <c r="P34" s="100">
        <v>0.95</v>
      </c>
      <c r="Q34" s="100">
        <v>13.08</v>
      </c>
      <c r="R34" s="6"/>
      <c r="S34" s="6"/>
      <c r="T34" s="156"/>
      <c r="U34" s="6"/>
    </row>
    <row r="35" spans="1:21" customFormat="1">
      <c r="A35" s="163" t="s">
        <v>649</v>
      </c>
      <c r="B35" s="100">
        <v>42.59</v>
      </c>
      <c r="C35" s="100">
        <v>20.5</v>
      </c>
      <c r="D35" s="100">
        <v>46.22</v>
      </c>
      <c r="E35" s="100">
        <v>8.3000000000000007</v>
      </c>
      <c r="F35" s="152" t="s">
        <v>15</v>
      </c>
      <c r="G35" s="100">
        <v>59.93</v>
      </c>
      <c r="H35" s="100">
        <v>27.73</v>
      </c>
      <c r="I35" s="100">
        <v>14.06</v>
      </c>
      <c r="J35" s="100">
        <v>0.17</v>
      </c>
      <c r="K35" s="100">
        <v>192.2</v>
      </c>
      <c r="L35" s="100">
        <v>11.79</v>
      </c>
      <c r="M35" s="100">
        <v>95.56</v>
      </c>
      <c r="N35" s="100">
        <v>6.5</v>
      </c>
      <c r="O35" s="100">
        <v>0</v>
      </c>
      <c r="P35" s="100">
        <v>0.96</v>
      </c>
      <c r="Q35" s="100">
        <v>13.1</v>
      </c>
      <c r="R35" s="6"/>
      <c r="S35" s="6"/>
      <c r="T35" s="156"/>
      <c r="U35" s="6"/>
    </row>
    <row r="36" spans="1:21" customFormat="1">
      <c r="A36" s="163" t="s">
        <v>650</v>
      </c>
      <c r="B36" s="100">
        <v>43.39</v>
      </c>
      <c r="C36" s="100">
        <v>20.23</v>
      </c>
      <c r="D36" s="100">
        <v>46.72</v>
      </c>
      <c r="E36" s="100">
        <v>8.32</v>
      </c>
      <c r="F36" s="152" t="s">
        <v>15</v>
      </c>
      <c r="G36" s="100">
        <v>59.93</v>
      </c>
      <c r="H36" s="100">
        <v>27.73</v>
      </c>
      <c r="I36" s="100">
        <v>14.1</v>
      </c>
      <c r="J36" s="100">
        <v>0.17</v>
      </c>
      <c r="K36" s="100">
        <v>165.5</v>
      </c>
      <c r="L36" s="100">
        <v>11.77</v>
      </c>
      <c r="M36" s="100">
        <v>95.82</v>
      </c>
      <c r="N36" s="100">
        <v>12.7</v>
      </c>
      <c r="O36" s="100">
        <v>0</v>
      </c>
      <c r="P36" s="100">
        <v>0.95</v>
      </c>
      <c r="Q36" s="100">
        <v>13.11</v>
      </c>
      <c r="R36" s="6"/>
      <c r="S36" s="6"/>
      <c r="T36" s="156"/>
      <c r="U36" s="6"/>
    </row>
    <row r="37" spans="1:21" customFormat="1">
      <c r="A37" s="163" t="s">
        <v>651</v>
      </c>
      <c r="B37" s="100">
        <v>44</v>
      </c>
      <c r="C37" s="100">
        <v>20.170000000000002</v>
      </c>
      <c r="D37" s="100">
        <v>47.17</v>
      </c>
      <c r="E37" s="100">
        <v>8.59</v>
      </c>
      <c r="F37" s="152" t="s">
        <v>15</v>
      </c>
      <c r="G37" s="100">
        <v>69.819999999999993</v>
      </c>
      <c r="H37" s="100">
        <v>26.69</v>
      </c>
      <c r="I37" s="100">
        <v>14.13</v>
      </c>
      <c r="J37" s="100">
        <v>0.14000000000000001</v>
      </c>
      <c r="K37" s="100">
        <v>170.42</v>
      </c>
      <c r="L37" s="100">
        <v>12.13</v>
      </c>
      <c r="M37" s="100">
        <v>96.19</v>
      </c>
      <c r="N37" s="100">
        <v>20.7</v>
      </c>
      <c r="O37" s="100">
        <v>0</v>
      </c>
      <c r="P37" s="100">
        <v>0.97</v>
      </c>
      <c r="Q37" s="100">
        <v>13.1</v>
      </c>
      <c r="R37" s="6"/>
      <c r="S37" s="6"/>
      <c r="T37" s="156"/>
      <c r="U37" s="6"/>
    </row>
    <row r="38" spans="1:21" customFormat="1">
      <c r="A38" s="163" t="s">
        <v>652</v>
      </c>
      <c r="B38" s="100">
        <v>44.63</v>
      </c>
      <c r="C38" s="100">
        <v>20.010000000000002</v>
      </c>
      <c r="D38" s="100">
        <v>47.6</v>
      </c>
      <c r="E38" s="100">
        <v>8.83</v>
      </c>
      <c r="F38" s="152" t="s">
        <v>15</v>
      </c>
      <c r="G38" s="100">
        <v>77.05</v>
      </c>
      <c r="H38" s="100">
        <v>26.12</v>
      </c>
      <c r="I38" s="100">
        <v>14.16</v>
      </c>
      <c r="J38" s="100">
        <v>0.22</v>
      </c>
      <c r="K38" s="100">
        <v>74.27</v>
      </c>
      <c r="L38" s="100">
        <v>13.08</v>
      </c>
      <c r="M38" s="100">
        <v>89.64</v>
      </c>
      <c r="N38" s="100">
        <v>29.2</v>
      </c>
      <c r="O38" s="100">
        <v>0</v>
      </c>
      <c r="P38" s="100">
        <v>0.98</v>
      </c>
      <c r="Q38" s="100">
        <v>13.11</v>
      </c>
      <c r="R38" s="6"/>
      <c r="S38" s="6"/>
      <c r="T38" s="156"/>
      <c r="U38" s="6"/>
    </row>
    <row r="39" spans="1:21" customFormat="1">
      <c r="A39" s="163" t="s">
        <v>653</v>
      </c>
      <c r="B39" s="100">
        <v>44.62</v>
      </c>
      <c r="C39" s="100">
        <v>20.83</v>
      </c>
      <c r="D39" s="100">
        <v>48.02</v>
      </c>
      <c r="E39" s="100">
        <v>8.49</v>
      </c>
      <c r="F39" s="152" t="s">
        <v>15</v>
      </c>
      <c r="G39" s="100">
        <v>77.05</v>
      </c>
      <c r="H39" s="100">
        <v>26.12</v>
      </c>
      <c r="I39" s="100">
        <v>14.39</v>
      </c>
      <c r="J39" s="100">
        <v>0.42</v>
      </c>
      <c r="K39" s="100">
        <v>78.14</v>
      </c>
      <c r="L39" s="100">
        <v>14.76</v>
      </c>
      <c r="M39" s="100">
        <v>75.150000000000006</v>
      </c>
      <c r="N39" s="100">
        <v>37.700000000000003</v>
      </c>
      <c r="O39" s="100">
        <v>0</v>
      </c>
      <c r="P39" s="100">
        <v>1.02</v>
      </c>
      <c r="Q39" s="100">
        <v>13.11</v>
      </c>
      <c r="R39" s="6"/>
      <c r="S39" s="6"/>
      <c r="T39" s="156"/>
      <c r="U39" s="6"/>
    </row>
    <row r="40" spans="1:21" customFormat="1">
      <c r="A40" s="163" t="s">
        <v>654</v>
      </c>
      <c r="B40" s="100">
        <v>42.79</v>
      </c>
      <c r="C40" s="100">
        <v>21.83</v>
      </c>
      <c r="D40" s="100">
        <v>47.07</v>
      </c>
      <c r="E40" s="100">
        <v>8.84</v>
      </c>
      <c r="F40" s="152" t="s">
        <v>15</v>
      </c>
      <c r="G40" s="100">
        <v>77.05</v>
      </c>
      <c r="H40" s="100">
        <v>26.12</v>
      </c>
      <c r="I40" s="100">
        <v>14.71</v>
      </c>
      <c r="J40" s="100">
        <v>0.67</v>
      </c>
      <c r="K40" s="100">
        <v>56.68</v>
      </c>
      <c r="L40" s="100">
        <v>15.8</v>
      </c>
      <c r="M40" s="100">
        <v>71.709999999999994</v>
      </c>
      <c r="N40" s="100">
        <v>58.8</v>
      </c>
      <c r="O40" s="100">
        <v>0</v>
      </c>
      <c r="P40" s="100">
        <v>1.03</v>
      </c>
      <c r="Q40" s="100">
        <v>13.11</v>
      </c>
      <c r="R40" s="6"/>
      <c r="S40" s="6"/>
      <c r="T40" s="156"/>
      <c r="U40" s="6"/>
    </row>
    <row r="41" spans="1:21" customFormat="1">
      <c r="A41" s="163" t="s">
        <v>655</v>
      </c>
      <c r="B41" s="100">
        <v>40.53</v>
      </c>
      <c r="C41" s="100">
        <v>22.56</v>
      </c>
      <c r="D41" s="100">
        <v>45.64</v>
      </c>
      <c r="E41" s="100">
        <v>8.75</v>
      </c>
      <c r="F41" s="152" t="s">
        <v>15</v>
      </c>
      <c r="G41" s="100">
        <v>83.47</v>
      </c>
      <c r="H41" s="100">
        <v>27.78</v>
      </c>
      <c r="I41" s="100">
        <v>14.84</v>
      </c>
      <c r="J41" s="100">
        <v>1.07</v>
      </c>
      <c r="K41" s="100">
        <v>53.83</v>
      </c>
      <c r="L41" s="100">
        <v>16.760000000000002</v>
      </c>
      <c r="M41" s="100">
        <v>67.91</v>
      </c>
      <c r="N41" s="100">
        <v>197.8</v>
      </c>
      <c r="O41" s="100">
        <v>0</v>
      </c>
      <c r="P41" s="100">
        <v>1.03</v>
      </c>
      <c r="Q41" s="100">
        <v>13.1</v>
      </c>
      <c r="R41" s="6"/>
      <c r="S41" s="6"/>
      <c r="T41" s="156"/>
      <c r="U41" s="6"/>
    </row>
    <row r="42" spans="1:21" customFormat="1">
      <c r="A42" s="163" t="s">
        <v>656</v>
      </c>
      <c r="B42" s="100">
        <v>38.15</v>
      </c>
      <c r="C42" s="100">
        <v>23.44</v>
      </c>
      <c r="D42" s="100">
        <v>44.19</v>
      </c>
      <c r="E42" s="100">
        <v>8.9600000000000009</v>
      </c>
      <c r="F42" s="152" t="s">
        <v>15</v>
      </c>
      <c r="G42" s="100">
        <v>88.16</v>
      </c>
      <c r="H42" s="100">
        <v>28.27</v>
      </c>
      <c r="I42" s="100">
        <v>14.89</v>
      </c>
      <c r="J42" s="100">
        <v>0.91</v>
      </c>
      <c r="K42" s="100">
        <v>53.12</v>
      </c>
      <c r="L42" s="100">
        <v>17.57</v>
      </c>
      <c r="M42" s="100">
        <v>64.59</v>
      </c>
      <c r="N42" s="100">
        <v>228.1</v>
      </c>
      <c r="O42" s="100">
        <v>0</v>
      </c>
      <c r="P42" s="100">
        <v>1.02</v>
      </c>
      <c r="Q42" s="100">
        <v>13.1</v>
      </c>
      <c r="R42" s="6"/>
      <c r="S42" s="6"/>
      <c r="T42" s="156"/>
      <c r="U42" s="6"/>
    </row>
    <row r="43" spans="1:21" customFormat="1">
      <c r="A43" s="163" t="s">
        <v>657</v>
      </c>
      <c r="B43" s="100">
        <v>35.81</v>
      </c>
      <c r="C43" s="100">
        <v>24.02</v>
      </c>
      <c r="D43" s="100">
        <v>42.61</v>
      </c>
      <c r="E43" s="100">
        <v>9.3000000000000007</v>
      </c>
      <c r="F43" s="152" t="s">
        <v>15</v>
      </c>
      <c r="G43" s="100">
        <v>88.16</v>
      </c>
      <c r="H43" s="100">
        <v>28.27</v>
      </c>
      <c r="I43" s="100">
        <v>14.87</v>
      </c>
      <c r="J43" s="100">
        <v>0.8</v>
      </c>
      <c r="K43" s="100">
        <v>56.08</v>
      </c>
      <c r="L43" s="100">
        <v>18.47</v>
      </c>
      <c r="M43" s="100">
        <v>61.55</v>
      </c>
      <c r="N43" s="100">
        <v>200.9</v>
      </c>
      <c r="O43" s="100">
        <v>0</v>
      </c>
      <c r="P43" s="100">
        <v>1.01</v>
      </c>
      <c r="Q43" s="100">
        <v>13.1</v>
      </c>
      <c r="R43" s="6"/>
      <c r="S43" s="6"/>
      <c r="T43" s="156"/>
      <c r="U43" s="6"/>
    </row>
    <row r="44" spans="1:21" customFormat="1">
      <c r="A44" s="163" t="s">
        <v>658</v>
      </c>
      <c r="B44" s="100">
        <v>33.6</v>
      </c>
      <c r="C44" s="100">
        <v>24.24</v>
      </c>
      <c r="D44" s="100">
        <v>40.96</v>
      </c>
      <c r="E44" s="100">
        <v>8.73</v>
      </c>
      <c r="F44" s="152" t="s">
        <v>15</v>
      </c>
      <c r="G44" s="100">
        <v>88.16</v>
      </c>
      <c r="H44" s="100">
        <v>28.27</v>
      </c>
      <c r="I44" s="100">
        <v>14.74</v>
      </c>
      <c r="J44" s="100">
        <v>0.78</v>
      </c>
      <c r="K44" s="100">
        <v>41.26</v>
      </c>
      <c r="L44" s="100">
        <v>19.190000000000001</v>
      </c>
      <c r="M44" s="100">
        <v>60</v>
      </c>
      <c r="N44" s="100">
        <v>285.5</v>
      </c>
      <c r="O44" s="100">
        <v>0</v>
      </c>
      <c r="P44" s="100">
        <v>1.01</v>
      </c>
      <c r="Q44" s="100">
        <v>13.09</v>
      </c>
      <c r="R44" s="6"/>
      <c r="S44" s="6"/>
      <c r="T44" s="156"/>
      <c r="U44" s="6"/>
    </row>
    <row r="45" spans="1:21" customFormat="1">
      <c r="A45" s="163" t="s">
        <v>659</v>
      </c>
      <c r="B45" s="100">
        <v>31.83</v>
      </c>
      <c r="C45" s="100">
        <v>24.48</v>
      </c>
      <c r="D45" s="100">
        <v>39.67</v>
      </c>
      <c r="E45" s="100">
        <v>9.1</v>
      </c>
      <c r="F45" s="152" t="s">
        <v>15</v>
      </c>
      <c r="G45" s="100">
        <v>93.17</v>
      </c>
      <c r="H45" s="100">
        <v>33.9</v>
      </c>
      <c r="I45" s="100">
        <v>14.62</v>
      </c>
      <c r="J45" s="100">
        <v>0.84</v>
      </c>
      <c r="K45" s="100">
        <v>49.1</v>
      </c>
      <c r="L45" s="100">
        <v>19.93</v>
      </c>
      <c r="M45" s="100">
        <v>56.53</v>
      </c>
      <c r="N45" s="100">
        <v>135.30000000000001</v>
      </c>
      <c r="O45" s="100">
        <v>0</v>
      </c>
      <c r="P45" s="100">
        <v>1</v>
      </c>
      <c r="Q45" s="100">
        <v>13.07</v>
      </c>
      <c r="R45" s="6"/>
      <c r="S45" s="6"/>
      <c r="T45" s="156"/>
      <c r="U45" s="6"/>
    </row>
    <row r="46" spans="1:21" customFormat="1">
      <c r="A46" s="163" t="s">
        <v>660</v>
      </c>
      <c r="B46" s="100">
        <v>30.52</v>
      </c>
      <c r="C46" s="100">
        <v>24.67</v>
      </c>
      <c r="D46" s="100">
        <v>38.71</v>
      </c>
      <c r="E46" s="100">
        <v>9.0500000000000007</v>
      </c>
      <c r="F46" s="152" t="s">
        <v>15</v>
      </c>
      <c r="G46" s="100">
        <v>96.83</v>
      </c>
      <c r="H46" s="100">
        <v>35.67</v>
      </c>
      <c r="I46" s="100">
        <v>14.49</v>
      </c>
      <c r="J46" s="100">
        <v>0.77</v>
      </c>
      <c r="K46" s="100">
        <v>54.39</v>
      </c>
      <c r="L46" s="100">
        <v>20.64</v>
      </c>
      <c r="M46" s="100">
        <v>53.31</v>
      </c>
      <c r="N46" s="100">
        <v>105.6</v>
      </c>
      <c r="O46" s="100">
        <v>0</v>
      </c>
      <c r="P46" s="100">
        <v>1</v>
      </c>
      <c r="Q46" s="100">
        <v>13.08</v>
      </c>
      <c r="R46" s="6"/>
      <c r="S46" s="6"/>
      <c r="T46" s="156"/>
      <c r="U46" s="6"/>
    </row>
    <row r="47" spans="1:21" customFormat="1">
      <c r="A47" s="163" t="s">
        <v>661</v>
      </c>
      <c r="B47" s="100">
        <v>29.13</v>
      </c>
      <c r="C47" s="100">
        <v>24.83</v>
      </c>
      <c r="D47" s="100">
        <v>37.69</v>
      </c>
      <c r="E47" s="100">
        <v>9.31</v>
      </c>
      <c r="F47" s="152" t="s">
        <v>15</v>
      </c>
      <c r="G47" s="100">
        <v>96.83</v>
      </c>
      <c r="H47" s="100">
        <v>35.67</v>
      </c>
      <c r="I47" s="100">
        <v>14.36</v>
      </c>
      <c r="J47" s="100">
        <v>0.55000000000000004</v>
      </c>
      <c r="K47" s="100">
        <v>44.83</v>
      </c>
      <c r="L47" s="100">
        <v>21.69</v>
      </c>
      <c r="M47" s="100">
        <v>49.78</v>
      </c>
      <c r="N47" s="100">
        <v>114.9</v>
      </c>
      <c r="O47" s="100">
        <v>0</v>
      </c>
      <c r="P47" s="100">
        <v>0.99</v>
      </c>
      <c r="Q47" s="100">
        <v>13.08</v>
      </c>
      <c r="R47" s="6"/>
      <c r="S47" s="6"/>
      <c r="T47" s="156"/>
      <c r="U47" s="6"/>
    </row>
    <row r="48" spans="1:21" customFormat="1">
      <c r="A48" s="163" t="s">
        <v>662</v>
      </c>
      <c r="B48" s="100">
        <v>27.39</v>
      </c>
      <c r="C48" s="100">
        <v>24.79</v>
      </c>
      <c r="D48" s="100">
        <v>36.26</v>
      </c>
      <c r="E48" s="100">
        <v>9.5299999999999994</v>
      </c>
      <c r="F48" s="152" t="s">
        <v>15</v>
      </c>
      <c r="G48" s="100">
        <v>96.83</v>
      </c>
      <c r="H48" s="100">
        <v>35.67</v>
      </c>
      <c r="I48" s="100">
        <v>14.25</v>
      </c>
      <c r="J48" s="100">
        <v>0.33</v>
      </c>
      <c r="K48" s="100">
        <v>48.01</v>
      </c>
      <c r="L48" s="100">
        <v>22.78</v>
      </c>
      <c r="M48" s="100">
        <v>46.31</v>
      </c>
      <c r="N48" s="100">
        <v>282.5</v>
      </c>
      <c r="O48" s="100">
        <v>0</v>
      </c>
      <c r="P48" s="100">
        <v>0.98</v>
      </c>
      <c r="Q48" s="100">
        <v>13.08</v>
      </c>
      <c r="R48" s="6"/>
      <c r="S48" s="6"/>
      <c r="T48" s="156"/>
      <c r="U48" s="6"/>
    </row>
    <row r="49" spans="1:21" customFormat="1">
      <c r="A49" s="163" t="s">
        <v>663</v>
      </c>
      <c r="B49" s="100">
        <v>25.48</v>
      </c>
      <c r="C49" s="100">
        <v>24.83</v>
      </c>
      <c r="D49" s="100">
        <v>34.76</v>
      </c>
      <c r="E49" s="100">
        <v>7.87</v>
      </c>
      <c r="F49" s="152" t="s">
        <v>15</v>
      </c>
      <c r="G49" s="100">
        <v>90.93</v>
      </c>
      <c r="H49" s="100">
        <v>40.090000000000003</v>
      </c>
      <c r="I49" s="100">
        <v>14.13</v>
      </c>
      <c r="J49" s="100">
        <v>0.61</v>
      </c>
      <c r="K49" s="100">
        <v>20.12</v>
      </c>
      <c r="L49" s="100">
        <v>23.54</v>
      </c>
      <c r="M49" s="100">
        <v>43.98</v>
      </c>
      <c r="N49" s="100">
        <v>418.2</v>
      </c>
      <c r="O49" s="100">
        <v>0</v>
      </c>
      <c r="P49" s="100">
        <v>0.98</v>
      </c>
      <c r="Q49" s="100">
        <v>13.05</v>
      </c>
      <c r="R49" s="6"/>
      <c r="S49" s="6"/>
      <c r="T49" s="156"/>
      <c r="U49" s="6"/>
    </row>
    <row r="50" spans="1:21" customFormat="1">
      <c r="A50" s="163" t="s">
        <v>664</v>
      </c>
      <c r="B50" s="100">
        <v>23.63</v>
      </c>
      <c r="C50" s="100">
        <v>25.04</v>
      </c>
      <c r="D50" s="100">
        <v>33.39</v>
      </c>
      <c r="E50" s="100">
        <v>10.24</v>
      </c>
      <c r="F50" s="152" t="s">
        <v>15</v>
      </c>
      <c r="G50" s="100">
        <v>86.62</v>
      </c>
      <c r="H50" s="100">
        <v>41.39</v>
      </c>
      <c r="I50" s="100">
        <v>14.03</v>
      </c>
      <c r="J50" s="100">
        <v>0.53</v>
      </c>
      <c r="K50" s="100">
        <v>61.33</v>
      </c>
      <c r="L50" s="100">
        <v>24.16</v>
      </c>
      <c r="M50" s="100">
        <v>40.79</v>
      </c>
      <c r="N50" s="100">
        <v>443.3</v>
      </c>
      <c r="O50" s="100">
        <v>0</v>
      </c>
      <c r="P50" s="100">
        <v>0.96</v>
      </c>
      <c r="Q50" s="100">
        <v>13.06</v>
      </c>
      <c r="R50" s="6"/>
      <c r="S50" s="6"/>
      <c r="T50" s="156"/>
      <c r="U50" s="6"/>
    </row>
    <row r="51" spans="1:21" customFormat="1">
      <c r="A51" s="163" t="s">
        <v>665</v>
      </c>
      <c r="B51" s="100">
        <v>21.87</v>
      </c>
      <c r="C51" s="100">
        <v>25.18</v>
      </c>
      <c r="D51" s="100">
        <v>32.049999999999997</v>
      </c>
      <c r="E51" s="100">
        <v>11.04</v>
      </c>
      <c r="F51" s="152" t="s">
        <v>15</v>
      </c>
      <c r="G51" s="100">
        <v>86.62</v>
      </c>
      <c r="H51" s="100">
        <v>41.39</v>
      </c>
      <c r="I51" s="100">
        <v>13.9</v>
      </c>
      <c r="J51" s="100">
        <v>0.37</v>
      </c>
      <c r="K51" s="100">
        <v>47.71</v>
      </c>
      <c r="L51" s="100">
        <v>24.58</v>
      </c>
      <c r="M51" s="100">
        <v>39.39</v>
      </c>
      <c r="N51" s="100">
        <v>460.9</v>
      </c>
      <c r="O51" s="100">
        <v>0</v>
      </c>
      <c r="P51" s="100">
        <v>0.96</v>
      </c>
      <c r="Q51" s="100">
        <v>13.05</v>
      </c>
      <c r="R51" s="6"/>
      <c r="S51" s="6"/>
      <c r="T51" s="156"/>
      <c r="U51" s="6"/>
    </row>
    <row r="52" spans="1:21" customFormat="1">
      <c r="A52" s="163" t="s">
        <v>666</v>
      </c>
      <c r="B52" s="100">
        <v>20.12</v>
      </c>
      <c r="C52" s="100">
        <v>25.42</v>
      </c>
      <c r="D52" s="100">
        <v>30.77</v>
      </c>
      <c r="E52" s="100">
        <v>10.56</v>
      </c>
      <c r="F52" s="152" t="s">
        <v>15</v>
      </c>
      <c r="G52" s="100">
        <v>86.62</v>
      </c>
      <c r="H52" s="100">
        <v>41.39</v>
      </c>
      <c r="I52" s="100">
        <v>13.72</v>
      </c>
      <c r="J52" s="100">
        <v>0.37</v>
      </c>
      <c r="K52" s="100">
        <v>71.53</v>
      </c>
      <c r="L52" s="100">
        <v>25.53</v>
      </c>
      <c r="M52" s="100">
        <v>37.22</v>
      </c>
      <c r="N52" s="100">
        <v>464.3</v>
      </c>
      <c r="O52" s="100">
        <v>0</v>
      </c>
      <c r="P52" s="100">
        <v>0.95</v>
      </c>
      <c r="Q52" s="100">
        <v>13.04</v>
      </c>
      <c r="R52" s="6"/>
      <c r="S52" s="6"/>
      <c r="T52" s="156"/>
      <c r="U52" s="6"/>
    </row>
    <row r="53" spans="1:21" customFormat="1">
      <c r="A53" s="163" t="s">
        <v>667</v>
      </c>
      <c r="B53" s="100">
        <v>18.39</v>
      </c>
      <c r="C53" s="100">
        <v>25.57</v>
      </c>
      <c r="D53" s="100">
        <v>29.46</v>
      </c>
      <c r="E53" s="100">
        <v>10.49</v>
      </c>
      <c r="F53" s="152" t="s">
        <v>15</v>
      </c>
      <c r="G53" s="100">
        <v>87.9</v>
      </c>
      <c r="H53" s="100">
        <v>40.46</v>
      </c>
      <c r="I53" s="100">
        <v>13.55</v>
      </c>
      <c r="J53" s="100">
        <v>0.34</v>
      </c>
      <c r="K53" s="100">
        <v>87.79</v>
      </c>
      <c r="L53" s="100">
        <v>26.36</v>
      </c>
      <c r="M53" s="100">
        <v>34.11</v>
      </c>
      <c r="N53" s="100">
        <v>433</v>
      </c>
      <c r="O53" s="100">
        <v>0</v>
      </c>
      <c r="P53" s="100">
        <v>0.93</v>
      </c>
      <c r="Q53" s="100">
        <v>13.05</v>
      </c>
      <c r="R53" s="6"/>
      <c r="S53" s="6"/>
      <c r="T53" s="156"/>
      <c r="U53" s="6"/>
    </row>
    <row r="54" spans="1:21" customFormat="1">
      <c r="A54" s="163" t="s">
        <v>668</v>
      </c>
      <c r="B54" s="100">
        <v>16.649999999999999</v>
      </c>
      <c r="C54" s="100">
        <v>25.57</v>
      </c>
      <c r="D54" s="100">
        <v>28.06</v>
      </c>
      <c r="E54" s="100">
        <v>11.13</v>
      </c>
      <c r="F54" s="152" t="s">
        <v>15</v>
      </c>
      <c r="G54" s="100">
        <v>88.84</v>
      </c>
      <c r="H54" s="100">
        <v>40.19</v>
      </c>
      <c r="I54" s="100">
        <v>13.43</v>
      </c>
      <c r="J54" s="100">
        <v>0.4</v>
      </c>
      <c r="K54" s="100">
        <v>145.93</v>
      </c>
      <c r="L54" s="100">
        <v>26.78</v>
      </c>
      <c r="M54" s="100">
        <v>31.41</v>
      </c>
      <c r="N54" s="100">
        <v>496.6</v>
      </c>
      <c r="O54" s="100">
        <v>0</v>
      </c>
      <c r="P54" s="100">
        <v>0.92</v>
      </c>
      <c r="Q54" s="100">
        <v>13.02</v>
      </c>
      <c r="R54" s="6"/>
      <c r="S54" s="6"/>
      <c r="T54" s="156"/>
      <c r="U54" s="6"/>
    </row>
    <row r="55" spans="1:21" customFormat="1">
      <c r="A55" s="163" t="s">
        <v>669</v>
      </c>
      <c r="B55" s="100">
        <v>14.78</v>
      </c>
      <c r="C55" s="100">
        <v>25.69</v>
      </c>
      <c r="D55" s="100">
        <v>26.62</v>
      </c>
      <c r="E55" s="100">
        <v>11.34</v>
      </c>
      <c r="F55" s="152" t="s">
        <v>15</v>
      </c>
      <c r="G55" s="100">
        <v>88.84</v>
      </c>
      <c r="H55" s="100">
        <v>40.19</v>
      </c>
      <c r="I55" s="100">
        <v>13.25</v>
      </c>
      <c r="J55" s="100">
        <v>0.12</v>
      </c>
      <c r="K55" s="100">
        <v>328.76</v>
      </c>
      <c r="L55" s="100">
        <v>27.03</v>
      </c>
      <c r="M55" s="100">
        <v>30.09</v>
      </c>
      <c r="N55" s="100">
        <v>497.6</v>
      </c>
      <c r="O55" s="100">
        <v>0</v>
      </c>
      <c r="P55" s="100">
        <v>0.9</v>
      </c>
      <c r="Q55" s="100">
        <v>13.02</v>
      </c>
      <c r="R55" s="6"/>
      <c r="S55" s="6"/>
      <c r="T55" s="156"/>
      <c r="U55" s="6"/>
    </row>
    <row r="56" spans="1:21" customFormat="1">
      <c r="A56" s="163" t="s">
        <v>670</v>
      </c>
      <c r="B56" s="100">
        <v>13.21</v>
      </c>
      <c r="C56" s="100">
        <v>25.69</v>
      </c>
      <c r="D56" s="100">
        <v>25.37</v>
      </c>
      <c r="E56" s="100">
        <v>11.25</v>
      </c>
      <c r="F56" s="152" t="s">
        <v>15</v>
      </c>
      <c r="G56" s="100">
        <v>88.84</v>
      </c>
      <c r="H56" s="100">
        <v>40.19</v>
      </c>
      <c r="I56" s="100">
        <v>13.03</v>
      </c>
      <c r="J56" s="100">
        <v>0.41</v>
      </c>
      <c r="K56" s="100">
        <v>50.24</v>
      </c>
      <c r="L56" s="100">
        <v>26.98</v>
      </c>
      <c r="M56" s="100">
        <v>30.45</v>
      </c>
      <c r="N56" s="100">
        <v>489.3</v>
      </c>
      <c r="O56" s="100">
        <v>0</v>
      </c>
      <c r="P56" s="100">
        <v>0.88</v>
      </c>
      <c r="Q56" s="100">
        <v>13.02</v>
      </c>
      <c r="R56" s="6"/>
      <c r="S56" s="6"/>
      <c r="T56" s="156"/>
      <c r="U56" s="6"/>
    </row>
    <row r="57" spans="1:21" customFormat="1">
      <c r="A57" s="163" t="s">
        <v>671</v>
      </c>
      <c r="B57" s="100">
        <v>11.96</v>
      </c>
      <c r="C57" s="100">
        <v>25.66</v>
      </c>
      <c r="D57" s="100">
        <v>24.35</v>
      </c>
      <c r="E57" s="100">
        <v>14.08</v>
      </c>
      <c r="F57" s="152" t="s">
        <v>15</v>
      </c>
      <c r="G57" s="100">
        <v>71.84</v>
      </c>
      <c r="H57" s="100">
        <v>37.78</v>
      </c>
      <c r="I57" s="100">
        <v>12.76</v>
      </c>
      <c r="J57" s="100">
        <v>0.83</v>
      </c>
      <c r="K57" s="100">
        <v>42.21</v>
      </c>
      <c r="L57" s="100">
        <v>27.02</v>
      </c>
      <c r="M57" s="100">
        <v>29.98</v>
      </c>
      <c r="N57" s="100">
        <v>478.1</v>
      </c>
      <c r="O57" s="100">
        <v>0</v>
      </c>
      <c r="P57" s="100">
        <v>0.87</v>
      </c>
      <c r="Q57" s="100">
        <v>13.02</v>
      </c>
      <c r="R57" s="6"/>
      <c r="S57" s="6"/>
      <c r="T57" s="156"/>
      <c r="U57" s="6"/>
    </row>
    <row r="58" spans="1:21" customFormat="1">
      <c r="A58" s="163" t="s">
        <v>672</v>
      </c>
      <c r="B58" s="100">
        <v>10.58</v>
      </c>
      <c r="C58" s="100">
        <v>26.21</v>
      </c>
      <c r="D58" s="100">
        <v>23.53</v>
      </c>
      <c r="E58" s="100">
        <v>12.74</v>
      </c>
      <c r="F58" s="152" t="s">
        <v>15</v>
      </c>
      <c r="G58" s="100">
        <v>59.42</v>
      </c>
      <c r="H58" s="100">
        <v>37.08</v>
      </c>
      <c r="I58" s="100">
        <v>12.53</v>
      </c>
      <c r="J58" s="100">
        <v>0.21</v>
      </c>
      <c r="K58" s="100">
        <v>35.119999999999997</v>
      </c>
      <c r="L58" s="100">
        <v>27.26</v>
      </c>
      <c r="M58" s="100">
        <v>29.97</v>
      </c>
      <c r="N58" s="100">
        <v>345</v>
      </c>
      <c r="O58" s="100">
        <v>0</v>
      </c>
      <c r="P58" s="100">
        <v>0.82</v>
      </c>
      <c r="Q58" s="100">
        <v>13.02</v>
      </c>
      <c r="R58" s="6"/>
      <c r="S58" s="6"/>
      <c r="T58" s="156"/>
      <c r="U58" s="6"/>
    </row>
    <row r="59" spans="1:21" customFormat="1">
      <c r="A59" s="163" t="s">
        <v>673</v>
      </c>
      <c r="B59" s="100">
        <v>8.76</v>
      </c>
      <c r="C59" s="100">
        <v>26.96</v>
      </c>
      <c r="D59" s="100">
        <v>22.46</v>
      </c>
      <c r="E59" s="100">
        <v>11.98</v>
      </c>
      <c r="F59" s="152" t="s">
        <v>15</v>
      </c>
      <c r="G59" s="100">
        <v>59.42</v>
      </c>
      <c r="H59" s="100">
        <v>37.08</v>
      </c>
      <c r="I59" s="100">
        <v>12.29</v>
      </c>
      <c r="J59" s="100">
        <v>0.47</v>
      </c>
      <c r="K59" s="100">
        <v>44.3</v>
      </c>
      <c r="L59" s="100">
        <v>27.68</v>
      </c>
      <c r="M59" s="100">
        <v>28.76</v>
      </c>
      <c r="N59" s="100">
        <v>321.3</v>
      </c>
      <c r="O59" s="100">
        <v>0</v>
      </c>
      <c r="P59" s="100">
        <v>0.79</v>
      </c>
      <c r="Q59" s="100">
        <v>13.02</v>
      </c>
      <c r="R59" s="6"/>
      <c r="S59" s="6"/>
      <c r="T59" s="156"/>
      <c r="U59" s="6"/>
    </row>
    <row r="60" spans="1:21" customFormat="1">
      <c r="A60" s="163" t="s">
        <v>674</v>
      </c>
      <c r="B60" s="100">
        <v>6.99</v>
      </c>
      <c r="C60" s="100">
        <v>27.39</v>
      </c>
      <c r="D60" s="100">
        <v>21.26</v>
      </c>
      <c r="E60" s="100">
        <v>10.45</v>
      </c>
      <c r="F60" s="152" t="s">
        <v>15</v>
      </c>
      <c r="G60" s="100">
        <v>59.42</v>
      </c>
      <c r="H60" s="100">
        <v>37.08</v>
      </c>
      <c r="I60" s="100">
        <v>11.97</v>
      </c>
      <c r="J60" s="100">
        <v>0.31</v>
      </c>
      <c r="K60" s="100">
        <v>352.52</v>
      </c>
      <c r="L60" s="100">
        <v>28.23</v>
      </c>
      <c r="M60" s="100">
        <v>27.13</v>
      </c>
      <c r="N60" s="100">
        <v>433.6</v>
      </c>
      <c r="O60" s="100">
        <v>0</v>
      </c>
      <c r="P60" s="100">
        <v>0.76</v>
      </c>
      <c r="Q60" s="100">
        <v>13.03</v>
      </c>
      <c r="R60" s="6"/>
      <c r="S60" s="6"/>
      <c r="T60" s="156"/>
      <c r="U60" s="6"/>
    </row>
    <row r="61" spans="1:21" customFormat="1">
      <c r="A61" s="163" t="s">
        <v>675</v>
      </c>
      <c r="B61" s="100">
        <v>5.56</v>
      </c>
      <c r="C61" s="100">
        <v>27.61</v>
      </c>
      <c r="D61" s="100">
        <v>20.23</v>
      </c>
      <c r="E61" s="100">
        <v>11.21</v>
      </c>
      <c r="F61" s="152" t="s">
        <v>15</v>
      </c>
      <c r="G61" s="100">
        <v>57.91</v>
      </c>
      <c r="H61" s="100">
        <v>36.770000000000003</v>
      </c>
      <c r="I61" s="100">
        <v>11.66</v>
      </c>
      <c r="J61" s="100">
        <v>0.36</v>
      </c>
      <c r="K61" s="100">
        <v>53.71</v>
      </c>
      <c r="L61" s="100">
        <v>27.79</v>
      </c>
      <c r="M61" s="100">
        <v>27.69</v>
      </c>
      <c r="N61" s="100">
        <v>415.8</v>
      </c>
      <c r="O61" s="100">
        <v>0</v>
      </c>
      <c r="P61" s="100">
        <v>0.75</v>
      </c>
      <c r="Q61" s="100">
        <v>13.02</v>
      </c>
      <c r="R61" s="6"/>
      <c r="S61" s="6"/>
      <c r="T61" s="156"/>
      <c r="U61" s="6"/>
    </row>
    <row r="62" spans="1:21" customFormat="1">
      <c r="A62" s="163" t="s">
        <v>676</v>
      </c>
      <c r="B62" s="100">
        <v>4.66</v>
      </c>
      <c r="C62" s="100">
        <v>27.27</v>
      </c>
      <c r="D62" s="100">
        <v>19.34</v>
      </c>
      <c r="E62" s="100">
        <v>10.98</v>
      </c>
      <c r="F62" s="152" t="s">
        <v>15</v>
      </c>
      <c r="G62" s="100">
        <v>56.81</v>
      </c>
      <c r="H62" s="100">
        <v>36.590000000000003</v>
      </c>
      <c r="I62" s="100">
        <v>11.35</v>
      </c>
      <c r="J62" s="100">
        <v>0.23</v>
      </c>
      <c r="K62" s="100">
        <v>301.43</v>
      </c>
      <c r="L62" s="100">
        <v>27.71</v>
      </c>
      <c r="M62" s="100">
        <v>27.32</v>
      </c>
      <c r="N62" s="100">
        <v>397.2</v>
      </c>
      <c r="O62" s="100">
        <v>0</v>
      </c>
      <c r="P62" s="100">
        <v>0.73</v>
      </c>
      <c r="Q62" s="100">
        <v>13.01</v>
      </c>
      <c r="R62" s="6"/>
      <c r="S62" s="6"/>
      <c r="T62" s="156"/>
      <c r="U62" s="6"/>
    </row>
    <row r="63" spans="1:21" customFormat="1">
      <c r="A63" s="163" t="s">
        <v>677</v>
      </c>
      <c r="B63" s="100">
        <v>4.0999999999999996</v>
      </c>
      <c r="C63" s="100">
        <v>26.47</v>
      </c>
      <c r="D63" s="100">
        <v>18.47</v>
      </c>
      <c r="E63" s="100">
        <v>10.96</v>
      </c>
      <c r="F63" s="152" t="s">
        <v>15</v>
      </c>
      <c r="G63" s="100">
        <v>56.81</v>
      </c>
      <c r="H63" s="100">
        <v>36.590000000000003</v>
      </c>
      <c r="I63" s="100">
        <v>11.08</v>
      </c>
      <c r="J63" s="100">
        <v>0.39</v>
      </c>
      <c r="K63" s="100">
        <v>47.63</v>
      </c>
      <c r="L63" s="100">
        <v>27.72</v>
      </c>
      <c r="M63" s="100">
        <v>26.38</v>
      </c>
      <c r="N63" s="100">
        <v>187</v>
      </c>
      <c r="O63" s="100">
        <v>0</v>
      </c>
      <c r="P63" s="100">
        <v>0.71</v>
      </c>
      <c r="Q63" s="100">
        <v>12.99</v>
      </c>
      <c r="R63" s="6"/>
      <c r="S63" s="6"/>
      <c r="T63" s="156"/>
      <c r="U63" s="6"/>
    </row>
    <row r="64" spans="1:21" customFormat="1">
      <c r="A64" s="163" t="s">
        <v>678</v>
      </c>
      <c r="B64" s="100">
        <v>3.83</v>
      </c>
      <c r="C64" s="100">
        <v>25.65</v>
      </c>
      <c r="D64" s="100">
        <v>17.82</v>
      </c>
      <c r="E64" s="100">
        <v>10.66</v>
      </c>
      <c r="F64" s="152" t="s">
        <v>15</v>
      </c>
      <c r="G64" s="100">
        <v>56.81</v>
      </c>
      <c r="H64" s="100">
        <v>36.590000000000003</v>
      </c>
      <c r="I64" s="100">
        <v>10.84</v>
      </c>
      <c r="J64" s="100">
        <v>0.45</v>
      </c>
      <c r="K64" s="100">
        <v>34.75</v>
      </c>
      <c r="L64" s="100">
        <v>27.63</v>
      </c>
      <c r="M64" s="100">
        <v>25.81</v>
      </c>
      <c r="N64" s="100">
        <v>126.9</v>
      </c>
      <c r="O64" s="100">
        <v>0</v>
      </c>
      <c r="P64" s="100">
        <v>0.7</v>
      </c>
      <c r="Q64" s="100">
        <v>12.99</v>
      </c>
      <c r="R64" s="6"/>
      <c r="S64" s="6"/>
      <c r="T64" s="156"/>
      <c r="U64" s="6"/>
    </row>
    <row r="65" spans="1:21" customFormat="1">
      <c r="A65" s="163" t="s">
        <v>679</v>
      </c>
      <c r="B65" s="100">
        <v>3.74</v>
      </c>
      <c r="C65" s="100">
        <v>25</v>
      </c>
      <c r="D65" s="100">
        <v>17.41</v>
      </c>
      <c r="E65" s="100">
        <v>11.27</v>
      </c>
      <c r="F65" s="152" t="s">
        <v>15</v>
      </c>
      <c r="G65" s="100">
        <v>53.38</v>
      </c>
      <c r="H65" s="100">
        <v>35.590000000000003</v>
      </c>
      <c r="I65" s="100">
        <v>10.58</v>
      </c>
      <c r="J65" s="100">
        <v>0.45</v>
      </c>
      <c r="K65" s="100">
        <v>46.79</v>
      </c>
      <c r="L65" s="100">
        <v>27.74</v>
      </c>
      <c r="M65" s="100">
        <v>26.64</v>
      </c>
      <c r="N65" s="100">
        <v>98.7</v>
      </c>
      <c r="O65" s="100">
        <v>0</v>
      </c>
      <c r="P65" s="100">
        <v>0.66</v>
      </c>
      <c r="Q65" s="100">
        <v>13</v>
      </c>
      <c r="R65" s="6"/>
      <c r="S65" s="6"/>
      <c r="T65" s="156"/>
      <c r="U65" s="6"/>
    </row>
    <row r="66" spans="1:21" customFormat="1">
      <c r="A66" s="163" t="s">
        <v>680</v>
      </c>
      <c r="B66" s="100">
        <v>3.7</v>
      </c>
      <c r="C66" s="100">
        <v>24.45</v>
      </c>
      <c r="D66" s="100">
        <v>17.09</v>
      </c>
      <c r="E66" s="100">
        <v>11.77</v>
      </c>
      <c r="F66" s="152" t="s">
        <v>15</v>
      </c>
      <c r="G66" s="100">
        <v>50.87</v>
      </c>
      <c r="H66" s="100">
        <v>35.29</v>
      </c>
      <c r="I66" s="100">
        <v>10.3</v>
      </c>
      <c r="J66" s="100">
        <v>0.75</v>
      </c>
      <c r="K66" s="100">
        <v>42.7</v>
      </c>
      <c r="L66" s="100">
        <v>27.55</v>
      </c>
      <c r="M66" s="100">
        <v>27.24</v>
      </c>
      <c r="N66" s="100">
        <v>122.9</v>
      </c>
      <c r="O66" s="100">
        <v>0</v>
      </c>
      <c r="P66" s="100">
        <v>0.67</v>
      </c>
      <c r="Q66" s="100">
        <v>13</v>
      </c>
      <c r="R66" s="6"/>
      <c r="S66" s="6"/>
      <c r="T66" s="156"/>
      <c r="U66" s="6"/>
    </row>
    <row r="67" spans="1:21" customFormat="1">
      <c r="A67" s="163" t="s">
        <v>681</v>
      </c>
      <c r="B67" s="100">
        <v>3.69</v>
      </c>
      <c r="C67" s="100">
        <v>23.95</v>
      </c>
      <c r="D67" s="100">
        <v>16.82</v>
      </c>
      <c r="E67" s="100">
        <v>10.99</v>
      </c>
      <c r="F67" s="152" t="s">
        <v>15</v>
      </c>
      <c r="G67" s="100">
        <v>50.87</v>
      </c>
      <c r="H67" s="100">
        <v>35.29</v>
      </c>
      <c r="I67" s="100">
        <v>10.06</v>
      </c>
      <c r="J67" s="100">
        <v>0.12</v>
      </c>
      <c r="K67" s="100">
        <v>217.16</v>
      </c>
      <c r="L67" s="100">
        <v>27.36</v>
      </c>
      <c r="M67" s="100">
        <v>28.95</v>
      </c>
      <c r="N67" s="100">
        <v>68.2</v>
      </c>
      <c r="O67" s="100">
        <v>0</v>
      </c>
      <c r="P67" s="100">
        <v>0.66</v>
      </c>
      <c r="Q67" s="100">
        <v>13</v>
      </c>
      <c r="R67" s="6"/>
      <c r="S67" s="6"/>
      <c r="T67" s="156"/>
      <c r="U67" s="6"/>
    </row>
    <row r="68" spans="1:21" customFormat="1">
      <c r="A68" s="163" t="s">
        <v>682</v>
      </c>
      <c r="B68" s="100">
        <v>3.64</v>
      </c>
      <c r="C68" s="100">
        <v>23.23</v>
      </c>
      <c r="D68" s="100">
        <v>16.41</v>
      </c>
      <c r="E68" s="100">
        <v>11.11</v>
      </c>
      <c r="F68" s="152" t="s">
        <v>15</v>
      </c>
      <c r="G68" s="100">
        <v>50.87</v>
      </c>
      <c r="H68" s="100">
        <v>35.29</v>
      </c>
      <c r="I68" s="100">
        <v>9.84</v>
      </c>
      <c r="J68" s="100">
        <v>0.32</v>
      </c>
      <c r="K68" s="100">
        <v>72.64</v>
      </c>
      <c r="L68" s="100">
        <v>27.42</v>
      </c>
      <c r="M68" s="100">
        <v>27.65</v>
      </c>
      <c r="N68" s="100">
        <v>59.1</v>
      </c>
      <c r="O68" s="100">
        <v>0</v>
      </c>
      <c r="P68" s="100">
        <v>0.65</v>
      </c>
      <c r="Q68" s="100">
        <v>12.99</v>
      </c>
      <c r="R68" s="6"/>
      <c r="S68" s="6"/>
      <c r="T68" s="156"/>
      <c r="U68" s="6"/>
    </row>
    <row r="69" spans="1:21" customFormat="1">
      <c r="A69" s="163" t="s">
        <v>683</v>
      </c>
      <c r="B69" s="100">
        <v>3.6</v>
      </c>
      <c r="C69" s="100">
        <v>22.98</v>
      </c>
      <c r="D69" s="100">
        <v>16.239999999999998</v>
      </c>
      <c r="E69" s="100">
        <v>11.15</v>
      </c>
      <c r="F69" s="152" t="s">
        <v>15</v>
      </c>
      <c r="G69" s="100">
        <v>57.7</v>
      </c>
      <c r="H69" s="100">
        <v>34.6</v>
      </c>
      <c r="I69" s="100">
        <v>9.65</v>
      </c>
      <c r="J69" s="100">
        <v>0.28000000000000003</v>
      </c>
      <c r="K69" s="100">
        <v>67.31</v>
      </c>
      <c r="L69" s="100">
        <v>27.49</v>
      </c>
      <c r="M69" s="100">
        <v>26.83</v>
      </c>
      <c r="N69" s="100">
        <v>54.7</v>
      </c>
      <c r="O69" s="100">
        <v>0</v>
      </c>
      <c r="P69" s="100">
        <v>0.64</v>
      </c>
      <c r="Q69" s="100">
        <v>12.98</v>
      </c>
      <c r="R69" s="6"/>
      <c r="S69" s="6"/>
      <c r="T69" s="156"/>
      <c r="U69" s="6"/>
    </row>
    <row r="70" spans="1:21" customFormat="1">
      <c r="A70" s="163" t="s">
        <v>684</v>
      </c>
      <c r="B70" s="100">
        <v>3.54</v>
      </c>
      <c r="C70" s="100">
        <v>22.57</v>
      </c>
      <c r="D70" s="100">
        <v>15.99</v>
      </c>
      <c r="E70" s="100">
        <v>11.23</v>
      </c>
      <c r="F70" s="152" t="s">
        <v>15</v>
      </c>
      <c r="G70" s="100">
        <v>62.7</v>
      </c>
      <c r="H70" s="100">
        <v>34.39</v>
      </c>
      <c r="I70" s="100">
        <v>9.4600000000000009</v>
      </c>
      <c r="J70" s="100">
        <v>0.16</v>
      </c>
      <c r="K70" s="100">
        <v>121.12</v>
      </c>
      <c r="L70" s="100">
        <v>27.29</v>
      </c>
      <c r="M70" s="100">
        <v>28.76</v>
      </c>
      <c r="N70" s="100">
        <v>50.5</v>
      </c>
      <c r="O70" s="100">
        <v>0</v>
      </c>
      <c r="P70" s="100">
        <v>0.63</v>
      </c>
      <c r="Q70" s="100">
        <v>12.99</v>
      </c>
      <c r="R70" s="6"/>
      <c r="S70" s="6"/>
      <c r="T70" s="156"/>
      <c r="U70" s="6"/>
    </row>
    <row r="71" spans="1:21" customFormat="1">
      <c r="A71" s="163" t="s">
        <v>685</v>
      </c>
      <c r="B71" s="100">
        <v>3.53</v>
      </c>
      <c r="C71" s="100">
        <v>21.96</v>
      </c>
      <c r="D71" s="100">
        <v>15.66</v>
      </c>
      <c r="E71" s="100">
        <v>10.58</v>
      </c>
      <c r="F71" s="152" t="s">
        <v>15</v>
      </c>
      <c r="G71" s="100">
        <v>62.7</v>
      </c>
      <c r="H71" s="100">
        <v>34.39</v>
      </c>
      <c r="I71" s="100">
        <v>9.2899999999999991</v>
      </c>
      <c r="J71" s="100">
        <v>0.43</v>
      </c>
      <c r="K71" s="100">
        <v>58.47</v>
      </c>
      <c r="L71" s="100">
        <v>27.33</v>
      </c>
      <c r="M71" s="100">
        <v>27.96</v>
      </c>
      <c r="N71" s="100">
        <v>49.4</v>
      </c>
      <c r="O71" s="100">
        <v>0</v>
      </c>
      <c r="P71" s="100">
        <v>0.63</v>
      </c>
      <c r="Q71" s="100">
        <v>12.99</v>
      </c>
      <c r="R71" s="6"/>
      <c r="S71" s="6"/>
      <c r="T71" s="156"/>
      <c r="U71" s="6"/>
    </row>
    <row r="72" spans="1:21" customFormat="1">
      <c r="A72" s="163" t="s">
        <v>686</v>
      </c>
      <c r="B72" s="100">
        <v>3.59</v>
      </c>
      <c r="C72" s="100">
        <v>21.74</v>
      </c>
      <c r="D72" s="100">
        <v>15.59</v>
      </c>
      <c r="E72" s="100">
        <v>11.21</v>
      </c>
      <c r="F72" s="152" t="s">
        <v>15</v>
      </c>
      <c r="G72" s="100">
        <v>62.7</v>
      </c>
      <c r="H72" s="100">
        <v>34.39</v>
      </c>
      <c r="I72" s="100">
        <v>9.07</v>
      </c>
      <c r="J72" s="100">
        <v>0.22</v>
      </c>
      <c r="K72" s="100">
        <v>139.27000000000001</v>
      </c>
      <c r="L72" s="100">
        <v>27.19</v>
      </c>
      <c r="M72" s="100">
        <v>28.98</v>
      </c>
      <c r="N72" s="100">
        <v>38.700000000000003</v>
      </c>
      <c r="O72" s="100">
        <v>0</v>
      </c>
      <c r="P72" s="100">
        <v>0.62</v>
      </c>
      <c r="Q72" s="100">
        <v>12.99</v>
      </c>
      <c r="R72" s="6"/>
      <c r="S72" s="6"/>
      <c r="T72" s="156"/>
      <c r="U72" s="6"/>
    </row>
    <row r="73" spans="1:21" customFormat="1">
      <c r="A73" s="163" t="s">
        <v>687</v>
      </c>
      <c r="B73" s="100">
        <v>3.63</v>
      </c>
      <c r="C73" s="100">
        <v>21.3</v>
      </c>
      <c r="D73" s="100">
        <v>15.39</v>
      </c>
      <c r="E73" s="100">
        <v>12.25</v>
      </c>
      <c r="F73" s="152" t="s">
        <v>15</v>
      </c>
      <c r="G73" s="100">
        <v>66.7</v>
      </c>
      <c r="H73" s="100">
        <v>30.88</v>
      </c>
      <c r="I73" s="100">
        <v>8.94</v>
      </c>
      <c r="J73" s="100">
        <v>0.15</v>
      </c>
      <c r="K73" s="100">
        <v>90.69</v>
      </c>
      <c r="L73" s="100">
        <v>26.78</v>
      </c>
      <c r="M73" s="100">
        <v>30.64</v>
      </c>
      <c r="N73" s="100">
        <v>34.700000000000003</v>
      </c>
      <c r="O73" s="100">
        <v>0</v>
      </c>
      <c r="P73" s="100">
        <v>0.61</v>
      </c>
      <c r="Q73" s="100">
        <v>12.98</v>
      </c>
      <c r="R73" s="6"/>
      <c r="S73" s="6"/>
      <c r="T73" s="156"/>
      <c r="U73" s="6"/>
    </row>
    <row r="74" spans="1:21" customFormat="1">
      <c r="A74" s="163" t="s">
        <v>688</v>
      </c>
      <c r="B74" s="100">
        <v>3.71</v>
      </c>
      <c r="C74" s="100">
        <v>21.12</v>
      </c>
      <c r="D74" s="100">
        <v>15.36</v>
      </c>
      <c r="E74" s="100">
        <v>11.02</v>
      </c>
      <c r="F74" s="152" t="s">
        <v>15</v>
      </c>
      <c r="G74" s="100">
        <v>69.62</v>
      </c>
      <c r="H74" s="100">
        <v>29.82</v>
      </c>
      <c r="I74" s="100">
        <v>8.8800000000000008</v>
      </c>
      <c r="J74" s="100">
        <v>0.19</v>
      </c>
      <c r="K74" s="100">
        <v>145</v>
      </c>
      <c r="L74" s="100">
        <v>26.28</v>
      </c>
      <c r="M74" s="100">
        <v>32.35</v>
      </c>
      <c r="N74" s="100">
        <v>28.6</v>
      </c>
      <c r="O74" s="100">
        <v>0</v>
      </c>
      <c r="P74" s="100">
        <v>0.61</v>
      </c>
      <c r="Q74" s="100">
        <v>12.97</v>
      </c>
      <c r="R74" s="6"/>
      <c r="S74" s="6"/>
      <c r="T74" s="156"/>
      <c r="U74" s="6"/>
    </row>
    <row r="75" spans="1:21" customFormat="1">
      <c r="A75" s="163" t="s">
        <v>689</v>
      </c>
      <c r="B75" s="100">
        <v>3.73</v>
      </c>
      <c r="C75" s="100">
        <v>20.95</v>
      </c>
      <c r="D75" s="100">
        <v>15.29</v>
      </c>
      <c r="E75" s="100">
        <v>10.8</v>
      </c>
      <c r="F75" s="152" t="s">
        <v>15</v>
      </c>
      <c r="G75" s="100">
        <v>69.62</v>
      </c>
      <c r="H75" s="100">
        <v>29.82</v>
      </c>
      <c r="I75" s="100">
        <v>8.64</v>
      </c>
      <c r="J75" s="100">
        <v>0.31</v>
      </c>
      <c r="K75" s="100">
        <v>166.68</v>
      </c>
      <c r="L75" s="100">
        <v>25.53</v>
      </c>
      <c r="M75" s="100">
        <v>36.5</v>
      </c>
      <c r="N75" s="100">
        <v>20</v>
      </c>
      <c r="O75" s="100">
        <v>0</v>
      </c>
      <c r="P75" s="100">
        <v>0.61</v>
      </c>
      <c r="Q75" s="100">
        <v>12.96</v>
      </c>
      <c r="R75" s="6"/>
      <c r="S75" s="6"/>
      <c r="T75" s="156"/>
      <c r="U75" s="6"/>
    </row>
    <row r="76" spans="1:21" customFormat="1">
      <c r="A76" s="163" t="s">
        <v>690</v>
      </c>
      <c r="B76" s="100">
        <v>3.72</v>
      </c>
      <c r="C76" s="100">
        <v>20.64</v>
      </c>
      <c r="D76" s="100">
        <v>15.12</v>
      </c>
      <c r="E76" s="100">
        <v>10.130000000000001</v>
      </c>
      <c r="F76" s="152" t="s">
        <v>15</v>
      </c>
      <c r="G76" s="100">
        <v>69.62</v>
      </c>
      <c r="H76" s="100">
        <v>29.82</v>
      </c>
      <c r="I76" s="100">
        <v>8.57</v>
      </c>
      <c r="J76" s="100">
        <v>0.28000000000000003</v>
      </c>
      <c r="K76" s="100">
        <v>168.01</v>
      </c>
      <c r="L76" s="100">
        <v>24.67</v>
      </c>
      <c r="M76" s="100">
        <v>40.4</v>
      </c>
      <c r="N76" s="100">
        <v>13.9</v>
      </c>
      <c r="O76" s="100">
        <v>0</v>
      </c>
      <c r="P76" s="100">
        <v>0.61</v>
      </c>
      <c r="Q76" s="100">
        <v>12.98</v>
      </c>
      <c r="R76" s="6"/>
      <c r="S76" s="6"/>
      <c r="T76" s="156"/>
      <c r="U76" s="6"/>
    </row>
    <row r="77" spans="1:21" customFormat="1">
      <c r="A77" s="163" t="s">
        <v>691</v>
      </c>
      <c r="B77" s="100">
        <v>3.74</v>
      </c>
      <c r="C77" s="100">
        <v>20.22</v>
      </c>
      <c r="D77" s="100">
        <v>14.91</v>
      </c>
      <c r="E77" s="100">
        <v>10.7</v>
      </c>
      <c r="F77" s="152" t="s">
        <v>15</v>
      </c>
      <c r="G77" s="100">
        <v>70.05</v>
      </c>
      <c r="H77" s="100">
        <v>32.29</v>
      </c>
      <c r="I77" s="100">
        <v>8.5</v>
      </c>
      <c r="J77" s="100">
        <v>0.27</v>
      </c>
      <c r="K77" s="100">
        <v>162.72999999999999</v>
      </c>
      <c r="L77" s="100">
        <v>23.6</v>
      </c>
      <c r="M77" s="100">
        <v>45.35</v>
      </c>
      <c r="N77" s="100">
        <v>6.7</v>
      </c>
      <c r="O77" s="100">
        <v>0</v>
      </c>
      <c r="P77" s="100">
        <v>0.6</v>
      </c>
      <c r="Q77" s="100">
        <v>12.97</v>
      </c>
      <c r="R77" s="6"/>
      <c r="S77" s="6"/>
      <c r="T77" s="156"/>
      <c r="U77" s="6"/>
    </row>
    <row r="78" spans="1:21" customFormat="1">
      <c r="A78" s="163" t="s">
        <v>692</v>
      </c>
      <c r="B78" s="100">
        <v>3.8</v>
      </c>
      <c r="C78" s="100">
        <v>20.37</v>
      </c>
      <c r="D78" s="100">
        <v>15.04</v>
      </c>
      <c r="E78" s="100">
        <v>10.92</v>
      </c>
      <c r="F78" s="152" t="s">
        <v>15</v>
      </c>
      <c r="G78" s="100">
        <v>70.36</v>
      </c>
      <c r="H78" s="100">
        <v>33.01</v>
      </c>
      <c r="I78" s="100">
        <v>8.31</v>
      </c>
      <c r="J78" s="100">
        <v>0.28000000000000003</v>
      </c>
      <c r="K78" s="100">
        <v>161.49</v>
      </c>
      <c r="L78" s="100">
        <v>22.8</v>
      </c>
      <c r="M78" s="100">
        <v>45.5</v>
      </c>
      <c r="N78" s="100">
        <v>3.1</v>
      </c>
      <c r="O78" s="100">
        <v>0</v>
      </c>
      <c r="P78" s="100">
        <v>0.64</v>
      </c>
      <c r="Q78" s="100">
        <v>12.97</v>
      </c>
      <c r="R78" s="6"/>
      <c r="S78" s="6"/>
      <c r="T78" s="156"/>
      <c r="U78" s="6"/>
    </row>
    <row r="79" spans="1:21" customFormat="1">
      <c r="A79" s="163" t="s">
        <v>693</v>
      </c>
      <c r="B79" s="100">
        <v>4.07</v>
      </c>
      <c r="C79" s="100">
        <v>21.46</v>
      </c>
      <c r="D79" s="100">
        <v>15.82</v>
      </c>
      <c r="E79" s="100">
        <v>10.77</v>
      </c>
      <c r="F79" s="152" t="s">
        <v>15</v>
      </c>
      <c r="G79" s="100">
        <v>70.36</v>
      </c>
      <c r="H79" s="100">
        <v>33.01</v>
      </c>
      <c r="I79" s="100">
        <v>8.23</v>
      </c>
      <c r="J79" s="100">
        <v>0.33</v>
      </c>
      <c r="K79" s="100">
        <v>165.78</v>
      </c>
      <c r="L79" s="100">
        <v>21.94</v>
      </c>
      <c r="M79" s="100">
        <v>52.27</v>
      </c>
      <c r="N79" s="100">
        <v>2.1</v>
      </c>
      <c r="O79" s="100">
        <v>0</v>
      </c>
      <c r="P79" s="100">
        <v>0.68</v>
      </c>
      <c r="Q79" s="100">
        <v>12.97</v>
      </c>
      <c r="R79" s="6"/>
      <c r="S79" s="6"/>
      <c r="T79" s="156"/>
      <c r="U79" s="6"/>
    </row>
    <row r="80" spans="1:21" customFormat="1">
      <c r="A80" s="163" t="s">
        <v>694</v>
      </c>
      <c r="B80" s="100">
        <v>4.34</v>
      </c>
      <c r="C80" s="100">
        <v>22.4</v>
      </c>
      <c r="D80" s="100">
        <v>16.53</v>
      </c>
      <c r="E80" s="100">
        <v>10.210000000000001</v>
      </c>
      <c r="F80" s="152" t="s">
        <v>15</v>
      </c>
      <c r="G80" s="100">
        <v>70.36</v>
      </c>
      <c r="H80" s="100">
        <v>33.01</v>
      </c>
      <c r="I80" s="100">
        <v>8.25</v>
      </c>
      <c r="J80" s="100">
        <v>0.32</v>
      </c>
      <c r="K80" s="100">
        <v>169.36</v>
      </c>
      <c r="L80" s="100">
        <v>21.23</v>
      </c>
      <c r="M80" s="100">
        <v>58.1</v>
      </c>
      <c r="N80" s="100">
        <v>1.9</v>
      </c>
      <c r="O80" s="100">
        <v>0</v>
      </c>
      <c r="P80" s="100">
        <v>0.7</v>
      </c>
      <c r="Q80" s="100">
        <v>12.97</v>
      </c>
      <c r="R80" s="6"/>
      <c r="S80" s="6"/>
      <c r="T80" s="156"/>
      <c r="U80" s="6"/>
    </row>
    <row r="81" spans="1:21" customFormat="1">
      <c r="A81" s="163" t="s">
        <v>695</v>
      </c>
      <c r="B81" s="100">
        <v>4.62</v>
      </c>
      <c r="C81" s="100">
        <v>23.11</v>
      </c>
      <c r="D81" s="100">
        <v>17.13</v>
      </c>
      <c r="E81" s="100">
        <v>7.89</v>
      </c>
      <c r="F81" s="152" t="s">
        <v>15</v>
      </c>
      <c r="G81" s="100">
        <v>85.64</v>
      </c>
      <c r="H81" s="100">
        <v>34.82</v>
      </c>
      <c r="I81" s="100">
        <v>8.49</v>
      </c>
      <c r="J81" s="100">
        <v>0.3</v>
      </c>
      <c r="K81" s="100">
        <v>169.44</v>
      </c>
      <c r="L81" s="100">
        <v>20.29</v>
      </c>
      <c r="M81" s="100">
        <v>65.430000000000007</v>
      </c>
      <c r="N81" s="100">
        <v>2</v>
      </c>
      <c r="O81" s="100">
        <v>0</v>
      </c>
      <c r="P81" s="100">
        <v>0.73</v>
      </c>
      <c r="Q81" s="100">
        <v>12.97</v>
      </c>
      <c r="R81" s="6"/>
      <c r="S81" s="6"/>
      <c r="T81" s="156"/>
      <c r="U81" s="6"/>
    </row>
    <row r="82" spans="1:21" customFormat="1">
      <c r="A82" s="163" t="s">
        <v>696</v>
      </c>
      <c r="B82" s="100">
        <v>5.14</v>
      </c>
      <c r="C82" s="100">
        <v>23.83</v>
      </c>
      <c r="D82" s="100">
        <v>17.920000000000002</v>
      </c>
      <c r="E82" s="100">
        <v>9.34</v>
      </c>
      <c r="F82" s="152" t="s">
        <v>15</v>
      </c>
      <c r="G82" s="100">
        <v>96.81</v>
      </c>
      <c r="H82" s="100">
        <v>35.36</v>
      </c>
      <c r="I82" s="100">
        <v>8.77</v>
      </c>
      <c r="J82" s="100">
        <v>0.17</v>
      </c>
      <c r="K82" s="100">
        <v>50.67</v>
      </c>
      <c r="L82" s="100">
        <v>20.309999999999999</v>
      </c>
      <c r="M82" s="100">
        <v>55.85</v>
      </c>
      <c r="N82" s="100">
        <v>0.9</v>
      </c>
      <c r="O82" s="100">
        <v>0</v>
      </c>
      <c r="P82" s="100">
        <v>0.76</v>
      </c>
      <c r="Q82" s="100">
        <v>12.97</v>
      </c>
      <c r="R82" s="6"/>
      <c r="S82" s="6"/>
      <c r="T82" s="156"/>
      <c r="U82" s="6"/>
    </row>
    <row r="83" spans="1:21" customFormat="1">
      <c r="A83" s="163" t="s">
        <v>697</v>
      </c>
      <c r="B83" s="100">
        <v>6.27</v>
      </c>
      <c r="C83" s="100">
        <v>24.98</v>
      </c>
      <c r="D83" s="100">
        <v>19.43</v>
      </c>
      <c r="E83" s="100">
        <v>9.33</v>
      </c>
      <c r="F83" s="152" t="s">
        <v>15</v>
      </c>
      <c r="G83" s="100">
        <v>96.81</v>
      </c>
      <c r="H83" s="100">
        <v>35.36</v>
      </c>
      <c r="I83" s="100">
        <v>8.94</v>
      </c>
      <c r="J83" s="100">
        <v>0.19</v>
      </c>
      <c r="K83" s="100">
        <v>110.53</v>
      </c>
      <c r="L83" s="100">
        <v>20.8</v>
      </c>
      <c r="M83" s="100">
        <v>54.9</v>
      </c>
      <c r="N83" s="100">
        <v>1.2</v>
      </c>
      <c r="O83" s="100">
        <v>0</v>
      </c>
      <c r="P83" s="100">
        <v>0.81</v>
      </c>
      <c r="Q83" s="100">
        <v>13</v>
      </c>
      <c r="R83" s="6"/>
      <c r="S83" s="6"/>
      <c r="T83" s="156"/>
      <c r="U83" s="6"/>
    </row>
    <row r="84" spans="1:21" customFormat="1">
      <c r="A84" s="163" t="s">
        <v>698</v>
      </c>
      <c r="B84" s="100">
        <v>7.04</v>
      </c>
      <c r="C84" s="100">
        <v>26.02</v>
      </c>
      <c r="D84" s="100">
        <v>20.6</v>
      </c>
      <c r="E84" s="100">
        <v>9.3699999999999992</v>
      </c>
      <c r="F84" s="152" t="s">
        <v>15</v>
      </c>
      <c r="G84" s="100">
        <v>96.81</v>
      </c>
      <c r="H84" s="100">
        <v>35.36</v>
      </c>
      <c r="I84" s="100">
        <v>9.23</v>
      </c>
      <c r="J84" s="100">
        <v>0.22</v>
      </c>
      <c r="K84" s="100">
        <v>167.84</v>
      </c>
      <c r="L84" s="100">
        <v>20.05</v>
      </c>
      <c r="M84" s="100">
        <v>62.46</v>
      </c>
      <c r="N84" s="100">
        <v>1.8</v>
      </c>
      <c r="O84" s="100">
        <v>0</v>
      </c>
      <c r="P84" s="100">
        <v>0.85</v>
      </c>
      <c r="Q84" s="100">
        <v>12.99</v>
      </c>
      <c r="R84" s="6"/>
      <c r="S84" s="6"/>
      <c r="T84" s="156"/>
      <c r="U84" s="6"/>
    </row>
    <row r="85" spans="1:21" customFormat="1">
      <c r="A85" s="163" t="s">
        <v>699</v>
      </c>
      <c r="B85" s="100">
        <v>7.23</v>
      </c>
      <c r="C85" s="100">
        <v>26.33</v>
      </c>
      <c r="D85" s="100">
        <v>20.9</v>
      </c>
      <c r="E85" s="100">
        <v>9.16</v>
      </c>
      <c r="F85" s="152" t="s">
        <v>15</v>
      </c>
      <c r="G85" s="100">
        <v>110.22</v>
      </c>
      <c r="H85" s="100">
        <v>36.19</v>
      </c>
      <c r="I85" s="100">
        <v>9.6199999999999992</v>
      </c>
      <c r="J85" s="100">
        <v>0.13</v>
      </c>
      <c r="K85" s="100">
        <v>188.82</v>
      </c>
      <c r="L85" s="100">
        <v>19.309999999999999</v>
      </c>
      <c r="M85" s="100">
        <v>64.58</v>
      </c>
      <c r="N85" s="100">
        <v>1.7</v>
      </c>
      <c r="O85" s="100">
        <v>0</v>
      </c>
      <c r="P85" s="100">
        <v>0.87</v>
      </c>
      <c r="Q85" s="100">
        <v>13.01</v>
      </c>
      <c r="R85" s="6"/>
      <c r="S85" s="6"/>
      <c r="T85" s="156"/>
      <c r="U85" s="6"/>
    </row>
    <row r="86" spans="1:21" customFormat="1">
      <c r="A86" s="163" t="s">
        <v>700</v>
      </c>
      <c r="B86" s="100">
        <v>7.36</v>
      </c>
      <c r="C86" s="100">
        <v>26.63</v>
      </c>
      <c r="D86" s="100">
        <v>21.16</v>
      </c>
      <c r="E86" s="100">
        <v>9.31</v>
      </c>
      <c r="F86" s="152" t="s">
        <v>15</v>
      </c>
      <c r="G86" s="100">
        <v>120.03</v>
      </c>
      <c r="H86" s="100">
        <v>36.67</v>
      </c>
      <c r="I86" s="100">
        <v>9.93</v>
      </c>
      <c r="J86" s="100">
        <v>0.25</v>
      </c>
      <c r="K86" s="100">
        <v>170.03</v>
      </c>
      <c r="L86" s="100">
        <v>19.02</v>
      </c>
      <c r="M86" s="100">
        <v>67.16</v>
      </c>
      <c r="N86" s="100">
        <v>1.5</v>
      </c>
      <c r="O86" s="100">
        <v>0</v>
      </c>
      <c r="P86" s="100">
        <v>0.89</v>
      </c>
      <c r="Q86" s="100">
        <v>13</v>
      </c>
      <c r="R86" s="6"/>
      <c r="S86" s="6"/>
      <c r="T86" s="156"/>
      <c r="U86" s="6"/>
    </row>
    <row r="87" spans="1:21" customFormat="1">
      <c r="A87" s="163" t="s">
        <v>701</v>
      </c>
      <c r="B87" s="100">
        <v>7.78</v>
      </c>
      <c r="C87" s="100">
        <v>27.11</v>
      </c>
      <c r="D87" s="100">
        <v>21.75</v>
      </c>
      <c r="E87" s="100">
        <v>8.98</v>
      </c>
      <c r="F87" s="152" t="s">
        <v>15</v>
      </c>
      <c r="G87" s="100">
        <v>120.03</v>
      </c>
      <c r="H87" s="100">
        <v>36.67</v>
      </c>
      <c r="I87" s="100">
        <v>10.14</v>
      </c>
      <c r="J87" s="100">
        <v>0.18</v>
      </c>
      <c r="K87" s="100">
        <v>187.21</v>
      </c>
      <c r="L87" s="100">
        <v>18.600000000000001</v>
      </c>
      <c r="M87" s="100">
        <v>68.430000000000007</v>
      </c>
      <c r="N87" s="100">
        <v>1.6</v>
      </c>
      <c r="O87" s="100">
        <v>0</v>
      </c>
      <c r="P87" s="100">
        <v>0.91</v>
      </c>
      <c r="Q87" s="100">
        <v>13</v>
      </c>
      <c r="R87" s="6"/>
      <c r="S87" s="6"/>
      <c r="T87" s="156"/>
      <c r="U87" s="6"/>
    </row>
    <row r="88" spans="1:21" customFormat="1">
      <c r="A88" s="163" t="s">
        <v>702</v>
      </c>
      <c r="B88" s="100">
        <v>8.2100000000000009</v>
      </c>
      <c r="C88" s="100">
        <v>27.48</v>
      </c>
      <c r="D88" s="100">
        <v>22.3</v>
      </c>
      <c r="E88" s="100">
        <v>9.19</v>
      </c>
      <c r="F88" s="152" t="s">
        <v>15</v>
      </c>
      <c r="G88" s="100">
        <v>120.03</v>
      </c>
      <c r="H88" s="100">
        <v>36.67</v>
      </c>
      <c r="I88" s="100">
        <v>10.38</v>
      </c>
      <c r="J88" s="100">
        <v>0.17</v>
      </c>
      <c r="K88" s="100">
        <v>163.58000000000001</v>
      </c>
      <c r="L88" s="100">
        <v>17.96</v>
      </c>
      <c r="M88" s="100">
        <v>73.83</v>
      </c>
      <c r="N88" s="100">
        <v>1.6</v>
      </c>
      <c r="O88" s="100">
        <v>0</v>
      </c>
      <c r="P88" s="100">
        <v>0.95</v>
      </c>
      <c r="Q88" s="100">
        <v>12.99</v>
      </c>
      <c r="R88" s="6"/>
      <c r="S88" s="6"/>
      <c r="T88" s="156"/>
      <c r="U88" s="6"/>
    </row>
    <row r="89" spans="1:21" customFormat="1">
      <c r="A89" s="163" t="s">
        <v>703</v>
      </c>
      <c r="B89" s="100">
        <v>8.23</v>
      </c>
      <c r="C89" s="100">
        <v>27.3</v>
      </c>
      <c r="D89" s="100">
        <v>22.22</v>
      </c>
      <c r="E89" s="100">
        <v>8.75</v>
      </c>
      <c r="F89" s="152" t="s">
        <v>15</v>
      </c>
      <c r="G89" s="100">
        <v>122.42</v>
      </c>
      <c r="H89" s="100">
        <v>36.75</v>
      </c>
      <c r="I89" s="100">
        <v>10.65</v>
      </c>
      <c r="J89" s="100">
        <v>0.25</v>
      </c>
      <c r="K89" s="100">
        <v>162.41999999999999</v>
      </c>
      <c r="L89" s="100">
        <v>17.75</v>
      </c>
      <c r="M89" s="100">
        <v>74.38</v>
      </c>
      <c r="N89" s="100">
        <v>1.4</v>
      </c>
      <c r="O89" s="100">
        <v>0</v>
      </c>
      <c r="P89" s="100">
        <v>0.96</v>
      </c>
      <c r="Q89" s="100">
        <v>13</v>
      </c>
      <c r="R89" s="6"/>
      <c r="S89" s="6"/>
      <c r="T89" s="156"/>
      <c r="U89" s="6"/>
    </row>
    <row r="90" spans="1:21" customFormat="1">
      <c r="A90" s="163" t="s">
        <v>704</v>
      </c>
      <c r="B90" s="100">
        <v>8.18</v>
      </c>
      <c r="C90" s="100">
        <v>26.98</v>
      </c>
      <c r="D90" s="100">
        <v>22</v>
      </c>
      <c r="E90" s="100">
        <v>9.01</v>
      </c>
      <c r="F90" s="152" t="s">
        <v>15</v>
      </c>
      <c r="G90" s="100">
        <v>124.17</v>
      </c>
      <c r="H90" s="100">
        <v>36.78</v>
      </c>
      <c r="I90" s="100">
        <v>10.9</v>
      </c>
      <c r="J90" s="100">
        <v>0.17</v>
      </c>
      <c r="K90" s="100">
        <v>174.63</v>
      </c>
      <c r="L90" s="100">
        <v>17.66</v>
      </c>
      <c r="M90" s="100">
        <v>76.930000000000007</v>
      </c>
      <c r="N90" s="100">
        <v>1.3</v>
      </c>
      <c r="O90" s="100">
        <v>0</v>
      </c>
      <c r="P90" s="100">
        <v>0.98</v>
      </c>
      <c r="Q90" s="100">
        <v>13</v>
      </c>
      <c r="R90" s="6"/>
      <c r="S90" s="6"/>
      <c r="T90" s="156"/>
      <c r="U90" s="6"/>
    </row>
    <row r="91" spans="1:21" customFormat="1">
      <c r="A91" s="163" t="s">
        <v>705</v>
      </c>
      <c r="B91" s="100">
        <v>8.42</v>
      </c>
      <c r="C91" s="100">
        <v>26.74</v>
      </c>
      <c r="D91" s="100">
        <v>22.07</v>
      </c>
      <c r="E91" s="100">
        <v>9.06</v>
      </c>
      <c r="F91" s="152" t="s">
        <v>15</v>
      </c>
      <c r="G91" s="100">
        <v>124.17</v>
      </c>
      <c r="H91" s="100">
        <v>36.78</v>
      </c>
      <c r="I91" s="100">
        <v>11.21</v>
      </c>
      <c r="J91" s="100">
        <v>0.17</v>
      </c>
      <c r="K91" s="100">
        <v>140.82</v>
      </c>
      <c r="L91" s="100">
        <v>17.55</v>
      </c>
      <c r="M91" s="100">
        <v>75.12</v>
      </c>
      <c r="N91" s="100">
        <v>1.3</v>
      </c>
      <c r="O91" s="100">
        <v>0</v>
      </c>
      <c r="P91" s="100">
        <v>1.01</v>
      </c>
      <c r="Q91" s="100">
        <v>13</v>
      </c>
      <c r="R91" s="6"/>
      <c r="S91" s="6"/>
      <c r="T91" s="156"/>
      <c r="U91" s="6"/>
    </row>
    <row r="92" spans="1:21" customFormat="1">
      <c r="A92" s="163" t="s">
        <v>706</v>
      </c>
      <c r="B92" s="100">
        <v>9.9600000000000009</v>
      </c>
      <c r="C92" s="100">
        <v>26.99</v>
      </c>
      <c r="D92" s="100">
        <v>23.44</v>
      </c>
      <c r="E92" s="100">
        <v>9.11</v>
      </c>
      <c r="F92" s="152" t="s">
        <v>15</v>
      </c>
      <c r="G92" s="100">
        <v>124.17</v>
      </c>
      <c r="H92" s="100">
        <v>36.78</v>
      </c>
      <c r="I92" s="100">
        <v>11.57</v>
      </c>
      <c r="J92" s="100">
        <v>0.33</v>
      </c>
      <c r="K92" s="100">
        <v>61.83</v>
      </c>
      <c r="L92" s="100">
        <v>18.12</v>
      </c>
      <c r="M92" s="100">
        <v>68.319999999999993</v>
      </c>
      <c r="N92" s="100">
        <v>0.5</v>
      </c>
      <c r="O92" s="100">
        <v>0</v>
      </c>
      <c r="P92" s="100">
        <v>1.05</v>
      </c>
      <c r="Q92" s="100">
        <v>13.02</v>
      </c>
      <c r="R92" s="6"/>
      <c r="S92" s="6"/>
      <c r="T92" s="156"/>
      <c r="U92" s="6"/>
    </row>
    <row r="93" spans="1:21" customFormat="1">
      <c r="A93" s="163" t="s">
        <v>707</v>
      </c>
      <c r="B93" s="100">
        <v>12.47</v>
      </c>
      <c r="C93" s="100">
        <v>27.3</v>
      </c>
      <c r="D93" s="100">
        <v>25.61</v>
      </c>
      <c r="E93" s="100">
        <v>9.35</v>
      </c>
      <c r="F93" s="152" t="s">
        <v>15</v>
      </c>
      <c r="G93" s="100">
        <v>129.26</v>
      </c>
      <c r="H93" s="100">
        <v>38.549999999999997</v>
      </c>
      <c r="I93" s="100">
        <v>11.95</v>
      </c>
      <c r="J93" s="100">
        <v>0.15</v>
      </c>
      <c r="K93" s="100">
        <v>208.29</v>
      </c>
      <c r="L93" s="100">
        <v>18.38</v>
      </c>
      <c r="M93" s="100">
        <v>67.36</v>
      </c>
      <c r="N93" s="100">
        <v>1.3</v>
      </c>
      <c r="O93" s="100">
        <v>0</v>
      </c>
      <c r="P93" s="100">
        <v>1.1100000000000001</v>
      </c>
      <c r="Q93" s="100">
        <v>13.02</v>
      </c>
      <c r="R93" s="6"/>
      <c r="S93" s="6"/>
      <c r="T93" s="156"/>
      <c r="U93" s="6"/>
    </row>
    <row r="94" spans="1:21" customFormat="1">
      <c r="A94" s="163" t="s">
        <v>708</v>
      </c>
      <c r="B94" s="100">
        <v>14.25</v>
      </c>
      <c r="C94" s="100">
        <v>27.61</v>
      </c>
      <c r="D94" s="100">
        <v>27.21</v>
      </c>
      <c r="E94" s="100">
        <v>9.2799999999999994</v>
      </c>
      <c r="F94" s="152" t="s">
        <v>15</v>
      </c>
      <c r="G94" s="100">
        <v>132.97999999999999</v>
      </c>
      <c r="H94" s="100">
        <v>39.08</v>
      </c>
      <c r="I94" s="100">
        <v>12.39</v>
      </c>
      <c r="J94" s="100">
        <v>0.21</v>
      </c>
      <c r="K94" s="100">
        <v>170.37</v>
      </c>
      <c r="L94" s="100">
        <v>17.440000000000001</v>
      </c>
      <c r="M94" s="100">
        <v>78.05</v>
      </c>
      <c r="N94" s="100">
        <v>1.8</v>
      </c>
      <c r="O94" s="100">
        <v>0</v>
      </c>
      <c r="P94" s="100">
        <v>1.1499999999999999</v>
      </c>
      <c r="Q94" s="100">
        <v>13.03</v>
      </c>
      <c r="R94" s="6"/>
      <c r="S94" s="6"/>
      <c r="T94" s="156"/>
      <c r="U94" s="6"/>
    </row>
    <row r="95" spans="1:21" customFormat="1">
      <c r="A95" s="163" t="s">
        <v>709</v>
      </c>
      <c r="B95" s="100">
        <v>15.34</v>
      </c>
      <c r="C95" s="100">
        <v>27.68</v>
      </c>
      <c r="D95" s="100">
        <v>28.11</v>
      </c>
      <c r="E95" s="100">
        <v>8.8699999999999992</v>
      </c>
      <c r="F95" s="152" t="s">
        <v>15</v>
      </c>
      <c r="G95" s="100">
        <v>132.97999999999999</v>
      </c>
      <c r="H95" s="100">
        <v>39.08</v>
      </c>
      <c r="I95" s="100">
        <v>12.84</v>
      </c>
      <c r="J95" s="100">
        <v>0.08</v>
      </c>
      <c r="K95" s="100">
        <v>181.51</v>
      </c>
      <c r="L95" s="100">
        <v>17</v>
      </c>
      <c r="M95" s="100">
        <v>77.430000000000007</v>
      </c>
      <c r="N95" s="100">
        <v>1.5</v>
      </c>
      <c r="O95" s="100">
        <v>0</v>
      </c>
      <c r="P95" s="100">
        <v>1.18</v>
      </c>
      <c r="Q95" s="100">
        <v>13.03</v>
      </c>
      <c r="R95" s="6"/>
      <c r="S95" s="6"/>
      <c r="T95" s="156"/>
      <c r="U95" s="6"/>
    </row>
    <row r="96" spans="1:21" customFormat="1">
      <c r="A96" s="163" t="s">
        <v>710</v>
      </c>
      <c r="B96" s="100">
        <v>17.55</v>
      </c>
      <c r="C96" s="100">
        <v>28.01</v>
      </c>
      <c r="D96" s="100">
        <v>30.06</v>
      </c>
      <c r="E96" s="100">
        <v>8.81</v>
      </c>
      <c r="F96" s="152" t="s">
        <v>15</v>
      </c>
      <c r="G96" s="100">
        <v>132.97999999999999</v>
      </c>
      <c r="H96" s="100">
        <v>39.08</v>
      </c>
      <c r="I96" s="100">
        <v>13.24</v>
      </c>
      <c r="J96" s="100">
        <v>0.38</v>
      </c>
      <c r="K96" s="100">
        <v>168.54</v>
      </c>
      <c r="L96" s="100">
        <v>17.2</v>
      </c>
      <c r="M96" s="100">
        <v>76.459999999999994</v>
      </c>
      <c r="N96" s="100">
        <v>1.3</v>
      </c>
      <c r="O96" s="100">
        <v>0</v>
      </c>
      <c r="P96" s="100">
        <v>1.22</v>
      </c>
      <c r="Q96" s="100">
        <v>13.03</v>
      </c>
      <c r="R96" s="6"/>
      <c r="S96" s="6"/>
      <c r="T96" s="156"/>
      <c r="U96" s="6"/>
    </row>
    <row r="97" spans="1:28" customFormat="1">
      <c r="A97" s="163" t="s">
        <v>711</v>
      </c>
      <c r="B97" s="100">
        <v>19.07</v>
      </c>
      <c r="C97" s="100">
        <v>28.13</v>
      </c>
      <c r="D97" s="100">
        <v>31.34</v>
      </c>
      <c r="E97" s="100">
        <v>9.11</v>
      </c>
      <c r="F97" s="152" t="s">
        <v>15</v>
      </c>
      <c r="G97" s="100">
        <v>132.75</v>
      </c>
      <c r="H97" s="100">
        <v>40.58</v>
      </c>
      <c r="I97" s="100">
        <v>13.6</v>
      </c>
      <c r="J97" s="100">
        <v>0.19</v>
      </c>
      <c r="K97" s="100">
        <v>177.43</v>
      </c>
      <c r="L97" s="100">
        <v>16.75</v>
      </c>
      <c r="M97" s="100">
        <v>78.53</v>
      </c>
      <c r="N97" s="100">
        <v>1.4</v>
      </c>
      <c r="O97" s="100">
        <v>0</v>
      </c>
      <c r="P97" s="100">
        <v>1.22</v>
      </c>
      <c r="Q97" s="100">
        <v>13.03</v>
      </c>
      <c r="R97" s="6"/>
      <c r="S97" s="6"/>
      <c r="T97" s="156"/>
      <c r="U97" s="6"/>
    </row>
    <row r="98" spans="1:28" customFormat="1">
      <c r="A98" s="163" t="s">
        <v>712</v>
      </c>
      <c r="B98" s="100">
        <v>19.21</v>
      </c>
      <c r="C98" s="100">
        <v>28.11</v>
      </c>
      <c r="D98" s="100">
        <v>31.45</v>
      </c>
      <c r="E98" s="100">
        <v>8.99</v>
      </c>
      <c r="F98" s="152" t="s">
        <v>15</v>
      </c>
      <c r="G98" s="100">
        <v>132.58000000000001</v>
      </c>
      <c r="H98" s="100">
        <v>41.02</v>
      </c>
      <c r="I98" s="100">
        <v>13.95</v>
      </c>
      <c r="J98" s="100">
        <v>0.16</v>
      </c>
      <c r="K98" s="100">
        <v>175.17</v>
      </c>
      <c r="L98" s="100">
        <v>16.7</v>
      </c>
      <c r="M98" s="100">
        <v>80.86</v>
      </c>
      <c r="N98" s="100">
        <v>1.4</v>
      </c>
      <c r="O98" s="100">
        <v>0</v>
      </c>
      <c r="P98" s="100">
        <v>1.22</v>
      </c>
      <c r="Q98" s="100">
        <v>13.04</v>
      </c>
      <c r="R98" s="6"/>
      <c r="S98" s="6"/>
      <c r="T98" s="156"/>
      <c r="U98" s="6"/>
    </row>
    <row r="99" spans="1:28" customFormat="1">
      <c r="A99" s="163" t="s">
        <v>713</v>
      </c>
      <c r="B99" s="100">
        <v>19.03</v>
      </c>
      <c r="C99" s="100">
        <v>28.18</v>
      </c>
      <c r="D99" s="100">
        <v>31.33</v>
      </c>
      <c r="E99" s="100">
        <v>8.93</v>
      </c>
      <c r="F99" s="152" t="s">
        <v>15</v>
      </c>
      <c r="G99" s="100">
        <v>132.58000000000001</v>
      </c>
      <c r="H99" s="100">
        <v>41.02</v>
      </c>
      <c r="I99" s="100">
        <v>14.27</v>
      </c>
      <c r="J99" s="100">
        <v>0.17</v>
      </c>
      <c r="K99" s="100">
        <v>166.59</v>
      </c>
      <c r="L99" s="100">
        <v>16.399999999999999</v>
      </c>
      <c r="M99" s="100">
        <v>81.459999999999994</v>
      </c>
      <c r="N99" s="100">
        <v>1.4</v>
      </c>
      <c r="O99" s="100">
        <v>0</v>
      </c>
      <c r="P99" s="100">
        <v>1.24</v>
      </c>
      <c r="Q99" s="100">
        <v>13.05</v>
      </c>
      <c r="R99" s="6"/>
      <c r="S99" s="6"/>
      <c r="T99" s="156"/>
      <c r="U99" s="6"/>
    </row>
    <row r="100" spans="1:28" customFormat="1">
      <c r="A100" s="163" t="s">
        <v>714</v>
      </c>
      <c r="B100" s="100">
        <v>20.11</v>
      </c>
      <c r="C100" s="100">
        <v>28.3</v>
      </c>
      <c r="D100" s="100">
        <v>32.270000000000003</v>
      </c>
      <c r="E100" s="100">
        <v>9.2799999999999994</v>
      </c>
      <c r="F100" s="152" t="s">
        <v>15</v>
      </c>
      <c r="G100" s="100">
        <v>132.58000000000001</v>
      </c>
      <c r="H100" s="100">
        <v>41.02</v>
      </c>
      <c r="I100" s="100">
        <v>14.55</v>
      </c>
      <c r="J100" s="100">
        <v>0.21</v>
      </c>
      <c r="K100" s="100">
        <v>186.55</v>
      </c>
      <c r="L100" s="100">
        <v>16.510000000000002</v>
      </c>
      <c r="M100" s="100">
        <v>82.2</v>
      </c>
      <c r="N100" s="100">
        <v>1.2</v>
      </c>
      <c r="O100" s="100">
        <v>0</v>
      </c>
      <c r="P100" s="100">
        <v>1.26</v>
      </c>
      <c r="Q100" s="100">
        <v>13.06</v>
      </c>
      <c r="R100" s="6"/>
      <c r="S100" s="6"/>
      <c r="T100" s="156"/>
      <c r="U100" s="6"/>
      <c r="AB100" s="161"/>
    </row>
    <row r="101" spans="1:28" customFormat="1">
      <c r="A101" s="163" t="s">
        <v>715</v>
      </c>
      <c r="B101" s="100">
        <v>20.69</v>
      </c>
      <c r="C101" s="100">
        <v>28.31</v>
      </c>
      <c r="D101" s="100">
        <v>32.729999999999997</v>
      </c>
      <c r="E101" s="100">
        <v>8.8000000000000007</v>
      </c>
      <c r="F101" s="152" t="s">
        <v>15</v>
      </c>
      <c r="G101" s="100">
        <v>134.18</v>
      </c>
      <c r="H101" s="100">
        <v>44.12</v>
      </c>
      <c r="I101" s="100">
        <v>14.8</v>
      </c>
      <c r="J101" s="100">
        <v>0.2</v>
      </c>
      <c r="K101" s="100">
        <v>209.63</v>
      </c>
      <c r="L101" s="100">
        <v>15.94</v>
      </c>
      <c r="M101" s="100">
        <v>86.66</v>
      </c>
      <c r="N101" s="100">
        <v>1.6</v>
      </c>
      <c r="O101" s="100">
        <v>0</v>
      </c>
      <c r="P101" s="100">
        <v>1.27</v>
      </c>
      <c r="Q101" s="100">
        <v>13.05</v>
      </c>
      <c r="R101" s="6"/>
      <c r="S101" s="6"/>
      <c r="T101" s="156"/>
      <c r="U101" s="6"/>
    </row>
    <row r="102" spans="1:28" customFormat="1">
      <c r="A102" s="163" t="s">
        <v>716</v>
      </c>
      <c r="B102" s="100">
        <v>20.59</v>
      </c>
      <c r="C102" s="100">
        <v>27.89</v>
      </c>
      <c r="D102" s="100">
        <v>32.43</v>
      </c>
      <c r="E102" s="100">
        <v>9.36</v>
      </c>
      <c r="F102" s="152" t="s">
        <v>15</v>
      </c>
      <c r="G102" s="100">
        <v>135.35</v>
      </c>
      <c r="H102" s="100">
        <v>45.05</v>
      </c>
      <c r="I102" s="100">
        <v>15.06</v>
      </c>
      <c r="J102" s="100">
        <v>0.14000000000000001</v>
      </c>
      <c r="K102" s="100">
        <v>176.29</v>
      </c>
      <c r="L102" s="100">
        <v>15.67</v>
      </c>
      <c r="M102" s="100">
        <v>85.82</v>
      </c>
      <c r="N102" s="100">
        <v>1.4</v>
      </c>
      <c r="O102" s="100">
        <v>0</v>
      </c>
      <c r="P102" s="100">
        <v>1.28</v>
      </c>
      <c r="Q102" s="100">
        <v>13.06</v>
      </c>
      <c r="R102" s="6"/>
      <c r="S102" s="6"/>
      <c r="T102" s="156"/>
      <c r="U102" s="6"/>
    </row>
    <row r="103" spans="1:28" customFormat="1">
      <c r="A103" s="163" t="s">
        <v>717</v>
      </c>
      <c r="B103" s="100">
        <v>20.29</v>
      </c>
      <c r="C103" s="100">
        <v>27.73</v>
      </c>
      <c r="D103" s="100">
        <v>32.11</v>
      </c>
      <c r="E103" s="100">
        <v>8.86</v>
      </c>
      <c r="F103" s="152" t="s">
        <v>15</v>
      </c>
      <c r="G103" s="100">
        <v>135.35</v>
      </c>
      <c r="H103" s="100">
        <v>45.05</v>
      </c>
      <c r="I103" s="100">
        <v>15.32</v>
      </c>
      <c r="J103" s="100">
        <v>0.18</v>
      </c>
      <c r="K103" s="100">
        <v>189.03</v>
      </c>
      <c r="L103" s="100">
        <v>15.5</v>
      </c>
      <c r="M103" s="100">
        <v>87.53</v>
      </c>
      <c r="N103" s="100">
        <v>1.4</v>
      </c>
      <c r="O103" s="100">
        <v>0</v>
      </c>
      <c r="P103" s="100">
        <v>1.29</v>
      </c>
      <c r="Q103" s="100">
        <v>13.08</v>
      </c>
      <c r="R103" s="6"/>
      <c r="S103" s="6"/>
      <c r="T103" s="156"/>
      <c r="U103" s="6"/>
    </row>
    <row r="104" spans="1:28" customFormat="1">
      <c r="A104" s="163" t="s">
        <v>718</v>
      </c>
      <c r="B104" s="100">
        <v>20.010000000000002</v>
      </c>
      <c r="C104" s="100">
        <v>27.51</v>
      </c>
      <c r="D104" s="100">
        <v>31.77</v>
      </c>
      <c r="E104" s="100">
        <v>9.07</v>
      </c>
      <c r="F104" s="152" t="s">
        <v>15</v>
      </c>
      <c r="G104" s="100">
        <v>135.35</v>
      </c>
      <c r="H104" s="100">
        <v>45.05</v>
      </c>
      <c r="I104" s="100">
        <v>15.54</v>
      </c>
      <c r="J104" s="100">
        <v>0.12</v>
      </c>
      <c r="K104" s="100">
        <v>191.29</v>
      </c>
      <c r="L104" s="100">
        <v>15.42</v>
      </c>
      <c r="M104" s="100">
        <v>84.85</v>
      </c>
      <c r="N104" s="100">
        <v>1.1000000000000001</v>
      </c>
      <c r="O104" s="100">
        <v>0</v>
      </c>
      <c r="P104" s="100">
        <v>1.3</v>
      </c>
      <c r="Q104" s="100">
        <v>13.06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3.53</v>
      </c>
      <c r="C106" s="158">
        <f>MIN(C9:C104)</f>
        <v>19.739999999999998</v>
      </c>
      <c r="D106" s="158">
        <f t="shared" ref="D106:Q106" si="0">MIN(D9:D104)</f>
        <v>14.91</v>
      </c>
      <c r="E106" s="158">
        <f t="shared" si="0"/>
        <v>7.21</v>
      </c>
      <c r="F106" s="158">
        <f t="shared" si="0"/>
        <v>0</v>
      </c>
      <c r="G106" s="158">
        <f t="shared" si="0"/>
        <v>50.87</v>
      </c>
      <c r="H106" s="158">
        <f t="shared" si="0"/>
        <v>23.28</v>
      </c>
      <c r="I106" s="158">
        <f t="shared" si="0"/>
        <v>8.23</v>
      </c>
      <c r="J106" s="158">
        <f t="shared" si="0"/>
        <v>0.08</v>
      </c>
      <c r="K106" s="158">
        <f t="shared" si="0"/>
        <v>20.12</v>
      </c>
      <c r="L106" s="158">
        <f t="shared" si="0"/>
        <v>11.77</v>
      </c>
      <c r="M106" s="158">
        <f t="shared" si="0"/>
        <v>25.81</v>
      </c>
      <c r="N106" s="158">
        <f t="shared" si="0"/>
        <v>0.5</v>
      </c>
      <c r="O106" s="158">
        <f t="shared" si="0"/>
        <v>0</v>
      </c>
      <c r="P106" s="158">
        <f t="shared" si="0"/>
        <v>0.6</v>
      </c>
      <c r="Q106" s="158">
        <f t="shared" si="0"/>
        <v>12.96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44.63</v>
      </c>
      <c r="C107" s="157">
        <f t="shared" ref="C107:Q107" si="1">MAX(C9:C104)</f>
        <v>28.31</v>
      </c>
      <c r="D107" s="157">
        <f t="shared" si="1"/>
        <v>48.02</v>
      </c>
      <c r="E107" s="157">
        <f t="shared" si="1"/>
        <v>14.08</v>
      </c>
      <c r="F107" s="157">
        <f t="shared" si="1"/>
        <v>0</v>
      </c>
      <c r="G107" s="157">
        <f t="shared" si="1"/>
        <v>147.74</v>
      </c>
      <c r="H107" s="157">
        <f t="shared" si="1"/>
        <v>45.05</v>
      </c>
      <c r="I107" s="157">
        <f t="shared" si="1"/>
        <v>15.54</v>
      </c>
      <c r="J107" s="157">
        <f t="shared" si="1"/>
        <v>1.07</v>
      </c>
      <c r="K107" s="157">
        <f t="shared" si="1"/>
        <v>352.52</v>
      </c>
      <c r="L107" s="157">
        <f t="shared" si="1"/>
        <v>28.23</v>
      </c>
      <c r="M107" s="157">
        <f t="shared" si="1"/>
        <v>96.19</v>
      </c>
      <c r="N107" s="157">
        <f t="shared" si="1"/>
        <v>497.6</v>
      </c>
      <c r="O107" s="157">
        <f t="shared" si="1"/>
        <v>0</v>
      </c>
      <c r="P107" s="157">
        <f t="shared" si="1"/>
        <v>1.3</v>
      </c>
      <c r="Q107" s="157">
        <f t="shared" si="1"/>
        <v>13.12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20.680937499999995</v>
      </c>
      <c r="C108" s="158">
        <f t="shared" ref="C108:Q108" si="2">AVERAGE(C9:C104)</f>
        <v>23.930833333333339</v>
      </c>
      <c r="D108" s="158">
        <f t="shared" si="2"/>
        <v>30.438645833333329</v>
      </c>
      <c r="E108" s="158">
        <f t="shared" si="2"/>
        <v>9.4478124999999995</v>
      </c>
      <c r="F108" s="158" t="e">
        <f t="shared" si="2"/>
        <v>#DIV/0!</v>
      </c>
      <c r="G108" s="158">
        <f t="shared" si="2"/>
        <v>91.342708333333348</v>
      </c>
      <c r="H108" s="158">
        <f t="shared" si="2"/>
        <v>33.471354166666693</v>
      </c>
      <c r="I108" s="158">
        <f t="shared" si="2"/>
        <v>12.663333333333329</v>
      </c>
      <c r="J108" s="158">
        <f t="shared" si="2"/>
        <v>0.29010416666666666</v>
      </c>
      <c r="K108" s="158">
        <f t="shared" si="2"/>
        <v>139.63093750000007</v>
      </c>
      <c r="L108" s="158">
        <f t="shared" si="2"/>
        <v>19.103124999999999</v>
      </c>
      <c r="M108" s="158">
        <f t="shared" si="2"/>
        <v>63.608125000000008</v>
      </c>
      <c r="N108" s="158">
        <f t="shared" si="2"/>
        <v>92.104166666666686</v>
      </c>
      <c r="O108" s="158">
        <f t="shared" si="2"/>
        <v>0</v>
      </c>
      <c r="P108" s="158">
        <f t="shared" si="2"/>
        <v>0.94239583333333365</v>
      </c>
      <c r="Q108" s="158">
        <f t="shared" si="2"/>
        <v>13.039791666666661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14.15756387593982</v>
      </c>
      <c r="C109" s="158">
        <f t="shared" ref="C109:Q109" si="3">STDEV(C9:C104)</f>
        <v>2.6865257026273119</v>
      </c>
      <c r="D109" s="158">
        <f t="shared" si="3"/>
        <v>10.841447429077732</v>
      </c>
      <c r="E109" s="158">
        <f t="shared" si="3"/>
        <v>1.3420951437957056</v>
      </c>
      <c r="F109" s="158" t="e">
        <f t="shared" si="3"/>
        <v>#DIV/0!</v>
      </c>
      <c r="G109" s="158">
        <f t="shared" si="3"/>
        <v>26.973318062940628</v>
      </c>
      <c r="H109" s="158">
        <f t="shared" si="3"/>
        <v>5.6103067970882075</v>
      </c>
      <c r="I109" s="158">
        <f t="shared" si="3"/>
        <v>2.2717536313173601</v>
      </c>
      <c r="J109" s="158">
        <f t="shared" si="3"/>
        <v>0.20723998187540782</v>
      </c>
      <c r="K109" s="158">
        <f t="shared" si="3"/>
        <v>68.702977152654313</v>
      </c>
      <c r="L109" s="158">
        <f t="shared" si="3"/>
        <v>5.7327179762078586</v>
      </c>
      <c r="M109" s="158">
        <f t="shared" si="3"/>
        <v>24.185141820308189</v>
      </c>
      <c r="N109" s="158">
        <f t="shared" si="3"/>
        <v>156.06388092644806</v>
      </c>
      <c r="O109" s="158">
        <f t="shared" si="3"/>
        <v>0</v>
      </c>
      <c r="P109" s="158">
        <f t="shared" si="3"/>
        <v>0.18650099360066333</v>
      </c>
      <c r="Q109" s="158">
        <f t="shared" si="3"/>
        <v>4.4247608717228638E-2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D109" sqref="D10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719</v>
      </c>
      <c r="B9" s="100">
        <v>19.68</v>
      </c>
      <c r="C9" s="100">
        <v>27.73</v>
      </c>
      <c r="D9" s="100">
        <v>31.63</v>
      </c>
      <c r="E9" s="100">
        <v>9.2100000000000009</v>
      </c>
      <c r="F9" s="152" t="s">
        <v>15</v>
      </c>
      <c r="G9" s="100">
        <v>128.61000000000001</v>
      </c>
      <c r="H9" s="100">
        <v>44.61</v>
      </c>
      <c r="I9" s="100">
        <v>15.76</v>
      </c>
      <c r="J9" s="100">
        <v>0.14000000000000001</v>
      </c>
      <c r="K9" s="100">
        <v>177.75</v>
      </c>
      <c r="L9" s="100">
        <v>15.39</v>
      </c>
      <c r="M9" s="100">
        <v>87.12</v>
      </c>
      <c r="N9" s="100">
        <v>1.3</v>
      </c>
      <c r="O9" s="100">
        <v>0</v>
      </c>
      <c r="P9" s="100">
        <v>1.3</v>
      </c>
      <c r="Q9" s="100">
        <v>13.04</v>
      </c>
      <c r="R9" s="6"/>
      <c r="S9" s="6"/>
      <c r="T9" s="156"/>
      <c r="U9" s="6"/>
    </row>
    <row r="10" spans="1:21" customFormat="1">
      <c r="A10" s="163" t="s">
        <v>720</v>
      </c>
      <c r="B10" s="100">
        <v>20.09</v>
      </c>
      <c r="C10" s="100">
        <v>27.67</v>
      </c>
      <c r="D10" s="100">
        <v>31.92</v>
      </c>
      <c r="E10" s="100">
        <v>9.2899999999999991</v>
      </c>
      <c r="F10" s="152" t="s">
        <v>15</v>
      </c>
      <c r="G10" s="100">
        <v>123.69</v>
      </c>
      <c r="H10" s="100">
        <v>44.48</v>
      </c>
      <c r="I10" s="100">
        <v>16</v>
      </c>
      <c r="J10" s="100">
        <v>0.17</v>
      </c>
      <c r="K10" s="100">
        <v>166.24</v>
      </c>
      <c r="L10" s="100">
        <v>15.22</v>
      </c>
      <c r="M10" s="100">
        <v>88.1</v>
      </c>
      <c r="N10" s="100">
        <v>1.3</v>
      </c>
      <c r="O10" s="100">
        <v>0</v>
      </c>
      <c r="P10" s="100">
        <v>1.3</v>
      </c>
      <c r="Q10" s="100">
        <v>13.04</v>
      </c>
      <c r="R10" s="6"/>
      <c r="S10" s="6"/>
      <c r="T10" s="156"/>
      <c r="U10" s="6"/>
    </row>
    <row r="11" spans="1:21" customFormat="1">
      <c r="A11" s="163" t="s">
        <v>721</v>
      </c>
      <c r="B11" s="100">
        <v>20.92</v>
      </c>
      <c r="C11" s="100">
        <v>27.57</v>
      </c>
      <c r="D11" s="100">
        <v>32.53</v>
      </c>
      <c r="E11" s="100">
        <v>8.9600000000000009</v>
      </c>
      <c r="F11" s="152" t="s">
        <v>15</v>
      </c>
      <c r="G11" s="100">
        <v>123.69</v>
      </c>
      <c r="H11" s="100">
        <v>44.48</v>
      </c>
      <c r="I11" s="100">
        <v>16.2</v>
      </c>
      <c r="J11" s="100">
        <v>0.16</v>
      </c>
      <c r="K11" s="100">
        <v>208.96</v>
      </c>
      <c r="L11" s="100">
        <v>15.12</v>
      </c>
      <c r="M11" s="100">
        <v>89.69</v>
      </c>
      <c r="N11" s="100">
        <v>1.2</v>
      </c>
      <c r="O11" s="100">
        <v>0</v>
      </c>
      <c r="P11" s="100">
        <v>1.31</v>
      </c>
      <c r="Q11" s="100">
        <v>13.05</v>
      </c>
      <c r="R11" s="6"/>
      <c r="S11" s="6"/>
      <c r="T11" s="156"/>
      <c r="U11" s="6"/>
    </row>
    <row r="12" spans="1:21" customFormat="1">
      <c r="A12" s="163" t="s">
        <v>722</v>
      </c>
      <c r="B12" s="100">
        <v>20.95</v>
      </c>
      <c r="C12" s="100">
        <v>27.43</v>
      </c>
      <c r="D12" s="100">
        <v>32.479999999999997</v>
      </c>
      <c r="E12" s="100">
        <v>8.83</v>
      </c>
      <c r="F12" s="152" t="s">
        <v>15</v>
      </c>
      <c r="G12" s="100">
        <v>123.69</v>
      </c>
      <c r="H12" s="100">
        <v>44.48</v>
      </c>
      <c r="I12" s="100">
        <v>16.36</v>
      </c>
      <c r="J12" s="100">
        <v>0.21</v>
      </c>
      <c r="K12" s="100">
        <v>219.2</v>
      </c>
      <c r="L12" s="100">
        <v>14.98</v>
      </c>
      <c r="M12" s="100">
        <v>88.61</v>
      </c>
      <c r="N12" s="100">
        <v>1.3</v>
      </c>
      <c r="O12" s="100">
        <v>0</v>
      </c>
      <c r="P12" s="100">
        <v>1.31</v>
      </c>
      <c r="Q12" s="100">
        <v>13.04</v>
      </c>
      <c r="R12" s="6"/>
      <c r="S12" s="6"/>
      <c r="T12" s="156"/>
      <c r="U12" s="6"/>
    </row>
    <row r="13" spans="1:21" customFormat="1">
      <c r="A13" s="163" t="s">
        <v>723</v>
      </c>
      <c r="B13" s="100">
        <v>20.61</v>
      </c>
      <c r="C13" s="100">
        <v>27.19</v>
      </c>
      <c r="D13" s="100">
        <v>32.08</v>
      </c>
      <c r="E13" s="100">
        <v>8.89</v>
      </c>
      <c r="F13" s="152" t="s">
        <v>15</v>
      </c>
      <c r="G13" s="100">
        <v>124.81</v>
      </c>
      <c r="H13" s="100">
        <v>45.75</v>
      </c>
      <c r="I13" s="100">
        <v>16.489999999999998</v>
      </c>
      <c r="J13" s="100">
        <v>0.13</v>
      </c>
      <c r="K13" s="100">
        <v>223.38</v>
      </c>
      <c r="L13" s="100">
        <v>14.58</v>
      </c>
      <c r="M13" s="100">
        <v>89.38</v>
      </c>
      <c r="N13" s="100">
        <v>1.3</v>
      </c>
      <c r="O13" s="100">
        <v>0</v>
      </c>
      <c r="P13" s="100">
        <v>1.31</v>
      </c>
      <c r="Q13" s="100">
        <v>13.06</v>
      </c>
      <c r="R13" s="6"/>
      <c r="S13" s="6"/>
      <c r="T13" s="156"/>
      <c r="U13" s="6"/>
    </row>
    <row r="14" spans="1:21" customFormat="1">
      <c r="A14" s="163" t="s">
        <v>724</v>
      </c>
      <c r="B14" s="100">
        <v>20.010000000000002</v>
      </c>
      <c r="C14" s="100">
        <v>26.78</v>
      </c>
      <c r="D14" s="100">
        <v>31.38</v>
      </c>
      <c r="E14" s="100">
        <v>8.91</v>
      </c>
      <c r="F14" s="152" t="s">
        <v>15</v>
      </c>
      <c r="G14" s="100">
        <v>125.63</v>
      </c>
      <c r="H14" s="100">
        <v>47.01</v>
      </c>
      <c r="I14" s="100">
        <v>16.559999999999999</v>
      </c>
      <c r="J14" s="100">
        <v>0.12</v>
      </c>
      <c r="K14" s="100">
        <v>187.24</v>
      </c>
      <c r="L14" s="100">
        <v>14.52</v>
      </c>
      <c r="M14" s="100">
        <v>88.15</v>
      </c>
      <c r="N14" s="100">
        <v>1.2</v>
      </c>
      <c r="O14" s="100">
        <v>0</v>
      </c>
      <c r="P14" s="100">
        <v>1.3</v>
      </c>
      <c r="Q14" s="100">
        <v>13.05</v>
      </c>
      <c r="R14" s="6"/>
      <c r="S14" s="6"/>
      <c r="T14" s="156"/>
      <c r="U14" s="6"/>
    </row>
    <row r="15" spans="1:21" customFormat="1">
      <c r="A15" s="163" t="s">
        <v>725</v>
      </c>
      <c r="B15" s="100">
        <v>19.45</v>
      </c>
      <c r="C15" s="100">
        <v>26.55</v>
      </c>
      <c r="D15" s="100">
        <v>30.82</v>
      </c>
      <c r="E15" s="100">
        <v>8.7899999999999991</v>
      </c>
      <c r="F15" s="152" t="s">
        <v>15</v>
      </c>
      <c r="G15" s="100">
        <v>125.63</v>
      </c>
      <c r="H15" s="100">
        <v>47.01</v>
      </c>
      <c r="I15" s="100">
        <v>16.62</v>
      </c>
      <c r="J15" s="100">
        <v>0.17</v>
      </c>
      <c r="K15" s="100">
        <v>165.9</v>
      </c>
      <c r="L15" s="100">
        <v>14.7</v>
      </c>
      <c r="M15" s="100">
        <v>89.29</v>
      </c>
      <c r="N15" s="100">
        <v>1.1000000000000001</v>
      </c>
      <c r="O15" s="100">
        <v>0</v>
      </c>
      <c r="P15" s="100">
        <v>1.3</v>
      </c>
      <c r="Q15" s="100">
        <v>13.06</v>
      </c>
      <c r="R15" s="6"/>
      <c r="S15" s="6"/>
      <c r="T15" s="156"/>
      <c r="U15" s="6"/>
    </row>
    <row r="16" spans="1:21" customFormat="1">
      <c r="A16" s="163" t="s">
        <v>726</v>
      </c>
      <c r="B16" s="100">
        <v>18.77</v>
      </c>
      <c r="C16" s="100">
        <v>26.16</v>
      </c>
      <c r="D16" s="100">
        <v>30.07</v>
      </c>
      <c r="E16" s="100">
        <v>8.91</v>
      </c>
      <c r="F16" s="152" t="s">
        <v>15</v>
      </c>
      <c r="G16" s="100">
        <v>125.63</v>
      </c>
      <c r="H16" s="100">
        <v>47.01</v>
      </c>
      <c r="I16" s="100">
        <v>16.649999999999999</v>
      </c>
      <c r="J16" s="100">
        <v>0.19</v>
      </c>
      <c r="K16" s="100">
        <v>188.7</v>
      </c>
      <c r="L16" s="100">
        <v>14.47</v>
      </c>
      <c r="M16" s="100">
        <v>91.33</v>
      </c>
      <c r="N16" s="100">
        <v>1.3</v>
      </c>
      <c r="O16" s="100">
        <v>0</v>
      </c>
      <c r="P16" s="100">
        <v>1.29</v>
      </c>
      <c r="Q16" s="100">
        <v>13.03</v>
      </c>
      <c r="R16" s="6"/>
      <c r="S16" s="6"/>
      <c r="T16" s="156"/>
      <c r="U16" s="6"/>
    </row>
    <row r="17" spans="1:21" customFormat="1">
      <c r="A17" s="163" t="s">
        <v>727</v>
      </c>
      <c r="B17" s="100">
        <v>18.11</v>
      </c>
      <c r="C17" s="100">
        <v>25.65</v>
      </c>
      <c r="D17" s="100">
        <v>29.28</v>
      </c>
      <c r="E17" s="100">
        <v>6.84</v>
      </c>
      <c r="F17" s="152" t="s">
        <v>15</v>
      </c>
      <c r="G17" s="100">
        <v>120.88</v>
      </c>
      <c r="H17" s="100">
        <v>44.31</v>
      </c>
      <c r="I17" s="100">
        <v>16.68</v>
      </c>
      <c r="J17" s="100">
        <v>0.2</v>
      </c>
      <c r="K17" s="100">
        <v>217.7</v>
      </c>
      <c r="L17" s="100">
        <v>14.4</v>
      </c>
      <c r="M17" s="100">
        <v>91.88</v>
      </c>
      <c r="N17" s="100">
        <v>1.2</v>
      </c>
      <c r="O17" s="100">
        <v>0</v>
      </c>
      <c r="P17" s="100">
        <v>1.29</v>
      </c>
      <c r="Q17" s="100">
        <v>13.03</v>
      </c>
      <c r="R17" s="6"/>
      <c r="S17" s="6"/>
      <c r="T17" s="156"/>
      <c r="U17" s="6"/>
    </row>
    <row r="18" spans="1:21" customFormat="1">
      <c r="A18" s="163" t="s">
        <v>728</v>
      </c>
      <c r="B18" s="100">
        <v>17.440000000000001</v>
      </c>
      <c r="C18" s="100">
        <v>25.29</v>
      </c>
      <c r="D18" s="100">
        <v>28.55</v>
      </c>
      <c r="E18" s="100">
        <v>8.1300000000000008</v>
      </c>
      <c r="F18" s="152" t="s">
        <v>15</v>
      </c>
      <c r="G18" s="100">
        <v>117.25</v>
      </c>
      <c r="H18" s="100">
        <v>43.45</v>
      </c>
      <c r="I18" s="100">
        <v>16.7</v>
      </c>
      <c r="J18" s="100">
        <v>0.1</v>
      </c>
      <c r="K18" s="100">
        <v>206.16</v>
      </c>
      <c r="L18" s="100">
        <v>14.15</v>
      </c>
      <c r="M18" s="100">
        <v>91.23</v>
      </c>
      <c r="N18" s="100">
        <v>1.4</v>
      </c>
      <c r="O18" s="100">
        <v>0</v>
      </c>
      <c r="P18" s="100">
        <v>1.29</v>
      </c>
      <c r="Q18" s="100">
        <v>13.04</v>
      </c>
      <c r="R18" s="6"/>
      <c r="S18" s="6"/>
      <c r="T18" s="156"/>
      <c r="U18" s="6"/>
    </row>
    <row r="19" spans="1:21" customFormat="1">
      <c r="A19" s="163" t="s">
        <v>729</v>
      </c>
      <c r="B19" s="100">
        <v>16.63</v>
      </c>
      <c r="C19" s="100">
        <v>24.8</v>
      </c>
      <c r="D19" s="100">
        <v>27.64</v>
      </c>
      <c r="E19" s="100">
        <v>8.1</v>
      </c>
      <c r="F19" s="152" t="s">
        <v>15</v>
      </c>
      <c r="G19" s="100">
        <v>117.25</v>
      </c>
      <c r="H19" s="100">
        <v>43.45</v>
      </c>
      <c r="I19" s="100">
        <v>16.72</v>
      </c>
      <c r="J19" s="100">
        <v>0.2</v>
      </c>
      <c r="K19" s="100">
        <v>155.87</v>
      </c>
      <c r="L19" s="100">
        <v>14.1</v>
      </c>
      <c r="M19" s="100">
        <v>92.25</v>
      </c>
      <c r="N19" s="100">
        <v>1.3</v>
      </c>
      <c r="O19" s="100">
        <v>0</v>
      </c>
      <c r="P19" s="100">
        <v>1.28</v>
      </c>
      <c r="Q19" s="100">
        <v>13.03</v>
      </c>
      <c r="R19" s="6"/>
      <c r="S19" s="6"/>
      <c r="T19" s="156"/>
      <c r="U19" s="6"/>
    </row>
    <row r="20" spans="1:21" customFormat="1">
      <c r="A20" s="163" t="s">
        <v>730</v>
      </c>
      <c r="B20" s="100">
        <v>15.79</v>
      </c>
      <c r="C20" s="100">
        <v>24.39</v>
      </c>
      <c r="D20" s="100">
        <v>26.76</v>
      </c>
      <c r="E20" s="100">
        <v>8.1999999999999993</v>
      </c>
      <c r="F20" s="152" t="s">
        <v>15</v>
      </c>
      <c r="G20" s="100">
        <v>117.25</v>
      </c>
      <c r="H20" s="100">
        <v>43.45</v>
      </c>
      <c r="I20" s="100">
        <v>16.739999999999998</v>
      </c>
      <c r="J20" s="100">
        <v>0.14000000000000001</v>
      </c>
      <c r="K20" s="100">
        <v>155.63</v>
      </c>
      <c r="L20" s="100">
        <v>13.99</v>
      </c>
      <c r="M20" s="100">
        <v>92.09</v>
      </c>
      <c r="N20" s="100">
        <v>1.2</v>
      </c>
      <c r="O20" s="100">
        <v>0</v>
      </c>
      <c r="P20" s="100">
        <v>1.27</v>
      </c>
      <c r="Q20" s="100">
        <v>13.03</v>
      </c>
      <c r="R20" s="6"/>
      <c r="S20" s="6"/>
      <c r="T20" s="156"/>
      <c r="U20" s="6"/>
    </row>
    <row r="21" spans="1:21" customFormat="1">
      <c r="A21" s="163" t="s">
        <v>731</v>
      </c>
      <c r="B21" s="100">
        <v>14.91</v>
      </c>
      <c r="C21" s="100">
        <v>24.37</v>
      </c>
      <c r="D21" s="100">
        <v>26.04</v>
      </c>
      <c r="E21" s="100">
        <v>8.0399999999999991</v>
      </c>
      <c r="F21" s="152" t="s">
        <v>15</v>
      </c>
      <c r="G21" s="100">
        <v>115.21</v>
      </c>
      <c r="H21" s="100">
        <v>44.89</v>
      </c>
      <c r="I21" s="100">
        <v>16.809999999999999</v>
      </c>
      <c r="J21" s="100">
        <v>0.12</v>
      </c>
      <c r="K21" s="100">
        <v>159.86000000000001</v>
      </c>
      <c r="L21" s="100">
        <v>13.97</v>
      </c>
      <c r="M21" s="100">
        <v>91.39</v>
      </c>
      <c r="N21" s="100">
        <v>1.1000000000000001</v>
      </c>
      <c r="O21" s="100">
        <v>0</v>
      </c>
      <c r="P21" s="100">
        <v>1.27</v>
      </c>
      <c r="Q21" s="100">
        <v>13.03</v>
      </c>
      <c r="R21" s="6"/>
      <c r="S21" s="6"/>
      <c r="T21" s="156"/>
      <c r="U21" s="6"/>
    </row>
    <row r="22" spans="1:21" customFormat="1">
      <c r="A22" s="163" t="s">
        <v>732</v>
      </c>
      <c r="B22" s="100">
        <v>14.92</v>
      </c>
      <c r="C22" s="100">
        <v>24.79</v>
      </c>
      <c r="D22" s="100">
        <v>26.27</v>
      </c>
      <c r="E22" s="100">
        <v>7.87</v>
      </c>
      <c r="F22" s="152" t="s">
        <v>15</v>
      </c>
      <c r="G22" s="100">
        <v>113.71</v>
      </c>
      <c r="H22" s="100">
        <v>45.35</v>
      </c>
      <c r="I22" s="100">
        <v>16.91</v>
      </c>
      <c r="J22" s="100">
        <v>0.08</v>
      </c>
      <c r="K22" s="100">
        <v>233.86</v>
      </c>
      <c r="L22" s="100">
        <v>13.91</v>
      </c>
      <c r="M22" s="100">
        <v>91.43</v>
      </c>
      <c r="N22" s="100">
        <v>1.2</v>
      </c>
      <c r="O22" s="100">
        <v>0</v>
      </c>
      <c r="P22" s="100">
        <v>1.29</v>
      </c>
      <c r="Q22" s="100">
        <v>13.02</v>
      </c>
      <c r="R22" s="6"/>
      <c r="S22" s="6"/>
      <c r="T22" s="156"/>
      <c r="U22" s="6"/>
    </row>
    <row r="23" spans="1:21" customFormat="1">
      <c r="A23" s="163" t="s">
        <v>733</v>
      </c>
      <c r="B23" s="100">
        <v>16.38</v>
      </c>
      <c r="C23" s="100">
        <v>25.37</v>
      </c>
      <c r="D23" s="100">
        <v>27.74</v>
      </c>
      <c r="E23" s="100">
        <v>7.79</v>
      </c>
      <c r="F23" s="152" t="s">
        <v>15</v>
      </c>
      <c r="G23" s="100">
        <v>113.71</v>
      </c>
      <c r="H23" s="100">
        <v>45.35</v>
      </c>
      <c r="I23" s="100">
        <v>16.899999999999999</v>
      </c>
      <c r="J23" s="100">
        <v>0.17</v>
      </c>
      <c r="K23" s="100">
        <v>240.36</v>
      </c>
      <c r="L23" s="100">
        <v>13.9</v>
      </c>
      <c r="M23" s="100">
        <v>91.36</v>
      </c>
      <c r="N23" s="100">
        <v>1.1000000000000001</v>
      </c>
      <c r="O23" s="100">
        <v>0</v>
      </c>
      <c r="P23" s="100">
        <v>1.29</v>
      </c>
      <c r="Q23" s="100">
        <v>13.03</v>
      </c>
      <c r="R23" s="6"/>
      <c r="S23" s="6"/>
      <c r="T23" s="156"/>
      <c r="U23" s="6"/>
    </row>
    <row r="24" spans="1:21" customFormat="1">
      <c r="A24" s="163" t="s">
        <v>734</v>
      </c>
      <c r="B24" s="100">
        <v>18.29</v>
      </c>
      <c r="C24" s="100">
        <v>25.65</v>
      </c>
      <c r="D24" s="100">
        <v>29.42</v>
      </c>
      <c r="E24" s="100">
        <v>8.11</v>
      </c>
      <c r="F24" s="152" t="s">
        <v>15</v>
      </c>
      <c r="G24" s="100">
        <v>113.71</v>
      </c>
      <c r="H24" s="100">
        <v>45.35</v>
      </c>
      <c r="I24" s="100">
        <v>16.84</v>
      </c>
      <c r="J24" s="100">
        <v>0.17</v>
      </c>
      <c r="K24" s="100">
        <v>134.72999999999999</v>
      </c>
      <c r="L24" s="100">
        <v>13.87</v>
      </c>
      <c r="M24" s="100">
        <v>90.33</v>
      </c>
      <c r="N24" s="100">
        <v>1.3</v>
      </c>
      <c r="O24" s="100">
        <v>0</v>
      </c>
      <c r="P24" s="100">
        <v>1.29</v>
      </c>
      <c r="Q24" s="100">
        <v>13.05</v>
      </c>
      <c r="R24" s="6"/>
      <c r="S24" s="6"/>
      <c r="T24" s="156"/>
      <c r="U24" s="6"/>
    </row>
    <row r="25" spans="1:21" customFormat="1">
      <c r="A25" s="163" t="s">
        <v>735</v>
      </c>
      <c r="B25" s="100">
        <v>20.09</v>
      </c>
      <c r="C25" s="100">
        <v>25.85</v>
      </c>
      <c r="D25" s="100">
        <v>30.97</v>
      </c>
      <c r="E25" s="100">
        <v>8.07</v>
      </c>
      <c r="F25" s="152" t="s">
        <v>15</v>
      </c>
      <c r="G25" s="100">
        <v>115.79</v>
      </c>
      <c r="H25" s="100">
        <v>47.5</v>
      </c>
      <c r="I25" s="100">
        <v>16.78</v>
      </c>
      <c r="J25" s="100">
        <v>0.19</v>
      </c>
      <c r="K25" s="100">
        <v>137.65</v>
      </c>
      <c r="L25" s="100">
        <v>14.14</v>
      </c>
      <c r="M25" s="100">
        <v>89.02</v>
      </c>
      <c r="N25" s="100">
        <v>1</v>
      </c>
      <c r="O25" s="100">
        <v>0</v>
      </c>
      <c r="P25" s="100">
        <v>1.29</v>
      </c>
      <c r="Q25" s="100">
        <v>13.04</v>
      </c>
      <c r="R25" s="6"/>
      <c r="S25" s="6"/>
      <c r="T25" s="156"/>
      <c r="U25" s="6"/>
    </row>
    <row r="26" spans="1:21" customFormat="1">
      <c r="A26" s="163" t="s">
        <v>736</v>
      </c>
      <c r="B26" s="100">
        <v>21.32</v>
      </c>
      <c r="C26" s="100">
        <v>26.03</v>
      </c>
      <c r="D26" s="100">
        <v>32.049999999999997</v>
      </c>
      <c r="E26" s="100">
        <v>8.33</v>
      </c>
      <c r="F26" s="152" t="s">
        <v>15</v>
      </c>
      <c r="G26" s="100">
        <v>117.31</v>
      </c>
      <c r="H26" s="100">
        <v>48.19</v>
      </c>
      <c r="I26" s="100">
        <v>16.73</v>
      </c>
      <c r="J26" s="100">
        <v>0.14000000000000001</v>
      </c>
      <c r="K26" s="100">
        <v>166.98</v>
      </c>
      <c r="L26" s="100">
        <v>13.95</v>
      </c>
      <c r="M26" s="100">
        <v>92.44</v>
      </c>
      <c r="N26" s="100">
        <v>1.3</v>
      </c>
      <c r="O26" s="100">
        <v>0</v>
      </c>
      <c r="P26" s="100">
        <v>1.29</v>
      </c>
      <c r="Q26" s="100">
        <v>13.04</v>
      </c>
      <c r="R26" s="6"/>
      <c r="S26" s="6"/>
      <c r="T26" s="156"/>
      <c r="U26" s="6"/>
    </row>
    <row r="27" spans="1:21" customFormat="1">
      <c r="A27" s="163" t="s">
        <v>737</v>
      </c>
      <c r="B27" s="100">
        <v>22.02</v>
      </c>
      <c r="C27" s="100">
        <v>25.96</v>
      </c>
      <c r="D27" s="100">
        <v>32.58</v>
      </c>
      <c r="E27" s="100">
        <v>8.11</v>
      </c>
      <c r="F27" s="152" t="s">
        <v>15</v>
      </c>
      <c r="G27" s="100">
        <v>117.31</v>
      </c>
      <c r="H27" s="100">
        <v>48.19</v>
      </c>
      <c r="I27" s="100">
        <v>16.760000000000002</v>
      </c>
      <c r="J27" s="100">
        <v>0.14000000000000001</v>
      </c>
      <c r="K27" s="100">
        <v>177.44</v>
      </c>
      <c r="L27" s="100">
        <v>13.78</v>
      </c>
      <c r="M27" s="100">
        <v>93.81</v>
      </c>
      <c r="N27" s="100">
        <v>1.3</v>
      </c>
      <c r="O27" s="100">
        <v>0</v>
      </c>
      <c r="P27" s="100">
        <v>1.29</v>
      </c>
      <c r="Q27" s="100">
        <v>13.06</v>
      </c>
      <c r="R27" s="6"/>
      <c r="S27" s="6"/>
      <c r="T27" s="156"/>
      <c r="U27" s="6"/>
    </row>
    <row r="28" spans="1:21" customFormat="1">
      <c r="A28" s="163" t="s">
        <v>738</v>
      </c>
      <c r="B28" s="100">
        <v>22.53</v>
      </c>
      <c r="C28" s="100">
        <v>25.76</v>
      </c>
      <c r="D28" s="100">
        <v>32.880000000000003</v>
      </c>
      <c r="E28" s="100">
        <v>8.17</v>
      </c>
      <c r="F28" s="152" t="s">
        <v>15</v>
      </c>
      <c r="G28" s="100">
        <v>117.31</v>
      </c>
      <c r="H28" s="100">
        <v>48.19</v>
      </c>
      <c r="I28" s="100">
        <v>16.84</v>
      </c>
      <c r="J28" s="100">
        <v>0.16</v>
      </c>
      <c r="K28" s="100">
        <v>166.32</v>
      </c>
      <c r="L28" s="100">
        <v>13.61</v>
      </c>
      <c r="M28" s="100">
        <v>94.56</v>
      </c>
      <c r="N28" s="100">
        <v>1.4</v>
      </c>
      <c r="O28" s="100">
        <v>0</v>
      </c>
      <c r="P28" s="100">
        <v>1.29</v>
      </c>
      <c r="Q28" s="100">
        <v>13.06</v>
      </c>
      <c r="R28" s="6"/>
      <c r="S28" s="6"/>
      <c r="T28" s="156"/>
      <c r="U28" s="6"/>
    </row>
    <row r="29" spans="1:21" customFormat="1">
      <c r="A29" s="163" t="s">
        <v>739</v>
      </c>
      <c r="B29" s="100">
        <v>22.87</v>
      </c>
      <c r="C29" s="100">
        <v>25.46</v>
      </c>
      <c r="D29" s="100">
        <v>33</v>
      </c>
      <c r="E29" s="100">
        <v>8.19</v>
      </c>
      <c r="F29" s="152" t="s">
        <v>15</v>
      </c>
      <c r="G29" s="100">
        <v>114.82</v>
      </c>
      <c r="H29" s="100">
        <v>44.62</v>
      </c>
      <c r="I29" s="100">
        <v>16.88</v>
      </c>
      <c r="J29" s="100">
        <v>0.21</v>
      </c>
      <c r="K29" s="100">
        <v>199.02</v>
      </c>
      <c r="L29" s="100">
        <v>13.29</v>
      </c>
      <c r="M29" s="100">
        <v>96.52</v>
      </c>
      <c r="N29" s="100">
        <v>1.5</v>
      </c>
      <c r="O29" s="100">
        <v>0</v>
      </c>
      <c r="P29" s="100">
        <v>1.28</v>
      </c>
      <c r="Q29" s="100">
        <v>13.05</v>
      </c>
      <c r="R29" s="6"/>
      <c r="S29" s="6"/>
      <c r="T29" s="156"/>
      <c r="U29" s="6"/>
    </row>
    <row r="30" spans="1:21" customFormat="1">
      <c r="A30" s="163" t="s">
        <v>740</v>
      </c>
      <c r="B30" s="100">
        <v>22.72</v>
      </c>
      <c r="C30" s="100">
        <v>25.01</v>
      </c>
      <c r="D30" s="100">
        <v>32.64</v>
      </c>
      <c r="E30" s="100">
        <v>7.62</v>
      </c>
      <c r="F30" s="152" t="s">
        <v>15</v>
      </c>
      <c r="G30" s="100">
        <v>113</v>
      </c>
      <c r="H30" s="100">
        <v>43.47</v>
      </c>
      <c r="I30" s="100">
        <v>16.89</v>
      </c>
      <c r="J30" s="100">
        <v>0.21</v>
      </c>
      <c r="K30" s="100">
        <v>194.13</v>
      </c>
      <c r="L30" s="100">
        <v>13.23</v>
      </c>
      <c r="M30" s="100">
        <v>96.52</v>
      </c>
      <c r="N30" s="100">
        <v>1.3</v>
      </c>
      <c r="O30" s="100">
        <v>0</v>
      </c>
      <c r="P30" s="100">
        <v>1.28</v>
      </c>
      <c r="Q30" s="100">
        <v>13.04</v>
      </c>
      <c r="R30" s="6"/>
      <c r="S30" s="6"/>
      <c r="T30" s="156"/>
      <c r="U30" s="6"/>
    </row>
    <row r="31" spans="1:21" customFormat="1">
      <c r="A31" s="163" t="s">
        <v>741</v>
      </c>
      <c r="B31" s="100">
        <v>22.18</v>
      </c>
      <c r="C31" s="100">
        <v>24.68</v>
      </c>
      <c r="D31" s="100">
        <v>32.03</v>
      </c>
      <c r="E31" s="100">
        <v>7.79</v>
      </c>
      <c r="F31" s="152" t="s">
        <v>15</v>
      </c>
      <c r="G31" s="100">
        <v>113</v>
      </c>
      <c r="H31" s="100">
        <v>43.47</v>
      </c>
      <c r="I31" s="100">
        <v>16.89</v>
      </c>
      <c r="J31" s="100">
        <v>7.0000000000000007E-2</v>
      </c>
      <c r="K31" s="100">
        <v>191.46</v>
      </c>
      <c r="L31" s="100">
        <v>12.95</v>
      </c>
      <c r="M31" s="100">
        <v>96.34</v>
      </c>
      <c r="N31" s="100">
        <v>1.4</v>
      </c>
      <c r="O31" s="100">
        <v>0</v>
      </c>
      <c r="P31" s="100">
        <v>1.27</v>
      </c>
      <c r="Q31" s="100">
        <v>13.04</v>
      </c>
      <c r="R31" s="6"/>
      <c r="S31" s="6"/>
      <c r="T31" s="156"/>
      <c r="U31" s="6"/>
    </row>
    <row r="32" spans="1:21" customFormat="1">
      <c r="A32" s="163" t="s">
        <v>742</v>
      </c>
      <c r="B32" s="100">
        <v>21.49</v>
      </c>
      <c r="C32" s="100">
        <v>24.53</v>
      </c>
      <c r="D32" s="100">
        <v>31.4</v>
      </c>
      <c r="E32" s="100">
        <v>7.98</v>
      </c>
      <c r="F32" s="152" t="s">
        <v>15</v>
      </c>
      <c r="G32" s="100">
        <v>113</v>
      </c>
      <c r="H32" s="100">
        <v>43.47</v>
      </c>
      <c r="I32" s="100">
        <v>16.79</v>
      </c>
      <c r="J32" s="100">
        <v>0.15</v>
      </c>
      <c r="K32" s="100">
        <v>166.92</v>
      </c>
      <c r="L32" s="100">
        <v>12.93</v>
      </c>
      <c r="M32" s="100">
        <v>97.45</v>
      </c>
      <c r="N32" s="100">
        <v>1.2</v>
      </c>
      <c r="O32" s="100">
        <v>0</v>
      </c>
      <c r="P32" s="100">
        <v>1.28</v>
      </c>
      <c r="Q32" s="100">
        <v>13.03</v>
      </c>
      <c r="R32" s="6"/>
      <c r="S32" s="6"/>
      <c r="T32" s="156"/>
      <c r="U32" s="6"/>
    </row>
    <row r="33" spans="1:21" customFormat="1">
      <c r="A33" s="163" t="s">
        <v>743</v>
      </c>
      <c r="B33" s="100">
        <v>20.8</v>
      </c>
      <c r="C33" s="100">
        <v>24.21</v>
      </c>
      <c r="D33" s="100">
        <v>30.68</v>
      </c>
      <c r="E33" s="100">
        <v>7.89</v>
      </c>
      <c r="F33" s="152" t="s">
        <v>15</v>
      </c>
      <c r="G33" s="100">
        <v>111.43</v>
      </c>
      <c r="H33" s="100">
        <v>43.94</v>
      </c>
      <c r="I33" s="100">
        <v>16.690000000000001</v>
      </c>
      <c r="J33" s="100">
        <v>0.12</v>
      </c>
      <c r="K33" s="100">
        <v>179.34</v>
      </c>
      <c r="L33" s="100">
        <v>12.99</v>
      </c>
      <c r="M33" s="100">
        <v>98.35</v>
      </c>
      <c r="N33" s="100">
        <v>1.5</v>
      </c>
      <c r="O33" s="100">
        <v>0</v>
      </c>
      <c r="P33" s="100">
        <v>1.28</v>
      </c>
      <c r="Q33" s="100">
        <v>13.03</v>
      </c>
      <c r="R33" s="6"/>
      <c r="S33" s="6"/>
      <c r="T33" s="156"/>
      <c r="U33" s="6"/>
    </row>
    <row r="34" spans="1:21" customFormat="1">
      <c r="A34" s="163" t="s">
        <v>744</v>
      </c>
      <c r="B34" s="100">
        <v>20.010000000000002</v>
      </c>
      <c r="C34" s="100">
        <v>23.87</v>
      </c>
      <c r="D34" s="100">
        <v>29.87</v>
      </c>
      <c r="E34" s="100">
        <v>7.72</v>
      </c>
      <c r="F34" s="152" t="s">
        <v>15</v>
      </c>
      <c r="G34" s="100">
        <v>110.29</v>
      </c>
      <c r="H34" s="100">
        <v>44.08</v>
      </c>
      <c r="I34" s="100">
        <v>16.64</v>
      </c>
      <c r="J34" s="100">
        <v>0.14000000000000001</v>
      </c>
      <c r="K34" s="100">
        <v>203.11</v>
      </c>
      <c r="L34" s="100">
        <v>12.88</v>
      </c>
      <c r="M34" s="100">
        <v>98.51</v>
      </c>
      <c r="N34" s="100">
        <v>2.6</v>
      </c>
      <c r="O34" s="100">
        <v>0</v>
      </c>
      <c r="P34" s="100">
        <v>1.27</v>
      </c>
      <c r="Q34" s="100">
        <v>13.03</v>
      </c>
      <c r="R34" s="6"/>
      <c r="S34" s="6"/>
      <c r="T34" s="156"/>
      <c r="U34" s="6"/>
    </row>
    <row r="35" spans="1:21" customFormat="1">
      <c r="A35" s="163" t="s">
        <v>745</v>
      </c>
      <c r="B35" s="100">
        <v>19.21</v>
      </c>
      <c r="C35" s="100">
        <v>23.58</v>
      </c>
      <c r="D35" s="100">
        <v>29.08</v>
      </c>
      <c r="E35" s="100">
        <v>7.62</v>
      </c>
      <c r="F35" s="152" t="s">
        <v>15</v>
      </c>
      <c r="G35" s="100">
        <v>110.29</v>
      </c>
      <c r="H35" s="100">
        <v>44.08</v>
      </c>
      <c r="I35" s="100">
        <v>16.57</v>
      </c>
      <c r="J35" s="100">
        <v>0.22</v>
      </c>
      <c r="K35" s="100">
        <v>178.22</v>
      </c>
      <c r="L35" s="100">
        <v>12.92</v>
      </c>
      <c r="M35" s="100">
        <v>99.19</v>
      </c>
      <c r="N35" s="100">
        <v>6.3</v>
      </c>
      <c r="O35" s="100">
        <v>0</v>
      </c>
      <c r="P35" s="100">
        <v>1.26</v>
      </c>
      <c r="Q35" s="100">
        <v>13.02</v>
      </c>
      <c r="R35" s="6"/>
      <c r="S35" s="6"/>
      <c r="T35" s="156"/>
      <c r="U35" s="6"/>
    </row>
    <row r="36" spans="1:21" customFormat="1">
      <c r="A36" s="163" t="s">
        <v>746</v>
      </c>
      <c r="B36" s="100">
        <v>18.489999999999998</v>
      </c>
      <c r="C36" s="100">
        <v>23.08</v>
      </c>
      <c r="D36" s="100">
        <v>28.24</v>
      </c>
      <c r="E36" s="100">
        <v>7.59</v>
      </c>
      <c r="F36" s="152" t="s">
        <v>15</v>
      </c>
      <c r="G36" s="100">
        <v>110.29</v>
      </c>
      <c r="H36" s="100">
        <v>44.08</v>
      </c>
      <c r="I36" s="100">
        <v>16.47</v>
      </c>
      <c r="J36" s="100">
        <v>0.14000000000000001</v>
      </c>
      <c r="K36" s="100">
        <v>151.44</v>
      </c>
      <c r="L36" s="100">
        <v>12.99</v>
      </c>
      <c r="M36" s="100">
        <v>98.61</v>
      </c>
      <c r="N36" s="100">
        <v>13.3</v>
      </c>
      <c r="O36" s="100">
        <v>0</v>
      </c>
      <c r="P36" s="100">
        <v>1.25</v>
      </c>
      <c r="Q36" s="100">
        <v>13.02</v>
      </c>
      <c r="R36" s="6"/>
      <c r="S36" s="6"/>
      <c r="T36" s="156"/>
      <c r="U36" s="6"/>
    </row>
    <row r="37" spans="1:21" customFormat="1">
      <c r="A37" s="163" t="s">
        <v>747</v>
      </c>
      <c r="B37" s="100">
        <v>17.940000000000001</v>
      </c>
      <c r="C37" s="100">
        <v>22.86</v>
      </c>
      <c r="D37" s="100">
        <v>27.68</v>
      </c>
      <c r="E37" s="100">
        <v>7.8</v>
      </c>
      <c r="F37" s="152" t="s">
        <v>15</v>
      </c>
      <c r="G37" s="100">
        <v>109.51</v>
      </c>
      <c r="H37" s="100">
        <v>45.64</v>
      </c>
      <c r="I37" s="100">
        <v>16.329999999999998</v>
      </c>
      <c r="J37" s="100">
        <v>0.19</v>
      </c>
      <c r="K37" s="100">
        <v>184.15</v>
      </c>
      <c r="L37" s="100">
        <v>13.28</v>
      </c>
      <c r="M37" s="100">
        <v>98.5</v>
      </c>
      <c r="N37" s="100">
        <v>21.9</v>
      </c>
      <c r="O37" s="100">
        <v>0</v>
      </c>
      <c r="P37" s="100">
        <v>1.25</v>
      </c>
      <c r="Q37" s="100">
        <v>13.01</v>
      </c>
      <c r="R37" s="6"/>
      <c r="S37" s="6"/>
      <c r="T37" s="156"/>
      <c r="U37" s="6"/>
    </row>
    <row r="38" spans="1:21" customFormat="1">
      <c r="A38" s="163" t="s">
        <v>748</v>
      </c>
      <c r="B38" s="100">
        <v>17.59</v>
      </c>
      <c r="C38" s="100">
        <v>22.83</v>
      </c>
      <c r="D38" s="100">
        <v>27.39</v>
      </c>
      <c r="E38" s="100">
        <v>7.42</v>
      </c>
      <c r="F38" s="152" t="s">
        <v>15</v>
      </c>
      <c r="G38" s="100">
        <v>108.94</v>
      </c>
      <c r="H38" s="100">
        <v>46.75</v>
      </c>
      <c r="I38" s="100">
        <v>16.2</v>
      </c>
      <c r="J38" s="100">
        <v>0.13</v>
      </c>
      <c r="K38" s="100">
        <v>165.08</v>
      </c>
      <c r="L38" s="100">
        <v>13.76</v>
      </c>
      <c r="M38" s="100">
        <v>97.34</v>
      </c>
      <c r="N38" s="100">
        <v>32</v>
      </c>
      <c r="O38" s="100">
        <v>0</v>
      </c>
      <c r="P38" s="100">
        <v>1.24</v>
      </c>
      <c r="Q38" s="100">
        <v>13.02</v>
      </c>
      <c r="R38" s="6"/>
      <c r="S38" s="6"/>
      <c r="T38" s="156"/>
      <c r="U38" s="6"/>
    </row>
    <row r="39" spans="1:21" customFormat="1">
      <c r="A39" s="163" t="s">
        <v>749</v>
      </c>
      <c r="B39" s="100">
        <v>17.37</v>
      </c>
      <c r="C39" s="100">
        <v>22.93</v>
      </c>
      <c r="D39" s="100">
        <v>27.26</v>
      </c>
      <c r="E39" s="100">
        <v>7.68</v>
      </c>
      <c r="F39" s="152" t="s">
        <v>15</v>
      </c>
      <c r="G39" s="100">
        <v>108.94</v>
      </c>
      <c r="H39" s="100">
        <v>46.75</v>
      </c>
      <c r="I39" s="100">
        <v>16.14</v>
      </c>
      <c r="J39" s="100">
        <v>0.12</v>
      </c>
      <c r="K39" s="100">
        <v>260.58</v>
      </c>
      <c r="L39" s="100">
        <v>14.27</v>
      </c>
      <c r="M39" s="100">
        <v>95.33</v>
      </c>
      <c r="N39" s="100">
        <v>42.4</v>
      </c>
      <c r="O39" s="100">
        <v>0</v>
      </c>
      <c r="P39" s="100">
        <v>1.24</v>
      </c>
      <c r="Q39" s="100">
        <v>13.01</v>
      </c>
      <c r="R39" s="6"/>
      <c r="S39" s="6"/>
      <c r="T39" s="156"/>
      <c r="U39" s="6"/>
    </row>
    <row r="40" spans="1:21" customFormat="1">
      <c r="A40" s="163" t="s">
        <v>750</v>
      </c>
      <c r="B40" s="100">
        <v>17.57</v>
      </c>
      <c r="C40" s="100">
        <v>23.08</v>
      </c>
      <c r="D40" s="100">
        <v>27.5</v>
      </c>
      <c r="E40" s="100">
        <v>7.86</v>
      </c>
      <c r="F40" s="152" t="s">
        <v>15</v>
      </c>
      <c r="G40" s="100">
        <v>108.94</v>
      </c>
      <c r="H40" s="100">
        <v>46.75</v>
      </c>
      <c r="I40" s="100">
        <v>16.14</v>
      </c>
      <c r="J40" s="100">
        <v>0.18</v>
      </c>
      <c r="K40" s="100">
        <v>9.77</v>
      </c>
      <c r="L40" s="100">
        <v>15.2</v>
      </c>
      <c r="M40" s="100">
        <v>90.99</v>
      </c>
      <c r="N40" s="100">
        <v>58.8</v>
      </c>
      <c r="O40" s="100">
        <v>0</v>
      </c>
      <c r="P40" s="100">
        <v>1.26</v>
      </c>
      <c r="Q40" s="100">
        <v>13.01</v>
      </c>
      <c r="R40" s="6"/>
      <c r="S40" s="6"/>
      <c r="T40" s="156"/>
      <c r="U40" s="6"/>
    </row>
    <row r="41" spans="1:21" customFormat="1">
      <c r="A41" s="163" t="s">
        <v>751</v>
      </c>
      <c r="B41" s="100">
        <v>18.96</v>
      </c>
      <c r="C41" s="100">
        <v>23.45</v>
      </c>
      <c r="D41" s="100">
        <v>28.81</v>
      </c>
      <c r="E41" s="100">
        <v>7.78</v>
      </c>
      <c r="F41" s="152" t="s">
        <v>15</v>
      </c>
      <c r="G41" s="100">
        <v>115.59</v>
      </c>
      <c r="H41" s="100">
        <v>47.26</v>
      </c>
      <c r="I41" s="100">
        <v>16.18</v>
      </c>
      <c r="J41" s="100">
        <v>0.02</v>
      </c>
      <c r="K41" s="100">
        <v>153.52000000000001</v>
      </c>
      <c r="L41" s="100">
        <v>16.46</v>
      </c>
      <c r="M41" s="100">
        <v>83.49</v>
      </c>
      <c r="N41" s="100">
        <v>134.1</v>
      </c>
      <c r="O41" s="100">
        <v>0</v>
      </c>
      <c r="P41" s="100">
        <v>1.23</v>
      </c>
      <c r="Q41" s="100">
        <v>13.02</v>
      </c>
      <c r="R41" s="6"/>
      <c r="S41" s="6"/>
      <c r="T41" s="156"/>
      <c r="U41" s="6"/>
    </row>
    <row r="42" spans="1:21" customFormat="1">
      <c r="A42" s="163" t="s">
        <v>752</v>
      </c>
      <c r="B42" s="100">
        <v>19.71</v>
      </c>
      <c r="C42" s="100">
        <v>24</v>
      </c>
      <c r="D42" s="100">
        <v>29.7</v>
      </c>
      <c r="E42" s="100">
        <v>7.87</v>
      </c>
      <c r="F42" s="152" t="s">
        <v>15</v>
      </c>
      <c r="G42" s="100">
        <v>120.45</v>
      </c>
      <c r="H42" s="100">
        <v>47.42</v>
      </c>
      <c r="I42" s="100">
        <v>16.329999999999998</v>
      </c>
      <c r="J42" s="100">
        <v>0.3</v>
      </c>
      <c r="K42" s="100">
        <v>159.91</v>
      </c>
      <c r="L42" s="100">
        <v>17.73</v>
      </c>
      <c r="M42" s="100">
        <v>75.760000000000005</v>
      </c>
      <c r="N42" s="100">
        <v>164.6</v>
      </c>
      <c r="O42" s="100">
        <v>0</v>
      </c>
      <c r="P42" s="100">
        <v>1.23</v>
      </c>
      <c r="Q42" s="100">
        <v>13.04</v>
      </c>
      <c r="R42" s="6"/>
      <c r="S42" s="6"/>
      <c r="T42" s="156"/>
      <c r="U42" s="6"/>
    </row>
    <row r="43" spans="1:21" customFormat="1">
      <c r="A43" s="163" t="s">
        <v>753</v>
      </c>
      <c r="B43" s="100">
        <v>18.62</v>
      </c>
      <c r="C43" s="100">
        <v>24.53</v>
      </c>
      <c r="D43" s="100">
        <v>29.1</v>
      </c>
      <c r="E43" s="100">
        <v>7.95</v>
      </c>
      <c r="F43" s="152" t="s">
        <v>15</v>
      </c>
      <c r="G43" s="100">
        <v>120.45</v>
      </c>
      <c r="H43" s="100">
        <v>47.42</v>
      </c>
      <c r="I43" s="100">
        <v>16.41</v>
      </c>
      <c r="J43" s="100">
        <v>0.16</v>
      </c>
      <c r="K43" s="100">
        <v>178.69</v>
      </c>
      <c r="L43" s="100">
        <v>18.66</v>
      </c>
      <c r="M43" s="100">
        <v>71.88</v>
      </c>
      <c r="N43" s="100">
        <v>157.5</v>
      </c>
      <c r="O43" s="100">
        <v>0</v>
      </c>
      <c r="P43" s="100">
        <v>1.21</v>
      </c>
      <c r="Q43" s="100">
        <v>13.03</v>
      </c>
      <c r="R43" s="6"/>
      <c r="S43" s="6"/>
      <c r="T43" s="156"/>
      <c r="U43" s="6"/>
    </row>
    <row r="44" spans="1:21" customFormat="1">
      <c r="A44" s="163" t="s">
        <v>754</v>
      </c>
      <c r="B44" s="100">
        <v>16.93</v>
      </c>
      <c r="C44" s="100">
        <v>24.96</v>
      </c>
      <c r="D44" s="100">
        <v>27.97</v>
      </c>
      <c r="E44" s="100">
        <v>8.09</v>
      </c>
      <c r="F44" s="152" t="s">
        <v>15</v>
      </c>
      <c r="G44" s="100">
        <v>120.45</v>
      </c>
      <c r="H44" s="100">
        <v>47.42</v>
      </c>
      <c r="I44" s="100">
        <v>16.350000000000001</v>
      </c>
      <c r="J44" s="100">
        <v>7.0000000000000007E-2</v>
      </c>
      <c r="K44" s="100">
        <v>191.83</v>
      </c>
      <c r="L44" s="100">
        <v>19.579999999999998</v>
      </c>
      <c r="M44" s="100">
        <v>68.930000000000007</v>
      </c>
      <c r="N44" s="100">
        <v>214.3</v>
      </c>
      <c r="O44" s="100">
        <v>0</v>
      </c>
      <c r="P44" s="100">
        <v>1.2</v>
      </c>
      <c r="Q44" s="100">
        <v>13.02</v>
      </c>
      <c r="R44" s="6"/>
      <c r="S44" s="6"/>
      <c r="T44" s="156"/>
      <c r="U44" s="6"/>
    </row>
    <row r="45" spans="1:21" customFormat="1">
      <c r="A45" s="163" t="s">
        <v>755</v>
      </c>
      <c r="B45" s="100">
        <v>15.08</v>
      </c>
      <c r="C45" s="100">
        <v>25.25</v>
      </c>
      <c r="D45" s="100">
        <v>26.64</v>
      </c>
      <c r="E45" s="100">
        <v>7.86</v>
      </c>
      <c r="F45" s="152" t="s">
        <v>15</v>
      </c>
      <c r="G45" s="100">
        <v>121.02</v>
      </c>
      <c r="H45" s="100">
        <v>46.51</v>
      </c>
      <c r="I45" s="100">
        <v>16.18</v>
      </c>
      <c r="J45" s="100">
        <v>0.33</v>
      </c>
      <c r="K45" s="100">
        <v>150.47</v>
      </c>
      <c r="L45" s="100">
        <v>20.97</v>
      </c>
      <c r="M45" s="100">
        <v>61.67</v>
      </c>
      <c r="N45" s="100">
        <v>138.80000000000001</v>
      </c>
      <c r="O45" s="100">
        <v>0</v>
      </c>
      <c r="P45" s="100">
        <v>1.19</v>
      </c>
      <c r="Q45" s="100">
        <v>13.02</v>
      </c>
      <c r="R45" s="6"/>
      <c r="S45" s="6"/>
      <c r="T45" s="156"/>
      <c r="U45" s="6"/>
    </row>
    <row r="46" spans="1:21" customFormat="1">
      <c r="A46" s="163" t="s">
        <v>756</v>
      </c>
      <c r="B46" s="100">
        <v>13.06</v>
      </c>
      <c r="C46" s="100">
        <v>25.55</v>
      </c>
      <c r="D46" s="100">
        <v>25.17</v>
      </c>
      <c r="E46" s="100">
        <v>8.5500000000000007</v>
      </c>
      <c r="F46" s="152" t="s">
        <v>15</v>
      </c>
      <c r="G46" s="100">
        <v>121.43</v>
      </c>
      <c r="H46" s="100">
        <v>46.23</v>
      </c>
      <c r="I46" s="100">
        <v>15.99</v>
      </c>
      <c r="J46" s="100">
        <v>0.28999999999999998</v>
      </c>
      <c r="K46" s="100">
        <v>139.11000000000001</v>
      </c>
      <c r="L46" s="100">
        <v>21.82</v>
      </c>
      <c r="M46" s="100">
        <v>57.76</v>
      </c>
      <c r="N46" s="100">
        <v>122.5</v>
      </c>
      <c r="O46" s="100">
        <v>0</v>
      </c>
      <c r="P46" s="100">
        <v>1.18</v>
      </c>
      <c r="Q46" s="100">
        <v>13.01</v>
      </c>
      <c r="R46" s="6"/>
      <c r="S46" s="6"/>
      <c r="T46" s="156"/>
      <c r="U46" s="6"/>
    </row>
    <row r="47" spans="1:21" customFormat="1">
      <c r="A47" s="163" t="s">
        <v>757</v>
      </c>
      <c r="B47" s="100">
        <v>10.9</v>
      </c>
      <c r="C47" s="100">
        <v>26.05</v>
      </c>
      <c r="D47" s="100">
        <v>23.7</v>
      </c>
      <c r="E47" s="100">
        <v>8.1</v>
      </c>
      <c r="F47" s="152" t="s">
        <v>15</v>
      </c>
      <c r="G47" s="100">
        <v>121.43</v>
      </c>
      <c r="H47" s="100">
        <v>46.23</v>
      </c>
      <c r="I47" s="100">
        <v>15.87</v>
      </c>
      <c r="J47" s="100">
        <v>0.17</v>
      </c>
      <c r="K47" s="100">
        <v>239.34</v>
      </c>
      <c r="L47" s="100">
        <v>22.49</v>
      </c>
      <c r="M47" s="100">
        <v>54.81</v>
      </c>
      <c r="N47" s="100">
        <v>133.6</v>
      </c>
      <c r="O47" s="100">
        <v>0</v>
      </c>
      <c r="P47" s="100">
        <v>1.1599999999999999</v>
      </c>
      <c r="Q47" s="100">
        <v>13.03</v>
      </c>
      <c r="R47" s="6"/>
      <c r="S47" s="6"/>
      <c r="T47" s="156"/>
      <c r="U47" s="6"/>
    </row>
    <row r="48" spans="1:21" customFormat="1">
      <c r="A48" s="163" t="s">
        <v>758</v>
      </c>
      <c r="B48" s="100">
        <v>8.7200000000000006</v>
      </c>
      <c r="C48" s="100">
        <v>26.49</v>
      </c>
      <c r="D48" s="100">
        <v>22.18</v>
      </c>
      <c r="E48" s="100">
        <v>7.78</v>
      </c>
      <c r="F48" s="152" t="s">
        <v>15</v>
      </c>
      <c r="G48" s="100">
        <v>121.43</v>
      </c>
      <c r="H48" s="100">
        <v>46.23</v>
      </c>
      <c r="I48" s="100">
        <v>15.74</v>
      </c>
      <c r="J48" s="100">
        <v>0.39</v>
      </c>
      <c r="K48" s="100">
        <v>146.91</v>
      </c>
      <c r="L48" s="100">
        <v>23.42</v>
      </c>
      <c r="M48" s="100">
        <v>50.58</v>
      </c>
      <c r="N48" s="100">
        <v>246.2</v>
      </c>
      <c r="O48" s="100">
        <v>0</v>
      </c>
      <c r="P48" s="100">
        <v>1.1499999999999999</v>
      </c>
      <c r="Q48" s="100">
        <v>13.02</v>
      </c>
      <c r="R48" s="6"/>
      <c r="S48" s="6"/>
      <c r="T48" s="156"/>
      <c r="U48" s="6"/>
    </row>
    <row r="49" spans="1:21" customFormat="1">
      <c r="A49" s="163" t="s">
        <v>759</v>
      </c>
      <c r="B49" s="100">
        <v>6.82</v>
      </c>
      <c r="C49" s="100">
        <v>26.73</v>
      </c>
      <c r="D49" s="100">
        <v>20.79</v>
      </c>
      <c r="E49" s="100">
        <v>6.21</v>
      </c>
      <c r="F49" s="152" t="s">
        <v>15</v>
      </c>
      <c r="G49" s="100">
        <v>118.98</v>
      </c>
      <c r="H49" s="100">
        <v>47.51</v>
      </c>
      <c r="I49" s="100">
        <v>15.58</v>
      </c>
      <c r="J49" s="100">
        <v>0.1</v>
      </c>
      <c r="K49" s="100">
        <v>252.44</v>
      </c>
      <c r="L49" s="100">
        <v>24.07</v>
      </c>
      <c r="M49" s="100">
        <v>48.39</v>
      </c>
      <c r="N49" s="100">
        <v>339.8</v>
      </c>
      <c r="O49" s="100">
        <v>0</v>
      </c>
      <c r="P49" s="100">
        <v>1.1399999999999999</v>
      </c>
      <c r="Q49" s="100">
        <v>13.03</v>
      </c>
      <c r="R49" s="6"/>
      <c r="S49" s="6"/>
      <c r="T49" s="156"/>
      <c r="U49" s="6"/>
    </row>
    <row r="50" spans="1:21" customFormat="1">
      <c r="A50" s="163" t="s">
        <v>760</v>
      </c>
      <c r="B50" s="100">
        <v>5.36</v>
      </c>
      <c r="C50" s="100">
        <v>26.47</v>
      </c>
      <c r="D50" s="100">
        <v>19.47</v>
      </c>
      <c r="E50" s="100">
        <v>7.64</v>
      </c>
      <c r="F50" s="152" t="s">
        <v>15</v>
      </c>
      <c r="G50" s="100">
        <v>117.18</v>
      </c>
      <c r="H50" s="100">
        <v>47.89</v>
      </c>
      <c r="I50" s="100">
        <v>15.34</v>
      </c>
      <c r="J50" s="100">
        <v>0.37</v>
      </c>
      <c r="K50" s="100">
        <v>275.14999999999998</v>
      </c>
      <c r="L50" s="100">
        <v>24.19</v>
      </c>
      <c r="M50" s="100">
        <v>46.86</v>
      </c>
      <c r="N50" s="100">
        <v>355.1</v>
      </c>
      <c r="O50" s="100">
        <v>0</v>
      </c>
      <c r="P50" s="100">
        <v>1.1100000000000001</v>
      </c>
      <c r="Q50" s="100">
        <v>13.01</v>
      </c>
      <c r="R50" s="6"/>
      <c r="S50" s="6"/>
      <c r="T50" s="156"/>
      <c r="U50" s="6"/>
    </row>
    <row r="51" spans="1:21" customFormat="1">
      <c r="A51" s="163" t="s">
        <v>761</v>
      </c>
      <c r="B51" s="100">
        <v>4.3499999999999996</v>
      </c>
      <c r="C51" s="100">
        <v>26.03</v>
      </c>
      <c r="D51" s="100">
        <v>18.440000000000001</v>
      </c>
      <c r="E51" s="100">
        <v>7.71</v>
      </c>
      <c r="F51" s="152" t="s">
        <v>15</v>
      </c>
      <c r="G51" s="100">
        <v>117.18</v>
      </c>
      <c r="H51" s="100">
        <v>47.89</v>
      </c>
      <c r="I51" s="100">
        <v>15.01</v>
      </c>
      <c r="J51" s="100">
        <v>0.23</v>
      </c>
      <c r="K51" s="100">
        <v>258.86</v>
      </c>
      <c r="L51" s="100">
        <v>24.61</v>
      </c>
      <c r="M51" s="100">
        <v>46.2</v>
      </c>
      <c r="N51" s="100">
        <v>363.6</v>
      </c>
      <c r="O51" s="100">
        <v>0</v>
      </c>
      <c r="P51" s="100">
        <v>1.0900000000000001</v>
      </c>
      <c r="Q51" s="100">
        <v>12.99</v>
      </c>
      <c r="R51" s="6"/>
      <c r="S51" s="6"/>
      <c r="T51" s="156"/>
      <c r="U51" s="6"/>
    </row>
    <row r="52" spans="1:21" customFormat="1">
      <c r="A52" s="163" t="s">
        <v>762</v>
      </c>
      <c r="B52" s="100">
        <v>3.81</v>
      </c>
      <c r="C52" s="100">
        <v>25.26</v>
      </c>
      <c r="D52" s="100">
        <v>17.600000000000001</v>
      </c>
      <c r="E52" s="100">
        <v>7.96</v>
      </c>
      <c r="F52" s="152" t="s">
        <v>15</v>
      </c>
      <c r="G52" s="100">
        <v>117.18</v>
      </c>
      <c r="H52" s="100">
        <v>47.89</v>
      </c>
      <c r="I52" s="100">
        <v>14.68</v>
      </c>
      <c r="J52" s="100">
        <v>0.44</v>
      </c>
      <c r="K52" s="100">
        <v>287.29000000000002</v>
      </c>
      <c r="L52" s="100">
        <v>25.06</v>
      </c>
      <c r="M52" s="100">
        <v>43.46</v>
      </c>
      <c r="N52" s="100">
        <v>370.4</v>
      </c>
      <c r="O52" s="100">
        <v>0</v>
      </c>
      <c r="P52" s="100">
        <v>1.07</v>
      </c>
      <c r="Q52" s="100">
        <v>13</v>
      </c>
      <c r="R52" s="6"/>
      <c r="S52" s="6"/>
      <c r="T52" s="156"/>
      <c r="U52" s="6"/>
    </row>
    <row r="53" spans="1:21" customFormat="1">
      <c r="A53" s="163" t="s">
        <v>763</v>
      </c>
      <c r="B53" s="100">
        <v>3.55</v>
      </c>
      <c r="C53" s="100">
        <v>24.43</v>
      </c>
      <c r="D53" s="100">
        <v>16.96</v>
      </c>
      <c r="E53" s="100">
        <v>7.33</v>
      </c>
      <c r="F53" s="152" t="s">
        <v>15</v>
      </c>
      <c r="G53" s="100">
        <v>107.75</v>
      </c>
      <c r="H53" s="100">
        <v>44.46</v>
      </c>
      <c r="I53" s="100">
        <v>14.38</v>
      </c>
      <c r="J53" s="100">
        <v>0.25</v>
      </c>
      <c r="K53" s="100">
        <v>245.42</v>
      </c>
      <c r="L53" s="100">
        <v>25.72</v>
      </c>
      <c r="M53" s="100">
        <v>41.45</v>
      </c>
      <c r="N53" s="100">
        <v>348.9</v>
      </c>
      <c r="O53" s="100">
        <v>0</v>
      </c>
      <c r="P53" s="100">
        <v>1.05</v>
      </c>
      <c r="Q53" s="100">
        <v>13</v>
      </c>
      <c r="R53" s="6"/>
      <c r="S53" s="6"/>
      <c r="T53" s="156"/>
      <c r="U53" s="6"/>
    </row>
    <row r="54" spans="1:21" customFormat="1">
      <c r="A54" s="163" t="s">
        <v>764</v>
      </c>
      <c r="B54" s="100">
        <v>3.4</v>
      </c>
      <c r="C54" s="100">
        <v>23.56</v>
      </c>
      <c r="D54" s="100">
        <v>16.39</v>
      </c>
      <c r="E54" s="100">
        <v>7.86</v>
      </c>
      <c r="F54" s="152" t="s">
        <v>15</v>
      </c>
      <c r="G54" s="100">
        <v>100.85</v>
      </c>
      <c r="H54" s="100">
        <v>43.43</v>
      </c>
      <c r="I54" s="100">
        <v>14.08</v>
      </c>
      <c r="J54" s="100">
        <v>0.31</v>
      </c>
      <c r="K54" s="100">
        <v>301.47000000000003</v>
      </c>
      <c r="L54" s="100">
        <v>26.01</v>
      </c>
      <c r="M54" s="100">
        <v>40.020000000000003</v>
      </c>
      <c r="N54" s="100">
        <v>392.7</v>
      </c>
      <c r="O54" s="100">
        <v>0</v>
      </c>
      <c r="P54" s="100">
        <v>1.03</v>
      </c>
      <c r="Q54" s="100">
        <v>12.98</v>
      </c>
      <c r="R54" s="6"/>
      <c r="S54" s="6"/>
      <c r="T54" s="156"/>
      <c r="U54" s="6"/>
    </row>
    <row r="55" spans="1:21" customFormat="1">
      <c r="A55" s="163" t="s">
        <v>765</v>
      </c>
      <c r="B55" s="100">
        <v>3.35</v>
      </c>
      <c r="C55" s="100">
        <v>22.91</v>
      </c>
      <c r="D55" s="100">
        <v>16.010000000000002</v>
      </c>
      <c r="E55" s="100">
        <v>7.89</v>
      </c>
      <c r="F55" s="152" t="s">
        <v>15</v>
      </c>
      <c r="G55" s="100">
        <v>100.85</v>
      </c>
      <c r="H55" s="100">
        <v>43.43</v>
      </c>
      <c r="I55" s="100">
        <v>13.79</v>
      </c>
      <c r="J55" s="100">
        <v>-0.17</v>
      </c>
      <c r="K55" s="100">
        <v>0.16</v>
      </c>
      <c r="L55" s="100">
        <v>26.35</v>
      </c>
      <c r="M55" s="100">
        <v>39.46</v>
      </c>
      <c r="N55" s="100">
        <v>391.2</v>
      </c>
      <c r="O55" s="100">
        <v>0</v>
      </c>
      <c r="P55" s="100">
        <v>1.01</v>
      </c>
      <c r="Q55" s="100">
        <v>12.98</v>
      </c>
      <c r="R55" s="6"/>
      <c r="S55" s="6"/>
      <c r="T55" s="156"/>
      <c r="U55" s="6"/>
    </row>
    <row r="56" spans="1:21" customFormat="1">
      <c r="A56" s="163" t="s">
        <v>766</v>
      </c>
      <c r="B56" s="133" t="s">
        <v>4</v>
      </c>
      <c r="C56" s="133" t="s">
        <v>4</v>
      </c>
      <c r="D56" s="133" t="s">
        <v>4</v>
      </c>
      <c r="E56" s="133" t="s">
        <v>4</v>
      </c>
      <c r="F56" s="133" t="s">
        <v>4</v>
      </c>
      <c r="G56" s="133" t="s">
        <v>4</v>
      </c>
      <c r="H56" s="133" t="s">
        <v>4</v>
      </c>
      <c r="I56" s="133" t="s">
        <v>4</v>
      </c>
      <c r="J56" s="133" t="s">
        <v>4</v>
      </c>
      <c r="K56" s="133" t="s">
        <v>4</v>
      </c>
      <c r="L56" s="133" t="s">
        <v>4</v>
      </c>
      <c r="M56" s="133" t="s">
        <v>4</v>
      </c>
      <c r="N56" s="133" t="s">
        <v>4</v>
      </c>
      <c r="O56" s="133" t="s">
        <v>4</v>
      </c>
      <c r="P56" s="133" t="s">
        <v>4</v>
      </c>
      <c r="Q56" s="133" t="s">
        <v>4</v>
      </c>
      <c r="R56" s="6"/>
      <c r="S56" s="6"/>
      <c r="T56" s="156"/>
      <c r="U56" s="6"/>
    </row>
    <row r="57" spans="1:21" customFormat="1">
      <c r="A57" s="163" t="s">
        <v>767</v>
      </c>
      <c r="B57" s="133" t="s">
        <v>4</v>
      </c>
      <c r="C57" s="133" t="s">
        <v>4</v>
      </c>
      <c r="D57" s="133" t="s">
        <v>4</v>
      </c>
      <c r="E57" s="133" t="s">
        <v>4</v>
      </c>
      <c r="F57" s="133" t="s">
        <v>4</v>
      </c>
      <c r="G57" s="133" t="s">
        <v>4</v>
      </c>
      <c r="H57" s="133" t="s">
        <v>4</v>
      </c>
      <c r="I57" s="133" t="s">
        <v>4</v>
      </c>
      <c r="J57" s="133" t="s">
        <v>4</v>
      </c>
      <c r="K57" s="133" t="s">
        <v>4</v>
      </c>
      <c r="L57" s="133" t="s">
        <v>4</v>
      </c>
      <c r="M57" s="133" t="s">
        <v>4</v>
      </c>
      <c r="N57" s="133" t="s">
        <v>4</v>
      </c>
      <c r="O57" s="133" t="s">
        <v>4</v>
      </c>
      <c r="P57" s="133" t="s">
        <v>4</v>
      </c>
      <c r="Q57" s="133" t="s">
        <v>4</v>
      </c>
      <c r="R57" s="6"/>
      <c r="S57" s="6"/>
      <c r="T57" s="156"/>
      <c r="U57" s="6"/>
    </row>
    <row r="58" spans="1:21" customFormat="1">
      <c r="A58" s="163" t="s">
        <v>768</v>
      </c>
      <c r="B58" s="133" t="s">
        <v>4</v>
      </c>
      <c r="C58" s="133" t="s">
        <v>4</v>
      </c>
      <c r="D58" s="133" t="s">
        <v>4</v>
      </c>
      <c r="E58" s="133" t="s">
        <v>4</v>
      </c>
      <c r="F58" s="133" t="s">
        <v>4</v>
      </c>
      <c r="G58" s="133" t="s">
        <v>4</v>
      </c>
      <c r="H58" s="133" t="s">
        <v>4</v>
      </c>
      <c r="I58" s="133" t="s">
        <v>4</v>
      </c>
      <c r="J58" s="133" t="s">
        <v>4</v>
      </c>
      <c r="K58" s="133" t="s">
        <v>4</v>
      </c>
      <c r="L58" s="133" t="s">
        <v>4</v>
      </c>
      <c r="M58" s="133" t="s">
        <v>4</v>
      </c>
      <c r="N58" s="133" t="s">
        <v>4</v>
      </c>
      <c r="O58" s="133" t="s">
        <v>4</v>
      </c>
      <c r="P58" s="133" t="s">
        <v>4</v>
      </c>
      <c r="Q58" s="133" t="s">
        <v>4</v>
      </c>
      <c r="R58" s="6"/>
      <c r="S58" s="6"/>
      <c r="T58" s="156"/>
      <c r="U58" s="6"/>
    </row>
    <row r="59" spans="1:21" customFormat="1">
      <c r="A59" s="163" t="s">
        <v>769</v>
      </c>
      <c r="B59" s="133" t="s">
        <v>4</v>
      </c>
      <c r="C59" s="133" t="s">
        <v>4</v>
      </c>
      <c r="D59" s="133" t="s">
        <v>4</v>
      </c>
      <c r="E59" s="133" t="s">
        <v>4</v>
      </c>
      <c r="F59" s="133" t="s">
        <v>4</v>
      </c>
      <c r="G59" s="133" t="s">
        <v>4</v>
      </c>
      <c r="H59" s="133" t="s">
        <v>4</v>
      </c>
      <c r="I59" s="133" t="s">
        <v>4</v>
      </c>
      <c r="J59" s="133" t="s">
        <v>4</v>
      </c>
      <c r="K59" s="133" t="s">
        <v>4</v>
      </c>
      <c r="L59" s="133" t="s">
        <v>4</v>
      </c>
      <c r="M59" s="133" t="s">
        <v>4</v>
      </c>
      <c r="N59" s="133" t="s">
        <v>4</v>
      </c>
      <c r="O59" s="133" t="s">
        <v>4</v>
      </c>
      <c r="P59" s="133" t="s">
        <v>4</v>
      </c>
      <c r="Q59" s="133" t="s">
        <v>4</v>
      </c>
      <c r="R59" s="6"/>
      <c r="S59" s="6"/>
      <c r="T59" s="156"/>
      <c r="U59" s="6"/>
    </row>
    <row r="60" spans="1:21" customFormat="1">
      <c r="A60" s="163" t="s">
        <v>770</v>
      </c>
      <c r="B60" s="133" t="s">
        <v>4</v>
      </c>
      <c r="C60" s="133" t="s">
        <v>4</v>
      </c>
      <c r="D60" s="133" t="s">
        <v>4</v>
      </c>
      <c r="E60" s="133" t="s">
        <v>4</v>
      </c>
      <c r="F60" s="133" t="s">
        <v>4</v>
      </c>
      <c r="G60" s="133" t="s">
        <v>4</v>
      </c>
      <c r="H60" s="133" t="s">
        <v>4</v>
      </c>
      <c r="I60" s="133" t="s">
        <v>4</v>
      </c>
      <c r="J60" s="133" t="s">
        <v>4</v>
      </c>
      <c r="K60" s="133" t="s">
        <v>4</v>
      </c>
      <c r="L60" s="133" t="s">
        <v>4</v>
      </c>
      <c r="M60" s="133" t="s">
        <v>4</v>
      </c>
      <c r="N60" s="133" t="s">
        <v>4</v>
      </c>
      <c r="O60" s="133" t="s">
        <v>4</v>
      </c>
      <c r="P60" s="133" t="s">
        <v>4</v>
      </c>
      <c r="Q60" s="133" t="s">
        <v>4</v>
      </c>
      <c r="R60" s="6"/>
      <c r="S60" s="6"/>
      <c r="T60" s="156"/>
      <c r="U60" s="6"/>
    </row>
    <row r="61" spans="1:21" customFormat="1">
      <c r="A61" s="163" t="s">
        <v>771</v>
      </c>
      <c r="B61" s="133" t="s">
        <v>4</v>
      </c>
      <c r="C61" s="133" t="s">
        <v>4</v>
      </c>
      <c r="D61" s="133" t="s">
        <v>4</v>
      </c>
      <c r="E61" s="133" t="s">
        <v>4</v>
      </c>
      <c r="F61" s="133" t="s">
        <v>4</v>
      </c>
      <c r="G61" s="133" t="s">
        <v>4</v>
      </c>
      <c r="H61" s="133" t="s">
        <v>4</v>
      </c>
      <c r="I61" s="133" t="s">
        <v>4</v>
      </c>
      <c r="J61" s="133" t="s">
        <v>4</v>
      </c>
      <c r="K61" s="133" t="s">
        <v>4</v>
      </c>
      <c r="L61" s="133" t="s">
        <v>4</v>
      </c>
      <c r="M61" s="133" t="s">
        <v>4</v>
      </c>
      <c r="N61" s="133" t="s">
        <v>4</v>
      </c>
      <c r="O61" s="133" t="s">
        <v>4</v>
      </c>
      <c r="P61" s="133" t="s">
        <v>4</v>
      </c>
      <c r="Q61" s="133" t="s">
        <v>4</v>
      </c>
      <c r="R61" s="6"/>
      <c r="S61" s="6"/>
      <c r="T61" s="156"/>
      <c r="U61" s="6"/>
    </row>
    <row r="62" spans="1:21" customFormat="1">
      <c r="A62" s="163" t="s">
        <v>772</v>
      </c>
      <c r="B62" s="133" t="s">
        <v>4</v>
      </c>
      <c r="C62" s="133" t="s">
        <v>4</v>
      </c>
      <c r="D62" s="133" t="s">
        <v>4</v>
      </c>
      <c r="E62" s="133" t="s">
        <v>4</v>
      </c>
      <c r="F62" s="133" t="s">
        <v>4</v>
      </c>
      <c r="G62" s="133" t="s">
        <v>4</v>
      </c>
      <c r="H62" s="133" t="s">
        <v>4</v>
      </c>
      <c r="I62" s="133" t="s">
        <v>4</v>
      </c>
      <c r="J62" s="133" t="s">
        <v>4</v>
      </c>
      <c r="K62" s="133" t="s">
        <v>4</v>
      </c>
      <c r="L62" s="133" t="s">
        <v>4</v>
      </c>
      <c r="M62" s="133" t="s">
        <v>4</v>
      </c>
      <c r="N62" s="133" t="s">
        <v>4</v>
      </c>
      <c r="O62" s="133" t="s">
        <v>4</v>
      </c>
      <c r="P62" s="133" t="s">
        <v>4</v>
      </c>
      <c r="Q62" s="133" t="s">
        <v>4</v>
      </c>
      <c r="R62" s="6"/>
      <c r="S62" s="6"/>
      <c r="T62" s="156"/>
      <c r="U62" s="6"/>
    </row>
    <row r="63" spans="1:21" customFormat="1">
      <c r="A63" s="163" t="s">
        <v>773</v>
      </c>
      <c r="B63" s="150" t="s">
        <v>21</v>
      </c>
      <c r="C63" s="150" t="s">
        <v>21</v>
      </c>
      <c r="D63" s="150" t="s">
        <v>21</v>
      </c>
      <c r="E63" s="150" t="s">
        <v>21</v>
      </c>
      <c r="F63" s="152" t="s">
        <v>15</v>
      </c>
      <c r="G63" s="150" t="s">
        <v>21</v>
      </c>
      <c r="H63" s="150" t="s">
        <v>21</v>
      </c>
      <c r="I63" s="150" t="s">
        <v>21</v>
      </c>
      <c r="J63" s="100">
        <v>0.53</v>
      </c>
      <c r="K63" s="100">
        <v>140.76</v>
      </c>
      <c r="L63" s="100">
        <v>26.73</v>
      </c>
      <c r="M63" s="100">
        <v>34.479999999999997</v>
      </c>
      <c r="N63" s="100">
        <v>149.9</v>
      </c>
      <c r="O63" s="100">
        <v>0</v>
      </c>
      <c r="P63" s="150" t="s">
        <v>21</v>
      </c>
      <c r="Q63" s="150" t="s">
        <v>21</v>
      </c>
      <c r="R63" s="6"/>
      <c r="S63" s="6"/>
      <c r="T63" s="156"/>
      <c r="U63" s="6"/>
    </row>
    <row r="64" spans="1:21" customFormat="1">
      <c r="A64" s="163" t="s">
        <v>774</v>
      </c>
      <c r="B64" s="150" t="s">
        <v>21</v>
      </c>
      <c r="C64" s="150" t="s">
        <v>21</v>
      </c>
      <c r="D64" s="150" t="s">
        <v>21</v>
      </c>
      <c r="E64" s="100">
        <v>15.82</v>
      </c>
      <c r="F64" s="152" t="s">
        <v>15</v>
      </c>
      <c r="G64" s="100">
        <v>91.97</v>
      </c>
      <c r="H64" s="100">
        <v>36.799999999999997</v>
      </c>
      <c r="I64" s="150" t="s">
        <v>21</v>
      </c>
      <c r="J64" s="100">
        <v>0.33</v>
      </c>
      <c r="K64" s="100">
        <v>273.39999999999998</v>
      </c>
      <c r="L64" s="100">
        <v>26.81</v>
      </c>
      <c r="M64" s="100">
        <v>35.799999999999997</v>
      </c>
      <c r="N64" s="100">
        <v>142.5</v>
      </c>
      <c r="O64" s="100">
        <v>0</v>
      </c>
      <c r="P64" s="100">
        <v>0.79</v>
      </c>
      <c r="Q64" s="150" t="s">
        <v>21</v>
      </c>
      <c r="R64" s="6"/>
      <c r="S64" s="6"/>
      <c r="T64" s="156"/>
      <c r="U64" s="6"/>
    </row>
    <row r="65" spans="1:21" customFormat="1">
      <c r="A65" s="163" t="s">
        <v>775</v>
      </c>
      <c r="B65" s="100">
        <v>3.89</v>
      </c>
      <c r="C65" s="100">
        <v>17.75</v>
      </c>
      <c r="D65" s="100">
        <v>13.75</v>
      </c>
      <c r="E65" s="100">
        <v>2.72</v>
      </c>
      <c r="F65" s="152" t="s">
        <v>15</v>
      </c>
      <c r="G65" s="100">
        <v>93.74</v>
      </c>
      <c r="H65" s="100">
        <v>25.33</v>
      </c>
      <c r="I65" s="150" t="s">
        <v>21</v>
      </c>
      <c r="J65" s="100">
        <v>0.33</v>
      </c>
      <c r="K65" s="100">
        <v>261.27999999999997</v>
      </c>
      <c r="L65" s="100">
        <v>26.81</v>
      </c>
      <c r="M65" s="100">
        <v>35.869999999999997</v>
      </c>
      <c r="N65" s="100">
        <v>113.4</v>
      </c>
      <c r="O65" s="100">
        <v>0</v>
      </c>
      <c r="P65" s="100">
        <v>0.86</v>
      </c>
      <c r="Q65" s="150" t="s">
        <v>21</v>
      </c>
      <c r="R65" s="6"/>
      <c r="S65" s="6"/>
      <c r="T65" s="156"/>
      <c r="U65" s="6"/>
    </row>
    <row r="66" spans="1:21" customFormat="1">
      <c r="A66" s="163" t="s">
        <v>776</v>
      </c>
      <c r="B66" s="100">
        <v>2.77</v>
      </c>
      <c r="C66" s="100">
        <v>21.94</v>
      </c>
      <c r="D66" s="100">
        <v>15.04</v>
      </c>
      <c r="E66" s="100">
        <v>-23.11</v>
      </c>
      <c r="F66" s="152" t="s">
        <v>15</v>
      </c>
      <c r="G66" s="100">
        <v>97.3</v>
      </c>
      <c r="H66" s="100">
        <v>21.82</v>
      </c>
      <c r="I66" s="100">
        <v>12.53</v>
      </c>
      <c r="J66" s="100">
        <v>0.27</v>
      </c>
      <c r="K66" s="100">
        <v>181.14</v>
      </c>
      <c r="L66" s="100">
        <v>26.83</v>
      </c>
      <c r="M66" s="100">
        <v>36.54</v>
      </c>
      <c r="N66" s="100">
        <v>121.7</v>
      </c>
      <c r="O66" s="100">
        <v>0</v>
      </c>
      <c r="P66" s="100">
        <v>0.84</v>
      </c>
      <c r="Q66" s="100">
        <v>12.65</v>
      </c>
      <c r="R66" s="6"/>
      <c r="S66" s="6"/>
      <c r="T66" s="156"/>
      <c r="U66" s="6"/>
    </row>
    <row r="67" spans="1:21" customFormat="1">
      <c r="A67" s="163" t="s">
        <v>777</v>
      </c>
      <c r="B67" s="100">
        <v>1.99</v>
      </c>
      <c r="C67" s="100">
        <v>22.23</v>
      </c>
      <c r="D67" s="100">
        <v>14.56</v>
      </c>
      <c r="E67" s="100">
        <v>-32.85</v>
      </c>
      <c r="F67" s="152" t="s">
        <v>15</v>
      </c>
      <c r="G67" s="100">
        <v>97.3</v>
      </c>
      <c r="H67" s="100">
        <v>21.82</v>
      </c>
      <c r="I67" s="100">
        <v>12.72</v>
      </c>
      <c r="J67" s="100">
        <v>0.21</v>
      </c>
      <c r="K67" s="100">
        <v>52.89</v>
      </c>
      <c r="L67" s="100">
        <v>26.93</v>
      </c>
      <c r="M67" s="100">
        <v>33.99</v>
      </c>
      <c r="N67" s="100">
        <v>83.5</v>
      </c>
      <c r="O67" s="100">
        <v>0</v>
      </c>
      <c r="P67" s="100">
        <v>0.8</v>
      </c>
      <c r="Q67" s="100">
        <v>12.65</v>
      </c>
      <c r="R67" s="6"/>
      <c r="S67" s="6"/>
      <c r="T67" s="156"/>
      <c r="U67" s="6"/>
    </row>
    <row r="68" spans="1:21" customFormat="1">
      <c r="A68" s="163" t="s">
        <v>778</v>
      </c>
      <c r="B68" s="100">
        <v>1.78</v>
      </c>
      <c r="C68" s="100">
        <v>21.9</v>
      </c>
      <c r="D68" s="100">
        <v>14.23</v>
      </c>
      <c r="E68" s="100">
        <v>-37.799999999999997</v>
      </c>
      <c r="F68" s="152" t="s">
        <v>15</v>
      </c>
      <c r="G68" s="100">
        <v>97.3</v>
      </c>
      <c r="H68" s="100">
        <v>21.82</v>
      </c>
      <c r="I68" s="100">
        <v>12.56</v>
      </c>
      <c r="J68" s="100">
        <v>0.13</v>
      </c>
      <c r="K68" s="100">
        <v>172.85</v>
      </c>
      <c r="L68" s="100">
        <v>26.73</v>
      </c>
      <c r="M68" s="100">
        <v>36.42</v>
      </c>
      <c r="N68" s="100">
        <v>73.2</v>
      </c>
      <c r="O68" s="100">
        <v>0</v>
      </c>
      <c r="P68" s="100">
        <v>0.78</v>
      </c>
      <c r="Q68" s="100">
        <v>12.65</v>
      </c>
      <c r="R68" s="6"/>
      <c r="S68" s="6"/>
      <c r="T68" s="156"/>
      <c r="U68" s="6"/>
    </row>
    <row r="69" spans="1:21" customFormat="1">
      <c r="A69" s="163" t="s">
        <v>779</v>
      </c>
      <c r="B69" s="100">
        <v>1.71</v>
      </c>
      <c r="C69" s="100">
        <v>21.47</v>
      </c>
      <c r="D69" s="100">
        <v>13.94</v>
      </c>
      <c r="E69" s="100">
        <v>-40.159999999999997</v>
      </c>
      <c r="F69" s="152" t="s">
        <v>15</v>
      </c>
      <c r="G69" s="100">
        <v>100.5</v>
      </c>
      <c r="H69" s="100">
        <v>32.04</v>
      </c>
      <c r="I69" s="100">
        <v>12.44</v>
      </c>
      <c r="J69" s="100">
        <v>0.28000000000000003</v>
      </c>
      <c r="K69" s="100">
        <v>143.56</v>
      </c>
      <c r="L69" s="100">
        <v>26.8</v>
      </c>
      <c r="M69" s="100">
        <v>35.200000000000003</v>
      </c>
      <c r="N69" s="100">
        <v>65.900000000000006</v>
      </c>
      <c r="O69" s="100">
        <v>0</v>
      </c>
      <c r="P69" s="100">
        <v>0.76</v>
      </c>
      <c r="Q69" s="100">
        <v>12.65</v>
      </c>
      <c r="R69" s="6"/>
      <c r="S69" s="6"/>
      <c r="T69" s="156"/>
      <c r="U69" s="6"/>
    </row>
    <row r="70" spans="1:21" customFormat="1">
      <c r="A70" s="163" t="s">
        <v>780</v>
      </c>
      <c r="B70" s="100">
        <v>1.73</v>
      </c>
      <c r="C70" s="100">
        <v>21.01</v>
      </c>
      <c r="D70" s="100">
        <v>13.72</v>
      </c>
      <c r="E70" s="100">
        <v>-42.45</v>
      </c>
      <c r="F70" s="152" t="s">
        <v>15</v>
      </c>
      <c r="G70" s="100">
        <v>102.83</v>
      </c>
      <c r="H70" s="100">
        <v>35.31</v>
      </c>
      <c r="I70" s="100">
        <v>12.31</v>
      </c>
      <c r="J70" s="100">
        <v>0.33</v>
      </c>
      <c r="K70" s="100">
        <v>146.91999999999999</v>
      </c>
      <c r="L70" s="100">
        <v>26.59</v>
      </c>
      <c r="M70" s="100">
        <v>37.04</v>
      </c>
      <c r="N70" s="100">
        <v>57.8</v>
      </c>
      <c r="O70" s="100">
        <v>0</v>
      </c>
      <c r="P70" s="100">
        <v>0.75</v>
      </c>
      <c r="Q70" s="100">
        <v>12.65</v>
      </c>
      <c r="R70" s="6"/>
      <c r="S70" s="6"/>
      <c r="T70" s="156"/>
      <c r="U70" s="6"/>
    </row>
    <row r="71" spans="1:21" customFormat="1">
      <c r="A71" s="163" t="s">
        <v>781</v>
      </c>
      <c r="B71" s="100">
        <v>1.75</v>
      </c>
      <c r="C71" s="100">
        <v>20.65</v>
      </c>
      <c r="D71" s="100">
        <v>13.54</v>
      </c>
      <c r="E71" s="100">
        <v>-42.99</v>
      </c>
      <c r="F71" s="152" t="s">
        <v>15</v>
      </c>
      <c r="G71" s="100">
        <v>102.83</v>
      </c>
      <c r="H71" s="100">
        <v>35.31</v>
      </c>
      <c r="I71" s="100">
        <v>12.17</v>
      </c>
      <c r="J71" s="100">
        <v>0.21</v>
      </c>
      <c r="K71" s="100">
        <v>164.98</v>
      </c>
      <c r="L71" s="100">
        <v>26.45</v>
      </c>
      <c r="M71" s="100">
        <v>37.270000000000003</v>
      </c>
      <c r="N71" s="100">
        <v>52.1</v>
      </c>
      <c r="O71" s="100">
        <v>0</v>
      </c>
      <c r="P71" s="100">
        <v>0.74</v>
      </c>
      <c r="Q71" s="100">
        <v>12.65</v>
      </c>
      <c r="R71" s="6"/>
      <c r="S71" s="6"/>
      <c r="T71" s="156"/>
      <c r="U71" s="6"/>
    </row>
    <row r="72" spans="1:21" customFormat="1">
      <c r="A72" s="163" t="s">
        <v>782</v>
      </c>
      <c r="B72" s="100">
        <v>1.77</v>
      </c>
      <c r="C72" s="100">
        <v>20.260000000000002</v>
      </c>
      <c r="D72" s="100">
        <v>13.36</v>
      </c>
      <c r="E72" s="100">
        <v>-43.93</v>
      </c>
      <c r="F72" s="152" t="s">
        <v>15</v>
      </c>
      <c r="G72" s="100">
        <v>102.83</v>
      </c>
      <c r="H72" s="100">
        <v>35.31</v>
      </c>
      <c r="I72" s="100">
        <v>12.09</v>
      </c>
      <c r="J72" s="100">
        <v>0.19</v>
      </c>
      <c r="K72" s="100">
        <v>164.15</v>
      </c>
      <c r="L72" s="100">
        <v>26.14</v>
      </c>
      <c r="M72" s="100">
        <v>39.36</v>
      </c>
      <c r="N72" s="100">
        <v>40.9</v>
      </c>
      <c r="O72" s="100">
        <v>0</v>
      </c>
      <c r="P72" s="100">
        <v>0.73</v>
      </c>
      <c r="Q72" s="100">
        <v>12.65</v>
      </c>
      <c r="R72" s="6"/>
      <c r="S72" s="6"/>
      <c r="T72" s="156"/>
      <c r="U72" s="6"/>
    </row>
    <row r="73" spans="1:21" customFormat="1">
      <c r="A73" s="163" t="s">
        <v>783</v>
      </c>
      <c r="B73" s="100">
        <v>1.77</v>
      </c>
      <c r="C73" s="100">
        <v>20.010000000000002</v>
      </c>
      <c r="D73" s="100">
        <v>13.22</v>
      </c>
      <c r="E73" s="100">
        <v>-43.26</v>
      </c>
      <c r="F73" s="152" t="s">
        <v>15</v>
      </c>
      <c r="G73" s="100">
        <v>99.01</v>
      </c>
      <c r="H73" s="100">
        <v>36.770000000000003</v>
      </c>
      <c r="I73" s="100">
        <v>12.02</v>
      </c>
      <c r="J73" s="100">
        <v>0.16</v>
      </c>
      <c r="K73" s="100">
        <v>176.01</v>
      </c>
      <c r="L73" s="100">
        <v>25.63</v>
      </c>
      <c r="M73" s="100">
        <v>41.38</v>
      </c>
      <c r="N73" s="100">
        <v>34.4</v>
      </c>
      <c r="O73" s="100">
        <v>0</v>
      </c>
      <c r="P73" s="100">
        <v>0.74</v>
      </c>
      <c r="Q73" s="100">
        <v>12.65</v>
      </c>
      <c r="R73" s="6"/>
      <c r="S73" s="6"/>
      <c r="T73" s="156"/>
      <c r="U73" s="6"/>
    </row>
    <row r="74" spans="1:21" customFormat="1">
      <c r="A74" s="163" t="s">
        <v>784</v>
      </c>
      <c r="B74" s="100">
        <v>1.8</v>
      </c>
      <c r="C74" s="100">
        <v>19.760000000000002</v>
      </c>
      <c r="D74" s="100">
        <v>13.12</v>
      </c>
      <c r="E74" s="100">
        <v>-44.82</v>
      </c>
      <c r="F74" s="152" t="s">
        <v>15</v>
      </c>
      <c r="G74" s="100">
        <v>96.22</v>
      </c>
      <c r="H74" s="100">
        <v>37.229999999999997</v>
      </c>
      <c r="I74" s="100">
        <v>11.93</v>
      </c>
      <c r="J74" s="100">
        <v>0.16</v>
      </c>
      <c r="K74" s="100">
        <v>171.35</v>
      </c>
      <c r="L74" s="100">
        <v>25.21</v>
      </c>
      <c r="M74" s="100">
        <v>43.37</v>
      </c>
      <c r="N74" s="100">
        <v>27.4</v>
      </c>
      <c r="O74" s="100">
        <v>0</v>
      </c>
      <c r="P74" s="100">
        <v>0.73</v>
      </c>
      <c r="Q74" s="100">
        <v>12.65</v>
      </c>
      <c r="R74" s="6"/>
      <c r="S74" s="6"/>
      <c r="T74" s="156"/>
      <c r="U74" s="6"/>
    </row>
    <row r="75" spans="1:21" customFormat="1">
      <c r="A75" s="163" t="s">
        <v>785</v>
      </c>
      <c r="B75" s="100">
        <v>1.81</v>
      </c>
      <c r="C75" s="100">
        <v>19.5</v>
      </c>
      <c r="D75" s="100">
        <v>12.99</v>
      </c>
      <c r="E75" s="100">
        <v>-45.21</v>
      </c>
      <c r="F75" s="152" t="s">
        <v>15</v>
      </c>
      <c r="G75" s="100">
        <v>96.22</v>
      </c>
      <c r="H75" s="100">
        <v>37.229999999999997</v>
      </c>
      <c r="I75" s="100">
        <v>11.79</v>
      </c>
      <c r="J75" s="100">
        <v>0.21</v>
      </c>
      <c r="K75" s="100">
        <v>168.3</v>
      </c>
      <c r="L75" s="100">
        <v>24.79</v>
      </c>
      <c r="M75" s="100">
        <v>44.31</v>
      </c>
      <c r="N75" s="100">
        <v>19</v>
      </c>
      <c r="O75" s="100">
        <v>0</v>
      </c>
      <c r="P75" s="100">
        <v>0.73</v>
      </c>
      <c r="Q75" s="100">
        <v>12.65</v>
      </c>
      <c r="R75" s="6"/>
      <c r="S75" s="6"/>
      <c r="T75" s="156"/>
      <c r="U75" s="6"/>
    </row>
    <row r="76" spans="1:21" customFormat="1">
      <c r="A76" s="163" t="s">
        <v>786</v>
      </c>
      <c r="B76" s="100">
        <v>1.84</v>
      </c>
      <c r="C76" s="100">
        <v>19.43</v>
      </c>
      <c r="D76" s="100">
        <v>12.98</v>
      </c>
      <c r="E76" s="100">
        <v>-45.71</v>
      </c>
      <c r="F76" s="152" t="s">
        <v>15</v>
      </c>
      <c r="G76" s="100">
        <v>96.22</v>
      </c>
      <c r="H76" s="100">
        <v>37.229999999999997</v>
      </c>
      <c r="I76" s="100">
        <v>11.75</v>
      </c>
      <c r="J76" s="100">
        <v>0.26</v>
      </c>
      <c r="K76" s="100">
        <v>164.22</v>
      </c>
      <c r="L76" s="100">
        <v>24.13</v>
      </c>
      <c r="M76" s="100">
        <v>46.14</v>
      </c>
      <c r="N76" s="100">
        <v>11.9</v>
      </c>
      <c r="O76" s="100">
        <v>0</v>
      </c>
      <c r="P76" s="100">
        <v>0.71</v>
      </c>
      <c r="Q76" s="100">
        <v>12.65</v>
      </c>
      <c r="R76" s="6"/>
      <c r="S76" s="6"/>
      <c r="T76" s="156"/>
      <c r="U76" s="6"/>
    </row>
    <row r="77" spans="1:21" customFormat="1">
      <c r="A77" s="163" t="s">
        <v>787</v>
      </c>
      <c r="B77" s="100">
        <v>1.86</v>
      </c>
      <c r="C77" s="100">
        <v>19.63</v>
      </c>
      <c r="D77" s="100">
        <v>13.1</v>
      </c>
      <c r="E77" s="100">
        <v>-46.14</v>
      </c>
      <c r="F77" s="152" t="s">
        <v>15</v>
      </c>
      <c r="G77" s="100">
        <v>99.2</v>
      </c>
      <c r="H77" s="100">
        <v>38.520000000000003</v>
      </c>
      <c r="I77" s="100">
        <v>11.76</v>
      </c>
      <c r="J77" s="100">
        <v>0.26</v>
      </c>
      <c r="K77" s="100">
        <v>166.61</v>
      </c>
      <c r="L77" s="100">
        <v>23.24</v>
      </c>
      <c r="M77" s="100">
        <v>51.76</v>
      </c>
      <c r="N77" s="100">
        <v>5.5</v>
      </c>
      <c r="O77" s="100">
        <v>0</v>
      </c>
      <c r="P77" s="100">
        <v>0.71</v>
      </c>
      <c r="Q77" s="100">
        <v>12.65</v>
      </c>
      <c r="R77" s="6"/>
      <c r="S77" s="6"/>
      <c r="T77" s="156"/>
      <c r="U77" s="6"/>
    </row>
    <row r="78" spans="1:21" customFormat="1">
      <c r="A78" s="163" t="s">
        <v>788</v>
      </c>
      <c r="B78" s="100">
        <v>2.0099999999999998</v>
      </c>
      <c r="C78" s="100">
        <v>20.239999999999998</v>
      </c>
      <c r="D78" s="100">
        <v>13.54</v>
      </c>
      <c r="E78" s="100">
        <v>-47.25</v>
      </c>
      <c r="F78" s="152" t="s">
        <v>15</v>
      </c>
      <c r="G78" s="100">
        <v>101.47</v>
      </c>
      <c r="H78" s="100">
        <v>38.93</v>
      </c>
      <c r="I78" s="100">
        <v>11.73</v>
      </c>
      <c r="J78" s="100">
        <v>0.23</v>
      </c>
      <c r="K78" s="100">
        <v>170.89</v>
      </c>
      <c r="L78" s="100">
        <v>22.34</v>
      </c>
      <c r="M78" s="100">
        <v>61.42</v>
      </c>
      <c r="N78" s="100">
        <v>3.2</v>
      </c>
      <c r="O78" s="100">
        <v>0</v>
      </c>
      <c r="P78" s="100">
        <v>0.73</v>
      </c>
      <c r="Q78" s="100">
        <v>12.65</v>
      </c>
      <c r="R78" s="6"/>
      <c r="S78" s="6"/>
      <c r="T78" s="156"/>
      <c r="U78" s="6"/>
    </row>
    <row r="79" spans="1:21" customFormat="1">
      <c r="A79" s="163" t="s">
        <v>789</v>
      </c>
      <c r="B79" s="100">
        <v>2.08</v>
      </c>
      <c r="C79" s="100">
        <v>20.76</v>
      </c>
      <c r="D79" s="100">
        <v>13.87</v>
      </c>
      <c r="E79" s="100">
        <v>-47.8</v>
      </c>
      <c r="F79" s="152" t="s">
        <v>15</v>
      </c>
      <c r="G79" s="100">
        <v>101.47</v>
      </c>
      <c r="H79" s="100">
        <v>38.93</v>
      </c>
      <c r="I79" s="100">
        <v>11.69</v>
      </c>
      <c r="J79" s="100">
        <v>0.28999999999999998</v>
      </c>
      <c r="K79" s="100">
        <v>159.56</v>
      </c>
      <c r="L79" s="100">
        <v>21.62</v>
      </c>
      <c r="M79" s="100">
        <v>67.95</v>
      </c>
      <c r="N79" s="100">
        <v>2.1</v>
      </c>
      <c r="O79" s="100">
        <v>0</v>
      </c>
      <c r="P79" s="100">
        <v>0.73</v>
      </c>
      <c r="Q79" s="100">
        <v>12.65</v>
      </c>
      <c r="R79" s="6"/>
      <c r="S79" s="6"/>
      <c r="T79" s="156"/>
      <c r="U79" s="6"/>
    </row>
    <row r="80" spans="1:21" customFormat="1">
      <c r="A80" s="163" t="s">
        <v>790</v>
      </c>
      <c r="B80" s="100">
        <v>2.13</v>
      </c>
      <c r="C80" s="100">
        <v>20.96</v>
      </c>
      <c r="D80" s="100">
        <v>14.01</v>
      </c>
      <c r="E80" s="100">
        <v>-47.97</v>
      </c>
      <c r="F80" s="152" t="s">
        <v>15</v>
      </c>
      <c r="G80" s="100">
        <v>101.47</v>
      </c>
      <c r="H80" s="100">
        <v>38.93</v>
      </c>
      <c r="I80" s="100">
        <v>11.68</v>
      </c>
      <c r="J80" s="100">
        <v>0.31</v>
      </c>
      <c r="K80" s="100">
        <v>156.51</v>
      </c>
      <c r="L80" s="100">
        <v>21.19</v>
      </c>
      <c r="M80" s="100">
        <v>61.35</v>
      </c>
      <c r="N80" s="100">
        <v>1.8</v>
      </c>
      <c r="O80" s="100">
        <v>0</v>
      </c>
      <c r="P80" s="100">
        <v>0.74</v>
      </c>
      <c r="Q80" s="100">
        <v>12.65</v>
      </c>
      <c r="R80" s="6"/>
      <c r="S80" s="6"/>
      <c r="T80" s="156"/>
      <c r="U80" s="6"/>
    </row>
    <row r="81" spans="1:21" customFormat="1">
      <c r="A81" s="163" t="s">
        <v>791</v>
      </c>
      <c r="B81" s="100">
        <v>2.2799999999999998</v>
      </c>
      <c r="C81" s="100">
        <v>21.85</v>
      </c>
      <c r="D81" s="100">
        <v>14.6</v>
      </c>
      <c r="E81" s="100">
        <v>11.08</v>
      </c>
      <c r="F81" s="152" t="s">
        <v>15</v>
      </c>
      <c r="G81" s="100">
        <v>116.14</v>
      </c>
      <c r="H81" s="100">
        <v>39.950000000000003</v>
      </c>
      <c r="I81" s="100">
        <v>11.65</v>
      </c>
      <c r="J81" s="100">
        <v>0.23</v>
      </c>
      <c r="K81" s="100">
        <v>167.58</v>
      </c>
      <c r="L81" s="100">
        <v>20.74</v>
      </c>
      <c r="M81" s="100">
        <v>66.16</v>
      </c>
      <c r="N81" s="100">
        <v>2</v>
      </c>
      <c r="O81" s="100">
        <v>0</v>
      </c>
      <c r="P81" s="100">
        <v>0.76</v>
      </c>
      <c r="Q81" s="100">
        <v>12.65</v>
      </c>
      <c r="R81" s="6"/>
      <c r="S81" s="6"/>
      <c r="T81" s="156"/>
      <c r="U81" s="6"/>
    </row>
    <row r="82" spans="1:21" customFormat="1">
      <c r="A82" s="163" t="s">
        <v>792</v>
      </c>
      <c r="B82" s="100">
        <v>2.4</v>
      </c>
      <c r="C82" s="100">
        <v>22.89</v>
      </c>
      <c r="D82" s="100">
        <v>15.24</v>
      </c>
      <c r="E82" s="100">
        <v>12.61</v>
      </c>
      <c r="F82" s="152" t="s">
        <v>15</v>
      </c>
      <c r="G82" s="100">
        <v>127.36</v>
      </c>
      <c r="H82" s="100">
        <v>40.25</v>
      </c>
      <c r="I82" s="100">
        <v>11.66</v>
      </c>
      <c r="J82" s="100">
        <v>0.2</v>
      </c>
      <c r="K82" s="100">
        <v>176.47</v>
      </c>
      <c r="L82" s="100">
        <v>20.32</v>
      </c>
      <c r="M82" s="100">
        <v>67.52</v>
      </c>
      <c r="N82" s="100">
        <v>1.8</v>
      </c>
      <c r="O82" s="100">
        <v>0</v>
      </c>
      <c r="P82" s="100">
        <v>0.77</v>
      </c>
      <c r="Q82" s="100">
        <v>12.65</v>
      </c>
      <c r="R82" s="6"/>
      <c r="S82" s="6"/>
      <c r="T82" s="156"/>
      <c r="U82" s="6"/>
    </row>
    <row r="83" spans="1:21" customFormat="1">
      <c r="A83" s="163" t="s">
        <v>793</v>
      </c>
      <c r="B83" s="100">
        <v>2.38</v>
      </c>
      <c r="C83" s="100">
        <v>23.47</v>
      </c>
      <c r="D83" s="100">
        <v>15.52</v>
      </c>
      <c r="E83" s="100">
        <v>12.15</v>
      </c>
      <c r="F83" s="152" t="s">
        <v>15</v>
      </c>
      <c r="G83" s="100">
        <v>127.36</v>
      </c>
      <c r="H83" s="100">
        <v>40.25</v>
      </c>
      <c r="I83" s="100">
        <v>11.78</v>
      </c>
      <c r="J83" s="100">
        <v>0.16</v>
      </c>
      <c r="K83" s="100">
        <v>187.95</v>
      </c>
      <c r="L83" s="100">
        <v>20.149999999999999</v>
      </c>
      <c r="M83" s="100">
        <v>64.88</v>
      </c>
      <c r="N83" s="100">
        <v>1.6</v>
      </c>
      <c r="O83" s="100">
        <v>0</v>
      </c>
      <c r="P83" s="100">
        <v>0.76</v>
      </c>
      <c r="Q83" s="100">
        <v>12.65</v>
      </c>
      <c r="R83" s="6"/>
      <c r="S83" s="6"/>
      <c r="T83" s="156"/>
      <c r="U83" s="6"/>
    </row>
    <row r="84" spans="1:21" customFormat="1">
      <c r="A84" s="163" t="s">
        <v>794</v>
      </c>
      <c r="B84" s="100">
        <v>2.2200000000000002</v>
      </c>
      <c r="C84" s="100">
        <v>23.7</v>
      </c>
      <c r="D84" s="100">
        <v>15.52</v>
      </c>
      <c r="E84" s="100">
        <v>11.7</v>
      </c>
      <c r="F84" s="152" t="s">
        <v>15</v>
      </c>
      <c r="G84" s="100">
        <v>127.36</v>
      </c>
      <c r="H84" s="100">
        <v>40.25</v>
      </c>
      <c r="I84" s="100">
        <v>11.89</v>
      </c>
      <c r="J84" s="100">
        <v>0.16</v>
      </c>
      <c r="K84" s="100">
        <v>168.1</v>
      </c>
      <c r="L84" s="100">
        <v>20.02</v>
      </c>
      <c r="M84" s="100">
        <v>64.64</v>
      </c>
      <c r="N84" s="100">
        <v>1.5</v>
      </c>
      <c r="O84" s="100">
        <v>0</v>
      </c>
      <c r="P84" s="100">
        <v>0.73</v>
      </c>
      <c r="Q84" s="100">
        <v>12.65</v>
      </c>
      <c r="R84" s="6"/>
      <c r="S84" s="6"/>
      <c r="T84" s="156"/>
      <c r="U84" s="6"/>
    </row>
    <row r="85" spans="1:21" customFormat="1">
      <c r="A85" s="163" t="s">
        <v>795</v>
      </c>
      <c r="B85" s="100">
        <v>2.06</v>
      </c>
      <c r="C85" s="100">
        <v>23.82</v>
      </c>
      <c r="D85" s="100">
        <v>15.45</v>
      </c>
      <c r="E85" s="100">
        <v>11.73</v>
      </c>
      <c r="F85" s="152" t="s">
        <v>15</v>
      </c>
      <c r="G85" s="100">
        <v>130.1</v>
      </c>
      <c r="H85" s="100">
        <v>43.11</v>
      </c>
      <c r="I85" s="100">
        <v>11.95</v>
      </c>
      <c r="J85" s="100">
        <v>0.21</v>
      </c>
      <c r="K85" s="100">
        <v>181.68</v>
      </c>
      <c r="L85" s="100">
        <v>19.66</v>
      </c>
      <c r="M85" s="100">
        <v>72.28</v>
      </c>
      <c r="N85" s="100">
        <v>1.6</v>
      </c>
      <c r="O85" s="100">
        <v>0</v>
      </c>
      <c r="P85" s="100">
        <v>0.72</v>
      </c>
      <c r="Q85" s="100">
        <v>12.65</v>
      </c>
      <c r="R85" s="6"/>
      <c r="S85" s="6"/>
      <c r="T85" s="156"/>
      <c r="U85" s="6"/>
    </row>
    <row r="86" spans="1:21" customFormat="1">
      <c r="A86" s="163" t="s">
        <v>796</v>
      </c>
      <c r="B86" s="100">
        <v>2</v>
      </c>
      <c r="C86" s="100">
        <v>23.68</v>
      </c>
      <c r="D86" s="100">
        <v>15.33</v>
      </c>
      <c r="E86" s="100">
        <v>11.89</v>
      </c>
      <c r="F86" s="152" t="s">
        <v>15</v>
      </c>
      <c r="G86" s="100">
        <v>132.1</v>
      </c>
      <c r="H86" s="100">
        <v>44.83</v>
      </c>
      <c r="I86" s="100">
        <v>11.91</v>
      </c>
      <c r="J86" s="100">
        <v>0.22</v>
      </c>
      <c r="K86" s="100">
        <v>172.13</v>
      </c>
      <c r="L86" s="100">
        <v>19.2</v>
      </c>
      <c r="M86" s="100">
        <v>72.88</v>
      </c>
      <c r="N86" s="100">
        <v>1.5</v>
      </c>
      <c r="O86" s="100">
        <v>0</v>
      </c>
      <c r="P86" s="100">
        <v>0.74</v>
      </c>
      <c r="Q86" s="100">
        <v>12.65</v>
      </c>
      <c r="R86" s="6"/>
      <c r="S86" s="6"/>
      <c r="T86" s="156"/>
      <c r="U86" s="6"/>
    </row>
    <row r="87" spans="1:21" customFormat="1">
      <c r="A87" s="163" t="s">
        <v>797</v>
      </c>
      <c r="B87" s="100">
        <v>2</v>
      </c>
      <c r="C87" s="100">
        <v>23.61</v>
      </c>
      <c r="D87" s="100">
        <v>15.29</v>
      </c>
      <c r="E87" s="100">
        <v>11.37</v>
      </c>
      <c r="F87" s="152" t="s">
        <v>15</v>
      </c>
      <c r="G87" s="100">
        <v>132.1</v>
      </c>
      <c r="H87" s="100">
        <v>44.83</v>
      </c>
      <c r="I87" s="100">
        <v>11.86</v>
      </c>
      <c r="J87" s="100">
        <v>0.12</v>
      </c>
      <c r="K87" s="100">
        <v>199.93</v>
      </c>
      <c r="L87" s="100">
        <v>18.739999999999998</v>
      </c>
      <c r="M87" s="100">
        <v>72.28</v>
      </c>
      <c r="N87" s="100">
        <v>1.7</v>
      </c>
      <c r="O87" s="100">
        <v>0</v>
      </c>
      <c r="P87" s="100">
        <v>0.73</v>
      </c>
      <c r="Q87" s="100">
        <v>12.65</v>
      </c>
      <c r="R87" s="6"/>
      <c r="S87" s="6"/>
      <c r="T87" s="156"/>
      <c r="U87" s="6"/>
    </row>
    <row r="88" spans="1:21" customFormat="1">
      <c r="A88" s="163" t="s">
        <v>798</v>
      </c>
      <c r="B88" s="100">
        <v>1.97</v>
      </c>
      <c r="C88" s="100">
        <v>23.46</v>
      </c>
      <c r="D88" s="100">
        <v>15.19</v>
      </c>
      <c r="E88" s="100">
        <v>11.67</v>
      </c>
      <c r="F88" s="152" t="s">
        <v>15</v>
      </c>
      <c r="G88" s="100">
        <v>132.1</v>
      </c>
      <c r="H88" s="100">
        <v>44.83</v>
      </c>
      <c r="I88" s="100">
        <v>11.89</v>
      </c>
      <c r="J88" s="100">
        <v>0.14000000000000001</v>
      </c>
      <c r="K88" s="100">
        <v>207.96</v>
      </c>
      <c r="L88" s="100">
        <v>18.45</v>
      </c>
      <c r="M88" s="100">
        <v>73.42</v>
      </c>
      <c r="N88" s="100">
        <v>1.4</v>
      </c>
      <c r="O88" s="100">
        <v>0</v>
      </c>
      <c r="P88" s="100">
        <v>0.73</v>
      </c>
      <c r="Q88" s="100">
        <v>12.65</v>
      </c>
      <c r="R88" s="6"/>
      <c r="S88" s="6"/>
      <c r="T88" s="156"/>
      <c r="U88" s="6"/>
    </row>
    <row r="89" spans="1:21" customFormat="1">
      <c r="A89" s="163" t="s">
        <v>799</v>
      </c>
      <c r="B89" s="100">
        <v>2.02</v>
      </c>
      <c r="C89" s="100">
        <v>23.26</v>
      </c>
      <c r="D89" s="100">
        <v>15.12</v>
      </c>
      <c r="E89" s="100">
        <v>11.02</v>
      </c>
      <c r="F89" s="152" t="s">
        <v>15</v>
      </c>
      <c r="G89" s="100">
        <v>132.86000000000001</v>
      </c>
      <c r="H89" s="100">
        <v>43.76</v>
      </c>
      <c r="I89" s="100">
        <v>11.93</v>
      </c>
      <c r="J89" s="100">
        <v>0.15</v>
      </c>
      <c r="K89" s="100">
        <v>176.16</v>
      </c>
      <c r="L89" s="100">
        <v>18.239999999999998</v>
      </c>
      <c r="M89" s="100">
        <v>77.88</v>
      </c>
      <c r="N89" s="100">
        <v>1.4</v>
      </c>
      <c r="O89" s="100">
        <v>0</v>
      </c>
      <c r="P89" s="100">
        <v>0.74</v>
      </c>
      <c r="Q89" s="100">
        <v>12.65</v>
      </c>
      <c r="R89" s="6"/>
      <c r="S89" s="6"/>
      <c r="T89" s="156"/>
      <c r="U89" s="6"/>
    </row>
    <row r="90" spans="1:21" customFormat="1">
      <c r="A90" s="163" t="s">
        <v>800</v>
      </c>
      <c r="B90" s="100">
        <v>2.08</v>
      </c>
      <c r="C90" s="100">
        <v>22.99</v>
      </c>
      <c r="D90" s="100">
        <v>15.03</v>
      </c>
      <c r="E90" s="100">
        <v>10.84</v>
      </c>
      <c r="F90" s="152" t="s">
        <v>15</v>
      </c>
      <c r="G90" s="100">
        <v>133.44</v>
      </c>
      <c r="H90" s="100">
        <v>43.44</v>
      </c>
      <c r="I90" s="100">
        <v>12.01</v>
      </c>
      <c r="J90" s="100">
        <v>0.13</v>
      </c>
      <c r="K90" s="100">
        <v>180.59</v>
      </c>
      <c r="L90" s="100">
        <v>18.05</v>
      </c>
      <c r="M90" s="100">
        <v>76.64</v>
      </c>
      <c r="N90" s="100">
        <v>1.3</v>
      </c>
      <c r="O90" s="100">
        <v>0</v>
      </c>
      <c r="P90" s="100">
        <v>0.75</v>
      </c>
      <c r="Q90" s="100">
        <v>12.65</v>
      </c>
      <c r="R90" s="6"/>
      <c r="S90" s="6"/>
      <c r="T90" s="156"/>
      <c r="U90" s="6"/>
    </row>
    <row r="91" spans="1:21" customFormat="1">
      <c r="A91" s="163" t="s">
        <v>801</v>
      </c>
      <c r="B91" s="100">
        <v>2.11</v>
      </c>
      <c r="C91" s="100">
        <v>22.72</v>
      </c>
      <c r="D91" s="100">
        <v>14.91</v>
      </c>
      <c r="E91" s="100">
        <v>11.07</v>
      </c>
      <c r="F91" s="152" t="s">
        <v>15</v>
      </c>
      <c r="G91" s="100">
        <v>133.44</v>
      </c>
      <c r="H91" s="100">
        <v>43.44</v>
      </c>
      <c r="I91" s="100">
        <v>12.1</v>
      </c>
      <c r="J91" s="100">
        <v>0.19</v>
      </c>
      <c r="K91" s="100">
        <v>171.76</v>
      </c>
      <c r="L91" s="100">
        <v>18.07</v>
      </c>
      <c r="M91" s="100">
        <v>79.459999999999994</v>
      </c>
      <c r="N91" s="100">
        <v>1.3</v>
      </c>
      <c r="O91" s="100">
        <v>0</v>
      </c>
      <c r="P91" s="100">
        <v>0.76</v>
      </c>
      <c r="Q91" s="100">
        <v>12.65</v>
      </c>
      <c r="R91" s="6"/>
      <c r="S91" s="6"/>
      <c r="T91" s="156"/>
      <c r="U91" s="6"/>
    </row>
    <row r="92" spans="1:21" customFormat="1">
      <c r="A92" s="163" t="s">
        <v>802</v>
      </c>
      <c r="B92" s="100">
        <v>2.17</v>
      </c>
      <c r="C92" s="100">
        <v>22.37</v>
      </c>
      <c r="D92" s="100">
        <v>14.78</v>
      </c>
      <c r="E92" s="100">
        <v>11.47</v>
      </c>
      <c r="F92" s="152" t="s">
        <v>15</v>
      </c>
      <c r="G92" s="100">
        <v>133.44</v>
      </c>
      <c r="H92" s="100">
        <v>43.44</v>
      </c>
      <c r="I92" s="100">
        <v>12.2</v>
      </c>
      <c r="J92" s="100">
        <v>0.18</v>
      </c>
      <c r="K92" s="100">
        <v>173.79</v>
      </c>
      <c r="L92" s="100">
        <v>17.87</v>
      </c>
      <c r="M92" s="100">
        <v>80.23</v>
      </c>
      <c r="N92" s="100">
        <v>1.4</v>
      </c>
      <c r="O92" s="100">
        <v>0</v>
      </c>
      <c r="P92" s="100">
        <v>0.77</v>
      </c>
      <c r="Q92" s="100">
        <v>12.65</v>
      </c>
      <c r="R92" s="6"/>
      <c r="S92" s="6"/>
      <c r="T92" s="156"/>
      <c r="U92" s="6"/>
    </row>
    <row r="93" spans="1:21" customFormat="1">
      <c r="A93" s="163" t="s">
        <v>803</v>
      </c>
      <c r="B93" s="100">
        <v>2.23</v>
      </c>
      <c r="C93" s="100">
        <v>22.13</v>
      </c>
      <c r="D93" s="100">
        <v>14.71</v>
      </c>
      <c r="E93" s="100">
        <v>11.26</v>
      </c>
      <c r="F93" s="152" t="s">
        <v>15</v>
      </c>
      <c r="G93" s="100">
        <v>129.63</v>
      </c>
      <c r="H93" s="100">
        <v>44.06</v>
      </c>
      <c r="I93" s="100">
        <v>12.29</v>
      </c>
      <c r="J93" s="100">
        <v>0.2</v>
      </c>
      <c r="K93" s="100">
        <v>174.25</v>
      </c>
      <c r="L93" s="100">
        <v>17.79</v>
      </c>
      <c r="M93" s="100">
        <v>81.03</v>
      </c>
      <c r="N93" s="100">
        <v>1.3</v>
      </c>
      <c r="O93" s="100">
        <v>0</v>
      </c>
      <c r="P93" s="100">
        <v>0.77</v>
      </c>
      <c r="Q93" s="100">
        <v>12.65</v>
      </c>
      <c r="R93" s="6"/>
      <c r="S93" s="6"/>
      <c r="T93" s="156"/>
      <c r="U93" s="6"/>
    </row>
    <row r="94" spans="1:21" customFormat="1">
      <c r="A94" s="163" t="s">
        <v>804</v>
      </c>
      <c r="B94" s="100">
        <v>2.3199999999999998</v>
      </c>
      <c r="C94" s="100">
        <v>21.94</v>
      </c>
      <c r="D94" s="100">
        <v>14.67</v>
      </c>
      <c r="E94" s="100">
        <v>10.77</v>
      </c>
      <c r="F94" s="152" t="s">
        <v>15</v>
      </c>
      <c r="G94" s="100">
        <v>126.84</v>
      </c>
      <c r="H94" s="100">
        <v>44.24</v>
      </c>
      <c r="I94" s="100">
        <v>12.36</v>
      </c>
      <c r="J94" s="100">
        <v>0.18</v>
      </c>
      <c r="K94" s="100">
        <v>185.27</v>
      </c>
      <c r="L94" s="100">
        <v>17.399999999999999</v>
      </c>
      <c r="M94" s="100">
        <v>83.9</v>
      </c>
      <c r="N94" s="100">
        <v>1.4</v>
      </c>
      <c r="O94" s="100">
        <v>0</v>
      </c>
      <c r="P94" s="100">
        <v>0.77</v>
      </c>
      <c r="Q94" s="100">
        <v>12.65</v>
      </c>
      <c r="R94" s="6"/>
      <c r="S94" s="6"/>
      <c r="T94" s="156"/>
      <c r="U94" s="6"/>
    </row>
    <row r="95" spans="1:21" customFormat="1">
      <c r="A95" s="163" t="s">
        <v>805</v>
      </c>
      <c r="B95" s="100">
        <v>2.36</v>
      </c>
      <c r="C95" s="100">
        <v>21.6</v>
      </c>
      <c r="D95" s="100">
        <v>14.53</v>
      </c>
      <c r="E95" s="100">
        <v>10.55</v>
      </c>
      <c r="F95" s="152" t="s">
        <v>15</v>
      </c>
      <c r="G95" s="100">
        <v>126.84</v>
      </c>
      <c r="H95" s="100">
        <v>44.24</v>
      </c>
      <c r="I95" s="100">
        <v>12.47</v>
      </c>
      <c r="J95" s="100">
        <v>0.21</v>
      </c>
      <c r="K95" s="100">
        <v>170.23</v>
      </c>
      <c r="L95" s="100">
        <v>17.38</v>
      </c>
      <c r="M95" s="100">
        <v>82.44</v>
      </c>
      <c r="N95" s="100">
        <v>1.3</v>
      </c>
      <c r="O95" s="100">
        <v>0</v>
      </c>
      <c r="P95" s="100">
        <v>0.78</v>
      </c>
      <c r="Q95" s="100">
        <v>12.65</v>
      </c>
      <c r="R95" s="6"/>
      <c r="S95" s="6"/>
      <c r="T95" s="156"/>
      <c r="U95" s="6"/>
    </row>
    <row r="96" spans="1:21" customFormat="1">
      <c r="A96" s="163" t="s">
        <v>806</v>
      </c>
      <c r="B96" s="100">
        <v>2.42</v>
      </c>
      <c r="C96" s="100">
        <v>21.41</v>
      </c>
      <c r="D96" s="100">
        <v>14.48</v>
      </c>
      <c r="E96" s="100">
        <v>10.81</v>
      </c>
      <c r="F96" s="152" t="s">
        <v>15</v>
      </c>
      <c r="G96" s="100">
        <v>126.84</v>
      </c>
      <c r="H96" s="100">
        <v>44.24</v>
      </c>
      <c r="I96" s="100">
        <v>12.58</v>
      </c>
      <c r="J96" s="100">
        <v>0.25</v>
      </c>
      <c r="K96" s="100">
        <v>164.87</v>
      </c>
      <c r="L96" s="100">
        <v>17.3</v>
      </c>
      <c r="M96" s="100">
        <v>83.3</v>
      </c>
      <c r="N96" s="100">
        <v>1.3</v>
      </c>
      <c r="O96" s="100">
        <v>0</v>
      </c>
      <c r="P96" s="100">
        <v>0.79</v>
      </c>
      <c r="Q96" s="100">
        <v>12.65</v>
      </c>
      <c r="R96" s="6"/>
      <c r="S96" s="6"/>
      <c r="T96" s="156"/>
      <c r="U96" s="6"/>
    </row>
    <row r="97" spans="1:28" customFormat="1">
      <c r="A97" s="163" t="s">
        <v>807</v>
      </c>
      <c r="B97" s="100">
        <v>2.46</v>
      </c>
      <c r="C97" s="100">
        <v>21.22</v>
      </c>
      <c r="D97" s="100">
        <v>14.41</v>
      </c>
      <c r="E97" s="100">
        <v>10.45</v>
      </c>
      <c r="F97" s="152" t="s">
        <v>15</v>
      </c>
      <c r="G97" s="100">
        <v>118.96</v>
      </c>
      <c r="H97" s="100">
        <v>42.47</v>
      </c>
      <c r="I97" s="100">
        <v>12.67</v>
      </c>
      <c r="J97" s="100">
        <v>0.24</v>
      </c>
      <c r="K97" s="100">
        <v>159.65</v>
      </c>
      <c r="L97" s="100">
        <v>17.239999999999998</v>
      </c>
      <c r="M97" s="100">
        <v>81.73</v>
      </c>
      <c r="N97" s="100">
        <v>1.4</v>
      </c>
      <c r="O97" s="100">
        <v>0</v>
      </c>
      <c r="P97" s="100">
        <v>0.79</v>
      </c>
      <c r="Q97" s="100">
        <v>12.65</v>
      </c>
      <c r="R97" s="6"/>
      <c r="S97" s="6"/>
      <c r="T97" s="156"/>
      <c r="U97" s="6"/>
    </row>
    <row r="98" spans="1:28" customFormat="1">
      <c r="A98" s="163" t="s">
        <v>808</v>
      </c>
      <c r="B98" s="100">
        <v>2.4500000000000002</v>
      </c>
      <c r="C98" s="100">
        <v>21.02</v>
      </c>
      <c r="D98" s="100">
        <v>14.29</v>
      </c>
      <c r="E98" s="100">
        <v>10.55</v>
      </c>
      <c r="F98" s="152" t="s">
        <v>15</v>
      </c>
      <c r="G98" s="100">
        <v>113.2</v>
      </c>
      <c r="H98" s="100">
        <v>41.94</v>
      </c>
      <c r="I98" s="100">
        <v>12.77</v>
      </c>
      <c r="J98" s="100">
        <v>0.24</v>
      </c>
      <c r="K98" s="100">
        <v>166.24</v>
      </c>
      <c r="L98" s="100">
        <v>17.260000000000002</v>
      </c>
      <c r="M98" s="100">
        <v>81.09</v>
      </c>
      <c r="N98" s="100">
        <v>1.3</v>
      </c>
      <c r="O98" s="100">
        <v>0</v>
      </c>
      <c r="P98" s="100">
        <v>0.78</v>
      </c>
      <c r="Q98" s="100">
        <v>12.65</v>
      </c>
      <c r="R98" s="6"/>
      <c r="S98" s="6"/>
      <c r="T98" s="156"/>
      <c r="U98" s="6"/>
    </row>
    <row r="99" spans="1:28" customFormat="1">
      <c r="A99" s="163" t="s">
        <v>809</v>
      </c>
      <c r="B99" s="100">
        <v>2.44</v>
      </c>
      <c r="C99" s="100">
        <v>20.83</v>
      </c>
      <c r="D99" s="100">
        <v>14.19</v>
      </c>
      <c r="E99" s="100">
        <v>10.51</v>
      </c>
      <c r="F99" s="152" t="s">
        <v>15</v>
      </c>
      <c r="G99" s="100">
        <v>113.2</v>
      </c>
      <c r="H99" s="100">
        <v>41.94</v>
      </c>
      <c r="I99" s="100">
        <v>12.87</v>
      </c>
      <c r="J99" s="100">
        <v>0.17</v>
      </c>
      <c r="K99" s="100">
        <v>201.78</v>
      </c>
      <c r="L99" s="100">
        <v>17.11</v>
      </c>
      <c r="M99" s="100">
        <v>83.53</v>
      </c>
      <c r="N99" s="100">
        <v>1.3</v>
      </c>
      <c r="O99" s="100">
        <v>0</v>
      </c>
      <c r="P99" s="100">
        <v>0.78</v>
      </c>
      <c r="Q99" s="100">
        <v>12.65</v>
      </c>
      <c r="R99" s="6"/>
      <c r="S99" s="6"/>
      <c r="T99" s="156"/>
      <c r="U99" s="6"/>
    </row>
    <row r="100" spans="1:28" customFormat="1">
      <c r="A100" s="163" t="s">
        <v>810</v>
      </c>
      <c r="B100" s="100">
        <v>2.4300000000000002</v>
      </c>
      <c r="C100" s="100">
        <v>20.62</v>
      </c>
      <c r="D100" s="100">
        <v>14.07</v>
      </c>
      <c r="E100" s="100">
        <v>10.61</v>
      </c>
      <c r="F100" s="152" t="s">
        <v>15</v>
      </c>
      <c r="G100" s="100">
        <v>113.2</v>
      </c>
      <c r="H100" s="100">
        <v>41.94</v>
      </c>
      <c r="I100" s="100">
        <v>12.88</v>
      </c>
      <c r="J100" s="100">
        <v>0.25</v>
      </c>
      <c r="K100" s="100">
        <v>169.15</v>
      </c>
      <c r="L100" s="100">
        <v>16.93</v>
      </c>
      <c r="M100" s="100">
        <v>82.66</v>
      </c>
      <c r="N100" s="100">
        <v>1.5</v>
      </c>
      <c r="O100" s="100">
        <v>0</v>
      </c>
      <c r="P100" s="100">
        <v>0.78</v>
      </c>
      <c r="Q100" s="100">
        <v>12.65</v>
      </c>
      <c r="R100" s="6"/>
      <c r="S100" s="6"/>
      <c r="T100" s="156"/>
      <c r="U100" s="6"/>
      <c r="AB100" s="161"/>
    </row>
    <row r="101" spans="1:28" customFormat="1">
      <c r="A101" s="163" t="s">
        <v>811</v>
      </c>
      <c r="B101" s="100">
        <v>2.42</v>
      </c>
      <c r="C101" s="100">
        <v>20.46</v>
      </c>
      <c r="D101" s="100">
        <v>13.98</v>
      </c>
      <c r="E101" s="100">
        <v>10.7</v>
      </c>
      <c r="F101" s="152" t="s">
        <v>15</v>
      </c>
      <c r="G101" s="100">
        <v>106.95</v>
      </c>
      <c r="H101" s="100">
        <v>41.29</v>
      </c>
      <c r="I101" s="100">
        <v>12.81</v>
      </c>
      <c r="J101" s="100">
        <v>0.22</v>
      </c>
      <c r="K101" s="100">
        <v>163.28</v>
      </c>
      <c r="L101" s="100">
        <v>16.71</v>
      </c>
      <c r="M101" s="100">
        <v>84.43</v>
      </c>
      <c r="N101" s="100">
        <v>1.4</v>
      </c>
      <c r="O101" s="100">
        <v>0</v>
      </c>
      <c r="P101" s="100">
        <v>0.77</v>
      </c>
      <c r="Q101" s="100">
        <v>12.65</v>
      </c>
      <c r="R101" s="6"/>
      <c r="S101" s="6"/>
      <c r="T101" s="156"/>
      <c r="U101" s="6"/>
    </row>
    <row r="102" spans="1:28" customFormat="1">
      <c r="A102" s="163" t="s">
        <v>812</v>
      </c>
      <c r="B102" s="100">
        <v>2.4500000000000002</v>
      </c>
      <c r="C102" s="100">
        <v>20.29</v>
      </c>
      <c r="D102" s="100">
        <v>13.91</v>
      </c>
      <c r="E102" s="100">
        <v>10.32</v>
      </c>
      <c r="F102" s="152" t="s">
        <v>15</v>
      </c>
      <c r="G102" s="100">
        <v>102.38</v>
      </c>
      <c r="H102" s="100">
        <v>41.1</v>
      </c>
      <c r="I102" s="100">
        <v>12.73</v>
      </c>
      <c r="J102" s="100">
        <v>0.16</v>
      </c>
      <c r="K102" s="100">
        <v>182.95</v>
      </c>
      <c r="L102" s="100">
        <v>16.46</v>
      </c>
      <c r="M102" s="100">
        <v>85.06</v>
      </c>
      <c r="N102" s="100">
        <v>1.4</v>
      </c>
      <c r="O102" s="100">
        <v>0</v>
      </c>
      <c r="P102" s="100">
        <v>0.77</v>
      </c>
      <c r="Q102" s="100">
        <v>12.65</v>
      </c>
      <c r="R102" s="6"/>
      <c r="S102" s="6"/>
      <c r="T102" s="156"/>
      <c r="U102" s="6"/>
    </row>
    <row r="103" spans="1:28" customFormat="1">
      <c r="A103" s="163" t="s">
        <v>813</v>
      </c>
      <c r="B103" s="100">
        <v>2.5099999999999998</v>
      </c>
      <c r="C103" s="100">
        <v>20.420000000000002</v>
      </c>
      <c r="D103" s="100">
        <v>14.03</v>
      </c>
      <c r="E103" s="100">
        <v>9.7100000000000009</v>
      </c>
      <c r="F103" s="152" t="s">
        <v>15</v>
      </c>
      <c r="G103" s="100">
        <v>102.38</v>
      </c>
      <c r="H103" s="100">
        <v>41.1</v>
      </c>
      <c r="I103" s="100">
        <v>12.68</v>
      </c>
      <c r="J103" s="100">
        <v>0.17</v>
      </c>
      <c r="K103" s="100">
        <v>229.27</v>
      </c>
      <c r="L103" s="100">
        <v>16.23</v>
      </c>
      <c r="M103" s="100">
        <v>84.82</v>
      </c>
      <c r="N103" s="100">
        <v>1.5</v>
      </c>
      <c r="O103" s="100">
        <v>0</v>
      </c>
      <c r="P103" s="100">
        <v>0.77</v>
      </c>
      <c r="Q103" s="100">
        <v>12.65</v>
      </c>
      <c r="R103" s="6"/>
      <c r="S103" s="6"/>
      <c r="T103" s="156"/>
      <c r="U103" s="6"/>
    </row>
    <row r="104" spans="1:28" customFormat="1">
      <c r="A104" s="163" t="s">
        <v>814</v>
      </c>
      <c r="B104" s="100">
        <v>2.63</v>
      </c>
      <c r="C104" s="100">
        <v>20.49</v>
      </c>
      <c r="D104" s="100">
        <v>14.16</v>
      </c>
      <c r="E104" s="100">
        <v>10.26</v>
      </c>
      <c r="F104" s="152" t="s">
        <v>15</v>
      </c>
      <c r="G104" s="100">
        <v>102.38</v>
      </c>
      <c r="H104" s="100">
        <v>41.1</v>
      </c>
      <c r="I104" s="100">
        <v>12.69</v>
      </c>
      <c r="J104" s="100">
        <v>0.1</v>
      </c>
      <c r="K104" s="100">
        <v>158.11000000000001</v>
      </c>
      <c r="L104" s="100">
        <v>16.010000000000002</v>
      </c>
      <c r="M104" s="100">
        <v>86.53</v>
      </c>
      <c r="N104" s="100">
        <v>1.5</v>
      </c>
      <c r="O104" s="100">
        <v>0</v>
      </c>
      <c r="P104" s="100">
        <v>0.8</v>
      </c>
      <c r="Q104" s="100">
        <v>12.65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1.71</v>
      </c>
      <c r="C106" s="158">
        <f>MIN(C9:C104)</f>
        <v>17.75</v>
      </c>
      <c r="D106" s="158">
        <f t="shared" ref="D106:Q106" si="0">MIN(D9:D104)</f>
        <v>12.98</v>
      </c>
      <c r="E106" s="158">
        <f t="shared" si="0"/>
        <v>-47.97</v>
      </c>
      <c r="F106" s="158">
        <f t="shared" si="0"/>
        <v>0</v>
      </c>
      <c r="G106" s="158">
        <f t="shared" si="0"/>
        <v>91.97</v>
      </c>
      <c r="H106" s="158">
        <f t="shared" si="0"/>
        <v>21.82</v>
      </c>
      <c r="I106" s="158">
        <f t="shared" si="0"/>
        <v>11.65</v>
      </c>
      <c r="J106" s="158">
        <f t="shared" si="0"/>
        <v>-0.17</v>
      </c>
      <c r="K106" s="158">
        <f t="shared" si="0"/>
        <v>0.16</v>
      </c>
      <c r="L106" s="158">
        <f t="shared" si="0"/>
        <v>12.88</v>
      </c>
      <c r="M106" s="158">
        <f t="shared" si="0"/>
        <v>33.99</v>
      </c>
      <c r="N106" s="158">
        <f t="shared" si="0"/>
        <v>1</v>
      </c>
      <c r="O106" s="158">
        <f t="shared" si="0"/>
        <v>0</v>
      </c>
      <c r="P106" s="158">
        <f t="shared" si="0"/>
        <v>0.71</v>
      </c>
      <c r="Q106" s="158">
        <f t="shared" si="0"/>
        <v>12.65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22.87</v>
      </c>
      <c r="C107" s="157">
        <f t="shared" ref="C107:Q107" si="1">MAX(C9:C104)</f>
        <v>27.73</v>
      </c>
      <c r="D107" s="157">
        <f t="shared" si="1"/>
        <v>33</v>
      </c>
      <c r="E107" s="157">
        <f t="shared" si="1"/>
        <v>15.82</v>
      </c>
      <c r="F107" s="157">
        <f t="shared" si="1"/>
        <v>0</v>
      </c>
      <c r="G107" s="157">
        <f t="shared" si="1"/>
        <v>133.44</v>
      </c>
      <c r="H107" s="157">
        <f t="shared" si="1"/>
        <v>48.19</v>
      </c>
      <c r="I107" s="157">
        <f t="shared" si="1"/>
        <v>16.91</v>
      </c>
      <c r="J107" s="157">
        <f t="shared" si="1"/>
        <v>0.53</v>
      </c>
      <c r="K107" s="157">
        <f t="shared" si="1"/>
        <v>301.47000000000003</v>
      </c>
      <c r="L107" s="157">
        <f t="shared" si="1"/>
        <v>26.93</v>
      </c>
      <c r="M107" s="157">
        <f t="shared" si="1"/>
        <v>99.19</v>
      </c>
      <c r="N107" s="157">
        <f t="shared" si="1"/>
        <v>392.7</v>
      </c>
      <c r="O107" s="157">
        <f t="shared" si="1"/>
        <v>0</v>
      </c>
      <c r="P107" s="157">
        <f t="shared" si="1"/>
        <v>1.31</v>
      </c>
      <c r="Q107" s="157">
        <f t="shared" si="1"/>
        <v>13.06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9.853678160919543</v>
      </c>
      <c r="C108" s="158">
        <f t="shared" ref="C108:Q108" si="2">AVERAGE(C9:C104)</f>
        <v>23.454367816091963</v>
      </c>
      <c r="D108" s="158">
        <f t="shared" si="2"/>
        <v>21.507701149425287</v>
      </c>
      <c r="E108" s="158">
        <f t="shared" si="2"/>
        <v>0.33499999999999824</v>
      </c>
      <c r="F108" s="158" t="e">
        <f t="shared" si="2"/>
        <v>#DIV/0!</v>
      </c>
      <c r="G108" s="158">
        <f t="shared" si="2"/>
        <v>114.67295454545462</v>
      </c>
      <c r="H108" s="158">
        <f t="shared" si="2"/>
        <v>42.479431818181808</v>
      </c>
      <c r="I108" s="158">
        <f t="shared" si="2"/>
        <v>14.399883720930228</v>
      </c>
      <c r="J108" s="158">
        <f t="shared" si="2"/>
        <v>0.19561797752808993</v>
      </c>
      <c r="K108" s="158">
        <f t="shared" si="2"/>
        <v>180.65449438202248</v>
      </c>
      <c r="L108" s="158">
        <f t="shared" si="2"/>
        <v>18.796404494382028</v>
      </c>
      <c r="M108" s="158">
        <f t="shared" si="2"/>
        <v>72.542359550561798</v>
      </c>
      <c r="N108" s="158">
        <f t="shared" si="2"/>
        <v>57.568539325842671</v>
      </c>
      <c r="O108" s="158">
        <f t="shared" si="2"/>
        <v>0</v>
      </c>
      <c r="P108" s="158">
        <f t="shared" si="2"/>
        <v>1.0140909090909089</v>
      </c>
      <c r="Q108" s="158">
        <f t="shared" si="2"/>
        <v>12.85662790697674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8.3014619215382837</v>
      </c>
      <c r="C109" s="158">
        <f t="shared" ref="C109:Q109" si="3">STDEV(C9:C104)</f>
        <v>2.3333306373375802</v>
      </c>
      <c r="D109" s="158">
        <f t="shared" si="3"/>
        <v>7.5661613106923458</v>
      </c>
      <c r="E109" s="158">
        <f t="shared" si="3"/>
        <v>19.601209146376657</v>
      </c>
      <c r="F109" s="158" t="e">
        <f t="shared" si="3"/>
        <v>#DIV/0!</v>
      </c>
      <c r="G109" s="158">
        <f t="shared" si="3"/>
        <v>11.074151757463655</v>
      </c>
      <c r="H109" s="158">
        <f t="shared" si="3"/>
        <v>5.5762250564656464</v>
      </c>
      <c r="I109" s="158">
        <f t="shared" si="3"/>
        <v>2.1084343196879187</v>
      </c>
      <c r="J109" s="158">
        <f t="shared" si="3"/>
        <v>9.1191046412809063E-2</v>
      </c>
      <c r="K109" s="158">
        <f t="shared" si="3"/>
        <v>46.846048708199355</v>
      </c>
      <c r="L109" s="158">
        <f t="shared" si="3"/>
        <v>4.7405897809121269</v>
      </c>
      <c r="M109" s="158">
        <f t="shared" si="3"/>
        <v>21.338940451590556</v>
      </c>
      <c r="N109" s="158">
        <f t="shared" si="3"/>
        <v>105.41769904387887</v>
      </c>
      <c r="O109" s="158">
        <f t="shared" si="3"/>
        <v>0</v>
      </c>
      <c r="P109" s="158">
        <f t="shared" si="3"/>
        <v>0.24631834538403369</v>
      </c>
      <c r="Q109" s="158">
        <f t="shared" si="3"/>
        <v>0.18985821623217067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COUNT(B9:B104)+9</f>
        <v>96</v>
      </c>
      <c r="C110" s="157">
        <f t="shared" ref="C110:D110" si="4">COUNT(C9:C104)+9</f>
        <v>96</v>
      </c>
      <c r="D110" s="157">
        <f t="shared" si="4"/>
        <v>96</v>
      </c>
      <c r="E110" s="157">
        <f>COUNT(E9:E104)+8</f>
        <v>96</v>
      </c>
      <c r="F110" s="157">
        <f t="shared" ref="F110" si="5">COUNT(F9:F104)</f>
        <v>0</v>
      </c>
      <c r="G110" s="157">
        <f>COUNT(G9:G104)+8</f>
        <v>96</v>
      </c>
      <c r="H110" s="157">
        <f t="shared" ref="H110:P110" si="6">COUNT(H9:H104)+8</f>
        <v>96</v>
      </c>
      <c r="I110" s="157">
        <f>COUNT(I9:I104)+10</f>
        <v>96</v>
      </c>
      <c r="J110" s="157">
        <f>COUNT(J9:J104)+7</f>
        <v>96</v>
      </c>
      <c r="K110" s="157">
        <f t="shared" ref="K110:O110" si="7">COUNT(K9:K104)+7</f>
        <v>96</v>
      </c>
      <c r="L110" s="157">
        <f t="shared" si="7"/>
        <v>96</v>
      </c>
      <c r="M110" s="157">
        <f t="shared" si="7"/>
        <v>96</v>
      </c>
      <c r="N110" s="157">
        <f t="shared" si="7"/>
        <v>96</v>
      </c>
      <c r="O110" s="157">
        <f t="shared" si="7"/>
        <v>96</v>
      </c>
      <c r="P110" s="157">
        <f t="shared" si="6"/>
        <v>96</v>
      </c>
      <c r="Q110" s="157">
        <f>COUNT(Q9:Q104)+10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8">IF(C110&gt;=87,"&gt;90%",IF(C110&lt;=87,"&lt;90%"))</f>
        <v>&gt;90%</v>
      </c>
      <c r="D111" s="132" t="str">
        <f t="shared" si="8"/>
        <v>&gt;90%</v>
      </c>
      <c r="E111" s="132" t="str">
        <f t="shared" si="8"/>
        <v>&gt;90%</v>
      </c>
      <c r="F111" s="132" t="str">
        <f t="shared" si="8"/>
        <v>&lt;90%</v>
      </c>
      <c r="G111" s="132" t="str">
        <f t="shared" si="8"/>
        <v>&gt;90%</v>
      </c>
      <c r="H111" s="132" t="str">
        <f t="shared" si="8"/>
        <v>&gt;90%</v>
      </c>
      <c r="I111" s="132" t="str">
        <f t="shared" si="8"/>
        <v>&gt;90%</v>
      </c>
      <c r="J111" s="132" t="str">
        <f t="shared" si="8"/>
        <v>&gt;90%</v>
      </c>
      <c r="K111" s="132" t="str">
        <f t="shared" si="8"/>
        <v>&gt;90%</v>
      </c>
      <c r="L111" s="132" t="str">
        <f t="shared" si="8"/>
        <v>&gt;90%</v>
      </c>
      <c r="M111" s="132" t="str">
        <f t="shared" si="8"/>
        <v>&gt;90%</v>
      </c>
      <c r="N111" s="132" t="str">
        <f t="shared" si="8"/>
        <v>&gt;90%</v>
      </c>
      <c r="O111" s="132" t="str">
        <f t="shared" si="8"/>
        <v>&gt;90%</v>
      </c>
      <c r="P111" s="132" t="str">
        <f t="shared" si="8"/>
        <v>&gt;90%</v>
      </c>
      <c r="Q111" s="132" t="str">
        <f t="shared" si="8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9">IF(C110&gt;=87,"OK",IF(C110&lt;=87,"LESS"))</f>
        <v>OK</v>
      </c>
      <c r="D112" s="132" t="str">
        <f t="shared" si="9"/>
        <v>OK</v>
      </c>
      <c r="E112" s="132" t="str">
        <f t="shared" si="9"/>
        <v>OK</v>
      </c>
      <c r="F112" s="132" t="str">
        <f t="shared" si="9"/>
        <v>LESS</v>
      </c>
      <c r="G112" s="132" t="str">
        <f t="shared" si="9"/>
        <v>OK</v>
      </c>
      <c r="H112" s="132" t="str">
        <f t="shared" si="9"/>
        <v>OK</v>
      </c>
      <c r="I112" s="132" t="str">
        <f t="shared" si="9"/>
        <v>OK</v>
      </c>
      <c r="J112" s="132" t="str">
        <f t="shared" si="9"/>
        <v>OK</v>
      </c>
      <c r="K112" s="132" t="str">
        <f t="shared" si="9"/>
        <v>OK</v>
      </c>
      <c r="L112" s="132" t="str">
        <f t="shared" si="9"/>
        <v>OK</v>
      </c>
      <c r="M112" s="132" t="str">
        <f t="shared" si="9"/>
        <v>OK</v>
      </c>
      <c r="N112" s="132" t="str">
        <f t="shared" si="9"/>
        <v>OK</v>
      </c>
      <c r="O112" s="132" t="str">
        <f t="shared" si="9"/>
        <v>OK</v>
      </c>
      <c r="P112" s="132" t="str">
        <f t="shared" si="9"/>
        <v>OK</v>
      </c>
      <c r="Q112" s="132" t="str">
        <f t="shared" si="9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R99" sqref="R9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815</v>
      </c>
      <c r="B9" s="100">
        <v>4.8499999999999996</v>
      </c>
      <c r="C9" s="100">
        <v>20.76</v>
      </c>
      <c r="D9" s="100">
        <v>16.079999999999998</v>
      </c>
      <c r="E9" s="100">
        <v>10.29</v>
      </c>
      <c r="F9" s="152" t="s">
        <v>15</v>
      </c>
      <c r="G9" s="100">
        <v>93.92</v>
      </c>
      <c r="H9" s="100">
        <v>41.11</v>
      </c>
      <c r="I9" s="100">
        <v>12.69</v>
      </c>
      <c r="J9" s="100">
        <v>0.14000000000000001</v>
      </c>
      <c r="K9" s="100">
        <v>146.76</v>
      </c>
      <c r="L9" s="100">
        <v>16.010000000000002</v>
      </c>
      <c r="M9" s="100">
        <v>87.08</v>
      </c>
      <c r="N9" s="100">
        <v>1.4</v>
      </c>
      <c r="O9" s="100">
        <v>0</v>
      </c>
      <c r="P9" s="100">
        <v>0.81</v>
      </c>
      <c r="Q9" s="100">
        <v>11.24</v>
      </c>
      <c r="R9" s="6"/>
      <c r="S9" s="6"/>
      <c r="T9" s="156"/>
      <c r="U9" s="6"/>
    </row>
    <row r="10" spans="1:21" customFormat="1">
      <c r="A10" s="163" t="s">
        <v>816</v>
      </c>
      <c r="B10" s="100">
        <v>5.13</v>
      </c>
      <c r="C10" s="100">
        <v>20.43</v>
      </c>
      <c r="D10" s="100">
        <v>16.13</v>
      </c>
      <c r="E10" s="100">
        <v>10.37</v>
      </c>
      <c r="F10" s="152" t="s">
        <v>15</v>
      </c>
      <c r="G10" s="100">
        <v>87.45</v>
      </c>
      <c r="H10" s="100">
        <v>41.11</v>
      </c>
      <c r="I10" s="100">
        <v>12.68</v>
      </c>
      <c r="J10" s="100">
        <v>0.12</v>
      </c>
      <c r="K10" s="100">
        <v>152.52000000000001</v>
      </c>
      <c r="L10" s="100">
        <v>15.89</v>
      </c>
      <c r="M10" s="100">
        <v>87.72</v>
      </c>
      <c r="N10" s="100">
        <v>1.3</v>
      </c>
      <c r="O10" s="100">
        <v>0</v>
      </c>
      <c r="P10" s="100">
        <v>0.81</v>
      </c>
      <c r="Q10" s="100">
        <v>11.24</v>
      </c>
      <c r="R10" s="6"/>
      <c r="S10" s="6"/>
      <c r="T10" s="156"/>
      <c r="U10" s="6"/>
    </row>
    <row r="11" spans="1:21" customFormat="1">
      <c r="A11" s="163" t="s">
        <v>817</v>
      </c>
      <c r="B11" s="100">
        <v>5.22</v>
      </c>
      <c r="C11" s="100">
        <v>20.22</v>
      </c>
      <c r="D11" s="100">
        <v>16.100000000000001</v>
      </c>
      <c r="E11" s="100">
        <v>9.86</v>
      </c>
      <c r="F11" s="152" t="s">
        <v>15</v>
      </c>
      <c r="G11" s="100">
        <v>87.45</v>
      </c>
      <c r="H11" s="100">
        <v>41.11</v>
      </c>
      <c r="I11" s="100">
        <v>12.72</v>
      </c>
      <c r="J11" s="100">
        <v>0.13</v>
      </c>
      <c r="K11" s="100">
        <v>170.22</v>
      </c>
      <c r="L11" s="100">
        <v>15.95</v>
      </c>
      <c r="M11" s="100">
        <v>88.46</v>
      </c>
      <c r="N11" s="100">
        <v>1.3</v>
      </c>
      <c r="O11" s="100">
        <v>0</v>
      </c>
      <c r="P11" s="100">
        <v>0.82</v>
      </c>
      <c r="Q11" s="100">
        <v>11.24</v>
      </c>
      <c r="R11" s="6"/>
      <c r="S11" s="6"/>
      <c r="T11" s="156"/>
      <c r="U11" s="6"/>
    </row>
    <row r="12" spans="1:21" customFormat="1">
      <c r="A12" s="163" t="s">
        <v>818</v>
      </c>
      <c r="B12" s="100">
        <v>5.23</v>
      </c>
      <c r="C12" s="100">
        <v>20.07</v>
      </c>
      <c r="D12" s="100">
        <v>16.03</v>
      </c>
      <c r="E12" s="100">
        <v>9.9700000000000006</v>
      </c>
      <c r="F12" s="152" t="s">
        <v>15</v>
      </c>
      <c r="G12" s="100">
        <v>87.45</v>
      </c>
      <c r="H12" s="100">
        <v>41.11</v>
      </c>
      <c r="I12" s="100">
        <v>12.8</v>
      </c>
      <c r="J12" s="100">
        <v>0.11</v>
      </c>
      <c r="K12" s="100">
        <v>160.21</v>
      </c>
      <c r="L12" s="100">
        <v>15.68</v>
      </c>
      <c r="M12" s="100">
        <v>89.38</v>
      </c>
      <c r="N12" s="100">
        <v>1.3</v>
      </c>
      <c r="O12" s="100">
        <v>0</v>
      </c>
      <c r="P12" s="100">
        <v>0.82</v>
      </c>
      <c r="Q12" s="100">
        <v>11.24</v>
      </c>
      <c r="R12" s="6"/>
      <c r="S12" s="6"/>
      <c r="T12" s="156"/>
      <c r="U12" s="6"/>
    </row>
    <row r="13" spans="1:21" customFormat="1">
      <c r="A13" s="163" t="s">
        <v>819</v>
      </c>
      <c r="B13" s="100">
        <v>5.26</v>
      </c>
      <c r="C13" s="100">
        <v>19.940000000000001</v>
      </c>
      <c r="D13" s="100">
        <v>15.98</v>
      </c>
      <c r="E13" s="100">
        <v>10.130000000000001</v>
      </c>
      <c r="F13" s="152" t="s">
        <v>15</v>
      </c>
      <c r="G13" s="100">
        <v>85.42</v>
      </c>
      <c r="H13" s="100">
        <v>41.05</v>
      </c>
      <c r="I13" s="100">
        <v>12.91</v>
      </c>
      <c r="J13" s="100">
        <v>0.12</v>
      </c>
      <c r="K13" s="100">
        <v>192.79</v>
      </c>
      <c r="L13" s="100">
        <v>15.63</v>
      </c>
      <c r="M13" s="100">
        <v>89.62</v>
      </c>
      <c r="N13" s="100">
        <v>1.3</v>
      </c>
      <c r="O13" s="100">
        <v>0</v>
      </c>
      <c r="P13" s="100">
        <v>0.82</v>
      </c>
      <c r="Q13" s="100">
        <v>11.24</v>
      </c>
      <c r="R13" s="6"/>
      <c r="S13" s="6"/>
      <c r="T13" s="156"/>
      <c r="U13" s="6"/>
    </row>
    <row r="14" spans="1:21" customFormat="1">
      <c r="A14" s="163" t="s">
        <v>820</v>
      </c>
      <c r="B14" s="100">
        <v>5.31</v>
      </c>
      <c r="C14" s="100">
        <v>19.84</v>
      </c>
      <c r="D14" s="100">
        <v>15.97</v>
      </c>
      <c r="E14" s="100">
        <v>10.130000000000001</v>
      </c>
      <c r="F14" s="152" t="s">
        <v>15</v>
      </c>
      <c r="G14" s="100">
        <v>83.93</v>
      </c>
      <c r="H14" s="100">
        <v>40.98</v>
      </c>
      <c r="I14" s="100">
        <v>12.99</v>
      </c>
      <c r="J14" s="100">
        <v>0.11</v>
      </c>
      <c r="K14" s="100">
        <v>188.77</v>
      </c>
      <c r="L14" s="100">
        <v>15.46</v>
      </c>
      <c r="M14" s="100">
        <v>89.77</v>
      </c>
      <c r="N14" s="100">
        <v>1.3</v>
      </c>
      <c r="O14" s="100">
        <v>0</v>
      </c>
      <c r="P14" s="100">
        <v>0.82</v>
      </c>
      <c r="Q14" s="100">
        <v>11.24</v>
      </c>
      <c r="R14" s="6"/>
      <c r="S14" s="6"/>
      <c r="T14" s="156"/>
      <c r="U14" s="6"/>
    </row>
    <row r="15" spans="1:21" customFormat="1">
      <c r="A15" s="163" t="s">
        <v>821</v>
      </c>
      <c r="B15" s="100">
        <v>5.29</v>
      </c>
      <c r="C15" s="100">
        <v>19.73</v>
      </c>
      <c r="D15" s="100">
        <v>15.9</v>
      </c>
      <c r="E15" s="100">
        <v>10.32</v>
      </c>
      <c r="F15" s="152" t="s">
        <v>15</v>
      </c>
      <c r="G15" s="100">
        <v>83.93</v>
      </c>
      <c r="H15" s="100">
        <v>40.98</v>
      </c>
      <c r="I15" s="100">
        <v>13.03</v>
      </c>
      <c r="J15" s="100">
        <v>0.14000000000000001</v>
      </c>
      <c r="K15" s="100">
        <v>214.55</v>
      </c>
      <c r="L15" s="100">
        <v>15.41</v>
      </c>
      <c r="M15" s="100">
        <v>90.2</v>
      </c>
      <c r="N15" s="100">
        <v>1.4</v>
      </c>
      <c r="O15" s="100">
        <v>0</v>
      </c>
      <c r="P15" s="100">
        <v>0.83</v>
      </c>
      <c r="Q15" s="100">
        <v>11.24</v>
      </c>
      <c r="R15" s="6"/>
      <c r="S15" s="6"/>
      <c r="T15" s="156"/>
      <c r="U15" s="6"/>
    </row>
    <row r="16" spans="1:21" customFormat="1">
      <c r="A16" s="163" t="s">
        <v>822</v>
      </c>
      <c r="B16" s="100">
        <v>5.25</v>
      </c>
      <c r="C16" s="100">
        <v>19.690000000000001</v>
      </c>
      <c r="D16" s="100">
        <v>15.85</v>
      </c>
      <c r="E16" s="100">
        <v>10.199999999999999</v>
      </c>
      <c r="F16" s="152" t="s">
        <v>15</v>
      </c>
      <c r="G16" s="100">
        <v>83.93</v>
      </c>
      <c r="H16" s="100">
        <v>40.98</v>
      </c>
      <c r="I16" s="100">
        <v>13.02</v>
      </c>
      <c r="J16" s="100">
        <v>0.16</v>
      </c>
      <c r="K16" s="100">
        <v>207.94</v>
      </c>
      <c r="L16" s="100">
        <v>15.07</v>
      </c>
      <c r="M16" s="100">
        <v>91.61</v>
      </c>
      <c r="N16" s="100">
        <v>1.4</v>
      </c>
      <c r="O16" s="100">
        <v>0</v>
      </c>
      <c r="P16" s="100">
        <v>0.82</v>
      </c>
      <c r="Q16" s="100">
        <v>11.24</v>
      </c>
      <c r="R16" s="6"/>
      <c r="S16" s="6"/>
      <c r="T16" s="156"/>
      <c r="U16" s="6"/>
    </row>
    <row r="17" spans="1:21" customFormat="1">
      <c r="A17" s="163" t="s">
        <v>823</v>
      </c>
      <c r="B17" s="100">
        <v>5.25</v>
      </c>
      <c r="C17" s="100">
        <v>19.57</v>
      </c>
      <c r="D17" s="100">
        <v>15.79</v>
      </c>
      <c r="E17" s="100">
        <v>6.95</v>
      </c>
      <c r="F17" s="152" t="s">
        <v>15</v>
      </c>
      <c r="G17" s="100">
        <v>80.5</v>
      </c>
      <c r="H17" s="100">
        <v>39.57</v>
      </c>
      <c r="I17" s="100">
        <v>13.02</v>
      </c>
      <c r="J17" s="100">
        <v>0.14000000000000001</v>
      </c>
      <c r="K17" s="100">
        <v>202.3</v>
      </c>
      <c r="L17" s="100">
        <v>14.82</v>
      </c>
      <c r="M17" s="100">
        <v>93.03</v>
      </c>
      <c r="N17" s="100">
        <v>1.5</v>
      </c>
      <c r="O17" s="100">
        <v>0</v>
      </c>
      <c r="P17" s="100">
        <v>0.83</v>
      </c>
      <c r="Q17" s="100">
        <v>11.24</v>
      </c>
      <c r="R17" s="6"/>
      <c r="S17" s="6"/>
      <c r="T17" s="156"/>
      <c r="U17" s="6"/>
    </row>
    <row r="18" spans="1:21" customFormat="1">
      <c r="A18" s="163" t="s">
        <v>824</v>
      </c>
      <c r="B18" s="100">
        <v>5.31</v>
      </c>
      <c r="C18" s="100">
        <v>19.329999999999998</v>
      </c>
      <c r="D18" s="100">
        <v>15.71</v>
      </c>
      <c r="E18" s="100">
        <v>8.67</v>
      </c>
      <c r="F18" s="152" t="s">
        <v>15</v>
      </c>
      <c r="G18" s="100">
        <v>77.989999999999995</v>
      </c>
      <c r="H18" s="100">
        <v>39.119999999999997</v>
      </c>
      <c r="I18" s="100">
        <v>13.05</v>
      </c>
      <c r="J18" s="100">
        <v>0.08</v>
      </c>
      <c r="K18" s="100">
        <v>146.79</v>
      </c>
      <c r="L18" s="100">
        <v>14.61</v>
      </c>
      <c r="M18" s="100">
        <v>93.39</v>
      </c>
      <c r="N18" s="100">
        <v>1.3</v>
      </c>
      <c r="O18" s="100">
        <v>0</v>
      </c>
      <c r="P18" s="100">
        <v>0.83</v>
      </c>
      <c r="Q18" s="100">
        <v>11.24</v>
      </c>
      <c r="R18" s="6"/>
      <c r="S18" s="6"/>
      <c r="T18" s="156"/>
      <c r="U18" s="6"/>
    </row>
    <row r="19" spans="1:21" customFormat="1">
      <c r="A19" s="163" t="s">
        <v>825</v>
      </c>
      <c r="B19" s="100">
        <v>5.39</v>
      </c>
      <c r="C19" s="100">
        <v>19.02</v>
      </c>
      <c r="D19" s="100">
        <v>15.61</v>
      </c>
      <c r="E19" s="100">
        <v>8.68</v>
      </c>
      <c r="F19" s="152" t="s">
        <v>15</v>
      </c>
      <c r="G19" s="100">
        <v>77.989999999999995</v>
      </c>
      <c r="H19" s="100">
        <v>39.119999999999997</v>
      </c>
      <c r="I19" s="100">
        <v>13.09</v>
      </c>
      <c r="J19" s="100">
        <v>0.09</v>
      </c>
      <c r="K19" s="100">
        <v>243.86</v>
      </c>
      <c r="L19" s="100">
        <v>14.6</v>
      </c>
      <c r="M19" s="100">
        <v>92.57</v>
      </c>
      <c r="N19" s="100">
        <v>1.3</v>
      </c>
      <c r="O19" s="100">
        <v>0</v>
      </c>
      <c r="P19" s="100">
        <v>0.82</v>
      </c>
      <c r="Q19" s="100">
        <v>11.24</v>
      </c>
      <c r="R19" s="6"/>
      <c r="S19" s="6"/>
      <c r="T19" s="156"/>
      <c r="U19" s="6"/>
    </row>
    <row r="20" spans="1:21" customFormat="1">
      <c r="A20" s="163" t="s">
        <v>826</v>
      </c>
      <c r="B20" s="100">
        <v>5.35</v>
      </c>
      <c r="C20" s="100">
        <v>18.91</v>
      </c>
      <c r="D20" s="100">
        <v>15.52</v>
      </c>
      <c r="E20" s="100">
        <v>8.69</v>
      </c>
      <c r="F20" s="152" t="s">
        <v>15</v>
      </c>
      <c r="G20" s="100">
        <v>77.989999999999995</v>
      </c>
      <c r="H20" s="100">
        <v>39.119999999999997</v>
      </c>
      <c r="I20" s="100">
        <v>13.15</v>
      </c>
      <c r="J20" s="100">
        <v>0.06</v>
      </c>
      <c r="K20" s="100">
        <v>173.28</v>
      </c>
      <c r="L20" s="100">
        <v>14.67</v>
      </c>
      <c r="M20" s="100">
        <v>90.81</v>
      </c>
      <c r="N20" s="100">
        <v>1.2</v>
      </c>
      <c r="O20" s="100">
        <v>0</v>
      </c>
      <c r="P20" s="100">
        <v>0.83</v>
      </c>
      <c r="Q20" s="100">
        <v>11.24</v>
      </c>
      <c r="R20" s="6"/>
      <c r="S20" s="6"/>
      <c r="T20" s="156"/>
      <c r="U20" s="6"/>
    </row>
    <row r="21" spans="1:21" customFormat="1">
      <c r="A21" s="163" t="s">
        <v>827</v>
      </c>
      <c r="B21" s="100">
        <v>5.26</v>
      </c>
      <c r="C21" s="100">
        <v>18.79</v>
      </c>
      <c r="D21" s="100">
        <v>15.39</v>
      </c>
      <c r="E21" s="100">
        <v>8.27</v>
      </c>
      <c r="F21" s="152" t="s">
        <v>15</v>
      </c>
      <c r="G21" s="100">
        <v>74.8</v>
      </c>
      <c r="H21" s="100">
        <v>38.44</v>
      </c>
      <c r="I21" s="100">
        <v>13.21</v>
      </c>
      <c r="J21" s="100">
        <v>0.08</v>
      </c>
      <c r="K21" s="100">
        <v>176.8</v>
      </c>
      <c r="L21" s="100">
        <v>14.83</v>
      </c>
      <c r="M21" s="100">
        <v>90.1</v>
      </c>
      <c r="N21" s="100">
        <v>1.1000000000000001</v>
      </c>
      <c r="O21" s="100">
        <v>0</v>
      </c>
      <c r="P21" s="100">
        <v>0.83</v>
      </c>
      <c r="Q21" s="100">
        <v>11.24</v>
      </c>
      <c r="R21" s="6"/>
      <c r="S21" s="6"/>
      <c r="T21" s="156"/>
      <c r="U21" s="6"/>
    </row>
    <row r="22" spans="1:21" customFormat="1">
      <c r="A22" s="163" t="s">
        <v>828</v>
      </c>
      <c r="B22" s="100">
        <v>5.15</v>
      </c>
      <c r="C22" s="100">
        <v>18.88</v>
      </c>
      <c r="D22" s="100">
        <v>15.35</v>
      </c>
      <c r="E22" s="100">
        <v>8.25</v>
      </c>
      <c r="F22" s="152" t="s">
        <v>15</v>
      </c>
      <c r="G22" s="100">
        <v>72.48</v>
      </c>
      <c r="H22" s="100">
        <v>38.229999999999997</v>
      </c>
      <c r="I22" s="100">
        <v>13.18</v>
      </c>
      <c r="J22" s="100">
        <v>0.13</v>
      </c>
      <c r="K22" s="100">
        <v>187.66</v>
      </c>
      <c r="L22" s="100">
        <v>14.81</v>
      </c>
      <c r="M22" s="100">
        <v>92.33</v>
      </c>
      <c r="N22" s="100">
        <v>1.2</v>
      </c>
      <c r="O22" s="100">
        <v>0</v>
      </c>
      <c r="P22" s="100">
        <v>0.82</v>
      </c>
      <c r="Q22" s="100">
        <v>11.24</v>
      </c>
      <c r="R22" s="6"/>
      <c r="S22" s="6"/>
      <c r="T22" s="156"/>
      <c r="U22" s="6"/>
    </row>
    <row r="23" spans="1:21" customFormat="1">
      <c r="A23" s="163" t="s">
        <v>829</v>
      </c>
      <c r="B23" s="100">
        <v>5.08</v>
      </c>
      <c r="C23" s="100">
        <v>18.809999999999999</v>
      </c>
      <c r="D23" s="100">
        <v>15.25</v>
      </c>
      <c r="E23" s="100">
        <v>8.2899999999999991</v>
      </c>
      <c r="F23" s="152" t="s">
        <v>15</v>
      </c>
      <c r="G23" s="100">
        <v>72.48</v>
      </c>
      <c r="H23" s="100">
        <v>38.229999999999997</v>
      </c>
      <c r="I23" s="100">
        <v>13.14</v>
      </c>
      <c r="J23" s="100">
        <v>0.08</v>
      </c>
      <c r="K23" s="100">
        <v>211.87</v>
      </c>
      <c r="L23" s="100">
        <v>14.74</v>
      </c>
      <c r="M23" s="100">
        <v>91.99</v>
      </c>
      <c r="N23" s="100">
        <v>1.2</v>
      </c>
      <c r="O23" s="100">
        <v>0</v>
      </c>
      <c r="P23" s="100">
        <v>0.83</v>
      </c>
      <c r="Q23" s="100">
        <v>11.24</v>
      </c>
      <c r="R23" s="6"/>
      <c r="S23" s="6"/>
      <c r="T23" s="156"/>
      <c r="U23" s="6"/>
    </row>
    <row r="24" spans="1:21" customFormat="1">
      <c r="A24" s="163" t="s">
        <v>830</v>
      </c>
      <c r="B24" s="100">
        <v>5.04</v>
      </c>
      <c r="C24" s="100">
        <v>18.649999999999999</v>
      </c>
      <c r="D24" s="100">
        <v>15.14</v>
      </c>
      <c r="E24" s="100">
        <v>8.3800000000000008</v>
      </c>
      <c r="F24" s="152" t="s">
        <v>15</v>
      </c>
      <c r="G24" s="100">
        <v>72.48</v>
      </c>
      <c r="H24" s="100">
        <v>38.229999999999997</v>
      </c>
      <c r="I24" s="100">
        <v>13.11</v>
      </c>
      <c r="J24" s="100">
        <v>0.15</v>
      </c>
      <c r="K24" s="100">
        <v>207.09</v>
      </c>
      <c r="L24" s="100">
        <v>14.89</v>
      </c>
      <c r="M24" s="100">
        <v>91.37</v>
      </c>
      <c r="N24" s="100">
        <v>1.1000000000000001</v>
      </c>
      <c r="O24" s="100">
        <v>0</v>
      </c>
      <c r="P24" s="100">
        <v>0.82</v>
      </c>
      <c r="Q24" s="100">
        <v>11.24</v>
      </c>
      <c r="R24" s="6"/>
      <c r="S24" s="6"/>
      <c r="T24" s="156"/>
      <c r="U24" s="6"/>
    </row>
    <row r="25" spans="1:21" customFormat="1">
      <c r="A25" s="163" t="s">
        <v>831</v>
      </c>
      <c r="B25" s="100">
        <v>4.96</v>
      </c>
      <c r="C25" s="100">
        <v>18.63</v>
      </c>
      <c r="D25" s="100">
        <v>15.06</v>
      </c>
      <c r="E25" s="100">
        <v>7.95</v>
      </c>
      <c r="F25" s="152" t="s">
        <v>15</v>
      </c>
      <c r="G25" s="100">
        <v>74.430000000000007</v>
      </c>
      <c r="H25" s="100">
        <v>37.39</v>
      </c>
      <c r="I25" s="100">
        <v>13.11</v>
      </c>
      <c r="J25" s="100">
        <v>0.13</v>
      </c>
      <c r="K25" s="100">
        <v>242.1</v>
      </c>
      <c r="L25" s="100">
        <v>14.92</v>
      </c>
      <c r="M25" s="100">
        <v>90.04</v>
      </c>
      <c r="N25" s="100">
        <v>1.3</v>
      </c>
      <c r="O25" s="100">
        <v>0</v>
      </c>
      <c r="P25" s="100">
        <v>0.83</v>
      </c>
      <c r="Q25" s="100">
        <v>11.24</v>
      </c>
      <c r="R25" s="6"/>
      <c r="S25" s="6"/>
      <c r="T25" s="156"/>
      <c r="U25" s="6"/>
    </row>
    <row r="26" spans="1:21" customFormat="1">
      <c r="A26" s="163" t="s">
        <v>832</v>
      </c>
      <c r="B26" s="100">
        <v>4.91</v>
      </c>
      <c r="C26" s="100">
        <v>18.59</v>
      </c>
      <c r="D26" s="100">
        <v>15</v>
      </c>
      <c r="E26" s="100">
        <v>8.4499999999999993</v>
      </c>
      <c r="F26" s="152" t="s">
        <v>15</v>
      </c>
      <c r="G26" s="100">
        <v>75.87</v>
      </c>
      <c r="H26" s="100">
        <v>37.119999999999997</v>
      </c>
      <c r="I26" s="100">
        <v>13.08</v>
      </c>
      <c r="J26" s="100">
        <v>0.17</v>
      </c>
      <c r="K26" s="100">
        <v>200.75</v>
      </c>
      <c r="L26" s="100">
        <v>14.85</v>
      </c>
      <c r="M26" s="100">
        <v>90.26</v>
      </c>
      <c r="N26" s="100">
        <v>1.4</v>
      </c>
      <c r="O26" s="100">
        <v>0</v>
      </c>
      <c r="P26" s="100">
        <v>0.81</v>
      </c>
      <c r="Q26" s="100">
        <v>11.24</v>
      </c>
      <c r="R26" s="6"/>
      <c r="S26" s="6"/>
      <c r="T26" s="156"/>
      <c r="U26" s="6"/>
    </row>
    <row r="27" spans="1:21" customFormat="1">
      <c r="A27" s="163" t="s">
        <v>833</v>
      </c>
      <c r="B27" s="100">
        <v>4.75</v>
      </c>
      <c r="C27" s="100">
        <v>18.11</v>
      </c>
      <c r="D27" s="100">
        <v>14.62</v>
      </c>
      <c r="E27" s="100">
        <v>7.9</v>
      </c>
      <c r="F27" s="152" t="s">
        <v>15</v>
      </c>
      <c r="G27" s="100">
        <v>75.87</v>
      </c>
      <c r="H27" s="100">
        <v>37.119999999999997</v>
      </c>
      <c r="I27" s="100">
        <v>13.06</v>
      </c>
      <c r="J27" s="100">
        <v>0.13</v>
      </c>
      <c r="K27" s="100">
        <v>185.33</v>
      </c>
      <c r="L27" s="100">
        <v>14.84</v>
      </c>
      <c r="M27" s="100">
        <v>90.75</v>
      </c>
      <c r="N27" s="100">
        <v>1.3</v>
      </c>
      <c r="O27" s="100">
        <v>0</v>
      </c>
      <c r="P27" s="100">
        <v>0.78</v>
      </c>
      <c r="Q27" s="100">
        <v>11.24</v>
      </c>
      <c r="R27" s="6"/>
      <c r="S27" s="6"/>
      <c r="T27" s="156"/>
      <c r="U27" s="6"/>
    </row>
    <row r="28" spans="1:21" customFormat="1">
      <c r="A28" s="163" t="s">
        <v>834</v>
      </c>
      <c r="B28" s="100">
        <v>4.63</v>
      </c>
      <c r="C28" s="100">
        <v>18.02</v>
      </c>
      <c r="D28" s="100">
        <v>14.48</v>
      </c>
      <c r="E28" s="100">
        <v>7.86</v>
      </c>
      <c r="F28" s="152" t="s">
        <v>15</v>
      </c>
      <c r="G28" s="100">
        <v>75.87</v>
      </c>
      <c r="H28" s="100">
        <v>37.119999999999997</v>
      </c>
      <c r="I28" s="100">
        <v>12.99</v>
      </c>
      <c r="J28" s="100">
        <v>0.08</v>
      </c>
      <c r="K28" s="100">
        <v>172.76</v>
      </c>
      <c r="L28" s="100">
        <v>14.71</v>
      </c>
      <c r="M28" s="100">
        <v>91.12</v>
      </c>
      <c r="N28" s="100">
        <v>1.4</v>
      </c>
      <c r="O28" s="100">
        <v>0</v>
      </c>
      <c r="P28" s="100">
        <v>0.78</v>
      </c>
      <c r="Q28" s="100">
        <v>11.24</v>
      </c>
      <c r="R28" s="6"/>
      <c r="S28" s="6"/>
      <c r="T28" s="156"/>
      <c r="U28" s="6"/>
    </row>
    <row r="29" spans="1:21" customFormat="1">
      <c r="A29" s="163" t="s">
        <v>835</v>
      </c>
      <c r="B29" s="100">
        <v>4.5199999999999996</v>
      </c>
      <c r="C29" s="100">
        <v>17.97</v>
      </c>
      <c r="D29" s="100">
        <v>14.36</v>
      </c>
      <c r="E29" s="100">
        <v>7.74</v>
      </c>
      <c r="F29" s="152" t="s">
        <v>15</v>
      </c>
      <c r="G29" s="100">
        <v>74.33</v>
      </c>
      <c r="H29" s="100">
        <v>33.799999999999997</v>
      </c>
      <c r="I29" s="100">
        <v>13.01</v>
      </c>
      <c r="J29" s="100">
        <v>0.06</v>
      </c>
      <c r="K29" s="100">
        <v>193.21</v>
      </c>
      <c r="L29" s="100">
        <v>14.43</v>
      </c>
      <c r="M29" s="100">
        <v>92.82</v>
      </c>
      <c r="N29" s="100">
        <v>1.4</v>
      </c>
      <c r="O29" s="100">
        <v>0</v>
      </c>
      <c r="P29" s="100">
        <v>0.78</v>
      </c>
      <c r="Q29" s="100">
        <v>11.24</v>
      </c>
      <c r="R29" s="6"/>
      <c r="S29" s="6"/>
      <c r="T29" s="156"/>
      <c r="U29" s="6"/>
    </row>
    <row r="30" spans="1:21" customFormat="1">
      <c r="A30" s="163" t="s">
        <v>836</v>
      </c>
      <c r="B30" s="100">
        <v>4.5</v>
      </c>
      <c r="C30" s="100">
        <v>17.829999999999998</v>
      </c>
      <c r="D30" s="100">
        <v>14.27</v>
      </c>
      <c r="E30" s="100">
        <v>8.1199999999999992</v>
      </c>
      <c r="F30" s="152" t="s">
        <v>15</v>
      </c>
      <c r="G30" s="100">
        <v>73.209999999999994</v>
      </c>
      <c r="H30" s="100">
        <v>32.729999999999997</v>
      </c>
      <c r="I30" s="100">
        <v>13.07</v>
      </c>
      <c r="J30" s="100">
        <v>0.09</v>
      </c>
      <c r="K30" s="100">
        <v>197.7</v>
      </c>
      <c r="L30" s="100">
        <v>14.34</v>
      </c>
      <c r="M30" s="100">
        <v>93.82</v>
      </c>
      <c r="N30" s="100">
        <v>1.4</v>
      </c>
      <c r="O30" s="100">
        <v>0</v>
      </c>
      <c r="P30" s="100">
        <v>0.78</v>
      </c>
      <c r="Q30" s="100">
        <v>11.24</v>
      </c>
      <c r="R30" s="6"/>
      <c r="S30" s="6"/>
      <c r="T30" s="156"/>
      <c r="U30" s="6"/>
    </row>
    <row r="31" spans="1:21" customFormat="1">
      <c r="A31" s="163" t="s">
        <v>837</v>
      </c>
      <c r="B31" s="100">
        <v>4.49</v>
      </c>
      <c r="C31" s="100">
        <v>17.62</v>
      </c>
      <c r="D31" s="100">
        <v>14.16</v>
      </c>
      <c r="E31" s="100">
        <v>7.94</v>
      </c>
      <c r="F31" s="152" t="s">
        <v>15</v>
      </c>
      <c r="G31" s="100">
        <v>73.209999999999994</v>
      </c>
      <c r="H31" s="100">
        <v>32.729999999999997</v>
      </c>
      <c r="I31" s="100">
        <v>13.09</v>
      </c>
      <c r="J31" s="100">
        <v>0.09</v>
      </c>
      <c r="K31" s="100">
        <v>164.61</v>
      </c>
      <c r="L31" s="100">
        <v>14.19</v>
      </c>
      <c r="M31" s="100">
        <v>95.07</v>
      </c>
      <c r="N31" s="100">
        <v>1.4</v>
      </c>
      <c r="O31" s="100">
        <v>0</v>
      </c>
      <c r="P31" s="100">
        <v>0.79</v>
      </c>
      <c r="Q31" s="100">
        <v>11.24</v>
      </c>
      <c r="R31" s="6"/>
      <c r="S31" s="6"/>
      <c r="T31" s="156"/>
      <c r="U31" s="6"/>
    </row>
    <row r="32" spans="1:21" customFormat="1">
      <c r="A32" s="163" t="s">
        <v>838</v>
      </c>
      <c r="B32" s="100">
        <v>4.5199999999999996</v>
      </c>
      <c r="C32" s="100">
        <v>17.52</v>
      </c>
      <c r="D32" s="100">
        <v>14.13</v>
      </c>
      <c r="E32" s="100">
        <v>7.65</v>
      </c>
      <c r="F32" s="152" t="s">
        <v>15</v>
      </c>
      <c r="G32" s="100">
        <v>73.209999999999994</v>
      </c>
      <c r="H32" s="100">
        <v>32.729999999999997</v>
      </c>
      <c r="I32" s="100">
        <v>13.17</v>
      </c>
      <c r="J32" s="100">
        <v>0.08</v>
      </c>
      <c r="K32" s="100">
        <v>215.71</v>
      </c>
      <c r="L32" s="100">
        <v>14.07</v>
      </c>
      <c r="M32" s="100">
        <v>96.04</v>
      </c>
      <c r="N32" s="100">
        <v>1.3</v>
      </c>
      <c r="O32" s="100">
        <v>0</v>
      </c>
      <c r="P32" s="100">
        <v>0.79</v>
      </c>
      <c r="Q32" s="100">
        <v>11.24</v>
      </c>
      <c r="R32" s="6"/>
      <c r="S32" s="6"/>
      <c r="T32" s="156"/>
      <c r="U32" s="6"/>
    </row>
    <row r="33" spans="1:21" customFormat="1">
      <c r="A33" s="163" t="s">
        <v>839</v>
      </c>
      <c r="B33" s="100">
        <v>4.6100000000000003</v>
      </c>
      <c r="C33" s="100">
        <v>17.43</v>
      </c>
      <c r="D33" s="100">
        <v>14.16</v>
      </c>
      <c r="E33" s="100">
        <v>7.9</v>
      </c>
      <c r="F33" s="152" t="s">
        <v>15</v>
      </c>
      <c r="G33" s="100">
        <v>72.97</v>
      </c>
      <c r="H33" s="100">
        <v>35.450000000000003</v>
      </c>
      <c r="I33" s="100">
        <v>13.28</v>
      </c>
      <c r="J33" s="100">
        <v>0.17</v>
      </c>
      <c r="K33" s="100">
        <v>160.93</v>
      </c>
      <c r="L33" s="100">
        <v>14.02</v>
      </c>
      <c r="M33" s="100">
        <v>96.78</v>
      </c>
      <c r="N33" s="100">
        <v>1.4</v>
      </c>
      <c r="O33" s="100">
        <v>0</v>
      </c>
      <c r="P33" s="100">
        <v>0.8</v>
      </c>
      <c r="Q33" s="100">
        <v>11.24</v>
      </c>
      <c r="R33" s="6"/>
      <c r="S33" s="6"/>
      <c r="T33" s="156"/>
      <c r="U33" s="6"/>
    </row>
    <row r="34" spans="1:21" customFormat="1">
      <c r="A34" s="163" t="s">
        <v>840</v>
      </c>
      <c r="B34" s="100">
        <v>4.74</v>
      </c>
      <c r="C34" s="100">
        <v>17.3</v>
      </c>
      <c r="D34" s="100">
        <v>14.19</v>
      </c>
      <c r="E34" s="100">
        <v>8.0399999999999991</v>
      </c>
      <c r="F34" s="152" t="s">
        <v>15</v>
      </c>
      <c r="G34" s="100">
        <v>72.8</v>
      </c>
      <c r="H34" s="100">
        <v>36.270000000000003</v>
      </c>
      <c r="I34" s="100">
        <v>13.35</v>
      </c>
      <c r="J34" s="100">
        <v>0.18</v>
      </c>
      <c r="K34" s="100">
        <v>145.83000000000001</v>
      </c>
      <c r="L34" s="100">
        <v>13.98</v>
      </c>
      <c r="M34" s="100">
        <v>96.7</v>
      </c>
      <c r="N34" s="100">
        <v>2.5</v>
      </c>
      <c r="O34" s="100">
        <v>0</v>
      </c>
      <c r="P34" s="100">
        <v>0.81</v>
      </c>
      <c r="Q34" s="100">
        <v>11.24</v>
      </c>
      <c r="R34" s="6"/>
      <c r="S34" s="6"/>
      <c r="T34" s="156"/>
      <c r="U34" s="6"/>
    </row>
    <row r="35" spans="1:21" customFormat="1">
      <c r="A35" s="163" t="s">
        <v>841</v>
      </c>
      <c r="B35" s="100">
        <v>4.82</v>
      </c>
      <c r="C35" s="100">
        <v>17.28</v>
      </c>
      <c r="D35" s="100">
        <v>14.24</v>
      </c>
      <c r="E35" s="100">
        <v>8.1300000000000008</v>
      </c>
      <c r="F35" s="152" t="s">
        <v>15</v>
      </c>
      <c r="G35" s="100">
        <v>72.8</v>
      </c>
      <c r="H35" s="100">
        <v>36.270000000000003</v>
      </c>
      <c r="I35" s="100">
        <v>13.47</v>
      </c>
      <c r="J35" s="100">
        <v>0.12</v>
      </c>
      <c r="K35" s="100">
        <v>135.1</v>
      </c>
      <c r="L35" s="100">
        <v>14</v>
      </c>
      <c r="M35" s="100">
        <v>96.81</v>
      </c>
      <c r="N35" s="100">
        <v>6.2</v>
      </c>
      <c r="O35" s="100">
        <v>0</v>
      </c>
      <c r="P35" s="100">
        <v>0.82</v>
      </c>
      <c r="Q35" s="100">
        <v>11.24</v>
      </c>
      <c r="R35" s="6"/>
      <c r="S35" s="6"/>
      <c r="T35" s="156"/>
      <c r="U35" s="6"/>
    </row>
    <row r="36" spans="1:21" customFormat="1">
      <c r="A36" s="163" t="s">
        <v>842</v>
      </c>
      <c r="B36" s="100">
        <v>4.9000000000000004</v>
      </c>
      <c r="C36" s="100">
        <v>17.32</v>
      </c>
      <c r="D36" s="100">
        <v>14.32</v>
      </c>
      <c r="E36" s="100">
        <v>7.77</v>
      </c>
      <c r="F36" s="152" t="s">
        <v>15</v>
      </c>
      <c r="G36" s="100">
        <v>72.8</v>
      </c>
      <c r="H36" s="100">
        <v>36.270000000000003</v>
      </c>
      <c r="I36" s="100">
        <v>13.69</v>
      </c>
      <c r="J36" s="100">
        <v>0.1</v>
      </c>
      <c r="K36" s="100">
        <v>128.85</v>
      </c>
      <c r="L36" s="100">
        <v>14.1</v>
      </c>
      <c r="M36" s="100">
        <v>96.89</v>
      </c>
      <c r="N36" s="100">
        <v>12.6</v>
      </c>
      <c r="O36" s="100">
        <v>0</v>
      </c>
      <c r="P36" s="100">
        <v>0.83</v>
      </c>
      <c r="Q36" s="100">
        <v>11.24</v>
      </c>
      <c r="R36" s="6"/>
      <c r="S36" s="6"/>
      <c r="T36" s="156"/>
      <c r="U36" s="6"/>
    </row>
    <row r="37" spans="1:21" customFormat="1">
      <c r="A37" s="163" t="s">
        <v>843</v>
      </c>
      <c r="B37" s="100">
        <v>5.03</v>
      </c>
      <c r="C37" s="100">
        <v>17.39</v>
      </c>
      <c r="D37" s="100">
        <v>14.47</v>
      </c>
      <c r="E37" s="100">
        <v>7.82</v>
      </c>
      <c r="F37" s="152" t="s">
        <v>15</v>
      </c>
      <c r="G37" s="100">
        <v>70.930000000000007</v>
      </c>
      <c r="H37" s="100">
        <v>36.49</v>
      </c>
      <c r="I37" s="100">
        <v>13.91</v>
      </c>
      <c r="J37" s="100">
        <v>0.06</v>
      </c>
      <c r="K37" s="100">
        <v>181.63</v>
      </c>
      <c r="L37" s="100">
        <v>14.39</v>
      </c>
      <c r="M37" s="100">
        <v>96.71</v>
      </c>
      <c r="N37" s="100">
        <v>20.6</v>
      </c>
      <c r="O37" s="100">
        <v>0</v>
      </c>
      <c r="P37" s="100">
        <v>0.85</v>
      </c>
      <c r="Q37" s="100">
        <v>11.24</v>
      </c>
      <c r="R37" s="6"/>
      <c r="S37" s="6"/>
      <c r="T37" s="156"/>
      <c r="U37" s="6"/>
    </row>
    <row r="38" spans="1:21" customFormat="1">
      <c r="A38" s="163" t="s">
        <v>844</v>
      </c>
      <c r="B38" s="100">
        <v>5.38</v>
      </c>
      <c r="C38" s="100">
        <v>17.5</v>
      </c>
      <c r="D38" s="100">
        <v>14.81</v>
      </c>
      <c r="E38" s="100">
        <v>8.0500000000000007</v>
      </c>
      <c r="F38" s="152" t="s">
        <v>15</v>
      </c>
      <c r="G38" s="100">
        <v>69.56</v>
      </c>
      <c r="H38" s="100">
        <v>36.619999999999997</v>
      </c>
      <c r="I38" s="100">
        <v>14.12</v>
      </c>
      <c r="J38" s="100">
        <v>0.15</v>
      </c>
      <c r="K38" s="100">
        <v>22.07</v>
      </c>
      <c r="L38" s="100">
        <v>14.95</v>
      </c>
      <c r="M38" s="100">
        <v>94.66</v>
      </c>
      <c r="N38" s="100">
        <v>29.6</v>
      </c>
      <c r="O38" s="100">
        <v>0</v>
      </c>
      <c r="P38" s="100">
        <v>0.86</v>
      </c>
      <c r="Q38" s="100">
        <v>11.24</v>
      </c>
      <c r="R38" s="6"/>
      <c r="S38" s="6"/>
      <c r="T38" s="156"/>
      <c r="U38" s="6"/>
    </row>
    <row r="39" spans="1:21" customFormat="1">
      <c r="A39" s="163" t="s">
        <v>845</v>
      </c>
      <c r="B39" s="100">
        <v>6.61</v>
      </c>
      <c r="C39" s="100">
        <v>17.95</v>
      </c>
      <c r="D39" s="100">
        <v>16.03</v>
      </c>
      <c r="E39" s="100">
        <v>8.1300000000000008</v>
      </c>
      <c r="F39" s="152" t="s">
        <v>15</v>
      </c>
      <c r="G39" s="100">
        <v>69.56</v>
      </c>
      <c r="H39" s="100">
        <v>36.619999999999997</v>
      </c>
      <c r="I39" s="100">
        <v>14.41</v>
      </c>
      <c r="J39" s="100">
        <v>0.17</v>
      </c>
      <c r="K39" s="100">
        <v>62.64</v>
      </c>
      <c r="L39" s="100">
        <v>15.76</v>
      </c>
      <c r="M39" s="100">
        <v>89.6</v>
      </c>
      <c r="N39" s="100">
        <v>39.6</v>
      </c>
      <c r="O39" s="100">
        <v>0</v>
      </c>
      <c r="P39" s="100">
        <v>0.89</v>
      </c>
      <c r="Q39" s="100">
        <v>11.24</v>
      </c>
      <c r="R39" s="6"/>
      <c r="S39" s="6"/>
      <c r="T39" s="156"/>
      <c r="U39" s="6"/>
    </row>
    <row r="40" spans="1:21" customFormat="1">
      <c r="A40" s="163" t="s">
        <v>846</v>
      </c>
      <c r="B40" s="100">
        <v>8.27</v>
      </c>
      <c r="C40" s="100">
        <v>18.79</v>
      </c>
      <c r="D40" s="100">
        <v>17.8</v>
      </c>
      <c r="E40" s="100">
        <v>7.87</v>
      </c>
      <c r="F40" s="152" t="s">
        <v>15</v>
      </c>
      <c r="G40" s="100">
        <v>69.56</v>
      </c>
      <c r="H40" s="100">
        <v>36.619999999999997</v>
      </c>
      <c r="I40" s="100">
        <v>14.75</v>
      </c>
      <c r="J40" s="100">
        <v>0.19</v>
      </c>
      <c r="K40" s="100">
        <v>145.9</v>
      </c>
      <c r="L40" s="100">
        <v>16.739999999999998</v>
      </c>
      <c r="M40" s="100">
        <v>84.53</v>
      </c>
      <c r="N40" s="100">
        <v>55.3</v>
      </c>
      <c r="O40" s="100">
        <v>0</v>
      </c>
      <c r="P40" s="100">
        <v>0.93</v>
      </c>
      <c r="Q40" s="100">
        <v>11.24</v>
      </c>
      <c r="R40" s="6"/>
      <c r="S40" s="6"/>
      <c r="T40" s="156"/>
      <c r="U40" s="6"/>
    </row>
    <row r="41" spans="1:21" customFormat="1">
      <c r="A41" s="163" t="s">
        <v>847</v>
      </c>
      <c r="B41" s="100">
        <v>9.41</v>
      </c>
      <c r="C41" s="100">
        <v>20.100000000000001</v>
      </c>
      <c r="D41" s="100">
        <v>19.399999999999999</v>
      </c>
      <c r="E41" s="100">
        <v>8.2899999999999991</v>
      </c>
      <c r="F41" s="152" t="s">
        <v>15</v>
      </c>
      <c r="G41" s="100">
        <v>82.72</v>
      </c>
      <c r="H41" s="100">
        <v>43.5</v>
      </c>
      <c r="I41" s="100">
        <v>15.2</v>
      </c>
      <c r="J41" s="100">
        <v>0.33</v>
      </c>
      <c r="K41" s="100">
        <v>37.57</v>
      </c>
      <c r="L41" s="100">
        <v>17.649999999999999</v>
      </c>
      <c r="M41" s="100">
        <v>78.069999999999993</v>
      </c>
      <c r="N41" s="100">
        <v>121.6</v>
      </c>
      <c r="O41" s="100">
        <v>0</v>
      </c>
      <c r="P41" s="100">
        <v>0.99</v>
      </c>
      <c r="Q41" s="100">
        <v>11.24</v>
      </c>
      <c r="R41" s="6"/>
      <c r="S41" s="6"/>
      <c r="T41" s="156"/>
      <c r="U41" s="6"/>
    </row>
    <row r="42" spans="1:21" customFormat="1">
      <c r="A42" s="163" t="s">
        <v>848</v>
      </c>
      <c r="B42" s="100">
        <v>10.17</v>
      </c>
      <c r="C42" s="100">
        <v>21.67</v>
      </c>
      <c r="D42" s="100">
        <v>20.82</v>
      </c>
      <c r="E42" s="100">
        <v>8.07</v>
      </c>
      <c r="F42" s="152" t="s">
        <v>15</v>
      </c>
      <c r="G42" s="100">
        <v>92.77</v>
      </c>
      <c r="H42" s="100">
        <v>45.57</v>
      </c>
      <c r="I42" s="100">
        <v>15.93</v>
      </c>
      <c r="J42" s="100">
        <v>0.63</v>
      </c>
      <c r="K42" s="100">
        <v>45.17</v>
      </c>
      <c r="L42" s="100">
        <v>18.3</v>
      </c>
      <c r="M42" s="100">
        <v>75.59</v>
      </c>
      <c r="N42" s="100">
        <v>146.30000000000001</v>
      </c>
      <c r="O42" s="100">
        <v>0</v>
      </c>
      <c r="P42" s="100">
        <v>1.03</v>
      </c>
      <c r="Q42" s="100">
        <v>11.24</v>
      </c>
      <c r="R42" s="6"/>
      <c r="S42" s="6"/>
      <c r="T42" s="156"/>
      <c r="U42" s="6"/>
    </row>
    <row r="43" spans="1:21" customFormat="1">
      <c r="A43" s="163" t="s">
        <v>849</v>
      </c>
      <c r="B43" s="100">
        <v>10.44</v>
      </c>
      <c r="C43" s="100">
        <v>23.07</v>
      </c>
      <c r="D43" s="100">
        <v>21.78</v>
      </c>
      <c r="E43" s="100">
        <v>8.02</v>
      </c>
      <c r="F43" s="152" t="s">
        <v>15</v>
      </c>
      <c r="G43" s="100">
        <v>92.77</v>
      </c>
      <c r="H43" s="100">
        <v>45.57</v>
      </c>
      <c r="I43" s="100">
        <v>16.739999999999998</v>
      </c>
      <c r="J43" s="100">
        <v>0.85</v>
      </c>
      <c r="K43" s="100">
        <v>48.57</v>
      </c>
      <c r="L43" s="100">
        <v>18.829999999999998</v>
      </c>
      <c r="M43" s="100">
        <v>74.239999999999995</v>
      </c>
      <c r="N43" s="100">
        <v>142.6</v>
      </c>
      <c r="O43" s="100">
        <v>0</v>
      </c>
      <c r="P43" s="100">
        <v>1.07</v>
      </c>
      <c r="Q43" s="100">
        <v>11.24</v>
      </c>
      <c r="R43" s="6"/>
      <c r="S43" s="6"/>
      <c r="T43" s="156"/>
      <c r="U43" s="6"/>
    </row>
    <row r="44" spans="1:21" customFormat="1">
      <c r="A44" s="163" t="s">
        <v>850</v>
      </c>
      <c r="B44" s="100">
        <v>10.48</v>
      </c>
      <c r="C44" s="100">
        <v>24.43</v>
      </c>
      <c r="D44" s="100">
        <v>22.52</v>
      </c>
      <c r="E44" s="100">
        <v>8.48</v>
      </c>
      <c r="F44" s="152" t="s">
        <v>15</v>
      </c>
      <c r="G44" s="100">
        <v>92.77</v>
      </c>
      <c r="H44" s="100">
        <v>45.57</v>
      </c>
      <c r="I44" s="100">
        <v>17.3</v>
      </c>
      <c r="J44" s="100">
        <v>0.77</v>
      </c>
      <c r="K44" s="100">
        <v>48.12</v>
      </c>
      <c r="L44" s="100">
        <v>19.600000000000001</v>
      </c>
      <c r="M44" s="100">
        <v>72.39</v>
      </c>
      <c r="N44" s="100">
        <v>195.9</v>
      </c>
      <c r="O44" s="100">
        <v>0</v>
      </c>
      <c r="P44" s="100">
        <v>1.08</v>
      </c>
      <c r="Q44" s="100">
        <v>11.24</v>
      </c>
      <c r="R44" s="6"/>
      <c r="S44" s="6"/>
      <c r="T44" s="156"/>
      <c r="U44" s="6"/>
    </row>
    <row r="45" spans="1:21" customFormat="1">
      <c r="A45" s="163" t="s">
        <v>851</v>
      </c>
      <c r="B45" s="100">
        <v>10.16</v>
      </c>
      <c r="C45" s="100">
        <v>25.7</v>
      </c>
      <c r="D45" s="100">
        <v>22.92</v>
      </c>
      <c r="E45" s="100">
        <v>8.51</v>
      </c>
      <c r="F45" s="152" t="s">
        <v>15</v>
      </c>
      <c r="G45" s="100">
        <v>160.33000000000001</v>
      </c>
      <c r="H45" s="100">
        <v>54.22</v>
      </c>
      <c r="I45" s="100">
        <v>17.53</v>
      </c>
      <c r="J45" s="100">
        <v>0.71</v>
      </c>
      <c r="K45" s="100">
        <v>34.61</v>
      </c>
      <c r="L45" s="100">
        <v>20.41</v>
      </c>
      <c r="M45" s="100">
        <v>69.52</v>
      </c>
      <c r="N45" s="100">
        <v>141.4</v>
      </c>
      <c r="O45" s="100">
        <v>0</v>
      </c>
      <c r="P45" s="100">
        <v>1.1000000000000001</v>
      </c>
      <c r="Q45" s="100">
        <v>11.24</v>
      </c>
      <c r="R45" s="6"/>
      <c r="S45" s="6"/>
      <c r="T45" s="156"/>
      <c r="U45" s="6"/>
    </row>
    <row r="46" spans="1:21" customFormat="1">
      <c r="A46" s="163" t="s">
        <v>852</v>
      </c>
      <c r="B46" s="100">
        <v>9.64</v>
      </c>
      <c r="C46" s="100">
        <v>26.63</v>
      </c>
      <c r="D46" s="100">
        <v>23</v>
      </c>
      <c r="E46" s="100">
        <v>9.34</v>
      </c>
      <c r="F46" s="152" t="s">
        <v>15</v>
      </c>
      <c r="G46" s="100">
        <v>209.69</v>
      </c>
      <c r="H46" s="100">
        <v>56.82</v>
      </c>
      <c r="I46" s="100">
        <v>17.5</v>
      </c>
      <c r="J46" s="100">
        <v>0.66</v>
      </c>
      <c r="K46" s="100">
        <v>41.78</v>
      </c>
      <c r="L46" s="100">
        <v>21.21</v>
      </c>
      <c r="M46" s="100">
        <v>66.510000000000005</v>
      </c>
      <c r="N46" s="100">
        <v>125.4</v>
      </c>
      <c r="O46" s="100">
        <v>0</v>
      </c>
      <c r="P46" s="100">
        <v>1.1000000000000001</v>
      </c>
      <c r="Q46" s="100">
        <v>11.24</v>
      </c>
      <c r="R46" s="6"/>
      <c r="S46" s="6"/>
      <c r="T46" s="156"/>
      <c r="U46" s="6"/>
    </row>
    <row r="47" spans="1:21" customFormat="1">
      <c r="A47" s="163" t="s">
        <v>853</v>
      </c>
      <c r="B47" s="100">
        <v>9.3000000000000007</v>
      </c>
      <c r="C47" s="100">
        <v>27.41</v>
      </c>
      <c r="D47" s="100">
        <v>23.13</v>
      </c>
      <c r="E47" s="100">
        <v>10.07</v>
      </c>
      <c r="F47" s="152" t="s">
        <v>15</v>
      </c>
      <c r="G47" s="100">
        <v>209.69</v>
      </c>
      <c r="H47" s="100">
        <v>56.82</v>
      </c>
      <c r="I47" s="100">
        <v>17.36</v>
      </c>
      <c r="J47" s="100">
        <v>0.51</v>
      </c>
      <c r="K47" s="100">
        <v>16.46</v>
      </c>
      <c r="L47" s="100">
        <v>21.84</v>
      </c>
      <c r="M47" s="100">
        <v>63.99</v>
      </c>
      <c r="N47" s="100">
        <v>137.1</v>
      </c>
      <c r="O47" s="100">
        <v>0</v>
      </c>
      <c r="P47" s="100">
        <v>1.1399999999999999</v>
      </c>
      <c r="Q47" s="100">
        <v>11.24</v>
      </c>
      <c r="R47" s="6"/>
      <c r="S47" s="6"/>
      <c r="T47" s="156"/>
      <c r="U47" s="6"/>
    </row>
    <row r="48" spans="1:21" customFormat="1">
      <c r="A48" s="163" t="s">
        <v>854</v>
      </c>
      <c r="B48" s="100">
        <v>9.06</v>
      </c>
      <c r="C48" s="100">
        <v>27.52</v>
      </c>
      <c r="D48" s="100">
        <v>22.99</v>
      </c>
      <c r="E48" s="100">
        <v>9.7100000000000009</v>
      </c>
      <c r="F48" s="152" t="s">
        <v>15</v>
      </c>
      <c r="G48" s="100">
        <v>209.69</v>
      </c>
      <c r="H48" s="100">
        <v>56.82</v>
      </c>
      <c r="I48" s="100">
        <v>17.21</v>
      </c>
      <c r="J48" s="100">
        <v>0.55000000000000004</v>
      </c>
      <c r="K48" s="100">
        <v>357.9</v>
      </c>
      <c r="L48" s="100">
        <v>22.48</v>
      </c>
      <c r="M48" s="100">
        <v>60.62</v>
      </c>
      <c r="N48" s="100">
        <v>242.1</v>
      </c>
      <c r="O48" s="100">
        <v>0</v>
      </c>
      <c r="P48" s="100">
        <v>1.1499999999999999</v>
      </c>
      <c r="Q48" s="100">
        <v>11.24</v>
      </c>
      <c r="R48" s="6"/>
      <c r="S48" s="6"/>
      <c r="T48" s="156"/>
      <c r="U48" s="6"/>
    </row>
    <row r="49" spans="1:21" customFormat="1">
      <c r="A49" s="163" t="s">
        <v>855</v>
      </c>
      <c r="B49" s="100">
        <v>8.65</v>
      </c>
      <c r="C49" s="100">
        <v>27.42</v>
      </c>
      <c r="D49" s="100">
        <v>22.61</v>
      </c>
      <c r="E49" s="100">
        <v>9.49</v>
      </c>
      <c r="F49" s="152" t="s">
        <v>15</v>
      </c>
      <c r="G49" s="100">
        <v>173.32</v>
      </c>
      <c r="H49" s="100">
        <v>54.17</v>
      </c>
      <c r="I49" s="100">
        <v>17.079999999999998</v>
      </c>
      <c r="J49" s="100">
        <v>0.46</v>
      </c>
      <c r="K49" s="100">
        <v>11.55</v>
      </c>
      <c r="L49" s="100">
        <v>22.98</v>
      </c>
      <c r="M49" s="100">
        <v>59.37</v>
      </c>
      <c r="N49" s="100">
        <v>325.3</v>
      </c>
      <c r="O49" s="100">
        <v>0</v>
      </c>
      <c r="P49" s="100">
        <v>1.1499999999999999</v>
      </c>
      <c r="Q49" s="100">
        <v>11.24</v>
      </c>
      <c r="R49" s="6"/>
      <c r="S49" s="6"/>
      <c r="T49" s="156"/>
      <c r="U49" s="6"/>
    </row>
    <row r="50" spans="1:21" customFormat="1">
      <c r="A50" s="163" t="s">
        <v>856</v>
      </c>
      <c r="B50" s="100">
        <v>8.2200000000000006</v>
      </c>
      <c r="C50" s="100">
        <v>27.29</v>
      </c>
      <c r="D50" s="100">
        <v>22.2</v>
      </c>
      <c r="E50" s="100">
        <v>10.43</v>
      </c>
      <c r="F50" s="152" t="s">
        <v>15</v>
      </c>
      <c r="G50" s="100">
        <v>146.74</v>
      </c>
      <c r="H50" s="100">
        <v>53.37</v>
      </c>
      <c r="I50" s="100">
        <v>16.93</v>
      </c>
      <c r="J50" s="100">
        <v>0.74</v>
      </c>
      <c r="K50" s="100">
        <v>51.97</v>
      </c>
      <c r="L50" s="100">
        <v>23.7</v>
      </c>
      <c r="M50" s="100">
        <v>55.84</v>
      </c>
      <c r="N50" s="100">
        <v>340.8</v>
      </c>
      <c r="O50" s="100">
        <v>0</v>
      </c>
      <c r="P50" s="100">
        <v>1.1499999999999999</v>
      </c>
      <c r="Q50" s="100">
        <v>11.24</v>
      </c>
      <c r="R50" s="6"/>
      <c r="S50" s="6"/>
      <c r="T50" s="156"/>
      <c r="U50" s="6"/>
    </row>
    <row r="51" spans="1:21" customFormat="1">
      <c r="A51" s="163" t="s">
        <v>857</v>
      </c>
      <c r="B51" s="100">
        <v>7.79</v>
      </c>
      <c r="C51" s="100">
        <v>27.35</v>
      </c>
      <c r="D51" s="100">
        <v>21.89</v>
      </c>
      <c r="E51" s="100">
        <v>10.81</v>
      </c>
      <c r="F51" s="152" t="s">
        <v>15</v>
      </c>
      <c r="G51" s="100">
        <v>146.74</v>
      </c>
      <c r="H51" s="100">
        <v>53.37</v>
      </c>
      <c r="I51" s="100">
        <v>16.79</v>
      </c>
      <c r="J51" s="100">
        <v>0.68</v>
      </c>
      <c r="K51" s="100">
        <v>18.84</v>
      </c>
      <c r="L51" s="100">
        <v>24.55</v>
      </c>
      <c r="M51" s="100">
        <v>51.71</v>
      </c>
      <c r="N51" s="100">
        <v>355.9</v>
      </c>
      <c r="O51" s="100">
        <v>0</v>
      </c>
      <c r="P51" s="100">
        <v>1.1399999999999999</v>
      </c>
      <c r="Q51" s="100">
        <v>11.24</v>
      </c>
      <c r="R51" s="6"/>
      <c r="S51" s="6"/>
      <c r="T51" s="156"/>
      <c r="U51" s="6"/>
    </row>
    <row r="52" spans="1:21" customFormat="1">
      <c r="A52" s="163" t="s">
        <v>858</v>
      </c>
      <c r="B52" s="100">
        <v>7.38</v>
      </c>
      <c r="C52" s="100">
        <v>27.34</v>
      </c>
      <c r="D52" s="100">
        <v>21.55</v>
      </c>
      <c r="E52" s="100">
        <v>11.81</v>
      </c>
      <c r="F52" s="152" t="s">
        <v>15</v>
      </c>
      <c r="G52" s="100">
        <v>146.74</v>
      </c>
      <c r="H52" s="100">
        <v>53.37</v>
      </c>
      <c r="I52" s="100">
        <v>16.64</v>
      </c>
      <c r="J52" s="100">
        <v>0.92</v>
      </c>
      <c r="K52" s="100">
        <v>40.36</v>
      </c>
      <c r="L52" s="100">
        <v>24.85</v>
      </c>
      <c r="M52" s="100">
        <v>49.03</v>
      </c>
      <c r="N52" s="100">
        <v>361.5</v>
      </c>
      <c r="O52" s="100">
        <v>0</v>
      </c>
      <c r="P52" s="100">
        <v>1.1299999999999999</v>
      </c>
      <c r="Q52" s="100">
        <v>11.24</v>
      </c>
      <c r="R52" s="6"/>
      <c r="S52" s="6"/>
      <c r="T52" s="156"/>
      <c r="U52" s="6"/>
    </row>
    <row r="53" spans="1:21" customFormat="1">
      <c r="A53" s="163" t="s">
        <v>859</v>
      </c>
      <c r="B53" s="100">
        <v>6.9</v>
      </c>
      <c r="C53" s="100">
        <v>27.18</v>
      </c>
      <c r="D53" s="100">
        <v>21.08</v>
      </c>
      <c r="E53" s="100">
        <v>12.55</v>
      </c>
      <c r="F53" s="152" t="s">
        <v>15</v>
      </c>
      <c r="G53" s="100">
        <v>134.93</v>
      </c>
      <c r="H53" s="100">
        <v>53.63</v>
      </c>
      <c r="I53" s="100">
        <v>16.47</v>
      </c>
      <c r="J53" s="100">
        <v>0.83</v>
      </c>
      <c r="K53" s="100">
        <v>35.950000000000003</v>
      </c>
      <c r="L53" s="100">
        <v>25.26</v>
      </c>
      <c r="M53" s="100">
        <v>47.65</v>
      </c>
      <c r="N53" s="100">
        <v>330.8</v>
      </c>
      <c r="O53" s="100">
        <v>0</v>
      </c>
      <c r="P53" s="100">
        <v>1.1200000000000001</v>
      </c>
      <c r="Q53" s="100">
        <v>11.24</v>
      </c>
      <c r="R53" s="6"/>
      <c r="S53" s="6"/>
      <c r="T53" s="156"/>
      <c r="U53" s="6"/>
    </row>
    <row r="54" spans="1:21" customFormat="1">
      <c r="A54" s="163" t="s">
        <v>860</v>
      </c>
      <c r="B54" s="100">
        <v>6.42</v>
      </c>
      <c r="C54" s="100">
        <v>27.02</v>
      </c>
      <c r="D54" s="100">
        <v>20.61</v>
      </c>
      <c r="E54" s="100">
        <v>12.14</v>
      </c>
      <c r="F54" s="152" t="s">
        <v>15</v>
      </c>
      <c r="G54" s="100">
        <v>126.3</v>
      </c>
      <c r="H54" s="100">
        <v>53.71</v>
      </c>
      <c r="I54" s="100">
        <v>16.29</v>
      </c>
      <c r="J54" s="100">
        <v>0.59</v>
      </c>
      <c r="K54" s="100">
        <v>35.130000000000003</v>
      </c>
      <c r="L54" s="100">
        <v>25.68</v>
      </c>
      <c r="M54" s="100">
        <v>46.99</v>
      </c>
      <c r="N54" s="100">
        <v>368.6</v>
      </c>
      <c r="O54" s="100">
        <v>0</v>
      </c>
      <c r="P54" s="100">
        <v>1.1100000000000001</v>
      </c>
      <c r="Q54" s="100">
        <v>11.24</v>
      </c>
      <c r="R54" s="6"/>
      <c r="S54" s="6"/>
      <c r="T54" s="156"/>
      <c r="U54" s="6"/>
    </row>
    <row r="55" spans="1:21" customFormat="1">
      <c r="A55" s="163" t="s">
        <v>861</v>
      </c>
      <c r="B55" s="100">
        <v>5.99</v>
      </c>
      <c r="C55" s="100">
        <v>26.92</v>
      </c>
      <c r="D55" s="100">
        <v>20.22</v>
      </c>
      <c r="E55" s="100">
        <v>12.34</v>
      </c>
      <c r="F55" s="152" t="s">
        <v>15</v>
      </c>
      <c r="G55" s="100">
        <v>126.3</v>
      </c>
      <c r="H55" s="100">
        <v>53.71</v>
      </c>
      <c r="I55" s="100">
        <v>16.059999999999999</v>
      </c>
      <c r="J55" s="100">
        <v>0.38</v>
      </c>
      <c r="K55" s="100">
        <v>340.73</v>
      </c>
      <c r="L55" s="100">
        <v>26.23</v>
      </c>
      <c r="M55" s="100">
        <v>46.02</v>
      </c>
      <c r="N55" s="100">
        <v>368.7</v>
      </c>
      <c r="O55" s="100">
        <v>0</v>
      </c>
      <c r="P55" s="100">
        <v>1.1000000000000001</v>
      </c>
      <c r="Q55" s="100">
        <v>11.24</v>
      </c>
      <c r="R55" s="6"/>
      <c r="S55" s="6"/>
      <c r="T55" s="156"/>
      <c r="U55" s="6"/>
    </row>
    <row r="56" spans="1:21" customFormat="1">
      <c r="A56" s="163" t="s">
        <v>862</v>
      </c>
      <c r="B56" s="100">
        <v>5.63</v>
      </c>
      <c r="C56" s="100">
        <v>26.7</v>
      </c>
      <c r="D56" s="100">
        <v>19.809999999999999</v>
      </c>
      <c r="E56" s="100">
        <v>12.02</v>
      </c>
      <c r="F56" s="152" t="s">
        <v>15</v>
      </c>
      <c r="G56" s="100">
        <v>126.3</v>
      </c>
      <c r="H56" s="100">
        <v>53.71</v>
      </c>
      <c r="I56" s="100">
        <v>15.86</v>
      </c>
      <c r="J56" s="100">
        <v>0.49</v>
      </c>
      <c r="K56" s="100">
        <v>351.29</v>
      </c>
      <c r="L56" s="100">
        <v>26.62</v>
      </c>
      <c r="M56" s="100">
        <v>42.96</v>
      </c>
      <c r="N56" s="100">
        <v>382.7</v>
      </c>
      <c r="O56" s="100">
        <v>0</v>
      </c>
      <c r="P56" s="100">
        <v>1.08</v>
      </c>
      <c r="Q56" s="100">
        <v>11.24</v>
      </c>
      <c r="R56" s="6"/>
      <c r="S56" s="6"/>
      <c r="T56" s="156"/>
      <c r="U56" s="6"/>
    </row>
    <row r="57" spans="1:21" customFormat="1">
      <c r="A57" s="163" t="s">
        <v>863</v>
      </c>
      <c r="B57" s="100">
        <v>5.35</v>
      </c>
      <c r="C57" s="100">
        <v>26.37</v>
      </c>
      <c r="D57" s="100">
        <v>19.420000000000002</v>
      </c>
      <c r="E57" s="100">
        <v>13.62</v>
      </c>
      <c r="F57" s="152" t="s">
        <v>15</v>
      </c>
      <c r="G57" s="100">
        <v>117.07</v>
      </c>
      <c r="H57" s="100">
        <v>49.85</v>
      </c>
      <c r="I57" s="100">
        <v>15.69</v>
      </c>
      <c r="J57" s="100">
        <v>1.17</v>
      </c>
      <c r="K57" s="100">
        <v>327.04000000000002</v>
      </c>
      <c r="L57" s="100">
        <v>26.73</v>
      </c>
      <c r="M57" s="100">
        <v>41.21</v>
      </c>
      <c r="N57" s="100">
        <v>390.4</v>
      </c>
      <c r="O57" s="100">
        <v>0</v>
      </c>
      <c r="P57" s="100">
        <v>1.06</v>
      </c>
      <c r="Q57" s="100">
        <v>11.24</v>
      </c>
      <c r="R57" s="6"/>
      <c r="S57" s="6"/>
      <c r="T57" s="156"/>
      <c r="U57" s="6"/>
    </row>
    <row r="58" spans="1:21" customFormat="1">
      <c r="A58" s="163" t="s">
        <v>864</v>
      </c>
      <c r="B58" s="100">
        <v>5.08</v>
      </c>
      <c r="C58" s="100">
        <v>25.81</v>
      </c>
      <c r="D58" s="100">
        <v>18.91</v>
      </c>
      <c r="E58" s="100">
        <v>12.55</v>
      </c>
      <c r="F58" s="152" t="s">
        <v>15</v>
      </c>
      <c r="G58" s="100">
        <v>110.33</v>
      </c>
      <c r="H58" s="100">
        <v>48.7</v>
      </c>
      <c r="I58" s="100">
        <v>15.42</v>
      </c>
      <c r="J58" s="100">
        <v>0.91</v>
      </c>
      <c r="K58" s="100">
        <v>356.87</v>
      </c>
      <c r="L58" s="100">
        <v>26.75</v>
      </c>
      <c r="M58" s="100">
        <v>40.5</v>
      </c>
      <c r="N58" s="100">
        <v>306</v>
      </c>
      <c r="O58" s="100">
        <v>0</v>
      </c>
      <c r="P58" s="100">
        <v>1.03</v>
      </c>
      <c r="Q58" s="100">
        <v>11.24</v>
      </c>
      <c r="R58" s="6"/>
      <c r="S58" s="6"/>
      <c r="T58" s="156"/>
      <c r="U58" s="6"/>
    </row>
    <row r="59" spans="1:21" customFormat="1">
      <c r="A59" s="163" t="s">
        <v>865</v>
      </c>
      <c r="B59" s="100">
        <v>4.8</v>
      </c>
      <c r="C59" s="100">
        <v>25.23</v>
      </c>
      <c r="D59" s="100">
        <v>18.38</v>
      </c>
      <c r="E59" s="100">
        <v>12.05</v>
      </c>
      <c r="F59" s="152" t="s">
        <v>15</v>
      </c>
      <c r="G59" s="100">
        <v>110.33</v>
      </c>
      <c r="H59" s="100">
        <v>48.7</v>
      </c>
      <c r="I59" s="100">
        <v>15.1</v>
      </c>
      <c r="J59" s="100">
        <v>0.69</v>
      </c>
      <c r="K59" s="100">
        <v>6.33</v>
      </c>
      <c r="L59" s="100">
        <v>27.1</v>
      </c>
      <c r="M59" s="100">
        <v>40.18</v>
      </c>
      <c r="N59" s="100">
        <v>296.10000000000002</v>
      </c>
      <c r="O59" s="100">
        <v>0</v>
      </c>
      <c r="P59" s="100">
        <v>0.99</v>
      </c>
      <c r="Q59" s="100">
        <v>11.24</v>
      </c>
      <c r="R59" s="6"/>
      <c r="S59" s="6"/>
      <c r="T59" s="156"/>
      <c r="U59" s="6"/>
    </row>
    <row r="60" spans="1:21" customFormat="1">
      <c r="A60" s="163" t="s">
        <v>866</v>
      </c>
      <c r="B60" s="100">
        <v>4.57</v>
      </c>
      <c r="C60" s="100">
        <v>24.78</v>
      </c>
      <c r="D60" s="100">
        <v>17.97</v>
      </c>
      <c r="E60" s="100">
        <v>11.48</v>
      </c>
      <c r="F60" s="152" t="s">
        <v>15</v>
      </c>
      <c r="G60" s="100">
        <v>110.33</v>
      </c>
      <c r="H60" s="100">
        <v>48.7</v>
      </c>
      <c r="I60" s="100">
        <v>14.78</v>
      </c>
      <c r="J60" s="100">
        <v>0.7</v>
      </c>
      <c r="K60" s="100">
        <v>358.76</v>
      </c>
      <c r="L60" s="100">
        <v>26.99</v>
      </c>
      <c r="M60" s="100">
        <v>40.4</v>
      </c>
      <c r="N60" s="100">
        <v>359.3</v>
      </c>
      <c r="O60" s="100">
        <v>0</v>
      </c>
      <c r="P60" s="100">
        <v>0.98</v>
      </c>
      <c r="Q60" s="100">
        <v>11.24</v>
      </c>
      <c r="R60" s="6"/>
      <c r="S60" s="6"/>
      <c r="T60" s="156"/>
      <c r="U60" s="6"/>
    </row>
    <row r="61" spans="1:21" customFormat="1">
      <c r="A61" s="163" t="s">
        <v>867</v>
      </c>
      <c r="B61" s="100">
        <v>4.41</v>
      </c>
      <c r="C61" s="100">
        <v>24.32</v>
      </c>
      <c r="D61" s="100">
        <v>17.59</v>
      </c>
      <c r="E61" s="100">
        <v>11.43</v>
      </c>
      <c r="F61" s="152" t="s">
        <v>15</v>
      </c>
      <c r="G61" s="100">
        <v>96.1</v>
      </c>
      <c r="H61" s="100">
        <v>44.53</v>
      </c>
      <c r="I61" s="100">
        <v>14.44</v>
      </c>
      <c r="J61" s="100">
        <v>0.59</v>
      </c>
      <c r="K61" s="100">
        <v>316.17</v>
      </c>
      <c r="L61" s="100">
        <v>27.39</v>
      </c>
      <c r="M61" s="100">
        <v>39.4</v>
      </c>
      <c r="N61" s="100">
        <v>333.7</v>
      </c>
      <c r="O61" s="100">
        <v>0</v>
      </c>
      <c r="P61" s="100">
        <v>0.95</v>
      </c>
      <c r="Q61" s="100">
        <v>11.24</v>
      </c>
      <c r="R61" s="6"/>
      <c r="S61" s="6"/>
      <c r="T61" s="156"/>
      <c r="U61" s="6"/>
    </row>
    <row r="62" spans="1:21" customFormat="1">
      <c r="A62" s="163" t="s">
        <v>868</v>
      </c>
      <c r="B62" s="100">
        <v>4.34</v>
      </c>
      <c r="C62" s="100">
        <v>23.78</v>
      </c>
      <c r="D62" s="100">
        <v>17.25</v>
      </c>
      <c r="E62" s="100">
        <v>11.33</v>
      </c>
      <c r="F62" s="152" t="s">
        <v>15</v>
      </c>
      <c r="G62" s="100">
        <v>85.7</v>
      </c>
      <c r="H62" s="100">
        <v>40.630000000000003</v>
      </c>
      <c r="I62" s="100">
        <v>14.16</v>
      </c>
      <c r="J62" s="100">
        <v>0.57999999999999996</v>
      </c>
      <c r="K62" s="100">
        <v>312.82</v>
      </c>
      <c r="L62" s="100">
        <v>27.35</v>
      </c>
      <c r="M62" s="100">
        <v>38.479999999999997</v>
      </c>
      <c r="N62" s="100">
        <v>328.6</v>
      </c>
      <c r="O62" s="100">
        <v>0</v>
      </c>
      <c r="P62" s="100">
        <v>0.92</v>
      </c>
      <c r="Q62" s="100">
        <v>11.24</v>
      </c>
      <c r="R62" s="6"/>
      <c r="S62" s="6"/>
      <c r="T62" s="156"/>
      <c r="U62" s="6"/>
    </row>
    <row r="63" spans="1:21" customFormat="1">
      <c r="A63" s="163" t="s">
        <v>869</v>
      </c>
      <c r="B63" s="100">
        <v>4.29</v>
      </c>
      <c r="C63" s="100">
        <v>23.35</v>
      </c>
      <c r="D63" s="100">
        <v>16.989999999999998</v>
      </c>
      <c r="E63" s="100">
        <v>11.05</v>
      </c>
      <c r="F63" s="152" t="s">
        <v>15</v>
      </c>
      <c r="G63" s="100">
        <v>85.7</v>
      </c>
      <c r="H63" s="100">
        <v>40.630000000000003</v>
      </c>
      <c r="I63" s="100">
        <v>13.9</v>
      </c>
      <c r="J63" s="100">
        <v>0.64</v>
      </c>
      <c r="K63" s="100">
        <v>341.63</v>
      </c>
      <c r="L63" s="100">
        <v>27.36</v>
      </c>
      <c r="M63" s="100">
        <v>37.14</v>
      </c>
      <c r="N63" s="100">
        <v>223.5</v>
      </c>
      <c r="O63" s="100">
        <v>0</v>
      </c>
      <c r="P63" s="100">
        <v>0.91</v>
      </c>
      <c r="Q63" s="100">
        <v>11.24</v>
      </c>
      <c r="R63" s="6"/>
      <c r="S63" s="6"/>
      <c r="T63" s="156"/>
      <c r="U63" s="6"/>
    </row>
    <row r="64" spans="1:21" customFormat="1">
      <c r="A64" s="163" t="s">
        <v>870</v>
      </c>
      <c r="B64" s="100">
        <v>4.2699999999999996</v>
      </c>
      <c r="C64" s="100">
        <v>23</v>
      </c>
      <c r="D64" s="100">
        <v>16.79</v>
      </c>
      <c r="E64" s="100">
        <v>10.58</v>
      </c>
      <c r="F64" s="152" t="s">
        <v>15</v>
      </c>
      <c r="G64" s="100">
        <v>85.7</v>
      </c>
      <c r="H64" s="100">
        <v>40.630000000000003</v>
      </c>
      <c r="I64" s="100">
        <v>13.66</v>
      </c>
      <c r="J64" s="100">
        <v>0.48</v>
      </c>
      <c r="K64" s="100">
        <v>340.25</v>
      </c>
      <c r="L64" s="100">
        <v>27.22</v>
      </c>
      <c r="M64" s="100">
        <v>37.58</v>
      </c>
      <c r="N64" s="100">
        <v>151</v>
      </c>
      <c r="O64" s="100">
        <v>0</v>
      </c>
      <c r="P64" s="100">
        <v>0.89</v>
      </c>
      <c r="Q64" s="100">
        <v>11.24</v>
      </c>
      <c r="R64" s="6"/>
      <c r="S64" s="6"/>
      <c r="T64" s="156"/>
      <c r="U64" s="6"/>
    </row>
    <row r="65" spans="1:21" customFormat="1">
      <c r="A65" s="163" t="s">
        <v>871</v>
      </c>
      <c r="B65" s="100">
        <v>4.2300000000000004</v>
      </c>
      <c r="C65" s="100">
        <v>22.65</v>
      </c>
      <c r="D65" s="100">
        <v>16.579999999999998</v>
      </c>
      <c r="E65" s="100">
        <v>10.82</v>
      </c>
      <c r="F65" s="152" t="s">
        <v>15</v>
      </c>
      <c r="G65" s="100">
        <v>72.430000000000007</v>
      </c>
      <c r="H65" s="100">
        <v>37.15</v>
      </c>
      <c r="I65" s="100">
        <v>13.41</v>
      </c>
      <c r="J65" s="100">
        <v>0.94</v>
      </c>
      <c r="K65" s="100">
        <v>327.17</v>
      </c>
      <c r="L65" s="100">
        <v>27.09</v>
      </c>
      <c r="M65" s="100">
        <v>36.93</v>
      </c>
      <c r="N65" s="100">
        <v>106.5</v>
      </c>
      <c r="O65" s="100">
        <v>0</v>
      </c>
      <c r="P65" s="100">
        <v>0.92</v>
      </c>
      <c r="Q65" s="100">
        <v>11.24</v>
      </c>
      <c r="R65" s="6"/>
      <c r="S65" s="6"/>
      <c r="T65" s="156"/>
      <c r="U65" s="6"/>
    </row>
    <row r="66" spans="1:21" customFormat="1">
      <c r="A66" s="163" t="s">
        <v>872</v>
      </c>
      <c r="B66" s="100">
        <v>4.13</v>
      </c>
      <c r="C66" s="100">
        <v>22.49</v>
      </c>
      <c r="D66" s="100">
        <v>16.41</v>
      </c>
      <c r="E66" s="100">
        <v>10.48</v>
      </c>
      <c r="F66" s="152" t="s">
        <v>15</v>
      </c>
      <c r="G66" s="100">
        <v>62.73</v>
      </c>
      <c r="H66" s="100">
        <v>36.130000000000003</v>
      </c>
      <c r="I66" s="100">
        <v>13.11</v>
      </c>
      <c r="J66" s="100">
        <v>0.5</v>
      </c>
      <c r="K66" s="100">
        <v>331.19</v>
      </c>
      <c r="L66" s="100">
        <v>27.35</v>
      </c>
      <c r="M66" s="100">
        <v>35.520000000000003</v>
      </c>
      <c r="N66" s="100">
        <v>119.3</v>
      </c>
      <c r="O66" s="100">
        <v>0</v>
      </c>
      <c r="P66" s="100">
        <v>0.91</v>
      </c>
      <c r="Q66" s="100">
        <v>11.24</v>
      </c>
      <c r="R66" s="6"/>
      <c r="S66" s="6"/>
      <c r="T66" s="156"/>
      <c r="U66" s="6"/>
    </row>
    <row r="67" spans="1:21" customFormat="1">
      <c r="A67" s="163" t="s">
        <v>873</v>
      </c>
      <c r="B67" s="100">
        <v>4.05</v>
      </c>
      <c r="C67" s="100">
        <v>22.66</v>
      </c>
      <c r="D67" s="100">
        <v>16.43</v>
      </c>
      <c r="E67" s="100">
        <v>10.39</v>
      </c>
      <c r="F67" s="152" t="s">
        <v>15</v>
      </c>
      <c r="G67" s="100">
        <v>62.73</v>
      </c>
      <c r="H67" s="100">
        <v>36.130000000000003</v>
      </c>
      <c r="I67" s="100">
        <v>12.91</v>
      </c>
      <c r="J67" s="100">
        <v>0.79</v>
      </c>
      <c r="K67" s="100">
        <v>1.73</v>
      </c>
      <c r="L67" s="100">
        <v>27.3</v>
      </c>
      <c r="M67" s="100">
        <v>36.15</v>
      </c>
      <c r="N67" s="100">
        <v>78.099999999999994</v>
      </c>
      <c r="O67" s="100">
        <v>0</v>
      </c>
      <c r="P67" s="100">
        <v>0.87</v>
      </c>
      <c r="Q67" s="100">
        <v>11.24</v>
      </c>
      <c r="R67" s="6"/>
      <c r="S67" s="6"/>
      <c r="T67" s="156"/>
      <c r="U67" s="6"/>
    </row>
    <row r="68" spans="1:21" customFormat="1">
      <c r="A68" s="163" t="s">
        <v>874</v>
      </c>
      <c r="B68" s="100">
        <v>4.0599999999999996</v>
      </c>
      <c r="C68" s="100">
        <v>22.94</v>
      </c>
      <c r="D68" s="100">
        <v>16.600000000000001</v>
      </c>
      <c r="E68" s="100">
        <v>10.18</v>
      </c>
      <c r="F68" s="152" t="s">
        <v>15</v>
      </c>
      <c r="G68" s="100">
        <v>62.73</v>
      </c>
      <c r="H68" s="100">
        <v>36.130000000000003</v>
      </c>
      <c r="I68" s="100">
        <v>12.59</v>
      </c>
      <c r="J68" s="100">
        <v>0.74</v>
      </c>
      <c r="K68" s="100">
        <v>348.9</v>
      </c>
      <c r="L68" s="100">
        <v>27.2</v>
      </c>
      <c r="M68" s="100">
        <v>35.97</v>
      </c>
      <c r="N68" s="100">
        <v>78.5</v>
      </c>
      <c r="O68" s="100">
        <v>0</v>
      </c>
      <c r="P68" s="100">
        <v>0.83</v>
      </c>
      <c r="Q68" s="100">
        <v>11.24</v>
      </c>
      <c r="R68" s="6"/>
      <c r="S68" s="6"/>
      <c r="T68" s="156"/>
      <c r="U68" s="6"/>
    </row>
    <row r="69" spans="1:21" customFormat="1">
      <c r="A69" s="163" t="s">
        <v>875</v>
      </c>
      <c r="B69" s="100">
        <v>4.03</v>
      </c>
      <c r="C69" s="100">
        <v>23.1</v>
      </c>
      <c r="D69" s="100">
        <v>16.649999999999999</v>
      </c>
      <c r="E69" s="100">
        <v>10.66</v>
      </c>
      <c r="F69" s="152" t="s">
        <v>15</v>
      </c>
      <c r="G69" s="100">
        <v>58.63</v>
      </c>
      <c r="H69" s="100">
        <v>33.4</v>
      </c>
      <c r="I69" s="100">
        <v>12.19</v>
      </c>
      <c r="J69" s="100">
        <v>0.62</v>
      </c>
      <c r="K69" s="100">
        <v>19.09</v>
      </c>
      <c r="L69" s="100">
        <v>27.24</v>
      </c>
      <c r="M69" s="100">
        <v>35.9</v>
      </c>
      <c r="N69" s="100">
        <v>76.7</v>
      </c>
      <c r="O69" s="100">
        <v>0</v>
      </c>
      <c r="P69" s="100">
        <v>0.8</v>
      </c>
      <c r="Q69" s="100">
        <v>11.24</v>
      </c>
      <c r="R69" s="6"/>
      <c r="S69" s="6"/>
      <c r="T69" s="156"/>
      <c r="U69" s="6"/>
    </row>
    <row r="70" spans="1:21" customFormat="1">
      <c r="A70" s="163" t="s">
        <v>876</v>
      </c>
      <c r="B70" s="100">
        <v>4.0199999999999996</v>
      </c>
      <c r="C70" s="100">
        <v>23.24</v>
      </c>
      <c r="D70" s="100">
        <v>16.71</v>
      </c>
      <c r="E70" s="100">
        <v>10.01</v>
      </c>
      <c r="F70" s="152" t="s">
        <v>15</v>
      </c>
      <c r="G70" s="100">
        <v>55.64</v>
      </c>
      <c r="H70" s="100">
        <v>32.58</v>
      </c>
      <c r="I70" s="100">
        <v>11.78</v>
      </c>
      <c r="J70" s="100">
        <v>0.48</v>
      </c>
      <c r="K70" s="100">
        <v>356.06</v>
      </c>
      <c r="L70" s="100">
        <v>27</v>
      </c>
      <c r="M70" s="100">
        <v>36.94</v>
      </c>
      <c r="N70" s="100">
        <v>59.2</v>
      </c>
      <c r="O70" s="100">
        <v>0</v>
      </c>
      <c r="P70" s="100">
        <v>0.78</v>
      </c>
      <c r="Q70" s="100">
        <v>11.24</v>
      </c>
      <c r="R70" s="6"/>
      <c r="S70" s="6"/>
      <c r="T70" s="156"/>
      <c r="U70" s="6"/>
    </row>
    <row r="71" spans="1:21" customFormat="1">
      <c r="A71" s="163" t="s">
        <v>877</v>
      </c>
      <c r="B71" s="100">
        <v>3.98</v>
      </c>
      <c r="C71" s="100">
        <v>23.31</v>
      </c>
      <c r="D71" s="100">
        <v>16.72</v>
      </c>
      <c r="E71" s="100">
        <v>9.84</v>
      </c>
      <c r="F71" s="152" t="s">
        <v>15</v>
      </c>
      <c r="G71" s="100">
        <v>55.64</v>
      </c>
      <c r="H71" s="100">
        <v>32.58</v>
      </c>
      <c r="I71" s="100">
        <v>11.46</v>
      </c>
      <c r="J71" s="100">
        <v>0.49</v>
      </c>
      <c r="K71" s="100">
        <v>1.96</v>
      </c>
      <c r="L71" s="100">
        <v>26.99</v>
      </c>
      <c r="M71" s="100">
        <v>36.619999999999997</v>
      </c>
      <c r="N71" s="100">
        <v>59.7</v>
      </c>
      <c r="O71" s="100">
        <v>0</v>
      </c>
      <c r="P71" s="100">
        <v>0.76</v>
      </c>
      <c r="Q71" s="100">
        <v>11.24</v>
      </c>
      <c r="R71" s="6"/>
      <c r="S71" s="6"/>
      <c r="T71" s="156"/>
      <c r="U71" s="6"/>
    </row>
    <row r="72" spans="1:21" customFormat="1">
      <c r="A72" s="163" t="s">
        <v>878</v>
      </c>
      <c r="B72" s="100">
        <v>3.96</v>
      </c>
      <c r="C72" s="100">
        <v>23.24</v>
      </c>
      <c r="D72" s="100">
        <v>16.670000000000002</v>
      </c>
      <c r="E72" s="100">
        <v>10.15</v>
      </c>
      <c r="F72" s="152" t="s">
        <v>15</v>
      </c>
      <c r="G72" s="100">
        <v>55.64</v>
      </c>
      <c r="H72" s="100">
        <v>32.58</v>
      </c>
      <c r="I72" s="100">
        <v>11.23</v>
      </c>
      <c r="J72" s="100">
        <v>0.65</v>
      </c>
      <c r="K72" s="100">
        <v>17.36</v>
      </c>
      <c r="L72" s="100">
        <v>26.9</v>
      </c>
      <c r="M72" s="100">
        <v>36.83</v>
      </c>
      <c r="N72" s="100">
        <v>53.1</v>
      </c>
      <c r="O72" s="100">
        <v>0</v>
      </c>
      <c r="P72" s="100">
        <v>0.73</v>
      </c>
      <c r="Q72" s="100">
        <v>11.24</v>
      </c>
      <c r="R72" s="6"/>
      <c r="S72" s="6"/>
      <c r="T72" s="156"/>
      <c r="U72" s="6"/>
    </row>
    <row r="73" spans="1:21" customFormat="1">
      <c r="A73" s="163" t="s">
        <v>879</v>
      </c>
      <c r="B73" s="100">
        <v>4.03</v>
      </c>
      <c r="C73" s="100">
        <v>23.54</v>
      </c>
      <c r="D73" s="100">
        <v>16.89</v>
      </c>
      <c r="E73" s="100">
        <v>10.78</v>
      </c>
      <c r="F73" s="152" t="s">
        <v>15</v>
      </c>
      <c r="G73" s="100">
        <v>60.65</v>
      </c>
      <c r="H73" s="100">
        <v>30.29</v>
      </c>
      <c r="I73" s="100">
        <v>10.95</v>
      </c>
      <c r="J73" s="100">
        <v>0.36</v>
      </c>
      <c r="K73" s="100">
        <v>8.39</v>
      </c>
      <c r="L73" s="100">
        <v>26.59</v>
      </c>
      <c r="M73" s="100">
        <v>37.880000000000003</v>
      </c>
      <c r="N73" s="100">
        <v>36.4</v>
      </c>
      <c r="O73" s="100">
        <v>0</v>
      </c>
      <c r="P73" s="100">
        <v>0.71</v>
      </c>
      <c r="Q73" s="100">
        <v>11.24</v>
      </c>
      <c r="R73" s="6"/>
      <c r="S73" s="6"/>
      <c r="T73" s="156"/>
      <c r="U73" s="6"/>
    </row>
    <row r="74" spans="1:21" customFormat="1">
      <c r="A74" s="163" t="s">
        <v>880</v>
      </c>
      <c r="B74" s="100">
        <v>4.0199999999999996</v>
      </c>
      <c r="C74" s="100">
        <v>23.8</v>
      </c>
      <c r="D74" s="100">
        <v>17.010000000000002</v>
      </c>
      <c r="E74" s="100">
        <v>9.6199999999999992</v>
      </c>
      <c r="F74" s="152" t="s">
        <v>15</v>
      </c>
      <c r="G74" s="100">
        <v>64.319999999999993</v>
      </c>
      <c r="H74" s="100">
        <v>29.61</v>
      </c>
      <c r="I74" s="100">
        <v>10.63</v>
      </c>
      <c r="J74" s="100">
        <v>0.12</v>
      </c>
      <c r="K74" s="100">
        <v>16.84</v>
      </c>
      <c r="L74" s="100">
        <v>26.29</v>
      </c>
      <c r="M74" s="100">
        <v>40.1</v>
      </c>
      <c r="N74" s="100">
        <v>29.7</v>
      </c>
      <c r="O74" s="100">
        <v>0</v>
      </c>
      <c r="P74" s="100">
        <v>0.71</v>
      </c>
      <c r="Q74" s="100">
        <v>11.24</v>
      </c>
      <c r="R74" s="6"/>
      <c r="S74" s="6"/>
      <c r="T74" s="156"/>
      <c r="U74" s="6"/>
    </row>
    <row r="75" spans="1:21" customFormat="1">
      <c r="A75" s="163" t="s">
        <v>881</v>
      </c>
      <c r="B75" s="100">
        <v>4.0999999999999996</v>
      </c>
      <c r="C75" s="100">
        <v>24</v>
      </c>
      <c r="D75" s="100">
        <v>17.18</v>
      </c>
      <c r="E75" s="100">
        <v>9.51</v>
      </c>
      <c r="F75" s="152" t="s">
        <v>15</v>
      </c>
      <c r="G75" s="100">
        <v>64.319999999999993</v>
      </c>
      <c r="H75" s="100">
        <v>29.61</v>
      </c>
      <c r="I75" s="100">
        <v>10.45</v>
      </c>
      <c r="J75" s="100">
        <v>0.23</v>
      </c>
      <c r="K75" s="100">
        <v>53.48</v>
      </c>
      <c r="L75" s="100">
        <v>26.03</v>
      </c>
      <c r="M75" s="100">
        <v>42.49</v>
      </c>
      <c r="N75" s="100">
        <v>23.2</v>
      </c>
      <c r="O75" s="100">
        <v>0</v>
      </c>
      <c r="P75" s="100">
        <v>0.68</v>
      </c>
      <c r="Q75" s="100">
        <v>11.24</v>
      </c>
      <c r="R75" s="6"/>
      <c r="S75" s="6"/>
      <c r="T75" s="156"/>
      <c r="U75" s="6"/>
    </row>
    <row r="76" spans="1:21" customFormat="1">
      <c r="A76" s="163" t="s">
        <v>882</v>
      </c>
      <c r="B76" s="100">
        <v>4.28</v>
      </c>
      <c r="C76" s="100">
        <v>24.45</v>
      </c>
      <c r="D76" s="100">
        <v>17.559999999999999</v>
      </c>
      <c r="E76" s="100">
        <v>9.19</v>
      </c>
      <c r="F76" s="152" t="s">
        <v>15</v>
      </c>
      <c r="G76" s="100">
        <v>64.319999999999993</v>
      </c>
      <c r="H76" s="100">
        <v>29.61</v>
      </c>
      <c r="I76" s="100">
        <v>10.29</v>
      </c>
      <c r="J76" s="100">
        <v>0.43</v>
      </c>
      <c r="K76" s="100">
        <v>52.23</v>
      </c>
      <c r="L76" s="100">
        <v>25.86</v>
      </c>
      <c r="M76" s="100">
        <v>41.75</v>
      </c>
      <c r="N76" s="100">
        <v>20.3</v>
      </c>
      <c r="O76" s="100">
        <v>0</v>
      </c>
      <c r="P76" s="100">
        <v>0.68</v>
      </c>
      <c r="Q76" s="100">
        <v>11.24</v>
      </c>
      <c r="R76" s="6"/>
      <c r="S76" s="6"/>
      <c r="T76" s="156"/>
      <c r="U76" s="6"/>
    </row>
    <row r="77" spans="1:21" customFormat="1">
      <c r="A77" s="163" t="s">
        <v>883</v>
      </c>
      <c r="B77" s="100">
        <v>4.59</v>
      </c>
      <c r="C77" s="100">
        <v>25.08</v>
      </c>
      <c r="D77" s="100">
        <v>18.13</v>
      </c>
      <c r="E77" s="100">
        <v>9.65</v>
      </c>
      <c r="F77" s="152" t="s">
        <v>15</v>
      </c>
      <c r="G77" s="100">
        <v>70.52</v>
      </c>
      <c r="H77" s="100">
        <v>29.23</v>
      </c>
      <c r="I77" s="100">
        <v>10.1</v>
      </c>
      <c r="J77" s="100">
        <v>0.32</v>
      </c>
      <c r="K77" s="100">
        <v>340.3</v>
      </c>
      <c r="L77" s="100">
        <v>25.45</v>
      </c>
      <c r="M77" s="100">
        <v>40.659999999999997</v>
      </c>
      <c r="N77" s="100">
        <v>7.9</v>
      </c>
      <c r="O77" s="100">
        <v>0</v>
      </c>
      <c r="P77" s="100">
        <v>0.68</v>
      </c>
      <c r="Q77" s="100">
        <v>11.24</v>
      </c>
      <c r="R77" s="6"/>
      <c r="S77" s="6"/>
      <c r="T77" s="156"/>
      <c r="U77" s="6"/>
    </row>
    <row r="78" spans="1:21" customFormat="1">
      <c r="A78" s="163" t="s">
        <v>884</v>
      </c>
      <c r="B78" s="100">
        <v>4.68</v>
      </c>
      <c r="C78" s="100">
        <v>25.45</v>
      </c>
      <c r="D78" s="100">
        <v>18.399999999999999</v>
      </c>
      <c r="E78" s="100">
        <v>9.84</v>
      </c>
      <c r="F78" s="152" t="s">
        <v>15</v>
      </c>
      <c r="G78" s="100">
        <v>75.06</v>
      </c>
      <c r="H78" s="100">
        <v>29.12</v>
      </c>
      <c r="I78" s="100">
        <v>9.9600000000000009</v>
      </c>
      <c r="J78" s="100">
        <v>0.16</v>
      </c>
      <c r="K78" s="100">
        <v>58.55</v>
      </c>
      <c r="L78" s="100">
        <v>24.98</v>
      </c>
      <c r="M78" s="100">
        <v>39.380000000000003</v>
      </c>
      <c r="N78" s="100">
        <v>3.2</v>
      </c>
      <c r="O78" s="100">
        <v>0</v>
      </c>
      <c r="P78" s="100">
        <v>0.68</v>
      </c>
      <c r="Q78" s="100">
        <v>11.24</v>
      </c>
      <c r="R78" s="6"/>
      <c r="S78" s="6"/>
      <c r="T78" s="156"/>
      <c r="U78" s="6"/>
    </row>
    <row r="79" spans="1:21" customFormat="1">
      <c r="A79" s="163" t="s">
        <v>885</v>
      </c>
      <c r="B79" s="100">
        <v>4.7699999999999996</v>
      </c>
      <c r="C79" s="100">
        <v>25.89</v>
      </c>
      <c r="D79" s="100">
        <v>18.71</v>
      </c>
      <c r="E79" s="100">
        <v>9.66</v>
      </c>
      <c r="F79" s="152" t="s">
        <v>15</v>
      </c>
      <c r="G79" s="100">
        <v>75.06</v>
      </c>
      <c r="H79" s="100">
        <v>29.12</v>
      </c>
      <c r="I79" s="100">
        <v>9.89</v>
      </c>
      <c r="J79" s="100">
        <v>0.1</v>
      </c>
      <c r="K79" s="100">
        <v>5.66</v>
      </c>
      <c r="L79" s="100">
        <v>24.33</v>
      </c>
      <c r="M79" s="100">
        <v>39.6</v>
      </c>
      <c r="N79" s="100">
        <v>1.8</v>
      </c>
      <c r="O79" s="100">
        <v>0</v>
      </c>
      <c r="P79" s="100">
        <v>0.68</v>
      </c>
      <c r="Q79" s="100">
        <v>11.24</v>
      </c>
      <c r="R79" s="6"/>
      <c r="S79" s="6"/>
      <c r="T79" s="156"/>
      <c r="U79" s="6"/>
    </row>
    <row r="80" spans="1:21" customFormat="1">
      <c r="A80" s="163" t="s">
        <v>886</v>
      </c>
      <c r="B80" s="100">
        <v>5.0199999999999996</v>
      </c>
      <c r="C80" s="100">
        <v>26.34</v>
      </c>
      <c r="D80" s="100">
        <v>19.14</v>
      </c>
      <c r="E80" s="100">
        <v>8.8699999999999992</v>
      </c>
      <c r="F80" s="152" t="s">
        <v>15</v>
      </c>
      <c r="G80" s="100">
        <v>75.06</v>
      </c>
      <c r="H80" s="100">
        <v>29.12</v>
      </c>
      <c r="I80" s="100">
        <v>9.83</v>
      </c>
      <c r="J80" s="100">
        <v>0.09</v>
      </c>
      <c r="K80" s="100">
        <v>74.400000000000006</v>
      </c>
      <c r="L80" s="100">
        <v>23.82</v>
      </c>
      <c r="M80" s="100">
        <v>41.02</v>
      </c>
      <c r="N80" s="100">
        <v>1.8</v>
      </c>
      <c r="O80" s="100">
        <v>0</v>
      </c>
      <c r="P80" s="100">
        <v>0.68</v>
      </c>
      <c r="Q80" s="100">
        <v>11.24</v>
      </c>
      <c r="R80" s="6"/>
      <c r="S80" s="6"/>
      <c r="T80" s="156"/>
      <c r="U80" s="6"/>
    </row>
    <row r="81" spans="1:21" customFormat="1">
      <c r="A81" s="163" t="s">
        <v>887</v>
      </c>
      <c r="B81" s="100">
        <v>5.34</v>
      </c>
      <c r="C81" s="100">
        <v>26.85</v>
      </c>
      <c r="D81" s="100">
        <v>19.670000000000002</v>
      </c>
      <c r="E81" s="100">
        <v>7.64</v>
      </c>
      <c r="F81" s="152" t="s">
        <v>15</v>
      </c>
      <c r="G81" s="100">
        <v>69.17</v>
      </c>
      <c r="H81" s="100">
        <v>25.49</v>
      </c>
      <c r="I81" s="100">
        <v>9.7799999999999994</v>
      </c>
      <c r="J81" s="100">
        <v>0.47</v>
      </c>
      <c r="K81" s="100">
        <v>46.8</v>
      </c>
      <c r="L81" s="100">
        <v>23.69</v>
      </c>
      <c r="M81" s="100">
        <v>40.58</v>
      </c>
      <c r="N81" s="100">
        <v>1.1000000000000001</v>
      </c>
      <c r="O81" s="100">
        <v>0</v>
      </c>
      <c r="P81" s="100">
        <v>0.68</v>
      </c>
      <c r="Q81" s="100">
        <v>11.24</v>
      </c>
      <c r="R81" s="6"/>
      <c r="S81" s="6"/>
      <c r="T81" s="156"/>
      <c r="U81" s="6"/>
    </row>
    <row r="82" spans="1:21" customFormat="1">
      <c r="A82" s="163" t="s">
        <v>888</v>
      </c>
      <c r="B82" s="100">
        <v>5.52</v>
      </c>
      <c r="C82" s="100">
        <v>27.06</v>
      </c>
      <c r="D82" s="100">
        <v>19.91</v>
      </c>
      <c r="E82" s="100">
        <v>9.69</v>
      </c>
      <c r="F82" s="152" t="s">
        <v>15</v>
      </c>
      <c r="G82" s="100">
        <v>64.87</v>
      </c>
      <c r="H82" s="100">
        <v>24.4</v>
      </c>
      <c r="I82" s="100">
        <v>9.7100000000000009</v>
      </c>
      <c r="J82" s="100">
        <v>0.43</v>
      </c>
      <c r="K82" s="100">
        <v>314.83999999999997</v>
      </c>
      <c r="L82" s="100">
        <v>23.48</v>
      </c>
      <c r="M82" s="100">
        <v>41.12</v>
      </c>
      <c r="N82" s="100">
        <v>1.4</v>
      </c>
      <c r="O82" s="100">
        <v>0</v>
      </c>
      <c r="P82" s="100">
        <v>0.67</v>
      </c>
      <c r="Q82" s="100">
        <v>11.24</v>
      </c>
      <c r="R82" s="6"/>
      <c r="S82" s="6"/>
      <c r="T82" s="156"/>
      <c r="U82" s="6"/>
    </row>
    <row r="83" spans="1:21" customFormat="1">
      <c r="A83" s="163" t="s">
        <v>889</v>
      </c>
      <c r="B83" s="100">
        <v>5.55</v>
      </c>
      <c r="C83" s="100">
        <v>27.1</v>
      </c>
      <c r="D83" s="100">
        <v>19.96</v>
      </c>
      <c r="E83" s="100">
        <v>8.9</v>
      </c>
      <c r="F83" s="152" t="s">
        <v>15</v>
      </c>
      <c r="G83" s="100">
        <v>64.87</v>
      </c>
      <c r="H83" s="100">
        <v>24.4</v>
      </c>
      <c r="I83" s="100">
        <v>9.6999999999999993</v>
      </c>
      <c r="J83" s="100">
        <v>0.39</v>
      </c>
      <c r="K83" s="100">
        <v>20.49</v>
      </c>
      <c r="L83" s="100">
        <v>23.23</v>
      </c>
      <c r="M83" s="100">
        <v>39.880000000000003</v>
      </c>
      <c r="N83" s="100">
        <v>1.4</v>
      </c>
      <c r="O83" s="100">
        <v>0</v>
      </c>
      <c r="P83" s="100">
        <v>0.66</v>
      </c>
      <c r="Q83" s="100">
        <v>11.24</v>
      </c>
      <c r="R83" s="6"/>
      <c r="S83" s="6"/>
      <c r="T83" s="156"/>
      <c r="U83" s="6"/>
    </row>
    <row r="84" spans="1:21" customFormat="1">
      <c r="A84" s="163" t="s">
        <v>890</v>
      </c>
      <c r="B84" s="100">
        <v>5.83</v>
      </c>
      <c r="C84" s="100">
        <v>27.31</v>
      </c>
      <c r="D84" s="100">
        <v>20.29</v>
      </c>
      <c r="E84" s="100">
        <v>9.27</v>
      </c>
      <c r="F84" s="152" t="s">
        <v>15</v>
      </c>
      <c r="G84" s="100">
        <v>64.87</v>
      </c>
      <c r="H84" s="100">
        <v>24.4</v>
      </c>
      <c r="I84" s="100">
        <v>9.77</v>
      </c>
      <c r="J84" s="100">
        <v>0.55000000000000004</v>
      </c>
      <c r="K84" s="100">
        <v>51.93</v>
      </c>
      <c r="L84" s="100">
        <v>22.58</v>
      </c>
      <c r="M84" s="100">
        <v>42.36</v>
      </c>
      <c r="N84" s="100">
        <v>1.8</v>
      </c>
      <c r="O84" s="100">
        <v>0</v>
      </c>
      <c r="P84" s="100">
        <v>0.67</v>
      </c>
      <c r="Q84" s="100">
        <v>11.24</v>
      </c>
      <c r="R84" s="6"/>
      <c r="S84" s="6"/>
      <c r="T84" s="156"/>
      <c r="U84" s="6"/>
    </row>
    <row r="85" spans="1:21" customFormat="1">
      <c r="A85" s="163" t="s">
        <v>891</v>
      </c>
      <c r="B85" s="100">
        <v>6.16</v>
      </c>
      <c r="C85" s="100">
        <v>27.44</v>
      </c>
      <c r="D85" s="100">
        <v>20.62</v>
      </c>
      <c r="E85" s="100">
        <v>9.01</v>
      </c>
      <c r="F85" s="152" t="s">
        <v>15</v>
      </c>
      <c r="G85" s="100">
        <v>71.06</v>
      </c>
      <c r="H85" s="100">
        <v>24.15</v>
      </c>
      <c r="I85" s="100">
        <v>9.8000000000000007</v>
      </c>
      <c r="J85" s="100">
        <v>0.1</v>
      </c>
      <c r="K85" s="100">
        <v>72.290000000000006</v>
      </c>
      <c r="L85" s="100">
        <v>21.97</v>
      </c>
      <c r="M85" s="100">
        <v>44.18</v>
      </c>
      <c r="N85" s="100">
        <v>1.7</v>
      </c>
      <c r="O85" s="100">
        <v>0</v>
      </c>
      <c r="P85" s="100">
        <v>0.68</v>
      </c>
      <c r="Q85" s="100">
        <v>11.24</v>
      </c>
      <c r="R85" s="6"/>
      <c r="S85" s="6"/>
      <c r="T85" s="156"/>
      <c r="U85" s="6"/>
    </row>
    <row r="86" spans="1:21" customFormat="1">
      <c r="A86" s="163" t="s">
        <v>892</v>
      </c>
      <c r="B86" s="100">
        <v>6.59</v>
      </c>
      <c r="C86" s="100">
        <v>27.38</v>
      </c>
      <c r="D86" s="100">
        <v>20.94</v>
      </c>
      <c r="E86" s="100">
        <v>9.61</v>
      </c>
      <c r="F86" s="152" t="s">
        <v>15</v>
      </c>
      <c r="G86" s="100">
        <v>75.58</v>
      </c>
      <c r="H86" s="100">
        <v>24.01</v>
      </c>
      <c r="I86" s="100">
        <v>9.85</v>
      </c>
      <c r="J86" s="100">
        <v>0.19</v>
      </c>
      <c r="K86" s="100">
        <v>53.28</v>
      </c>
      <c r="L86" s="100">
        <v>21.83</v>
      </c>
      <c r="M86" s="100">
        <v>42.64</v>
      </c>
      <c r="N86" s="100">
        <v>1.3</v>
      </c>
      <c r="O86" s="100">
        <v>0</v>
      </c>
      <c r="P86" s="100">
        <v>0.73</v>
      </c>
      <c r="Q86" s="100">
        <v>11.24</v>
      </c>
      <c r="R86" s="6"/>
      <c r="S86" s="6"/>
      <c r="T86" s="156"/>
      <c r="U86" s="6"/>
    </row>
    <row r="87" spans="1:21" customFormat="1">
      <c r="A87" s="163" t="s">
        <v>893</v>
      </c>
      <c r="B87" s="100">
        <v>7.3</v>
      </c>
      <c r="C87" s="100">
        <v>27.11</v>
      </c>
      <c r="D87" s="100">
        <v>21.37</v>
      </c>
      <c r="E87" s="100">
        <v>9.4700000000000006</v>
      </c>
      <c r="F87" s="152" t="s">
        <v>15</v>
      </c>
      <c r="G87" s="100">
        <v>75.58</v>
      </c>
      <c r="H87" s="100">
        <v>24.01</v>
      </c>
      <c r="I87" s="100">
        <v>9.98</v>
      </c>
      <c r="J87" s="100">
        <v>0.48</v>
      </c>
      <c r="K87" s="100">
        <v>38.21</v>
      </c>
      <c r="L87" s="100">
        <v>21.72</v>
      </c>
      <c r="M87" s="100">
        <v>40.53</v>
      </c>
      <c r="N87" s="100">
        <v>0.8</v>
      </c>
      <c r="O87" s="100">
        <v>0</v>
      </c>
      <c r="P87" s="100">
        <v>0.75</v>
      </c>
      <c r="Q87" s="100">
        <v>11.24</v>
      </c>
      <c r="R87" s="6"/>
      <c r="S87" s="6"/>
      <c r="T87" s="156"/>
      <c r="U87" s="6"/>
    </row>
    <row r="88" spans="1:21" customFormat="1">
      <c r="A88" s="163" t="s">
        <v>894</v>
      </c>
      <c r="B88" s="100">
        <v>7.81</v>
      </c>
      <c r="C88" s="100">
        <v>26.66</v>
      </c>
      <c r="D88" s="100">
        <v>21.55</v>
      </c>
      <c r="E88" s="100">
        <v>9.1199999999999992</v>
      </c>
      <c r="F88" s="152" t="s">
        <v>15</v>
      </c>
      <c r="G88" s="100">
        <v>75.58</v>
      </c>
      <c r="H88" s="100">
        <v>24.01</v>
      </c>
      <c r="I88" s="100">
        <v>10.1</v>
      </c>
      <c r="J88" s="100">
        <v>0.62</v>
      </c>
      <c r="K88" s="100">
        <v>46.88</v>
      </c>
      <c r="L88" s="100">
        <v>21.54</v>
      </c>
      <c r="M88" s="100">
        <v>40.98</v>
      </c>
      <c r="N88" s="100">
        <v>1.4</v>
      </c>
      <c r="O88" s="100">
        <v>0</v>
      </c>
      <c r="P88" s="100">
        <v>0.75</v>
      </c>
      <c r="Q88" s="100">
        <v>11.24</v>
      </c>
      <c r="R88" s="6"/>
      <c r="S88" s="6"/>
      <c r="T88" s="156"/>
      <c r="U88" s="6"/>
    </row>
    <row r="89" spans="1:21" customFormat="1">
      <c r="A89" s="163" t="s">
        <v>895</v>
      </c>
      <c r="B89" s="100">
        <v>8.16</v>
      </c>
      <c r="C89" s="100">
        <v>26.19</v>
      </c>
      <c r="D89" s="100">
        <v>21.58</v>
      </c>
      <c r="E89" s="100">
        <v>9.16</v>
      </c>
      <c r="F89" s="152" t="s">
        <v>15</v>
      </c>
      <c r="G89" s="100">
        <v>70.94</v>
      </c>
      <c r="H89" s="100">
        <v>23.69</v>
      </c>
      <c r="I89" s="100">
        <v>10.19</v>
      </c>
      <c r="J89" s="100">
        <v>0.42</v>
      </c>
      <c r="K89" s="100">
        <v>26.84</v>
      </c>
      <c r="L89" s="100">
        <v>21.19</v>
      </c>
      <c r="M89" s="100">
        <v>41.59</v>
      </c>
      <c r="N89" s="100">
        <v>1.4</v>
      </c>
      <c r="O89" s="100">
        <v>0</v>
      </c>
      <c r="P89" s="100">
        <v>0.75</v>
      </c>
      <c r="Q89" s="100">
        <v>11.24</v>
      </c>
      <c r="R89" s="6"/>
      <c r="S89" s="6"/>
      <c r="T89" s="156"/>
      <c r="U89" s="6"/>
    </row>
    <row r="90" spans="1:21" customFormat="1">
      <c r="A90" s="163" t="s">
        <v>896</v>
      </c>
      <c r="B90" s="100">
        <v>8.4</v>
      </c>
      <c r="C90" s="100">
        <v>25.74</v>
      </c>
      <c r="D90" s="100">
        <v>21.54</v>
      </c>
      <c r="E90" s="100">
        <v>8.98</v>
      </c>
      <c r="F90" s="152" t="s">
        <v>15</v>
      </c>
      <c r="G90" s="100">
        <v>67.55</v>
      </c>
      <c r="H90" s="100">
        <v>23.6</v>
      </c>
      <c r="I90" s="100">
        <v>10.17</v>
      </c>
      <c r="J90" s="100">
        <v>0.79</v>
      </c>
      <c r="K90" s="100">
        <v>46.23</v>
      </c>
      <c r="L90" s="100">
        <v>20.83</v>
      </c>
      <c r="M90" s="100">
        <v>42.69</v>
      </c>
      <c r="N90" s="100">
        <v>1.5</v>
      </c>
      <c r="O90" s="100">
        <v>0</v>
      </c>
      <c r="P90" s="100">
        <v>0.74</v>
      </c>
      <c r="Q90" s="100">
        <v>11.24</v>
      </c>
      <c r="R90" s="6"/>
      <c r="S90" s="6"/>
      <c r="T90" s="156"/>
      <c r="U90" s="6"/>
    </row>
    <row r="91" spans="1:21" customFormat="1">
      <c r="A91" s="163" t="s">
        <v>897</v>
      </c>
      <c r="B91" s="100">
        <v>8.59</v>
      </c>
      <c r="C91" s="100">
        <v>25.38</v>
      </c>
      <c r="D91" s="100">
        <v>21.5</v>
      </c>
      <c r="E91" s="100">
        <v>8.75</v>
      </c>
      <c r="F91" s="152" t="s">
        <v>15</v>
      </c>
      <c r="G91" s="100">
        <v>67.55</v>
      </c>
      <c r="H91" s="100">
        <v>23.6</v>
      </c>
      <c r="I91" s="100">
        <v>10.130000000000001</v>
      </c>
      <c r="J91" s="100">
        <v>0.56000000000000005</v>
      </c>
      <c r="K91" s="100">
        <v>44.58</v>
      </c>
      <c r="L91" s="100">
        <v>20.46</v>
      </c>
      <c r="M91" s="100">
        <v>44.1</v>
      </c>
      <c r="N91" s="100">
        <v>1.6</v>
      </c>
      <c r="O91" s="100">
        <v>0</v>
      </c>
      <c r="P91" s="100">
        <v>0.75</v>
      </c>
      <c r="Q91" s="100">
        <v>11.24</v>
      </c>
      <c r="R91" s="6"/>
      <c r="S91" s="6"/>
      <c r="T91" s="156"/>
      <c r="U91" s="6"/>
    </row>
    <row r="92" spans="1:21" customFormat="1">
      <c r="A92" s="163" t="s">
        <v>898</v>
      </c>
      <c r="B92" s="100">
        <v>8.85</v>
      </c>
      <c r="C92" s="100">
        <v>25.06</v>
      </c>
      <c r="D92" s="100">
        <v>21.54</v>
      </c>
      <c r="E92" s="100">
        <v>9.57</v>
      </c>
      <c r="F92" s="152" t="s">
        <v>15</v>
      </c>
      <c r="G92" s="100">
        <v>67.55</v>
      </c>
      <c r="H92" s="100">
        <v>23.6</v>
      </c>
      <c r="I92" s="100">
        <v>10.11</v>
      </c>
      <c r="J92" s="100">
        <v>0.37</v>
      </c>
      <c r="K92" s="100">
        <v>41.61</v>
      </c>
      <c r="L92" s="100">
        <v>20.309999999999999</v>
      </c>
      <c r="M92" s="100">
        <v>44.39</v>
      </c>
      <c r="N92" s="100">
        <v>1.2</v>
      </c>
      <c r="O92" s="100">
        <v>0</v>
      </c>
      <c r="P92" s="100">
        <v>0.75</v>
      </c>
      <c r="Q92" s="100">
        <v>11.24</v>
      </c>
      <c r="R92" s="6"/>
      <c r="S92" s="6"/>
      <c r="T92" s="156"/>
      <c r="U92" s="6"/>
    </row>
    <row r="93" spans="1:21" customFormat="1">
      <c r="A93" s="163" t="s">
        <v>899</v>
      </c>
      <c r="B93" s="100">
        <v>9.24</v>
      </c>
      <c r="C93" s="100">
        <v>24.94</v>
      </c>
      <c r="D93" s="100">
        <v>21.8</v>
      </c>
      <c r="E93" s="100">
        <v>9.2799999999999994</v>
      </c>
      <c r="F93" s="152" t="s">
        <v>15</v>
      </c>
      <c r="G93" s="100">
        <v>64.47</v>
      </c>
      <c r="H93" s="100">
        <v>22.18</v>
      </c>
      <c r="I93" s="100">
        <v>10.07</v>
      </c>
      <c r="J93" s="100">
        <v>0.06</v>
      </c>
      <c r="K93" s="100">
        <v>44.99</v>
      </c>
      <c r="L93" s="100">
        <v>20.12</v>
      </c>
      <c r="M93" s="100">
        <v>45.54</v>
      </c>
      <c r="N93" s="100">
        <v>1.3</v>
      </c>
      <c r="O93" s="100">
        <v>0</v>
      </c>
      <c r="P93" s="100">
        <v>0.75</v>
      </c>
      <c r="Q93" s="100">
        <v>11.24</v>
      </c>
      <c r="R93" s="6"/>
      <c r="S93" s="6"/>
      <c r="T93" s="156"/>
      <c r="U93" s="6"/>
    </row>
    <row r="94" spans="1:21" customFormat="1">
      <c r="A94" s="163" t="s">
        <v>900</v>
      </c>
      <c r="B94" s="100">
        <v>9.69</v>
      </c>
      <c r="C94" s="100">
        <v>24.87</v>
      </c>
      <c r="D94" s="100">
        <v>22.11</v>
      </c>
      <c r="E94" s="100">
        <v>9.8000000000000007</v>
      </c>
      <c r="F94" s="152" t="s">
        <v>15</v>
      </c>
      <c r="G94" s="100">
        <v>62.23</v>
      </c>
      <c r="H94" s="100">
        <v>21.76</v>
      </c>
      <c r="I94" s="100">
        <v>10.07</v>
      </c>
      <c r="J94" s="100">
        <v>0.28999999999999998</v>
      </c>
      <c r="K94" s="100">
        <v>56.39</v>
      </c>
      <c r="L94" s="100">
        <v>19.91</v>
      </c>
      <c r="M94" s="100">
        <v>45.89</v>
      </c>
      <c r="N94" s="100">
        <v>1.2</v>
      </c>
      <c r="O94" s="100">
        <v>0</v>
      </c>
      <c r="P94" s="100">
        <v>0.75</v>
      </c>
      <c r="Q94" s="100">
        <v>11.24</v>
      </c>
      <c r="R94" s="6"/>
      <c r="S94" s="6"/>
      <c r="T94" s="156"/>
      <c r="U94" s="6"/>
    </row>
    <row r="95" spans="1:21" customFormat="1">
      <c r="A95" s="163" t="s">
        <v>901</v>
      </c>
      <c r="B95" s="100">
        <v>10.220000000000001</v>
      </c>
      <c r="C95" s="100">
        <v>24.84</v>
      </c>
      <c r="D95" s="100">
        <v>22.53</v>
      </c>
      <c r="E95" s="100">
        <v>9.35</v>
      </c>
      <c r="F95" s="152" t="s">
        <v>15</v>
      </c>
      <c r="G95" s="100">
        <v>62.23</v>
      </c>
      <c r="H95" s="100">
        <v>21.76</v>
      </c>
      <c r="I95" s="100">
        <v>10.039999999999999</v>
      </c>
      <c r="J95" s="100">
        <v>0.43</v>
      </c>
      <c r="K95" s="100">
        <v>55.73</v>
      </c>
      <c r="L95" s="100">
        <v>19.579999999999998</v>
      </c>
      <c r="M95" s="100">
        <v>47.73</v>
      </c>
      <c r="N95" s="100">
        <v>1.2</v>
      </c>
      <c r="O95" s="100">
        <v>0</v>
      </c>
      <c r="P95" s="100">
        <v>0.76</v>
      </c>
      <c r="Q95" s="100">
        <v>11.24</v>
      </c>
      <c r="R95" s="6"/>
      <c r="S95" s="6"/>
      <c r="T95" s="156"/>
      <c r="U95" s="6"/>
    </row>
    <row r="96" spans="1:21" customFormat="1">
      <c r="A96" s="163" t="s">
        <v>902</v>
      </c>
      <c r="B96" s="100">
        <v>11.21</v>
      </c>
      <c r="C96" s="100">
        <v>25.02</v>
      </c>
      <c r="D96" s="100">
        <v>23.41</v>
      </c>
      <c r="E96" s="100">
        <v>9.6199999999999992</v>
      </c>
      <c r="F96" s="152" t="s">
        <v>15</v>
      </c>
      <c r="G96" s="100">
        <v>62.23</v>
      </c>
      <c r="H96" s="100">
        <v>21.76</v>
      </c>
      <c r="I96" s="100">
        <v>9.77</v>
      </c>
      <c r="J96" s="100">
        <v>0.65</v>
      </c>
      <c r="K96" s="100">
        <v>50.63</v>
      </c>
      <c r="L96" s="100">
        <v>19.27</v>
      </c>
      <c r="M96" s="100">
        <v>49.22</v>
      </c>
      <c r="N96" s="100">
        <v>1.3</v>
      </c>
      <c r="O96" s="100">
        <v>0</v>
      </c>
      <c r="P96" s="100">
        <v>0.78</v>
      </c>
      <c r="Q96" s="100">
        <v>11.24</v>
      </c>
      <c r="R96" s="6"/>
      <c r="S96" s="6"/>
      <c r="T96" s="156"/>
      <c r="U96" s="6"/>
    </row>
    <row r="97" spans="1:28" customFormat="1">
      <c r="A97" s="163" t="s">
        <v>903</v>
      </c>
      <c r="B97" s="100">
        <v>12.29</v>
      </c>
      <c r="C97" s="100">
        <v>24.97</v>
      </c>
      <c r="D97" s="100">
        <v>24.25</v>
      </c>
      <c r="E97" s="100">
        <v>9.7799999999999994</v>
      </c>
      <c r="F97" s="152" t="s">
        <v>15</v>
      </c>
      <c r="G97" s="100">
        <v>70.62</v>
      </c>
      <c r="H97" s="100">
        <v>21.1</v>
      </c>
      <c r="I97" s="100">
        <v>9.56</v>
      </c>
      <c r="J97" s="100">
        <v>0.47</v>
      </c>
      <c r="K97" s="100">
        <v>42.47</v>
      </c>
      <c r="L97" s="100">
        <v>18.850000000000001</v>
      </c>
      <c r="M97" s="100">
        <v>51.29</v>
      </c>
      <c r="N97" s="100">
        <v>1.6</v>
      </c>
      <c r="O97" s="100">
        <v>0</v>
      </c>
      <c r="P97" s="100">
        <v>0.8</v>
      </c>
      <c r="Q97" s="100">
        <v>11.24</v>
      </c>
      <c r="R97" s="6"/>
      <c r="S97" s="6"/>
      <c r="T97" s="156"/>
      <c r="U97" s="6"/>
    </row>
    <row r="98" spans="1:28" customFormat="1">
      <c r="A98" s="163" t="s">
        <v>904</v>
      </c>
      <c r="B98" s="100">
        <v>13.29</v>
      </c>
      <c r="C98" s="100">
        <v>24.95</v>
      </c>
      <c r="D98" s="100">
        <v>25.04</v>
      </c>
      <c r="E98" s="100">
        <v>9.57</v>
      </c>
      <c r="F98" s="152" t="s">
        <v>15</v>
      </c>
      <c r="G98" s="100">
        <v>76.75</v>
      </c>
      <c r="H98" s="100">
        <v>20.9</v>
      </c>
      <c r="I98" s="100">
        <v>9.69</v>
      </c>
      <c r="J98" s="100">
        <v>0.6</v>
      </c>
      <c r="K98" s="100">
        <v>59.29</v>
      </c>
      <c r="L98" s="100">
        <v>18.46</v>
      </c>
      <c r="M98" s="100">
        <v>52.97</v>
      </c>
      <c r="N98" s="100">
        <v>1.5</v>
      </c>
      <c r="O98" s="100">
        <v>0</v>
      </c>
      <c r="P98" s="100">
        <v>0.82</v>
      </c>
      <c r="Q98" s="100">
        <v>11.24</v>
      </c>
      <c r="R98" s="6"/>
      <c r="S98" s="6"/>
      <c r="T98" s="156"/>
      <c r="U98" s="6"/>
    </row>
    <row r="99" spans="1:28" customFormat="1">
      <c r="A99" s="163" t="s">
        <v>905</v>
      </c>
      <c r="B99" s="100">
        <v>14</v>
      </c>
      <c r="C99" s="100">
        <v>24.89</v>
      </c>
      <c r="D99" s="100">
        <v>25.58</v>
      </c>
      <c r="E99" s="100">
        <v>9.4</v>
      </c>
      <c r="F99" s="152" t="s">
        <v>15</v>
      </c>
      <c r="G99" s="100">
        <v>76.75</v>
      </c>
      <c r="H99" s="100">
        <v>20.9</v>
      </c>
      <c r="I99" s="100">
        <v>9.66</v>
      </c>
      <c r="J99" s="100">
        <v>0.56999999999999995</v>
      </c>
      <c r="K99" s="100">
        <v>51.29</v>
      </c>
      <c r="L99" s="100">
        <v>18.29</v>
      </c>
      <c r="M99" s="100">
        <v>53.3</v>
      </c>
      <c r="N99" s="100">
        <v>1.3</v>
      </c>
      <c r="O99" s="100">
        <v>0</v>
      </c>
      <c r="P99" s="100">
        <v>0.83</v>
      </c>
      <c r="Q99" s="100">
        <v>11.24</v>
      </c>
      <c r="R99" s="6"/>
      <c r="S99" s="6"/>
      <c r="T99" s="156"/>
      <c r="U99" s="6"/>
    </row>
    <row r="100" spans="1:28" customFormat="1">
      <c r="A100" s="163" t="s">
        <v>906</v>
      </c>
      <c r="B100" s="100">
        <v>14.64</v>
      </c>
      <c r="C100" s="100">
        <v>24.71</v>
      </c>
      <c r="D100" s="100">
        <v>26</v>
      </c>
      <c r="E100" s="100">
        <v>9.23</v>
      </c>
      <c r="F100" s="152" t="s">
        <v>15</v>
      </c>
      <c r="G100" s="100">
        <v>76.75</v>
      </c>
      <c r="H100" s="100">
        <v>20.9</v>
      </c>
      <c r="I100" s="100">
        <v>9.59</v>
      </c>
      <c r="J100" s="100">
        <v>0.31</v>
      </c>
      <c r="K100" s="100">
        <v>36.270000000000003</v>
      </c>
      <c r="L100" s="100">
        <v>18.059999999999999</v>
      </c>
      <c r="M100" s="100">
        <v>53.94</v>
      </c>
      <c r="N100" s="100">
        <v>1.3</v>
      </c>
      <c r="O100" s="100">
        <v>0</v>
      </c>
      <c r="P100" s="100">
        <v>0.83</v>
      </c>
      <c r="Q100" s="100">
        <v>11.24</v>
      </c>
      <c r="R100" s="6"/>
      <c r="S100" s="6"/>
      <c r="T100" s="156"/>
      <c r="U100" s="6"/>
      <c r="AB100" s="161"/>
    </row>
    <row r="101" spans="1:28" customFormat="1">
      <c r="A101" s="163" t="s">
        <v>907</v>
      </c>
      <c r="B101" s="100">
        <v>15.38</v>
      </c>
      <c r="C101" s="100">
        <v>24.74</v>
      </c>
      <c r="D101" s="100">
        <v>26.61</v>
      </c>
      <c r="E101" s="100">
        <v>8.89</v>
      </c>
      <c r="F101" s="152" t="s">
        <v>15</v>
      </c>
      <c r="G101" s="100">
        <v>78.459999999999994</v>
      </c>
      <c r="H101" s="100">
        <v>22.32</v>
      </c>
      <c r="I101" s="100">
        <v>9.69</v>
      </c>
      <c r="J101" s="100">
        <v>0.16</v>
      </c>
      <c r="K101" s="100">
        <v>38.21</v>
      </c>
      <c r="L101" s="100">
        <v>17.73</v>
      </c>
      <c r="M101" s="100">
        <v>55.04</v>
      </c>
      <c r="N101" s="100">
        <v>1.2</v>
      </c>
      <c r="O101" s="100">
        <v>0</v>
      </c>
      <c r="P101" s="100">
        <v>0.83</v>
      </c>
      <c r="Q101" s="100">
        <v>11.24</v>
      </c>
      <c r="R101" s="6"/>
      <c r="S101" s="6"/>
      <c r="T101" s="156"/>
      <c r="U101" s="6"/>
    </row>
    <row r="102" spans="1:28" customFormat="1">
      <c r="A102" s="163" t="s">
        <v>908</v>
      </c>
      <c r="B102" s="100">
        <v>15.78</v>
      </c>
      <c r="C102" s="100">
        <v>24.58</v>
      </c>
      <c r="D102" s="100">
        <v>26.85</v>
      </c>
      <c r="E102" s="100">
        <v>8.56</v>
      </c>
      <c r="F102" s="152" t="s">
        <v>15</v>
      </c>
      <c r="G102" s="100">
        <v>79.709999999999994</v>
      </c>
      <c r="H102" s="100">
        <v>22.74</v>
      </c>
      <c r="I102" s="100">
        <v>9.73</v>
      </c>
      <c r="J102" s="100">
        <v>0.24</v>
      </c>
      <c r="K102" s="100">
        <v>50.08</v>
      </c>
      <c r="L102" s="100">
        <v>17.670000000000002</v>
      </c>
      <c r="M102" s="100">
        <v>54.66</v>
      </c>
      <c r="N102" s="100">
        <v>1.1000000000000001</v>
      </c>
      <c r="O102" s="100">
        <v>0</v>
      </c>
      <c r="P102" s="100">
        <v>0.83</v>
      </c>
      <c r="Q102" s="100">
        <v>11.24</v>
      </c>
      <c r="R102" s="6"/>
      <c r="S102" s="6"/>
      <c r="T102" s="156"/>
      <c r="U102" s="6"/>
    </row>
    <row r="103" spans="1:28" customFormat="1">
      <c r="A103" s="163" t="s">
        <v>909</v>
      </c>
      <c r="B103" s="100">
        <v>16.11</v>
      </c>
      <c r="C103" s="100">
        <v>24.38</v>
      </c>
      <c r="D103" s="100">
        <v>27</v>
      </c>
      <c r="E103" s="100">
        <v>8.92</v>
      </c>
      <c r="F103" s="152" t="s">
        <v>15</v>
      </c>
      <c r="G103" s="100">
        <v>79.709999999999994</v>
      </c>
      <c r="H103" s="100">
        <v>22.74</v>
      </c>
      <c r="I103" s="100">
        <v>9.74</v>
      </c>
      <c r="J103" s="100">
        <v>0.26</v>
      </c>
      <c r="K103" s="100">
        <v>54.49</v>
      </c>
      <c r="L103" s="100">
        <v>17.489999999999998</v>
      </c>
      <c r="M103" s="100">
        <v>55.13</v>
      </c>
      <c r="N103" s="100">
        <v>1.1000000000000001</v>
      </c>
      <c r="O103" s="100">
        <v>0</v>
      </c>
      <c r="P103" s="100">
        <v>0.83</v>
      </c>
      <c r="Q103" s="100">
        <v>11.24</v>
      </c>
      <c r="R103" s="6"/>
      <c r="S103" s="6"/>
      <c r="T103" s="156"/>
      <c r="U103" s="6"/>
    </row>
    <row r="104" spans="1:28" customFormat="1">
      <c r="A104" s="163" t="s">
        <v>910</v>
      </c>
      <c r="B104" s="100">
        <v>16.36</v>
      </c>
      <c r="C104" s="100">
        <v>24.12</v>
      </c>
      <c r="D104" s="100">
        <v>27.07</v>
      </c>
      <c r="E104" s="100">
        <v>8.58</v>
      </c>
      <c r="F104" s="152" t="s">
        <v>15</v>
      </c>
      <c r="G104" s="100">
        <v>79.709999999999994</v>
      </c>
      <c r="H104" s="100">
        <v>22.74</v>
      </c>
      <c r="I104" s="100">
        <v>9.74</v>
      </c>
      <c r="J104" s="100">
        <v>0.32</v>
      </c>
      <c r="K104" s="100">
        <v>42.54</v>
      </c>
      <c r="L104" s="100">
        <v>17.260000000000002</v>
      </c>
      <c r="M104" s="100">
        <v>55.93</v>
      </c>
      <c r="N104" s="100">
        <v>1.1000000000000001</v>
      </c>
      <c r="O104" s="100">
        <v>0</v>
      </c>
      <c r="P104" s="100">
        <v>0.83</v>
      </c>
      <c r="Q104" s="100">
        <v>11.24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3.96</v>
      </c>
      <c r="C106" s="158">
        <f>MIN(C9:C104)</f>
        <v>17.28</v>
      </c>
      <c r="D106" s="158">
        <f t="shared" ref="D106:Q106" si="0">MIN(D9:D104)</f>
        <v>14.13</v>
      </c>
      <c r="E106" s="158">
        <f t="shared" si="0"/>
        <v>6.95</v>
      </c>
      <c r="F106" s="158">
        <f t="shared" si="0"/>
        <v>0</v>
      </c>
      <c r="G106" s="158">
        <f t="shared" si="0"/>
        <v>55.64</v>
      </c>
      <c r="H106" s="158">
        <f t="shared" si="0"/>
        <v>20.9</v>
      </c>
      <c r="I106" s="158">
        <f t="shared" si="0"/>
        <v>9.56</v>
      </c>
      <c r="J106" s="158">
        <f t="shared" si="0"/>
        <v>0.06</v>
      </c>
      <c r="K106" s="158">
        <f t="shared" si="0"/>
        <v>1.73</v>
      </c>
      <c r="L106" s="158">
        <f t="shared" si="0"/>
        <v>13.98</v>
      </c>
      <c r="M106" s="158">
        <f t="shared" si="0"/>
        <v>35.520000000000003</v>
      </c>
      <c r="N106" s="158">
        <f t="shared" si="0"/>
        <v>0.8</v>
      </c>
      <c r="O106" s="158">
        <f t="shared" si="0"/>
        <v>0</v>
      </c>
      <c r="P106" s="158">
        <f t="shared" si="0"/>
        <v>0.66</v>
      </c>
      <c r="Q106" s="158">
        <f t="shared" si="0"/>
        <v>11.24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16.36</v>
      </c>
      <c r="C107" s="157">
        <f t="shared" ref="C107:Q107" si="1">MAX(C9:C104)</f>
        <v>27.52</v>
      </c>
      <c r="D107" s="157">
        <f t="shared" si="1"/>
        <v>27.07</v>
      </c>
      <c r="E107" s="157">
        <f t="shared" si="1"/>
        <v>13.62</v>
      </c>
      <c r="F107" s="157">
        <f t="shared" si="1"/>
        <v>0</v>
      </c>
      <c r="G107" s="157">
        <f t="shared" si="1"/>
        <v>209.69</v>
      </c>
      <c r="H107" s="157">
        <f t="shared" si="1"/>
        <v>56.82</v>
      </c>
      <c r="I107" s="157">
        <f t="shared" si="1"/>
        <v>17.53</v>
      </c>
      <c r="J107" s="157">
        <f t="shared" si="1"/>
        <v>1.17</v>
      </c>
      <c r="K107" s="157">
        <f t="shared" si="1"/>
        <v>358.76</v>
      </c>
      <c r="L107" s="157">
        <f t="shared" si="1"/>
        <v>27.39</v>
      </c>
      <c r="M107" s="157">
        <f t="shared" si="1"/>
        <v>96.89</v>
      </c>
      <c r="N107" s="157">
        <f t="shared" si="1"/>
        <v>390.4</v>
      </c>
      <c r="O107" s="157">
        <f t="shared" si="1"/>
        <v>0</v>
      </c>
      <c r="P107" s="157">
        <f t="shared" si="1"/>
        <v>1.1499999999999999</v>
      </c>
      <c r="Q107" s="157">
        <f t="shared" si="1"/>
        <v>11.24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6.7502083333333323</v>
      </c>
      <c r="C108" s="158">
        <f t="shared" ref="C108:Q108" si="2">AVERAGE(C9:C104)</f>
        <v>22.986979166666657</v>
      </c>
      <c r="D108" s="158">
        <f t="shared" si="2"/>
        <v>18.773333333333333</v>
      </c>
      <c r="E108" s="158">
        <f t="shared" si="2"/>
        <v>9.4868749999999995</v>
      </c>
      <c r="F108" s="158" t="e">
        <f t="shared" si="2"/>
        <v>#DIV/0!</v>
      </c>
      <c r="G108" s="158">
        <f t="shared" si="2"/>
        <v>86.317708333333314</v>
      </c>
      <c r="H108" s="158">
        <f t="shared" si="2"/>
        <v>36.142604166666672</v>
      </c>
      <c r="I108" s="158">
        <f t="shared" si="2"/>
        <v>12.758437500000001</v>
      </c>
      <c r="J108" s="158">
        <f t="shared" si="2"/>
        <v>0.37937500000000002</v>
      </c>
      <c r="K108" s="158">
        <f t="shared" si="2"/>
        <v>133.47989583333325</v>
      </c>
      <c r="L108" s="158">
        <f t="shared" si="2"/>
        <v>20.420624999999994</v>
      </c>
      <c r="M108" s="158">
        <f t="shared" si="2"/>
        <v>62.050416666666671</v>
      </c>
      <c r="N108" s="158">
        <f t="shared" si="2"/>
        <v>77.72708333333334</v>
      </c>
      <c r="O108" s="158">
        <f t="shared" si="2"/>
        <v>0</v>
      </c>
      <c r="P108" s="158">
        <f t="shared" si="2"/>
        <v>0.85395833333333326</v>
      </c>
      <c r="Q108" s="158">
        <f t="shared" si="2"/>
        <v>11.240000000000007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3.1008596360454876</v>
      </c>
      <c r="C109" s="158">
        <f t="shared" ref="C109:Q109" si="3">STDEV(C9:C104)</f>
        <v>3.4121847052467391</v>
      </c>
      <c r="D109" s="158">
        <f t="shared" si="3"/>
        <v>3.5292133212185903</v>
      </c>
      <c r="E109" s="158">
        <f t="shared" si="3"/>
        <v>1.3263732208743733</v>
      </c>
      <c r="F109" s="158" t="e">
        <f t="shared" si="3"/>
        <v>#DIV/0!</v>
      </c>
      <c r="G109" s="158">
        <f t="shared" si="3"/>
        <v>32.177632783271868</v>
      </c>
      <c r="H109" s="158">
        <f t="shared" si="3"/>
        <v>10.299596440207747</v>
      </c>
      <c r="I109" s="158">
        <f t="shared" si="3"/>
        <v>2.424449293138546</v>
      </c>
      <c r="J109" s="158">
        <f t="shared" si="3"/>
        <v>0.26780909343469966</v>
      </c>
      <c r="K109" s="158">
        <f t="shared" si="3"/>
        <v>114.2053941531365</v>
      </c>
      <c r="L109" s="158">
        <f t="shared" si="3"/>
        <v>4.814287467091023</v>
      </c>
      <c r="M109" s="158">
        <f t="shared" si="3"/>
        <v>23.052375921237129</v>
      </c>
      <c r="N109" s="158">
        <f t="shared" si="3"/>
        <v>123.67271364726005</v>
      </c>
      <c r="O109" s="158">
        <f t="shared" si="3"/>
        <v>0</v>
      </c>
      <c r="P109" s="158">
        <f t="shared" si="3"/>
        <v>0.13623879319757054</v>
      </c>
      <c r="Q109" s="158">
        <f t="shared" si="3"/>
        <v>7.1427264451533946E-15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7"/>
  <sheetViews>
    <sheetView zoomScale="85" zoomScaleNormal="85" workbookViewId="0">
      <pane xSplit="1" ySplit="8" topLeftCell="B97" activePane="bottomRight" state="frozen"/>
      <selection pane="topRight"/>
      <selection pane="bottomLeft"/>
      <selection pane="bottomRight" activeCell="Q9" sqref="Q9:Q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911</v>
      </c>
      <c r="B9" s="100">
        <v>17.07</v>
      </c>
      <c r="C9" s="100">
        <v>24.14</v>
      </c>
      <c r="D9" s="100">
        <v>27.65</v>
      </c>
      <c r="E9" s="100">
        <v>8.9700000000000006</v>
      </c>
      <c r="F9" s="152" t="s">
        <v>15</v>
      </c>
      <c r="G9" s="100">
        <v>77.7</v>
      </c>
      <c r="H9" s="100">
        <v>21.43</v>
      </c>
      <c r="I9" s="100">
        <v>9.7100000000000009</v>
      </c>
      <c r="J9" s="100">
        <v>0.39</v>
      </c>
      <c r="K9" s="100">
        <v>35.71</v>
      </c>
      <c r="L9" s="100">
        <v>17.09</v>
      </c>
      <c r="M9" s="100">
        <v>56.62</v>
      </c>
      <c r="N9" s="100">
        <v>1.1000000000000001</v>
      </c>
      <c r="O9" s="100">
        <v>0</v>
      </c>
      <c r="P9" s="100">
        <v>0.79</v>
      </c>
      <c r="Q9" s="100">
        <v>11.25</v>
      </c>
      <c r="R9" s="6"/>
      <c r="S9" s="6"/>
      <c r="T9" s="156"/>
      <c r="U9" s="6"/>
    </row>
    <row r="10" spans="1:21" customFormat="1">
      <c r="A10" s="163" t="s">
        <v>912</v>
      </c>
      <c r="B10" s="100">
        <v>17.079999999999998</v>
      </c>
      <c r="C10" s="100">
        <v>24.08</v>
      </c>
      <c r="D10" s="100">
        <v>27.63</v>
      </c>
      <c r="E10" s="100">
        <v>8.01</v>
      </c>
      <c r="F10" s="152" t="s">
        <v>15</v>
      </c>
      <c r="G10" s="100">
        <v>76.23</v>
      </c>
      <c r="H10" s="100">
        <v>21.04</v>
      </c>
      <c r="I10" s="100">
        <v>9.65</v>
      </c>
      <c r="J10" s="100">
        <v>0.57999999999999996</v>
      </c>
      <c r="K10" s="100">
        <v>40.06</v>
      </c>
      <c r="L10" s="100">
        <v>16.86</v>
      </c>
      <c r="M10" s="100">
        <v>57.71</v>
      </c>
      <c r="N10" s="100">
        <v>1.1000000000000001</v>
      </c>
      <c r="O10" s="100">
        <v>0</v>
      </c>
      <c r="P10" s="100">
        <v>0.77</v>
      </c>
      <c r="Q10" s="100">
        <v>11.25</v>
      </c>
      <c r="R10" s="6"/>
      <c r="S10" s="6"/>
      <c r="T10" s="156"/>
      <c r="U10" s="6"/>
    </row>
    <row r="11" spans="1:21" customFormat="1">
      <c r="A11" s="163" t="s">
        <v>913</v>
      </c>
      <c r="B11" s="100">
        <v>16.579999999999998</v>
      </c>
      <c r="C11" s="100">
        <v>24.06</v>
      </c>
      <c r="D11" s="100">
        <v>27.21</v>
      </c>
      <c r="E11" s="100">
        <v>8.56</v>
      </c>
      <c r="F11" s="152" t="s">
        <v>15</v>
      </c>
      <c r="G11" s="100">
        <v>76.23</v>
      </c>
      <c r="H11" s="100">
        <v>21.04</v>
      </c>
      <c r="I11" s="100">
        <v>9.6199999999999992</v>
      </c>
      <c r="J11" s="100">
        <v>0.63</v>
      </c>
      <c r="K11" s="100">
        <v>44.77</v>
      </c>
      <c r="L11" s="100">
        <v>16.690000000000001</v>
      </c>
      <c r="M11" s="100">
        <v>58.82</v>
      </c>
      <c r="N11" s="100">
        <v>1.2</v>
      </c>
      <c r="O11" s="100">
        <v>0</v>
      </c>
      <c r="P11" s="100">
        <v>0.75</v>
      </c>
      <c r="Q11" s="100">
        <v>11.25</v>
      </c>
      <c r="R11" s="6"/>
      <c r="S11" s="6"/>
      <c r="T11" s="156"/>
      <c r="U11" s="6"/>
    </row>
    <row r="12" spans="1:21" customFormat="1">
      <c r="A12" s="163" t="s">
        <v>914</v>
      </c>
      <c r="B12" s="100">
        <v>15.97</v>
      </c>
      <c r="C12" s="100">
        <v>23.92</v>
      </c>
      <c r="D12" s="100">
        <v>26.65</v>
      </c>
      <c r="E12" s="100">
        <v>8.3800000000000008</v>
      </c>
      <c r="F12" s="152" t="s">
        <v>15</v>
      </c>
      <c r="G12" s="100">
        <v>76.23</v>
      </c>
      <c r="H12" s="100">
        <v>21.04</v>
      </c>
      <c r="I12" s="100">
        <v>9.56</v>
      </c>
      <c r="J12" s="100">
        <v>0.4</v>
      </c>
      <c r="K12" s="100">
        <v>30.76</v>
      </c>
      <c r="L12" s="100">
        <v>16.37</v>
      </c>
      <c r="M12" s="100">
        <v>60.62</v>
      </c>
      <c r="N12" s="100">
        <v>1.3</v>
      </c>
      <c r="O12" s="100">
        <v>0</v>
      </c>
      <c r="P12" s="100">
        <v>0.73</v>
      </c>
      <c r="Q12" s="100">
        <v>11.25</v>
      </c>
      <c r="R12" s="6"/>
      <c r="S12" s="6"/>
      <c r="T12" s="156"/>
      <c r="U12" s="6"/>
    </row>
    <row r="13" spans="1:21" customFormat="1">
      <c r="A13" s="163" t="s">
        <v>915</v>
      </c>
      <c r="B13" s="100">
        <v>15.72</v>
      </c>
      <c r="C13" s="100">
        <v>24.04</v>
      </c>
      <c r="D13" s="100">
        <v>26.52</v>
      </c>
      <c r="E13" s="100">
        <v>8.4499999999999993</v>
      </c>
      <c r="F13" s="152" t="s">
        <v>15</v>
      </c>
      <c r="G13" s="100">
        <v>69.510000000000005</v>
      </c>
      <c r="H13" s="100">
        <v>20.22</v>
      </c>
      <c r="I13" s="100">
        <v>9.4700000000000006</v>
      </c>
      <c r="J13" s="100">
        <v>0.28999999999999998</v>
      </c>
      <c r="K13" s="100">
        <v>36.4</v>
      </c>
      <c r="L13" s="100">
        <v>16.02</v>
      </c>
      <c r="M13" s="100">
        <v>62.49</v>
      </c>
      <c r="N13" s="100">
        <v>1.4</v>
      </c>
      <c r="O13" s="100">
        <v>0</v>
      </c>
      <c r="P13" s="100">
        <v>0.72</v>
      </c>
      <c r="Q13" s="100">
        <v>11.25</v>
      </c>
      <c r="R13" s="6"/>
      <c r="S13" s="6"/>
      <c r="T13" s="156"/>
      <c r="U13" s="6"/>
    </row>
    <row r="14" spans="1:21" customFormat="1">
      <c r="A14" s="163" t="s">
        <v>916</v>
      </c>
      <c r="B14" s="100">
        <v>15.26</v>
      </c>
      <c r="C14" s="100">
        <v>24.01</v>
      </c>
      <c r="D14" s="100">
        <v>26.14</v>
      </c>
      <c r="E14" s="100">
        <v>7.93</v>
      </c>
      <c r="F14" s="152" t="s">
        <v>15</v>
      </c>
      <c r="G14" s="100">
        <v>64.37</v>
      </c>
      <c r="H14" s="100">
        <v>19.7</v>
      </c>
      <c r="I14" s="100">
        <v>9.4</v>
      </c>
      <c r="J14" s="100">
        <v>0.25</v>
      </c>
      <c r="K14" s="100">
        <v>44.37</v>
      </c>
      <c r="L14" s="100">
        <v>15.8</v>
      </c>
      <c r="M14" s="100">
        <v>63.91</v>
      </c>
      <c r="N14" s="100">
        <v>1.2</v>
      </c>
      <c r="O14" s="100">
        <v>0</v>
      </c>
      <c r="P14" s="100">
        <v>0.71</v>
      </c>
      <c r="Q14" s="100">
        <v>11.25</v>
      </c>
      <c r="R14" s="6"/>
      <c r="S14" s="6"/>
      <c r="T14" s="156"/>
      <c r="U14" s="6"/>
    </row>
    <row r="15" spans="1:21" customFormat="1">
      <c r="A15" s="163" t="s">
        <v>917</v>
      </c>
      <c r="B15" s="100">
        <v>14.86</v>
      </c>
      <c r="C15" s="100">
        <v>23.92</v>
      </c>
      <c r="D15" s="100">
        <v>25.76</v>
      </c>
      <c r="E15" s="100">
        <v>8.35</v>
      </c>
      <c r="F15" s="152" t="s">
        <v>15</v>
      </c>
      <c r="G15" s="100">
        <v>64.37</v>
      </c>
      <c r="H15" s="100">
        <v>19.7</v>
      </c>
      <c r="I15" s="100">
        <v>9.33</v>
      </c>
      <c r="J15" s="100">
        <v>0.3</v>
      </c>
      <c r="K15" s="100">
        <v>40.67</v>
      </c>
      <c r="L15" s="100">
        <v>15.63</v>
      </c>
      <c r="M15" s="100">
        <v>64.56</v>
      </c>
      <c r="N15" s="100">
        <v>1</v>
      </c>
      <c r="O15" s="100">
        <v>0</v>
      </c>
      <c r="P15" s="100">
        <v>0.7</v>
      </c>
      <c r="Q15" s="100">
        <v>11.25</v>
      </c>
      <c r="R15" s="6"/>
      <c r="S15" s="6"/>
      <c r="T15" s="156"/>
      <c r="U15" s="6"/>
    </row>
    <row r="16" spans="1:21" customFormat="1">
      <c r="A16" s="163" t="s">
        <v>918</v>
      </c>
      <c r="B16" s="100">
        <v>14.33</v>
      </c>
      <c r="C16" s="100">
        <v>23.86</v>
      </c>
      <c r="D16" s="100">
        <v>25.3</v>
      </c>
      <c r="E16" s="100">
        <v>7.68</v>
      </c>
      <c r="F16" s="152" t="s">
        <v>15</v>
      </c>
      <c r="G16" s="100">
        <v>64.37</v>
      </c>
      <c r="H16" s="100">
        <v>19.7</v>
      </c>
      <c r="I16" s="100">
        <v>9.2899999999999991</v>
      </c>
      <c r="J16" s="100">
        <v>0.62</v>
      </c>
      <c r="K16" s="100">
        <v>48.06</v>
      </c>
      <c r="L16" s="100">
        <v>15.51</v>
      </c>
      <c r="M16" s="100">
        <v>64.59</v>
      </c>
      <c r="N16" s="100">
        <v>1</v>
      </c>
      <c r="O16" s="100">
        <v>0</v>
      </c>
      <c r="P16" s="100">
        <v>0.69</v>
      </c>
      <c r="Q16" s="100">
        <v>11.25</v>
      </c>
      <c r="R16" s="6"/>
      <c r="S16" s="6"/>
      <c r="T16" s="156"/>
      <c r="U16" s="6"/>
    </row>
    <row r="17" spans="1:21" customFormat="1">
      <c r="A17" s="163" t="s">
        <v>919</v>
      </c>
      <c r="B17" s="100">
        <v>13.73</v>
      </c>
      <c r="C17" s="100">
        <v>23.75</v>
      </c>
      <c r="D17" s="100">
        <v>24.77</v>
      </c>
      <c r="E17" s="100">
        <v>7.61</v>
      </c>
      <c r="F17" s="152" t="s">
        <v>15</v>
      </c>
      <c r="G17" s="100">
        <v>56.7</v>
      </c>
      <c r="H17" s="100">
        <v>15.85</v>
      </c>
      <c r="I17" s="100">
        <v>9.2899999999999991</v>
      </c>
      <c r="J17" s="100">
        <v>0.53</v>
      </c>
      <c r="K17" s="100">
        <v>55.46</v>
      </c>
      <c r="L17" s="100">
        <v>15.3</v>
      </c>
      <c r="M17" s="100">
        <v>65.459999999999994</v>
      </c>
      <c r="N17" s="100">
        <v>1.3</v>
      </c>
      <c r="O17" s="100">
        <v>0</v>
      </c>
      <c r="P17" s="100">
        <v>0.68</v>
      </c>
      <c r="Q17" s="100">
        <v>11.25</v>
      </c>
      <c r="R17" s="6"/>
      <c r="S17" s="6"/>
      <c r="T17" s="156"/>
      <c r="U17" s="6"/>
    </row>
    <row r="18" spans="1:21" customFormat="1">
      <c r="A18" s="163" t="s">
        <v>920</v>
      </c>
      <c r="B18" s="100">
        <v>13.09</v>
      </c>
      <c r="C18" s="100">
        <v>23.71</v>
      </c>
      <c r="D18" s="100">
        <v>24.23</v>
      </c>
      <c r="E18" s="100">
        <v>8.93</v>
      </c>
      <c r="F18" s="152" t="s">
        <v>15</v>
      </c>
      <c r="G18" s="100">
        <v>51.09</v>
      </c>
      <c r="H18" s="100">
        <v>14.61</v>
      </c>
      <c r="I18" s="100">
        <v>9.26</v>
      </c>
      <c r="J18" s="100">
        <v>0.34</v>
      </c>
      <c r="K18" s="100">
        <v>55.94</v>
      </c>
      <c r="L18" s="100">
        <v>15.09</v>
      </c>
      <c r="M18" s="100">
        <v>66.98</v>
      </c>
      <c r="N18" s="100">
        <v>1.3</v>
      </c>
      <c r="O18" s="100">
        <v>0</v>
      </c>
      <c r="P18" s="100">
        <v>0.68</v>
      </c>
      <c r="Q18" s="100">
        <v>11.25</v>
      </c>
      <c r="R18" s="6"/>
      <c r="S18" s="6"/>
      <c r="T18" s="156"/>
      <c r="U18" s="6"/>
    </row>
    <row r="19" spans="1:21" customFormat="1">
      <c r="A19" s="163" t="s">
        <v>921</v>
      </c>
      <c r="B19" s="100">
        <v>12.62</v>
      </c>
      <c r="C19" s="100">
        <v>23.63</v>
      </c>
      <c r="D19" s="100">
        <v>23.82</v>
      </c>
      <c r="E19" s="100">
        <v>9.0500000000000007</v>
      </c>
      <c r="F19" s="152" t="s">
        <v>15</v>
      </c>
      <c r="G19" s="100">
        <v>51.09</v>
      </c>
      <c r="H19" s="100">
        <v>14.61</v>
      </c>
      <c r="I19" s="100">
        <v>9.25</v>
      </c>
      <c r="J19" s="100">
        <v>0.27</v>
      </c>
      <c r="K19" s="100">
        <v>53.73</v>
      </c>
      <c r="L19" s="100">
        <v>14.84</v>
      </c>
      <c r="M19" s="100">
        <v>68.430000000000007</v>
      </c>
      <c r="N19" s="100">
        <v>1.2</v>
      </c>
      <c r="O19" s="100">
        <v>0</v>
      </c>
      <c r="P19" s="100">
        <v>0.66</v>
      </c>
      <c r="Q19" s="100">
        <v>11.25</v>
      </c>
      <c r="R19" s="6"/>
      <c r="S19" s="6"/>
      <c r="T19" s="156"/>
      <c r="U19" s="6"/>
    </row>
    <row r="20" spans="1:21" customFormat="1">
      <c r="A20" s="163" t="s">
        <v>922</v>
      </c>
      <c r="B20" s="100">
        <v>12.14</v>
      </c>
      <c r="C20" s="100">
        <v>23.43</v>
      </c>
      <c r="D20" s="100">
        <v>23.33</v>
      </c>
      <c r="E20" s="100">
        <v>9.1999999999999993</v>
      </c>
      <c r="F20" s="152" t="s">
        <v>15</v>
      </c>
      <c r="G20" s="100">
        <v>51.09</v>
      </c>
      <c r="H20" s="100">
        <v>14.61</v>
      </c>
      <c r="I20" s="100">
        <v>9.25</v>
      </c>
      <c r="J20" s="100">
        <v>7.0000000000000007E-2</v>
      </c>
      <c r="K20" s="100">
        <v>100.49</v>
      </c>
      <c r="L20" s="100">
        <v>14.64</v>
      </c>
      <c r="M20" s="100">
        <v>70.56</v>
      </c>
      <c r="N20" s="100">
        <v>1.2</v>
      </c>
      <c r="O20" s="100">
        <v>0</v>
      </c>
      <c r="P20" s="100">
        <v>0.64</v>
      </c>
      <c r="Q20" s="100">
        <v>11.25</v>
      </c>
      <c r="R20" s="6"/>
      <c r="S20" s="6"/>
      <c r="T20" s="156"/>
      <c r="U20" s="6"/>
    </row>
    <row r="21" spans="1:21" customFormat="1">
      <c r="A21" s="163" t="s">
        <v>923</v>
      </c>
      <c r="B21" s="100">
        <v>11.71</v>
      </c>
      <c r="C21" s="100">
        <v>23.19</v>
      </c>
      <c r="D21" s="100">
        <v>22.86</v>
      </c>
      <c r="E21" s="100">
        <v>9</v>
      </c>
      <c r="F21" s="152" t="s">
        <v>15</v>
      </c>
      <c r="G21" s="100">
        <v>46.23</v>
      </c>
      <c r="H21" s="100">
        <v>15.94</v>
      </c>
      <c r="I21" s="100">
        <v>9.1999999999999993</v>
      </c>
      <c r="J21" s="100">
        <v>0.12</v>
      </c>
      <c r="K21" s="100">
        <v>103.23</v>
      </c>
      <c r="L21" s="100">
        <v>14.25</v>
      </c>
      <c r="M21" s="100">
        <v>73.040000000000006</v>
      </c>
      <c r="N21" s="100">
        <v>1.2</v>
      </c>
      <c r="O21" s="100">
        <v>0</v>
      </c>
      <c r="P21" s="100">
        <v>0.63</v>
      </c>
      <c r="Q21" s="100">
        <v>11.25</v>
      </c>
      <c r="R21" s="6"/>
      <c r="S21" s="6"/>
      <c r="T21" s="156"/>
      <c r="U21" s="6"/>
    </row>
    <row r="22" spans="1:21" customFormat="1">
      <c r="A22" s="163" t="s">
        <v>924</v>
      </c>
      <c r="B22" s="100">
        <v>11.26</v>
      </c>
      <c r="C22" s="100">
        <v>23.06</v>
      </c>
      <c r="D22" s="100">
        <v>22.43</v>
      </c>
      <c r="E22" s="100">
        <v>9.11</v>
      </c>
      <c r="F22" s="152" t="s">
        <v>15</v>
      </c>
      <c r="G22" s="100">
        <v>42.68</v>
      </c>
      <c r="H22" s="100">
        <v>16.36</v>
      </c>
      <c r="I22" s="100">
        <v>9.1199999999999992</v>
      </c>
      <c r="J22" s="100">
        <v>0.11</v>
      </c>
      <c r="K22" s="100">
        <v>191.05</v>
      </c>
      <c r="L22" s="100">
        <v>14.02</v>
      </c>
      <c r="M22" s="100">
        <v>74.88</v>
      </c>
      <c r="N22" s="100">
        <v>1.1000000000000001</v>
      </c>
      <c r="O22" s="100">
        <v>0</v>
      </c>
      <c r="P22" s="100">
        <v>0.62</v>
      </c>
      <c r="Q22" s="100">
        <v>11.25</v>
      </c>
      <c r="R22" s="6"/>
      <c r="S22" s="6"/>
      <c r="T22" s="156"/>
      <c r="U22" s="6"/>
    </row>
    <row r="23" spans="1:21" customFormat="1">
      <c r="A23" s="163" t="s">
        <v>925</v>
      </c>
      <c r="B23" s="100">
        <v>10.75</v>
      </c>
      <c r="C23" s="100">
        <v>22.78</v>
      </c>
      <c r="D23" s="100">
        <v>21.87</v>
      </c>
      <c r="E23" s="100">
        <v>8.3800000000000008</v>
      </c>
      <c r="F23" s="152" t="s">
        <v>15</v>
      </c>
      <c r="G23" s="100">
        <v>42.68</v>
      </c>
      <c r="H23" s="100">
        <v>16.36</v>
      </c>
      <c r="I23" s="100">
        <v>9.16</v>
      </c>
      <c r="J23" s="100">
        <v>0.22</v>
      </c>
      <c r="K23" s="100">
        <v>210.53</v>
      </c>
      <c r="L23" s="100">
        <v>13.5</v>
      </c>
      <c r="M23" s="100">
        <v>81.790000000000006</v>
      </c>
      <c r="N23" s="100">
        <v>1.5</v>
      </c>
      <c r="O23" s="100">
        <v>0</v>
      </c>
      <c r="P23" s="100">
        <v>0.61</v>
      </c>
      <c r="Q23" s="100">
        <v>11.25</v>
      </c>
      <c r="R23" s="6"/>
      <c r="S23" s="6"/>
      <c r="T23" s="156"/>
      <c r="U23" s="6"/>
    </row>
    <row r="24" spans="1:21" customFormat="1">
      <c r="A24" s="163" t="s">
        <v>926</v>
      </c>
      <c r="B24" s="100">
        <v>10.16</v>
      </c>
      <c r="C24" s="100">
        <v>22.36</v>
      </c>
      <c r="D24" s="100">
        <v>21.19</v>
      </c>
      <c r="E24" s="100">
        <v>8.31</v>
      </c>
      <c r="F24" s="152" t="s">
        <v>15</v>
      </c>
      <c r="G24" s="100">
        <v>42.68</v>
      </c>
      <c r="H24" s="100">
        <v>16.36</v>
      </c>
      <c r="I24" s="100">
        <v>9.08</v>
      </c>
      <c r="J24" s="100">
        <v>0.12</v>
      </c>
      <c r="K24" s="100">
        <v>169.6</v>
      </c>
      <c r="L24" s="100">
        <v>12.94</v>
      </c>
      <c r="M24" s="100">
        <v>84.71</v>
      </c>
      <c r="N24" s="100">
        <v>1.3</v>
      </c>
      <c r="O24" s="100">
        <v>0</v>
      </c>
      <c r="P24" s="100">
        <v>0.6</v>
      </c>
      <c r="Q24" s="100">
        <v>11.25</v>
      </c>
      <c r="R24" s="6"/>
      <c r="S24" s="6"/>
      <c r="T24" s="156"/>
      <c r="U24" s="6"/>
    </row>
    <row r="25" spans="1:21" customFormat="1">
      <c r="A25" s="163" t="s">
        <v>927</v>
      </c>
      <c r="B25" s="100">
        <v>9.7899999999999991</v>
      </c>
      <c r="C25" s="100">
        <v>21.81</v>
      </c>
      <c r="D25" s="100">
        <v>20.6</v>
      </c>
      <c r="E25" s="100">
        <v>8.1300000000000008</v>
      </c>
      <c r="F25" s="152" t="s">
        <v>15</v>
      </c>
      <c r="G25" s="100">
        <v>43</v>
      </c>
      <c r="H25" s="100">
        <v>15.3</v>
      </c>
      <c r="I25" s="100">
        <v>8.9</v>
      </c>
      <c r="J25" s="100">
        <v>0.15</v>
      </c>
      <c r="K25" s="100">
        <v>169.69</v>
      </c>
      <c r="L25" s="100">
        <v>12.89</v>
      </c>
      <c r="M25" s="100">
        <v>85.49</v>
      </c>
      <c r="N25" s="100">
        <v>1</v>
      </c>
      <c r="O25" s="100">
        <v>0</v>
      </c>
      <c r="P25" s="100">
        <v>0.6</v>
      </c>
      <c r="Q25" s="100">
        <v>11.25</v>
      </c>
      <c r="R25" s="6"/>
      <c r="S25" s="6"/>
      <c r="T25" s="156"/>
      <c r="U25" s="6"/>
    </row>
    <row r="26" spans="1:21" customFormat="1">
      <c r="A26" s="163" t="s">
        <v>928</v>
      </c>
      <c r="B26" s="100">
        <v>9.5399999999999991</v>
      </c>
      <c r="C26" s="100">
        <v>21.3</v>
      </c>
      <c r="D26" s="100">
        <v>20.13</v>
      </c>
      <c r="E26" s="100">
        <v>8.2799999999999994</v>
      </c>
      <c r="F26" s="152" t="s">
        <v>15</v>
      </c>
      <c r="G26" s="100">
        <v>43.24</v>
      </c>
      <c r="H26" s="100">
        <v>14.96</v>
      </c>
      <c r="I26" s="100">
        <v>8.82</v>
      </c>
      <c r="J26" s="100">
        <v>0.21</v>
      </c>
      <c r="K26" s="100">
        <v>186.94</v>
      </c>
      <c r="L26" s="100">
        <v>12.82</v>
      </c>
      <c r="M26" s="100">
        <v>87.21</v>
      </c>
      <c r="N26" s="100">
        <v>1</v>
      </c>
      <c r="O26" s="100">
        <v>0</v>
      </c>
      <c r="P26" s="100">
        <v>0.59</v>
      </c>
      <c r="Q26" s="100">
        <v>11.25</v>
      </c>
      <c r="R26" s="6"/>
      <c r="S26" s="6"/>
      <c r="T26" s="156"/>
      <c r="U26" s="6"/>
    </row>
    <row r="27" spans="1:21" customFormat="1">
      <c r="A27" s="163" t="s">
        <v>929</v>
      </c>
      <c r="B27" s="100">
        <v>9.26</v>
      </c>
      <c r="C27" s="100">
        <v>20.86</v>
      </c>
      <c r="D27" s="100">
        <v>19.68</v>
      </c>
      <c r="E27" s="100">
        <v>7.51</v>
      </c>
      <c r="F27" s="152" t="s">
        <v>15</v>
      </c>
      <c r="G27" s="100">
        <v>43.24</v>
      </c>
      <c r="H27" s="100">
        <v>14.96</v>
      </c>
      <c r="I27" s="100">
        <v>8.86</v>
      </c>
      <c r="J27" s="100">
        <v>0.17</v>
      </c>
      <c r="K27" s="100">
        <v>189.05</v>
      </c>
      <c r="L27" s="100">
        <v>12.44</v>
      </c>
      <c r="M27" s="100">
        <v>89.18</v>
      </c>
      <c r="N27" s="100">
        <v>1.3</v>
      </c>
      <c r="O27" s="100">
        <v>0</v>
      </c>
      <c r="P27" s="100">
        <v>0.57999999999999996</v>
      </c>
      <c r="Q27" s="100">
        <v>11.25</v>
      </c>
      <c r="R27" s="6"/>
      <c r="S27" s="6"/>
      <c r="T27" s="156"/>
      <c r="U27" s="6"/>
    </row>
    <row r="28" spans="1:21" customFormat="1">
      <c r="A28" s="163" t="s">
        <v>930</v>
      </c>
      <c r="B28" s="100">
        <v>9.2899999999999991</v>
      </c>
      <c r="C28" s="100">
        <v>20.66</v>
      </c>
      <c r="D28" s="100">
        <v>19.59</v>
      </c>
      <c r="E28" s="100">
        <v>7.76</v>
      </c>
      <c r="F28" s="152" t="s">
        <v>15</v>
      </c>
      <c r="G28" s="100">
        <v>43.24</v>
      </c>
      <c r="H28" s="100">
        <v>14.96</v>
      </c>
      <c r="I28" s="100">
        <v>8.8000000000000007</v>
      </c>
      <c r="J28" s="100">
        <v>0.14000000000000001</v>
      </c>
      <c r="K28" s="100">
        <v>174.01</v>
      </c>
      <c r="L28" s="100">
        <v>12.31</v>
      </c>
      <c r="M28" s="100">
        <v>88.53</v>
      </c>
      <c r="N28" s="100">
        <v>1</v>
      </c>
      <c r="O28" s="100">
        <v>0</v>
      </c>
      <c r="P28" s="100">
        <v>0.56999999999999995</v>
      </c>
      <c r="Q28" s="100">
        <v>11.25</v>
      </c>
      <c r="R28" s="6"/>
      <c r="S28" s="6"/>
      <c r="T28" s="156"/>
      <c r="U28" s="6"/>
    </row>
    <row r="29" spans="1:21" customFormat="1">
      <c r="A29" s="163" t="s">
        <v>931</v>
      </c>
      <c r="B29" s="100">
        <v>10.47</v>
      </c>
      <c r="C29" s="100">
        <v>20.86</v>
      </c>
      <c r="D29" s="100">
        <v>20.64</v>
      </c>
      <c r="E29" s="100">
        <v>8.0399999999999991</v>
      </c>
      <c r="F29" s="152" t="s">
        <v>15</v>
      </c>
      <c r="G29" s="100">
        <v>41.08</v>
      </c>
      <c r="H29" s="100">
        <v>14.82</v>
      </c>
      <c r="I29" s="100">
        <v>8.77</v>
      </c>
      <c r="J29" s="100">
        <v>0.15</v>
      </c>
      <c r="K29" s="100">
        <v>192</v>
      </c>
      <c r="L29" s="100">
        <v>12.24</v>
      </c>
      <c r="M29" s="100">
        <v>87.84</v>
      </c>
      <c r="N29" s="100">
        <v>1</v>
      </c>
      <c r="O29" s="100">
        <v>0</v>
      </c>
      <c r="P29" s="100">
        <v>0.6</v>
      </c>
      <c r="Q29" s="100">
        <v>11.25</v>
      </c>
      <c r="R29" s="6"/>
      <c r="S29" s="6"/>
      <c r="T29" s="156"/>
      <c r="U29" s="6"/>
    </row>
    <row r="30" spans="1:21" customFormat="1">
      <c r="A30" s="163" t="s">
        <v>932</v>
      </c>
      <c r="B30" s="100">
        <v>11.91</v>
      </c>
      <c r="C30" s="100">
        <v>21.44</v>
      </c>
      <c r="D30" s="100">
        <v>22.1</v>
      </c>
      <c r="E30" s="100">
        <v>8.17</v>
      </c>
      <c r="F30" s="152" t="s">
        <v>15</v>
      </c>
      <c r="G30" s="100">
        <v>39.51</v>
      </c>
      <c r="H30" s="100">
        <v>14.77</v>
      </c>
      <c r="I30" s="100">
        <v>8.76</v>
      </c>
      <c r="J30" s="100">
        <v>0.14000000000000001</v>
      </c>
      <c r="K30" s="100">
        <v>163.54</v>
      </c>
      <c r="L30" s="100">
        <v>12.16</v>
      </c>
      <c r="M30" s="100">
        <v>88.09</v>
      </c>
      <c r="N30" s="100">
        <v>0.9</v>
      </c>
      <c r="O30" s="100">
        <v>0</v>
      </c>
      <c r="P30" s="100">
        <v>0.63</v>
      </c>
      <c r="Q30" s="100">
        <v>11.25</v>
      </c>
      <c r="R30" s="6"/>
      <c r="S30" s="6"/>
      <c r="T30" s="156"/>
      <c r="U30" s="6"/>
    </row>
    <row r="31" spans="1:21" customFormat="1">
      <c r="A31" s="163" t="s">
        <v>933</v>
      </c>
      <c r="B31" s="100">
        <v>12.94</v>
      </c>
      <c r="C31" s="100">
        <v>21.7</v>
      </c>
      <c r="D31" s="100">
        <v>23.07</v>
      </c>
      <c r="E31" s="100">
        <v>8.3699999999999992</v>
      </c>
      <c r="F31" s="152" t="s">
        <v>15</v>
      </c>
      <c r="G31" s="100">
        <v>39.51</v>
      </c>
      <c r="H31" s="100">
        <v>14.77</v>
      </c>
      <c r="I31" s="100">
        <v>8.76</v>
      </c>
      <c r="J31" s="100">
        <v>0.14000000000000001</v>
      </c>
      <c r="K31" s="100">
        <v>173.16</v>
      </c>
      <c r="L31" s="100">
        <v>12.21</v>
      </c>
      <c r="M31" s="100">
        <v>89.32</v>
      </c>
      <c r="N31" s="100">
        <v>0.9</v>
      </c>
      <c r="O31" s="100">
        <v>0</v>
      </c>
      <c r="P31" s="100">
        <v>0.64</v>
      </c>
      <c r="Q31" s="100">
        <v>11.25</v>
      </c>
      <c r="R31" s="6"/>
      <c r="S31" s="6"/>
      <c r="T31" s="156"/>
      <c r="U31" s="6"/>
    </row>
    <row r="32" spans="1:21" customFormat="1">
      <c r="A32" s="163" t="s">
        <v>934</v>
      </c>
      <c r="B32" s="100">
        <v>13.6</v>
      </c>
      <c r="C32" s="100">
        <v>21.8</v>
      </c>
      <c r="D32" s="100">
        <v>23.64</v>
      </c>
      <c r="E32" s="100">
        <v>7.83</v>
      </c>
      <c r="F32" s="152" t="s">
        <v>15</v>
      </c>
      <c r="G32" s="100">
        <v>39.51</v>
      </c>
      <c r="H32" s="100">
        <v>14.77</v>
      </c>
      <c r="I32" s="100">
        <v>8.91</v>
      </c>
      <c r="J32" s="100">
        <v>0.21</v>
      </c>
      <c r="K32" s="100">
        <v>188.86</v>
      </c>
      <c r="L32" s="100">
        <v>12.07</v>
      </c>
      <c r="M32" s="100">
        <v>89.97</v>
      </c>
      <c r="N32" s="100">
        <v>1</v>
      </c>
      <c r="O32" s="100">
        <v>0</v>
      </c>
      <c r="P32" s="100">
        <v>0.65</v>
      </c>
      <c r="Q32" s="100">
        <v>11.25</v>
      </c>
      <c r="R32" s="6"/>
      <c r="S32" s="6"/>
      <c r="T32" s="156"/>
      <c r="U32" s="6"/>
    </row>
    <row r="33" spans="1:21" customFormat="1">
      <c r="A33" s="163" t="s">
        <v>935</v>
      </c>
      <c r="B33" s="100">
        <v>13.68</v>
      </c>
      <c r="C33" s="100">
        <v>21.78</v>
      </c>
      <c r="D33" s="100">
        <v>23.7</v>
      </c>
      <c r="E33" s="100">
        <v>8.15</v>
      </c>
      <c r="F33" s="152" t="s">
        <v>15</v>
      </c>
      <c r="G33" s="100">
        <v>42.06</v>
      </c>
      <c r="H33" s="100">
        <v>15.3</v>
      </c>
      <c r="I33" s="100">
        <v>8.9499999999999993</v>
      </c>
      <c r="J33" s="100">
        <v>0.2</v>
      </c>
      <c r="K33" s="100">
        <v>211.19</v>
      </c>
      <c r="L33" s="100">
        <v>11.48</v>
      </c>
      <c r="M33" s="100">
        <v>92.47</v>
      </c>
      <c r="N33" s="100">
        <v>1.7</v>
      </c>
      <c r="O33" s="100">
        <v>0</v>
      </c>
      <c r="P33" s="100">
        <v>0.65</v>
      </c>
      <c r="Q33" s="100">
        <v>11.25</v>
      </c>
      <c r="R33" s="6"/>
      <c r="S33" s="6"/>
      <c r="T33" s="156"/>
      <c r="U33" s="6"/>
    </row>
    <row r="34" spans="1:21" customFormat="1">
      <c r="A34" s="163" t="s">
        <v>936</v>
      </c>
      <c r="B34" s="100">
        <v>13.34</v>
      </c>
      <c r="C34" s="100">
        <v>21.36</v>
      </c>
      <c r="D34" s="100">
        <v>23.21</v>
      </c>
      <c r="E34" s="100">
        <v>7.93</v>
      </c>
      <c r="F34" s="152" t="s">
        <v>15</v>
      </c>
      <c r="G34" s="100">
        <v>44.01</v>
      </c>
      <c r="H34" s="100">
        <v>15.45</v>
      </c>
      <c r="I34" s="100">
        <v>8.94</v>
      </c>
      <c r="J34" s="100">
        <v>0.16</v>
      </c>
      <c r="K34" s="100">
        <v>243.82</v>
      </c>
      <c r="L34" s="100">
        <v>11.09</v>
      </c>
      <c r="M34" s="100">
        <v>92.43</v>
      </c>
      <c r="N34" s="100">
        <v>2.6</v>
      </c>
      <c r="O34" s="100">
        <v>0</v>
      </c>
      <c r="P34" s="100">
        <v>0.64</v>
      </c>
      <c r="Q34" s="100">
        <v>11.25</v>
      </c>
      <c r="R34" s="6"/>
      <c r="S34" s="6"/>
      <c r="T34" s="156"/>
      <c r="U34" s="6"/>
    </row>
    <row r="35" spans="1:21" customFormat="1">
      <c r="A35" s="163" t="s">
        <v>937</v>
      </c>
      <c r="B35" s="100">
        <v>12.81</v>
      </c>
      <c r="C35" s="100">
        <v>20.93</v>
      </c>
      <c r="D35" s="100">
        <v>22.56</v>
      </c>
      <c r="E35" s="100">
        <v>8.2200000000000006</v>
      </c>
      <c r="F35" s="152" t="s">
        <v>15</v>
      </c>
      <c r="G35" s="100">
        <v>44.01</v>
      </c>
      <c r="H35" s="100">
        <v>15.45</v>
      </c>
      <c r="I35" s="100">
        <v>9.06</v>
      </c>
      <c r="J35" s="100">
        <v>0.19</v>
      </c>
      <c r="K35" s="100">
        <v>255.21</v>
      </c>
      <c r="L35" s="100">
        <v>11.06</v>
      </c>
      <c r="M35" s="100">
        <v>92.27</v>
      </c>
      <c r="N35" s="100">
        <v>6.3</v>
      </c>
      <c r="O35" s="100">
        <v>0</v>
      </c>
      <c r="P35" s="100">
        <v>0.64</v>
      </c>
      <c r="Q35" s="100">
        <v>11.25</v>
      </c>
      <c r="R35" s="6"/>
      <c r="S35" s="6"/>
      <c r="T35" s="156"/>
      <c r="U35" s="6"/>
    </row>
    <row r="36" spans="1:21" customFormat="1">
      <c r="A36" s="163" t="s">
        <v>938</v>
      </c>
      <c r="B36" s="100">
        <v>12.51</v>
      </c>
      <c r="C36" s="100">
        <v>20.38</v>
      </c>
      <c r="D36" s="100">
        <v>22.03</v>
      </c>
      <c r="E36" s="100">
        <v>8.2200000000000006</v>
      </c>
      <c r="F36" s="152" t="s">
        <v>15</v>
      </c>
      <c r="G36" s="100">
        <v>44.01</v>
      </c>
      <c r="H36" s="100">
        <v>15.45</v>
      </c>
      <c r="I36" s="100">
        <v>9.1</v>
      </c>
      <c r="J36" s="100">
        <v>0.14000000000000001</v>
      </c>
      <c r="K36" s="100">
        <v>202.87</v>
      </c>
      <c r="L36" s="100">
        <v>11.32</v>
      </c>
      <c r="M36" s="100">
        <v>92.07</v>
      </c>
      <c r="N36" s="100">
        <v>12.8</v>
      </c>
      <c r="O36" s="100">
        <v>0</v>
      </c>
      <c r="P36" s="100">
        <v>0.64</v>
      </c>
      <c r="Q36" s="100">
        <v>11.25</v>
      </c>
      <c r="R36" s="6"/>
      <c r="S36" s="6"/>
      <c r="T36" s="156"/>
      <c r="U36" s="6"/>
    </row>
    <row r="37" spans="1:21" customFormat="1">
      <c r="A37" s="163" t="s">
        <v>939</v>
      </c>
      <c r="B37" s="100">
        <v>12.26</v>
      </c>
      <c r="C37" s="100">
        <v>19.79</v>
      </c>
      <c r="D37" s="100">
        <v>21.53</v>
      </c>
      <c r="E37" s="100">
        <v>7.81</v>
      </c>
      <c r="F37" s="152" t="s">
        <v>15</v>
      </c>
      <c r="G37" s="100">
        <v>46.66</v>
      </c>
      <c r="H37" s="100">
        <v>16.79</v>
      </c>
      <c r="I37" s="100">
        <v>9.08</v>
      </c>
      <c r="J37" s="100">
        <v>0.19</v>
      </c>
      <c r="K37" s="100">
        <v>148.13999999999999</v>
      </c>
      <c r="L37" s="100">
        <v>11.69</v>
      </c>
      <c r="M37" s="100">
        <v>92.63</v>
      </c>
      <c r="N37" s="100">
        <v>21.8</v>
      </c>
      <c r="O37" s="100">
        <v>0</v>
      </c>
      <c r="P37" s="100">
        <v>0.65</v>
      </c>
      <c r="Q37" s="100">
        <v>11.25</v>
      </c>
      <c r="R37" s="6"/>
      <c r="S37" s="6"/>
      <c r="T37" s="156"/>
      <c r="U37" s="6"/>
    </row>
    <row r="38" spans="1:21" customFormat="1">
      <c r="A38" s="163" t="s">
        <v>940</v>
      </c>
      <c r="B38" s="100">
        <v>12</v>
      </c>
      <c r="C38" s="100">
        <v>19.45</v>
      </c>
      <c r="D38" s="100">
        <v>21.14</v>
      </c>
      <c r="E38" s="100">
        <v>7.44</v>
      </c>
      <c r="F38" s="152" t="s">
        <v>15</v>
      </c>
      <c r="G38" s="100">
        <v>48.6</v>
      </c>
      <c r="H38" s="100">
        <v>17.559999999999999</v>
      </c>
      <c r="I38" s="100">
        <v>9.17</v>
      </c>
      <c r="J38" s="100">
        <v>0.16</v>
      </c>
      <c r="K38" s="100">
        <v>155.43</v>
      </c>
      <c r="L38" s="100">
        <v>12.09</v>
      </c>
      <c r="M38" s="100">
        <v>90.75</v>
      </c>
      <c r="N38" s="100">
        <v>31.4</v>
      </c>
      <c r="O38" s="100">
        <v>0</v>
      </c>
      <c r="P38" s="100">
        <v>0.65</v>
      </c>
      <c r="Q38" s="100">
        <v>11.25</v>
      </c>
      <c r="R38" s="6"/>
      <c r="S38" s="6"/>
      <c r="T38" s="156"/>
      <c r="U38" s="6"/>
    </row>
    <row r="39" spans="1:21" customFormat="1">
      <c r="A39" s="163" t="s">
        <v>941</v>
      </c>
      <c r="B39" s="100">
        <v>11.65</v>
      </c>
      <c r="C39" s="100">
        <v>19.28</v>
      </c>
      <c r="D39" s="100">
        <v>20.77</v>
      </c>
      <c r="E39" s="100">
        <v>7.85</v>
      </c>
      <c r="F39" s="152" t="s">
        <v>15</v>
      </c>
      <c r="G39" s="100">
        <v>48.6</v>
      </c>
      <c r="H39" s="100">
        <v>17.559999999999999</v>
      </c>
      <c r="I39" s="100">
        <v>9.23</v>
      </c>
      <c r="J39" s="100">
        <v>0.09</v>
      </c>
      <c r="K39" s="100">
        <v>176.32</v>
      </c>
      <c r="L39" s="100">
        <v>13.01</v>
      </c>
      <c r="M39" s="100">
        <v>86.95</v>
      </c>
      <c r="N39" s="100">
        <v>41.1</v>
      </c>
      <c r="O39" s="100">
        <v>0</v>
      </c>
      <c r="P39" s="100">
        <v>0.66</v>
      </c>
      <c r="Q39" s="100">
        <v>11.25</v>
      </c>
      <c r="R39" s="6"/>
      <c r="S39" s="6"/>
      <c r="T39" s="156"/>
      <c r="U39" s="6"/>
    </row>
    <row r="40" spans="1:21" customFormat="1">
      <c r="A40" s="163" t="s">
        <v>942</v>
      </c>
      <c r="B40" s="100">
        <v>11.4</v>
      </c>
      <c r="C40" s="100">
        <v>19.5</v>
      </c>
      <c r="D40" s="100">
        <v>20.68</v>
      </c>
      <c r="E40" s="100">
        <v>7.82</v>
      </c>
      <c r="F40" s="152" t="s">
        <v>15</v>
      </c>
      <c r="G40" s="100">
        <v>48.6</v>
      </c>
      <c r="H40" s="100">
        <v>17.559999999999999</v>
      </c>
      <c r="I40" s="100">
        <v>9.33</v>
      </c>
      <c r="J40" s="100">
        <v>0.23</v>
      </c>
      <c r="K40" s="100">
        <v>37.65</v>
      </c>
      <c r="L40" s="100">
        <v>14.2</v>
      </c>
      <c r="M40" s="100">
        <v>77.13</v>
      </c>
      <c r="N40" s="100">
        <v>57.6</v>
      </c>
      <c r="O40" s="100">
        <v>0</v>
      </c>
      <c r="P40" s="100">
        <v>0.67</v>
      </c>
      <c r="Q40" s="100">
        <v>11.25</v>
      </c>
      <c r="R40" s="6"/>
      <c r="S40" s="6"/>
      <c r="T40" s="156"/>
      <c r="U40" s="6"/>
    </row>
    <row r="41" spans="1:21" customFormat="1">
      <c r="A41" s="163" t="s">
        <v>943</v>
      </c>
      <c r="B41" s="100">
        <v>11.35</v>
      </c>
      <c r="C41" s="100">
        <v>19.95</v>
      </c>
      <c r="D41" s="100">
        <v>20.88</v>
      </c>
      <c r="E41" s="100">
        <v>7.55</v>
      </c>
      <c r="F41" s="152" t="s">
        <v>15</v>
      </c>
      <c r="G41" s="100">
        <v>51.92</v>
      </c>
      <c r="H41" s="100">
        <v>19.04</v>
      </c>
      <c r="I41" s="100">
        <v>9.4600000000000009</v>
      </c>
      <c r="J41" s="100">
        <v>0.26</v>
      </c>
      <c r="K41" s="100">
        <v>15.33</v>
      </c>
      <c r="L41" s="100">
        <v>15.23</v>
      </c>
      <c r="M41" s="100">
        <v>69.33</v>
      </c>
      <c r="N41" s="100">
        <v>171.9</v>
      </c>
      <c r="O41" s="100">
        <v>0</v>
      </c>
      <c r="P41" s="100">
        <v>0.69</v>
      </c>
      <c r="Q41" s="100">
        <v>11.25</v>
      </c>
      <c r="R41" s="6"/>
      <c r="S41" s="6"/>
      <c r="T41" s="156"/>
      <c r="U41" s="6"/>
    </row>
    <row r="42" spans="1:21" customFormat="1">
      <c r="A42" s="163" t="s">
        <v>944</v>
      </c>
      <c r="B42" s="100">
        <v>11.27</v>
      </c>
      <c r="C42" s="100">
        <v>20.86</v>
      </c>
      <c r="D42" s="100">
        <v>21.29</v>
      </c>
      <c r="E42" s="100">
        <v>7.74</v>
      </c>
      <c r="F42" s="152" t="s">
        <v>15</v>
      </c>
      <c r="G42" s="100">
        <v>54.35</v>
      </c>
      <c r="H42" s="100">
        <v>19.48</v>
      </c>
      <c r="I42" s="100">
        <v>9.59</v>
      </c>
      <c r="J42" s="100">
        <v>0.28999999999999998</v>
      </c>
      <c r="K42" s="100">
        <v>12.63</v>
      </c>
      <c r="L42" s="100">
        <v>16.18</v>
      </c>
      <c r="M42" s="100">
        <v>64.73</v>
      </c>
      <c r="N42" s="100">
        <v>205.3</v>
      </c>
      <c r="O42" s="100">
        <v>0</v>
      </c>
      <c r="P42" s="100">
        <v>0.69</v>
      </c>
      <c r="Q42" s="100">
        <v>11.25</v>
      </c>
      <c r="R42" s="6"/>
      <c r="S42" s="6"/>
      <c r="T42" s="156"/>
      <c r="U42" s="6"/>
    </row>
    <row r="43" spans="1:21" customFormat="1">
      <c r="A43" s="163" t="s">
        <v>945</v>
      </c>
      <c r="B43" s="100">
        <v>10.96</v>
      </c>
      <c r="C43" s="100">
        <v>21.65</v>
      </c>
      <c r="D43" s="100">
        <v>21.45</v>
      </c>
      <c r="E43" s="100">
        <v>8.0500000000000007</v>
      </c>
      <c r="F43" s="152" t="s">
        <v>15</v>
      </c>
      <c r="G43" s="100">
        <v>54.35</v>
      </c>
      <c r="H43" s="100">
        <v>19.48</v>
      </c>
      <c r="I43" s="100">
        <v>9.6999999999999993</v>
      </c>
      <c r="J43" s="100">
        <v>0.63</v>
      </c>
      <c r="K43" s="100">
        <v>51.97</v>
      </c>
      <c r="L43" s="100">
        <v>16.989999999999998</v>
      </c>
      <c r="M43" s="100">
        <v>59.77</v>
      </c>
      <c r="N43" s="100">
        <v>188.5</v>
      </c>
      <c r="O43" s="100">
        <v>0</v>
      </c>
      <c r="P43" s="100">
        <v>0.69</v>
      </c>
      <c r="Q43" s="100">
        <v>11.25</v>
      </c>
      <c r="R43" s="6"/>
      <c r="S43" s="6"/>
      <c r="T43" s="156"/>
      <c r="U43" s="6"/>
    </row>
    <row r="44" spans="1:21" customFormat="1">
      <c r="A44" s="163" t="s">
        <v>946</v>
      </c>
      <c r="B44" s="100">
        <v>10.62</v>
      </c>
      <c r="C44" s="100">
        <v>22.36</v>
      </c>
      <c r="D44" s="100">
        <v>21.56</v>
      </c>
      <c r="E44" s="100">
        <v>8.0399999999999991</v>
      </c>
      <c r="F44" s="152" t="s">
        <v>15</v>
      </c>
      <c r="G44" s="100">
        <v>54.35</v>
      </c>
      <c r="H44" s="100">
        <v>19.48</v>
      </c>
      <c r="I44" s="100">
        <v>9.77</v>
      </c>
      <c r="J44" s="100">
        <v>0.43</v>
      </c>
      <c r="K44" s="100">
        <v>70.77</v>
      </c>
      <c r="L44" s="100">
        <v>18</v>
      </c>
      <c r="M44" s="100">
        <v>55.85</v>
      </c>
      <c r="N44" s="100">
        <v>273.7</v>
      </c>
      <c r="O44" s="100">
        <v>0</v>
      </c>
      <c r="P44" s="100">
        <v>0.7</v>
      </c>
      <c r="Q44" s="100">
        <v>11.25</v>
      </c>
      <c r="R44" s="6"/>
      <c r="S44" s="6"/>
      <c r="T44" s="156"/>
      <c r="U44" s="6"/>
    </row>
    <row r="45" spans="1:21" customFormat="1">
      <c r="A45" s="163" t="s">
        <v>947</v>
      </c>
      <c r="B45" s="100">
        <v>10.4</v>
      </c>
      <c r="C45" s="100">
        <v>22.93</v>
      </c>
      <c r="D45" s="100">
        <v>21.67</v>
      </c>
      <c r="E45" s="100">
        <v>8.09</v>
      </c>
      <c r="F45" s="152" t="s">
        <v>15</v>
      </c>
      <c r="G45" s="100">
        <v>61.61</v>
      </c>
      <c r="H45" s="100">
        <v>20.98</v>
      </c>
      <c r="I45" s="100">
        <v>9.8000000000000007</v>
      </c>
      <c r="J45" s="100">
        <v>0.52</v>
      </c>
      <c r="K45" s="100">
        <v>51.49</v>
      </c>
      <c r="L45" s="100">
        <v>18.38</v>
      </c>
      <c r="M45" s="100">
        <v>54.36</v>
      </c>
      <c r="N45" s="100">
        <v>171.6</v>
      </c>
      <c r="O45" s="100">
        <v>0</v>
      </c>
      <c r="P45" s="100">
        <v>0.7</v>
      </c>
      <c r="Q45" s="100">
        <v>11.25</v>
      </c>
      <c r="R45" s="6"/>
      <c r="S45" s="6"/>
      <c r="T45" s="156"/>
      <c r="U45" s="6"/>
    </row>
    <row r="46" spans="1:21" customFormat="1">
      <c r="A46" s="163" t="s">
        <v>948</v>
      </c>
      <c r="B46" s="100">
        <v>10.23</v>
      </c>
      <c r="C46" s="100">
        <v>23.18</v>
      </c>
      <c r="D46" s="100">
        <v>21.66</v>
      </c>
      <c r="E46" s="100">
        <v>7.48</v>
      </c>
      <c r="F46" s="152" t="s">
        <v>15</v>
      </c>
      <c r="G46" s="100">
        <v>66.92</v>
      </c>
      <c r="H46" s="100">
        <v>21.46</v>
      </c>
      <c r="I46" s="100">
        <v>9.7899999999999991</v>
      </c>
      <c r="J46" s="100">
        <v>0.56999999999999995</v>
      </c>
      <c r="K46" s="100">
        <v>57.63</v>
      </c>
      <c r="L46" s="100">
        <v>19.14</v>
      </c>
      <c r="M46" s="100">
        <v>50.27</v>
      </c>
      <c r="N46" s="100">
        <v>122.5</v>
      </c>
      <c r="O46" s="100">
        <v>0</v>
      </c>
      <c r="P46" s="100">
        <v>0.69</v>
      </c>
      <c r="Q46" s="100">
        <v>11.25</v>
      </c>
      <c r="R46" s="6"/>
      <c r="S46" s="6"/>
      <c r="T46" s="156"/>
      <c r="U46" s="6"/>
    </row>
    <row r="47" spans="1:21" customFormat="1">
      <c r="A47" s="163" t="s">
        <v>949</v>
      </c>
      <c r="B47" s="100">
        <v>10.24</v>
      </c>
      <c r="C47" s="100">
        <v>23.43</v>
      </c>
      <c r="D47" s="100">
        <v>21.8</v>
      </c>
      <c r="E47" s="100">
        <v>8.23</v>
      </c>
      <c r="F47" s="152" t="s">
        <v>15</v>
      </c>
      <c r="G47" s="100">
        <v>66.92</v>
      </c>
      <c r="H47" s="100">
        <v>21.46</v>
      </c>
      <c r="I47" s="100">
        <v>9.73</v>
      </c>
      <c r="J47" s="100">
        <v>0.39</v>
      </c>
      <c r="K47" s="100">
        <v>86.28</v>
      </c>
      <c r="L47" s="100">
        <v>19.760000000000002</v>
      </c>
      <c r="M47" s="100">
        <v>47.03</v>
      </c>
      <c r="N47" s="100">
        <v>139.6</v>
      </c>
      <c r="O47" s="100">
        <v>0</v>
      </c>
      <c r="P47" s="100">
        <v>0.7</v>
      </c>
      <c r="Q47" s="100">
        <v>11.25</v>
      </c>
      <c r="R47" s="6"/>
      <c r="S47" s="6"/>
      <c r="T47" s="156"/>
      <c r="U47" s="6"/>
    </row>
    <row r="48" spans="1:21" customFormat="1">
      <c r="A48" s="163" t="s">
        <v>950</v>
      </c>
      <c r="B48" s="100">
        <v>10.029999999999999</v>
      </c>
      <c r="C48" s="100">
        <v>23.71</v>
      </c>
      <c r="D48" s="100">
        <v>21.78</v>
      </c>
      <c r="E48" s="100">
        <v>8.51</v>
      </c>
      <c r="F48" s="152" t="s">
        <v>15</v>
      </c>
      <c r="G48" s="100">
        <v>66.92</v>
      </c>
      <c r="H48" s="100">
        <v>21.46</v>
      </c>
      <c r="I48" s="100">
        <v>9.66</v>
      </c>
      <c r="J48" s="100">
        <v>0.41</v>
      </c>
      <c r="K48" s="100">
        <v>30.81</v>
      </c>
      <c r="L48" s="100">
        <v>20.49</v>
      </c>
      <c r="M48" s="100">
        <v>45.79</v>
      </c>
      <c r="N48" s="100">
        <v>300.3</v>
      </c>
      <c r="O48" s="100">
        <v>0</v>
      </c>
      <c r="P48" s="100">
        <v>0.67</v>
      </c>
      <c r="Q48" s="100">
        <v>11.25</v>
      </c>
      <c r="R48" s="6"/>
      <c r="S48" s="6"/>
      <c r="T48" s="156"/>
      <c r="U48" s="6"/>
    </row>
    <row r="49" spans="1:21" customFormat="1">
      <c r="A49" s="163" t="s">
        <v>951</v>
      </c>
      <c r="B49" s="100">
        <v>9.74</v>
      </c>
      <c r="C49" s="100">
        <v>24.33</v>
      </c>
      <c r="D49" s="100">
        <v>21.87</v>
      </c>
      <c r="E49" s="100">
        <v>7.03</v>
      </c>
      <c r="F49" s="152" t="s">
        <v>15</v>
      </c>
      <c r="G49" s="100">
        <v>67.47</v>
      </c>
      <c r="H49" s="100">
        <v>22.09</v>
      </c>
      <c r="I49" s="100">
        <v>9.59</v>
      </c>
      <c r="J49" s="100">
        <v>0.62</v>
      </c>
      <c r="K49" s="100">
        <v>356.31</v>
      </c>
      <c r="L49" s="100">
        <v>20.52</v>
      </c>
      <c r="M49" s="100">
        <v>44.47</v>
      </c>
      <c r="N49" s="100">
        <v>403.4</v>
      </c>
      <c r="O49" s="100">
        <v>0</v>
      </c>
      <c r="P49" s="100">
        <v>0.63</v>
      </c>
      <c r="Q49" s="100">
        <v>11.25</v>
      </c>
      <c r="R49" s="6"/>
      <c r="S49" s="6"/>
      <c r="T49" s="156"/>
      <c r="U49" s="6"/>
    </row>
    <row r="50" spans="1:21" customFormat="1">
      <c r="A50" s="163" t="s">
        <v>952</v>
      </c>
      <c r="B50" s="100">
        <v>9.32</v>
      </c>
      <c r="C50" s="100">
        <v>24.97</v>
      </c>
      <c r="D50" s="100">
        <v>21.87</v>
      </c>
      <c r="E50" s="100">
        <v>8.18</v>
      </c>
      <c r="F50" s="152" t="s">
        <v>15</v>
      </c>
      <c r="G50" s="100">
        <v>67.87</v>
      </c>
      <c r="H50" s="100">
        <v>22.27</v>
      </c>
      <c r="I50" s="100">
        <v>9.4700000000000006</v>
      </c>
      <c r="J50" s="100">
        <v>0.61</v>
      </c>
      <c r="K50" s="100">
        <v>31.86</v>
      </c>
      <c r="L50" s="100">
        <v>20.82</v>
      </c>
      <c r="M50" s="100">
        <v>41.96</v>
      </c>
      <c r="N50" s="100">
        <v>426.4</v>
      </c>
      <c r="O50" s="100">
        <v>0</v>
      </c>
      <c r="P50" s="100">
        <v>0.62</v>
      </c>
      <c r="Q50" s="100">
        <v>11.25</v>
      </c>
      <c r="R50" s="6"/>
      <c r="S50" s="6"/>
      <c r="T50" s="156"/>
      <c r="U50" s="6"/>
    </row>
    <row r="51" spans="1:21" customFormat="1">
      <c r="A51" s="163" t="s">
        <v>953</v>
      </c>
      <c r="B51" s="100">
        <v>9.01</v>
      </c>
      <c r="C51" s="100">
        <v>25.54</v>
      </c>
      <c r="D51" s="100">
        <v>21.92</v>
      </c>
      <c r="E51" s="100">
        <v>8.35</v>
      </c>
      <c r="F51" s="152" t="s">
        <v>15</v>
      </c>
      <c r="G51" s="100">
        <v>67.87</v>
      </c>
      <c r="H51" s="100">
        <v>22.27</v>
      </c>
      <c r="I51" s="100">
        <v>9.3800000000000008</v>
      </c>
      <c r="J51" s="100">
        <v>0.23</v>
      </c>
      <c r="K51" s="100">
        <v>73.33</v>
      </c>
      <c r="L51" s="100">
        <v>21.86</v>
      </c>
      <c r="M51" s="100">
        <v>38.08</v>
      </c>
      <c r="N51" s="100">
        <v>443.8</v>
      </c>
      <c r="O51" s="100">
        <v>0</v>
      </c>
      <c r="P51" s="100">
        <v>0.61</v>
      </c>
      <c r="Q51" s="100">
        <v>11.25</v>
      </c>
      <c r="R51" s="6"/>
      <c r="S51" s="6"/>
      <c r="T51" s="156"/>
      <c r="U51" s="6"/>
    </row>
    <row r="52" spans="1:21" customFormat="1">
      <c r="A52" s="163" t="s">
        <v>954</v>
      </c>
      <c r="B52" s="100">
        <v>8.57</v>
      </c>
      <c r="C52" s="100">
        <v>26.06</v>
      </c>
      <c r="D52" s="100">
        <v>21.84</v>
      </c>
      <c r="E52" s="100">
        <v>8</v>
      </c>
      <c r="F52" s="152" t="s">
        <v>15</v>
      </c>
      <c r="G52" s="100">
        <v>67.87</v>
      </c>
      <c r="H52" s="100">
        <v>22.27</v>
      </c>
      <c r="I52" s="100">
        <v>9.3000000000000007</v>
      </c>
      <c r="J52" s="100">
        <v>0.46</v>
      </c>
      <c r="K52" s="100">
        <v>80.599999999999994</v>
      </c>
      <c r="L52" s="100">
        <v>22.58</v>
      </c>
      <c r="M52" s="100">
        <v>35.57</v>
      </c>
      <c r="N52" s="100">
        <v>450</v>
      </c>
      <c r="O52" s="100">
        <v>0</v>
      </c>
      <c r="P52" s="100">
        <v>0.61</v>
      </c>
      <c r="Q52" s="100">
        <v>11.25</v>
      </c>
      <c r="R52" s="6"/>
      <c r="S52" s="6"/>
      <c r="T52" s="156"/>
      <c r="U52" s="6"/>
    </row>
    <row r="53" spans="1:21" customFormat="1">
      <c r="A53" s="163" t="s">
        <v>955</v>
      </c>
      <c r="B53" s="100">
        <v>7.79</v>
      </c>
      <c r="C53" s="100">
        <v>26.13</v>
      </c>
      <c r="D53" s="100">
        <v>21.25</v>
      </c>
      <c r="E53" s="100">
        <v>8.2200000000000006</v>
      </c>
      <c r="F53" s="152" t="s">
        <v>15</v>
      </c>
      <c r="G53" s="100">
        <v>63.65</v>
      </c>
      <c r="H53" s="100">
        <v>20.85</v>
      </c>
      <c r="I53" s="100">
        <v>9.18</v>
      </c>
      <c r="J53" s="100">
        <v>0.65</v>
      </c>
      <c r="K53" s="100">
        <v>44.15</v>
      </c>
      <c r="L53" s="100">
        <v>22.63</v>
      </c>
      <c r="M53" s="100">
        <v>37.17</v>
      </c>
      <c r="N53" s="100">
        <v>398.5</v>
      </c>
      <c r="O53" s="100">
        <v>0</v>
      </c>
      <c r="P53" s="100">
        <v>0.6</v>
      </c>
      <c r="Q53" s="100">
        <v>11.25</v>
      </c>
      <c r="R53" s="6"/>
      <c r="S53" s="6"/>
      <c r="T53" s="156"/>
      <c r="U53" s="6"/>
    </row>
    <row r="54" spans="1:21" customFormat="1">
      <c r="A54" s="163" t="s">
        <v>956</v>
      </c>
      <c r="B54" s="100">
        <v>7.14</v>
      </c>
      <c r="C54" s="100">
        <v>26.22</v>
      </c>
      <c r="D54" s="100">
        <v>20.77</v>
      </c>
      <c r="E54" s="100">
        <v>8.24</v>
      </c>
      <c r="F54" s="152" t="s">
        <v>15</v>
      </c>
      <c r="G54" s="100">
        <v>60.56</v>
      </c>
      <c r="H54" s="100">
        <v>20.420000000000002</v>
      </c>
      <c r="I54" s="100">
        <v>9.01</v>
      </c>
      <c r="J54" s="100">
        <v>0.47</v>
      </c>
      <c r="K54" s="100">
        <v>51.74</v>
      </c>
      <c r="L54" s="100">
        <v>23.04</v>
      </c>
      <c r="M54" s="100">
        <v>36.840000000000003</v>
      </c>
      <c r="N54" s="100">
        <v>461.8</v>
      </c>
      <c r="O54" s="100">
        <v>0</v>
      </c>
      <c r="P54" s="100">
        <v>0.57999999999999996</v>
      </c>
      <c r="Q54" s="100">
        <v>11.25</v>
      </c>
      <c r="R54" s="6"/>
      <c r="S54" s="6"/>
      <c r="T54" s="156"/>
      <c r="U54" s="6"/>
    </row>
    <row r="55" spans="1:21" customFormat="1">
      <c r="A55" s="163" t="s">
        <v>957</v>
      </c>
      <c r="B55" s="100">
        <v>6.67</v>
      </c>
      <c r="C55" s="100">
        <v>26.49</v>
      </c>
      <c r="D55" s="100">
        <v>20.54</v>
      </c>
      <c r="E55" s="100">
        <v>8.2899999999999991</v>
      </c>
      <c r="F55" s="152" t="s">
        <v>15</v>
      </c>
      <c r="G55" s="100">
        <v>60.56</v>
      </c>
      <c r="H55" s="100">
        <v>20.420000000000002</v>
      </c>
      <c r="I55" s="100">
        <v>8.86</v>
      </c>
      <c r="J55" s="100">
        <v>0.65</v>
      </c>
      <c r="K55" s="100">
        <v>353.36</v>
      </c>
      <c r="L55" s="100">
        <v>23.18</v>
      </c>
      <c r="M55" s="100">
        <v>35.86</v>
      </c>
      <c r="N55" s="100">
        <v>464</v>
      </c>
      <c r="O55" s="100">
        <v>0</v>
      </c>
      <c r="P55" s="100">
        <v>0.57999999999999996</v>
      </c>
      <c r="Q55" s="100">
        <v>11.25</v>
      </c>
      <c r="R55" s="6"/>
      <c r="S55" s="6"/>
      <c r="T55" s="156"/>
      <c r="U55" s="6"/>
    </row>
    <row r="56" spans="1:21" customFormat="1">
      <c r="A56" s="163" t="s">
        <v>958</v>
      </c>
      <c r="B56" s="100">
        <v>6.26</v>
      </c>
      <c r="C56" s="100">
        <v>26.66</v>
      </c>
      <c r="D56" s="100">
        <v>20.309999999999999</v>
      </c>
      <c r="E56" s="100">
        <v>7.91</v>
      </c>
      <c r="F56" s="152" t="s">
        <v>15</v>
      </c>
      <c r="G56" s="100">
        <v>60.56</v>
      </c>
      <c r="H56" s="100">
        <v>20.420000000000002</v>
      </c>
      <c r="I56" s="100">
        <v>8.7799999999999994</v>
      </c>
      <c r="J56" s="100">
        <v>0.17</v>
      </c>
      <c r="K56" s="100">
        <v>284.81</v>
      </c>
      <c r="L56" s="100">
        <v>23.87</v>
      </c>
      <c r="M56" s="100">
        <v>34.61</v>
      </c>
      <c r="N56" s="100">
        <v>475.2</v>
      </c>
      <c r="O56" s="100">
        <v>0</v>
      </c>
      <c r="P56" s="100">
        <v>0.56999999999999995</v>
      </c>
      <c r="Q56" s="100">
        <v>11.25</v>
      </c>
      <c r="R56" s="6"/>
      <c r="S56" s="6"/>
      <c r="T56" s="156"/>
      <c r="U56" s="6"/>
    </row>
    <row r="57" spans="1:21" customFormat="1">
      <c r="A57" s="163" t="s">
        <v>959</v>
      </c>
      <c r="B57" s="100">
        <v>5.67</v>
      </c>
      <c r="C57" s="100">
        <v>26.34</v>
      </c>
      <c r="D57" s="100">
        <v>19.66</v>
      </c>
      <c r="E57" s="100">
        <v>8.25</v>
      </c>
      <c r="F57" s="152" t="s">
        <v>15</v>
      </c>
      <c r="G57" s="100">
        <v>65.27</v>
      </c>
      <c r="H57" s="100">
        <v>19.600000000000001</v>
      </c>
      <c r="I57" s="100">
        <v>8.7100000000000009</v>
      </c>
      <c r="J57" s="100">
        <v>0.47</v>
      </c>
      <c r="K57" s="100">
        <v>8.5299999999999994</v>
      </c>
      <c r="L57" s="100">
        <v>23.89</v>
      </c>
      <c r="M57" s="100">
        <v>34.68</v>
      </c>
      <c r="N57" s="100">
        <v>479.9</v>
      </c>
      <c r="O57" s="100">
        <v>0</v>
      </c>
      <c r="P57" s="100">
        <v>0.56999999999999995</v>
      </c>
      <c r="Q57" s="100">
        <v>11.25</v>
      </c>
      <c r="R57" s="6"/>
      <c r="S57" s="6"/>
      <c r="T57" s="156"/>
      <c r="U57" s="6"/>
    </row>
    <row r="58" spans="1:21" customFormat="1">
      <c r="A58" s="163" t="s">
        <v>960</v>
      </c>
      <c r="B58" s="100">
        <v>5.23</v>
      </c>
      <c r="C58" s="100">
        <v>26.5</v>
      </c>
      <c r="D58" s="100">
        <v>19.39</v>
      </c>
      <c r="E58" s="100">
        <v>8.11</v>
      </c>
      <c r="F58" s="152" t="s">
        <v>15</v>
      </c>
      <c r="G58" s="100">
        <v>68.7</v>
      </c>
      <c r="H58" s="100">
        <v>19.36</v>
      </c>
      <c r="I58" s="100">
        <v>8.61</v>
      </c>
      <c r="J58" s="100">
        <v>0.68</v>
      </c>
      <c r="K58" s="100">
        <v>332.79</v>
      </c>
      <c r="L58" s="100">
        <v>24.17</v>
      </c>
      <c r="M58" s="100">
        <v>32.26</v>
      </c>
      <c r="N58" s="100">
        <v>359.3</v>
      </c>
      <c r="O58" s="100">
        <v>0</v>
      </c>
      <c r="P58" s="100">
        <v>0.55000000000000004</v>
      </c>
      <c r="Q58" s="100">
        <v>11.25</v>
      </c>
      <c r="R58" s="6"/>
      <c r="S58" s="6"/>
      <c r="T58" s="156"/>
      <c r="U58" s="6"/>
    </row>
    <row r="59" spans="1:21" customFormat="1">
      <c r="A59" s="163" t="s">
        <v>961</v>
      </c>
      <c r="B59" s="100">
        <v>4.6100000000000003</v>
      </c>
      <c r="C59" s="100">
        <v>26.49</v>
      </c>
      <c r="D59" s="100">
        <v>18.89</v>
      </c>
      <c r="E59" s="100">
        <v>7.8</v>
      </c>
      <c r="F59" s="152" t="s">
        <v>15</v>
      </c>
      <c r="G59" s="100">
        <v>68.7</v>
      </c>
      <c r="H59" s="100">
        <v>19.36</v>
      </c>
      <c r="I59" s="100">
        <v>8.48</v>
      </c>
      <c r="J59" s="100">
        <v>0.63</v>
      </c>
      <c r="K59" s="100">
        <v>280.79000000000002</v>
      </c>
      <c r="L59" s="100">
        <v>24.34</v>
      </c>
      <c r="M59" s="100">
        <v>31.33</v>
      </c>
      <c r="N59" s="100">
        <v>363.2</v>
      </c>
      <c r="O59" s="100">
        <v>0</v>
      </c>
      <c r="P59" s="100">
        <v>0.54</v>
      </c>
      <c r="Q59" s="100">
        <v>11.25</v>
      </c>
      <c r="R59" s="6"/>
      <c r="S59" s="6"/>
      <c r="T59" s="156"/>
      <c r="U59" s="6"/>
    </row>
    <row r="60" spans="1:21" customFormat="1">
      <c r="A60" s="163" t="s">
        <v>962</v>
      </c>
      <c r="B60" s="100">
        <v>4.0599999999999996</v>
      </c>
      <c r="C60" s="100">
        <v>25.67</v>
      </c>
      <c r="D60" s="100">
        <v>18.02</v>
      </c>
      <c r="E60" s="100">
        <v>8.19</v>
      </c>
      <c r="F60" s="152" t="s">
        <v>15</v>
      </c>
      <c r="G60" s="100">
        <v>68.7</v>
      </c>
      <c r="H60" s="100">
        <v>19.36</v>
      </c>
      <c r="I60" s="100">
        <v>8.3000000000000007</v>
      </c>
      <c r="J60" s="100">
        <v>0.28999999999999998</v>
      </c>
      <c r="K60" s="100">
        <v>226.75</v>
      </c>
      <c r="L60" s="100">
        <v>25.37</v>
      </c>
      <c r="M60" s="100">
        <v>29.51</v>
      </c>
      <c r="N60" s="100">
        <v>438.5</v>
      </c>
      <c r="O60" s="100">
        <v>0</v>
      </c>
      <c r="P60" s="100">
        <v>0.54</v>
      </c>
      <c r="Q60" s="100">
        <v>11.25</v>
      </c>
      <c r="R60" s="6"/>
      <c r="S60" s="6"/>
      <c r="T60" s="156"/>
      <c r="U60" s="6"/>
    </row>
    <row r="61" spans="1:21" customFormat="1">
      <c r="A61" s="163" t="s">
        <v>963</v>
      </c>
      <c r="B61" s="100">
        <v>3.76</v>
      </c>
      <c r="C61" s="100">
        <v>24.61</v>
      </c>
      <c r="D61" s="100">
        <v>17.23</v>
      </c>
      <c r="E61" s="100">
        <v>8.39</v>
      </c>
      <c r="F61" s="152" t="s">
        <v>15</v>
      </c>
      <c r="G61" s="100">
        <v>63.03</v>
      </c>
      <c r="H61" s="100">
        <v>20.170000000000002</v>
      </c>
      <c r="I61" s="100">
        <v>8.1300000000000008</v>
      </c>
      <c r="J61" s="100">
        <v>0.38</v>
      </c>
      <c r="K61" s="100">
        <v>275.32</v>
      </c>
      <c r="L61" s="100">
        <v>25.16</v>
      </c>
      <c r="M61" s="100">
        <v>28.12</v>
      </c>
      <c r="N61" s="100">
        <v>441.5</v>
      </c>
      <c r="O61" s="100">
        <v>0</v>
      </c>
      <c r="P61" s="100">
        <v>0.52</v>
      </c>
      <c r="Q61" s="100">
        <v>11.25</v>
      </c>
      <c r="R61" s="6"/>
      <c r="S61" s="6"/>
      <c r="T61" s="156"/>
      <c r="U61" s="6"/>
    </row>
    <row r="62" spans="1:21" customFormat="1">
      <c r="A62" s="163" t="s">
        <v>964</v>
      </c>
      <c r="B62" s="100">
        <v>3.62</v>
      </c>
      <c r="C62" s="100">
        <v>23.62</v>
      </c>
      <c r="D62" s="100">
        <v>16.600000000000001</v>
      </c>
      <c r="E62" s="100">
        <v>8.39</v>
      </c>
      <c r="F62" s="152" t="s">
        <v>15</v>
      </c>
      <c r="G62" s="100">
        <v>58.88</v>
      </c>
      <c r="H62" s="100">
        <v>20.64</v>
      </c>
      <c r="I62" s="100">
        <v>8.02</v>
      </c>
      <c r="J62" s="100">
        <v>0.3</v>
      </c>
      <c r="K62" s="100">
        <v>255.28</v>
      </c>
      <c r="L62" s="100">
        <v>25.27</v>
      </c>
      <c r="M62" s="100">
        <v>26.82</v>
      </c>
      <c r="N62" s="100">
        <v>425.8</v>
      </c>
      <c r="O62" s="100">
        <v>0</v>
      </c>
      <c r="P62" s="100">
        <v>0.51</v>
      </c>
      <c r="Q62" s="100">
        <v>11.25</v>
      </c>
      <c r="R62" s="6"/>
      <c r="S62" s="6"/>
      <c r="T62" s="156"/>
      <c r="U62" s="6"/>
    </row>
    <row r="63" spans="1:21" customFormat="1">
      <c r="A63" s="163" t="s">
        <v>965</v>
      </c>
      <c r="B63" s="100">
        <v>3.58</v>
      </c>
      <c r="C63" s="100">
        <v>22.7</v>
      </c>
      <c r="D63" s="100">
        <v>16.079999999999998</v>
      </c>
      <c r="E63" s="100">
        <v>8.18</v>
      </c>
      <c r="F63" s="152" t="s">
        <v>15</v>
      </c>
      <c r="G63" s="100">
        <v>58.88</v>
      </c>
      <c r="H63" s="100">
        <v>20.64</v>
      </c>
      <c r="I63" s="100">
        <v>7.91</v>
      </c>
      <c r="J63" s="100">
        <v>0.33</v>
      </c>
      <c r="K63" s="100">
        <v>177.88</v>
      </c>
      <c r="L63" s="100">
        <v>25.34</v>
      </c>
      <c r="M63" s="100">
        <v>27.59</v>
      </c>
      <c r="N63" s="100">
        <v>237.3</v>
      </c>
      <c r="O63" s="100">
        <v>0</v>
      </c>
      <c r="P63" s="100">
        <v>0.51</v>
      </c>
      <c r="Q63" s="100">
        <v>11.25</v>
      </c>
      <c r="R63" s="6"/>
      <c r="S63" s="6"/>
      <c r="T63" s="156"/>
      <c r="U63" s="6"/>
    </row>
    <row r="64" spans="1:21" customFormat="1">
      <c r="A64" s="163" t="s">
        <v>966</v>
      </c>
      <c r="B64" s="100">
        <v>3.58</v>
      </c>
      <c r="C64" s="100">
        <v>22.27</v>
      </c>
      <c r="D64" s="100">
        <v>15.86</v>
      </c>
      <c r="E64" s="100">
        <v>9.1999999999999993</v>
      </c>
      <c r="F64" s="152" t="s">
        <v>15</v>
      </c>
      <c r="G64" s="100">
        <v>58.88</v>
      </c>
      <c r="H64" s="100">
        <v>20.64</v>
      </c>
      <c r="I64" s="100">
        <v>7.84</v>
      </c>
      <c r="J64" s="100">
        <v>0.7</v>
      </c>
      <c r="K64" s="100">
        <v>299.39</v>
      </c>
      <c r="L64" s="100">
        <v>24.85</v>
      </c>
      <c r="M64" s="100">
        <v>30.46</v>
      </c>
      <c r="N64" s="100">
        <v>140.80000000000001</v>
      </c>
      <c r="O64" s="100">
        <v>0</v>
      </c>
      <c r="P64" s="100">
        <v>0.51</v>
      </c>
      <c r="Q64" s="100">
        <v>11.25</v>
      </c>
      <c r="R64" s="6"/>
      <c r="S64" s="6"/>
      <c r="T64" s="156"/>
      <c r="U64" s="6"/>
    </row>
    <row r="65" spans="1:21" customFormat="1">
      <c r="A65" s="163" t="s">
        <v>967</v>
      </c>
      <c r="B65" s="100">
        <v>3.57</v>
      </c>
      <c r="C65" s="100">
        <v>22.34</v>
      </c>
      <c r="D65" s="100">
        <v>15.88</v>
      </c>
      <c r="E65" s="100">
        <v>9.1300000000000008</v>
      </c>
      <c r="F65" s="152" t="s">
        <v>15</v>
      </c>
      <c r="G65" s="100">
        <v>63.88</v>
      </c>
      <c r="H65" s="100">
        <v>18.68</v>
      </c>
      <c r="I65" s="100">
        <v>7.79</v>
      </c>
      <c r="J65" s="100">
        <v>0.49</v>
      </c>
      <c r="K65" s="100">
        <v>291.92</v>
      </c>
      <c r="L65" s="100">
        <v>24.85</v>
      </c>
      <c r="M65" s="100">
        <v>30.81</v>
      </c>
      <c r="N65" s="100">
        <v>117.8</v>
      </c>
      <c r="O65" s="100">
        <v>0</v>
      </c>
      <c r="P65" s="100">
        <v>0.6</v>
      </c>
      <c r="Q65" s="100">
        <v>11.25</v>
      </c>
      <c r="R65" s="6"/>
      <c r="S65" s="6"/>
      <c r="T65" s="156"/>
      <c r="U65" s="6"/>
    </row>
    <row r="66" spans="1:21" customFormat="1">
      <c r="A66" s="163" t="s">
        <v>968</v>
      </c>
      <c r="B66" s="100">
        <v>3.65</v>
      </c>
      <c r="C66" s="100">
        <v>22.64</v>
      </c>
      <c r="D66" s="100">
        <v>16.11</v>
      </c>
      <c r="E66" s="100">
        <v>9.48</v>
      </c>
      <c r="F66" s="152" t="s">
        <v>15</v>
      </c>
      <c r="G66" s="100">
        <v>67.53</v>
      </c>
      <c r="H66" s="100">
        <v>18.100000000000001</v>
      </c>
      <c r="I66" s="100">
        <v>7.81</v>
      </c>
      <c r="J66" s="100">
        <v>0.49</v>
      </c>
      <c r="K66" s="100">
        <v>330.83</v>
      </c>
      <c r="L66" s="100">
        <v>24.67</v>
      </c>
      <c r="M66" s="100">
        <v>30.44</v>
      </c>
      <c r="N66" s="100">
        <v>102.6</v>
      </c>
      <c r="O66" s="100">
        <v>0</v>
      </c>
      <c r="P66" s="100">
        <v>0.64</v>
      </c>
      <c r="Q66" s="100">
        <v>11.25</v>
      </c>
      <c r="R66" s="6"/>
      <c r="S66" s="6"/>
      <c r="T66" s="156"/>
      <c r="U66" s="6"/>
    </row>
    <row r="67" spans="1:21" customFormat="1">
      <c r="A67" s="163" t="s">
        <v>969</v>
      </c>
      <c r="B67" s="100">
        <v>3.67</v>
      </c>
      <c r="C67" s="100">
        <v>22.93</v>
      </c>
      <c r="D67" s="100">
        <v>16.27</v>
      </c>
      <c r="E67" s="100">
        <v>9.57</v>
      </c>
      <c r="F67" s="152" t="s">
        <v>15</v>
      </c>
      <c r="G67" s="100">
        <v>67.53</v>
      </c>
      <c r="H67" s="100">
        <v>18.100000000000001</v>
      </c>
      <c r="I67" s="100">
        <v>7.85</v>
      </c>
      <c r="J67" s="100">
        <v>0.22</v>
      </c>
      <c r="K67" s="100">
        <v>249.5</v>
      </c>
      <c r="L67" s="100">
        <v>24.82</v>
      </c>
      <c r="M67" s="100">
        <v>31.1</v>
      </c>
      <c r="N67" s="100">
        <v>79.599999999999994</v>
      </c>
      <c r="O67" s="100">
        <v>0</v>
      </c>
      <c r="P67" s="100">
        <v>0.65</v>
      </c>
      <c r="Q67" s="100">
        <v>11.25</v>
      </c>
      <c r="R67" s="6"/>
      <c r="S67" s="6"/>
      <c r="T67" s="156"/>
      <c r="U67" s="6"/>
    </row>
    <row r="68" spans="1:21" customFormat="1">
      <c r="A68" s="163" t="s">
        <v>970</v>
      </c>
      <c r="B68" s="100">
        <v>3.72</v>
      </c>
      <c r="C68" s="100">
        <v>22.96</v>
      </c>
      <c r="D68" s="100">
        <v>16.329999999999998</v>
      </c>
      <c r="E68" s="100">
        <v>10.09</v>
      </c>
      <c r="F68" s="152" t="s">
        <v>15</v>
      </c>
      <c r="G68" s="100">
        <v>67.53</v>
      </c>
      <c r="H68" s="100">
        <v>18.100000000000001</v>
      </c>
      <c r="I68" s="100">
        <v>7.91</v>
      </c>
      <c r="J68" s="100">
        <v>0.38</v>
      </c>
      <c r="K68" s="100">
        <v>330.09</v>
      </c>
      <c r="L68" s="100">
        <v>24.63</v>
      </c>
      <c r="M68" s="100">
        <v>30.62</v>
      </c>
      <c r="N68" s="100">
        <v>64.3</v>
      </c>
      <c r="O68" s="100">
        <v>0</v>
      </c>
      <c r="P68" s="100">
        <v>0.67</v>
      </c>
      <c r="Q68" s="100">
        <v>11.25</v>
      </c>
      <c r="R68" s="6"/>
      <c r="S68" s="6"/>
      <c r="T68" s="156"/>
      <c r="U68" s="6"/>
    </row>
    <row r="69" spans="1:21" customFormat="1">
      <c r="A69" s="163" t="s">
        <v>971</v>
      </c>
      <c r="B69" s="100">
        <v>3.92</v>
      </c>
      <c r="C69" s="100">
        <v>23.11</v>
      </c>
      <c r="D69" s="100">
        <v>16.57</v>
      </c>
      <c r="E69" s="100">
        <v>9.98</v>
      </c>
      <c r="F69" s="152" t="s">
        <v>15</v>
      </c>
      <c r="G69" s="100">
        <v>77.14</v>
      </c>
      <c r="H69" s="100">
        <v>20.93</v>
      </c>
      <c r="I69" s="100">
        <v>7.96</v>
      </c>
      <c r="J69" s="100">
        <v>0.45</v>
      </c>
      <c r="K69" s="100">
        <v>321.83999999999997</v>
      </c>
      <c r="L69" s="100">
        <v>24.6</v>
      </c>
      <c r="M69" s="100">
        <v>28.77</v>
      </c>
      <c r="N69" s="100">
        <v>58</v>
      </c>
      <c r="O69" s="100">
        <v>0</v>
      </c>
      <c r="P69" s="100">
        <v>0.72</v>
      </c>
      <c r="Q69" s="100">
        <v>11.25</v>
      </c>
      <c r="R69" s="6"/>
      <c r="S69" s="6"/>
      <c r="T69" s="156"/>
      <c r="U69" s="6"/>
    </row>
    <row r="70" spans="1:21" customFormat="1">
      <c r="A70" s="163" t="s">
        <v>972</v>
      </c>
      <c r="B70" s="100">
        <v>4.08</v>
      </c>
      <c r="C70" s="100">
        <v>22.88</v>
      </c>
      <c r="D70" s="100">
        <v>16.579999999999998</v>
      </c>
      <c r="E70" s="100">
        <v>10.1</v>
      </c>
      <c r="F70" s="152" t="s">
        <v>15</v>
      </c>
      <c r="G70" s="100">
        <v>84.16</v>
      </c>
      <c r="H70" s="100">
        <v>21.78</v>
      </c>
      <c r="I70" s="100">
        <v>8</v>
      </c>
      <c r="J70" s="100">
        <v>0.57999999999999996</v>
      </c>
      <c r="K70" s="100">
        <v>339.19</v>
      </c>
      <c r="L70" s="100">
        <v>24.49</v>
      </c>
      <c r="M70" s="100">
        <v>27.98</v>
      </c>
      <c r="N70" s="100">
        <v>51.9</v>
      </c>
      <c r="O70" s="100">
        <v>0</v>
      </c>
      <c r="P70" s="100">
        <v>0.73</v>
      </c>
      <c r="Q70" s="100">
        <v>11.25</v>
      </c>
      <c r="R70" s="6"/>
      <c r="S70" s="6"/>
      <c r="T70" s="156"/>
      <c r="U70" s="6"/>
    </row>
    <row r="71" spans="1:21" customFormat="1">
      <c r="A71" s="163" t="s">
        <v>973</v>
      </c>
      <c r="B71" s="100">
        <v>4.3</v>
      </c>
      <c r="C71" s="100">
        <v>22.73</v>
      </c>
      <c r="D71" s="100">
        <v>16.68</v>
      </c>
      <c r="E71" s="100">
        <v>9.27</v>
      </c>
      <c r="F71" s="152" t="s">
        <v>15</v>
      </c>
      <c r="G71" s="100">
        <v>84.16</v>
      </c>
      <c r="H71" s="100">
        <v>21.78</v>
      </c>
      <c r="I71" s="100">
        <v>8.07</v>
      </c>
      <c r="J71" s="100">
        <v>0.51</v>
      </c>
      <c r="K71" s="100">
        <v>32.03</v>
      </c>
      <c r="L71" s="100">
        <v>24.44</v>
      </c>
      <c r="M71" s="100">
        <v>26.94</v>
      </c>
      <c r="N71" s="100">
        <v>47</v>
      </c>
      <c r="O71" s="100">
        <v>0</v>
      </c>
      <c r="P71" s="100">
        <v>0.74</v>
      </c>
      <c r="Q71" s="100">
        <v>11.25</v>
      </c>
      <c r="R71" s="6"/>
      <c r="S71" s="6"/>
      <c r="T71" s="156"/>
      <c r="U71" s="6"/>
    </row>
    <row r="72" spans="1:21" customFormat="1">
      <c r="A72" s="163" t="s">
        <v>974</v>
      </c>
      <c r="B72" s="100">
        <v>4.5599999999999996</v>
      </c>
      <c r="C72" s="100">
        <v>22.64</v>
      </c>
      <c r="D72" s="100">
        <v>16.84</v>
      </c>
      <c r="E72" s="100">
        <v>9.68</v>
      </c>
      <c r="F72" s="152" t="s">
        <v>15</v>
      </c>
      <c r="G72" s="100">
        <v>84.16</v>
      </c>
      <c r="H72" s="100">
        <v>21.78</v>
      </c>
      <c r="I72" s="100">
        <v>8.1300000000000008</v>
      </c>
      <c r="J72" s="100">
        <v>0.32</v>
      </c>
      <c r="K72" s="100">
        <v>8.5399999999999991</v>
      </c>
      <c r="L72" s="100">
        <v>24.39</v>
      </c>
      <c r="M72" s="100">
        <v>24.84</v>
      </c>
      <c r="N72" s="100">
        <v>36.9</v>
      </c>
      <c r="O72" s="100">
        <v>0</v>
      </c>
      <c r="P72" s="100">
        <v>0.75</v>
      </c>
      <c r="Q72" s="100">
        <v>11.25</v>
      </c>
      <c r="R72" s="6"/>
      <c r="S72" s="6"/>
      <c r="T72" s="156"/>
      <c r="U72" s="6"/>
    </row>
    <row r="73" spans="1:21" customFormat="1">
      <c r="A73" s="163" t="s">
        <v>975</v>
      </c>
      <c r="B73" s="100">
        <v>4.82</v>
      </c>
      <c r="C73" s="100">
        <v>22.5</v>
      </c>
      <c r="D73" s="100">
        <v>16.97</v>
      </c>
      <c r="E73" s="100">
        <v>9.66</v>
      </c>
      <c r="F73" s="152" t="s">
        <v>15</v>
      </c>
      <c r="G73" s="100">
        <v>83.1</v>
      </c>
      <c r="H73" s="100">
        <v>21.29</v>
      </c>
      <c r="I73" s="100">
        <v>8.2100000000000009</v>
      </c>
      <c r="J73" s="100">
        <v>0.27</v>
      </c>
      <c r="K73" s="100">
        <v>348.56</v>
      </c>
      <c r="L73" s="100">
        <v>24.21</v>
      </c>
      <c r="M73" s="100">
        <v>26.56</v>
      </c>
      <c r="N73" s="100">
        <v>31.5</v>
      </c>
      <c r="O73" s="100">
        <v>0</v>
      </c>
      <c r="P73" s="100">
        <v>0.75</v>
      </c>
      <c r="Q73" s="100">
        <v>11.25</v>
      </c>
      <c r="R73" s="6"/>
      <c r="S73" s="6"/>
      <c r="T73" s="156"/>
      <c r="U73" s="6"/>
    </row>
    <row r="74" spans="1:21" customFormat="1">
      <c r="A74" s="163" t="s">
        <v>976</v>
      </c>
      <c r="B74" s="100">
        <v>5.0599999999999996</v>
      </c>
      <c r="C74" s="100">
        <v>22.57</v>
      </c>
      <c r="D74" s="100">
        <v>17.2</v>
      </c>
      <c r="E74" s="100">
        <v>9.8000000000000007</v>
      </c>
      <c r="F74" s="152" t="s">
        <v>15</v>
      </c>
      <c r="G74" s="100">
        <v>82.33</v>
      </c>
      <c r="H74" s="100">
        <v>21.14</v>
      </c>
      <c r="I74" s="100">
        <v>8.25</v>
      </c>
      <c r="J74" s="100">
        <v>0.32</v>
      </c>
      <c r="K74" s="100">
        <v>37.799999999999997</v>
      </c>
      <c r="L74" s="100">
        <v>24.02</v>
      </c>
      <c r="M74" s="100">
        <v>28.25</v>
      </c>
      <c r="N74" s="100">
        <v>26.7</v>
      </c>
      <c r="O74" s="100">
        <v>0</v>
      </c>
      <c r="P74" s="100">
        <v>0.77</v>
      </c>
      <c r="Q74" s="100">
        <v>11.25</v>
      </c>
      <c r="R74" s="6"/>
      <c r="S74" s="6"/>
      <c r="T74" s="156"/>
      <c r="U74" s="6"/>
    </row>
    <row r="75" spans="1:21" customFormat="1">
      <c r="A75" s="163" t="s">
        <v>977</v>
      </c>
      <c r="B75" s="100">
        <v>5.35</v>
      </c>
      <c r="C75" s="100">
        <v>22.73</v>
      </c>
      <c r="D75" s="100">
        <v>17.52</v>
      </c>
      <c r="E75" s="100">
        <v>9.15</v>
      </c>
      <c r="F75" s="152" t="s">
        <v>15</v>
      </c>
      <c r="G75" s="100">
        <v>82.33</v>
      </c>
      <c r="H75" s="100">
        <v>21.14</v>
      </c>
      <c r="I75" s="100">
        <v>8.34</v>
      </c>
      <c r="J75" s="100">
        <v>0.3</v>
      </c>
      <c r="K75" s="100">
        <v>35.51</v>
      </c>
      <c r="L75" s="100">
        <v>23.66</v>
      </c>
      <c r="M75" s="100">
        <v>29.06</v>
      </c>
      <c r="N75" s="100">
        <v>18.600000000000001</v>
      </c>
      <c r="O75" s="100">
        <v>0</v>
      </c>
      <c r="P75" s="100">
        <v>0.78</v>
      </c>
      <c r="Q75" s="100">
        <v>11.25</v>
      </c>
      <c r="R75" s="6"/>
      <c r="S75" s="6"/>
      <c r="T75" s="156"/>
      <c r="U75" s="6"/>
    </row>
    <row r="76" spans="1:21" customFormat="1">
      <c r="A76" s="163" t="s">
        <v>978</v>
      </c>
      <c r="B76" s="100">
        <v>5.63</v>
      </c>
      <c r="C76" s="100">
        <v>23.14</v>
      </c>
      <c r="D76" s="100">
        <v>17.95</v>
      </c>
      <c r="E76" s="100">
        <v>9.33</v>
      </c>
      <c r="F76" s="152" t="s">
        <v>15</v>
      </c>
      <c r="G76" s="100">
        <v>82.33</v>
      </c>
      <c r="H76" s="100">
        <v>21.14</v>
      </c>
      <c r="I76" s="100">
        <v>8.42</v>
      </c>
      <c r="J76" s="100">
        <v>0.41</v>
      </c>
      <c r="K76" s="100">
        <v>47.39</v>
      </c>
      <c r="L76" s="100">
        <v>23.26</v>
      </c>
      <c r="M76" s="100">
        <v>30.05</v>
      </c>
      <c r="N76" s="100">
        <v>12.6</v>
      </c>
      <c r="O76" s="100">
        <v>0</v>
      </c>
      <c r="P76" s="100">
        <v>0.78</v>
      </c>
      <c r="Q76" s="100">
        <v>11.25</v>
      </c>
      <c r="R76" s="6"/>
      <c r="S76" s="6"/>
      <c r="T76" s="156"/>
      <c r="U76" s="6"/>
    </row>
    <row r="77" spans="1:21" customFormat="1">
      <c r="A77" s="163" t="s">
        <v>979</v>
      </c>
      <c r="B77" s="100">
        <v>6.16</v>
      </c>
      <c r="C77" s="100">
        <v>23.33</v>
      </c>
      <c r="D77" s="100">
        <v>18.48</v>
      </c>
      <c r="E77" s="100">
        <v>8.75</v>
      </c>
      <c r="F77" s="152" t="s">
        <v>15</v>
      </c>
      <c r="G77" s="100">
        <v>86.57</v>
      </c>
      <c r="H77" s="100">
        <v>22.89</v>
      </c>
      <c r="I77" s="100">
        <v>8.4600000000000009</v>
      </c>
      <c r="J77" s="100">
        <v>0.41</v>
      </c>
      <c r="K77" s="100">
        <v>49.47</v>
      </c>
      <c r="L77" s="100">
        <v>22.8</v>
      </c>
      <c r="M77" s="100">
        <v>31.17</v>
      </c>
      <c r="N77" s="100">
        <v>6.8</v>
      </c>
      <c r="O77" s="100">
        <v>0</v>
      </c>
      <c r="P77" s="100">
        <v>0.8</v>
      </c>
      <c r="Q77" s="100">
        <v>11.25</v>
      </c>
      <c r="R77" s="6"/>
      <c r="S77" s="6"/>
      <c r="T77" s="156"/>
      <c r="U77" s="6"/>
    </row>
    <row r="78" spans="1:21" customFormat="1">
      <c r="A78" s="163" t="s">
        <v>980</v>
      </c>
      <c r="B78" s="100">
        <v>6.67</v>
      </c>
      <c r="C78" s="100">
        <v>24</v>
      </c>
      <c r="D78" s="100">
        <v>19.239999999999998</v>
      </c>
      <c r="E78" s="100">
        <v>9.2100000000000009</v>
      </c>
      <c r="F78" s="152" t="s">
        <v>15</v>
      </c>
      <c r="G78" s="100">
        <v>89.68</v>
      </c>
      <c r="H78" s="100">
        <v>23.42</v>
      </c>
      <c r="I78" s="100">
        <v>8.52</v>
      </c>
      <c r="J78" s="100">
        <v>0.26</v>
      </c>
      <c r="K78" s="100">
        <v>67.17</v>
      </c>
      <c r="L78" s="100">
        <v>22</v>
      </c>
      <c r="M78" s="100">
        <v>35.72</v>
      </c>
      <c r="N78" s="100">
        <v>3.3</v>
      </c>
      <c r="O78" s="100">
        <v>0</v>
      </c>
      <c r="P78" s="100">
        <v>0.81</v>
      </c>
      <c r="Q78" s="100">
        <v>11.25</v>
      </c>
      <c r="R78" s="6"/>
      <c r="S78" s="6"/>
      <c r="T78" s="156"/>
      <c r="U78" s="6"/>
    </row>
    <row r="79" spans="1:21" customFormat="1">
      <c r="A79" s="163" t="s">
        <v>981</v>
      </c>
      <c r="B79" s="100">
        <v>7.12</v>
      </c>
      <c r="C79" s="100">
        <v>24.53</v>
      </c>
      <c r="D79" s="100">
        <v>19.88</v>
      </c>
      <c r="E79" s="100">
        <v>8.8000000000000007</v>
      </c>
      <c r="F79" s="152" t="s">
        <v>15</v>
      </c>
      <c r="G79" s="100">
        <v>89.68</v>
      </c>
      <c r="H79" s="100">
        <v>23.42</v>
      </c>
      <c r="I79" s="100">
        <v>8.6</v>
      </c>
      <c r="J79" s="100">
        <v>0.28000000000000003</v>
      </c>
      <c r="K79" s="100">
        <v>74.239999999999995</v>
      </c>
      <c r="L79" s="100">
        <v>20.73</v>
      </c>
      <c r="M79" s="100">
        <v>41.1</v>
      </c>
      <c r="N79" s="100">
        <v>2</v>
      </c>
      <c r="O79" s="100">
        <v>0</v>
      </c>
      <c r="P79" s="100">
        <v>0.83</v>
      </c>
      <c r="Q79" s="100">
        <v>11.25</v>
      </c>
      <c r="R79" s="6"/>
      <c r="S79" s="6"/>
      <c r="T79" s="156"/>
      <c r="U79" s="6"/>
    </row>
    <row r="80" spans="1:21" customFormat="1">
      <c r="A80" s="163" t="s">
        <v>982</v>
      </c>
      <c r="B80" s="100">
        <v>7.58</v>
      </c>
      <c r="C80" s="100">
        <v>24.96</v>
      </c>
      <c r="D80" s="100">
        <v>20.47</v>
      </c>
      <c r="E80" s="100">
        <v>8.18</v>
      </c>
      <c r="F80" s="152" t="s">
        <v>15</v>
      </c>
      <c r="G80" s="100">
        <v>89.68</v>
      </c>
      <c r="H80" s="100">
        <v>23.42</v>
      </c>
      <c r="I80" s="100">
        <v>8.75</v>
      </c>
      <c r="J80" s="100">
        <v>0.19</v>
      </c>
      <c r="K80" s="100">
        <v>128.58000000000001</v>
      </c>
      <c r="L80" s="100">
        <v>20.010000000000002</v>
      </c>
      <c r="M80" s="100">
        <v>47.45</v>
      </c>
      <c r="N80" s="100">
        <v>2</v>
      </c>
      <c r="O80" s="100">
        <v>0</v>
      </c>
      <c r="P80" s="100">
        <v>0.84</v>
      </c>
      <c r="Q80" s="100">
        <v>11.25</v>
      </c>
      <c r="R80" s="6"/>
      <c r="S80" s="6"/>
      <c r="T80" s="156"/>
      <c r="U80" s="6"/>
    </row>
    <row r="81" spans="1:21" customFormat="1">
      <c r="A81" s="163" t="s">
        <v>983</v>
      </c>
      <c r="B81" s="100">
        <v>7.84</v>
      </c>
      <c r="C81" s="100">
        <v>25.19</v>
      </c>
      <c r="D81" s="100">
        <v>20.8</v>
      </c>
      <c r="E81" s="100">
        <v>9.1999999999999993</v>
      </c>
      <c r="F81" s="152" t="s">
        <v>15</v>
      </c>
      <c r="G81" s="100">
        <v>99.52</v>
      </c>
      <c r="H81" s="100">
        <v>25.49</v>
      </c>
      <c r="I81" s="100">
        <v>9.18</v>
      </c>
      <c r="J81" s="100">
        <v>0.23</v>
      </c>
      <c r="K81" s="100">
        <v>177.58</v>
      </c>
      <c r="L81" s="100">
        <v>18.8</v>
      </c>
      <c r="M81" s="100">
        <v>57.78</v>
      </c>
      <c r="N81" s="100">
        <v>2</v>
      </c>
      <c r="O81" s="100">
        <v>0</v>
      </c>
      <c r="P81" s="100">
        <v>0.86</v>
      </c>
      <c r="Q81" s="100">
        <v>11.25</v>
      </c>
      <c r="R81" s="6"/>
      <c r="S81" s="6"/>
      <c r="T81" s="156"/>
      <c r="U81" s="6"/>
    </row>
    <row r="82" spans="1:21" customFormat="1">
      <c r="A82" s="163" t="s">
        <v>984</v>
      </c>
      <c r="B82" s="100">
        <v>8.0299999999999994</v>
      </c>
      <c r="C82" s="100">
        <v>25.28</v>
      </c>
      <c r="D82" s="100">
        <v>21</v>
      </c>
      <c r="E82" s="100">
        <v>10.85</v>
      </c>
      <c r="F82" s="152" t="s">
        <v>15</v>
      </c>
      <c r="G82" s="100">
        <v>106.72</v>
      </c>
      <c r="H82" s="100">
        <v>26.11</v>
      </c>
      <c r="I82" s="100">
        <v>10.1</v>
      </c>
      <c r="J82" s="100">
        <v>0.26</v>
      </c>
      <c r="K82" s="100">
        <v>156.78</v>
      </c>
      <c r="L82" s="100">
        <v>18.16</v>
      </c>
      <c r="M82" s="100">
        <v>59.9</v>
      </c>
      <c r="N82" s="100">
        <v>1.5</v>
      </c>
      <c r="O82" s="100">
        <v>0</v>
      </c>
      <c r="P82" s="100">
        <v>0.87</v>
      </c>
      <c r="Q82" s="100">
        <v>11.25</v>
      </c>
      <c r="R82" s="6"/>
      <c r="S82" s="6"/>
      <c r="T82" s="156"/>
      <c r="U82" s="6"/>
    </row>
    <row r="83" spans="1:21" customFormat="1">
      <c r="A83" s="163" t="s">
        <v>985</v>
      </c>
      <c r="B83" s="100">
        <v>8.4499999999999993</v>
      </c>
      <c r="C83" s="100">
        <v>25.51</v>
      </c>
      <c r="D83" s="100">
        <v>21.46</v>
      </c>
      <c r="E83" s="100">
        <v>10.74</v>
      </c>
      <c r="F83" s="152" t="s">
        <v>15</v>
      </c>
      <c r="G83" s="100">
        <v>106.72</v>
      </c>
      <c r="H83" s="100">
        <v>26.11</v>
      </c>
      <c r="I83" s="100">
        <v>11.08</v>
      </c>
      <c r="J83" s="100">
        <v>0.27</v>
      </c>
      <c r="K83" s="100">
        <v>171.08</v>
      </c>
      <c r="L83" s="100">
        <v>17.64</v>
      </c>
      <c r="M83" s="100">
        <v>64.239999999999995</v>
      </c>
      <c r="N83" s="100">
        <v>1.5</v>
      </c>
      <c r="O83" s="100">
        <v>0</v>
      </c>
      <c r="P83" s="100">
        <v>0.9</v>
      </c>
      <c r="Q83" s="100">
        <v>11.25</v>
      </c>
      <c r="R83" s="6"/>
      <c r="S83" s="6"/>
      <c r="T83" s="156"/>
      <c r="U83" s="6"/>
    </row>
    <row r="84" spans="1:21" customFormat="1">
      <c r="A84" s="163" t="s">
        <v>986</v>
      </c>
      <c r="B84" s="100">
        <v>9</v>
      </c>
      <c r="C84" s="100">
        <v>25.68</v>
      </c>
      <c r="D84" s="100">
        <v>21.99</v>
      </c>
      <c r="E84" s="100">
        <v>10.77</v>
      </c>
      <c r="F84" s="152" t="s">
        <v>15</v>
      </c>
      <c r="G84" s="100">
        <v>106.72</v>
      </c>
      <c r="H84" s="100">
        <v>26.11</v>
      </c>
      <c r="I84" s="100">
        <v>11.84</v>
      </c>
      <c r="J84" s="100">
        <v>0.28999999999999998</v>
      </c>
      <c r="K84" s="100">
        <v>165.58</v>
      </c>
      <c r="L84" s="100">
        <v>17.05</v>
      </c>
      <c r="M84" s="100">
        <v>69.48</v>
      </c>
      <c r="N84" s="100">
        <v>1.5</v>
      </c>
      <c r="O84" s="100">
        <v>0</v>
      </c>
      <c r="P84" s="100">
        <v>0.93</v>
      </c>
      <c r="Q84" s="100">
        <v>11.25</v>
      </c>
      <c r="R84" s="6"/>
      <c r="S84" s="6"/>
      <c r="T84" s="156"/>
      <c r="U84" s="6"/>
    </row>
    <row r="85" spans="1:21" customFormat="1">
      <c r="A85" s="163" t="s">
        <v>987</v>
      </c>
      <c r="B85" s="100">
        <v>9.64</v>
      </c>
      <c r="C85" s="100">
        <v>25.85</v>
      </c>
      <c r="D85" s="100">
        <v>22.58</v>
      </c>
      <c r="E85" s="100">
        <v>10.9</v>
      </c>
      <c r="F85" s="152" t="s">
        <v>15</v>
      </c>
      <c r="G85" s="100">
        <v>114.48</v>
      </c>
      <c r="H85" s="100">
        <v>28.85</v>
      </c>
      <c r="I85" s="100">
        <v>12.68</v>
      </c>
      <c r="J85" s="100">
        <v>0.28000000000000003</v>
      </c>
      <c r="K85" s="100">
        <v>169.12</v>
      </c>
      <c r="L85" s="100">
        <v>16.57</v>
      </c>
      <c r="M85" s="100">
        <v>71.11</v>
      </c>
      <c r="N85" s="100">
        <v>1.3</v>
      </c>
      <c r="O85" s="100">
        <v>0</v>
      </c>
      <c r="P85" s="100">
        <v>0.98</v>
      </c>
      <c r="Q85" s="100">
        <v>11.25</v>
      </c>
      <c r="R85" s="6"/>
      <c r="S85" s="6"/>
      <c r="T85" s="156"/>
      <c r="U85" s="6"/>
    </row>
    <row r="86" spans="1:21" customFormat="1">
      <c r="A86" s="163" t="s">
        <v>988</v>
      </c>
      <c r="B86" s="100">
        <v>10.46</v>
      </c>
      <c r="C86" s="100">
        <v>26.06</v>
      </c>
      <c r="D86" s="100">
        <v>23.36</v>
      </c>
      <c r="E86" s="100">
        <v>10.88</v>
      </c>
      <c r="F86" s="152" t="s">
        <v>15</v>
      </c>
      <c r="G86" s="100">
        <v>120.15</v>
      </c>
      <c r="H86" s="100">
        <v>30.38</v>
      </c>
      <c r="I86" s="100">
        <v>14.07</v>
      </c>
      <c r="J86" s="100">
        <v>0.22</v>
      </c>
      <c r="K86" s="100">
        <v>198.63</v>
      </c>
      <c r="L86" s="100">
        <v>16.079999999999998</v>
      </c>
      <c r="M86" s="100">
        <v>71.36</v>
      </c>
      <c r="N86" s="100">
        <v>1.4</v>
      </c>
      <c r="O86" s="100">
        <v>0</v>
      </c>
      <c r="P86" s="100">
        <v>1.02</v>
      </c>
      <c r="Q86" s="100">
        <v>11.25</v>
      </c>
      <c r="R86" s="6"/>
      <c r="S86" s="6"/>
      <c r="T86" s="156"/>
      <c r="U86" s="6"/>
    </row>
    <row r="87" spans="1:21" customFormat="1">
      <c r="A87" s="163" t="s">
        <v>989</v>
      </c>
      <c r="B87" s="100">
        <v>11.15</v>
      </c>
      <c r="C87" s="100">
        <v>26.32</v>
      </c>
      <c r="D87" s="100">
        <v>24.05</v>
      </c>
      <c r="E87" s="100">
        <v>10.78</v>
      </c>
      <c r="F87" s="152" t="s">
        <v>15</v>
      </c>
      <c r="G87" s="100">
        <v>120.15</v>
      </c>
      <c r="H87" s="100">
        <v>30.38</v>
      </c>
      <c r="I87" s="100">
        <v>15.58</v>
      </c>
      <c r="J87" s="100">
        <v>0.11</v>
      </c>
      <c r="K87" s="100">
        <v>195.49</v>
      </c>
      <c r="L87" s="100">
        <v>15.58</v>
      </c>
      <c r="M87" s="100">
        <v>70.13</v>
      </c>
      <c r="N87" s="100">
        <v>1.3</v>
      </c>
      <c r="O87" s="100">
        <v>0</v>
      </c>
      <c r="P87" s="100">
        <v>1.04</v>
      </c>
      <c r="Q87" s="100">
        <v>11.25</v>
      </c>
      <c r="R87" s="6"/>
      <c r="S87" s="6"/>
      <c r="T87" s="156"/>
      <c r="U87" s="6"/>
    </row>
    <row r="88" spans="1:21" customFormat="1">
      <c r="A88" s="163" t="s">
        <v>990</v>
      </c>
      <c r="B88" s="100">
        <v>11.08</v>
      </c>
      <c r="C88" s="100">
        <v>26.39</v>
      </c>
      <c r="D88" s="100">
        <v>24.02</v>
      </c>
      <c r="E88" s="100">
        <v>10.39</v>
      </c>
      <c r="F88" s="152" t="s">
        <v>15</v>
      </c>
      <c r="G88" s="100">
        <v>120.15</v>
      </c>
      <c r="H88" s="100">
        <v>30.38</v>
      </c>
      <c r="I88" s="100">
        <v>16.63</v>
      </c>
      <c r="J88" s="100">
        <v>0.19</v>
      </c>
      <c r="K88" s="100">
        <v>191.32</v>
      </c>
      <c r="L88" s="100">
        <v>15.86</v>
      </c>
      <c r="M88" s="100">
        <v>69.88</v>
      </c>
      <c r="N88" s="100">
        <v>0.9</v>
      </c>
      <c r="O88" s="100">
        <v>0</v>
      </c>
      <c r="P88" s="100">
        <v>1.01</v>
      </c>
      <c r="Q88" s="100">
        <v>11.25</v>
      </c>
      <c r="R88" s="6"/>
      <c r="S88" s="6"/>
      <c r="T88" s="156"/>
      <c r="U88" s="6"/>
    </row>
    <row r="89" spans="1:21" customFormat="1">
      <c r="A89" s="163" t="s">
        <v>991</v>
      </c>
      <c r="B89" s="100">
        <v>10.78</v>
      </c>
      <c r="C89" s="100">
        <v>26.21</v>
      </c>
      <c r="D89" s="100">
        <v>23.69</v>
      </c>
      <c r="E89" s="100">
        <v>10.29</v>
      </c>
      <c r="F89" s="152" t="s">
        <v>15</v>
      </c>
      <c r="G89" s="100">
        <v>119.92</v>
      </c>
      <c r="H89" s="100">
        <v>29.26</v>
      </c>
      <c r="I89" s="100">
        <v>16.989999999999998</v>
      </c>
      <c r="J89" s="100">
        <v>0.16</v>
      </c>
      <c r="K89" s="100">
        <v>196.05</v>
      </c>
      <c r="L89" s="100">
        <v>15.55</v>
      </c>
      <c r="M89" s="100">
        <v>72.94</v>
      </c>
      <c r="N89" s="100">
        <v>1.1000000000000001</v>
      </c>
      <c r="O89" s="100">
        <v>0</v>
      </c>
      <c r="P89" s="100">
        <v>1</v>
      </c>
      <c r="Q89" s="100">
        <v>11.25</v>
      </c>
      <c r="R89" s="6"/>
      <c r="S89" s="6"/>
      <c r="T89" s="156"/>
      <c r="U89" s="6"/>
    </row>
    <row r="90" spans="1:21" customFormat="1">
      <c r="A90" s="163" t="s">
        <v>992</v>
      </c>
      <c r="B90" s="100">
        <v>10.46</v>
      </c>
      <c r="C90" s="100">
        <v>26.06</v>
      </c>
      <c r="D90" s="100">
        <v>23.35</v>
      </c>
      <c r="E90" s="100">
        <v>10.220000000000001</v>
      </c>
      <c r="F90" s="152" t="s">
        <v>15</v>
      </c>
      <c r="G90" s="100">
        <v>119.75</v>
      </c>
      <c r="H90" s="100">
        <v>28.92</v>
      </c>
      <c r="I90" s="100">
        <v>16.91</v>
      </c>
      <c r="J90" s="100">
        <v>0.13</v>
      </c>
      <c r="K90" s="100">
        <v>204.06</v>
      </c>
      <c r="L90" s="100">
        <v>15.43</v>
      </c>
      <c r="M90" s="100">
        <v>72.31</v>
      </c>
      <c r="N90" s="100">
        <v>1</v>
      </c>
      <c r="O90" s="100">
        <v>0</v>
      </c>
      <c r="P90" s="100">
        <v>0.99</v>
      </c>
      <c r="Q90" s="100">
        <v>11.25</v>
      </c>
      <c r="R90" s="6"/>
      <c r="S90" s="6"/>
      <c r="T90" s="156"/>
      <c r="U90" s="6"/>
    </row>
    <row r="91" spans="1:21" customFormat="1">
      <c r="A91" s="163" t="s">
        <v>993</v>
      </c>
      <c r="B91" s="100">
        <v>10.119999999999999</v>
      </c>
      <c r="C91" s="100">
        <v>25.75</v>
      </c>
      <c r="D91" s="100">
        <v>22.92</v>
      </c>
      <c r="E91" s="100">
        <v>10.89</v>
      </c>
      <c r="F91" s="152" t="s">
        <v>15</v>
      </c>
      <c r="G91" s="100">
        <v>119.75</v>
      </c>
      <c r="H91" s="100">
        <v>28.92</v>
      </c>
      <c r="I91" s="100">
        <v>16.79</v>
      </c>
      <c r="J91" s="100">
        <v>0.21</v>
      </c>
      <c r="K91" s="100">
        <v>196.65</v>
      </c>
      <c r="L91" s="100">
        <v>15.37</v>
      </c>
      <c r="M91" s="100">
        <v>71.819999999999993</v>
      </c>
      <c r="N91" s="100">
        <v>1</v>
      </c>
      <c r="O91" s="100">
        <v>0</v>
      </c>
      <c r="P91" s="100">
        <v>0.99</v>
      </c>
      <c r="Q91" s="100">
        <v>11.25</v>
      </c>
      <c r="R91" s="6"/>
      <c r="S91" s="6"/>
      <c r="T91" s="156"/>
      <c r="U91" s="6"/>
    </row>
    <row r="92" spans="1:21" customFormat="1">
      <c r="A92" s="163" t="s">
        <v>994</v>
      </c>
      <c r="B92" s="100">
        <v>9.89</v>
      </c>
      <c r="C92" s="100">
        <v>25.68</v>
      </c>
      <c r="D92" s="100">
        <v>22.7</v>
      </c>
      <c r="E92" s="100">
        <v>10.66</v>
      </c>
      <c r="F92" s="152" t="s">
        <v>15</v>
      </c>
      <c r="G92" s="100">
        <v>119.75</v>
      </c>
      <c r="H92" s="100">
        <v>28.92</v>
      </c>
      <c r="I92" s="100">
        <v>16.55</v>
      </c>
      <c r="J92" s="100">
        <v>0.14000000000000001</v>
      </c>
      <c r="K92" s="100">
        <v>213.86</v>
      </c>
      <c r="L92" s="100">
        <v>15.17</v>
      </c>
      <c r="M92" s="100">
        <v>71.400000000000006</v>
      </c>
      <c r="N92" s="100">
        <v>1.1000000000000001</v>
      </c>
      <c r="O92" s="100">
        <v>0</v>
      </c>
      <c r="P92" s="100">
        <v>0.99</v>
      </c>
      <c r="Q92" s="100">
        <v>11.25</v>
      </c>
      <c r="R92" s="6"/>
      <c r="S92" s="6"/>
      <c r="T92" s="156"/>
      <c r="U92" s="6"/>
    </row>
    <row r="93" spans="1:21" customFormat="1">
      <c r="A93" s="163" t="s">
        <v>995</v>
      </c>
      <c r="B93" s="100">
        <v>9.69</v>
      </c>
      <c r="C93" s="100">
        <v>25.84</v>
      </c>
      <c r="D93" s="100">
        <v>22.62</v>
      </c>
      <c r="E93" s="100">
        <v>10.199999999999999</v>
      </c>
      <c r="F93" s="152" t="s">
        <v>15</v>
      </c>
      <c r="G93" s="100">
        <v>126.95</v>
      </c>
      <c r="H93" s="100">
        <v>29.93</v>
      </c>
      <c r="I93" s="100">
        <v>16.260000000000002</v>
      </c>
      <c r="J93" s="100">
        <v>0.16</v>
      </c>
      <c r="K93" s="100">
        <v>202.63</v>
      </c>
      <c r="L93" s="100">
        <v>14.68</v>
      </c>
      <c r="M93" s="100">
        <v>77.5</v>
      </c>
      <c r="N93" s="100">
        <v>1.3</v>
      </c>
      <c r="O93" s="100">
        <v>0</v>
      </c>
      <c r="P93" s="100">
        <v>0.97</v>
      </c>
      <c r="Q93" s="100">
        <v>11.25</v>
      </c>
      <c r="R93" s="6"/>
      <c r="S93" s="6"/>
      <c r="T93" s="156"/>
      <c r="U93" s="6"/>
    </row>
    <row r="94" spans="1:21" customFormat="1">
      <c r="A94" s="163" t="s">
        <v>996</v>
      </c>
      <c r="B94" s="100">
        <v>9.65</v>
      </c>
      <c r="C94" s="100">
        <v>25.68</v>
      </c>
      <c r="D94" s="100">
        <v>22.5</v>
      </c>
      <c r="E94" s="100">
        <v>10.47</v>
      </c>
      <c r="F94" s="152" t="s">
        <v>15</v>
      </c>
      <c r="G94" s="100">
        <v>132.22</v>
      </c>
      <c r="H94" s="100">
        <v>30.24</v>
      </c>
      <c r="I94" s="100">
        <v>15.99</v>
      </c>
      <c r="J94" s="100">
        <v>0.14000000000000001</v>
      </c>
      <c r="K94" s="100">
        <v>177.59</v>
      </c>
      <c r="L94" s="100">
        <v>14.5</v>
      </c>
      <c r="M94" s="100">
        <v>74.45</v>
      </c>
      <c r="N94" s="100">
        <v>1</v>
      </c>
      <c r="O94" s="100">
        <v>0</v>
      </c>
      <c r="P94" s="100">
        <v>0.98</v>
      </c>
      <c r="Q94" s="100">
        <v>11.25</v>
      </c>
      <c r="R94" s="6"/>
      <c r="S94" s="6"/>
      <c r="T94" s="156"/>
      <c r="U94" s="6"/>
    </row>
    <row r="95" spans="1:21" customFormat="1">
      <c r="A95" s="163" t="s">
        <v>997</v>
      </c>
      <c r="B95" s="100">
        <v>9.73</v>
      </c>
      <c r="C95" s="100">
        <v>25.89</v>
      </c>
      <c r="D95" s="100">
        <v>22.68</v>
      </c>
      <c r="E95" s="100">
        <v>10.220000000000001</v>
      </c>
      <c r="F95" s="152" t="s">
        <v>15</v>
      </c>
      <c r="G95" s="100">
        <v>132.22</v>
      </c>
      <c r="H95" s="100">
        <v>30.24</v>
      </c>
      <c r="I95" s="100">
        <v>15.72</v>
      </c>
      <c r="J95" s="100">
        <v>0.14000000000000001</v>
      </c>
      <c r="K95" s="100">
        <v>195.75</v>
      </c>
      <c r="L95" s="100">
        <v>14.48</v>
      </c>
      <c r="M95" s="100">
        <v>78.16</v>
      </c>
      <c r="N95" s="100">
        <v>1</v>
      </c>
      <c r="O95" s="100">
        <v>0</v>
      </c>
      <c r="P95" s="100">
        <v>0.97</v>
      </c>
      <c r="Q95" s="100">
        <v>11.25</v>
      </c>
      <c r="R95" s="6"/>
      <c r="S95" s="6"/>
      <c r="T95" s="156"/>
      <c r="U95" s="6"/>
    </row>
    <row r="96" spans="1:21" customFormat="1">
      <c r="A96" s="163" t="s">
        <v>998</v>
      </c>
      <c r="B96" s="100">
        <v>9.9</v>
      </c>
      <c r="C96" s="100">
        <v>26.28</v>
      </c>
      <c r="D96" s="100">
        <v>23.02</v>
      </c>
      <c r="E96" s="100">
        <v>10.48</v>
      </c>
      <c r="F96" s="152" t="s">
        <v>15</v>
      </c>
      <c r="G96" s="100">
        <v>132.22</v>
      </c>
      <c r="H96" s="100">
        <v>30.24</v>
      </c>
      <c r="I96" s="100">
        <v>15.52</v>
      </c>
      <c r="J96" s="100">
        <v>0.17</v>
      </c>
      <c r="K96" s="100">
        <v>194.19</v>
      </c>
      <c r="L96" s="100">
        <v>14.49</v>
      </c>
      <c r="M96" s="100">
        <v>77.790000000000006</v>
      </c>
      <c r="N96" s="100">
        <v>1</v>
      </c>
      <c r="O96" s="100">
        <v>0</v>
      </c>
      <c r="P96" s="100">
        <v>0.98</v>
      </c>
      <c r="Q96" s="100">
        <v>11.25</v>
      </c>
      <c r="R96" s="6"/>
      <c r="S96" s="6"/>
      <c r="T96" s="156"/>
      <c r="U96" s="6"/>
    </row>
    <row r="97" spans="1:28" customFormat="1">
      <c r="A97" s="163" t="s">
        <v>999</v>
      </c>
      <c r="B97" s="100">
        <v>10</v>
      </c>
      <c r="C97" s="100">
        <v>26.36</v>
      </c>
      <c r="D97" s="100">
        <v>23.15</v>
      </c>
      <c r="E97" s="100">
        <v>11.12</v>
      </c>
      <c r="F97" s="152" t="s">
        <v>15</v>
      </c>
      <c r="G97" s="100">
        <v>145.58000000000001</v>
      </c>
      <c r="H97" s="100">
        <v>30.15</v>
      </c>
      <c r="I97" s="100">
        <v>15.41</v>
      </c>
      <c r="J97" s="100">
        <v>0.2</v>
      </c>
      <c r="K97" s="100">
        <v>203.65</v>
      </c>
      <c r="L97" s="100">
        <v>14.13</v>
      </c>
      <c r="M97" s="100">
        <v>80.209999999999994</v>
      </c>
      <c r="N97" s="100">
        <v>1.3</v>
      </c>
      <c r="O97" s="100">
        <v>0</v>
      </c>
      <c r="P97" s="100">
        <v>0.98</v>
      </c>
      <c r="Q97" s="100">
        <v>11.25</v>
      </c>
      <c r="R97" s="6"/>
      <c r="S97" s="6"/>
      <c r="T97" s="156"/>
      <c r="U97" s="6"/>
    </row>
    <row r="98" spans="1:28" customFormat="1">
      <c r="A98" s="163" t="s">
        <v>1000</v>
      </c>
      <c r="B98" s="100">
        <v>9.9600000000000009</v>
      </c>
      <c r="C98" s="100">
        <v>26.19</v>
      </c>
      <c r="D98" s="100">
        <v>23.03</v>
      </c>
      <c r="E98" s="100">
        <v>10.84</v>
      </c>
      <c r="F98" s="152" t="s">
        <v>15</v>
      </c>
      <c r="G98" s="100">
        <v>155.34</v>
      </c>
      <c r="H98" s="100">
        <v>30.13</v>
      </c>
      <c r="I98" s="100">
        <v>15.28</v>
      </c>
      <c r="J98" s="100">
        <v>0.14000000000000001</v>
      </c>
      <c r="K98" s="100">
        <v>198.99</v>
      </c>
      <c r="L98" s="100">
        <v>13.84</v>
      </c>
      <c r="M98" s="100">
        <v>81.03</v>
      </c>
      <c r="N98" s="100">
        <v>1.2</v>
      </c>
      <c r="O98" s="100">
        <v>0</v>
      </c>
      <c r="P98" s="100">
        <v>0.98</v>
      </c>
      <c r="Q98" s="100">
        <v>11.25</v>
      </c>
      <c r="R98" s="6"/>
      <c r="S98" s="6"/>
      <c r="T98" s="156"/>
      <c r="U98" s="6"/>
    </row>
    <row r="99" spans="1:28" customFormat="1">
      <c r="A99" s="163" t="s">
        <v>1001</v>
      </c>
      <c r="B99" s="100">
        <v>9.85</v>
      </c>
      <c r="C99" s="100">
        <v>25.86</v>
      </c>
      <c r="D99" s="100">
        <v>22.76</v>
      </c>
      <c r="E99" s="100">
        <v>9.91</v>
      </c>
      <c r="F99" s="152" t="s">
        <v>15</v>
      </c>
      <c r="G99" s="100">
        <v>155.34</v>
      </c>
      <c r="H99" s="100">
        <v>30.13</v>
      </c>
      <c r="I99" s="100">
        <v>15.13</v>
      </c>
      <c r="J99" s="100">
        <v>0.16</v>
      </c>
      <c r="K99" s="100">
        <v>185.34</v>
      </c>
      <c r="L99" s="100">
        <v>13.61</v>
      </c>
      <c r="M99" s="100">
        <v>82.23</v>
      </c>
      <c r="N99" s="100">
        <v>1.2</v>
      </c>
      <c r="O99" s="100">
        <v>0</v>
      </c>
      <c r="P99" s="100">
        <v>0.97</v>
      </c>
      <c r="Q99" s="100">
        <v>11.25</v>
      </c>
      <c r="R99" s="6"/>
      <c r="S99" s="6"/>
      <c r="T99" s="156"/>
      <c r="U99" s="6"/>
    </row>
    <row r="100" spans="1:28" customFormat="1">
      <c r="A100" s="163" t="s">
        <v>1002</v>
      </c>
      <c r="B100" s="100">
        <v>9.64</v>
      </c>
      <c r="C100" s="100">
        <v>25.61</v>
      </c>
      <c r="D100" s="100">
        <v>22.46</v>
      </c>
      <c r="E100" s="100">
        <v>10.06</v>
      </c>
      <c r="F100" s="152" t="s">
        <v>15</v>
      </c>
      <c r="G100" s="100">
        <v>155.34</v>
      </c>
      <c r="H100" s="100">
        <v>30.13</v>
      </c>
      <c r="I100" s="100">
        <v>14.99</v>
      </c>
      <c r="J100" s="100">
        <v>0.16</v>
      </c>
      <c r="K100" s="100">
        <v>228.96</v>
      </c>
      <c r="L100" s="100">
        <v>13.6</v>
      </c>
      <c r="M100" s="100">
        <v>79.510000000000005</v>
      </c>
      <c r="N100" s="100">
        <v>1</v>
      </c>
      <c r="O100" s="100">
        <v>0</v>
      </c>
      <c r="P100" s="100">
        <v>0.97</v>
      </c>
      <c r="Q100" s="100">
        <v>11.25</v>
      </c>
      <c r="R100" s="6"/>
      <c r="S100" s="6"/>
      <c r="T100" s="156"/>
      <c r="U100" s="6"/>
      <c r="AB100" s="161"/>
    </row>
    <row r="101" spans="1:28" customFormat="1">
      <c r="A101" s="163" t="s">
        <v>1003</v>
      </c>
      <c r="B101" s="100">
        <v>9.36</v>
      </c>
      <c r="C101" s="100">
        <v>25.34</v>
      </c>
      <c r="D101" s="100">
        <v>22.09</v>
      </c>
      <c r="E101" s="100">
        <v>10.4</v>
      </c>
      <c r="F101" s="152" t="s">
        <v>15</v>
      </c>
      <c r="G101" s="100">
        <v>148.79</v>
      </c>
      <c r="H101" s="100">
        <v>31</v>
      </c>
      <c r="I101" s="100">
        <v>14.85</v>
      </c>
      <c r="J101" s="100">
        <v>0.18</v>
      </c>
      <c r="K101" s="100">
        <v>219.27</v>
      </c>
      <c r="L101" s="100">
        <v>13.37</v>
      </c>
      <c r="M101" s="100">
        <v>80.760000000000005</v>
      </c>
      <c r="N101" s="100">
        <v>1.1000000000000001</v>
      </c>
      <c r="O101" s="100">
        <v>0</v>
      </c>
      <c r="P101" s="100">
        <v>0.98</v>
      </c>
      <c r="Q101" s="100">
        <v>11.25</v>
      </c>
      <c r="R101" s="6"/>
      <c r="S101" s="6"/>
      <c r="T101" s="156"/>
      <c r="U101" s="6"/>
    </row>
    <row r="102" spans="1:28" customFormat="1">
      <c r="A102" s="163" t="s">
        <v>1004</v>
      </c>
      <c r="B102" s="100">
        <v>9.09</v>
      </c>
      <c r="C102" s="100">
        <v>25.07</v>
      </c>
      <c r="D102" s="100">
        <v>21.74</v>
      </c>
      <c r="E102" s="100">
        <v>10.41</v>
      </c>
      <c r="F102" s="152" t="s">
        <v>15</v>
      </c>
      <c r="G102" s="100">
        <v>144.01</v>
      </c>
      <c r="H102" s="100">
        <v>31.26</v>
      </c>
      <c r="I102" s="100">
        <v>14.7</v>
      </c>
      <c r="J102" s="100">
        <v>0.18</v>
      </c>
      <c r="K102" s="100">
        <v>171</v>
      </c>
      <c r="L102" s="100">
        <v>13.32</v>
      </c>
      <c r="M102" s="100">
        <v>83.53</v>
      </c>
      <c r="N102" s="100">
        <v>1.1000000000000001</v>
      </c>
      <c r="O102" s="100">
        <v>0</v>
      </c>
      <c r="P102" s="100">
        <v>0.97</v>
      </c>
      <c r="Q102" s="100">
        <v>11.25</v>
      </c>
      <c r="R102" s="6"/>
      <c r="S102" s="6"/>
      <c r="T102" s="156"/>
      <c r="U102" s="6"/>
    </row>
    <row r="103" spans="1:28" customFormat="1">
      <c r="A103" s="163" t="s">
        <v>1005</v>
      </c>
      <c r="B103" s="100">
        <v>8.9</v>
      </c>
      <c r="C103" s="100">
        <v>24.59</v>
      </c>
      <c r="D103" s="100">
        <v>21.33</v>
      </c>
      <c r="E103" s="100">
        <v>10.130000000000001</v>
      </c>
      <c r="F103" s="152" t="s">
        <v>15</v>
      </c>
      <c r="G103" s="100">
        <v>144.01</v>
      </c>
      <c r="H103" s="100">
        <v>31.26</v>
      </c>
      <c r="I103" s="100">
        <v>14.6</v>
      </c>
      <c r="J103" s="100">
        <v>0.12</v>
      </c>
      <c r="K103" s="100">
        <v>215.11</v>
      </c>
      <c r="L103" s="100">
        <v>13.2</v>
      </c>
      <c r="M103" s="100">
        <v>81.180000000000007</v>
      </c>
      <c r="N103" s="100">
        <v>1</v>
      </c>
      <c r="O103" s="100">
        <v>0</v>
      </c>
      <c r="P103" s="100">
        <v>0.97</v>
      </c>
      <c r="Q103" s="100">
        <v>11.25</v>
      </c>
      <c r="R103" s="6"/>
      <c r="S103" s="6"/>
      <c r="T103" s="156"/>
      <c r="U103" s="6"/>
    </row>
    <row r="104" spans="1:28" customFormat="1">
      <c r="A104" s="163" t="s">
        <v>1006</v>
      </c>
      <c r="B104" s="100">
        <v>9.65</v>
      </c>
      <c r="C104" s="100">
        <v>24.36</v>
      </c>
      <c r="D104" s="100">
        <v>21.82</v>
      </c>
      <c r="E104" s="100">
        <v>10.07</v>
      </c>
      <c r="F104" s="152" t="s">
        <v>15</v>
      </c>
      <c r="G104" s="100">
        <v>144.01</v>
      </c>
      <c r="H104" s="100">
        <v>31.26</v>
      </c>
      <c r="I104" s="100">
        <v>14.59</v>
      </c>
      <c r="J104" s="100">
        <v>0.12</v>
      </c>
      <c r="K104" s="100">
        <v>186.98</v>
      </c>
      <c r="L104" s="100">
        <v>13.16</v>
      </c>
      <c r="M104" s="100">
        <v>78.42</v>
      </c>
      <c r="N104" s="100">
        <v>1</v>
      </c>
      <c r="O104" s="100">
        <v>0</v>
      </c>
      <c r="P104" s="100">
        <v>0.97</v>
      </c>
      <c r="Q104" s="100">
        <v>11.25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3.57</v>
      </c>
      <c r="C106" s="158">
        <f>MIN(C9:C104)</f>
        <v>19.28</v>
      </c>
      <c r="D106" s="158">
        <f t="shared" ref="D106:Q106" si="0">MIN(D9:D104)</f>
        <v>15.86</v>
      </c>
      <c r="E106" s="158">
        <f t="shared" si="0"/>
        <v>7.03</v>
      </c>
      <c r="F106" s="158">
        <f t="shared" si="0"/>
        <v>0</v>
      </c>
      <c r="G106" s="158">
        <f t="shared" si="0"/>
        <v>39.51</v>
      </c>
      <c r="H106" s="158">
        <f t="shared" si="0"/>
        <v>14.61</v>
      </c>
      <c r="I106" s="158">
        <f t="shared" si="0"/>
        <v>7.79</v>
      </c>
      <c r="J106" s="158">
        <f t="shared" si="0"/>
        <v>7.0000000000000007E-2</v>
      </c>
      <c r="K106" s="158">
        <f t="shared" si="0"/>
        <v>8.5299999999999994</v>
      </c>
      <c r="L106" s="158">
        <f t="shared" si="0"/>
        <v>11.06</v>
      </c>
      <c r="M106" s="158">
        <f t="shared" si="0"/>
        <v>24.84</v>
      </c>
      <c r="N106" s="158">
        <f t="shared" si="0"/>
        <v>0.9</v>
      </c>
      <c r="O106" s="158">
        <f t="shared" si="0"/>
        <v>0</v>
      </c>
      <c r="P106" s="158">
        <f t="shared" si="0"/>
        <v>0.51</v>
      </c>
      <c r="Q106" s="158">
        <f t="shared" si="0"/>
        <v>11.25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17.079999999999998</v>
      </c>
      <c r="C107" s="157">
        <f t="shared" ref="C107:Q107" si="1">MAX(C9:C104)</f>
        <v>26.66</v>
      </c>
      <c r="D107" s="157">
        <f t="shared" si="1"/>
        <v>27.65</v>
      </c>
      <c r="E107" s="157">
        <f t="shared" si="1"/>
        <v>11.12</v>
      </c>
      <c r="F107" s="157">
        <f t="shared" si="1"/>
        <v>0</v>
      </c>
      <c r="G107" s="157">
        <f t="shared" si="1"/>
        <v>155.34</v>
      </c>
      <c r="H107" s="157">
        <f t="shared" si="1"/>
        <v>31.26</v>
      </c>
      <c r="I107" s="157">
        <f t="shared" si="1"/>
        <v>16.989999999999998</v>
      </c>
      <c r="J107" s="157">
        <f t="shared" si="1"/>
        <v>0.7</v>
      </c>
      <c r="K107" s="157">
        <f t="shared" si="1"/>
        <v>356.31</v>
      </c>
      <c r="L107" s="157">
        <f t="shared" si="1"/>
        <v>25.37</v>
      </c>
      <c r="M107" s="157">
        <f t="shared" si="1"/>
        <v>92.63</v>
      </c>
      <c r="N107" s="157">
        <f t="shared" si="1"/>
        <v>479.9</v>
      </c>
      <c r="O107" s="157">
        <f t="shared" si="1"/>
        <v>0</v>
      </c>
      <c r="P107" s="157">
        <f t="shared" si="1"/>
        <v>1.04</v>
      </c>
      <c r="Q107" s="157">
        <f t="shared" si="1"/>
        <v>11.25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9.4236458333333335</v>
      </c>
      <c r="C108" s="158">
        <f t="shared" ref="C108:Q108" si="2">AVERAGE(C9:C104)</f>
        <v>23.755729166666679</v>
      </c>
      <c r="D108" s="158">
        <f t="shared" si="2"/>
        <v>21.319895833333327</v>
      </c>
      <c r="E108" s="158">
        <f t="shared" si="2"/>
        <v>8.9471875000000001</v>
      </c>
      <c r="F108" s="158" t="e">
        <f t="shared" si="2"/>
        <v>#DIV/0!</v>
      </c>
      <c r="G108" s="158">
        <f t="shared" si="2"/>
        <v>78.422083333333333</v>
      </c>
      <c r="H108" s="158">
        <f t="shared" si="2"/>
        <v>21.620104166666678</v>
      </c>
      <c r="I108" s="158">
        <f t="shared" si="2"/>
        <v>10.340208333333335</v>
      </c>
      <c r="J108" s="158">
        <f t="shared" si="2"/>
        <v>0.30510416666666673</v>
      </c>
      <c r="K108" s="158">
        <f t="shared" si="2"/>
        <v>155.6961458333333</v>
      </c>
      <c r="L108" s="158">
        <f t="shared" si="2"/>
        <v>17.728229166666665</v>
      </c>
      <c r="M108" s="158">
        <f t="shared" si="2"/>
        <v>60.082708333333322</v>
      </c>
      <c r="N108" s="158">
        <f t="shared" si="2"/>
        <v>92.458333333333314</v>
      </c>
      <c r="O108" s="158">
        <f t="shared" si="2"/>
        <v>0</v>
      </c>
      <c r="P108" s="158">
        <f t="shared" si="2"/>
        <v>0.73697916666666652</v>
      </c>
      <c r="Q108" s="158">
        <f t="shared" si="2"/>
        <v>11.25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3.4486696503805803</v>
      </c>
      <c r="C109" s="158">
        <f t="shared" ref="C109:Q109" si="3">STDEV(C9:C104)</f>
        <v>1.9630608456621843</v>
      </c>
      <c r="D109" s="158">
        <f t="shared" si="3"/>
        <v>2.7927400221181466</v>
      </c>
      <c r="E109" s="158">
        <f t="shared" si="3"/>
        <v>1.0779226640797848</v>
      </c>
      <c r="F109" s="158" t="e">
        <f t="shared" si="3"/>
        <v>#DIV/0!</v>
      </c>
      <c r="G109" s="158">
        <f t="shared" si="3"/>
        <v>32.90612679847316</v>
      </c>
      <c r="H109" s="158">
        <f t="shared" si="3"/>
        <v>5.162725819155165</v>
      </c>
      <c r="I109" s="158">
        <f t="shared" si="3"/>
        <v>2.7596334536031324</v>
      </c>
      <c r="J109" s="158">
        <f t="shared" si="3"/>
        <v>0.16969318934115168</v>
      </c>
      <c r="K109" s="158">
        <f t="shared" si="3"/>
        <v>96.561667924479494</v>
      </c>
      <c r="L109" s="158">
        <f t="shared" si="3"/>
        <v>4.6161777295876103</v>
      </c>
      <c r="M109" s="158">
        <f t="shared" si="3"/>
        <v>22.157509810643688</v>
      </c>
      <c r="N109" s="158">
        <f t="shared" si="3"/>
        <v>154.3157990115121</v>
      </c>
      <c r="O109" s="158">
        <f t="shared" si="3"/>
        <v>0</v>
      </c>
      <c r="P109" s="158">
        <f t="shared" si="3"/>
        <v>0.15279239297451058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I100" sqref="I10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1007</v>
      </c>
      <c r="B9" s="100">
        <v>15.82</v>
      </c>
      <c r="C9" s="100">
        <v>24.96</v>
      </c>
      <c r="D9" s="100">
        <v>27.08</v>
      </c>
      <c r="E9" s="100">
        <v>10.199999999999999</v>
      </c>
      <c r="F9" s="152" t="s">
        <v>15</v>
      </c>
      <c r="G9" s="100">
        <v>125.55</v>
      </c>
      <c r="H9" s="100">
        <v>31.11</v>
      </c>
      <c r="I9" s="100">
        <v>14.52</v>
      </c>
      <c r="J9" s="100">
        <v>0.17</v>
      </c>
      <c r="K9" s="100">
        <v>185.37</v>
      </c>
      <c r="L9" s="100">
        <v>13.37</v>
      </c>
      <c r="M9" s="100">
        <v>77.680000000000007</v>
      </c>
      <c r="N9" s="100">
        <v>0.9</v>
      </c>
      <c r="O9" s="100">
        <v>0</v>
      </c>
      <c r="P9" s="100">
        <v>0.99</v>
      </c>
      <c r="Q9" s="100">
        <v>11.25</v>
      </c>
      <c r="R9" s="6"/>
      <c r="S9" s="6"/>
      <c r="T9" s="156"/>
      <c r="U9" s="6"/>
    </row>
    <row r="10" spans="1:21" customFormat="1">
      <c r="A10" s="163" t="s">
        <v>1008</v>
      </c>
      <c r="B10" s="100">
        <v>19</v>
      </c>
      <c r="C10" s="100">
        <v>25.7</v>
      </c>
      <c r="D10" s="100">
        <v>30.01</v>
      </c>
      <c r="E10" s="100">
        <v>10.199999999999999</v>
      </c>
      <c r="F10" s="152" t="s">
        <v>15</v>
      </c>
      <c r="G10" s="100">
        <v>112.06</v>
      </c>
      <c r="H10" s="100">
        <v>31.07</v>
      </c>
      <c r="I10" s="100">
        <v>14.49</v>
      </c>
      <c r="J10" s="100">
        <v>0.14000000000000001</v>
      </c>
      <c r="K10" s="100">
        <v>138.62</v>
      </c>
      <c r="L10" s="100">
        <v>13.2</v>
      </c>
      <c r="M10" s="100">
        <v>81.11</v>
      </c>
      <c r="N10" s="100">
        <v>1.1000000000000001</v>
      </c>
      <c r="O10" s="100">
        <v>0</v>
      </c>
      <c r="P10" s="100">
        <v>1.01</v>
      </c>
      <c r="Q10" s="100">
        <v>11.25</v>
      </c>
      <c r="R10" s="6"/>
      <c r="S10" s="6"/>
      <c r="T10" s="156"/>
      <c r="U10" s="6"/>
    </row>
    <row r="11" spans="1:21" customFormat="1">
      <c r="A11" s="163" t="s">
        <v>1009</v>
      </c>
      <c r="B11" s="100">
        <v>23.02</v>
      </c>
      <c r="C11" s="100">
        <v>26.38</v>
      </c>
      <c r="D11" s="100">
        <v>33.590000000000003</v>
      </c>
      <c r="E11" s="100">
        <v>9.7100000000000009</v>
      </c>
      <c r="F11" s="152" t="s">
        <v>15</v>
      </c>
      <c r="G11" s="100">
        <v>112.06</v>
      </c>
      <c r="H11" s="100">
        <v>31.07</v>
      </c>
      <c r="I11" s="100">
        <v>14.57</v>
      </c>
      <c r="J11" s="100">
        <v>0.15</v>
      </c>
      <c r="K11" s="100">
        <v>178.69</v>
      </c>
      <c r="L11" s="100">
        <v>13.39</v>
      </c>
      <c r="M11" s="100">
        <v>77.36</v>
      </c>
      <c r="N11" s="100">
        <v>0.9</v>
      </c>
      <c r="O11" s="100">
        <v>0</v>
      </c>
      <c r="P11" s="100">
        <v>1.02</v>
      </c>
      <c r="Q11" s="100">
        <v>11.25</v>
      </c>
      <c r="R11" s="6"/>
      <c r="S11" s="6"/>
      <c r="T11" s="156"/>
      <c r="U11" s="6"/>
    </row>
    <row r="12" spans="1:21" customFormat="1">
      <c r="A12" s="163" t="s">
        <v>1010</v>
      </c>
      <c r="B12" s="100">
        <v>27.33</v>
      </c>
      <c r="C12" s="100">
        <v>27.11</v>
      </c>
      <c r="D12" s="100">
        <v>37.43</v>
      </c>
      <c r="E12" s="100">
        <v>10.49</v>
      </c>
      <c r="F12" s="152" t="s">
        <v>15</v>
      </c>
      <c r="G12" s="100">
        <v>112.06</v>
      </c>
      <c r="H12" s="100">
        <v>31.07</v>
      </c>
      <c r="I12" s="100">
        <v>14.66</v>
      </c>
      <c r="J12" s="100">
        <v>0.16</v>
      </c>
      <c r="K12" s="100">
        <v>209.64</v>
      </c>
      <c r="L12" s="100">
        <v>13.01</v>
      </c>
      <c r="M12" s="100">
        <v>83.93</v>
      </c>
      <c r="N12" s="100">
        <v>1.3</v>
      </c>
      <c r="O12" s="100">
        <v>0</v>
      </c>
      <c r="P12" s="100">
        <v>1.07</v>
      </c>
      <c r="Q12" s="100">
        <v>11.25</v>
      </c>
      <c r="R12" s="6"/>
      <c r="S12" s="6"/>
      <c r="T12" s="156"/>
      <c r="U12" s="6"/>
    </row>
    <row r="13" spans="1:21" customFormat="1">
      <c r="A13" s="163" t="s">
        <v>1011</v>
      </c>
      <c r="B13" s="100">
        <v>29.66</v>
      </c>
      <c r="C13" s="100">
        <v>27.23</v>
      </c>
      <c r="D13" s="100">
        <v>39.36</v>
      </c>
      <c r="E13" s="100">
        <v>9.9</v>
      </c>
      <c r="F13" s="152" t="s">
        <v>15</v>
      </c>
      <c r="G13" s="100">
        <v>115.01</v>
      </c>
      <c r="H13" s="100">
        <v>31.05</v>
      </c>
      <c r="I13" s="100">
        <v>14.81</v>
      </c>
      <c r="J13" s="100">
        <v>0.13</v>
      </c>
      <c r="K13" s="100">
        <v>202.49</v>
      </c>
      <c r="L13" s="100">
        <v>12.48</v>
      </c>
      <c r="M13" s="100">
        <v>86.27</v>
      </c>
      <c r="N13" s="100">
        <v>1.4</v>
      </c>
      <c r="O13" s="100">
        <v>0</v>
      </c>
      <c r="P13" s="100">
        <v>1.0900000000000001</v>
      </c>
      <c r="Q13" s="100">
        <v>11.25</v>
      </c>
      <c r="R13" s="6"/>
      <c r="S13" s="6"/>
      <c r="T13" s="156"/>
      <c r="U13" s="6"/>
    </row>
    <row r="14" spans="1:21" customFormat="1">
      <c r="A14" s="163" t="s">
        <v>1012</v>
      </c>
      <c r="B14" s="100">
        <v>30.47</v>
      </c>
      <c r="C14" s="100">
        <v>26.71</v>
      </c>
      <c r="D14" s="100">
        <v>39.74</v>
      </c>
      <c r="E14" s="100">
        <v>10.34</v>
      </c>
      <c r="F14" s="152" t="s">
        <v>15</v>
      </c>
      <c r="G14" s="100">
        <v>117.16</v>
      </c>
      <c r="H14" s="100">
        <v>31.04</v>
      </c>
      <c r="I14" s="100">
        <v>14.9</v>
      </c>
      <c r="J14" s="100">
        <v>0.18</v>
      </c>
      <c r="K14" s="100">
        <v>84.71</v>
      </c>
      <c r="L14" s="100">
        <v>12.41</v>
      </c>
      <c r="M14" s="100">
        <v>84.97</v>
      </c>
      <c r="N14" s="100">
        <v>1.1000000000000001</v>
      </c>
      <c r="O14" s="100">
        <v>0</v>
      </c>
      <c r="P14" s="100">
        <v>1.0900000000000001</v>
      </c>
      <c r="Q14" s="100">
        <v>11.25</v>
      </c>
      <c r="R14" s="6"/>
      <c r="S14" s="6"/>
      <c r="T14" s="156"/>
      <c r="U14" s="6"/>
    </row>
    <row r="15" spans="1:21" customFormat="1">
      <c r="A15" s="163" t="s">
        <v>1013</v>
      </c>
      <c r="B15" s="100">
        <v>31.99</v>
      </c>
      <c r="C15" s="100">
        <v>26.46</v>
      </c>
      <c r="D15" s="100">
        <v>40.83</v>
      </c>
      <c r="E15" s="100">
        <v>10.19</v>
      </c>
      <c r="F15" s="152" t="s">
        <v>15</v>
      </c>
      <c r="G15" s="100">
        <v>117.16</v>
      </c>
      <c r="H15" s="100">
        <v>31.04</v>
      </c>
      <c r="I15" s="100">
        <v>14.93</v>
      </c>
      <c r="J15" s="100">
        <v>0.1</v>
      </c>
      <c r="K15" s="100">
        <v>112.38</v>
      </c>
      <c r="L15" s="100">
        <v>12.64</v>
      </c>
      <c r="M15" s="100">
        <v>81.53</v>
      </c>
      <c r="N15" s="100">
        <v>1</v>
      </c>
      <c r="O15" s="100">
        <v>0</v>
      </c>
      <c r="P15" s="100">
        <v>1.1000000000000001</v>
      </c>
      <c r="Q15" s="100">
        <v>11.25</v>
      </c>
      <c r="R15" s="6"/>
      <c r="S15" s="6"/>
      <c r="T15" s="156"/>
      <c r="U15" s="6"/>
    </row>
    <row r="16" spans="1:21" customFormat="1">
      <c r="A16" s="163" t="s">
        <v>1014</v>
      </c>
      <c r="B16" s="100">
        <v>34.24</v>
      </c>
      <c r="C16" s="100">
        <v>26.55</v>
      </c>
      <c r="D16" s="100">
        <v>42.68</v>
      </c>
      <c r="E16" s="100">
        <v>10.32</v>
      </c>
      <c r="F16" s="152" t="s">
        <v>15</v>
      </c>
      <c r="G16" s="100">
        <v>117.16</v>
      </c>
      <c r="H16" s="100">
        <v>31.04</v>
      </c>
      <c r="I16" s="100">
        <v>14.97</v>
      </c>
      <c r="J16" s="100">
        <v>0.15</v>
      </c>
      <c r="K16" s="100">
        <v>196.23</v>
      </c>
      <c r="L16" s="100">
        <v>12.63</v>
      </c>
      <c r="M16" s="100">
        <v>82.32</v>
      </c>
      <c r="N16" s="100">
        <v>1.1000000000000001</v>
      </c>
      <c r="O16" s="100">
        <v>0</v>
      </c>
      <c r="P16" s="100">
        <v>1.1100000000000001</v>
      </c>
      <c r="Q16" s="100">
        <v>11.25</v>
      </c>
      <c r="R16" s="6"/>
      <c r="S16" s="6"/>
      <c r="T16" s="156"/>
      <c r="U16" s="6"/>
    </row>
    <row r="17" spans="1:21" customFormat="1">
      <c r="A17" s="163" t="s">
        <v>1015</v>
      </c>
      <c r="B17" s="100">
        <v>35.869999999999997</v>
      </c>
      <c r="C17" s="100">
        <v>26.54</v>
      </c>
      <c r="D17" s="100">
        <v>43.99</v>
      </c>
      <c r="E17" s="100">
        <v>6.41</v>
      </c>
      <c r="F17" s="152" t="s">
        <v>15</v>
      </c>
      <c r="G17" s="100">
        <v>112</v>
      </c>
      <c r="H17" s="100">
        <v>29.48</v>
      </c>
      <c r="I17" s="100">
        <v>15.05</v>
      </c>
      <c r="J17" s="100">
        <v>0.14000000000000001</v>
      </c>
      <c r="K17" s="100">
        <v>201.82</v>
      </c>
      <c r="L17" s="100">
        <v>12.44</v>
      </c>
      <c r="M17" s="100">
        <v>85.99</v>
      </c>
      <c r="N17" s="100">
        <v>1.2</v>
      </c>
      <c r="O17" s="100">
        <v>0</v>
      </c>
      <c r="P17" s="100">
        <v>1.1299999999999999</v>
      </c>
      <c r="Q17" s="100">
        <v>11.25</v>
      </c>
      <c r="R17" s="6"/>
      <c r="S17" s="6"/>
      <c r="T17" s="156"/>
      <c r="U17" s="6"/>
    </row>
    <row r="18" spans="1:21" customFormat="1">
      <c r="A18" s="163" t="s">
        <v>1016</v>
      </c>
      <c r="B18" s="100">
        <v>36.82</v>
      </c>
      <c r="C18" s="100">
        <v>26.23</v>
      </c>
      <c r="D18" s="100">
        <v>44.58</v>
      </c>
      <c r="E18" s="100">
        <v>7.13</v>
      </c>
      <c r="F18" s="152" t="s">
        <v>15</v>
      </c>
      <c r="G18" s="100">
        <v>108.22</v>
      </c>
      <c r="H18" s="100">
        <v>28.98</v>
      </c>
      <c r="I18" s="100">
        <v>15.21</v>
      </c>
      <c r="J18" s="100">
        <v>0.12</v>
      </c>
      <c r="K18" s="100">
        <v>179.47</v>
      </c>
      <c r="L18" s="100">
        <v>12.24</v>
      </c>
      <c r="M18" s="100">
        <v>86.1</v>
      </c>
      <c r="N18" s="100">
        <v>1.3</v>
      </c>
      <c r="O18" s="100">
        <v>0</v>
      </c>
      <c r="P18" s="100">
        <v>1.1399999999999999</v>
      </c>
      <c r="Q18" s="100">
        <v>11.25</v>
      </c>
      <c r="R18" s="6"/>
      <c r="S18" s="6"/>
      <c r="T18" s="156"/>
      <c r="U18" s="6"/>
    </row>
    <row r="19" spans="1:21" customFormat="1">
      <c r="A19" s="163" t="s">
        <v>1017</v>
      </c>
      <c r="B19" s="100">
        <v>37.39</v>
      </c>
      <c r="C19" s="100">
        <v>26.1</v>
      </c>
      <c r="D19" s="100">
        <v>44.97</v>
      </c>
      <c r="E19" s="100">
        <v>6.72</v>
      </c>
      <c r="F19" s="152" t="s">
        <v>15</v>
      </c>
      <c r="G19" s="100">
        <v>108.22</v>
      </c>
      <c r="H19" s="100">
        <v>28.98</v>
      </c>
      <c r="I19" s="100">
        <v>15.38</v>
      </c>
      <c r="J19" s="100">
        <v>0.1</v>
      </c>
      <c r="K19" s="100">
        <v>134.27000000000001</v>
      </c>
      <c r="L19" s="100">
        <v>12.06</v>
      </c>
      <c r="M19" s="100">
        <v>87.87</v>
      </c>
      <c r="N19" s="100">
        <v>1.3</v>
      </c>
      <c r="O19" s="100">
        <v>0</v>
      </c>
      <c r="P19" s="100">
        <v>1.1499999999999999</v>
      </c>
      <c r="Q19" s="100">
        <v>11.25</v>
      </c>
      <c r="R19" s="6"/>
      <c r="S19" s="6"/>
      <c r="T19" s="156"/>
      <c r="U19" s="6"/>
    </row>
    <row r="20" spans="1:21" customFormat="1">
      <c r="A20" s="163" t="s">
        <v>1018</v>
      </c>
      <c r="B20" s="100">
        <v>37.979999999999997</v>
      </c>
      <c r="C20" s="100">
        <v>25.72</v>
      </c>
      <c r="D20" s="100">
        <v>45.25</v>
      </c>
      <c r="E20" s="100">
        <v>7.47</v>
      </c>
      <c r="F20" s="152" t="s">
        <v>15</v>
      </c>
      <c r="G20" s="100">
        <v>108.22</v>
      </c>
      <c r="H20" s="100">
        <v>28.98</v>
      </c>
      <c r="I20" s="100">
        <v>15.51</v>
      </c>
      <c r="J20" s="100">
        <v>0.21</v>
      </c>
      <c r="K20" s="100">
        <v>180.65</v>
      </c>
      <c r="L20" s="100">
        <v>12.06</v>
      </c>
      <c r="M20" s="100">
        <v>87.71</v>
      </c>
      <c r="N20" s="100">
        <v>1</v>
      </c>
      <c r="O20" s="100">
        <v>0</v>
      </c>
      <c r="P20" s="100">
        <v>1.17</v>
      </c>
      <c r="Q20" s="100">
        <v>11.25</v>
      </c>
      <c r="R20" s="6"/>
      <c r="S20" s="6"/>
      <c r="T20" s="156"/>
      <c r="U20" s="6"/>
    </row>
    <row r="21" spans="1:21" customFormat="1">
      <c r="A21" s="163" t="s">
        <v>1019</v>
      </c>
      <c r="B21" s="100">
        <v>37.86</v>
      </c>
      <c r="C21" s="100">
        <v>25.44</v>
      </c>
      <c r="D21" s="100">
        <v>45</v>
      </c>
      <c r="E21" s="100">
        <v>7.28</v>
      </c>
      <c r="F21" s="152" t="s">
        <v>15</v>
      </c>
      <c r="G21" s="100">
        <v>103.26</v>
      </c>
      <c r="H21" s="100">
        <v>29.75</v>
      </c>
      <c r="I21" s="100">
        <v>15.63</v>
      </c>
      <c r="J21" s="100">
        <v>0.18</v>
      </c>
      <c r="K21" s="100">
        <v>168.2</v>
      </c>
      <c r="L21" s="100">
        <v>11.5</v>
      </c>
      <c r="M21" s="100">
        <v>90.2</v>
      </c>
      <c r="N21" s="100">
        <v>1.6</v>
      </c>
      <c r="O21" s="100">
        <v>0</v>
      </c>
      <c r="P21" s="100">
        <v>1.17</v>
      </c>
      <c r="Q21" s="100">
        <v>11.25</v>
      </c>
      <c r="R21" s="6"/>
      <c r="S21" s="6"/>
      <c r="T21" s="156"/>
      <c r="U21" s="6"/>
    </row>
    <row r="22" spans="1:21" customFormat="1">
      <c r="A22" s="163" t="s">
        <v>1020</v>
      </c>
      <c r="B22" s="100">
        <v>36.82</v>
      </c>
      <c r="C22" s="100">
        <v>24.88</v>
      </c>
      <c r="D22" s="100">
        <v>43.88</v>
      </c>
      <c r="E22" s="100">
        <v>6.67</v>
      </c>
      <c r="F22" s="152" t="s">
        <v>15</v>
      </c>
      <c r="G22" s="100">
        <v>99.63</v>
      </c>
      <c r="H22" s="100">
        <v>29.98</v>
      </c>
      <c r="I22" s="100">
        <v>15.73</v>
      </c>
      <c r="J22" s="100">
        <v>0.26</v>
      </c>
      <c r="K22" s="100">
        <v>182.71</v>
      </c>
      <c r="L22" s="100">
        <v>11.21</v>
      </c>
      <c r="M22" s="100">
        <v>91.08</v>
      </c>
      <c r="N22" s="100">
        <v>1.3</v>
      </c>
      <c r="O22" s="100">
        <v>0</v>
      </c>
      <c r="P22" s="100">
        <v>1.17</v>
      </c>
      <c r="Q22" s="100">
        <v>11.25</v>
      </c>
      <c r="R22" s="6"/>
      <c r="S22" s="6"/>
      <c r="T22" s="156"/>
      <c r="U22" s="6"/>
    </row>
    <row r="23" spans="1:21" customFormat="1">
      <c r="A23" s="163" t="s">
        <v>1021</v>
      </c>
      <c r="B23" s="100">
        <v>35.4</v>
      </c>
      <c r="C23" s="100">
        <v>24.21</v>
      </c>
      <c r="D23" s="100">
        <v>42.39</v>
      </c>
      <c r="E23" s="100">
        <v>6.77</v>
      </c>
      <c r="F23" s="152" t="s">
        <v>15</v>
      </c>
      <c r="G23" s="100">
        <v>99.63</v>
      </c>
      <c r="H23" s="100">
        <v>29.98</v>
      </c>
      <c r="I23" s="100">
        <v>15.79</v>
      </c>
      <c r="J23" s="100">
        <v>0.09</v>
      </c>
      <c r="K23" s="100">
        <v>177.6</v>
      </c>
      <c r="L23" s="100">
        <v>11.11</v>
      </c>
      <c r="M23" s="100">
        <v>90.49</v>
      </c>
      <c r="N23" s="100">
        <v>1.2</v>
      </c>
      <c r="O23" s="100">
        <v>0</v>
      </c>
      <c r="P23" s="100">
        <v>1.18</v>
      </c>
      <c r="Q23" s="100">
        <v>11.25</v>
      </c>
      <c r="R23" s="6"/>
      <c r="S23" s="6"/>
      <c r="T23" s="156"/>
      <c r="U23" s="6"/>
    </row>
    <row r="24" spans="1:21" customFormat="1">
      <c r="A24" s="163" t="s">
        <v>1022</v>
      </c>
      <c r="B24" s="100">
        <v>34.54</v>
      </c>
      <c r="C24" s="100">
        <v>23.58</v>
      </c>
      <c r="D24" s="100">
        <v>41.36</v>
      </c>
      <c r="E24" s="100">
        <v>6.66</v>
      </c>
      <c r="F24" s="152" t="s">
        <v>15</v>
      </c>
      <c r="G24" s="100">
        <v>99.63</v>
      </c>
      <c r="H24" s="100">
        <v>29.98</v>
      </c>
      <c r="I24" s="100">
        <v>15.89</v>
      </c>
      <c r="J24" s="100">
        <v>0.13</v>
      </c>
      <c r="K24" s="100">
        <v>170.14</v>
      </c>
      <c r="L24" s="100">
        <v>11.08</v>
      </c>
      <c r="M24" s="100">
        <v>88.88</v>
      </c>
      <c r="N24" s="100">
        <v>1</v>
      </c>
      <c r="O24" s="100">
        <v>0</v>
      </c>
      <c r="P24" s="100">
        <v>1.18</v>
      </c>
      <c r="Q24" s="100">
        <v>11.25</v>
      </c>
      <c r="R24" s="6"/>
      <c r="S24" s="6"/>
      <c r="T24" s="156"/>
      <c r="U24" s="6"/>
    </row>
    <row r="25" spans="1:21" customFormat="1">
      <c r="A25" s="163" t="s">
        <v>1023</v>
      </c>
      <c r="B25" s="100">
        <v>33.51</v>
      </c>
      <c r="C25" s="100">
        <v>23.31</v>
      </c>
      <c r="D25" s="100">
        <v>40.409999999999997</v>
      </c>
      <c r="E25" s="100">
        <v>6.61</v>
      </c>
      <c r="F25" s="152" t="s">
        <v>15</v>
      </c>
      <c r="G25" s="100">
        <v>97.73</v>
      </c>
      <c r="H25" s="100">
        <v>29.71</v>
      </c>
      <c r="I25" s="100">
        <v>15.96</v>
      </c>
      <c r="J25" s="100">
        <v>0.12</v>
      </c>
      <c r="K25" s="100">
        <v>167.19</v>
      </c>
      <c r="L25" s="100">
        <v>11.07</v>
      </c>
      <c r="M25" s="100">
        <v>89.7</v>
      </c>
      <c r="N25" s="100">
        <v>1</v>
      </c>
      <c r="O25" s="100">
        <v>0</v>
      </c>
      <c r="P25" s="100">
        <v>1.19</v>
      </c>
      <c r="Q25" s="100">
        <v>11.25</v>
      </c>
      <c r="R25" s="6"/>
      <c r="S25" s="6"/>
      <c r="T25" s="156"/>
      <c r="U25" s="6"/>
    </row>
    <row r="26" spans="1:21" customFormat="1">
      <c r="A26" s="163" t="s">
        <v>1024</v>
      </c>
      <c r="B26" s="100">
        <v>32.159999999999997</v>
      </c>
      <c r="C26" s="100">
        <v>23.08</v>
      </c>
      <c r="D26" s="100">
        <v>39.200000000000003</v>
      </c>
      <c r="E26" s="100">
        <v>6.9</v>
      </c>
      <c r="F26" s="152" t="s">
        <v>15</v>
      </c>
      <c r="G26" s="100">
        <v>96.35</v>
      </c>
      <c r="H26" s="100">
        <v>29.62</v>
      </c>
      <c r="I26" s="100">
        <v>15.95</v>
      </c>
      <c r="J26" s="100">
        <v>0.15</v>
      </c>
      <c r="K26" s="100">
        <v>110.75</v>
      </c>
      <c r="L26" s="100">
        <v>11.13</v>
      </c>
      <c r="M26" s="100">
        <v>88.21</v>
      </c>
      <c r="N26" s="100">
        <v>1</v>
      </c>
      <c r="O26" s="100">
        <v>0</v>
      </c>
      <c r="P26" s="100">
        <v>1.17</v>
      </c>
      <c r="Q26" s="100">
        <v>11.25</v>
      </c>
      <c r="R26" s="6"/>
      <c r="S26" s="6"/>
      <c r="T26" s="156"/>
      <c r="U26" s="6"/>
    </row>
    <row r="27" spans="1:21" customFormat="1">
      <c r="A27" s="163" t="s">
        <v>1025</v>
      </c>
      <c r="B27" s="100">
        <v>33.43</v>
      </c>
      <c r="C27" s="100">
        <v>23.22</v>
      </c>
      <c r="D27" s="100">
        <v>40.29</v>
      </c>
      <c r="E27" s="100">
        <v>6.48</v>
      </c>
      <c r="F27" s="152" t="s">
        <v>15</v>
      </c>
      <c r="G27" s="100">
        <v>96.35</v>
      </c>
      <c r="H27" s="100">
        <v>29.62</v>
      </c>
      <c r="I27" s="100">
        <v>15.91</v>
      </c>
      <c r="J27" s="100">
        <v>0.11</v>
      </c>
      <c r="K27" s="100">
        <v>97.66</v>
      </c>
      <c r="L27" s="100">
        <v>11.26</v>
      </c>
      <c r="M27" s="100">
        <v>86.2</v>
      </c>
      <c r="N27" s="100">
        <v>1</v>
      </c>
      <c r="O27" s="100">
        <v>0</v>
      </c>
      <c r="P27" s="100">
        <v>1.17</v>
      </c>
      <c r="Q27" s="100">
        <v>11.25</v>
      </c>
      <c r="R27" s="6"/>
      <c r="S27" s="6"/>
      <c r="T27" s="156"/>
      <c r="U27" s="6"/>
    </row>
    <row r="28" spans="1:21" customFormat="1">
      <c r="A28" s="163" t="s">
        <v>1026</v>
      </c>
      <c r="B28" s="100">
        <v>36.94</v>
      </c>
      <c r="C28" s="100">
        <v>23.54</v>
      </c>
      <c r="D28" s="100">
        <v>43.28</v>
      </c>
      <c r="E28" s="100">
        <v>6.45</v>
      </c>
      <c r="F28" s="152" t="s">
        <v>15</v>
      </c>
      <c r="G28" s="100">
        <v>96.35</v>
      </c>
      <c r="H28" s="100">
        <v>29.62</v>
      </c>
      <c r="I28" s="100">
        <v>15.82</v>
      </c>
      <c r="J28" s="100">
        <v>0.14000000000000001</v>
      </c>
      <c r="K28" s="100">
        <v>114.54</v>
      </c>
      <c r="L28" s="100">
        <v>11.36</v>
      </c>
      <c r="M28" s="100">
        <v>85.46</v>
      </c>
      <c r="N28" s="100">
        <v>1</v>
      </c>
      <c r="O28" s="100">
        <v>0</v>
      </c>
      <c r="P28" s="100">
        <v>1.18</v>
      </c>
      <c r="Q28" s="100">
        <v>11.25</v>
      </c>
      <c r="R28" s="6"/>
      <c r="S28" s="6"/>
      <c r="T28" s="156"/>
      <c r="U28" s="6"/>
    </row>
    <row r="29" spans="1:21" customFormat="1">
      <c r="A29" s="163" t="s">
        <v>1027</v>
      </c>
      <c r="B29" s="100">
        <v>40.159999999999997</v>
      </c>
      <c r="C29" s="100">
        <v>23.82</v>
      </c>
      <c r="D29" s="100">
        <v>46</v>
      </c>
      <c r="E29" s="100">
        <v>6.43</v>
      </c>
      <c r="F29" s="152" t="s">
        <v>15</v>
      </c>
      <c r="G29" s="100">
        <v>97.13</v>
      </c>
      <c r="H29" s="100">
        <v>31.23</v>
      </c>
      <c r="I29" s="100">
        <v>15.73</v>
      </c>
      <c r="J29" s="100">
        <v>0.19</v>
      </c>
      <c r="K29" s="100">
        <v>143.59</v>
      </c>
      <c r="L29" s="100">
        <v>11.41</v>
      </c>
      <c r="M29" s="100">
        <v>85.34</v>
      </c>
      <c r="N29" s="100">
        <v>1</v>
      </c>
      <c r="O29" s="100">
        <v>0</v>
      </c>
      <c r="P29" s="100">
        <v>1.18</v>
      </c>
      <c r="Q29" s="100">
        <v>11.25</v>
      </c>
      <c r="R29" s="6"/>
      <c r="S29" s="6"/>
      <c r="T29" s="156"/>
      <c r="U29" s="6"/>
    </row>
    <row r="30" spans="1:21" customFormat="1">
      <c r="A30" s="163" t="s">
        <v>1028</v>
      </c>
      <c r="B30" s="100">
        <v>41.9</v>
      </c>
      <c r="C30" s="100">
        <v>23.92</v>
      </c>
      <c r="D30" s="100">
        <v>47.45</v>
      </c>
      <c r="E30" s="100">
        <v>6.25</v>
      </c>
      <c r="F30" s="152" t="s">
        <v>15</v>
      </c>
      <c r="G30" s="100">
        <v>97.7</v>
      </c>
      <c r="H30" s="100">
        <v>31.74</v>
      </c>
      <c r="I30" s="100">
        <v>15.72</v>
      </c>
      <c r="J30" s="100">
        <v>0.1</v>
      </c>
      <c r="K30" s="100">
        <v>141.01</v>
      </c>
      <c r="L30" s="100">
        <v>11.28</v>
      </c>
      <c r="M30" s="100">
        <v>88.19</v>
      </c>
      <c r="N30" s="100">
        <v>1.1000000000000001</v>
      </c>
      <c r="O30" s="100">
        <v>0</v>
      </c>
      <c r="P30" s="100">
        <v>1.17</v>
      </c>
      <c r="Q30" s="100">
        <v>11.25</v>
      </c>
      <c r="R30" s="6"/>
      <c r="S30" s="6"/>
      <c r="T30" s="156"/>
      <c r="U30" s="6"/>
    </row>
    <row r="31" spans="1:21" customFormat="1">
      <c r="A31" s="163" t="s">
        <v>1029</v>
      </c>
      <c r="B31" s="100">
        <v>43.46</v>
      </c>
      <c r="C31" s="100">
        <v>23.95</v>
      </c>
      <c r="D31" s="100">
        <v>48.72</v>
      </c>
      <c r="E31" s="100">
        <v>6.1</v>
      </c>
      <c r="F31" s="152" t="s">
        <v>15</v>
      </c>
      <c r="G31" s="100">
        <v>97.7</v>
      </c>
      <c r="H31" s="100">
        <v>31.74</v>
      </c>
      <c r="I31" s="100">
        <v>15.83</v>
      </c>
      <c r="J31" s="100">
        <v>0.11</v>
      </c>
      <c r="K31" s="100">
        <v>140.47</v>
      </c>
      <c r="L31" s="100">
        <v>11.39</v>
      </c>
      <c r="M31" s="100">
        <v>84.34</v>
      </c>
      <c r="N31" s="100">
        <v>1</v>
      </c>
      <c r="O31" s="100">
        <v>0</v>
      </c>
      <c r="P31" s="100">
        <v>1.1399999999999999</v>
      </c>
      <c r="Q31" s="100">
        <v>11.25</v>
      </c>
      <c r="R31" s="6"/>
      <c r="S31" s="6"/>
      <c r="T31" s="156"/>
      <c r="U31" s="6"/>
    </row>
    <row r="32" spans="1:21" customFormat="1">
      <c r="A32" s="163" t="s">
        <v>1030</v>
      </c>
      <c r="B32" s="100">
        <v>44.92</v>
      </c>
      <c r="C32" s="100">
        <v>24.13</v>
      </c>
      <c r="D32" s="100">
        <v>49.98</v>
      </c>
      <c r="E32" s="100">
        <v>6.67</v>
      </c>
      <c r="F32" s="152" t="s">
        <v>15</v>
      </c>
      <c r="G32" s="100">
        <v>97.7</v>
      </c>
      <c r="H32" s="100">
        <v>31.74</v>
      </c>
      <c r="I32" s="100">
        <v>15.94</v>
      </c>
      <c r="J32" s="100">
        <v>0.11</v>
      </c>
      <c r="K32" s="100">
        <v>140.06</v>
      </c>
      <c r="L32" s="100">
        <v>11.46</v>
      </c>
      <c r="M32" s="100">
        <v>83.19</v>
      </c>
      <c r="N32" s="100">
        <v>1</v>
      </c>
      <c r="O32" s="100">
        <v>0</v>
      </c>
      <c r="P32" s="100">
        <v>1.1399999999999999</v>
      </c>
      <c r="Q32" s="100">
        <v>11.25</v>
      </c>
      <c r="R32" s="6"/>
      <c r="S32" s="6"/>
      <c r="T32" s="156"/>
      <c r="U32" s="6"/>
    </row>
    <row r="33" spans="1:21" customFormat="1">
      <c r="A33" s="163" t="s">
        <v>1031</v>
      </c>
      <c r="B33" s="100">
        <v>46</v>
      </c>
      <c r="C33" s="100">
        <v>24.44</v>
      </c>
      <c r="D33" s="100">
        <v>51.01</v>
      </c>
      <c r="E33" s="100">
        <v>6.48</v>
      </c>
      <c r="F33" s="152" t="s">
        <v>15</v>
      </c>
      <c r="G33" s="100">
        <v>101.69</v>
      </c>
      <c r="H33" s="100">
        <v>33.54</v>
      </c>
      <c r="I33" s="100">
        <v>16.03</v>
      </c>
      <c r="J33" s="100">
        <v>0.25</v>
      </c>
      <c r="K33" s="100">
        <v>36.56</v>
      </c>
      <c r="L33" s="100">
        <v>11.64</v>
      </c>
      <c r="M33" s="100">
        <v>80.58</v>
      </c>
      <c r="N33" s="100">
        <v>0.7</v>
      </c>
      <c r="O33" s="100">
        <v>0</v>
      </c>
      <c r="P33" s="100">
        <v>1.17</v>
      </c>
      <c r="Q33" s="100">
        <v>11.25</v>
      </c>
      <c r="R33" s="6"/>
      <c r="S33" s="6"/>
      <c r="T33" s="156"/>
      <c r="U33" s="6"/>
    </row>
    <row r="34" spans="1:21" customFormat="1">
      <c r="A34" s="163" t="s">
        <v>1032</v>
      </c>
      <c r="B34" s="100">
        <v>46.14</v>
      </c>
      <c r="C34" s="100">
        <v>24.69</v>
      </c>
      <c r="D34" s="100">
        <v>51.25</v>
      </c>
      <c r="E34" s="100">
        <v>6.33</v>
      </c>
      <c r="F34" s="152" t="s">
        <v>15</v>
      </c>
      <c r="G34" s="100">
        <v>104.6</v>
      </c>
      <c r="H34" s="100">
        <v>34.08</v>
      </c>
      <c r="I34" s="100">
        <v>16.2</v>
      </c>
      <c r="J34" s="100">
        <v>0.24</v>
      </c>
      <c r="K34" s="100">
        <v>73.930000000000007</v>
      </c>
      <c r="L34" s="100">
        <v>11.76</v>
      </c>
      <c r="M34" s="100">
        <v>79.03</v>
      </c>
      <c r="N34" s="100">
        <v>2.2999999999999998</v>
      </c>
      <c r="O34" s="100">
        <v>0</v>
      </c>
      <c r="P34" s="100">
        <v>1.22</v>
      </c>
      <c r="Q34" s="100">
        <v>11.25</v>
      </c>
      <c r="R34" s="6"/>
      <c r="S34" s="6"/>
      <c r="T34" s="156"/>
      <c r="U34" s="6"/>
    </row>
    <row r="35" spans="1:21" customFormat="1">
      <c r="A35" s="163" t="s">
        <v>1033</v>
      </c>
      <c r="B35" s="100">
        <v>45.92</v>
      </c>
      <c r="C35" s="100">
        <v>24.9</v>
      </c>
      <c r="D35" s="100">
        <v>51.18</v>
      </c>
      <c r="E35" s="100">
        <v>5.89</v>
      </c>
      <c r="F35" s="152" t="s">
        <v>15</v>
      </c>
      <c r="G35" s="100">
        <v>104.6</v>
      </c>
      <c r="H35" s="100">
        <v>34.08</v>
      </c>
      <c r="I35" s="100">
        <v>16.52</v>
      </c>
      <c r="J35" s="100">
        <v>0.52</v>
      </c>
      <c r="K35" s="100">
        <v>57.77</v>
      </c>
      <c r="L35" s="100">
        <v>11.92</v>
      </c>
      <c r="M35" s="100">
        <v>76.739999999999995</v>
      </c>
      <c r="N35" s="100">
        <v>5.8</v>
      </c>
      <c r="O35" s="100">
        <v>0</v>
      </c>
      <c r="P35" s="100">
        <v>1.27</v>
      </c>
      <c r="Q35" s="100">
        <v>11.25</v>
      </c>
      <c r="R35" s="6"/>
      <c r="S35" s="6"/>
      <c r="T35" s="156"/>
      <c r="U35" s="6"/>
    </row>
    <row r="36" spans="1:21" customFormat="1">
      <c r="A36" s="163" t="s">
        <v>1034</v>
      </c>
      <c r="B36" s="100">
        <v>46.05</v>
      </c>
      <c r="C36" s="100">
        <v>25.3</v>
      </c>
      <c r="D36" s="100">
        <v>51.5</v>
      </c>
      <c r="E36" s="100">
        <v>6.21</v>
      </c>
      <c r="F36" s="152" t="s">
        <v>15</v>
      </c>
      <c r="G36" s="100">
        <v>104.6</v>
      </c>
      <c r="H36" s="100">
        <v>34.08</v>
      </c>
      <c r="I36" s="100">
        <v>16.93</v>
      </c>
      <c r="J36" s="100">
        <v>0.64</v>
      </c>
      <c r="K36" s="100">
        <v>60.09</v>
      </c>
      <c r="L36" s="100">
        <v>11.98</v>
      </c>
      <c r="M36" s="100">
        <v>76.14</v>
      </c>
      <c r="N36" s="100">
        <v>12.2</v>
      </c>
      <c r="O36" s="100">
        <v>0</v>
      </c>
      <c r="P36" s="100">
        <v>1.31</v>
      </c>
      <c r="Q36" s="100">
        <v>11.25</v>
      </c>
      <c r="R36" s="6"/>
      <c r="S36" s="6"/>
      <c r="T36" s="156"/>
      <c r="U36" s="6"/>
    </row>
    <row r="37" spans="1:21" customFormat="1">
      <c r="A37" s="163" t="s">
        <v>1035</v>
      </c>
      <c r="B37" s="100">
        <v>45.94</v>
      </c>
      <c r="C37" s="100">
        <v>25.79</v>
      </c>
      <c r="D37" s="100">
        <v>51.66</v>
      </c>
      <c r="E37" s="100">
        <v>6.01</v>
      </c>
      <c r="F37" s="152" t="s">
        <v>15</v>
      </c>
      <c r="G37" s="100">
        <v>161.9</v>
      </c>
      <c r="H37" s="100">
        <v>36.11</v>
      </c>
      <c r="I37" s="100">
        <v>17.29</v>
      </c>
      <c r="J37" s="100">
        <v>0.56000000000000005</v>
      </c>
      <c r="K37" s="100">
        <v>50.14</v>
      </c>
      <c r="L37" s="100">
        <v>12.21</v>
      </c>
      <c r="M37" s="100">
        <v>75.099999999999994</v>
      </c>
      <c r="N37" s="100">
        <v>20.3</v>
      </c>
      <c r="O37" s="100">
        <v>0</v>
      </c>
      <c r="P37" s="100">
        <v>1.35</v>
      </c>
      <c r="Q37" s="100">
        <v>11.25</v>
      </c>
      <c r="R37" s="6"/>
      <c r="S37" s="6"/>
      <c r="T37" s="156"/>
      <c r="U37" s="6"/>
    </row>
    <row r="38" spans="1:21" customFormat="1">
      <c r="A38" s="163" t="s">
        <v>1036</v>
      </c>
      <c r="B38" s="100">
        <v>45.61</v>
      </c>
      <c r="C38" s="100">
        <v>26.32</v>
      </c>
      <c r="D38" s="100">
        <v>51.68</v>
      </c>
      <c r="E38" s="100">
        <v>6.48</v>
      </c>
      <c r="F38" s="152" t="s">
        <v>15</v>
      </c>
      <c r="G38" s="100">
        <v>203.78</v>
      </c>
      <c r="H38" s="100">
        <v>37.33</v>
      </c>
      <c r="I38" s="100">
        <v>17.47</v>
      </c>
      <c r="J38" s="100">
        <v>0.34</v>
      </c>
      <c r="K38" s="100">
        <v>61.16</v>
      </c>
      <c r="L38" s="100">
        <v>12.54</v>
      </c>
      <c r="M38" s="100">
        <v>74.31</v>
      </c>
      <c r="N38" s="100">
        <v>29.5</v>
      </c>
      <c r="O38" s="100">
        <v>0</v>
      </c>
      <c r="P38" s="100">
        <v>1.36</v>
      </c>
      <c r="Q38" s="100">
        <v>11.25</v>
      </c>
      <c r="R38" s="6"/>
      <c r="S38" s="6"/>
      <c r="T38" s="156"/>
      <c r="U38" s="6"/>
    </row>
    <row r="39" spans="1:21" customFormat="1">
      <c r="A39" s="163" t="s">
        <v>1037</v>
      </c>
      <c r="B39" s="100">
        <v>44.57</v>
      </c>
      <c r="C39" s="100">
        <v>26.65</v>
      </c>
      <c r="D39" s="100">
        <v>51.02</v>
      </c>
      <c r="E39" s="100">
        <v>7</v>
      </c>
      <c r="F39" s="152" t="s">
        <v>15</v>
      </c>
      <c r="G39" s="100">
        <v>203.78</v>
      </c>
      <c r="H39" s="100">
        <v>37.33</v>
      </c>
      <c r="I39" s="100">
        <v>17.5</v>
      </c>
      <c r="J39" s="100">
        <v>0.42</v>
      </c>
      <c r="K39" s="100">
        <v>69.900000000000006</v>
      </c>
      <c r="L39" s="100">
        <v>13.15</v>
      </c>
      <c r="M39" s="100">
        <v>71.44</v>
      </c>
      <c r="N39" s="100">
        <v>38.5</v>
      </c>
      <c r="O39" s="100">
        <v>0</v>
      </c>
      <c r="P39" s="100">
        <v>1.38</v>
      </c>
      <c r="Q39" s="100">
        <v>11.25</v>
      </c>
      <c r="R39" s="6"/>
      <c r="S39" s="6"/>
      <c r="T39" s="156"/>
      <c r="U39" s="6"/>
    </row>
    <row r="40" spans="1:21" customFormat="1">
      <c r="A40" s="163" t="s">
        <v>1038</v>
      </c>
      <c r="B40" s="100">
        <v>43.27</v>
      </c>
      <c r="C40" s="100">
        <v>26.91</v>
      </c>
      <c r="D40" s="100">
        <v>50.12</v>
      </c>
      <c r="E40" s="100">
        <v>6.46</v>
      </c>
      <c r="F40" s="152" t="s">
        <v>15</v>
      </c>
      <c r="G40" s="100">
        <v>203.78</v>
      </c>
      <c r="H40" s="100">
        <v>37.33</v>
      </c>
      <c r="I40" s="100">
        <v>17.5</v>
      </c>
      <c r="J40" s="100">
        <v>0.47</v>
      </c>
      <c r="K40" s="100">
        <v>70.8</v>
      </c>
      <c r="L40" s="100">
        <v>13.76</v>
      </c>
      <c r="M40" s="100">
        <v>69.010000000000005</v>
      </c>
      <c r="N40" s="100">
        <v>54.4</v>
      </c>
      <c r="O40" s="100">
        <v>0</v>
      </c>
      <c r="P40" s="100">
        <v>1.38</v>
      </c>
      <c r="Q40" s="100">
        <v>11.25</v>
      </c>
      <c r="R40" s="6"/>
      <c r="S40" s="6"/>
      <c r="T40" s="156"/>
      <c r="U40" s="6"/>
    </row>
    <row r="41" spans="1:21" customFormat="1">
      <c r="A41" s="163" t="s">
        <v>1039</v>
      </c>
      <c r="B41" s="100">
        <v>41.44</v>
      </c>
      <c r="C41" s="100">
        <v>27.06</v>
      </c>
      <c r="D41" s="100">
        <v>48.72</v>
      </c>
      <c r="E41" s="100">
        <v>6.17</v>
      </c>
      <c r="F41" s="152" t="s">
        <v>15</v>
      </c>
      <c r="G41" s="100">
        <v>170.91</v>
      </c>
      <c r="H41" s="100">
        <v>36.380000000000003</v>
      </c>
      <c r="I41" s="100">
        <v>17.46</v>
      </c>
      <c r="J41" s="100">
        <v>0.59</v>
      </c>
      <c r="K41" s="100">
        <v>58.68</v>
      </c>
      <c r="L41" s="100">
        <v>14.39</v>
      </c>
      <c r="M41" s="100">
        <v>65.41</v>
      </c>
      <c r="N41" s="100">
        <v>181.8</v>
      </c>
      <c r="O41" s="100">
        <v>0</v>
      </c>
      <c r="P41" s="100">
        <v>1.37</v>
      </c>
      <c r="Q41" s="100">
        <v>11.25</v>
      </c>
      <c r="R41" s="6"/>
      <c r="S41" s="6"/>
      <c r="T41" s="156"/>
      <c r="U41" s="6"/>
    </row>
    <row r="42" spans="1:21" customFormat="1">
      <c r="A42" s="163" t="s">
        <v>1040</v>
      </c>
      <c r="B42" s="100">
        <v>39.19</v>
      </c>
      <c r="C42" s="100">
        <v>27.31</v>
      </c>
      <c r="D42" s="100">
        <v>47.05</v>
      </c>
      <c r="E42" s="100">
        <v>6.38</v>
      </c>
      <c r="F42" s="152" t="s">
        <v>15</v>
      </c>
      <c r="G42" s="100">
        <v>146.88</v>
      </c>
      <c r="H42" s="100">
        <v>36.1</v>
      </c>
      <c r="I42" s="100">
        <v>17.38</v>
      </c>
      <c r="J42" s="100">
        <v>0.63</v>
      </c>
      <c r="K42" s="100">
        <v>56.7</v>
      </c>
      <c r="L42" s="100">
        <v>15.35</v>
      </c>
      <c r="M42" s="100">
        <v>62.25</v>
      </c>
      <c r="N42" s="100">
        <v>218.6</v>
      </c>
      <c r="O42" s="100">
        <v>0</v>
      </c>
      <c r="P42" s="100">
        <v>1.33</v>
      </c>
      <c r="Q42" s="100">
        <v>11.25</v>
      </c>
      <c r="R42" s="6"/>
      <c r="S42" s="6"/>
      <c r="T42" s="156"/>
      <c r="U42" s="6"/>
    </row>
    <row r="43" spans="1:21" customFormat="1">
      <c r="A43" s="163" t="s">
        <v>1041</v>
      </c>
      <c r="B43" s="100">
        <v>37.06</v>
      </c>
      <c r="C43" s="100">
        <v>27.61</v>
      </c>
      <c r="D43" s="100">
        <v>45.49</v>
      </c>
      <c r="E43" s="100">
        <v>6.36</v>
      </c>
      <c r="F43" s="152" t="s">
        <v>15</v>
      </c>
      <c r="G43" s="100">
        <v>146.88</v>
      </c>
      <c r="H43" s="100">
        <v>36.1</v>
      </c>
      <c r="I43" s="100">
        <v>17.27</v>
      </c>
      <c r="J43" s="100">
        <v>0.72</v>
      </c>
      <c r="K43" s="100">
        <v>60.24</v>
      </c>
      <c r="L43" s="100">
        <v>16.41</v>
      </c>
      <c r="M43" s="100">
        <v>57.09</v>
      </c>
      <c r="N43" s="100">
        <v>193</v>
      </c>
      <c r="O43" s="100">
        <v>0</v>
      </c>
      <c r="P43" s="100">
        <v>1.3</v>
      </c>
      <c r="Q43" s="100">
        <v>11.25</v>
      </c>
      <c r="R43" s="6"/>
      <c r="S43" s="6"/>
      <c r="T43" s="156"/>
      <c r="U43" s="6"/>
    </row>
    <row r="44" spans="1:21" customFormat="1">
      <c r="A44" s="163" t="s">
        <v>1042</v>
      </c>
      <c r="B44" s="100">
        <v>35.049999999999997</v>
      </c>
      <c r="C44" s="100">
        <v>27.81</v>
      </c>
      <c r="D44" s="100">
        <v>43.99</v>
      </c>
      <c r="E44" s="100">
        <v>6.53</v>
      </c>
      <c r="F44" s="152" t="s">
        <v>15</v>
      </c>
      <c r="G44" s="100">
        <v>146.88</v>
      </c>
      <c r="H44" s="100">
        <v>36.1</v>
      </c>
      <c r="I44" s="100">
        <v>17.04</v>
      </c>
      <c r="J44" s="100">
        <v>0.64</v>
      </c>
      <c r="K44" s="100">
        <v>63.58</v>
      </c>
      <c r="L44" s="100">
        <v>17.5</v>
      </c>
      <c r="M44" s="100">
        <v>50.83</v>
      </c>
      <c r="N44" s="100">
        <v>281.39999999999998</v>
      </c>
      <c r="O44" s="100">
        <v>0</v>
      </c>
      <c r="P44" s="100">
        <v>1.28</v>
      </c>
      <c r="Q44" s="100">
        <v>11.25</v>
      </c>
      <c r="R44" s="6"/>
      <c r="S44" s="6"/>
      <c r="T44" s="156"/>
      <c r="U44" s="6"/>
    </row>
    <row r="45" spans="1:21" customFormat="1">
      <c r="A45" s="163" t="s">
        <v>1043</v>
      </c>
      <c r="B45" s="100">
        <v>33.61</v>
      </c>
      <c r="C45" s="100">
        <v>28.36</v>
      </c>
      <c r="D45" s="100">
        <v>43.12</v>
      </c>
      <c r="E45" s="100">
        <v>6.85</v>
      </c>
      <c r="F45" s="152" t="s">
        <v>15</v>
      </c>
      <c r="G45" s="100">
        <v>110.51</v>
      </c>
      <c r="H45" s="100">
        <v>34.450000000000003</v>
      </c>
      <c r="I45" s="100">
        <v>16.72</v>
      </c>
      <c r="J45" s="100">
        <v>0.35</v>
      </c>
      <c r="K45" s="100">
        <v>98.34</v>
      </c>
      <c r="L45" s="100">
        <v>18.809999999999999</v>
      </c>
      <c r="M45" s="100">
        <v>47.64</v>
      </c>
      <c r="N45" s="100">
        <v>177.3</v>
      </c>
      <c r="O45" s="100">
        <v>0</v>
      </c>
      <c r="P45" s="100">
        <v>1.25</v>
      </c>
      <c r="Q45" s="100">
        <v>11.25</v>
      </c>
      <c r="R45" s="6"/>
      <c r="S45" s="6"/>
      <c r="T45" s="156"/>
      <c r="U45" s="6"/>
    </row>
    <row r="46" spans="1:21" customFormat="1">
      <c r="A46" s="163" t="s">
        <v>1044</v>
      </c>
      <c r="B46" s="100">
        <v>33.450000000000003</v>
      </c>
      <c r="C46" s="100">
        <v>29.1</v>
      </c>
      <c r="D46" s="100">
        <v>43.38</v>
      </c>
      <c r="E46" s="100">
        <v>7.33</v>
      </c>
      <c r="F46" s="152" t="s">
        <v>15</v>
      </c>
      <c r="G46" s="100">
        <v>83.93</v>
      </c>
      <c r="H46" s="100">
        <v>33.950000000000003</v>
      </c>
      <c r="I46" s="100">
        <v>16.399999999999999</v>
      </c>
      <c r="J46" s="100">
        <v>0.66</v>
      </c>
      <c r="K46" s="100">
        <v>62.36</v>
      </c>
      <c r="L46" s="100">
        <v>19.670000000000002</v>
      </c>
      <c r="M46" s="100">
        <v>42.48</v>
      </c>
      <c r="N46" s="100">
        <v>117.6</v>
      </c>
      <c r="O46" s="100">
        <v>0</v>
      </c>
      <c r="P46" s="100">
        <v>1.22</v>
      </c>
      <c r="Q46" s="100">
        <v>11.25</v>
      </c>
      <c r="R46" s="6"/>
      <c r="S46" s="6"/>
      <c r="T46" s="156"/>
      <c r="U46" s="6"/>
    </row>
    <row r="47" spans="1:21" customFormat="1">
      <c r="A47" s="163" t="s">
        <v>1045</v>
      </c>
      <c r="B47" s="100">
        <v>32.549999999999997</v>
      </c>
      <c r="C47" s="100">
        <v>29.43</v>
      </c>
      <c r="D47" s="100">
        <v>42.83</v>
      </c>
      <c r="E47" s="100">
        <v>7.27</v>
      </c>
      <c r="F47" s="152" t="s">
        <v>15</v>
      </c>
      <c r="G47" s="100">
        <v>83.93</v>
      </c>
      <c r="H47" s="100">
        <v>33.950000000000003</v>
      </c>
      <c r="I47" s="100">
        <v>16.11</v>
      </c>
      <c r="J47" s="100">
        <v>0.75</v>
      </c>
      <c r="K47" s="100">
        <v>58</v>
      </c>
      <c r="L47" s="100">
        <v>20.34</v>
      </c>
      <c r="M47" s="100">
        <v>39.21</v>
      </c>
      <c r="N47" s="100">
        <v>142.4</v>
      </c>
      <c r="O47" s="100">
        <v>0</v>
      </c>
      <c r="P47" s="100">
        <v>1.19</v>
      </c>
      <c r="Q47" s="100">
        <v>11.25</v>
      </c>
      <c r="R47" s="6"/>
      <c r="S47" s="6"/>
      <c r="T47" s="156"/>
      <c r="U47" s="6"/>
    </row>
    <row r="48" spans="1:21" customFormat="1">
      <c r="A48" s="163" t="s">
        <v>1046</v>
      </c>
      <c r="B48" s="100">
        <v>30.6</v>
      </c>
      <c r="C48" s="100">
        <v>29.64</v>
      </c>
      <c r="D48" s="100">
        <v>41.38</v>
      </c>
      <c r="E48" s="100">
        <v>7.13</v>
      </c>
      <c r="F48" s="152" t="s">
        <v>15</v>
      </c>
      <c r="G48" s="100">
        <v>83.93</v>
      </c>
      <c r="H48" s="100">
        <v>33.950000000000003</v>
      </c>
      <c r="I48" s="100">
        <v>15.77</v>
      </c>
      <c r="J48" s="100">
        <v>0.53</v>
      </c>
      <c r="K48" s="100">
        <v>63.95</v>
      </c>
      <c r="L48" s="100">
        <v>21.14</v>
      </c>
      <c r="M48" s="100">
        <v>38.72</v>
      </c>
      <c r="N48" s="100">
        <v>314.39999999999998</v>
      </c>
      <c r="O48" s="100">
        <v>0</v>
      </c>
      <c r="P48" s="100">
        <v>1.17</v>
      </c>
      <c r="Q48" s="100">
        <v>11.25</v>
      </c>
      <c r="R48" s="6"/>
      <c r="S48" s="6"/>
      <c r="T48" s="156"/>
      <c r="U48" s="6"/>
    </row>
    <row r="49" spans="1:21" customFormat="1">
      <c r="A49" s="163" t="s">
        <v>1047</v>
      </c>
      <c r="B49" s="100">
        <v>28.33</v>
      </c>
      <c r="C49" s="100">
        <v>29.81</v>
      </c>
      <c r="D49" s="100">
        <v>39.64</v>
      </c>
      <c r="E49" s="100">
        <v>8.5299999999999994</v>
      </c>
      <c r="F49" s="152" t="s">
        <v>15</v>
      </c>
      <c r="G49" s="100">
        <v>80.16</v>
      </c>
      <c r="H49" s="100">
        <v>32.090000000000003</v>
      </c>
      <c r="I49" s="100">
        <v>15.42</v>
      </c>
      <c r="J49" s="100">
        <v>0.64</v>
      </c>
      <c r="K49" s="100">
        <v>53.48</v>
      </c>
      <c r="L49" s="100">
        <v>21.85</v>
      </c>
      <c r="M49" s="100">
        <v>35.39</v>
      </c>
      <c r="N49" s="100">
        <v>418.4</v>
      </c>
      <c r="O49" s="100">
        <v>0</v>
      </c>
      <c r="P49" s="100">
        <v>1.1399999999999999</v>
      </c>
      <c r="Q49" s="100">
        <v>11.25</v>
      </c>
      <c r="R49" s="6"/>
      <c r="S49" s="6"/>
      <c r="T49" s="156"/>
      <c r="U49" s="6"/>
    </row>
    <row r="50" spans="1:21" customFormat="1">
      <c r="A50" s="163" t="s">
        <v>1048</v>
      </c>
      <c r="B50" s="100">
        <v>25.76</v>
      </c>
      <c r="C50" s="100">
        <v>30.08</v>
      </c>
      <c r="D50" s="100">
        <v>37.72</v>
      </c>
      <c r="E50" s="100">
        <v>10.07</v>
      </c>
      <c r="F50" s="152" t="s">
        <v>15</v>
      </c>
      <c r="G50" s="100">
        <v>77.400000000000006</v>
      </c>
      <c r="H50" s="100">
        <v>31.53</v>
      </c>
      <c r="I50" s="100">
        <v>15.03</v>
      </c>
      <c r="J50" s="100">
        <v>0.32</v>
      </c>
      <c r="K50" s="100">
        <v>85.06</v>
      </c>
      <c r="L50" s="100">
        <v>22.68</v>
      </c>
      <c r="M50" s="100">
        <v>34.57</v>
      </c>
      <c r="N50" s="100">
        <v>435.9</v>
      </c>
      <c r="O50" s="100">
        <v>0</v>
      </c>
      <c r="P50" s="100">
        <v>1.1000000000000001</v>
      </c>
      <c r="Q50" s="100">
        <v>11.25</v>
      </c>
      <c r="R50" s="6"/>
      <c r="S50" s="6"/>
      <c r="T50" s="156"/>
      <c r="U50" s="6"/>
    </row>
    <row r="51" spans="1:21" customFormat="1">
      <c r="A51" s="163" t="s">
        <v>1049</v>
      </c>
      <c r="B51" s="100">
        <v>23.38</v>
      </c>
      <c r="C51" s="100">
        <v>29.95</v>
      </c>
      <c r="D51" s="100">
        <v>35.74</v>
      </c>
      <c r="E51" s="100">
        <v>9.9499999999999993</v>
      </c>
      <c r="F51" s="152" t="s">
        <v>15</v>
      </c>
      <c r="G51" s="100">
        <v>77.400000000000006</v>
      </c>
      <c r="H51" s="100">
        <v>31.53</v>
      </c>
      <c r="I51" s="100">
        <v>14.63</v>
      </c>
      <c r="J51" s="100">
        <v>0.51</v>
      </c>
      <c r="K51" s="100">
        <v>77.83</v>
      </c>
      <c r="L51" s="100">
        <v>23.03</v>
      </c>
      <c r="M51" s="100">
        <v>32.61</v>
      </c>
      <c r="N51" s="100">
        <v>450.6</v>
      </c>
      <c r="O51" s="100">
        <v>0</v>
      </c>
      <c r="P51" s="100">
        <v>1.1100000000000001</v>
      </c>
      <c r="Q51" s="100">
        <v>11.25</v>
      </c>
      <c r="R51" s="6"/>
      <c r="S51" s="6"/>
      <c r="T51" s="156"/>
      <c r="U51" s="6"/>
    </row>
    <row r="52" spans="1:21" customFormat="1">
      <c r="A52" s="163" t="s">
        <v>1050</v>
      </c>
      <c r="B52" s="100">
        <v>21.67</v>
      </c>
      <c r="C52" s="100">
        <v>29.47</v>
      </c>
      <c r="D52" s="100">
        <v>34.130000000000003</v>
      </c>
      <c r="E52" s="100">
        <v>10.14</v>
      </c>
      <c r="F52" s="152" t="s">
        <v>15</v>
      </c>
      <c r="G52" s="100">
        <v>77.400000000000006</v>
      </c>
      <c r="H52" s="100">
        <v>31.53</v>
      </c>
      <c r="I52" s="100">
        <v>14.28</v>
      </c>
      <c r="J52" s="100">
        <v>0.51</v>
      </c>
      <c r="K52" s="100">
        <v>55.88</v>
      </c>
      <c r="L52" s="100">
        <v>23.73</v>
      </c>
      <c r="M52" s="100">
        <v>31.29</v>
      </c>
      <c r="N52" s="100">
        <v>452.3</v>
      </c>
      <c r="O52" s="100">
        <v>0</v>
      </c>
      <c r="P52" s="100">
        <v>1.1100000000000001</v>
      </c>
      <c r="Q52" s="100">
        <v>11.25</v>
      </c>
      <c r="R52" s="6"/>
      <c r="S52" s="6"/>
      <c r="T52" s="156"/>
      <c r="U52" s="6"/>
    </row>
    <row r="53" spans="1:21" customFormat="1">
      <c r="A53" s="163" t="s">
        <v>1051</v>
      </c>
      <c r="B53" s="100">
        <v>20.28</v>
      </c>
      <c r="C53" s="100">
        <v>28.7</v>
      </c>
      <c r="D53" s="100">
        <v>32.61</v>
      </c>
      <c r="E53" s="100">
        <v>10.32</v>
      </c>
      <c r="F53" s="152" t="s">
        <v>15</v>
      </c>
      <c r="G53" s="100">
        <v>71.39</v>
      </c>
      <c r="H53" s="100">
        <v>29.76</v>
      </c>
      <c r="I53" s="100">
        <v>13.97</v>
      </c>
      <c r="J53" s="100">
        <v>0.55000000000000004</v>
      </c>
      <c r="K53" s="100">
        <v>49.95</v>
      </c>
      <c r="L53" s="100">
        <v>23.95</v>
      </c>
      <c r="M53" s="100">
        <v>30.61</v>
      </c>
      <c r="N53" s="100">
        <v>399.7</v>
      </c>
      <c r="O53" s="100">
        <v>0</v>
      </c>
      <c r="P53" s="100">
        <v>1.0900000000000001</v>
      </c>
      <c r="Q53" s="100">
        <v>11.25</v>
      </c>
      <c r="R53" s="6"/>
      <c r="S53" s="6"/>
      <c r="T53" s="156"/>
      <c r="U53" s="6"/>
    </row>
    <row r="54" spans="1:21" customFormat="1">
      <c r="A54" s="163" t="s">
        <v>1052</v>
      </c>
      <c r="B54" s="100">
        <v>18.920000000000002</v>
      </c>
      <c r="C54" s="100">
        <v>28.13</v>
      </c>
      <c r="D54" s="100">
        <v>31.22</v>
      </c>
      <c r="E54" s="100">
        <v>10.76</v>
      </c>
      <c r="F54" s="152" t="s">
        <v>15</v>
      </c>
      <c r="G54" s="100">
        <v>66.989999999999995</v>
      </c>
      <c r="H54" s="100">
        <v>29.22</v>
      </c>
      <c r="I54" s="100">
        <v>13.71</v>
      </c>
      <c r="J54" s="100">
        <v>0.53</v>
      </c>
      <c r="K54" s="100">
        <v>67.33</v>
      </c>
      <c r="L54" s="100">
        <v>24.51</v>
      </c>
      <c r="M54" s="100">
        <v>28.58</v>
      </c>
      <c r="N54" s="100">
        <v>482.3</v>
      </c>
      <c r="O54" s="100">
        <v>0</v>
      </c>
      <c r="P54" s="100">
        <v>1.07</v>
      </c>
      <c r="Q54" s="100">
        <v>11.25</v>
      </c>
      <c r="R54" s="6"/>
      <c r="S54" s="6"/>
      <c r="T54" s="156"/>
      <c r="U54" s="6"/>
    </row>
    <row r="55" spans="1:21" customFormat="1">
      <c r="A55" s="163" t="s">
        <v>1053</v>
      </c>
      <c r="B55" s="100">
        <v>17.55</v>
      </c>
      <c r="C55" s="100">
        <v>27.64</v>
      </c>
      <c r="D55" s="100">
        <v>29.87</v>
      </c>
      <c r="E55" s="100">
        <v>10.69</v>
      </c>
      <c r="F55" s="152" t="s">
        <v>15</v>
      </c>
      <c r="G55" s="100">
        <v>66.989999999999995</v>
      </c>
      <c r="H55" s="100">
        <v>29.22</v>
      </c>
      <c r="I55" s="100">
        <v>13.48</v>
      </c>
      <c r="J55" s="100">
        <v>0.59</v>
      </c>
      <c r="K55" s="100">
        <v>61.67</v>
      </c>
      <c r="L55" s="100">
        <v>24.69</v>
      </c>
      <c r="M55" s="100">
        <v>28.21</v>
      </c>
      <c r="N55" s="100">
        <v>486.4</v>
      </c>
      <c r="O55" s="100">
        <v>0</v>
      </c>
      <c r="P55" s="100">
        <v>1.05</v>
      </c>
      <c r="Q55" s="100">
        <v>11.25</v>
      </c>
      <c r="R55" s="6"/>
      <c r="S55" s="6"/>
      <c r="T55" s="156"/>
      <c r="U55" s="6"/>
    </row>
    <row r="56" spans="1:21" customFormat="1">
      <c r="A56" s="163" t="s">
        <v>1054</v>
      </c>
      <c r="B56" s="100">
        <v>16.37</v>
      </c>
      <c r="C56" s="100">
        <v>27.27</v>
      </c>
      <c r="D56" s="100">
        <v>28.73</v>
      </c>
      <c r="E56" s="100">
        <v>10.72</v>
      </c>
      <c r="F56" s="152" t="s">
        <v>15</v>
      </c>
      <c r="G56" s="100">
        <v>66.989999999999995</v>
      </c>
      <c r="H56" s="100">
        <v>29.22</v>
      </c>
      <c r="I56" s="100">
        <v>13.28</v>
      </c>
      <c r="J56" s="100">
        <v>1.06</v>
      </c>
      <c r="K56" s="100">
        <v>48.02</v>
      </c>
      <c r="L56" s="100">
        <v>24.57</v>
      </c>
      <c r="M56" s="100">
        <v>25.91</v>
      </c>
      <c r="N56" s="100">
        <v>494.2</v>
      </c>
      <c r="O56" s="100">
        <v>0</v>
      </c>
      <c r="P56" s="100">
        <v>1.03</v>
      </c>
      <c r="Q56" s="100">
        <v>11.25</v>
      </c>
      <c r="R56" s="6"/>
      <c r="S56" s="6"/>
      <c r="T56" s="156"/>
      <c r="U56" s="6"/>
    </row>
    <row r="57" spans="1:21" customFormat="1">
      <c r="A57" s="163" t="s">
        <v>1055</v>
      </c>
      <c r="B57" s="100">
        <v>15.27</v>
      </c>
      <c r="C57" s="100">
        <v>27</v>
      </c>
      <c r="D57" s="100">
        <v>27.71</v>
      </c>
      <c r="E57" s="100">
        <v>10.78</v>
      </c>
      <c r="F57" s="152" t="s">
        <v>15</v>
      </c>
      <c r="G57" s="100">
        <v>60.98</v>
      </c>
      <c r="H57" s="100">
        <v>26.62</v>
      </c>
      <c r="I57" s="100">
        <v>13.04</v>
      </c>
      <c r="J57" s="100">
        <v>0.27</v>
      </c>
      <c r="K57" s="100">
        <v>52.96</v>
      </c>
      <c r="L57" s="100">
        <v>24.87</v>
      </c>
      <c r="M57" s="100">
        <v>24.28</v>
      </c>
      <c r="N57" s="100">
        <v>496.8</v>
      </c>
      <c r="O57" s="100">
        <v>0</v>
      </c>
      <c r="P57" s="100">
        <v>1</v>
      </c>
      <c r="Q57" s="100">
        <v>11.25</v>
      </c>
      <c r="R57" s="6"/>
      <c r="S57" s="6"/>
      <c r="T57" s="156"/>
      <c r="U57" s="6"/>
    </row>
    <row r="58" spans="1:21" customFormat="1">
      <c r="A58" s="163" t="s">
        <v>1056</v>
      </c>
      <c r="B58" s="100">
        <v>13.97</v>
      </c>
      <c r="C58" s="100">
        <v>26.77</v>
      </c>
      <c r="D58" s="100">
        <v>26.54</v>
      </c>
      <c r="E58" s="100">
        <v>9.8800000000000008</v>
      </c>
      <c r="F58" s="152" t="s">
        <v>15</v>
      </c>
      <c r="G58" s="100">
        <v>56.59</v>
      </c>
      <c r="H58" s="100">
        <v>25.83</v>
      </c>
      <c r="I58" s="100">
        <v>12.76</v>
      </c>
      <c r="J58" s="100">
        <v>0.3</v>
      </c>
      <c r="K58" s="100">
        <v>67.16</v>
      </c>
      <c r="L58" s="100">
        <v>25.76</v>
      </c>
      <c r="M58" s="100">
        <v>22.67</v>
      </c>
      <c r="N58" s="100">
        <v>404</v>
      </c>
      <c r="O58" s="100">
        <v>0</v>
      </c>
      <c r="P58" s="100">
        <v>0.98</v>
      </c>
      <c r="Q58" s="100">
        <v>11.25</v>
      </c>
      <c r="R58" s="6"/>
      <c r="S58" s="6"/>
      <c r="T58" s="156"/>
      <c r="U58" s="6"/>
    </row>
    <row r="59" spans="1:21" customFormat="1">
      <c r="A59" s="163" t="s">
        <v>1057</v>
      </c>
      <c r="B59" s="100">
        <v>12.71</v>
      </c>
      <c r="C59" s="100">
        <v>26.09</v>
      </c>
      <c r="D59" s="100">
        <v>25.17</v>
      </c>
      <c r="E59" s="100">
        <v>10.130000000000001</v>
      </c>
      <c r="F59" s="152" t="s">
        <v>15</v>
      </c>
      <c r="G59" s="100">
        <v>56.59</v>
      </c>
      <c r="H59" s="100">
        <v>25.83</v>
      </c>
      <c r="I59" s="100">
        <v>12.54</v>
      </c>
      <c r="J59" s="100">
        <v>0.56999999999999995</v>
      </c>
      <c r="K59" s="100">
        <v>47.32</v>
      </c>
      <c r="L59" s="100">
        <v>25.72</v>
      </c>
      <c r="M59" s="100">
        <v>22.86</v>
      </c>
      <c r="N59" s="100">
        <v>324.89999999999998</v>
      </c>
      <c r="O59" s="100">
        <v>0</v>
      </c>
      <c r="P59" s="100">
        <v>0.97</v>
      </c>
      <c r="Q59" s="100">
        <v>11.25</v>
      </c>
      <c r="R59" s="6"/>
      <c r="S59" s="6"/>
      <c r="T59" s="156"/>
      <c r="U59" s="6"/>
    </row>
    <row r="60" spans="1:21" customFormat="1">
      <c r="A60" s="163" t="s">
        <v>1058</v>
      </c>
      <c r="B60" s="100">
        <v>11.52</v>
      </c>
      <c r="C60" s="100">
        <v>25.77</v>
      </c>
      <c r="D60" s="100">
        <v>24.06</v>
      </c>
      <c r="E60" s="100">
        <v>10.17</v>
      </c>
      <c r="F60" s="152" t="s">
        <v>15</v>
      </c>
      <c r="G60" s="100">
        <v>56.59</v>
      </c>
      <c r="H60" s="100">
        <v>25.83</v>
      </c>
      <c r="I60" s="100">
        <v>12.3</v>
      </c>
      <c r="J60" s="100">
        <v>0.34</v>
      </c>
      <c r="K60" s="100">
        <v>83.47</v>
      </c>
      <c r="L60" s="100">
        <v>26.39</v>
      </c>
      <c r="M60" s="100">
        <v>23.19</v>
      </c>
      <c r="N60" s="100">
        <v>455.2</v>
      </c>
      <c r="O60" s="100">
        <v>0</v>
      </c>
      <c r="P60" s="100">
        <v>0.94</v>
      </c>
      <c r="Q60" s="100">
        <v>11.25</v>
      </c>
      <c r="R60" s="6"/>
      <c r="S60" s="6"/>
      <c r="T60" s="156"/>
      <c r="U60" s="6"/>
    </row>
    <row r="61" spans="1:21" customFormat="1">
      <c r="A61" s="163" t="s">
        <v>1059</v>
      </c>
      <c r="B61" s="100">
        <v>10.52</v>
      </c>
      <c r="C61" s="100">
        <v>25.32</v>
      </c>
      <c r="D61" s="100">
        <v>23.01</v>
      </c>
      <c r="E61" s="100">
        <v>9.84</v>
      </c>
      <c r="F61" s="152" t="s">
        <v>15</v>
      </c>
      <c r="G61" s="100">
        <v>52.2</v>
      </c>
      <c r="H61" s="100">
        <v>26.71</v>
      </c>
      <c r="I61" s="100">
        <v>11.94</v>
      </c>
      <c r="J61" s="100">
        <v>0.16</v>
      </c>
      <c r="K61" s="100">
        <v>82.29</v>
      </c>
      <c r="L61" s="100">
        <v>26.74</v>
      </c>
      <c r="M61" s="100">
        <v>22.04</v>
      </c>
      <c r="N61" s="100">
        <v>442.4</v>
      </c>
      <c r="O61" s="100">
        <v>0</v>
      </c>
      <c r="P61" s="100">
        <v>0.94</v>
      </c>
      <c r="Q61" s="100">
        <v>11.25</v>
      </c>
      <c r="R61" s="6"/>
      <c r="S61" s="6"/>
      <c r="T61" s="156"/>
      <c r="U61" s="6"/>
    </row>
    <row r="62" spans="1:21" customFormat="1">
      <c r="A62" s="163" t="s">
        <v>1060</v>
      </c>
      <c r="B62" s="100">
        <v>9.61</v>
      </c>
      <c r="C62" s="100">
        <v>24.98</v>
      </c>
      <c r="D62" s="100">
        <v>22.11</v>
      </c>
      <c r="E62" s="100">
        <v>10.119999999999999</v>
      </c>
      <c r="F62" s="152" t="s">
        <v>15</v>
      </c>
      <c r="G62" s="100">
        <v>48.99</v>
      </c>
      <c r="H62" s="100">
        <v>27.23</v>
      </c>
      <c r="I62" s="100">
        <v>11.79</v>
      </c>
      <c r="J62" s="100">
        <v>0.28000000000000003</v>
      </c>
      <c r="K62" s="100">
        <v>38.17</v>
      </c>
      <c r="L62" s="100">
        <v>26.66</v>
      </c>
      <c r="M62" s="100">
        <v>21.94</v>
      </c>
      <c r="N62" s="100">
        <v>450.8</v>
      </c>
      <c r="O62" s="100">
        <v>0</v>
      </c>
      <c r="P62" s="100">
        <v>0.91</v>
      </c>
      <c r="Q62" s="100">
        <v>11.25</v>
      </c>
      <c r="R62" s="6"/>
      <c r="S62" s="6"/>
      <c r="T62" s="156"/>
      <c r="U62" s="6"/>
    </row>
    <row r="63" spans="1:21" customFormat="1">
      <c r="A63" s="163" t="s">
        <v>1061</v>
      </c>
      <c r="B63" s="100">
        <v>8.83</v>
      </c>
      <c r="C63" s="100">
        <v>24.65</v>
      </c>
      <c r="D63" s="100">
        <v>21.31</v>
      </c>
      <c r="E63" s="100">
        <v>10.53</v>
      </c>
      <c r="F63" s="152" t="s">
        <v>15</v>
      </c>
      <c r="G63" s="100">
        <v>48.99</v>
      </c>
      <c r="H63" s="100">
        <v>27.23</v>
      </c>
      <c r="I63" s="100">
        <v>11.57</v>
      </c>
      <c r="J63" s="100">
        <v>0.76</v>
      </c>
      <c r="K63" s="100">
        <v>60.02</v>
      </c>
      <c r="L63" s="100">
        <v>26.31</v>
      </c>
      <c r="M63" s="100">
        <v>21.74</v>
      </c>
      <c r="N63" s="100">
        <v>296.2</v>
      </c>
      <c r="O63" s="100">
        <v>0</v>
      </c>
      <c r="P63" s="100">
        <v>0.9</v>
      </c>
      <c r="Q63" s="100">
        <v>11.25</v>
      </c>
      <c r="R63" s="6"/>
      <c r="S63" s="6"/>
      <c r="T63" s="156"/>
      <c r="U63" s="6"/>
    </row>
    <row r="64" spans="1:21" customFormat="1">
      <c r="A64" s="163" t="s">
        <v>1062</v>
      </c>
      <c r="B64" s="100">
        <v>8.0299999999999994</v>
      </c>
      <c r="C64" s="100">
        <v>24.36</v>
      </c>
      <c r="D64" s="100">
        <v>20.52</v>
      </c>
      <c r="E64" s="100">
        <v>10.6</v>
      </c>
      <c r="F64" s="152" t="s">
        <v>15</v>
      </c>
      <c r="G64" s="100">
        <v>48.99</v>
      </c>
      <c r="H64" s="100">
        <v>27.23</v>
      </c>
      <c r="I64" s="100">
        <v>11.29</v>
      </c>
      <c r="J64" s="100">
        <v>0.48</v>
      </c>
      <c r="K64" s="100">
        <v>47.16</v>
      </c>
      <c r="L64" s="100">
        <v>25.88</v>
      </c>
      <c r="M64" s="100">
        <v>21.99</v>
      </c>
      <c r="N64" s="100">
        <v>159.30000000000001</v>
      </c>
      <c r="O64" s="100">
        <v>0</v>
      </c>
      <c r="P64" s="100">
        <v>0.88</v>
      </c>
      <c r="Q64" s="100">
        <v>11.25</v>
      </c>
      <c r="R64" s="6"/>
      <c r="S64" s="6"/>
      <c r="T64" s="156"/>
      <c r="U64" s="6"/>
    </row>
    <row r="65" spans="1:21" customFormat="1">
      <c r="A65" s="163" t="s">
        <v>1063</v>
      </c>
      <c r="B65" s="100">
        <v>7.4</v>
      </c>
      <c r="C65" s="100">
        <v>24.09</v>
      </c>
      <c r="D65" s="100">
        <v>19.87</v>
      </c>
      <c r="E65" s="100">
        <v>10.199999999999999</v>
      </c>
      <c r="F65" s="152" t="s">
        <v>15</v>
      </c>
      <c r="G65" s="100">
        <v>43.37</v>
      </c>
      <c r="H65" s="100">
        <v>20.21</v>
      </c>
      <c r="I65" s="100">
        <v>11.07</v>
      </c>
      <c r="J65" s="100">
        <v>0.08</v>
      </c>
      <c r="K65" s="100">
        <v>10.28</v>
      </c>
      <c r="L65" s="100">
        <v>25.92</v>
      </c>
      <c r="M65" s="100">
        <v>22.51</v>
      </c>
      <c r="N65" s="100">
        <v>108.2</v>
      </c>
      <c r="O65" s="100">
        <v>0</v>
      </c>
      <c r="P65" s="100">
        <v>0.75</v>
      </c>
      <c r="Q65" s="100">
        <v>11.25</v>
      </c>
      <c r="R65" s="6"/>
      <c r="S65" s="6"/>
      <c r="T65" s="156"/>
      <c r="U65" s="6"/>
    </row>
    <row r="66" spans="1:21" customFormat="1">
      <c r="A66" s="163" t="s">
        <v>1064</v>
      </c>
      <c r="B66" s="100">
        <v>6.88</v>
      </c>
      <c r="C66" s="100">
        <v>23.67</v>
      </c>
      <c r="D66" s="100">
        <v>19.23</v>
      </c>
      <c r="E66" s="100">
        <v>10.28</v>
      </c>
      <c r="F66" s="152" t="s">
        <v>15</v>
      </c>
      <c r="G66" s="100">
        <v>39.26</v>
      </c>
      <c r="H66" s="100">
        <v>18.100000000000001</v>
      </c>
      <c r="I66" s="100">
        <v>10.86</v>
      </c>
      <c r="J66" s="100">
        <v>0.31</v>
      </c>
      <c r="K66" s="100">
        <v>33.58</v>
      </c>
      <c r="L66" s="100">
        <v>25.78</v>
      </c>
      <c r="M66" s="100">
        <v>21.76</v>
      </c>
      <c r="N66" s="100">
        <v>102.4</v>
      </c>
      <c r="O66" s="100">
        <v>0</v>
      </c>
      <c r="P66" s="100">
        <v>0.77</v>
      </c>
      <c r="Q66" s="100">
        <v>11.25</v>
      </c>
      <c r="R66" s="6"/>
      <c r="S66" s="6"/>
      <c r="T66" s="156"/>
      <c r="U66" s="6"/>
    </row>
    <row r="67" spans="1:21" customFormat="1">
      <c r="A67" s="163" t="s">
        <v>1065</v>
      </c>
      <c r="B67" s="100">
        <v>6.5</v>
      </c>
      <c r="C67" s="100">
        <v>23.29</v>
      </c>
      <c r="D67" s="100">
        <v>18.73</v>
      </c>
      <c r="E67" s="100">
        <v>10.63</v>
      </c>
      <c r="F67" s="152" t="s">
        <v>15</v>
      </c>
      <c r="G67" s="100">
        <v>39.26</v>
      </c>
      <c r="H67" s="100">
        <v>18.100000000000001</v>
      </c>
      <c r="I67" s="100">
        <v>10.71</v>
      </c>
      <c r="J67" s="100">
        <v>0.3</v>
      </c>
      <c r="K67" s="100">
        <v>109.62</v>
      </c>
      <c r="L67" s="100">
        <v>25.92</v>
      </c>
      <c r="M67" s="100">
        <v>22.19</v>
      </c>
      <c r="N67" s="100">
        <v>64.599999999999994</v>
      </c>
      <c r="O67" s="100">
        <v>0</v>
      </c>
      <c r="P67" s="100">
        <v>0.76</v>
      </c>
      <c r="Q67" s="100">
        <v>11.25</v>
      </c>
      <c r="R67" s="6"/>
      <c r="S67" s="6"/>
      <c r="T67" s="156"/>
      <c r="U67" s="6"/>
    </row>
    <row r="68" spans="1:21" customFormat="1">
      <c r="A68" s="163" t="s">
        <v>1066</v>
      </c>
      <c r="B68" s="100">
        <v>6.09</v>
      </c>
      <c r="C68" s="100">
        <v>22.75</v>
      </c>
      <c r="D68" s="100">
        <v>18.12</v>
      </c>
      <c r="E68" s="100">
        <v>10.65</v>
      </c>
      <c r="F68" s="152" t="s">
        <v>15</v>
      </c>
      <c r="G68" s="100">
        <v>39.26</v>
      </c>
      <c r="H68" s="100">
        <v>18.100000000000001</v>
      </c>
      <c r="I68" s="100">
        <v>10.57</v>
      </c>
      <c r="J68" s="100">
        <v>0.21</v>
      </c>
      <c r="K68" s="100">
        <v>212.14</v>
      </c>
      <c r="L68" s="100">
        <v>25.52</v>
      </c>
      <c r="M68" s="100">
        <v>24.04</v>
      </c>
      <c r="N68" s="100">
        <v>52.7</v>
      </c>
      <c r="O68" s="100">
        <v>0</v>
      </c>
      <c r="P68" s="100">
        <v>0.75</v>
      </c>
      <c r="Q68" s="100">
        <v>11.25</v>
      </c>
      <c r="R68" s="6"/>
      <c r="S68" s="6"/>
      <c r="T68" s="156"/>
      <c r="U68" s="6"/>
    </row>
    <row r="69" spans="1:21" customFormat="1">
      <c r="A69" s="163" t="s">
        <v>1067</v>
      </c>
      <c r="B69" s="100">
        <v>5.74</v>
      </c>
      <c r="C69" s="100">
        <v>22.23</v>
      </c>
      <c r="D69" s="100">
        <v>17.57</v>
      </c>
      <c r="E69" s="100">
        <v>11.18</v>
      </c>
      <c r="F69" s="152" t="s">
        <v>15</v>
      </c>
      <c r="G69" s="100">
        <v>43.19</v>
      </c>
      <c r="H69" s="100">
        <v>19.18</v>
      </c>
      <c r="I69" s="100">
        <v>10.45</v>
      </c>
      <c r="J69" s="100">
        <v>0.16</v>
      </c>
      <c r="K69" s="100">
        <v>176.58</v>
      </c>
      <c r="L69" s="100">
        <v>25.58</v>
      </c>
      <c r="M69" s="100">
        <v>22.87</v>
      </c>
      <c r="N69" s="100">
        <v>53.4</v>
      </c>
      <c r="O69" s="100">
        <v>0</v>
      </c>
      <c r="P69" s="100">
        <v>0.74</v>
      </c>
      <c r="Q69" s="100">
        <v>11.25</v>
      </c>
      <c r="R69" s="6"/>
      <c r="S69" s="6"/>
      <c r="T69" s="156"/>
      <c r="U69" s="6"/>
    </row>
    <row r="70" spans="1:21" customFormat="1">
      <c r="A70" s="163" t="s">
        <v>1068</v>
      </c>
      <c r="B70" s="100">
        <v>5.38</v>
      </c>
      <c r="C70" s="100">
        <v>22.09</v>
      </c>
      <c r="D70" s="100">
        <v>17.21</v>
      </c>
      <c r="E70" s="100">
        <v>10.25</v>
      </c>
      <c r="F70" s="152" t="s">
        <v>15</v>
      </c>
      <c r="G70" s="100">
        <v>46.06</v>
      </c>
      <c r="H70" s="100">
        <v>19.510000000000002</v>
      </c>
      <c r="I70" s="100">
        <v>10.31</v>
      </c>
      <c r="J70" s="100">
        <v>0.32</v>
      </c>
      <c r="K70" s="100">
        <v>79.760000000000005</v>
      </c>
      <c r="L70" s="100">
        <v>25.72</v>
      </c>
      <c r="M70" s="100">
        <v>20.6</v>
      </c>
      <c r="N70" s="100">
        <v>49.6</v>
      </c>
      <c r="O70" s="100">
        <v>0</v>
      </c>
      <c r="P70" s="100">
        <v>0.7</v>
      </c>
      <c r="Q70" s="100">
        <v>11.25</v>
      </c>
      <c r="R70" s="6"/>
      <c r="S70" s="6"/>
      <c r="T70" s="156"/>
      <c r="U70" s="6"/>
    </row>
    <row r="71" spans="1:21" customFormat="1">
      <c r="A71" s="163" t="s">
        <v>1069</v>
      </c>
      <c r="B71" s="100">
        <v>4.96</v>
      </c>
      <c r="C71" s="100">
        <v>22.32</v>
      </c>
      <c r="D71" s="100">
        <v>16.989999999999998</v>
      </c>
      <c r="E71" s="100">
        <v>10.73</v>
      </c>
      <c r="F71" s="152" t="s">
        <v>15</v>
      </c>
      <c r="G71" s="100">
        <v>46.06</v>
      </c>
      <c r="H71" s="100">
        <v>19.510000000000002</v>
      </c>
      <c r="I71" s="100">
        <v>10.16</v>
      </c>
      <c r="J71" s="100">
        <v>0.45</v>
      </c>
      <c r="K71" s="100">
        <v>44.22</v>
      </c>
      <c r="L71" s="100">
        <v>25.79</v>
      </c>
      <c r="M71" s="100">
        <v>19.579999999999998</v>
      </c>
      <c r="N71" s="100">
        <v>39.4</v>
      </c>
      <c r="O71" s="100">
        <v>0</v>
      </c>
      <c r="P71" s="100">
        <v>0.66</v>
      </c>
      <c r="Q71" s="100">
        <v>11.25</v>
      </c>
      <c r="R71" s="6"/>
      <c r="S71" s="6"/>
      <c r="T71" s="156"/>
      <c r="U71" s="6"/>
    </row>
    <row r="72" spans="1:21" customFormat="1">
      <c r="A72" s="163" t="s">
        <v>1070</v>
      </c>
      <c r="B72" s="100">
        <v>4.6900000000000004</v>
      </c>
      <c r="C72" s="100">
        <v>23</v>
      </c>
      <c r="D72" s="100">
        <v>17.13</v>
      </c>
      <c r="E72" s="100">
        <v>10.57</v>
      </c>
      <c r="F72" s="152" t="s">
        <v>15</v>
      </c>
      <c r="G72" s="100">
        <v>46.06</v>
      </c>
      <c r="H72" s="100">
        <v>19.510000000000002</v>
      </c>
      <c r="I72" s="100">
        <v>9.99</v>
      </c>
      <c r="J72" s="100">
        <v>0.25</v>
      </c>
      <c r="K72" s="100">
        <v>20.32</v>
      </c>
      <c r="L72" s="100">
        <v>25.57</v>
      </c>
      <c r="M72" s="100">
        <v>19.12</v>
      </c>
      <c r="N72" s="100">
        <v>33.299999999999997</v>
      </c>
      <c r="O72" s="100">
        <v>0</v>
      </c>
      <c r="P72" s="100">
        <v>0.65</v>
      </c>
      <c r="Q72" s="100">
        <v>11.25</v>
      </c>
      <c r="R72" s="6"/>
      <c r="S72" s="6"/>
      <c r="T72" s="156"/>
      <c r="U72" s="6"/>
    </row>
    <row r="73" spans="1:21" customFormat="1">
      <c r="A73" s="163" t="s">
        <v>1071</v>
      </c>
      <c r="B73" s="100">
        <v>4.41</v>
      </c>
      <c r="C73" s="100">
        <v>22.96</v>
      </c>
      <c r="D73" s="100">
        <v>16.89</v>
      </c>
      <c r="E73" s="100">
        <v>10.1</v>
      </c>
      <c r="F73" s="152" t="s">
        <v>15</v>
      </c>
      <c r="G73" s="100">
        <v>48.62</v>
      </c>
      <c r="H73" s="100">
        <v>19.059999999999999</v>
      </c>
      <c r="I73" s="100">
        <v>9.82</v>
      </c>
      <c r="J73" s="100">
        <v>0.26</v>
      </c>
      <c r="K73" s="100">
        <v>165.34</v>
      </c>
      <c r="L73" s="100">
        <v>25.18</v>
      </c>
      <c r="M73" s="100">
        <v>22.05</v>
      </c>
      <c r="N73" s="100">
        <v>29.8</v>
      </c>
      <c r="O73" s="100">
        <v>0</v>
      </c>
      <c r="P73" s="100">
        <v>0.64</v>
      </c>
      <c r="Q73" s="100">
        <v>11.25</v>
      </c>
      <c r="R73" s="6"/>
      <c r="S73" s="6"/>
      <c r="T73" s="156"/>
      <c r="U73" s="6"/>
    </row>
    <row r="74" spans="1:21" customFormat="1">
      <c r="A74" s="163" t="s">
        <v>1072</v>
      </c>
      <c r="B74" s="100">
        <v>4.1900000000000004</v>
      </c>
      <c r="C74" s="100">
        <v>22.33</v>
      </c>
      <c r="D74" s="100">
        <v>16.38</v>
      </c>
      <c r="E74" s="100">
        <v>9.94</v>
      </c>
      <c r="F74" s="152" t="s">
        <v>15</v>
      </c>
      <c r="G74" s="100">
        <v>50.49</v>
      </c>
      <c r="H74" s="100">
        <v>18.920000000000002</v>
      </c>
      <c r="I74" s="100">
        <v>9.64</v>
      </c>
      <c r="J74" s="100">
        <v>0.27</v>
      </c>
      <c r="K74" s="100">
        <v>156.47</v>
      </c>
      <c r="L74" s="100">
        <v>24.72</v>
      </c>
      <c r="M74" s="100">
        <v>23.27</v>
      </c>
      <c r="N74" s="100">
        <v>29.2</v>
      </c>
      <c r="O74" s="100">
        <v>0</v>
      </c>
      <c r="P74" s="100">
        <v>0.63</v>
      </c>
      <c r="Q74" s="100">
        <v>11.25</v>
      </c>
      <c r="R74" s="6"/>
      <c r="S74" s="6"/>
      <c r="T74" s="156"/>
      <c r="U74" s="6"/>
    </row>
    <row r="75" spans="1:21" customFormat="1">
      <c r="A75" s="163" t="s">
        <v>1073</v>
      </c>
      <c r="B75" s="100">
        <v>3.97</v>
      </c>
      <c r="C75" s="100">
        <v>21.81</v>
      </c>
      <c r="D75" s="100">
        <v>15.93</v>
      </c>
      <c r="E75" s="100">
        <v>9.5299999999999994</v>
      </c>
      <c r="F75" s="152" t="s">
        <v>15</v>
      </c>
      <c r="G75" s="100">
        <v>50.49</v>
      </c>
      <c r="H75" s="100">
        <v>18.920000000000002</v>
      </c>
      <c r="I75" s="100">
        <v>9.57</v>
      </c>
      <c r="J75" s="100">
        <v>0.24</v>
      </c>
      <c r="K75" s="100">
        <v>164.89</v>
      </c>
      <c r="L75" s="100">
        <v>24.13</v>
      </c>
      <c r="M75" s="100">
        <v>25.74</v>
      </c>
      <c r="N75" s="100">
        <v>20.2</v>
      </c>
      <c r="O75" s="100">
        <v>0</v>
      </c>
      <c r="P75" s="100">
        <v>0.61</v>
      </c>
      <c r="Q75" s="100">
        <v>11.25</v>
      </c>
      <c r="R75" s="6"/>
      <c r="S75" s="6"/>
      <c r="T75" s="156"/>
      <c r="U75" s="6"/>
    </row>
    <row r="76" spans="1:21" customFormat="1">
      <c r="A76" s="163" t="s">
        <v>1074</v>
      </c>
      <c r="B76" s="100">
        <v>3.93</v>
      </c>
      <c r="C76" s="100">
        <v>21.64</v>
      </c>
      <c r="D76" s="100">
        <v>15.81</v>
      </c>
      <c r="E76" s="100">
        <v>9.76</v>
      </c>
      <c r="F76" s="152" t="s">
        <v>15</v>
      </c>
      <c r="G76" s="100">
        <v>50.49</v>
      </c>
      <c r="H76" s="100">
        <v>18.920000000000002</v>
      </c>
      <c r="I76" s="100">
        <v>9.3699999999999992</v>
      </c>
      <c r="J76" s="100">
        <v>0.33</v>
      </c>
      <c r="K76" s="100">
        <v>164.26</v>
      </c>
      <c r="L76" s="100">
        <v>23.42</v>
      </c>
      <c r="M76" s="100">
        <v>29.13</v>
      </c>
      <c r="N76" s="100">
        <v>14.7</v>
      </c>
      <c r="O76" s="100">
        <v>0</v>
      </c>
      <c r="P76" s="100">
        <v>0.61</v>
      </c>
      <c r="Q76" s="100">
        <v>11.25</v>
      </c>
      <c r="R76" s="6"/>
      <c r="S76" s="6"/>
      <c r="T76" s="156"/>
      <c r="U76" s="6"/>
    </row>
    <row r="77" spans="1:21" customFormat="1">
      <c r="A77" s="163" t="s">
        <v>1075</v>
      </c>
      <c r="B77" s="100">
        <v>3.94</v>
      </c>
      <c r="C77" s="100">
        <v>21.98</v>
      </c>
      <c r="D77" s="100">
        <v>16</v>
      </c>
      <c r="E77" s="100">
        <v>9.77</v>
      </c>
      <c r="F77" s="152" t="s">
        <v>15</v>
      </c>
      <c r="G77" s="100">
        <v>55.01</v>
      </c>
      <c r="H77" s="100">
        <v>19.399999999999999</v>
      </c>
      <c r="I77" s="100">
        <v>9.11</v>
      </c>
      <c r="J77" s="100">
        <v>0.36</v>
      </c>
      <c r="K77" s="100">
        <v>164.44</v>
      </c>
      <c r="L77" s="100">
        <v>22.39</v>
      </c>
      <c r="M77" s="100">
        <v>33.68</v>
      </c>
      <c r="N77" s="100">
        <v>7.7</v>
      </c>
      <c r="O77" s="100">
        <v>0</v>
      </c>
      <c r="P77" s="100">
        <v>0.6</v>
      </c>
      <c r="Q77" s="100">
        <v>11.25</v>
      </c>
      <c r="R77" s="6"/>
      <c r="S77" s="6"/>
      <c r="T77" s="156"/>
      <c r="U77" s="6"/>
    </row>
    <row r="78" spans="1:21" customFormat="1">
      <c r="A78" s="163" t="s">
        <v>1076</v>
      </c>
      <c r="B78" s="100">
        <v>4.1100000000000003</v>
      </c>
      <c r="C78" s="100">
        <v>22.44</v>
      </c>
      <c r="D78" s="100">
        <v>16.37</v>
      </c>
      <c r="E78" s="100">
        <v>9.4700000000000006</v>
      </c>
      <c r="F78" s="152" t="s">
        <v>15</v>
      </c>
      <c r="G78" s="100">
        <v>58.31</v>
      </c>
      <c r="H78" s="100">
        <v>19.54</v>
      </c>
      <c r="I78" s="100">
        <v>8.9499999999999993</v>
      </c>
      <c r="J78" s="100">
        <v>0.33</v>
      </c>
      <c r="K78" s="100">
        <v>165.88</v>
      </c>
      <c r="L78" s="100">
        <v>21.47</v>
      </c>
      <c r="M78" s="100">
        <v>40.79</v>
      </c>
      <c r="N78" s="100">
        <v>3.5</v>
      </c>
      <c r="O78" s="100">
        <v>0</v>
      </c>
      <c r="P78" s="100">
        <v>0.59</v>
      </c>
      <c r="Q78" s="100">
        <v>11.25</v>
      </c>
      <c r="R78" s="6"/>
      <c r="S78" s="6"/>
      <c r="T78" s="156"/>
      <c r="U78" s="6"/>
    </row>
    <row r="79" spans="1:21" customFormat="1">
      <c r="A79" s="163" t="s">
        <v>1077</v>
      </c>
      <c r="B79" s="100">
        <v>4.4000000000000004</v>
      </c>
      <c r="C79" s="100">
        <v>23.41</v>
      </c>
      <c r="D79" s="100">
        <v>17.11</v>
      </c>
      <c r="E79" s="100">
        <v>9.6300000000000008</v>
      </c>
      <c r="F79" s="152" t="s">
        <v>15</v>
      </c>
      <c r="G79" s="100">
        <v>58.31</v>
      </c>
      <c r="H79" s="100">
        <v>19.54</v>
      </c>
      <c r="I79" s="100">
        <v>8.9</v>
      </c>
      <c r="J79" s="100">
        <v>0.28999999999999998</v>
      </c>
      <c r="K79" s="100">
        <v>163.07</v>
      </c>
      <c r="L79" s="100">
        <v>20.78</v>
      </c>
      <c r="M79" s="100">
        <v>43.38</v>
      </c>
      <c r="N79" s="100">
        <v>1.9</v>
      </c>
      <c r="O79" s="100">
        <v>0</v>
      </c>
      <c r="P79" s="100">
        <v>0.61</v>
      </c>
      <c r="Q79" s="100">
        <v>11.25</v>
      </c>
      <c r="R79" s="6"/>
      <c r="S79" s="6"/>
      <c r="T79" s="156"/>
      <c r="U79" s="6"/>
    </row>
    <row r="80" spans="1:21" customFormat="1">
      <c r="A80" s="163" t="s">
        <v>1078</v>
      </c>
      <c r="B80" s="100">
        <v>5.12</v>
      </c>
      <c r="C80" s="100">
        <v>24.66</v>
      </c>
      <c r="D80" s="100">
        <v>18.34</v>
      </c>
      <c r="E80" s="100">
        <v>9.5</v>
      </c>
      <c r="F80" s="152" t="s">
        <v>15</v>
      </c>
      <c r="G80" s="100">
        <v>58.31</v>
      </c>
      <c r="H80" s="100">
        <v>19.54</v>
      </c>
      <c r="I80" s="100">
        <v>8.89</v>
      </c>
      <c r="J80" s="100">
        <v>0.18</v>
      </c>
      <c r="K80" s="100">
        <v>178.12</v>
      </c>
      <c r="L80" s="100">
        <v>20.05</v>
      </c>
      <c r="M80" s="100">
        <v>44.18</v>
      </c>
      <c r="N80" s="100">
        <v>1.6</v>
      </c>
      <c r="O80" s="100">
        <v>0</v>
      </c>
      <c r="P80" s="100">
        <v>0.63</v>
      </c>
      <c r="Q80" s="100">
        <v>11.25</v>
      </c>
      <c r="R80" s="6"/>
      <c r="S80" s="6"/>
      <c r="T80" s="156"/>
      <c r="U80" s="6"/>
    </row>
    <row r="81" spans="1:21" customFormat="1">
      <c r="A81" s="163" t="s">
        <v>1079</v>
      </c>
      <c r="B81" s="100">
        <v>6.59</v>
      </c>
      <c r="C81" s="100">
        <v>26.14</v>
      </c>
      <c r="D81" s="100">
        <v>20.3</v>
      </c>
      <c r="E81" s="100">
        <v>8.57</v>
      </c>
      <c r="F81" s="152" t="s">
        <v>15</v>
      </c>
      <c r="G81" s="100">
        <v>91.21</v>
      </c>
      <c r="H81" s="100">
        <v>21.34</v>
      </c>
      <c r="I81" s="100">
        <v>8.9499999999999993</v>
      </c>
      <c r="J81" s="100">
        <v>0.23</v>
      </c>
      <c r="K81" s="100">
        <v>143.25</v>
      </c>
      <c r="L81" s="100">
        <v>19.68</v>
      </c>
      <c r="M81" s="100">
        <v>44.56</v>
      </c>
      <c r="N81" s="100">
        <v>1.5</v>
      </c>
      <c r="O81" s="100">
        <v>0</v>
      </c>
      <c r="P81" s="100">
        <v>0.67</v>
      </c>
      <c r="Q81" s="100">
        <v>11.25</v>
      </c>
      <c r="R81" s="6"/>
      <c r="S81" s="6"/>
      <c r="T81" s="156"/>
      <c r="U81" s="6"/>
    </row>
    <row r="82" spans="1:21" customFormat="1">
      <c r="A82" s="163" t="s">
        <v>1080</v>
      </c>
      <c r="B82" s="100">
        <v>8.1999999999999993</v>
      </c>
      <c r="C82" s="100">
        <v>27.28</v>
      </c>
      <c r="D82" s="100">
        <v>22.18</v>
      </c>
      <c r="E82" s="100">
        <v>9.8699999999999992</v>
      </c>
      <c r="F82" s="152" t="s">
        <v>15</v>
      </c>
      <c r="G82" s="100">
        <v>115.26</v>
      </c>
      <c r="H82" s="100">
        <v>21.88</v>
      </c>
      <c r="I82" s="100">
        <v>9.19</v>
      </c>
      <c r="J82" s="100">
        <v>0.25</v>
      </c>
      <c r="K82" s="100">
        <v>145.75</v>
      </c>
      <c r="L82" s="100">
        <v>19.02</v>
      </c>
      <c r="M82" s="100">
        <v>53.78</v>
      </c>
      <c r="N82" s="100">
        <v>1.6</v>
      </c>
      <c r="O82" s="100">
        <v>0</v>
      </c>
      <c r="P82" s="100">
        <v>0.69</v>
      </c>
      <c r="Q82" s="100">
        <v>11.25</v>
      </c>
      <c r="R82" s="6"/>
      <c r="S82" s="6"/>
      <c r="T82" s="156"/>
      <c r="U82" s="6"/>
    </row>
    <row r="83" spans="1:21" customFormat="1">
      <c r="A83" s="163" t="s">
        <v>1081</v>
      </c>
      <c r="B83" s="100">
        <v>9.5399999999999991</v>
      </c>
      <c r="C83" s="100">
        <v>28.13</v>
      </c>
      <c r="D83" s="100">
        <v>23.7</v>
      </c>
      <c r="E83" s="100">
        <v>9.66</v>
      </c>
      <c r="F83" s="152" t="s">
        <v>15</v>
      </c>
      <c r="G83" s="100">
        <v>115.26</v>
      </c>
      <c r="H83" s="100">
        <v>21.88</v>
      </c>
      <c r="I83" s="100">
        <v>9.61</v>
      </c>
      <c r="J83" s="100">
        <v>0.27</v>
      </c>
      <c r="K83" s="100">
        <v>157.27000000000001</v>
      </c>
      <c r="L83" s="100">
        <v>18.739999999999998</v>
      </c>
      <c r="M83" s="100">
        <v>53.32</v>
      </c>
      <c r="N83" s="100">
        <v>1.4</v>
      </c>
      <c r="O83" s="100">
        <v>0</v>
      </c>
      <c r="P83" s="100">
        <v>0.73</v>
      </c>
      <c r="Q83" s="100">
        <v>11.25</v>
      </c>
      <c r="R83" s="6"/>
      <c r="S83" s="6"/>
      <c r="T83" s="156"/>
      <c r="U83" s="6"/>
    </row>
    <row r="84" spans="1:21" customFormat="1">
      <c r="A84" s="163" t="s">
        <v>1082</v>
      </c>
      <c r="B84" s="100">
        <v>10.23</v>
      </c>
      <c r="C84" s="100">
        <v>28.9</v>
      </c>
      <c r="D84" s="100">
        <v>24.66</v>
      </c>
      <c r="E84" s="100">
        <v>9.5</v>
      </c>
      <c r="F84" s="152" t="s">
        <v>15</v>
      </c>
      <c r="G84" s="100">
        <v>115.26</v>
      </c>
      <c r="H84" s="100">
        <v>21.88</v>
      </c>
      <c r="I84" s="100">
        <v>10.23</v>
      </c>
      <c r="J84" s="100">
        <v>0.27</v>
      </c>
      <c r="K84" s="100">
        <v>172.98</v>
      </c>
      <c r="L84" s="100">
        <v>18.12</v>
      </c>
      <c r="M84" s="100">
        <v>63.2</v>
      </c>
      <c r="N84" s="100">
        <v>1.6</v>
      </c>
      <c r="O84" s="100">
        <v>0</v>
      </c>
      <c r="P84" s="100">
        <v>0.75</v>
      </c>
      <c r="Q84" s="100">
        <v>11.25</v>
      </c>
      <c r="R84" s="6"/>
      <c r="S84" s="6"/>
      <c r="T84" s="156"/>
      <c r="U84" s="6"/>
    </row>
    <row r="85" spans="1:21" customFormat="1">
      <c r="A85" s="163" t="s">
        <v>1083</v>
      </c>
      <c r="B85" s="100">
        <v>10.7</v>
      </c>
      <c r="C85" s="100">
        <v>29.11</v>
      </c>
      <c r="D85" s="100">
        <v>25.14</v>
      </c>
      <c r="E85" s="100">
        <v>10.39</v>
      </c>
      <c r="F85" s="152" t="s">
        <v>15</v>
      </c>
      <c r="G85" s="100">
        <v>129.12</v>
      </c>
      <c r="H85" s="100">
        <v>24.39</v>
      </c>
      <c r="I85" s="100">
        <v>10.86</v>
      </c>
      <c r="J85" s="100">
        <v>0.24</v>
      </c>
      <c r="K85" s="100">
        <v>170.88</v>
      </c>
      <c r="L85" s="100">
        <v>17.579999999999998</v>
      </c>
      <c r="M85" s="100">
        <v>64.61</v>
      </c>
      <c r="N85" s="100">
        <v>1.4</v>
      </c>
      <c r="O85" s="100">
        <v>0</v>
      </c>
      <c r="P85" s="100">
        <v>0.79</v>
      </c>
      <c r="Q85" s="100">
        <v>11.25</v>
      </c>
      <c r="R85" s="6"/>
      <c r="S85" s="6"/>
      <c r="T85" s="156"/>
      <c r="U85" s="6"/>
    </row>
    <row r="86" spans="1:21" customFormat="1">
      <c r="A86" s="163" t="s">
        <v>1084</v>
      </c>
      <c r="B86" s="100">
        <v>11.41</v>
      </c>
      <c r="C86" s="100">
        <v>29.32</v>
      </c>
      <c r="D86" s="100">
        <v>25.82</v>
      </c>
      <c r="E86" s="100">
        <v>10.32</v>
      </c>
      <c r="F86" s="152" t="s">
        <v>15</v>
      </c>
      <c r="G86" s="100">
        <v>139.26</v>
      </c>
      <c r="H86" s="100">
        <v>25.84</v>
      </c>
      <c r="I86" s="100">
        <v>11.34</v>
      </c>
      <c r="J86" s="100">
        <v>0.28000000000000003</v>
      </c>
      <c r="K86" s="100">
        <v>164.42</v>
      </c>
      <c r="L86" s="100">
        <v>17.38</v>
      </c>
      <c r="M86" s="100">
        <v>62.27</v>
      </c>
      <c r="N86" s="100">
        <v>1.2</v>
      </c>
      <c r="O86" s="100">
        <v>0</v>
      </c>
      <c r="P86" s="100">
        <v>0.81</v>
      </c>
      <c r="Q86" s="100">
        <v>11.25</v>
      </c>
      <c r="R86" s="6"/>
      <c r="S86" s="6"/>
      <c r="T86" s="156"/>
      <c r="U86" s="6"/>
    </row>
    <row r="87" spans="1:21" customFormat="1">
      <c r="A87" s="163" t="s">
        <v>1085</v>
      </c>
      <c r="B87" s="100">
        <v>11.97</v>
      </c>
      <c r="C87" s="100">
        <v>29.63</v>
      </c>
      <c r="D87" s="100">
        <v>26.43</v>
      </c>
      <c r="E87" s="100">
        <v>10.11</v>
      </c>
      <c r="F87" s="152" t="s">
        <v>15</v>
      </c>
      <c r="G87" s="100">
        <v>139.26</v>
      </c>
      <c r="H87" s="100">
        <v>25.84</v>
      </c>
      <c r="I87" s="100">
        <v>11.75</v>
      </c>
      <c r="J87" s="100">
        <v>0.24</v>
      </c>
      <c r="K87" s="100">
        <v>168.46</v>
      </c>
      <c r="L87" s="100">
        <v>16.96</v>
      </c>
      <c r="M87" s="100">
        <v>67.680000000000007</v>
      </c>
      <c r="N87" s="100">
        <v>1.4</v>
      </c>
      <c r="O87" s="100">
        <v>0</v>
      </c>
      <c r="P87" s="100">
        <v>0.84</v>
      </c>
      <c r="Q87" s="100">
        <v>11.25</v>
      </c>
      <c r="R87" s="6"/>
      <c r="S87" s="6"/>
      <c r="T87" s="156"/>
      <c r="U87" s="6"/>
    </row>
    <row r="88" spans="1:21" customFormat="1">
      <c r="A88" s="163" t="s">
        <v>1086</v>
      </c>
      <c r="B88" s="100">
        <v>12.79</v>
      </c>
      <c r="C88" s="100">
        <v>30.06</v>
      </c>
      <c r="D88" s="100">
        <v>27.31</v>
      </c>
      <c r="E88" s="100">
        <v>9.7899999999999991</v>
      </c>
      <c r="F88" s="152" t="s">
        <v>15</v>
      </c>
      <c r="G88" s="100">
        <v>139.26</v>
      </c>
      <c r="H88" s="100">
        <v>25.84</v>
      </c>
      <c r="I88" s="100">
        <v>12.16</v>
      </c>
      <c r="J88" s="100">
        <v>0.21</v>
      </c>
      <c r="K88" s="100">
        <v>177.77</v>
      </c>
      <c r="L88" s="100">
        <v>16.809999999999999</v>
      </c>
      <c r="M88" s="100">
        <v>61.76</v>
      </c>
      <c r="N88" s="100">
        <v>1</v>
      </c>
      <c r="O88" s="100">
        <v>0</v>
      </c>
      <c r="P88" s="100">
        <v>0.87</v>
      </c>
      <c r="Q88" s="100">
        <v>11.25</v>
      </c>
      <c r="R88" s="6"/>
      <c r="S88" s="6"/>
      <c r="T88" s="156"/>
      <c r="U88" s="6"/>
    </row>
    <row r="89" spans="1:21" customFormat="1">
      <c r="A89" s="163" t="s">
        <v>1087</v>
      </c>
      <c r="B89" s="100">
        <v>14.32</v>
      </c>
      <c r="C89" s="100">
        <v>30.52</v>
      </c>
      <c r="D89" s="100">
        <v>28.78</v>
      </c>
      <c r="E89" s="100">
        <v>9.83</v>
      </c>
      <c r="F89" s="152" t="s">
        <v>15</v>
      </c>
      <c r="G89" s="100">
        <v>130.21</v>
      </c>
      <c r="H89" s="100">
        <v>25.54</v>
      </c>
      <c r="I89" s="100">
        <v>12.55</v>
      </c>
      <c r="J89" s="100">
        <v>0.23</v>
      </c>
      <c r="K89" s="100">
        <v>178.7</v>
      </c>
      <c r="L89" s="100">
        <v>16.489999999999998</v>
      </c>
      <c r="M89" s="100">
        <v>67.45</v>
      </c>
      <c r="N89" s="100">
        <v>1.4</v>
      </c>
      <c r="O89" s="100">
        <v>0</v>
      </c>
      <c r="P89" s="100">
        <v>0.9</v>
      </c>
      <c r="Q89" s="100">
        <v>11.25</v>
      </c>
      <c r="R89" s="6"/>
      <c r="S89" s="6"/>
      <c r="T89" s="156"/>
      <c r="U89" s="6"/>
    </row>
    <row r="90" spans="1:21" customFormat="1">
      <c r="A90" s="163" t="s">
        <v>1088</v>
      </c>
      <c r="B90" s="100">
        <v>15.3</v>
      </c>
      <c r="C90" s="100">
        <v>30.6</v>
      </c>
      <c r="D90" s="100">
        <v>29.61</v>
      </c>
      <c r="E90" s="100">
        <v>9.6</v>
      </c>
      <c r="F90" s="152" t="s">
        <v>15</v>
      </c>
      <c r="G90" s="100">
        <v>123.6</v>
      </c>
      <c r="H90" s="100">
        <v>25.45</v>
      </c>
      <c r="I90" s="100">
        <v>12.92</v>
      </c>
      <c r="J90" s="100">
        <v>0.2</v>
      </c>
      <c r="K90" s="100">
        <v>183.94</v>
      </c>
      <c r="L90" s="100">
        <v>15.69</v>
      </c>
      <c r="M90" s="100">
        <v>71.84</v>
      </c>
      <c r="N90" s="100">
        <v>1.5</v>
      </c>
      <c r="O90" s="100">
        <v>0</v>
      </c>
      <c r="P90" s="100">
        <v>0.95</v>
      </c>
      <c r="Q90" s="100">
        <v>11.25</v>
      </c>
      <c r="R90" s="6"/>
      <c r="S90" s="6"/>
      <c r="T90" s="156"/>
      <c r="U90" s="6"/>
    </row>
    <row r="91" spans="1:21" customFormat="1">
      <c r="A91" s="163" t="s">
        <v>1089</v>
      </c>
      <c r="B91" s="100">
        <v>15.67</v>
      </c>
      <c r="C91" s="100">
        <v>30.47</v>
      </c>
      <c r="D91" s="100">
        <v>29.84</v>
      </c>
      <c r="E91" s="100">
        <v>9.6199999999999992</v>
      </c>
      <c r="F91" s="152" t="s">
        <v>15</v>
      </c>
      <c r="G91" s="100">
        <v>123.6</v>
      </c>
      <c r="H91" s="100">
        <v>25.45</v>
      </c>
      <c r="I91" s="100">
        <v>13.28</v>
      </c>
      <c r="J91" s="100">
        <v>0.19</v>
      </c>
      <c r="K91" s="100">
        <v>203.28</v>
      </c>
      <c r="L91" s="100">
        <v>15.17</v>
      </c>
      <c r="M91" s="100">
        <v>71.09</v>
      </c>
      <c r="N91" s="100">
        <v>1.4</v>
      </c>
      <c r="O91" s="100">
        <v>0</v>
      </c>
      <c r="P91" s="100">
        <v>1.02</v>
      </c>
      <c r="Q91" s="100">
        <v>11.25</v>
      </c>
      <c r="R91" s="6"/>
      <c r="S91" s="6"/>
      <c r="T91" s="156"/>
      <c r="U91" s="6"/>
    </row>
    <row r="92" spans="1:21" customFormat="1">
      <c r="A92" s="163" t="s">
        <v>1090</v>
      </c>
      <c r="B92" s="100">
        <v>15.4</v>
      </c>
      <c r="C92" s="100">
        <v>30.01</v>
      </c>
      <c r="D92" s="100">
        <v>29.38</v>
      </c>
      <c r="E92" s="100">
        <v>9.84</v>
      </c>
      <c r="F92" s="152" t="s">
        <v>15</v>
      </c>
      <c r="G92" s="100">
        <v>123.6</v>
      </c>
      <c r="H92" s="100">
        <v>25.45</v>
      </c>
      <c r="I92" s="100">
        <v>13.66</v>
      </c>
      <c r="J92" s="100">
        <v>0.17</v>
      </c>
      <c r="K92" s="100">
        <v>200.51</v>
      </c>
      <c r="L92" s="100">
        <v>14.84</v>
      </c>
      <c r="M92" s="100">
        <v>73.650000000000006</v>
      </c>
      <c r="N92" s="100">
        <v>1.3</v>
      </c>
      <c r="O92" s="100">
        <v>0</v>
      </c>
      <c r="P92" s="100">
        <v>1.04</v>
      </c>
      <c r="Q92" s="100">
        <v>11.25</v>
      </c>
      <c r="R92" s="6"/>
      <c r="S92" s="6"/>
      <c r="T92" s="156"/>
      <c r="U92" s="6"/>
    </row>
    <row r="93" spans="1:21" customFormat="1">
      <c r="A93" s="163" t="s">
        <v>1091</v>
      </c>
      <c r="B93" s="100">
        <v>14.91</v>
      </c>
      <c r="C93" s="100">
        <v>29.32</v>
      </c>
      <c r="D93" s="100">
        <v>28.63</v>
      </c>
      <c r="E93" s="100">
        <v>9.81</v>
      </c>
      <c r="F93" s="152" t="s">
        <v>15</v>
      </c>
      <c r="G93" s="100">
        <v>120.29</v>
      </c>
      <c r="H93" s="100">
        <v>26.43</v>
      </c>
      <c r="I93" s="100">
        <v>13.95</v>
      </c>
      <c r="J93" s="100">
        <v>0.13</v>
      </c>
      <c r="K93" s="100">
        <v>161.41</v>
      </c>
      <c r="L93" s="100">
        <v>14.72</v>
      </c>
      <c r="M93" s="100">
        <v>72.180000000000007</v>
      </c>
      <c r="N93" s="100">
        <v>1.1000000000000001</v>
      </c>
      <c r="O93" s="100">
        <v>0</v>
      </c>
      <c r="P93" s="100">
        <v>1.07</v>
      </c>
      <c r="Q93" s="100">
        <v>11.25</v>
      </c>
      <c r="R93" s="6"/>
      <c r="S93" s="6"/>
      <c r="T93" s="156"/>
      <c r="U93" s="6"/>
    </row>
    <row r="94" spans="1:21" customFormat="1">
      <c r="A94" s="163" t="s">
        <v>1092</v>
      </c>
      <c r="B94" s="100">
        <v>14.36</v>
      </c>
      <c r="C94" s="100">
        <v>28.6</v>
      </c>
      <c r="D94" s="100">
        <v>27.81</v>
      </c>
      <c r="E94" s="100">
        <v>9.3699999999999992</v>
      </c>
      <c r="F94" s="152" t="s">
        <v>15</v>
      </c>
      <c r="G94" s="100">
        <v>117.87</v>
      </c>
      <c r="H94" s="100">
        <v>26.72</v>
      </c>
      <c r="I94" s="100">
        <v>14.15</v>
      </c>
      <c r="J94" s="100">
        <v>0.17</v>
      </c>
      <c r="K94" s="100">
        <v>184.32</v>
      </c>
      <c r="L94" s="100">
        <v>14.58</v>
      </c>
      <c r="M94" s="100">
        <v>76.69</v>
      </c>
      <c r="N94" s="100">
        <v>1</v>
      </c>
      <c r="O94" s="100">
        <v>0</v>
      </c>
      <c r="P94" s="100">
        <v>1.0900000000000001</v>
      </c>
      <c r="Q94" s="100">
        <v>11.25</v>
      </c>
      <c r="R94" s="6"/>
      <c r="S94" s="6"/>
      <c r="T94" s="156"/>
      <c r="U94" s="6"/>
    </row>
    <row r="95" spans="1:21" customFormat="1">
      <c r="A95" s="163" t="s">
        <v>1093</v>
      </c>
      <c r="B95" s="100">
        <v>13.99</v>
      </c>
      <c r="C95" s="100">
        <v>27.77</v>
      </c>
      <c r="D95" s="100">
        <v>27.08</v>
      </c>
      <c r="E95" s="100">
        <v>9.39</v>
      </c>
      <c r="F95" s="152" t="s">
        <v>15</v>
      </c>
      <c r="G95" s="100">
        <v>117.87</v>
      </c>
      <c r="H95" s="100">
        <v>26.72</v>
      </c>
      <c r="I95" s="100">
        <v>14.28</v>
      </c>
      <c r="J95" s="100">
        <v>0.15</v>
      </c>
      <c r="K95" s="100">
        <v>182.91</v>
      </c>
      <c r="L95" s="100">
        <v>14.4</v>
      </c>
      <c r="M95" s="100">
        <v>79.44</v>
      </c>
      <c r="N95" s="100">
        <v>1.2</v>
      </c>
      <c r="O95" s="100">
        <v>0</v>
      </c>
      <c r="P95" s="100">
        <v>1.1000000000000001</v>
      </c>
      <c r="Q95" s="100">
        <v>11.25</v>
      </c>
      <c r="R95" s="6"/>
      <c r="S95" s="6"/>
      <c r="T95" s="156"/>
      <c r="U95" s="6"/>
    </row>
    <row r="96" spans="1:21" customFormat="1">
      <c r="A96" s="163" t="s">
        <v>1094</v>
      </c>
      <c r="B96" s="100">
        <v>13.66</v>
      </c>
      <c r="C96" s="100">
        <v>27.17</v>
      </c>
      <c r="D96" s="100">
        <v>26.5</v>
      </c>
      <c r="E96" s="100">
        <v>9.24</v>
      </c>
      <c r="F96" s="152" t="s">
        <v>15</v>
      </c>
      <c r="G96" s="100">
        <v>117.87</v>
      </c>
      <c r="H96" s="100">
        <v>26.72</v>
      </c>
      <c r="I96" s="100">
        <v>14.45</v>
      </c>
      <c r="J96" s="100">
        <v>0.14000000000000001</v>
      </c>
      <c r="K96" s="100">
        <v>180.28</v>
      </c>
      <c r="L96" s="100">
        <v>14.07</v>
      </c>
      <c r="M96" s="100">
        <v>79.09</v>
      </c>
      <c r="N96" s="100">
        <v>1.3</v>
      </c>
      <c r="O96" s="100">
        <v>0</v>
      </c>
      <c r="P96" s="100">
        <v>1.1100000000000001</v>
      </c>
      <c r="Q96" s="100">
        <v>11.25</v>
      </c>
      <c r="R96" s="6"/>
      <c r="S96" s="6"/>
      <c r="T96" s="156"/>
      <c r="U96" s="6"/>
    </row>
    <row r="97" spans="1:28" customFormat="1">
      <c r="A97" s="163" t="s">
        <v>1095</v>
      </c>
      <c r="B97" s="100">
        <v>13.3</v>
      </c>
      <c r="C97" s="100">
        <v>26.69</v>
      </c>
      <c r="D97" s="100">
        <v>25.96</v>
      </c>
      <c r="E97" s="100">
        <v>9.2200000000000006</v>
      </c>
      <c r="F97" s="152" t="s">
        <v>15</v>
      </c>
      <c r="G97" s="100">
        <v>115.01</v>
      </c>
      <c r="H97" s="100">
        <v>29.43</v>
      </c>
      <c r="I97" s="100">
        <v>14.62</v>
      </c>
      <c r="J97" s="100">
        <v>0.14000000000000001</v>
      </c>
      <c r="K97" s="100">
        <v>169.2</v>
      </c>
      <c r="L97" s="100">
        <v>14.11</v>
      </c>
      <c r="M97" s="100">
        <v>75.040000000000006</v>
      </c>
      <c r="N97" s="100">
        <v>1</v>
      </c>
      <c r="O97" s="100">
        <v>0</v>
      </c>
      <c r="P97" s="100">
        <v>1.1100000000000001</v>
      </c>
      <c r="Q97" s="100">
        <v>11.25</v>
      </c>
      <c r="R97" s="6"/>
      <c r="S97" s="6"/>
      <c r="T97" s="156"/>
      <c r="U97" s="6"/>
    </row>
    <row r="98" spans="1:28" customFormat="1">
      <c r="A98" s="163" t="s">
        <v>1096</v>
      </c>
      <c r="B98" s="100">
        <v>12.95</v>
      </c>
      <c r="C98" s="100">
        <v>26.36</v>
      </c>
      <c r="D98" s="100">
        <v>25.51</v>
      </c>
      <c r="E98" s="100">
        <v>9.48</v>
      </c>
      <c r="F98" s="152" t="s">
        <v>15</v>
      </c>
      <c r="G98" s="100">
        <v>112.91</v>
      </c>
      <c r="H98" s="100">
        <v>30.24</v>
      </c>
      <c r="I98" s="100">
        <v>14.68</v>
      </c>
      <c r="J98" s="100">
        <v>0.13</v>
      </c>
      <c r="K98" s="100">
        <v>218.72</v>
      </c>
      <c r="L98" s="100">
        <v>14.1</v>
      </c>
      <c r="M98" s="100">
        <v>74.569999999999993</v>
      </c>
      <c r="N98" s="100">
        <v>1</v>
      </c>
      <c r="O98" s="100">
        <v>0</v>
      </c>
      <c r="P98" s="100">
        <v>1.1100000000000001</v>
      </c>
      <c r="Q98" s="100">
        <v>11.25</v>
      </c>
      <c r="R98" s="6"/>
      <c r="S98" s="6"/>
      <c r="T98" s="156"/>
      <c r="U98" s="6"/>
    </row>
    <row r="99" spans="1:28" customFormat="1">
      <c r="A99" s="163" t="s">
        <v>1097</v>
      </c>
      <c r="B99" s="100">
        <v>12.71</v>
      </c>
      <c r="C99" s="100">
        <v>26.09</v>
      </c>
      <c r="D99" s="100">
        <v>25.17</v>
      </c>
      <c r="E99" s="100">
        <v>9.2200000000000006</v>
      </c>
      <c r="F99" s="152" t="s">
        <v>15</v>
      </c>
      <c r="G99" s="100">
        <v>112.91</v>
      </c>
      <c r="H99" s="100">
        <v>30.24</v>
      </c>
      <c r="I99" s="100">
        <v>14.65</v>
      </c>
      <c r="J99" s="100">
        <v>0.14000000000000001</v>
      </c>
      <c r="K99" s="100">
        <v>180.34</v>
      </c>
      <c r="L99" s="100">
        <v>14</v>
      </c>
      <c r="M99" s="100">
        <v>73.78</v>
      </c>
      <c r="N99" s="100">
        <v>0.9</v>
      </c>
      <c r="O99" s="100">
        <v>0</v>
      </c>
      <c r="P99" s="100">
        <v>1.1200000000000001</v>
      </c>
      <c r="Q99" s="100">
        <v>11.25</v>
      </c>
      <c r="R99" s="6"/>
      <c r="S99" s="6"/>
      <c r="T99" s="156"/>
      <c r="U99" s="6"/>
    </row>
    <row r="100" spans="1:28" customFormat="1">
      <c r="A100" s="163" t="s">
        <v>1098</v>
      </c>
      <c r="B100" s="100">
        <v>13.15</v>
      </c>
      <c r="C100" s="100">
        <v>26.06</v>
      </c>
      <c r="D100" s="100">
        <v>25.51</v>
      </c>
      <c r="E100" s="100">
        <v>9.15</v>
      </c>
      <c r="F100" s="152" t="s">
        <v>15</v>
      </c>
      <c r="G100" s="100">
        <v>112.91</v>
      </c>
      <c r="H100" s="100">
        <v>30.24</v>
      </c>
      <c r="I100" s="100">
        <v>14.57</v>
      </c>
      <c r="J100" s="100">
        <v>0.21</v>
      </c>
      <c r="K100" s="100">
        <v>161.80000000000001</v>
      </c>
      <c r="L100" s="100">
        <v>13.96</v>
      </c>
      <c r="M100" s="100">
        <v>77.11</v>
      </c>
      <c r="N100" s="100">
        <v>1.1000000000000001</v>
      </c>
      <c r="O100" s="100">
        <v>0</v>
      </c>
      <c r="P100" s="100">
        <v>1.1200000000000001</v>
      </c>
      <c r="Q100" s="100">
        <v>11.25</v>
      </c>
      <c r="R100" s="6"/>
      <c r="S100" s="6"/>
      <c r="T100" s="156"/>
      <c r="U100" s="6"/>
      <c r="AB100" s="161"/>
    </row>
    <row r="101" spans="1:28" customFormat="1">
      <c r="A101" s="163" t="s">
        <v>1099</v>
      </c>
      <c r="B101" s="100">
        <v>13.85</v>
      </c>
      <c r="C101" s="100">
        <v>25.94</v>
      </c>
      <c r="D101" s="100">
        <v>26.01</v>
      </c>
      <c r="E101" s="100">
        <v>9.0399999999999991</v>
      </c>
      <c r="F101" s="152" t="s">
        <v>15</v>
      </c>
      <c r="G101" s="100">
        <v>116.77</v>
      </c>
      <c r="H101" s="100">
        <v>32.840000000000003</v>
      </c>
      <c r="I101" s="100">
        <v>14.54</v>
      </c>
      <c r="J101" s="100">
        <v>0.24</v>
      </c>
      <c r="K101" s="100">
        <v>163.01</v>
      </c>
      <c r="L101" s="100">
        <v>13.75</v>
      </c>
      <c r="M101" s="100">
        <v>79.89</v>
      </c>
      <c r="N101" s="100">
        <v>1.3</v>
      </c>
      <c r="O101" s="100">
        <v>0</v>
      </c>
      <c r="P101" s="100">
        <v>1.1299999999999999</v>
      </c>
      <c r="Q101" s="100">
        <v>11.25</v>
      </c>
      <c r="R101" s="6"/>
      <c r="S101" s="6"/>
      <c r="T101" s="156"/>
      <c r="U101" s="6"/>
    </row>
    <row r="102" spans="1:28" customFormat="1">
      <c r="A102" s="163" t="s">
        <v>1100</v>
      </c>
      <c r="B102" s="100">
        <v>15.71</v>
      </c>
      <c r="C102" s="100">
        <v>25.9</v>
      </c>
      <c r="D102" s="100">
        <v>27.49</v>
      </c>
      <c r="E102" s="100">
        <v>9.15</v>
      </c>
      <c r="F102" s="152" t="s">
        <v>15</v>
      </c>
      <c r="G102" s="100">
        <v>119.59</v>
      </c>
      <c r="H102" s="100">
        <v>33.619999999999997</v>
      </c>
      <c r="I102" s="100">
        <v>14.55</v>
      </c>
      <c r="J102" s="100">
        <v>0.16</v>
      </c>
      <c r="K102" s="100">
        <v>132.47</v>
      </c>
      <c r="L102" s="100">
        <v>13.84</v>
      </c>
      <c r="M102" s="100">
        <v>76.290000000000006</v>
      </c>
      <c r="N102" s="100">
        <v>1</v>
      </c>
      <c r="O102" s="100">
        <v>0</v>
      </c>
      <c r="P102" s="100">
        <v>1.1399999999999999</v>
      </c>
      <c r="Q102" s="100">
        <v>11.25</v>
      </c>
      <c r="R102" s="6"/>
      <c r="S102" s="6"/>
      <c r="T102" s="156"/>
      <c r="U102" s="6"/>
    </row>
    <row r="103" spans="1:28" customFormat="1">
      <c r="A103" s="163" t="s">
        <v>1101</v>
      </c>
      <c r="B103" s="100">
        <v>20.38</v>
      </c>
      <c r="C103" s="100">
        <v>26.52</v>
      </c>
      <c r="D103" s="100">
        <v>31.55</v>
      </c>
      <c r="E103" s="100">
        <v>9.32</v>
      </c>
      <c r="F103" s="152" t="s">
        <v>15</v>
      </c>
      <c r="G103" s="100">
        <v>119.59</v>
      </c>
      <c r="H103" s="100">
        <v>33.619999999999997</v>
      </c>
      <c r="I103" s="100">
        <v>14.61</v>
      </c>
      <c r="J103" s="100">
        <v>0.2</v>
      </c>
      <c r="K103" s="100">
        <v>146.79</v>
      </c>
      <c r="L103" s="100">
        <v>13.86</v>
      </c>
      <c r="M103" s="100">
        <v>75.650000000000006</v>
      </c>
      <c r="N103" s="100">
        <v>1.1000000000000001</v>
      </c>
      <c r="O103" s="100">
        <v>0</v>
      </c>
      <c r="P103" s="100">
        <v>1.17</v>
      </c>
      <c r="Q103" s="100">
        <v>11.25</v>
      </c>
      <c r="R103" s="6"/>
      <c r="S103" s="6"/>
      <c r="T103" s="156"/>
      <c r="U103" s="6"/>
    </row>
    <row r="104" spans="1:28" customFormat="1">
      <c r="A104" s="163" t="s">
        <v>1102</v>
      </c>
      <c r="B104" s="100">
        <v>26.17</v>
      </c>
      <c r="C104" s="100">
        <v>27.22</v>
      </c>
      <c r="D104" s="100">
        <v>36.56</v>
      </c>
      <c r="E104" s="100">
        <v>9.65</v>
      </c>
      <c r="F104" s="152" t="s">
        <v>15</v>
      </c>
      <c r="G104" s="100">
        <v>119.59</v>
      </c>
      <c r="H104" s="100">
        <v>33.619999999999997</v>
      </c>
      <c r="I104" s="100">
        <v>14.7</v>
      </c>
      <c r="J104" s="100">
        <v>0.13</v>
      </c>
      <c r="K104" s="100">
        <v>154.01</v>
      </c>
      <c r="L104" s="100">
        <v>13.95</v>
      </c>
      <c r="M104" s="100">
        <v>72.78</v>
      </c>
      <c r="N104" s="100">
        <v>1</v>
      </c>
      <c r="O104" s="100">
        <v>0</v>
      </c>
      <c r="P104" s="100">
        <v>1.19</v>
      </c>
      <c r="Q104" s="100">
        <v>11.25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3.93</v>
      </c>
      <c r="C106" s="158">
        <f>MIN(C9:C104)</f>
        <v>21.64</v>
      </c>
      <c r="D106" s="158">
        <f t="shared" ref="D106:Q106" si="0">MIN(D9:D104)</f>
        <v>15.81</v>
      </c>
      <c r="E106" s="158">
        <f t="shared" si="0"/>
        <v>5.89</v>
      </c>
      <c r="F106" s="158">
        <f t="shared" si="0"/>
        <v>0</v>
      </c>
      <c r="G106" s="158">
        <f t="shared" si="0"/>
        <v>39.26</v>
      </c>
      <c r="H106" s="158">
        <f t="shared" si="0"/>
        <v>18.100000000000001</v>
      </c>
      <c r="I106" s="158">
        <f t="shared" si="0"/>
        <v>8.89</v>
      </c>
      <c r="J106" s="158">
        <f t="shared" si="0"/>
        <v>0.08</v>
      </c>
      <c r="K106" s="158">
        <f t="shared" si="0"/>
        <v>10.28</v>
      </c>
      <c r="L106" s="158">
        <f t="shared" si="0"/>
        <v>11.07</v>
      </c>
      <c r="M106" s="158">
        <f t="shared" si="0"/>
        <v>19.12</v>
      </c>
      <c r="N106" s="158">
        <f t="shared" si="0"/>
        <v>0.7</v>
      </c>
      <c r="O106" s="158">
        <f t="shared" si="0"/>
        <v>0</v>
      </c>
      <c r="P106" s="158">
        <f t="shared" si="0"/>
        <v>0.59</v>
      </c>
      <c r="Q106" s="158">
        <f t="shared" si="0"/>
        <v>11.25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46.14</v>
      </c>
      <c r="C107" s="157">
        <f t="shared" ref="C107:Q107" si="1">MAX(C9:C104)</f>
        <v>30.6</v>
      </c>
      <c r="D107" s="157">
        <f t="shared" si="1"/>
        <v>51.68</v>
      </c>
      <c r="E107" s="157">
        <f t="shared" si="1"/>
        <v>11.18</v>
      </c>
      <c r="F107" s="157">
        <f t="shared" si="1"/>
        <v>0</v>
      </c>
      <c r="G107" s="157">
        <f t="shared" si="1"/>
        <v>203.78</v>
      </c>
      <c r="H107" s="157">
        <f t="shared" si="1"/>
        <v>37.33</v>
      </c>
      <c r="I107" s="157">
        <f t="shared" si="1"/>
        <v>17.5</v>
      </c>
      <c r="J107" s="157">
        <f t="shared" si="1"/>
        <v>1.06</v>
      </c>
      <c r="K107" s="157">
        <f t="shared" si="1"/>
        <v>218.72</v>
      </c>
      <c r="L107" s="157">
        <f t="shared" si="1"/>
        <v>26.74</v>
      </c>
      <c r="M107" s="157">
        <f t="shared" si="1"/>
        <v>91.08</v>
      </c>
      <c r="N107" s="157">
        <f t="shared" si="1"/>
        <v>496.8</v>
      </c>
      <c r="O107" s="157">
        <f t="shared" si="1"/>
        <v>0</v>
      </c>
      <c r="P107" s="157">
        <f t="shared" si="1"/>
        <v>1.38</v>
      </c>
      <c r="Q107" s="157">
        <f t="shared" si="1"/>
        <v>11.25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22.1753125</v>
      </c>
      <c r="C108" s="158">
        <f t="shared" ref="C108:Q108" si="2">AVERAGE(C9:C104)</f>
        <v>26.130833333333339</v>
      </c>
      <c r="D108" s="158">
        <f t="shared" si="2"/>
        <v>32.786979166666676</v>
      </c>
      <c r="E108" s="158">
        <f t="shared" si="2"/>
        <v>8.8311458333333324</v>
      </c>
      <c r="F108" s="158" t="e">
        <f t="shared" si="2"/>
        <v>#DIV/0!</v>
      </c>
      <c r="G108" s="158">
        <f t="shared" si="2"/>
        <v>97.728020833333389</v>
      </c>
      <c r="H108" s="158">
        <f t="shared" si="2"/>
        <v>28.212187499999985</v>
      </c>
      <c r="I108" s="158">
        <f t="shared" si="2"/>
        <v>13.730624999999998</v>
      </c>
      <c r="J108" s="158">
        <f t="shared" si="2"/>
        <v>0.2987499999999999</v>
      </c>
      <c r="K108" s="158">
        <f t="shared" si="2"/>
        <v>123.4340625</v>
      </c>
      <c r="L108" s="158">
        <f t="shared" si="2"/>
        <v>17.613125</v>
      </c>
      <c r="M108" s="158">
        <f t="shared" si="2"/>
        <v>58.235312499999992</v>
      </c>
      <c r="N108" s="158">
        <f t="shared" si="2"/>
        <v>94.878124999999997</v>
      </c>
      <c r="O108" s="158">
        <f t="shared" si="2"/>
        <v>0</v>
      </c>
      <c r="P108" s="158">
        <f t="shared" si="2"/>
        <v>1.0218750000000001</v>
      </c>
      <c r="Q108" s="158">
        <f t="shared" si="2"/>
        <v>11.25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13.795647593820847</v>
      </c>
      <c r="C109" s="158">
        <f t="shared" ref="C109:Q109" si="3">STDEV(C9:C104)</f>
        <v>2.3896644409520928</v>
      </c>
      <c r="D109" s="158">
        <f t="shared" si="3"/>
        <v>11.267360137260095</v>
      </c>
      <c r="E109" s="158">
        <f t="shared" si="3"/>
        <v>1.6486957331824561</v>
      </c>
      <c r="F109" s="158" t="e">
        <f t="shared" si="3"/>
        <v>#DIV/0!</v>
      </c>
      <c r="G109" s="158">
        <f t="shared" si="3"/>
        <v>36.984583463064595</v>
      </c>
      <c r="H109" s="158">
        <f t="shared" si="3"/>
        <v>5.3654934933920222</v>
      </c>
      <c r="I109" s="158">
        <f t="shared" si="3"/>
        <v>2.5255864613361014</v>
      </c>
      <c r="J109" s="158">
        <f t="shared" si="3"/>
        <v>0.19310891391020524</v>
      </c>
      <c r="K109" s="158">
        <f t="shared" si="3"/>
        <v>57.155713193790092</v>
      </c>
      <c r="L109" s="158">
        <f t="shared" si="3"/>
        <v>5.4803577125854508</v>
      </c>
      <c r="M109" s="158">
        <f t="shared" si="3"/>
        <v>25.056200911388061</v>
      </c>
      <c r="N109" s="158">
        <f t="shared" si="3"/>
        <v>159.72809475258094</v>
      </c>
      <c r="O109" s="158">
        <f t="shared" si="3"/>
        <v>0</v>
      </c>
      <c r="P109" s="158">
        <f t="shared" si="3"/>
        <v>0.21545209505400051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17"/>
  <sheetViews>
    <sheetView zoomScale="85" zoomScaleNormal="85" workbookViewId="0">
      <pane xSplit="1" ySplit="8" topLeftCell="B91" activePane="bottomRight" state="frozen"/>
      <selection pane="topRight"/>
      <selection pane="bottomLeft"/>
      <selection pane="bottomRight" activeCell="I97" sqref="I9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10/01/2025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1103</v>
      </c>
      <c r="B9" s="100">
        <v>33.020000000000003</v>
      </c>
      <c r="C9" s="100">
        <v>28.26</v>
      </c>
      <c r="D9" s="100">
        <v>42.6</v>
      </c>
      <c r="E9" s="100">
        <v>9.4600000000000009</v>
      </c>
      <c r="F9" s="152" t="s">
        <v>15</v>
      </c>
      <c r="G9" s="100">
        <v>135.36000000000001</v>
      </c>
      <c r="H9" s="100">
        <v>35.299999999999997</v>
      </c>
      <c r="I9" s="100">
        <v>14.81</v>
      </c>
      <c r="J9" s="100">
        <v>0.14000000000000001</v>
      </c>
      <c r="K9" s="100">
        <v>213.15</v>
      </c>
      <c r="L9" s="100">
        <v>13.6</v>
      </c>
      <c r="M9" s="100">
        <v>78.069999999999993</v>
      </c>
      <c r="N9" s="100">
        <v>1.3</v>
      </c>
      <c r="O9" s="100">
        <v>0</v>
      </c>
      <c r="P9" s="100">
        <v>1.22</v>
      </c>
      <c r="Q9" s="100">
        <v>11.25</v>
      </c>
      <c r="R9" s="6"/>
      <c r="S9" s="6"/>
      <c r="T9" s="156"/>
      <c r="U9" s="6"/>
    </row>
    <row r="10" spans="1:21" customFormat="1">
      <c r="A10" s="163" t="s">
        <v>1104</v>
      </c>
      <c r="B10" s="100">
        <v>35.18</v>
      </c>
      <c r="C10" s="100">
        <v>28.25</v>
      </c>
      <c r="D10" s="100">
        <v>44.32</v>
      </c>
      <c r="E10" s="100">
        <v>9.61</v>
      </c>
      <c r="F10" s="152" t="s">
        <v>15</v>
      </c>
      <c r="G10" s="100">
        <v>146.88999999999999</v>
      </c>
      <c r="H10" s="100">
        <v>35.79</v>
      </c>
      <c r="I10" s="100">
        <v>15.06</v>
      </c>
      <c r="J10" s="100">
        <v>0.13</v>
      </c>
      <c r="K10" s="100">
        <v>179.03</v>
      </c>
      <c r="L10" s="100">
        <v>13.19</v>
      </c>
      <c r="M10" s="100">
        <v>83.39</v>
      </c>
      <c r="N10" s="100">
        <v>1.4</v>
      </c>
      <c r="O10" s="100">
        <v>0</v>
      </c>
      <c r="P10" s="100">
        <v>1.23</v>
      </c>
      <c r="Q10" s="100">
        <v>11.25</v>
      </c>
      <c r="R10" s="6"/>
      <c r="S10" s="6"/>
      <c r="T10" s="156"/>
      <c r="U10" s="6"/>
    </row>
    <row r="11" spans="1:21" customFormat="1">
      <c r="A11" s="163" t="s">
        <v>1105</v>
      </c>
      <c r="B11" s="100">
        <v>37.380000000000003</v>
      </c>
      <c r="C11" s="100">
        <v>28.01</v>
      </c>
      <c r="D11" s="100">
        <v>45.96</v>
      </c>
      <c r="E11" s="100">
        <v>9.89</v>
      </c>
      <c r="F11" s="152" t="s">
        <v>15</v>
      </c>
      <c r="G11" s="100">
        <v>146.88999999999999</v>
      </c>
      <c r="H11" s="100">
        <v>35.79</v>
      </c>
      <c r="I11" s="100">
        <v>15.33</v>
      </c>
      <c r="J11" s="100">
        <v>0.14000000000000001</v>
      </c>
      <c r="K11" s="100">
        <v>174.25</v>
      </c>
      <c r="L11" s="100">
        <v>13.09</v>
      </c>
      <c r="M11" s="100">
        <v>83.29</v>
      </c>
      <c r="N11" s="100">
        <v>1.1000000000000001</v>
      </c>
      <c r="O11" s="100">
        <v>0</v>
      </c>
      <c r="P11" s="100">
        <v>1.25</v>
      </c>
      <c r="Q11" s="100">
        <v>11.25</v>
      </c>
      <c r="R11" s="6"/>
      <c r="S11" s="6"/>
      <c r="T11" s="156"/>
      <c r="U11" s="6"/>
    </row>
    <row r="12" spans="1:21" customFormat="1">
      <c r="A12" s="163" t="s">
        <v>1106</v>
      </c>
      <c r="B12" s="100">
        <v>39.53</v>
      </c>
      <c r="C12" s="100">
        <v>27.91</v>
      </c>
      <c r="D12" s="100">
        <v>47.63</v>
      </c>
      <c r="E12" s="100">
        <v>9.5</v>
      </c>
      <c r="F12" s="152" t="s">
        <v>15</v>
      </c>
      <c r="G12" s="100">
        <v>146.88999999999999</v>
      </c>
      <c r="H12" s="100">
        <v>35.79</v>
      </c>
      <c r="I12" s="100">
        <v>15.54</v>
      </c>
      <c r="J12" s="100">
        <v>0.14000000000000001</v>
      </c>
      <c r="K12" s="100">
        <v>170.48</v>
      </c>
      <c r="L12" s="100">
        <v>13.02</v>
      </c>
      <c r="M12" s="100">
        <v>83.6</v>
      </c>
      <c r="N12" s="100">
        <v>1.1000000000000001</v>
      </c>
      <c r="O12" s="100">
        <v>0</v>
      </c>
      <c r="P12" s="100">
        <v>1.26</v>
      </c>
      <c r="Q12" s="100">
        <v>11.25</v>
      </c>
      <c r="R12" s="6"/>
      <c r="S12" s="6"/>
      <c r="T12" s="156"/>
      <c r="U12" s="6"/>
    </row>
    <row r="13" spans="1:21" customFormat="1">
      <c r="A13" s="163" t="s">
        <v>1107</v>
      </c>
      <c r="B13" s="100">
        <v>40.909999999999997</v>
      </c>
      <c r="C13" s="100">
        <v>27.73</v>
      </c>
      <c r="D13" s="100">
        <v>48.65</v>
      </c>
      <c r="E13" s="100">
        <v>9.44</v>
      </c>
      <c r="F13" s="152" t="s">
        <v>15</v>
      </c>
      <c r="G13" s="100">
        <v>134.05000000000001</v>
      </c>
      <c r="H13" s="100">
        <v>36.770000000000003</v>
      </c>
      <c r="I13" s="100">
        <v>15.73</v>
      </c>
      <c r="J13" s="100">
        <v>0.19</v>
      </c>
      <c r="K13" s="100">
        <v>167.78</v>
      </c>
      <c r="L13" s="100">
        <v>12.85</v>
      </c>
      <c r="M13" s="100">
        <v>86.21</v>
      </c>
      <c r="N13" s="100">
        <v>1.2</v>
      </c>
      <c r="O13" s="100">
        <v>0</v>
      </c>
      <c r="P13" s="100">
        <v>1.25</v>
      </c>
      <c r="Q13" s="100">
        <v>11.25</v>
      </c>
      <c r="R13" s="6"/>
      <c r="S13" s="6"/>
      <c r="T13" s="156"/>
      <c r="U13" s="6"/>
    </row>
    <row r="14" spans="1:21" customFormat="1">
      <c r="A14" s="163" t="s">
        <v>1108</v>
      </c>
      <c r="B14" s="100">
        <v>41.83</v>
      </c>
      <c r="C14" s="100">
        <v>27.29</v>
      </c>
      <c r="D14" s="100">
        <v>49.15</v>
      </c>
      <c r="E14" s="100">
        <v>10.06</v>
      </c>
      <c r="F14" s="152" t="s">
        <v>15</v>
      </c>
      <c r="G14" s="100">
        <v>124.23</v>
      </c>
      <c r="H14" s="100">
        <v>37.520000000000003</v>
      </c>
      <c r="I14" s="100">
        <v>15.94</v>
      </c>
      <c r="J14" s="100">
        <v>0.28000000000000003</v>
      </c>
      <c r="K14" s="100">
        <v>184.08</v>
      </c>
      <c r="L14" s="100">
        <v>12.5</v>
      </c>
      <c r="M14" s="100">
        <v>86.86</v>
      </c>
      <c r="N14" s="100">
        <v>1.4</v>
      </c>
      <c r="O14" s="100">
        <v>0</v>
      </c>
      <c r="P14" s="100">
        <v>1.22</v>
      </c>
      <c r="Q14" s="100">
        <v>11.25</v>
      </c>
      <c r="R14" s="6"/>
      <c r="S14" s="6"/>
      <c r="T14" s="156"/>
      <c r="U14" s="6"/>
    </row>
    <row r="15" spans="1:21" customFormat="1">
      <c r="A15" s="163" t="s">
        <v>1109</v>
      </c>
      <c r="B15" s="100">
        <v>42.36</v>
      </c>
      <c r="C15" s="100">
        <v>27.29</v>
      </c>
      <c r="D15" s="100">
        <v>49.58</v>
      </c>
      <c r="E15" s="100">
        <v>9.6199999999999992</v>
      </c>
      <c r="F15" s="152" t="s">
        <v>15</v>
      </c>
      <c r="G15" s="100">
        <v>124.23</v>
      </c>
      <c r="H15" s="100">
        <v>37.520000000000003</v>
      </c>
      <c r="I15" s="100">
        <v>16.09</v>
      </c>
      <c r="J15" s="100">
        <v>7.0000000000000007E-2</v>
      </c>
      <c r="K15" s="100">
        <v>173.76</v>
      </c>
      <c r="L15" s="100">
        <v>12.28</v>
      </c>
      <c r="M15" s="100">
        <v>84.27</v>
      </c>
      <c r="N15" s="100">
        <v>1.2</v>
      </c>
      <c r="O15" s="100">
        <v>0</v>
      </c>
      <c r="P15" s="100">
        <v>1.22</v>
      </c>
      <c r="Q15" s="100">
        <v>11.25</v>
      </c>
      <c r="R15" s="6"/>
      <c r="S15" s="6"/>
      <c r="T15" s="156"/>
      <c r="U15" s="6"/>
    </row>
    <row r="16" spans="1:21" customFormat="1">
      <c r="A16" s="163" t="s">
        <v>1110</v>
      </c>
      <c r="B16" s="100">
        <v>43</v>
      </c>
      <c r="C16" s="100">
        <v>26.97</v>
      </c>
      <c r="D16" s="100">
        <v>49.93</v>
      </c>
      <c r="E16" s="100">
        <v>9.6300000000000008</v>
      </c>
      <c r="F16" s="152" t="s">
        <v>15</v>
      </c>
      <c r="G16" s="100">
        <v>124.23</v>
      </c>
      <c r="H16" s="100">
        <v>37.520000000000003</v>
      </c>
      <c r="I16" s="100">
        <v>16.23</v>
      </c>
      <c r="J16" s="100">
        <v>0.09</v>
      </c>
      <c r="K16" s="100">
        <v>190.22</v>
      </c>
      <c r="L16" s="100">
        <v>12.5</v>
      </c>
      <c r="M16" s="100">
        <v>81.17</v>
      </c>
      <c r="N16" s="100">
        <v>0.9</v>
      </c>
      <c r="O16" s="100">
        <v>0</v>
      </c>
      <c r="P16" s="100">
        <v>1.23</v>
      </c>
      <c r="Q16" s="100">
        <v>11.25</v>
      </c>
      <c r="R16" s="6"/>
      <c r="S16" s="6"/>
      <c r="T16" s="156"/>
      <c r="U16" s="6"/>
    </row>
    <row r="17" spans="1:21" customFormat="1">
      <c r="A17" s="163" t="s">
        <v>1111</v>
      </c>
      <c r="B17" s="100">
        <v>45.41</v>
      </c>
      <c r="C17" s="100">
        <v>27.13</v>
      </c>
      <c r="D17" s="100">
        <v>51.94</v>
      </c>
      <c r="E17" s="100">
        <v>8.3000000000000007</v>
      </c>
      <c r="F17" s="152" t="s">
        <v>15</v>
      </c>
      <c r="G17" s="100">
        <v>120.51</v>
      </c>
      <c r="H17" s="100">
        <v>34.200000000000003</v>
      </c>
      <c r="I17" s="100">
        <v>16.38</v>
      </c>
      <c r="J17" s="100">
        <v>0.11</v>
      </c>
      <c r="K17" s="100">
        <v>183.74</v>
      </c>
      <c r="L17" s="100">
        <v>12.58</v>
      </c>
      <c r="M17" s="100">
        <v>80.63</v>
      </c>
      <c r="N17" s="100">
        <v>1</v>
      </c>
      <c r="O17" s="100">
        <v>0</v>
      </c>
      <c r="P17" s="100">
        <v>1.22</v>
      </c>
      <c r="Q17" s="100">
        <v>11.25</v>
      </c>
      <c r="R17" s="6"/>
      <c r="S17" s="6"/>
      <c r="T17" s="156"/>
      <c r="U17" s="6"/>
    </row>
    <row r="18" spans="1:21" customFormat="1">
      <c r="A18" s="163" t="s">
        <v>1112</v>
      </c>
      <c r="B18" s="100">
        <v>48.93</v>
      </c>
      <c r="C18" s="100">
        <v>27.63</v>
      </c>
      <c r="D18" s="100">
        <v>55.03</v>
      </c>
      <c r="E18" s="100">
        <v>10.050000000000001</v>
      </c>
      <c r="F18" s="152" t="s">
        <v>15</v>
      </c>
      <c r="G18" s="100">
        <v>117.67</v>
      </c>
      <c r="H18" s="100">
        <v>33.14</v>
      </c>
      <c r="I18" s="100">
        <v>16.55</v>
      </c>
      <c r="J18" s="100">
        <v>0.09</v>
      </c>
      <c r="K18" s="100">
        <v>168.38</v>
      </c>
      <c r="L18" s="100">
        <v>12.45</v>
      </c>
      <c r="M18" s="100">
        <v>80.75</v>
      </c>
      <c r="N18" s="100">
        <v>1</v>
      </c>
      <c r="O18" s="100">
        <v>0</v>
      </c>
      <c r="P18" s="100">
        <v>1.23</v>
      </c>
      <c r="Q18" s="100">
        <v>11.25</v>
      </c>
      <c r="R18" s="6"/>
      <c r="S18" s="6"/>
      <c r="T18" s="156"/>
      <c r="U18" s="6"/>
    </row>
    <row r="19" spans="1:21" customFormat="1">
      <c r="A19" s="163" t="s">
        <v>1113</v>
      </c>
      <c r="B19" s="100">
        <v>52.85</v>
      </c>
      <c r="C19" s="100">
        <v>28.17</v>
      </c>
      <c r="D19" s="100">
        <v>58.45</v>
      </c>
      <c r="E19" s="100">
        <v>10.02</v>
      </c>
      <c r="F19" s="152" t="s">
        <v>15</v>
      </c>
      <c r="G19" s="100">
        <v>117.67</v>
      </c>
      <c r="H19" s="100">
        <v>33.14</v>
      </c>
      <c r="I19" s="100">
        <v>16.72</v>
      </c>
      <c r="J19" s="100">
        <v>0.16</v>
      </c>
      <c r="K19" s="100">
        <v>90.44</v>
      </c>
      <c r="L19" s="100">
        <v>12.64</v>
      </c>
      <c r="M19" s="100">
        <v>79.81</v>
      </c>
      <c r="N19" s="100">
        <v>0.9</v>
      </c>
      <c r="O19" s="100">
        <v>0</v>
      </c>
      <c r="P19" s="100">
        <v>1.24</v>
      </c>
      <c r="Q19" s="100">
        <v>11.25</v>
      </c>
      <c r="R19" s="6"/>
      <c r="S19" s="6"/>
      <c r="T19" s="156"/>
      <c r="U19" s="6"/>
    </row>
    <row r="20" spans="1:21" customFormat="1">
      <c r="A20" s="163" t="s">
        <v>1114</v>
      </c>
      <c r="B20" s="100">
        <v>56.07</v>
      </c>
      <c r="C20" s="100">
        <v>28.38</v>
      </c>
      <c r="D20" s="100">
        <v>61.14</v>
      </c>
      <c r="E20" s="100">
        <v>9.7799999999999994</v>
      </c>
      <c r="F20" s="152" t="s">
        <v>15</v>
      </c>
      <c r="G20" s="100">
        <v>117.67</v>
      </c>
      <c r="H20" s="100">
        <v>33.14</v>
      </c>
      <c r="I20" s="100">
        <v>16.84</v>
      </c>
      <c r="J20" s="100">
        <v>0.12</v>
      </c>
      <c r="K20" s="100">
        <v>112.55</v>
      </c>
      <c r="L20" s="100">
        <v>12.87</v>
      </c>
      <c r="M20" s="100">
        <v>77.59</v>
      </c>
      <c r="N20" s="100">
        <v>0.9</v>
      </c>
      <c r="O20" s="100">
        <v>0</v>
      </c>
      <c r="P20" s="100">
        <v>1.24</v>
      </c>
      <c r="Q20" s="100">
        <v>11.25</v>
      </c>
      <c r="R20" s="6"/>
      <c r="S20" s="6"/>
      <c r="T20" s="156"/>
      <c r="U20" s="6"/>
    </row>
    <row r="21" spans="1:21" customFormat="1">
      <c r="A21" s="163" t="s">
        <v>1115</v>
      </c>
      <c r="B21" s="100">
        <v>57</v>
      </c>
      <c r="C21" s="100">
        <v>28.41</v>
      </c>
      <c r="D21" s="100">
        <v>61.91</v>
      </c>
      <c r="E21" s="100">
        <v>9.68</v>
      </c>
      <c r="F21" s="152" t="s">
        <v>15</v>
      </c>
      <c r="G21" s="100">
        <v>120.78</v>
      </c>
      <c r="H21" s="100">
        <v>35.380000000000003</v>
      </c>
      <c r="I21" s="100">
        <v>16.98</v>
      </c>
      <c r="J21" s="100">
        <v>0.17</v>
      </c>
      <c r="K21" s="100">
        <v>182.55</v>
      </c>
      <c r="L21" s="100">
        <v>12.73</v>
      </c>
      <c r="M21" s="100">
        <v>80.73</v>
      </c>
      <c r="N21" s="100">
        <v>1.2</v>
      </c>
      <c r="O21" s="100">
        <v>0</v>
      </c>
      <c r="P21" s="100">
        <v>1.25</v>
      </c>
      <c r="Q21" s="100">
        <v>11.25</v>
      </c>
      <c r="R21" s="6"/>
      <c r="S21" s="6"/>
      <c r="T21" s="156"/>
      <c r="U21" s="6"/>
    </row>
    <row r="22" spans="1:21" customFormat="1">
      <c r="A22" s="163" t="s">
        <v>1116</v>
      </c>
      <c r="B22" s="100">
        <v>57.2</v>
      </c>
      <c r="C22" s="100">
        <v>28.24</v>
      </c>
      <c r="D22" s="100">
        <v>61.98</v>
      </c>
      <c r="E22" s="100">
        <v>10.07</v>
      </c>
      <c r="F22" s="152" t="s">
        <v>15</v>
      </c>
      <c r="G22" s="100">
        <v>123.06</v>
      </c>
      <c r="H22" s="100">
        <v>36.1</v>
      </c>
      <c r="I22" s="100">
        <v>17.2</v>
      </c>
      <c r="J22" s="100">
        <v>0.12</v>
      </c>
      <c r="K22" s="100">
        <v>126.39</v>
      </c>
      <c r="L22" s="100">
        <v>12.43</v>
      </c>
      <c r="M22" s="100">
        <v>83.52</v>
      </c>
      <c r="N22" s="100">
        <v>1.1000000000000001</v>
      </c>
      <c r="O22" s="100">
        <v>0</v>
      </c>
      <c r="P22" s="100">
        <v>1.25</v>
      </c>
      <c r="Q22" s="100">
        <v>11.25</v>
      </c>
      <c r="R22" s="6"/>
      <c r="S22" s="6"/>
      <c r="T22" s="156"/>
      <c r="U22" s="6"/>
    </row>
    <row r="23" spans="1:21" customFormat="1">
      <c r="A23" s="163" t="s">
        <v>1117</v>
      </c>
      <c r="B23" s="100">
        <v>57.37</v>
      </c>
      <c r="C23" s="100">
        <v>27.98</v>
      </c>
      <c r="D23" s="100">
        <v>61.98</v>
      </c>
      <c r="E23" s="100">
        <v>10</v>
      </c>
      <c r="F23" s="152" t="s">
        <v>15</v>
      </c>
      <c r="G23" s="100">
        <v>123.06</v>
      </c>
      <c r="H23" s="100">
        <v>36.1</v>
      </c>
      <c r="I23" s="100">
        <v>17.399999999999999</v>
      </c>
      <c r="J23" s="100">
        <v>0.15</v>
      </c>
      <c r="K23" s="100">
        <v>57.33</v>
      </c>
      <c r="L23" s="100">
        <v>12.96</v>
      </c>
      <c r="M23" s="100">
        <v>73.92</v>
      </c>
      <c r="N23" s="100">
        <v>0.6</v>
      </c>
      <c r="O23" s="100">
        <v>0</v>
      </c>
      <c r="P23" s="100">
        <v>1.24</v>
      </c>
      <c r="Q23" s="100">
        <v>11.25</v>
      </c>
      <c r="R23" s="6"/>
      <c r="S23" s="6"/>
      <c r="T23" s="156"/>
      <c r="U23" s="6"/>
    </row>
    <row r="24" spans="1:21" customFormat="1">
      <c r="A24" s="163" t="s">
        <v>1118</v>
      </c>
      <c r="B24" s="100">
        <v>56.43</v>
      </c>
      <c r="C24" s="100">
        <v>27.81</v>
      </c>
      <c r="D24" s="100">
        <v>61.13</v>
      </c>
      <c r="E24" s="100">
        <v>9.43</v>
      </c>
      <c r="F24" s="152" t="s">
        <v>15</v>
      </c>
      <c r="G24" s="100">
        <v>123.06</v>
      </c>
      <c r="H24" s="100">
        <v>36.1</v>
      </c>
      <c r="I24" s="100">
        <v>17.55</v>
      </c>
      <c r="J24" s="100">
        <v>0.12</v>
      </c>
      <c r="K24" s="100">
        <v>152.36000000000001</v>
      </c>
      <c r="L24" s="100">
        <v>12.91</v>
      </c>
      <c r="M24" s="100">
        <v>75.23</v>
      </c>
      <c r="N24" s="100">
        <v>1.1000000000000001</v>
      </c>
      <c r="O24" s="100">
        <v>0</v>
      </c>
      <c r="P24" s="100">
        <v>1.26</v>
      </c>
      <c r="Q24" s="100">
        <v>11.25</v>
      </c>
      <c r="R24" s="6"/>
      <c r="S24" s="6"/>
      <c r="T24" s="156"/>
      <c r="U24" s="6"/>
    </row>
    <row r="25" spans="1:21" customFormat="1">
      <c r="A25" s="163" t="s">
        <v>1119</v>
      </c>
      <c r="B25" s="100">
        <v>54.71</v>
      </c>
      <c r="C25" s="100">
        <v>27.67</v>
      </c>
      <c r="D25" s="100">
        <v>59.68</v>
      </c>
      <c r="E25" s="100">
        <v>9.6</v>
      </c>
      <c r="F25" s="152" t="s">
        <v>15</v>
      </c>
      <c r="G25" s="100">
        <v>120.61</v>
      </c>
      <c r="H25" s="100">
        <v>38.94</v>
      </c>
      <c r="I25" s="100">
        <v>17.72</v>
      </c>
      <c r="J25" s="100">
        <v>0.12</v>
      </c>
      <c r="K25" s="100">
        <v>174.6</v>
      </c>
      <c r="L25" s="100">
        <v>12.03</v>
      </c>
      <c r="M25" s="100">
        <v>85.25</v>
      </c>
      <c r="N25" s="100">
        <v>1.8</v>
      </c>
      <c r="O25" s="100">
        <v>0</v>
      </c>
      <c r="P25" s="100">
        <v>1.26</v>
      </c>
      <c r="Q25" s="100">
        <v>11.25</v>
      </c>
      <c r="R25" s="6"/>
      <c r="S25" s="6"/>
      <c r="T25" s="156"/>
      <c r="U25" s="6"/>
    </row>
    <row r="26" spans="1:21" customFormat="1">
      <c r="A26" s="163" t="s">
        <v>1120</v>
      </c>
      <c r="B26" s="100">
        <v>53.19</v>
      </c>
      <c r="C26" s="100">
        <v>27.33</v>
      </c>
      <c r="D26" s="100">
        <v>58.28</v>
      </c>
      <c r="E26" s="100">
        <v>9.4</v>
      </c>
      <c r="F26" s="152" t="s">
        <v>15</v>
      </c>
      <c r="G26" s="100">
        <v>118.83</v>
      </c>
      <c r="H26" s="100">
        <v>39.79</v>
      </c>
      <c r="I26" s="100">
        <v>17.86</v>
      </c>
      <c r="J26" s="100">
        <v>0.28999999999999998</v>
      </c>
      <c r="K26" s="100">
        <v>167.64</v>
      </c>
      <c r="L26" s="100">
        <v>11.82</v>
      </c>
      <c r="M26" s="100">
        <v>84.44</v>
      </c>
      <c r="N26" s="100">
        <v>1.3</v>
      </c>
      <c r="O26" s="100">
        <v>0</v>
      </c>
      <c r="P26" s="100">
        <v>1.26</v>
      </c>
      <c r="Q26" s="100">
        <v>11.25</v>
      </c>
      <c r="R26" s="6"/>
      <c r="S26" s="6"/>
      <c r="T26" s="156"/>
      <c r="U26" s="6"/>
    </row>
    <row r="27" spans="1:21" customFormat="1">
      <c r="A27" s="163" t="s">
        <v>1121</v>
      </c>
      <c r="B27" s="100">
        <v>51.84</v>
      </c>
      <c r="C27" s="100">
        <v>26.88</v>
      </c>
      <c r="D27" s="100">
        <v>56.96</v>
      </c>
      <c r="E27" s="100">
        <v>9.6199999999999992</v>
      </c>
      <c r="F27" s="152" t="s">
        <v>15</v>
      </c>
      <c r="G27" s="100">
        <v>118.83</v>
      </c>
      <c r="H27" s="100">
        <v>39.79</v>
      </c>
      <c r="I27" s="100">
        <v>17.920000000000002</v>
      </c>
      <c r="J27" s="100">
        <v>0.21</v>
      </c>
      <c r="K27" s="100">
        <v>198</v>
      </c>
      <c r="L27" s="100">
        <v>11.17</v>
      </c>
      <c r="M27" s="100">
        <v>87.13</v>
      </c>
      <c r="N27" s="100">
        <v>1.7</v>
      </c>
      <c r="O27" s="100">
        <v>0</v>
      </c>
      <c r="P27" s="100">
        <v>1.26</v>
      </c>
      <c r="Q27" s="100">
        <v>11.25</v>
      </c>
      <c r="R27" s="6"/>
      <c r="S27" s="6"/>
      <c r="T27" s="156"/>
      <c r="U27" s="6"/>
    </row>
    <row r="28" spans="1:21" customFormat="1">
      <c r="A28" s="163" t="s">
        <v>1122</v>
      </c>
      <c r="B28" s="100">
        <v>49.66</v>
      </c>
      <c r="C28" s="100">
        <v>26.44</v>
      </c>
      <c r="D28" s="100">
        <v>54.99</v>
      </c>
      <c r="E28" s="100">
        <v>9.4700000000000006</v>
      </c>
      <c r="F28" s="152" t="s">
        <v>15</v>
      </c>
      <c r="G28" s="100">
        <v>118.83</v>
      </c>
      <c r="H28" s="100">
        <v>39.79</v>
      </c>
      <c r="I28" s="100">
        <v>18</v>
      </c>
      <c r="J28" s="100">
        <v>0.08</v>
      </c>
      <c r="K28" s="100">
        <v>190.19</v>
      </c>
      <c r="L28" s="100">
        <v>10.85</v>
      </c>
      <c r="M28" s="100">
        <v>88.09</v>
      </c>
      <c r="N28" s="100">
        <v>1.3</v>
      </c>
      <c r="O28" s="100">
        <v>0</v>
      </c>
      <c r="P28" s="100">
        <v>1.25</v>
      </c>
      <c r="Q28" s="100">
        <v>11.25</v>
      </c>
      <c r="R28" s="6"/>
      <c r="S28" s="6"/>
      <c r="T28" s="156"/>
      <c r="U28" s="6"/>
    </row>
    <row r="29" spans="1:21" customFormat="1">
      <c r="A29" s="163" t="s">
        <v>1123</v>
      </c>
      <c r="B29" s="100">
        <v>47.88</v>
      </c>
      <c r="C29" s="100">
        <v>26.25</v>
      </c>
      <c r="D29" s="100">
        <v>53.46</v>
      </c>
      <c r="E29" s="100">
        <v>9.25</v>
      </c>
      <c r="F29" s="152" t="s">
        <v>15</v>
      </c>
      <c r="G29" s="100">
        <v>119.32</v>
      </c>
      <c r="H29" s="100">
        <v>37.83</v>
      </c>
      <c r="I29" s="100">
        <v>18.07</v>
      </c>
      <c r="J29" s="100">
        <v>0.18</v>
      </c>
      <c r="K29" s="100">
        <v>206.28</v>
      </c>
      <c r="L29" s="100">
        <v>11.09</v>
      </c>
      <c r="M29" s="100">
        <v>85.47</v>
      </c>
      <c r="N29" s="100">
        <v>0.9</v>
      </c>
      <c r="O29" s="100">
        <v>0</v>
      </c>
      <c r="P29" s="100">
        <v>1.23</v>
      </c>
      <c r="Q29" s="100">
        <v>11.25</v>
      </c>
      <c r="R29" s="6"/>
      <c r="S29" s="6"/>
      <c r="T29" s="156"/>
      <c r="U29" s="6"/>
    </row>
    <row r="30" spans="1:21" customFormat="1">
      <c r="A30" s="163" t="s">
        <v>1124</v>
      </c>
      <c r="B30" s="100">
        <v>46.68</v>
      </c>
      <c r="C30" s="100">
        <v>26.11</v>
      </c>
      <c r="D30" s="100">
        <v>52.42</v>
      </c>
      <c r="E30" s="100">
        <v>9.56</v>
      </c>
      <c r="F30" s="152" t="s">
        <v>15</v>
      </c>
      <c r="G30" s="100">
        <v>119.68</v>
      </c>
      <c r="H30" s="100">
        <v>37.200000000000003</v>
      </c>
      <c r="I30" s="100">
        <v>17.98</v>
      </c>
      <c r="J30" s="100">
        <v>0.08</v>
      </c>
      <c r="K30" s="100">
        <v>55.55</v>
      </c>
      <c r="L30" s="100">
        <v>10.97</v>
      </c>
      <c r="M30" s="100">
        <v>86.58</v>
      </c>
      <c r="N30" s="100">
        <v>1</v>
      </c>
      <c r="O30" s="100">
        <v>0</v>
      </c>
      <c r="P30" s="100">
        <v>1.23</v>
      </c>
      <c r="Q30" s="100">
        <v>11.25</v>
      </c>
      <c r="R30" s="6"/>
      <c r="S30" s="6"/>
      <c r="T30" s="156"/>
      <c r="U30" s="6"/>
    </row>
    <row r="31" spans="1:21" customFormat="1">
      <c r="A31" s="163" t="s">
        <v>1125</v>
      </c>
      <c r="B31" s="100">
        <v>48.79</v>
      </c>
      <c r="C31" s="100">
        <v>26.33</v>
      </c>
      <c r="D31" s="100">
        <v>54.24</v>
      </c>
      <c r="E31" s="100">
        <v>9.5500000000000007</v>
      </c>
      <c r="F31" s="152" t="s">
        <v>15</v>
      </c>
      <c r="G31" s="100">
        <v>119.68</v>
      </c>
      <c r="H31" s="100">
        <v>37.200000000000003</v>
      </c>
      <c r="I31" s="100">
        <v>17.78</v>
      </c>
      <c r="J31" s="100">
        <v>0.16</v>
      </c>
      <c r="K31" s="100">
        <v>97.14</v>
      </c>
      <c r="L31" s="100">
        <v>11.3</v>
      </c>
      <c r="M31" s="100">
        <v>83.45</v>
      </c>
      <c r="N31" s="100">
        <v>0.9</v>
      </c>
      <c r="O31" s="100">
        <v>0</v>
      </c>
      <c r="P31" s="100">
        <v>1.22</v>
      </c>
      <c r="Q31" s="100">
        <v>11.25</v>
      </c>
      <c r="R31" s="6"/>
      <c r="S31" s="6"/>
      <c r="T31" s="156"/>
      <c r="U31" s="6"/>
    </row>
    <row r="32" spans="1:21" customFormat="1">
      <c r="A32" s="163" t="s">
        <v>1126</v>
      </c>
      <c r="B32" s="100">
        <v>51.77</v>
      </c>
      <c r="C32" s="100">
        <v>26.71</v>
      </c>
      <c r="D32" s="100">
        <v>56.82</v>
      </c>
      <c r="E32" s="100">
        <v>9.4600000000000009</v>
      </c>
      <c r="F32" s="152" t="s">
        <v>15</v>
      </c>
      <c r="G32" s="100">
        <v>119.68</v>
      </c>
      <c r="H32" s="100">
        <v>37.200000000000003</v>
      </c>
      <c r="I32" s="100">
        <v>17.63</v>
      </c>
      <c r="J32" s="100">
        <v>0.26</v>
      </c>
      <c r="K32" s="100">
        <v>168.36</v>
      </c>
      <c r="L32" s="100">
        <v>11.31</v>
      </c>
      <c r="M32" s="100">
        <v>85.6</v>
      </c>
      <c r="N32" s="100">
        <v>1.1000000000000001</v>
      </c>
      <c r="O32" s="100">
        <v>0</v>
      </c>
      <c r="P32" s="100">
        <v>1.22</v>
      </c>
      <c r="Q32" s="100">
        <v>11.25</v>
      </c>
      <c r="R32" s="6"/>
      <c r="S32" s="6"/>
      <c r="T32" s="156"/>
      <c r="U32" s="6"/>
    </row>
    <row r="33" spans="1:21" customFormat="1">
      <c r="A33" s="163" t="s">
        <v>1127</v>
      </c>
      <c r="B33" s="100">
        <v>52.33</v>
      </c>
      <c r="C33" s="100">
        <v>26.4</v>
      </c>
      <c r="D33" s="100">
        <v>57.11</v>
      </c>
      <c r="E33" s="100">
        <v>9.4499999999999993</v>
      </c>
      <c r="F33" s="152" t="s">
        <v>15</v>
      </c>
      <c r="G33" s="100">
        <v>116.76</v>
      </c>
      <c r="H33" s="100">
        <v>37.409999999999997</v>
      </c>
      <c r="I33" s="100">
        <v>17.54</v>
      </c>
      <c r="J33" s="100">
        <v>0.21</v>
      </c>
      <c r="K33" s="100">
        <v>211.83</v>
      </c>
      <c r="L33" s="100">
        <v>10.6</v>
      </c>
      <c r="M33" s="100">
        <v>90.78</v>
      </c>
      <c r="N33" s="100">
        <v>1.7</v>
      </c>
      <c r="O33" s="100">
        <v>0</v>
      </c>
      <c r="P33" s="100">
        <v>1.22</v>
      </c>
      <c r="Q33" s="100">
        <v>11.25</v>
      </c>
      <c r="R33" s="6"/>
      <c r="S33" s="6"/>
      <c r="T33" s="156"/>
      <c r="U33" s="6"/>
    </row>
    <row r="34" spans="1:21" customFormat="1">
      <c r="A34" s="163" t="s">
        <v>1128</v>
      </c>
      <c r="B34" s="100">
        <v>50.83</v>
      </c>
      <c r="C34" s="100">
        <v>25.85</v>
      </c>
      <c r="D34" s="100">
        <v>55.62</v>
      </c>
      <c r="E34" s="100">
        <v>9.65</v>
      </c>
      <c r="F34" s="152" t="s">
        <v>15</v>
      </c>
      <c r="G34" s="100">
        <v>114.63</v>
      </c>
      <c r="H34" s="100">
        <v>37.47</v>
      </c>
      <c r="I34" s="100">
        <v>17.489999999999998</v>
      </c>
      <c r="J34" s="100">
        <v>0.12</v>
      </c>
      <c r="K34" s="100">
        <v>214.97</v>
      </c>
      <c r="L34" s="100">
        <v>10.16</v>
      </c>
      <c r="M34" s="100">
        <v>92.42</v>
      </c>
      <c r="N34" s="100">
        <v>2.6</v>
      </c>
      <c r="O34" s="100">
        <v>0</v>
      </c>
      <c r="P34" s="100">
        <v>1.25</v>
      </c>
      <c r="Q34" s="100">
        <v>11.25</v>
      </c>
      <c r="R34" s="6"/>
      <c r="S34" s="6"/>
      <c r="T34" s="156"/>
      <c r="U34" s="6"/>
    </row>
    <row r="35" spans="1:21" customFormat="1">
      <c r="A35" s="163" t="s">
        <v>1129</v>
      </c>
      <c r="B35" s="100">
        <v>48.63</v>
      </c>
      <c r="C35" s="100">
        <v>25.44</v>
      </c>
      <c r="D35" s="100">
        <v>53.64</v>
      </c>
      <c r="E35" s="100">
        <v>9.19</v>
      </c>
      <c r="F35" s="152" t="s">
        <v>15</v>
      </c>
      <c r="G35" s="100">
        <v>114.63</v>
      </c>
      <c r="H35" s="100">
        <v>37.47</v>
      </c>
      <c r="I35" s="100">
        <v>17.47</v>
      </c>
      <c r="J35" s="100">
        <v>0.09</v>
      </c>
      <c r="K35" s="100">
        <v>211.42</v>
      </c>
      <c r="L35" s="100">
        <v>10.15</v>
      </c>
      <c r="M35" s="100">
        <v>92.61</v>
      </c>
      <c r="N35" s="100">
        <v>6.1</v>
      </c>
      <c r="O35" s="100">
        <v>0</v>
      </c>
      <c r="P35" s="100">
        <v>1.24</v>
      </c>
      <c r="Q35" s="100">
        <v>11.25</v>
      </c>
      <c r="R35" s="6"/>
      <c r="S35" s="6"/>
      <c r="T35" s="156"/>
      <c r="U35" s="6"/>
    </row>
    <row r="36" spans="1:21" customFormat="1">
      <c r="A36" s="163" t="s">
        <v>1130</v>
      </c>
      <c r="B36" s="100">
        <v>46.76</v>
      </c>
      <c r="C36" s="100">
        <v>24.91</v>
      </c>
      <c r="D36" s="100">
        <v>51.87</v>
      </c>
      <c r="E36" s="100">
        <v>9.42</v>
      </c>
      <c r="F36" s="152" t="s">
        <v>15</v>
      </c>
      <c r="G36" s="100">
        <v>114.63</v>
      </c>
      <c r="H36" s="100">
        <v>37.47</v>
      </c>
      <c r="I36" s="100">
        <v>17.39</v>
      </c>
      <c r="J36" s="100">
        <v>0.13</v>
      </c>
      <c r="K36" s="100">
        <v>216.74</v>
      </c>
      <c r="L36" s="100">
        <v>10.52</v>
      </c>
      <c r="M36" s="100">
        <v>93</v>
      </c>
      <c r="N36" s="100">
        <v>12</v>
      </c>
      <c r="O36" s="100">
        <v>0</v>
      </c>
      <c r="P36" s="100">
        <v>1.24</v>
      </c>
      <c r="Q36" s="100">
        <v>11.25</v>
      </c>
      <c r="R36" s="6"/>
      <c r="S36" s="6"/>
      <c r="T36" s="156"/>
      <c r="U36" s="6"/>
    </row>
    <row r="37" spans="1:21" customFormat="1">
      <c r="A37" s="163" t="s">
        <v>1131</v>
      </c>
      <c r="B37" s="100">
        <v>45.22</v>
      </c>
      <c r="C37" s="100">
        <v>24.53</v>
      </c>
      <c r="D37" s="100">
        <v>50.43</v>
      </c>
      <c r="E37" s="100">
        <v>9.15</v>
      </c>
      <c r="F37" s="152" t="s">
        <v>15</v>
      </c>
      <c r="G37" s="100">
        <v>104.63</v>
      </c>
      <c r="H37" s="100">
        <v>35.659999999999997</v>
      </c>
      <c r="I37" s="100">
        <v>17.309999999999999</v>
      </c>
      <c r="J37" s="100">
        <v>0.05</v>
      </c>
      <c r="K37" s="100">
        <v>147.02000000000001</v>
      </c>
      <c r="L37" s="100">
        <v>10.91</v>
      </c>
      <c r="M37" s="100">
        <v>93.81</v>
      </c>
      <c r="N37" s="100">
        <v>20.6</v>
      </c>
      <c r="O37" s="100">
        <v>0</v>
      </c>
      <c r="P37" s="100">
        <v>1.22</v>
      </c>
      <c r="Q37" s="100">
        <v>11.25</v>
      </c>
      <c r="R37" s="6"/>
      <c r="S37" s="6"/>
      <c r="T37" s="156"/>
      <c r="U37" s="6"/>
    </row>
    <row r="38" spans="1:21" customFormat="1">
      <c r="A38" s="163" t="s">
        <v>1132</v>
      </c>
      <c r="B38" s="100">
        <v>45.47</v>
      </c>
      <c r="C38" s="100">
        <v>24.46</v>
      </c>
      <c r="D38" s="100">
        <v>50.59</v>
      </c>
      <c r="E38" s="100">
        <v>9.4600000000000009</v>
      </c>
      <c r="F38" s="152" t="s">
        <v>15</v>
      </c>
      <c r="G38" s="100">
        <v>96.98</v>
      </c>
      <c r="H38" s="100">
        <v>34.58</v>
      </c>
      <c r="I38" s="100">
        <v>17.260000000000002</v>
      </c>
      <c r="J38" s="100">
        <v>0.15</v>
      </c>
      <c r="K38" s="100">
        <v>141</v>
      </c>
      <c r="L38" s="100">
        <v>11.66</v>
      </c>
      <c r="M38" s="100">
        <v>87.02</v>
      </c>
      <c r="N38" s="100">
        <v>29.3</v>
      </c>
      <c r="O38" s="100">
        <v>0</v>
      </c>
      <c r="P38" s="100">
        <v>1.22</v>
      </c>
      <c r="Q38" s="100">
        <v>11.25</v>
      </c>
      <c r="R38" s="6"/>
      <c r="S38" s="6"/>
      <c r="T38" s="156"/>
      <c r="U38" s="6"/>
    </row>
    <row r="39" spans="1:21" customFormat="1">
      <c r="A39" s="163" t="s">
        <v>1133</v>
      </c>
      <c r="B39" s="100">
        <v>47.18</v>
      </c>
      <c r="C39" s="100">
        <v>25.02</v>
      </c>
      <c r="D39" s="100">
        <v>52.26</v>
      </c>
      <c r="E39" s="100">
        <v>9.18</v>
      </c>
      <c r="F39" s="152" t="s">
        <v>15</v>
      </c>
      <c r="G39" s="100">
        <v>96.98</v>
      </c>
      <c r="H39" s="100">
        <v>34.58</v>
      </c>
      <c r="I39" s="100">
        <v>17.22</v>
      </c>
      <c r="J39" s="100">
        <v>0.3</v>
      </c>
      <c r="K39" s="100">
        <v>60.86</v>
      </c>
      <c r="L39" s="100">
        <v>13.11</v>
      </c>
      <c r="M39" s="100">
        <v>71.989999999999995</v>
      </c>
      <c r="N39" s="100">
        <v>38</v>
      </c>
      <c r="O39" s="100">
        <v>0</v>
      </c>
      <c r="P39" s="100">
        <v>1.25</v>
      </c>
      <c r="Q39" s="100">
        <v>11.25</v>
      </c>
      <c r="R39" s="6"/>
      <c r="S39" s="6"/>
      <c r="T39" s="156"/>
      <c r="U39" s="6"/>
    </row>
    <row r="40" spans="1:21" customFormat="1">
      <c r="A40" s="163" t="s">
        <v>1134</v>
      </c>
      <c r="B40" s="100">
        <v>46.89</v>
      </c>
      <c r="C40" s="100">
        <v>25.87</v>
      </c>
      <c r="D40" s="100">
        <v>52.47</v>
      </c>
      <c r="E40" s="100">
        <v>9.23</v>
      </c>
      <c r="F40" s="152" t="s">
        <v>15</v>
      </c>
      <c r="G40" s="100">
        <v>96.98</v>
      </c>
      <c r="H40" s="100">
        <v>34.58</v>
      </c>
      <c r="I40" s="100">
        <v>17.48</v>
      </c>
      <c r="J40" s="100">
        <v>0.77</v>
      </c>
      <c r="K40" s="100">
        <v>52.6</v>
      </c>
      <c r="L40" s="100">
        <v>14.47</v>
      </c>
      <c r="M40" s="100">
        <v>62.12</v>
      </c>
      <c r="N40" s="100">
        <v>52.7</v>
      </c>
      <c r="O40" s="100">
        <v>0</v>
      </c>
      <c r="P40" s="100">
        <v>1.27</v>
      </c>
      <c r="Q40" s="100">
        <v>11.25</v>
      </c>
      <c r="R40" s="6"/>
      <c r="S40" s="6"/>
      <c r="T40" s="156"/>
      <c r="U40" s="6"/>
    </row>
    <row r="41" spans="1:21" customFormat="1">
      <c r="A41" s="163" t="s">
        <v>1135</v>
      </c>
      <c r="B41" s="100">
        <v>45.15</v>
      </c>
      <c r="C41" s="100">
        <v>27.19</v>
      </c>
      <c r="D41" s="100">
        <v>51.77</v>
      </c>
      <c r="E41" s="100">
        <v>9.39</v>
      </c>
      <c r="F41" s="152" t="s">
        <v>15</v>
      </c>
      <c r="G41" s="100">
        <v>113.49</v>
      </c>
      <c r="H41" s="100">
        <v>33.86</v>
      </c>
      <c r="I41" s="100">
        <v>18.489999999999998</v>
      </c>
      <c r="J41" s="100">
        <v>0.85</v>
      </c>
      <c r="K41" s="100">
        <v>54.7</v>
      </c>
      <c r="L41" s="100">
        <v>15.34</v>
      </c>
      <c r="M41" s="100">
        <v>57.71</v>
      </c>
      <c r="N41" s="100">
        <v>175.6</v>
      </c>
      <c r="O41" s="100">
        <v>0</v>
      </c>
      <c r="P41" s="100">
        <v>1.28</v>
      </c>
      <c r="Q41" s="100">
        <v>11.25</v>
      </c>
      <c r="R41" s="6"/>
      <c r="S41" s="6"/>
      <c r="T41" s="156"/>
      <c r="U41" s="6"/>
    </row>
    <row r="42" spans="1:21" customFormat="1">
      <c r="A42" s="163" t="s">
        <v>1136</v>
      </c>
      <c r="B42" s="100">
        <v>42.57</v>
      </c>
      <c r="C42" s="100">
        <v>28.14</v>
      </c>
      <c r="D42" s="100">
        <v>50.19</v>
      </c>
      <c r="E42" s="100">
        <v>9.2200000000000006</v>
      </c>
      <c r="F42" s="152" t="s">
        <v>15</v>
      </c>
      <c r="G42" s="100">
        <v>125.56</v>
      </c>
      <c r="H42" s="100">
        <v>33.65</v>
      </c>
      <c r="I42" s="100">
        <v>20.28</v>
      </c>
      <c r="J42" s="100">
        <v>0.52</v>
      </c>
      <c r="K42" s="100">
        <v>71.06</v>
      </c>
      <c r="L42" s="100">
        <v>16.38</v>
      </c>
      <c r="M42" s="100">
        <v>53.98</v>
      </c>
      <c r="N42" s="100">
        <v>210.8</v>
      </c>
      <c r="O42" s="100">
        <v>0</v>
      </c>
      <c r="P42" s="100">
        <v>1.25</v>
      </c>
      <c r="Q42" s="100">
        <v>11.25</v>
      </c>
      <c r="R42" s="6"/>
      <c r="S42" s="6"/>
      <c r="T42" s="156"/>
      <c r="U42" s="6"/>
    </row>
    <row r="43" spans="1:21" customFormat="1">
      <c r="A43" s="163" t="s">
        <v>1137</v>
      </c>
      <c r="B43" s="100">
        <v>39.35</v>
      </c>
      <c r="C43" s="100">
        <v>28.97</v>
      </c>
      <c r="D43" s="100">
        <v>48.05</v>
      </c>
      <c r="E43" s="100">
        <v>9.52</v>
      </c>
      <c r="F43" s="152" t="s">
        <v>15</v>
      </c>
      <c r="G43" s="100">
        <v>125.56</v>
      </c>
      <c r="H43" s="100">
        <v>33.65</v>
      </c>
      <c r="I43" s="100">
        <v>21.31</v>
      </c>
      <c r="J43" s="100">
        <v>0.65</v>
      </c>
      <c r="K43" s="100">
        <v>54.68</v>
      </c>
      <c r="L43" s="100">
        <v>17.47</v>
      </c>
      <c r="M43" s="100">
        <v>50.96</v>
      </c>
      <c r="N43" s="100">
        <v>186.8</v>
      </c>
      <c r="O43" s="100">
        <v>0</v>
      </c>
      <c r="P43" s="100">
        <v>1.23</v>
      </c>
      <c r="Q43" s="100">
        <v>11.25</v>
      </c>
      <c r="R43" s="6"/>
      <c r="S43" s="6"/>
      <c r="T43" s="156"/>
      <c r="U43" s="6"/>
    </row>
    <row r="44" spans="1:21" customFormat="1">
      <c r="A44" s="163" t="s">
        <v>1138</v>
      </c>
      <c r="B44" s="100">
        <v>36.340000000000003</v>
      </c>
      <c r="C44" s="100">
        <v>29.44</v>
      </c>
      <c r="D44" s="100">
        <v>45.88</v>
      </c>
      <c r="E44" s="100">
        <v>9.92</v>
      </c>
      <c r="F44" s="152" t="s">
        <v>15</v>
      </c>
      <c r="G44" s="100">
        <v>125.56</v>
      </c>
      <c r="H44" s="100">
        <v>33.65</v>
      </c>
      <c r="I44" s="100">
        <v>21.32</v>
      </c>
      <c r="J44" s="100">
        <v>0.56999999999999995</v>
      </c>
      <c r="K44" s="100">
        <v>62.89</v>
      </c>
      <c r="L44" s="100">
        <v>18.600000000000001</v>
      </c>
      <c r="M44" s="100">
        <v>48.07</v>
      </c>
      <c r="N44" s="100">
        <v>277.2</v>
      </c>
      <c r="O44" s="100">
        <v>0</v>
      </c>
      <c r="P44" s="100">
        <v>1.22</v>
      </c>
      <c r="Q44" s="100">
        <v>11.25</v>
      </c>
      <c r="R44" s="6"/>
      <c r="S44" s="6"/>
      <c r="T44" s="156"/>
      <c r="U44" s="6"/>
    </row>
    <row r="45" spans="1:21" customFormat="1">
      <c r="A45" s="163" t="s">
        <v>1139</v>
      </c>
      <c r="B45" s="100">
        <v>33.47</v>
      </c>
      <c r="C45" s="100">
        <v>29.73</v>
      </c>
      <c r="D45" s="100">
        <v>43.72</v>
      </c>
      <c r="E45" s="100">
        <v>10.16</v>
      </c>
      <c r="F45" s="152" t="s">
        <v>15</v>
      </c>
      <c r="G45" s="100">
        <v>123.3</v>
      </c>
      <c r="H45" s="100">
        <v>34.17</v>
      </c>
      <c r="I45" s="100">
        <v>21.43</v>
      </c>
      <c r="J45" s="100">
        <v>0.68</v>
      </c>
      <c r="K45" s="100">
        <v>62.9</v>
      </c>
      <c r="L45" s="100">
        <v>19.420000000000002</v>
      </c>
      <c r="M45" s="100">
        <v>46.19</v>
      </c>
      <c r="N45" s="100">
        <v>192.2</v>
      </c>
      <c r="O45" s="100">
        <v>0</v>
      </c>
      <c r="P45" s="100">
        <v>1.2</v>
      </c>
      <c r="Q45" s="100">
        <v>11.25</v>
      </c>
      <c r="R45" s="6"/>
      <c r="S45" s="6"/>
      <c r="T45" s="156"/>
      <c r="U45" s="6"/>
    </row>
    <row r="46" spans="1:21" customFormat="1">
      <c r="A46" s="163" t="s">
        <v>1140</v>
      </c>
      <c r="B46" s="100">
        <v>31.06</v>
      </c>
      <c r="C46" s="100">
        <v>29.75</v>
      </c>
      <c r="D46" s="100">
        <v>41.8</v>
      </c>
      <c r="E46" s="100">
        <v>10.01</v>
      </c>
      <c r="F46" s="152" t="s">
        <v>15</v>
      </c>
      <c r="G46" s="100">
        <v>121.64</v>
      </c>
      <c r="H46" s="100">
        <v>34.33</v>
      </c>
      <c r="I46" s="100">
        <v>21.36</v>
      </c>
      <c r="J46" s="100">
        <v>0.39</v>
      </c>
      <c r="K46" s="100">
        <v>88.83</v>
      </c>
      <c r="L46" s="100">
        <v>20.51</v>
      </c>
      <c r="M46" s="100">
        <v>43.69</v>
      </c>
      <c r="N46" s="100">
        <v>126</v>
      </c>
      <c r="O46" s="100">
        <v>0</v>
      </c>
      <c r="P46" s="100">
        <v>1.18</v>
      </c>
      <c r="Q46" s="100">
        <v>11.25</v>
      </c>
      <c r="R46" s="6"/>
      <c r="S46" s="6"/>
      <c r="T46" s="156"/>
      <c r="U46" s="6"/>
    </row>
    <row r="47" spans="1:21" customFormat="1">
      <c r="A47" s="163" t="s">
        <v>1141</v>
      </c>
      <c r="B47" s="100">
        <v>28.88</v>
      </c>
      <c r="C47" s="100">
        <v>29.54</v>
      </c>
      <c r="D47" s="100">
        <v>39.94</v>
      </c>
      <c r="E47" s="100">
        <v>9.75</v>
      </c>
      <c r="F47" s="152" t="s">
        <v>15</v>
      </c>
      <c r="G47" s="100">
        <v>121.64</v>
      </c>
      <c r="H47" s="100">
        <v>34.33</v>
      </c>
      <c r="I47" s="100">
        <v>20.87</v>
      </c>
      <c r="J47" s="100">
        <v>0.47</v>
      </c>
      <c r="K47" s="100">
        <v>77.53</v>
      </c>
      <c r="L47" s="100">
        <v>21.28</v>
      </c>
      <c r="M47" s="100">
        <v>41.88</v>
      </c>
      <c r="N47" s="100">
        <v>157.5</v>
      </c>
      <c r="O47" s="100">
        <v>0</v>
      </c>
      <c r="P47" s="100">
        <v>1.1499999999999999</v>
      </c>
      <c r="Q47" s="100">
        <v>11.25</v>
      </c>
      <c r="R47" s="6"/>
      <c r="S47" s="6"/>
      <c r="T47" s="156"/>
      <c r="U47" s="6"/>
    </row>
    <row r="48" spans="1:21" customFormat="1">
      <c r="A48" s="163" t="s">
        <v>1142</v>
      </c>
      <c r="B48" s="100">
        <v>26.8</v>
      </c>
      <c r="C48" s="100">
        <v>29.36</v>
      </c>
      <c r="D48" s="100">
        <v>38.18</v>
      </c>
      <c r="E48" s="100">
        <v>9.68</v>
      </c>
      <c r="F48" s="152" t="s">
        <v>15</v>
      </c>
      <c r="G48" s="100">
        <v>121.64</v>
      </c>
      <c r="H48" s="100">
        <v>34.33</v>
      </c>
      <c r="I48" s="100">
        <v>20.34</v>
      </c>
      <c r="J48" s="100">
        <v>0.46</v>
      </c>
      <c r="K48" s="100">
        <v>75.790000000000006</v>
      </c>
      <c r="L48" s="100">
        <v>22.01</v>
      </c>
      <c r="M48" s="100">
        <v>39.92</v>
      </c>
      <c r="N48" s="100">
        <v>304.5</v>
      </c>
      <c r="O48" s="100">
        <v>0</v>
      </c>
      <c r="P48" s="100">
        <v>1.1399999999999999</v>
      </c>
      <c r="Q48" s="100">
        <v>11.25</v>
      </c>
      <c r="R48" s="6"/>
      <c r="S48" s="6"/>
      <c r="T48" s="156"/>
      <c r="U48" s="6"/>
    </row>
    <row r="49" spans="1:21" customFormat="1">
      <c r="A49" s="163" t="s">
        <v>1143</v>
      </c>
      <c r="B49" s="100">
        <v>24.82</v>
      </c>
      <c r="C49" s="100">
        <v>29.02</v>
      </c>
      <c r="D49" s="100">
        <v>36.42</v>
      </c>
      <c r="E49" s="100">
        <v>6.69</v>
      </c>
      <c r="F49" s="152" t="s">
        <v>15</v>
      </c>
      <c r="G49" s="100">
        <v>113.36</v>
      </c>
      <c r="H49" s="100">
        <v>33.450000000000003</v>
      </c>
      <c r="I49" s="100">
        <v>19.88</v>
      </c>
      <c r="J49" s="100">
        <v>0.37</v>
      </c>
      <c r="K49" s="100">
        <v>125.98</v>
      </c>
      <c r="L49" s="100">
        <v>22.67</v>
      </c>
      <c r="M49" s="100">
        <v>37.97</v>
      </c>
      <c r="N49" s="100">
        <v>400.9</v>
      </c>
      <c r="O49" s="100">
        <v>0</v>
      </c>
      <c r="P49" s="100">
        <v>1.1299999999999999</v>
      </c>
      <c r="Q49" s="100">
        <v>11.25</v>
      </c>
      <c r="R49" s="6"/>
      <c r="S49" s="6"/>
      <c r="T49" s="156"/>
      <c r="U49" s="6"/>
    </row>
    <row r="50" spans="1:21" customFormat="1">
      <c r="A50" s="163" t="s">
        <v>1144</v>
      </c>
      <c r="B50" s="100">
        <v>22.72</v>
      </c>
      <c r="C50" s="100">
        <v>28.7</v>
      </c>
      <c r="D50" s="100">
        <v>34.57</v>
      </c>
      <c r="E50" s="100">
        <v>8.34</v>
      </c>
      <c r="F50" s="152" t="s">
        <v>15</v>
      </c>
      <c r="G50" s="100">
        <v>107.31</v>
      </c>
      <c r="H50" s="100">
        <v>33.19</v>
      </c>
      <c r="I50" s="100">
        <v>19.399999999999999</v>
      </c>
      <c r="J50" s="100">
        <v>0.35</v>
      </c>
      <c r="K50" s="100">
        <v>112.55</v>
      </c>
      <c r="L50" s="100">
        <v>23.46</v>
      </c>
      <c r="M50" s="100">
        <v>36.409999999999997</v>
      </c>
      <c r="N50" s="100">
        <v>408.1</v>
      </c>
      <c r="O50" s="100">
        <v>0</v>
      </c>
      <c r="P50" s="100">
        <v>1.1000000000000001</v>
      </c>
      <c r="Q50" s="100">
        <v>11.25</v>
      </c>
      <c r="R50" s="6"/>
      <c r="S50" s="6"/>
      <c r="T50" s="156"/>
      <c r="U50" s="6"/>
    </row>
    <row r="51" spans="1:21" customFormat="1">
      <c r="A51" s="163" t="s">
        <v>1145</v>
      </c>
      <c r="B51" s="100">
        <v>20.7</v>
      </c>
      <c r="C51" s="100">
        <v>28.41</v>
      </c>
      <c r="D51" s="100">
        <v>32.799999999999997</v>
      </c>
      <c r="E51" s="100">
        <v>8.94</v>
      </c>
      <c r="F51" s="152" t="s">
        <v>15</v>
      </c>
      <c r="G51" s="100">
        <v>107.31</v>
      </c>
      <c r="H51" s="100">
        <v>33.19</v>
      </c>
      <c r="I51" s="100">
        <v>18.97</v>
      </c>
      <c r="J51" s="100">
        <v>0.42</v>
      </c>
      <c r="K51" s="100">
        <v>101.64</v>
      </c>
      <c r="L51" s="100">
        <v>24.04</v>
      </c>
      <c r="M51" s="100">
        <v>34.49</v>
      </c>
      <c r="N51" s="100">
        <v>416.8</v>
      </c>
      <c r="O51" s="100">
        <v>0</v>
      </c>
      <c r="P51" s="100">
        <v>1.08</v>
      </c>
      <c r="Q51" s="100">
        <v>11.25</v>
      </c>
      <c r="R51" s="6"/>
      <c r="S51" s="6"/>
      <c r="T51" s="156"/>
      <c r="U51" s="6"/>
    </row>
    <row r="52" spans="1:21" customFormat="1">
      <c r="A52" s="163" t="s">
        <v>1146</v>
      </c>
      <c r="B52" s="100">
        <v>18.79</v>
      </c>
      <c r="C52" s="100">
        <v>28.66</v>
      </c>
      <c r="D52" s="100">
        <v>31.39</v>
      </c>
      <c r="E52" s="100">
        <v>8.9700000000000006</v>
      </c>
      <c r="F52" s="152" t="s">
        <v>15</v>
      </c>
      <c r="G52" s="100">
        <v>107.31</v>
      </c>
      <c r="H52" s="100">
        <v>33.19</v>
      </c>
      <c r="I52" s="100">
        <v>18.559999999999999</v>
      </c>
      <c r="J52" s="100">
        <v>0.59</v>
      </c>
      <c r="K52" s="100">
        <v>44.5</v>
      </c>
      <c r="L52" s="100">
        <v>24.2</v>
      </c>
      <c r="M52" s="100">
        <v>34.07</v>
      </c>
      <c r="N52" s="100">
        <v>427.3</v>
      </c>
      <c r="O52" s="100">
        <v>0</v>
      </c>
      <c r="P52" s="100">
        <v>1.07</v>
      </c>
      <c r="Q52" s="100">
        <v>11.25</v>
      </c>
      <c r="R52" s="6"/>
      <c r="S52" s="6"/>
      <c r="T52" s="156"/>
      <c r="U52" s="6"/>
    </row>
    <row r="53" spans="1:21" customFormat="1">
      <c r="A53" s="163" t="s">
        <v>1147</v>
      </c>
      <c r="B53" s="100">
        <v>16.12</v>
      </c>
      <c r="C53" s="100">
        <v>29.61</v>
      </c>
      <c r="D53" s="100">
        <v>29.75</v>
      </c>
      <c r="E53" s="100">
        <v>8.42</v>
      </c>
      <c r="F53" s="152" t="s">
        <v>15</v>
      </c>
      <c r="G53" s="100">
        <v>96.86</v>
      </c>
      <c r="H53" s="100">
        <v>32.130000000000003</v>
      </c>
      <c r="I53" s="100">
        <v>18.18</v>
      </c>
      <c r="J53" s="100">
        <v>0.4</v>
      </c>
      <c r="K53" s="100">
        <v>72.56</v>
      </c>
      <c r="L53" s="100">
        <v>24.98</v>
      </c>
      <c r="M53" s="100">
        <v>31.62</v>
      </c>
      <c r="N53" s="100">
        <v>382.3</v>
      </c>
      <c r="O53" s="100">
        <v>0</v>
      </c>
      <c r="P53" s="100">
        <v>1</v>
      </c>
      <c r="Q53" s="100">
        <v>11.25</v>
      </c>
      <c r="R53" s="6"/>
      <c r="S53" s="6"/>
      <c r="T53" s="156"/>
      <c r="U53" s="6"/>
    </row>
    <row r="54" spans="1:21" customFormat="1">
      <c r="A54" s="163" t="s">
        <v>1148</v>
      </c>
      <c r="B54" s="100">
        <v>13.09</v>
      </c>
      <c r="C54" s="100">
        <v>30.52</v>
      </c>
      <c r="D54" s="100">
        <v>27.79</v>
      </c>
      <c r="E54" s="100">
        <v>8.5299999999999994</v>
      </c>
      <c r="F54" s="152" t="s">
        <v>15</v>
      </c>
      <c r="G54" s="100">
        <v>89.22</v>
      </c>
      <c r="H54" s="100">
        <v>31.82</v>
      </c>
      <c r="I54" s="100">
        <v>17.72</v>
      </c>
      <c r="J54" s="100">
        <v>0.37</v>
      </c>
      <c r="K54" s="100">
        <v>118.81</v>
      </c>
      <c r="L54" s="100">
        <v>25.38</v>
      </c>
      <c r="M54" s="100">
        <v>29.74</v>
      </c>
      <c r="N54" s="100">
        <v>461</v>
      </c>
      <c r="O54" s="100">
        <v>0</v>
      </c>
      <c r="P54" s="100">
        <v>0.97</v>
      </c>
      <c r="Q54" s="100">
        <v>11.25</v>
      </c>
      <c r="R54" s="6"/>
      <c r="S54" s="6"/>
      <c r="T54" s="156"/>
      <c r="U54" s="6"/>
    </row>
    <row r="55" spans="1:21" customFormat="1">
      <c r="A55" s="163" t="s">
        <v>1149</v>
      </c>
      <c r="B55" s="100">
        <v>10.220000000000001</v>
      </c>
      <c r="C55" s="100">
        <v>31.45</v>
      </c>
      <c r="D55" s="100">
        <v>25.98</v>
      </c>
      <c r="E55" s="100">
        <v>8.74</v>
      </c>
      <c r="F55" s="152" t="s">
        <v>15</v>
      </c>
      <c r="G55" s="100">
        <v>89.22</v>
      </c>
      <c r="H55" s="100">
        <v>31.82</v>
      </c>
      <c r="I55" s="100">
        <v>17.170000000000002</v>
      </c>
      <c r="J55" s="100">
        <v>0.35</v>
      </c>
      <c r="K55" s="100">
        <v>95.11</v>
      </c>
      <c r="L55" s="100">
        <v>25.93</v>
      </c>
      <c r="M55" s="100">
        <v>29.27</v>
      </c>
      <c r="N55" s="100">
        <v>460</v>
      </c>
      <c r="O55" s="100">
        <v>0</v>
      </c>
      <c r="P55" s="100">
        <v>0.94</v>
      </c>
      <c r="Q55" s="100">
        <v>11.25</v>
      </c>
      <c r="R55" s="6"/>
      <c r="S55" s="6"/>
      <c r="T55" s="156"/>
      <c r="U55" s="6"/>
    </row>
    <row r="56" spans="1:21" customFormat="1">
      <c r="A56" s="163" t="s">
        <v>1150</v>
      </c>
      <c r="B56" s="100">
        <v>7.98</v>
      </c>
      <c r="C56" s="100">
        <v>31.69</v>
      </c>
      <c r="D56" s="100">
        <v>24.31</v>
      </c>
      <c r="E56" s="100">
        <v>9.11</v>
      </c>
      <c r="F56" s="152" t="s">
        <v>15</v>
      </c>
      <c r="G56" s="100">
        <v>89.22</v>
      </c>
      <c r="H56" s="100">
        <v>31.82</v>
      </c>
      <c r="I56" s="100">
        <v>16.57</v>
      </c>
      <c r="J56" s="100">
        <v>0.5</v>
      </c>
      <c r="K56" s="100">
        <v>52.58</v>
      </c>
      <c r="L56" s="100">
        <v>26.21</v>
      </c>
      <c r="M56" s="100">
        <v>27.28</v>
      </c>
      <c r="N56" s="100">
        <v>453.4</v>
      </c>
      <c r="O56" s="100">
        <v>0</v>
      </c>
      <c r="P56" s="100">
        <v>0.92</v>
      </c>
      <c r="Q56" s="100">
        <v>11.25</v>
      </c>
      <c r="R56" s="6"/>
      <c r="S56" s="6"/>
      <c r="T56" s="156"/>
      <c r="U56" s="6"/>
    </row>
    <row r="57" spans="1:21" customFormat="1">
      <c r="A57" s="163" t="s">
        <v>1151</v>
      </c>
      <c r="B57" s="100">
        <v>6.25</v>
      </c>
      <c r="C57" s="100">
        <v>31.51</v>
      </c>
      <c r="D57" s="100">
        <v>22.83</v>
      </c>
      <c r="E57" s="100">
        <v>8.89</v>
      </c>
      <c r="F57" s="152" t="s">
        <v>15</v>
      </c>
      <c r="G57" s="100">
        <v>82.44</v>
      </c>
      <c r="H57" s="100">
        <v>30.19</v>
      </c>
      <c r="I57" s="100">
        <v>16.010000000000002</v>
      </c>
      <c r="J57" s="100">
        <v>0.8</v>
      </c>
      <c r="K57" s="100">
        <v>60.02</v>
      </c>
      <c r="L57" s="100">
        <v>25.86</v>
      </c>
      <c r="M57" s="100">
        <v>24.5</v>
      </c>
      <c r="N57" s="100">
        <v>422.7</v>
      </c>
      <c r="O57" s="100">
        <v>0</v>
      </c>
      <c r="P57" s="100">
        <v>0.89</v>
      </c>
      <c r="Q57" s="100">
        <v>11.25</v>
      </c>
      <c r="R57" s="6"/>
      <c r="S57" s="6"/>
      <c r="T57" s="156"/>
      <c r="U57" s="6"/>
    </row>
    <row r="58" spans="1:21" customFormat="1">
      <c r="A58" s="163" t="s">
        <v>1152</v>
      </c>
      <c r="B58" s="100">
        <v>5.23</v>
      </c>
      <c r="C58" s="100">
        <v>31.22</v>
      </c>
      <c r="D58" s="100">
        <v>21.86</v>
      </c>
      <c r="E58" s="100">
        <v>9.24</v>
      </c>
      <c r="F58" s="152" t="s">
        <v>15</v>
      </c>
      <c r="G58" s="100">
        <v>77.48</v>
      </c>
      <c r="H58" s="100">
        <v>29.71</v>
      </c>
      <c r="I58" s="100">
        <v>15.52</v>
      </c>
      <c r="J58" s="100">
        <v>0.73</v>
      </c>
      <c r="K58" s="100">
        <v>36.590000000000003</v>
      </c>
      <c r="L58" s="100">
        <v>26.37</v>
      </c>
      <c r="M58" s="100">
        <v>24.92</v>
      </c>
      <c r="N58" s="100">
        <v>390.9</v>
      </c>
      <c r="O58" s="100">
        <v>0</v>
      </c>
      <c r="P58" s="100">
        <v>0.86</v>
      </c>
      <c r="Q58" s="100">
        <v>11.25</v>
      </c>
      <c r="R58" s="6"/>
      <c r="S58" s="6"/>
      <c r="T58" s="156"/>
      <c r="U58" s="6"/>
    </row>
    <row r="59" spans="1:21" customFormat="1">
      <c r="A59" s="163" t="s">
        <v>1153</v>
      </c>
      <c r="B59" s="100">
        <v>4.7</v>
      </c>
      <c r="C59" s="100">
        <v>30.42</v>
      </c>
      <c r="D59" s="100">
        <v>21.01</v>
      </c>
      <c r="E59" s="100">
        <v>8.85</v>
      </c>
      <c r="F59" s="152" t="s">
        <v>15</v>
      </c>
      <c r="G59" s="100">
        <v>77.48</v>
      </c>
      <c r="H59" s="100">
        <v>29.71</v>
      </c>
      <c r="I59" s="100">
        <v>15.01</v>
      </c>
      <c r="J59" s="100">
        <v>0.4</v>
      </c>
      <c r="K59" s="100">
        <v>12.57</v>
      </c>
      <c r="L59" s="100">
        <v>26.61</v>
      </c>
      <c r="M59" s="100">
        <v>24.02</v>
      </c>
      <c r="N59" s="100">
        <v>319.39999999999998</v>
      </c>
      <c r="O59" s="100">
        <v>0</v>
      </c>
      <c r="P59" s="100">
        <v>0.84</v>
      </c>
      <c r="Q59" s="100">
        <v>11.25</v>
      </c>
      <c r="R59" s="6"/>
      <c r="S59" s="6"/>
      <c r="T59" s="156"/>
      <c r="U59" s="6"/>
    </row>
    <row r="60" spans="1:21" customFormat="1">
      <c r="A60" s="163" t="s">
        <v>1154</v>
      </c>
      <c r="B60" s="100">
        <v>4.4000000000000004</v>
      </c>
      <c r="C60" s="100">
        <v>29.53</v>
      </c>
      <c r="D60" s="100">
        <v>20.309999999999999</v>
      </c>
      <c r="E60" s="100">
        <v>9.4600000000000009</v>
      </c>
      <c r="F60" s="152" t="s">
        <v>15</v>
      </c>
      <c r="G60" s="100">
        <v>77.48</v>
      </c>
      <c r="H60" s="100">
        <v>29.71</v>
      </c>
      <c r="I60" s="100">
        <v>14.49</v>
      </c>
      <c r="J60" s="100">
        <v>0.22</v>
      </c>
      <c r="K60" s="100">
        <v>49.5</v>
      </c>
      <c r="L60" s="100">
        <v>27.06</v>
      </c>
      <c r="M60" s="100">
        <v>24.55</v>
      </c>
      <c r="N60" s="100">
        <v>423.3</v>
      </c>
      <c r="O60" s="100">
        <v>0</v>
      </c>
      <c r="P60" s="100">
        <v>0.82</v>
      </c>
      <c r="Q60" s="100">
        <v>11.25</v>
      </c>
      <c r="R60" s="6"/>
      <c r="S60" s="6"/>
      <c r="T60" s="156"/>
      <c r="U60" s="6"/>
    </row>
    <row r="61" spans="1:21" customFormat="1">
      <c r="A61" s="163" t="s">
        <v>1155</v>
      </c>
      <c r="B61" s="100">
        <v>4.2300000000000004</v>
      </c>
      <c r="C61" s="100">
        <v>28.39</v>
      </c>
      <c r="D61" s="100">
        <v>19.579999999999998</v>
      </c>
      <c r="E61" s="100">
        <v>9.6199999999999992</v>
      </c>
      <c r="F61" s="152" t="s">
        <v>15</v>
      </c>
      <c r="G61" s="100">
        <v>70.47</v>
      </c>
      <c r="H61" s="100">
        <v>28.79</v>
      </c>
      <c r="I61" s="100">
        <v>14.01</v>
      </c>
      <c r="J61" s="100">
        <v>0.25</v>
      </c>
      <c r="K61" s="100">
        <v>41.04</v>
      </c>
      <c r="L61" s="100">
        <v>27.04</v>
      </c>
      <c r="M61" s="100">
        <v>24.27</v>
      </c>
      <c r="N61" s="100">
        <v>424.1</v>
      </c>
      <c r="O61" s="100">
        <v>0</v>
      </c>
      <c r="P61" s="100">
        <v>0.8</v>
      </c>
      <c r="Q61" s="100">
        <v>11.25</v>
      </c>
      <c r="R61" s="6"/>
      <c r="S61" s="6"/>
      <c r="T61" s="156"/>
      <c r="U61" s="6"/>
    </row>
    <row r="62" spans="1:21" customFormat="1">
      <c r="A62" s="163" t="s">
        <v>1156</v>
      </c>
      <c r="B62" s="100">
        <v>4.09</v>
      </c>
      <c r="C62" s="100">
        <v>27.35</v>
      </c>
      <c r="D62" s="100">
        <v>18.920000000000002</v>
      </c>
      <c r="E62" s="100">
        <v>9.61</v>
      </c>
      <c r="F62" s="152" t="s">
        <v>15</v>
      </c>
      <c r="G62" s="100">
        <v>65.349999999999994</v>
      </c>
      <c r="H62" s="100">
        <v>28.27</v>
      </c>
      <c r="I62" s="100">
        <v>13.56</v>
      </c>
      <c r="J62" s="100">
        <v>0.3</v>
      </c>
      <c r="K62" s="100">
        <v>154.24</v>
      </c>
      <c r="L62" s="100">
        <v>27.67</v>
      </c>
      <c r="M62" s="100">
        <v>22.84</v>
      </c>
      <c r="N62" s="100">
        <v>428.9</v>
      </c>
      <c r="O62" s="100">
        <v>0</v>
      </c>
      <c r="P62" s="100">
        <v>0.77</v>
      </c>
      <c r="Q62" s="100">
        <v>11.25</v>
      </c>
      <c r="R62" s="6"/>
      <c r="S62" s="6"/>
      <c r="T62" s="156"/>
      <c r="U62" s="6"/>
    </row>
    <row r="63" spans="1:21" customFormat="1">
      <c r="A63" s="163" t="s">
        <v>1157</v>
      </c>
      <c r="B63" s="100">
        <v>4.0199999999999996</v>
      </c>
      <c r="C63" s="100">
        <v>26.21</v>
      </c>
      <c r="D63" s="100">
        <v>18.27</v>
      </c>
      <c r="E63" s="100">
        <v>9.4499999999999993</v>
      </c>
      <c r="F63" s="152" t="s">
        <v>15</v>
      </c>
      <c r="G63" s="100">
        <v>65.349999999999994</v>
      </c>
      <c r="H63" s="100">
        <v>28.27</v>
      </c>
      <c r="I63" s="100">
        <v>13.16</v>
      </c>
      <c r="J63" s="100">
        <v>0.42</v>
      </c>
      <c r="K63" s="100">
        <v>78.52</v>
      </c>
      <c r="L63" s="100">
        <v>27.67</v>
      </c>
      <c r="M63" s="100">
        <v>22.39</v>
      </c>
      <c r="N63" s="100">
        <v>338.5</v>
      </c>
      <c r="O63" s="100">
        <v>0</v>
      </c>
      <c r="P63" s="100">
        <v>0.75</v>
      </c>
      <c r="Q63" s="100">
        <v>11.25</v>
      </c>
      <c r="R63" s="6"/>
      <c r="S63" s="6"/>
      <c r="T63" s="156"/>
      <c r="U63" s="6"/>
    </row>
    <row r="64" spans="1:21" customFormat="1">
      <c r="A64" s="163" t="s">
        <v>1158</v>
      </c>
      <c r="B64" s="100">
        <v>4.0199999999999996</v>
      </c>
      <c r="C64" s="100">
        <v>25.6</v>
      </c>
      <c r="D64" s="100">
        <v>17.95</v>
      </c>
      <c r="E64" s="100">
        <v>9.4499999999999993</v>
      </c>
      <c r="F64" s="152" t="s">
        <v>15</v>
      </c>
      <c r="G64" s="100">
        <v>65.349999999999994</v>
      </c>
      <c r="H64" s="100">
        <v>28.27</v>
      </c>
      <c r="I64" s="100">
        <v>12.77</v>
      </c>
      <c r="J64" s="100">
        <v>0.33</v>
      </c>
      <c r="K64" s="100">
        <v>77.900000000000006</v>
      </c>
      <c r="L64" s="100">
        <v>27.3</v>
      </c>
      <c r="M64" s="100">
        <v>22.28</v>
      </c>
      <c r="N64" s="100">
        <v>191.2</v>
      </c>
      <c r="O64" s="100">
        <v>0</v>
      </c>
      <c r="P64" s="100">
        <v>0.74</v>
      </c>
      <c r="Q64" s="100">
        <v>11.25</v>
      </c>
      <c r="R64" s="6"/>
      <c r="S64" s="6"/>
      <c r="T64" s="156"/>
      <c r="U64" s="6"/>
    </row>
    <row r="65" spans="1:21" customFormat="1">
      <c r="A65" s="163" t="s">
        <v>1159</v>
      </c>
      <c r="B65" s="100">
        <v>4.01</v>
      </c>
      <c r="C65" s="100">
        <v>25.22</v>
      </c>
      <c r="D65" s="100">
        <v>17.739999999999998</v>
      </c>
      <c r="E65" s="100">
        <v>9.24</v>
      </c>
      <c r="F65" s="152" t="s">
        <v>15</v>
      </c>
      <c r="G65" s="100">
        <v>59.72</v>
      </c>
      <c r="H65" s="100">
        <v>27.3</v>
      </c>
      <c r="I65" s="100">
        <v>12.41</v>
      </c>
      <c r="J65" s="100">
        <v>0.52</v>
      </c>
      <c r="K65" s="100">
        <v>83.47</v>
      </c>
      <c r="L65" s="100">
        <v>27.13</v>
      </c>
      <c r="M65" s="100">
        <v>21.28</v>
      </c>
      <c r="N65" s="100">
        <v>97.3</v>
      </c>
      <c r="O65" s="100">
        <v>0</v>
      </c>
      <c r="P65" s="100">
        <v>0.71</v>
      </c>
      <c r="Q65" s="100">
        <v>11.25</v>
      </c>
      <c r="R65" s="6"/>
      <c r="S65" s="6"/>
      <c r="T65" s="156"/>
      <c r="U65" s="6"/>
    </row>
    <row r="66" spans="1:21" customFormat="1">
      <c r="A66" s="163" t="s">
        <v>1160</v>
      </c>
      <c r="B66" s="100">
        <v>3.92</v>
      </c>
      <c r="C66" s="100">
        <v>24.53</v>
      </c>
      <c r="D66" s="100">
        <v>17.309999999999999</v>
      </c>
      <c r="E66" s="100">
        <v>9.2100000000000009</v>
      </c>
      <c r="F66" s="152" t="s">
        <v>15</v>
      </c>
      <c r="G66" s="100">
        <v>55.6</v>
      </c>
      <c r="H66" s="100">
        <v>27.01</v>
      </c>
      <c r="I66" s="100">
        <v>12.08</v>
      </c>
      <c r="J66" s="100">
        <v>0.15</v>
      </c>
      <c r="K66" s="100">
        <v>76.010000000000005</v>
      </c>
      <c r="L66" s="100">
        <v>26.9</v>
      </c>
      <c r="M66" s="100">
        <v>21.24</v>
      </c>
      <c r="N66" s="100">
        <v>115.3</v>
      </c>
      <c r="O66" s="100">
        <v>0</v>
      </c>
      <c r="P66" s="100">
        <v>0.7</v>
      </c>
      <c r="Q66" s="100">
        <v>11.25</v>
      </c>
      <c r="R66" s="6"/>
      <c r="S66" s="6"/>
      <c r="T66" s="156"/>
      <c r="U66" s="6"/>
    </row>
    <row r="67" spans="1:21" customFormat="1">
      <c r="A67" s="163" t="s">
        <v>1161</v>
      </c>
      <c r="B67" s="100">
        <v>3.87</v>
      </c>
      <c r="C67" s="100">
        <v>23.65</v>
      </c>
      <c r="D67" s="100">
        <v>16.809999999999999</v>
      </c>
      <c r="E67" s="100">
        <v>9.48</v>
      </c>
      <c r="F67" s="152" t="s">
        <v>15</v>
      </c>
      <c r="G67" s="100">
        <v>55.6</v>
      </c>
      <c r="H67" s="100">
        <v>27.01</v>
      </c>
      <c r="I67" s="100">
        <v>11.59</v>
      </c>
      <c r="J67" s="100">
        <v>0.37</v>
      </c>
      <c r="K67" s="100">
        <v>85.55</v>
      </c>
      <c r="L67" s="100">
        <v>27.01</v>
      </c>
      <c r="M67" s="100">
        <v>20.73</v>
      </c>
      <c r="N67" s="100">
        <v>69.400000000000006</v>
      </c>
      <c r="O67" s="100">
        <v>0</v>
      </c>
      <c r="P67" s="100">
        <v>0.68</v>
      </c>
      <c r="Q67" s="100">
        <v>11.25</v>
      </c>
      <c r="R67" s="6"/>
      <c r="S67" s="6"/>
      <c r="T67" s="156"/>
      <c r="U67" s="6"/>
    </row>
    <row r="68" spans="1:21" customFormat="1">
      <c r="A68" s="163" t="s">
        <v>1162</v>
      </c>
      <c r="B68" s="100">
        <v>3.88</v>
      </c>
      <c r="C68" s="100">
        <v>23.36</v>
      </c>
      <c r="D68" s="100">
        <v>16.670000000000002</v>
      </c>
      <c r="E68" s="100">
        <v>9.74</v>
      </c>
      <c r="F68" s="152" t="s">
        <v>15</v>
      </c>
      <c r="G68" s="100">
        <v>55.6</v>
      </c>
      <c r="H68" s="100">
        <v>27.01</v>
      </c>
      <c r="I68" s="100">
        <v>11.28</v>
      </c>
      <c r="J68" s="100">
        <v>0.55000000000000004</v>
      </c>
      <c r="K68" s="100">
        <v>54.68</v>
      </c>
      <c r="L68" s="100">
        <v>26.87</v>
      </c>
      <c r="M68" s="100">
        <v>21.45</v>
      </c>
      <c r="N68" s="100">
        <v>54.2</v>
      </c>
      <c r="O68" s="100">
        <v>0</v>
      </c>
      <c r="P68" s="100">
        <v>0.67</v>
      </c>
      <c r="Q68" s="100">
        <v>11.25</v>
      </c>
      <c r="R68" s="6"/>
      <c r="S68" s="6"/>
      <c r="T68" s="156"/>
      <c r="U68" s="6"/>
    </row>
    <row r="69" spans="1:21" customFormat="1">
      <c r="A69" s="163" t="s">
        <v>1163</v>
      </c>
      <c r="B69" s="100">
        <v>3.89</v>
      </c>
      <c r="C69" s="100">
        <v>23.23</v>
      </c>
      <c r="D69" s="100">
        <v>16.600000000000001</v>
      </c>
      <c r="E69" s="100">
        <v>10.25</v>
      </c>
      <c r="F69" s="152" t="s">
        <v>15</v>
      </c>
      <c r="G69" s="100">
        <v>55.37</v>
      </c>
      <c r="H69" s="100">
        <v>23.65</v>
      </c>
      <c r="I69" s="100">
        <v>10.9</v>
      </c>
      <c r="J69" s="100">
        <v>0.56000000000000005</v>
      </c>
      <c r="K69" s="100">
        <v>53.2</v>
      </c>
      <c r="L69" s="100">
        <v>26.69</v>
      </c>
      <c r="M69" s="100">
        <v>20.420000000000002</v>
      </c>
      <c r="N69" s="100">
        <v>52.9</v>
      </c>
      <c r="O69" s="100">
        <v>0</v>
      </c>
      <c r="P69" s="100">
        <v>0.66</v>
      </c>
      <c r="Q69" s="100">
        <v>11.25</v>
      </c>
      <c r="R69" s="6"/>
      <c r="S69" s="6"/>
      <c r="T69" s="156"/>
      <c r="U69" s="6"/>
    </row>
    <row r="70" spans="1:21" customFormat="1">
      <c r="A70" s="163" t="s">
        <v>1164</v>
      </c>
      <c r="B70" s="100">
        <v>3.91</v>
      </c>
      <c r="C70" s="100">
        <v>22.96</v>
      </c>
      <c r="D70" s="100">
        <v>16.48</v>
      </c>
      <c r="E70" s="100">
        <v>9.5500000000000007</v>
      </c>
      <c r="F70" s="152" t="s">
        <v>15</v>
      </c>
      <c r="G70" s="100">
        <v>55.2</v>
      </c>
      <c r="H70" s="100">
        <v>22.64</v>
      </c>
      <c r="I70" s="100">
        <v>10.48</v>
      </c>
      <c r="J70" s="100">
        <v>0.41</v>
      </c>
      <c r="K70" s="100">
        <v>69.78</v>
      </c>
      <c r="L70" s="100">
        <v>26.7</v>
      </c>
      <c r="M70" s="100">
        <v>20.95</v>
      </c>
      <c r="N70" s="100">
        <v>55.1</v>
      </c>
      <c r="O70" s="100">
        <v>0</v>
      </c>
      <c r="P70" s="100">
        <v>0.65</v>
      </c>
      <c r="Q70" s="100">
        <v>11.25</v>
      </c>
      <c r="R70" s="6"/>
      <c r="S70" s="6"/>
      <c r="T70" s="156"/>
      <c r="U70" s="6"/>
    </row>
    <row r="71" spans="1:21" customFormat="1">
      <c r="A71" s="163" t="s">
        <v>1165</v>
      </c>
      <c r="B71" s="100">
        <v>3.85</v>
      </c>
      <c r="C71" s="100">
        <v>22.58</v>
      </c>
      <c r="D71" s="100">
        <v>16.239999999999998</v>
      </c>
      <c r="E71" s="100">
        <v>9.17</v>
      </c>
      <c r="F71" s="152" t="s">
        <v>15</v>
      </c>
      <c r="G71" s="100">
        <v>55.2</v>
      </c>
      <c r="H71" s="100">
        <v>22.64</v>
      </c>
      <c r="I71" s="100">
        <v>10.199999999999999</v>
      </c>
      <c r="J71" s="100">
        <v>0.62</v>
      </c>
      <c r="K71" s="100">
        <v>51.39</v>
      </c>
      <c r="L71" s="100">
        <v>26.7</v>
      </c>
      <c r="M71" s="100">
        <v>20.64</v>
      </c>
      <c r="N71" s="100">
        <v>42.5</v>
      </c>
      <c r="O71" s="100">
        <v>0</v>
      </c>
      <c r="P71" s="100">
        <v>0.65</v>
      </c>
      <c r="Q71" s="100">
        <v>11.25</v>
      </c>
      <c r="R71" s="6"/>
      <c r="S71" s="6"/>
      <c r="T71" s="156"/>
      <c r="U71" s="6"/>
    </row>
    <row r="72" spans="1:21" customFormat="1">
      <c r="A72" s="163" t="s">
        <v>1166</v>
      </c>
      <c r="B72" s="100">
        <v>3.87</v>
      </c>
      <c r="C72" s="100">
        <v>22.5</v>
      </c>
      <c r="D72" s="100">
        <v>16.21</v>
      </c>
      <c r="E72" s="100">
        <v>8.81</v>
      </c>
      <c r="F72" s="152" t="s">
        <v>15</v>
      </c>
      <c r="G72" s="100">
        <v>55.2</v>
      </c>
      <c r="H72" s="100">
        <v>22.64</v>
      </c>
      <c r="I72" s="100">
        <v>9.9600000000000009</v>
      </c>
      <c r="J72" s="100">
        <v>0.16</v>
      </c>
      <c r="K72" s="100">
        <v>104.41</v>
      </c>
      <c r="L72" s="100">
        <v>26.35</v>
      </c>
      <c r="M72" s="100">
        <v>23.39</v>
      </c>
      <c r="N72" s="100">
        <v>36.5</v>
      </c>
      <c r="O72" s="100">
        <v>0</v>
      </c>
      <c r="P72" s="100">
        <v>0.64</v>
      </c>
      <c r="Q72" s="100">
        <v>11.25</v>
      </c>
      <c r="R72" s="6"/>
      <c r="S72" s="6"/>
      <c r="T72" s="156"/>
      <c r="U72" s="6"/>
    </row>
    <row r="73" spans="1:21" customFormat="1">
      <c r="A73" s="163" t="s">
        <v>1167</v>
      </c>
      <c r="B73" s="100">
        <v>3.97</v>
      </c>
      <c r="C73" s="100">
        <v>22.3</v>
      </c>
      <c r="D73" s="100">
        <v>16.18</v>
      </c>
      <c r="E73" s="100">
        <v>9.65</v>
      </c>
      <c r="F73" s="152" t="s">
        <v>15</v>
      </c>
      <c r="G73" s="100">
        <v>53.75</v>
      </c>
      <c r="H73" s="100">
        <v>24.02</v>
      </c>
      <c r="I73" s="100">
        <v>9.73</v>
      </c>
      <c r="J73" s="100">
        <v>0.16</v>
      </c>
      <c r="K73" s="100">
        <v>161.71</v>
      </c>
      <c r="L73" s="100">
        <v>25.74</v>
      </c>
      <c r="M73" s="100">
        <v>24.6</v>
      </c>
      <c r="N73" s="100">
        <v>30.9</v>
      </c>
      <c r="O73" s="100">
        <v>0</v>
      </c>
      <c r="P73" s="100">
        <v>0.66</v>
      </c>
      <c r="Q73" s="100">
        <v>11.25</v>
      </c>
      <c r="R73" s="6"/>
      <c r="S73" s="6"/>
      <c r="T73" s="156"/>
      <c r="U73" s="6"/>
    </row>
    <row r="74" spans="1:21" customFormat="1">
      <c r="A74" s="163" t="s">
        <v>1168</v>
      </c>
      <c r="B74" s="100">
        <v>4.1900000000000004</v>
      </c>
      <c r="C74" s="100">
        <v>21.78</v>
      </c>
      <c r="D74" s="100">
        <v>16.09</v>
      </c>
      <c r="E74" s="100">
        <v>8.6999999999999993</v>
      </c>
      <c r="F74" s="152" t="s">
        <v>15</v>
      </c>
      <c r="G74" s="100">
        <v>52.69</v>
      </c>
      <c r="H74" s="100">
        <v>24.43</v>
      </c>
      <c r="I74" s="100">
        <v>9.51</v>
      </c>
      <c r="J74" s="100">
        <v>0.19</v>
      </c>
      <c r="K74" s="100">
        <v>96.32</v>
      </c>
      <c r="L74" s="100">
        <v>25.56</v>
      </c>
      <c r="M74" s="100">
        <v>25</v>
      </c>
      <c r="N74" s="100">
        <v>27.7</v>
      </c>
      <c r="O74" s="100">
        <v>0</v>
      </c>
      <c r="P74" s="100">
        <v>0.67</v>
      </c>
      <c r="Q74" s="100">
        <v>11.25</v>
      </c>
      <c r="R74" s="6"/>
      <c r="S74" s="6"/>
      <c r="T74" s="156"/>
      <c r="U74" s="6"/>
    </row>
    <row r="75" spans="1:21" customFormat="1">
      <c r="A75" s="163" t="s">
        <v>1169</v>
      </c>
      <c r="B75" s="100">
        <v>4.3499999999999996</v>
      </c>
      <c r="C75" s="100">
        <v>21.27</v>
      </c>
      <c r="D75" s="100">
        <v>15.95</v>
      </c>
      <c r="E75" s="100">
        <v>8.7899999999999991</v>
      </c>
      <c r="F75" s="152" t="s">
        <v>15</v>
      </c>
      <c r="G75" s="100">
        <v>52.69</v>
      </c>
      <c r="H75" s="100">
        <v>24.43</v>
      </c>
      <c r="I75" s="100">
        <v>9.3800000000000008</v>
      </c>
      <c r="J75" s="100">
        <v>0.24</v>
      </c>
      <c r="K75" s="100">
        <v>167.02</v>
      </c>
      <c r="L75" s="100">
        <v>25.12</v>
      </c>
      <c r="M75" s="100">
        <v>25.01</v>
      </c>
      <c r="N75" s="100">
        <v>19.899999999999999</v>
      </c>
      <c r="O75" s="100">
        <v>0</v>
      </c>
      <c r="P75" s="100">
        <v>0.67</v>
      </c>
      <c r="Q75" s="100">
        <v>11.25</v>
      </c>
      <c r="R75" s="6"/>
      <c r="S75" s="6"/>
      <c r="T75" s="156"/>
      <c r="U75" s="6"/>
    </row>
    <row r="76" spans="1:21" customFormat="1">
      <c r="A76" s="163" t="s">
        <v>1170</v>
      </c>
      <c r="B76" s="100">
        <v>4.4400000000000004</v>
      </c>
      <c r="C76" s="100">
        <v>20.94</v>
      </c>
      <c r="D76" s="100">
        <v>15.85</v>
      </c>
      <c r="E76" s="100">
        <v>9.25</v>
      </c>
      <c r="F76" s="152" t="s">
        <v>15</v>
      </c>
      <c r="G76" s="100">
        <v>52.69</v>
      </c>
      <c r="H76" s="100">
        <v>24.43</v>
      </c>
      <c r="I76" s="100">
        <v>9.2899999999999991</v>
      </c>
      <c r="J76" s="100">
        <v>0.28999999999999998</v>
      </c>
      <c r="K76" s="100">
        <v>174.02</v>
      </c>
      <c r="L76" s="100">
        <v>24.14</v>
      </c>
      <c r="M76" s="100">
        <v>29.4</v>
      </c>
      <c r="N76" s="100">
        <v>15.9</v>
      </c>
      <c r="O76" s="100">
        <v>0</v>
      </c>
      <c r="P76" s="100">
        <v>0.66</v>
      </c>
      <c r="Q76" s="100">
        <v>11.25</v>
      </c>
      <c r="R76" s="6"/>
      <c r="S76" s="6"/>
      <c r="T76" s="156"/>
      <c r="U76" s="6"/>
    </row>
    <row r="77" spans="1:21" customFormat="1">
      <c r="A77" s="163" t="s">
        <v>1171</v>
      </c>
      <c r="B77" s="100">
        <v>4.6100000000000003</v>
      </c>
      <c r="C77" s="100">
        <v>20.83</v>
      </c>
      <c r="D77" s="100">
        <v>15.93</v>
      </c>
      <c r="E77" s="100">
        <v>9.17</v>
      </c>
      <c r="F77" s="152" t="s">
        <v>15</v>
      </c>
      <c r="G77" s="100">
        <v>57.97</v>
      </c>
      <c r="H77" s="100">
        <v>23.47</v>
      </c>
      <c r="I77" s="100">
        <v>9.2200000000000006</v>
      </c>
      <c r="J77" s="100">
        <v>0.26</v>
      </c>
      <c r="K77" s="100">
        <v>166.36</v>
      </c>
      <c r="L77" s="100">
        <v>22.98</v>
      </c>
      <c r="M77" s="100">
        <v>34.93</v>
      </c>
      <c r="N77" s="100">
        <v>7.9</v>
      </c>
      <c r="O77" s="100">
        <v>0</v>
      </c>
      <c r="P77" s="100">
        <v>0.66</v>
      </c>
      <c r="Q77" s="100">
        <v>11.25</v>
      </c>
      <c r="R77" s="6"/>
      <c r="S77" s="6"/>
      <c r="T77" s="156"/>
      <c r="U77" s="6"/>
    </row>
    <row r="78" spans="1:21" customFormat="1">
      <c r="A78" s="163" t="s">
        <v>1172</v>
      </c>
      <c r="B78" s="100">
        <v>4.8</v>
      </c>
      <c r="C78" s="100">
        <v>21.39</v>
      </c>
      <c r="D78" s="100">
        <v>16.37</v>
      </c>
      <c r="E78" s="100">
        <v>9.07</v>
      </c>
      <c r="F78" s="152" t="s">
        <v>15</v>
      </c>
      <c r="G78" s="100">
        <v>61.83</v>
      </c>
      <c r="H78" s="100">
        <v>23.18</v>
      </c>
      <c r="I78" s="100">
        <v>9.16</v>
      </c>
      <c r="J78" s="100">
        <v>0.05</v>
      </c>
      <c r="K78" s="100">
        <v>167.17</v>
      </c>
      <c r="L78" s="100">
        <v>21.96</v>
      </c>
      <c r="M78" s="100">
        <v>41.11</v>
      </c>
      <c r="N78" s="100">
        <v>3.7</v>
      </c>
      <c r="O78" s="100">
        <v>0</v>
      </c>
      <c r="P78" s="100">
        <v>0.68</v>
      </c>
      <c r="Q78" s="100">
        <v>11.25</v>
      </c>
      <c r="R78" s="6"/>
      <c r="S78" s="6"/>
      <c r="T78" s="156"/>
      <c r="U78" s="6"/>
    </row>
    <row r="79" spans="1:21" customFormat="1">
      <c r="A79" s="163" t="s">
        <v>1173</v>
      </c>
      <c r="B79" s="100">
        <v>5.03</v>
      </c>
      <c r="C79" s="100">
        <v>22.07</v>
      </c>
      <c r="D79" s="100">
        <v>16.920000000000002</v>
      </c>
      <c r="E79" s="100">
        <v>9.19</v>
      </c>
      <c r="F79" s="152" t="s">
        <v>15</v>
      </c>
      <c r="G79" s="100">
        <v>61.83</v>
      </c>
      <c r="H79" s="100">
        <v>23.18</v>
      </c>
      <c r="I79" s="100">
        <v>9.14</v>
      </c>
      <c r="J79" s="100">
        <v>0.12</v>
      </c>
      <c r="K79" s="100">
        <v>142.75</v>
      </c>
      <c r="L79" s="100">
        <v>21.37</v>
      </c>
      <c r="M79" s="100">
        <v>40.409999999999997</v>
      </c>
      <c r="N79" s="100">
        <v>2.2999999999999998</v>
      </c>
      <c r="O79" s="100">
        <v>0</v>
      </c>
      <c r="P79" s="100">
        <v>0.69</v>
      </c>
      <c r="Q79" s="100">
        <v>11.25</v>
      </c>
      <c r="R79" s="6"/>
      <c r="S79" s="6"/>
      <c r="T79" s="156"/>
      <c r="U79" s="6"/>
    </row>
    <row r="80" spans="1:21" customFormat="1">
      <c r="A80" s="163" t="s">
        <v>1174</v>
      </c>
      <c r="B80" s="100">
        <v>5.86</v>
      </c>
      <c r="C80" s="100">
        <v>23.01</v>
      </c>
      <c r="D80" s="100">
        <v>18.07</v>
      </c>
      <c r="E80" s="100">
        <v>8.4499999999999993</v>
      </c>
      <c r="F80" s="152" t="s">
        <v>15</v>
      </c>
      <c r="G80" s="100">
        <v>61.83</v>
      </c>
      <c r="H80" s="100">
        <v>23.18</v>
      </c>
      <c r="I80" s="100">
        <v>9.11</v>
      </c>
      <c r="J80" s="100">
        <v>0.26</v>
      </c>
      <c r="K80" s="100">
        <v>172.84</v>
      </c>
      <c r="L80" s="100">
        <v>21.16</v>
      </c>
      <c r="M80" s="100">
        <v>44.19</v>
      </c>
      <c r="N80" s="100">
        <v>2</v>
      </c>
      <c r="O80" s="100">
        <v>0</v>
      </c>
      <c r="P80" s="100">
        <v>0.71</v>
      </c>
      <c r="Q80" s="100">
        <v>11.25</v>
      </c>
      <c r="R80" s="6"/>
      <c r="S80" s="6"/>
      <c r="T80" s="156"/>
      <c r="U80" s="6"/>
    </row>
    <row r="81" spans="1:21" customFormat="1">
      <c r="A81" s="163" t="s">
        <v>1175</v>
      </c>
      <c r="B81" s="100">
        <v>7.4</v>
      </c>
      <c r="C81" s="100">
        <v>24.43</v>
      </c>
      <c r="D81" s="100">
        <v>20.05</v>
      </c>
      <c r="E81" s="100">
        <v>8.4600000000000009</v>
      </c>
      <c r="F81" s="152" t="s">
        <v>15</v>
      </c>
      <c r="G81" s="100">
        <v>61.83</v>
      </c>
      <c r="H81" s="100">
        <v>23.18</v>
      </c>
      <c r="I81" s="100">
        <v>9.15</v>
      </c>
      <c r="J81" s="100">
        <v>0.13</v>
      </c>
      <c r="K81" s="100">
        <v>142.19</v>
      </c>
      <c r="L81" s="100">
        <v>19.88</v>
      </c>
      <c r="M81" s="100">
        <v>50.48</v>
      </c>
      <c r="N81" s="100">
        <v>1.9</v>
      </c>
      <c r="O81" s="100">
        <v>0</v>
      </c>
      <c r="P81" s="100">
        <v>0.73</v>
      </c>
      <c r="Q81" s="100">
        <v>11.25</v>
      </c>
      <c r="R81" s="6"/>
      <c r="S81" s="6"/>
      <c r="T81" s="156"/>
      <c r="U81" s="6"/>
    </row>
    <row r="82" spans="1:21" customFormat="1">
      <c r="A82" s="163" t="s">
        <v>1176</v>
      </c>
      <c r="B82" s="100">
        <v>8.4</v>
      </c>
      <c r="C82" s="100">
        <v>25.63</v>
      </c>
      <c r="D82" s="100">
        <v>21.48</v>
      </c>
      <c r="E82" s="100">
        <v>8.15</v>
      </c>
      <c r="F82" s="152" t="s">
        <v>15</v>
      </c>
      <c r="G82" s="100">
        <v>87</v>
      </c>
      <c r="H82" s="100">
        <v>25.94</v>
      </c>
      <c r="I82" s="100">
        <v>9.2200000000000006</v>
      </c>
      <c r="J82" s="100">
        <v>0.25</v>
      </c>
      <c r="K82" s="100">
        <v>114.03</v>
      </c>
      <c r="L82" s="100">
        <v>20.43</v>
      </c>
      <c r="M82" s="100">
        <v>43.4</v>
      </c>
      <c r="N82" s="100">
        <v>1.1000000000000001</v>
      </c>
      <c r="O82" s="100">
        <v>0</v>
      </c>
      <c r="P82" s="100">
        <v>0.75</v>
      </c>
      <c r="Q82" s="100">
        <v>11.25</v>
      </c>
      <c r="R82" s="6"/>
      <c r="S82" s="6"/>
      <c r="T82" s="156"/>
      <c r="U82" s="6"/>
    </row>
    <row r="83" spans="1:21" customFormat="1">
      <c r="A83" s="163" t="s">
        <v>1177</v>
      </c>
      <c r="B83" s="100">
        <v>10.15</v>
      </c>
      <c r="C83" s="100">
        <v>26.99</v>
      </c>
      <c r="D83" s="100">
        <v>23.59</v>
      </c>
      <c r="E83" s="100">
        <v>10.31</v>
      </c>
      <c r="F83" s="152" t="s">
        <v>15</v>
      </c>
      <c r="G83" s="100">
        <v>94.66</v>
      </c>
      <c r="H83" s="100">
        <v>25.94</v>
      </c>
      <c r="I83" s="100">
        <v>9.2899999999999991</v>
      </c>
      <c r="J83" s="100">
        <v>0.3</v>
      </c>
      <c r="K83" s="100">
        <v>170.6</v>
      </c>
      <c r="L83" s="100">
        <v>19.54</v>
      </c>
      <c r="M83" s="100">
        <v>56.33</v>
      </c>
      <c r="N83" s="100">
        <v>2</v>
      </c>
      <c r="O83" s="100">
        <v>0</v>
      </c>
      <c r="P83" s="100">
        <v>0.79</v>
      </c>
      <c r="Q83" s="100">
        <v>11.25</v>
      </c>
      <c r="R83" s="6"/>
      <c r="S83" s="6"/>
      <c r="T83" s="156"/>
      <c r="U83" s="6"/>
    </row>
    <row r="84" spans="1:21" customFormat="1">
      <c r="A84" s="163" t="s">
        <v>1178</v>
      </c>
      <c r="B84" s="100">
        <v>11.26</v>
      </c>
      <c r="C84" s="100">
        <v>27.71</v>
      </c>
      <c r="D84" s="100">
        <v>24.86</v>
      </c>
      <c r="E84" s="100">
        <v>9.64</v>
      </c>
      <c r="F84" s="152" t="s">
        <v>15</v>
      </c>
      <c r="G84" s="100">
        <v>94.66</v>
      </c>
      <c r="H84" s="100">
        <v>25.94</v>
      </c>
      <c r="I84" s="100">
        <v>9.69</v>
      </c>
      <c r="J84" s="100">
        <v>0.26</v>
      </c>
      <c r="K84" s="100">
        <v>171.92</v>
      </c>
      <c r="L84" s="100">
        <v>18.739999999999998</v>
      </c>
      <c r="M84" s="100">
        <v>58.37</v>
      </c>
      <c r="N84" s="100">
        <v>1.8</v>
      </c>
      <c r="O84" s="100">
        <v>0</v>
      </c>
      <c r="P84" s="100">
        <v>0.82</v>
      </c>
      <c r="Q84" s="100">
        <v>11.25</v>
      </c>
      <c r="R84" s="6"/>
      <c r="S84" s="6"/>
      <c r="T84" s="156"/>
      <c r="U84" s="6"/>
    </row>
    <row r="85" spans="1:21" customFormat="1">
      <c r="A85" s="163" t="s">
        <v>1179</v>
      </c>
      <c r="B85" s="100">
        <v>11.77</v>
      </c>
      <c r="C85" s="100">
        <v>28.31</v>
      </c>
      <c r="D85" s="100">
        <v>25.58</v>
      </c>
      <c r="E85" s="100">
        <v>9.49</v>
      </c>
      <c r="F85" s="152" t="s">
        <v>15</v>
      </c>
      <c r="G85" s="100">
        <v>94.66</v>
      </c>
      <c r="H85" s="100">
        <v>25.94</v>
      </c>
      <c r="I85" s="100">
        <v>10.28</v>
      </c>
      <c r="J85" s="100">
        <v>0.27</v>
      </c>
      <c r="K85" s="100">
        <v>183.69</v>
      </c>
      <c r="L85" s="100">
        <v>18.059999999999999</v>
      </c>
      <c r="M85" s="100">
        <v>65.59</v>
      </c>
      <c r="N85" s="100">
        <v>1.9</v>
      </c>
      <c r="O85" s="100">
        <v>0</v>
      </c>
      <c r="P85" s="100">
        <v>0.85</v>
      </c>
      <c r="Q85" s="100">
        <v>11.25</v>
      </c>
      <c r="R85" s="6"/>
      <c r="S85" s="6"/>
      <c r="T85" s="156"/>
      <c r="U85" s="6"/>
    </row>
    <row r="86" spans="1:21" customFormat="1">
      <c r="A86" s="163" t="s">
        <v>1180</v>
      </c>
      <c r="B86" s="100">
        <v>11.91</v>
      </c>
      <c r="C86" s="100">
        <v>28.52</v>
      </c>
      <c r="D86" s="100">
        <v>25.8</v>
      </c>
      <c r="E86" s="100">
        <v>9.56</v>
      </c>
      <c r="F86" s="152" t="s">
        <v>15</v>
      </c>
      <c r="G86" s="100">
        <v>106.43</v>
      </c>
      <c r="H86" s="100">
        <v>28.24</v>
      </c>
      <c r="I86" s="100">
        <v>10.96</v>
      </c>
      <c r="J86" s="100">
        <v>0.18</v>
      </c>
      <c r="K86" s="100">
        <v>159.57</v>
      </c>
      <c r="L86" s="100">
        <v>17.46</v>
      </c>
      <c r="M86" s="100">
        <v>62.99</v>
      </c>
      <c r="N86" s="100">
        <v>1.5</v>
      </c>
      <c r="O86" s="100">
        <v>0</v>
      </c>
      <c r="P86" s="100">
        <v>0.87</v>
      </c>
      <c r="Q86" s="100">
        <v>11.25</v>
      </c>
      <c r="R86" s="6"/>
      <c r="S86" s="6"/>
      <c r="T86" s="156"/>
      <c r="U86" s="6"/>
    </row>
    <row r="87" spans="1:21" customFormat="1">
      <c r="A87" s="163" t="s">
        <v>1181</v>
      </c>
      <c r="B87" s="100">
        <v>11.79</v>
      </c>
      <c r="C87" s="100">
        <v>28.66</v>
      </c>
      <c r="D87" s="100">
        <v>25.78</v>
      </c>
      <c r="E87" s="100">
        <v>9.5299999999999994</v>
      </c>
      <c r="F87" s="152" t="s">
        <v>15</v>
      </c>
      <c r="G87" s="100">
        <v>110.01</v>
      </c>
      <c r="H87" s="100">
        <v>28.24</v>
      </c>
      <c r="I87" s="100">
        <v>11.42</v>
      </c>
      <c r="J87" s="100">
        <v>0.28000000000000003</v>
      </c>
      <c r="K87" s="100">
        <v>164.72</v>
      </c>
      <c r="L87" s="100">
        <v>17.440000000000001</v>
      </c>
      <c r="M87" s="100">
        <v>62.65</v>
      </c>
      <c r="N87" s="100">
        <v>1.2</v>
      </c>
      <c r="O87" s="100">
        <v>0</v>
      </c>
      <c r="P87" s="100">
        <v>0.88</v>
      </c>
      <c r="Q87" s="100">
        <v>11.25</v>
      </c>
      <c r="R87" s="6"/>
      <c r="S87" s="6"/>
      <c r="T87" s="156"/>
      <c r="U87" s="6"/>
    </row>
    <row r="88" spans="1:21" customFormat="1">
      <c r="A88" s="163" t="s">
        <v>1182</v>
      </c>
      <c r="B88" s="100">
        <v>11.63</v>
      </c>
      <c r="C88" s="100">
        <v>28.55</v>
      </c>
      <c r="D88" s="100">
        <v>25.6</v>
      </c>
      <c r="E88" s="100">
        <v>9.49</v>
      </c>
      <c r="F88" s="152" t="s">
        <v>15</v>
      </c>
      <c r="G88" s="100">
        <v>110.01</v>
      </c>
      <c r="H88" s="100">
        <v>28.24</v>
      </c>
      <c r="I88" s="100">
        <v>11.68</v>
      </c>
      <c r="J88" s="100">
        <v>0.16</v>
      </c>
      <c r="K88" s="100">
        <v>190.15</v>
      </c>
      <c r="L88" s="100">
        <v>17.260000000000002</v>
      </c>
      <c r="M88" s="100">
        <v>66.44</v>
      </c>
      <c r="N88" s="100">
        <v>1.4</v>
      </c>
      <c r="O88" s="100">
        <v>0</v>
      </c>
      <c r="P88" s="100">
        <v>0.91</v>
      </c>
      <c r="Q88" s="100">
        <v>11.25</v>
      </c>
      <c r="R88" s="6"/>
      <c r="S88" s="6"/>
      <c r="T88" s="156"/>
      <c r="U88" s="6"/>
    </row>
    <row r="89" spans="1:21" customFormat="1">
      <c r="A89" s="163" t="s">
        <v>1183</v>
      </c>
      <c r="B89" s="100">
        <v>11.73</v>
      </c>
      <c r="C89" s="100">
        <v>28.69</v>
      </c>
      <c r="D89" s="100">
        <v>25.75</v>
      </c>
      <c r="E89" s="100">
        <v>9.94</v>
      </c>
      <c r="F89" s="152" t="s">
        <v>15</v>
      </c>
      <c r="G89" s="100">
        <v>110.01</v>
      </c>
      <c r="H89" s="100">
        <v>28.24</v>
      </c>
      <c r="I89" s="100">
        <v>11.81</v>
      </c>
      <c r="J89" s="100">
        <v>0.12</v>
      </c>
      <c r="K89" s="100">
        <v>194.79</v>
      </c>
      <c r="L89" s="100">
        <v>16.97</v>
      </c>
      <c r="M89" s="100">
        <v>66.3</v>
      </c>
      <c r="N89" s="100">
        <v>1.3</v>
      </c>
      <c r="O89" s="100">
        <v>0</v>
      </c>
      <c r="P89" s="100">
        <v>0.92</v>
      </c>
      <c r="Q89" s="100">
        <v>11.25</v>
      </c>
      <c r="R89" s="6"/>
      <c r="S89" s="6"/>
      <c r="T89" s="156"/>
      <c r="U89" s="6"/>
    </row>
    <row r="90" spans="1:21" customFormat="1">
      <c r="A90" s="163" t="s">
        <v>1184</v>
      </c>
      <c r="B90" s="100">
        <v>12.32</v>
      </c>
      <c r="C90" s="100">
        <v>28.98</v>
      </c>
      <c r="D90" s="100">
        <v>26.37</v>
      </c>
      <c r="E90" s="100">
        <v>9.6</v>
      </c>
      <c r="F90" s="152" t="s">
        <v>15</v>
      </c>
      <c r="G90" s="100">
        <v>119.29</v>
      </c>
      <c r="H90" s="100">
        <v>31.63</v>
      </c>
      <c r="I90" s="100">
        <v>11.99</v>
      </c>
      <c r="J90" s="100">
        <v>0.13</v>
      </c>
      <c r="K90" s="100">
        <v>143.38</v>
      </c>
      <c r="L90" s="100">
        <v>16.899999999999999</v>
      </c>
      <c r="M90" s="100">
        <v>64.790000000000006</v>
      </c>
      <c r="N90" s="100">
        <v>1.2</v>
      </c>
      <c r="O90" s="100">
        <v>0</v>
      </c>
      <c r="P90" s="100">
        <v>0.94</v>
      </c>
      <c r="Q90" s="100">
        <v>11.25</v>
      </c>
      <c r="R90" s="6"/>
      <c r="S90" s="6"/>
      <c r="T90" s="156"/>
      <c r="U90" s="6"/>
    </row>
    <row r="91" spans="1:21" customFormat="1">
      <c r="A91" s="163" t="s">
        <v>1185</v>
      </c>
      <c r="B91" s="100">
        <v>14.48</v>
      </c>
      <c r="C91" s="100">
        <v>29.78</v>
      </c>
      <c r="D91" s="100">
        <v>28.52</v>
      </c>
      <c r="E91" s="100">
        <v>9.31</v>
      </c>
      <c r="F91" s="152" t="s">
        <v>15</v>
      </c>
      <c r="G91" s="100">
        <v>122.12</v>
      </c>
      <c r="H91" s="100">
        <v>31.63</v>
      </c>
      <c r="I91" s="100">
        <v>12.16</v>
      </c>
      <c r="J91" s="100">
        <v>0.15</v>
      </c>
      <c r="K91" s="100">
        <v>143.19</v>
      </c>
      <c r="L91" s="100">
        <v>17.29</v>
      </c>
      <c r="M91" s="100">
        <v>62.87</v>
      </c>
      <c r="N91" s="100">
        <v>0.9</v>
      </c>
      <c r="O91" s="100">
        <v>0</v>
      </c>
      <c r="P91" s="100">
        <v>0.99</v>
      </c>
      <c r="Q91" s="100">
        <v>11.25</v>
      </c>
      <c r="R91" s="6"/>
      <c r="S91" s="6"/>
      <c r="T91" s="156"/>
      <c r="U91" s="6"/>
    </row>
    <row r="92" spans="1:21" customFormat="1">
      <c r="A92" s="163" t="s">
        <v>1186</v>
      </c>
      <c r="B92" s="100">
        <v>17.97</v>
      </c>
      <c r="C92" s="100">
        <v>30.53</v>
      </c>
      <c r="D92" s="100">
        <v>31.71</v>
      </c>
      <c r="E92" s="100">
        <v>9.6300000000000008</v>
      </c>
      <c r="F92" s="152" t="s">
        <v>15</v>
      </c>
      <c r="G92" s="100">
        <v>122.12</v>
      </c>
      <c r="H92" s="100">
        <v>31.63</v>
      </c>
      <c r="I92" s="100">
        <v>12.36</v>
      </c>
      <c r="J92" s="100">
        <v>0.21</v>
      </c>
      <c r="K92" s="100">
        <v>186.88</v>
      </c>
      <c r="L92" s="100">
        <v>16.829999999999998</v>
      </c>
      <c r="M92" s="100">
        <v>69.97</v>
      </c>
      <c r="N92" s="100">
        <v>1.5</v>
      </c>
      <c r="O92" s="100">
        <v>0</v>
      </c>
      <c r="P92" s="100">
        <v>1.04</v>
      </c>
      <c r="Q92" s="100">
        <v>11.25</v>
      </c>
      <c r="R92" s="6"/>
      <c r="S92" s="6"/>
      <c r="T92" s="156"/>
      <c r="U92" s="6"/>
    </row>
    <row r="93" spans="1:21" customFormat="1">
      <c r="A93" s="163" t="s">
        <v>1187</v>
      </c>
      <c r="B93" s="100">
        <v>20.13</v>
      </c>
      <c r="C93" s="100">
        <v>31.02</v>
      </c>
      <c r="D93" s="100">
        <v>33.700000000000003</v>
      </c>
      <c r="E93" s="100">
        <v>10</v>
      </c>
      <c r="F93" s="152" t="s">
        <v>15</v>
      </c>
      <c r="G93" s="100">
        <v>122.12</v>
      </c>
      <c r="H93" s="100">
        <v>31.63</v>
      </c>
      <c r="I93" s="100">
        <v>12.71</v>
      </c>
      <c r="J93" s="100">
        <v>0.2</v>
      </c>
      <c r="K93" s="100">
        <v>176.66</v>
      </c>
      <c r="L93" s="100">
        <v>16.239999999999998</v>
      </c>
      <c r="M93" s="100">
        <v>74.44</v>
      </c>
      <c r="N93" s="100">
        <v>1.4</v>
      </c>
      <c r="O93" s="100">
        <v>0</v>
      </c>
      <c r="P93" s="100">
        <v>1.03</v>
      </c>
      <c r="Q93" s="100">
        <v>11.25</v>
      </c>
      <c r="R93" s="6"/>
      <c r="S93" s="6"/>
      <c r="T93" s="156"/>
      <c r="U93" s="6"/>
    </row>
    <row r="94" spans="1:21" customFormat="1">
      <c r="A94" s="163" t="s">
        <v>1188</v>
      </c>
      <c r="B94" s="100">
        <v>21</v>
      </c>
      <c r="C94" s="100">
        <v>31.24</v>
      </c>
      <c r="D94" s="100">
        <v>34.51</v>
      </c>
      <c r="E94" s="100">
        <v>9.5</v>
      </c>
      <c r="F94" s="152" t="s">
        <v>15</v>
      </c>
      <c r="G94" s="100">
        <v>142.28</v>
      </c>
      <c r="H94" s="100">
        <v>33.83</v>
      </c>
      <c r="I94" s="100">
        <v>13.1</v>
      </c>
      <c r="J94" s="100">
        <v>0.21</v>
      </c>
      <c r="K94" s="100">
        <v>168.83</v>
      </c>
      <c r="L94" s="100">
        <v>15.94</v>
      </c>
      <c r="M94" s="100">
        <v>75.34</v>
      </c>
      <c r="N94" s="100">
        <v>1.3</v>
      </c>
      <c r="O94" s="100">
        <v>0</v>
      </c>
      <c r="P94" s="100">
        <v>1.05</v>
      </c>
      <c r="Q94" s="100">
        <v>11.25</v>
      </c>
      <c r="R94" s="6"/>
      <c r="S94" s="6"/>
      <c r="T94" s="156"/>
      <c r="U94" s="6"/>
    </row>
    <row r="95" spans="1:21" customFormat="1">
      <c r="A95" s="163" t="s">
        <v>1189</v>
      </c>
      <c r="B95" s="100">
        <v>21.41</v>
      </c>
      <c r="C95" s="100">
        <v>31.15</v>
      </c>
      <c r="D95" s="100">
        <v>34.799999999999997</v>
      </c>
      <c r="E95" s="100">
        <v>9.6999999999999993</v>
      </c>
      <c r="F95" s="152" t="s">
        <v>15</v>
      </c>
      <c r="G95" s="100">
        <v>148.41999999999999</v>
      </c>
      <c r="H95" s="100">
        <v>33.83</v>
      </c>
      <c r="I95" s="100">
        <v>13.41</v>
      </c>
      <c r="J95" s="100">
        <v>0.19</v>
      </c>
      <c r="K95" s="100">
        <v>166.18</v>
      </c>
      <c r="L95" s="100">
        <v>15.88</v>
      </c>
      <c r="M95" s="100">
        <v>74.430000000000007</v>
      </c>
      <c r="N95" s="100">
        <v>1.2</v>
      </c>
      <c r="O95" s="100">
        <v>0</v>
      </c>
      <c r="P95" s="100">
        <v>1.06</v>
      </c>
      <c r="Q95" s="100">
        <v>11.25</v>
      </c>
      <c r="R95" s="6"/>
      <c r="S95" s="6"/>
      <c r="T95" s="156"/>
      <c r="U95" s="6"/>
    </row>
    <row r="96" spans="1:21" customFormat="1">
      <c r="A96" s="163" t="s">
        <v>1190</v>
      </c>
      <c r="B96" s="100">
        <v>22.78</v>
      </c>
      <c r="C96" s="100">
        <v>31.39</v>
      </c>
      <c r="D96" s="100">
        <v>36.020000000000003</v>
      </c>
      <c r="E96" s="100">
        <v>9.58</v>
      </c>
      <c r="F96" s="152" t="s">
        <v>15</v>
      </c>
      <c r="G96" s="100">
        <v>148.41999999999999</v>
      </c>
      <c r="H96" s="100">
        <v>33.83</v>
      </c>
      <c r="I96" s="100">
        <v>13.68</v>
      </c>
      <c r="J96" s="100">
        <v>0.26</v>
      </c>
      <c r="K96" s="100">
        <v>164.22</v>
      </c>
      <c r="L96" s="100">
        <v>15.87</v>
      </c>
      <c r="M96" s="100">
        <v>73.959999999999994</v>
      </c>
      <c r="N96" s="100">
        <v>1.1000000000000001</v>
      </c>
      <c r="O96" s="100">
        <v>0</v>
      </c>
      <c r="P96" s="100">
        <v>1.0900000000000001</v>
      </c>
      <c r="Q96" s="100">
        <v>11.25</v>
      </c>
      <c r="R96" s="6"/>
      <c r="S96" s="6"/>
      <c r="T96" s="156"/>
      <c r="U96" s="6"/>
    </row>
    <row r="97" spans="1:28" customFormat="1">
      <c r="A97" s="163" t="s">
        <v>1191</v>
      </c>
      <c r="B97" s="100">
        <v>24.52</v>
      </c>
      <c r="C97" s="100">
        <v>31.7</v>
      </c>
      <c r="D97" s="100">
        <v>37.58</v>
      </c>
      <c r="E97" s="100">
        <v>9.36</v>
      </c>
      <c r="F97" s="152" t="s">
        <v>15</v>
      </c>
      <c r="G97" s="100">
        <v>148.41999999999999</v>
      </c>
      <c r="H97" s="100">
        <v>33.83</v>
      </c>
      <c r="I97" s="100">
        <v>13.9</v>
      </c>
      <c r="J97" s="100">
        <v>0.21</v>
      </c>
      <c r="K97" s="100">
        <v>168.58</v>
      </c>
      <c r="L97" s="100">
        <v>15.65</v>
      </c>
      <c r="M97" s="100">
        <v>76.569999999999993</v>
      </c>
      <c r="N97" s="100">
        <v>1.3</v>
      </c>
      <c r="O97" s="100">
        <v>0</v>
      </c>
      <c r="P97" s="100">
        <v>1.1200000000000001</v>
      </c>
      <c r="Q97" s="100">
        <v>11.25</v>
      </c>
      <c r="R97" s="6"/>
      <c r="S97" s="6"/>
      <c r="T97" s="156"/>
      <c r="U97" s="6"/>
    </row>
    <row r="98" spans="1:28" customFormat="1">
      <c r="A98" s="163" t="s">
        <v>1192</v>
      </c>
      <c r="B98" s="100">
        <v>25.41</v>
      </c>
      <c r="C98" s="100">
        <v>31.67</v>
      </c>
      <c r="D98" s="100">
        <v>38.28</v>
      </c>
      <c r="E98" s="100">
        <v>9.84</v>
      </c>
      <c r="F98" s="152" t="s">
        <v>15</v>
      </c>
      <c r="G98" s="100">
        <v>141.93</v>
      </c>
      <c r="H98" s="100">
        <v>38.08</v>
      </c>
      <c r="I98" s="100">
        <v>14.22</v>
      </c>
      <c r="J98" s="100">
        <v>0.23</v>
      </c>
      <c r="K98" s="100">
        <v>199.34</v>
      </c>
      <c r="L98" s="100">
        <v>15.19</v>
      </c>
      <c r="M98" s="100">
        <v>78.77</v>
      </c>
      <c r="N98" s="100">
        <v>1.5</v>
      </c>
      <c r="O98" s="100">
        <v>0</v>
      </c>
      <c r="P98" s="100">
        <v>1.1499999999999999</v>
      </c>
      <c r="Q98" s="100">
        <v>11.25</v>
      </c>
      <c r="R98" s="6"/>
      <c r="S98" s="6"/>
      <c r="T98" s="156"/>
      <c r="U98" s="6"/>
    </row>
    <row r="99" spans="1:28" customFormat="1">
      <c r="A99" s="163" t="s">
        <v>1193</v>
      </c>
      <c r="B99" s="100">
        <v>25.33</v>
      </c>
      <c r="C99" s="100">
        <v>31.57</v>
      </c>
      <c r="D99" s="100">
        <v>38.159999999999997</v>
      </c>
      <c r="E99" s="100">
        <v>9.82</v>
      </c>
      <c r="F99" s="152" t="s">
        <v>15</v>
      </c>
      <c r="G99" s="100">
        <v>139.96</v>
      </c>
      <c r="H99" s="100">
        <v>38.08</v>
      </c>
      <c r="I99" s="100">
        <v>14.54</v>
      </c>
      <c r="J99" s="100">
        <v>0.14000000000000001</v>
      </c>
      <c r="K99" s="100">
        <v>178.65</v>
      </c>
      <c r="L99" s="100">
        <v>14.68</v>
      </c>
      <c r="M99" s="100">
        <v>79.92</v>
      </c>
      <c r="N99" s="100">
        <v>1.5</v>
      </c>
      <c r="O99" s="100">
        <v>0</v>
      </c>
      <c r="P99" s="100">
        <v>1.1599999999999999</v>
      </c>
      <c r="Q99" s="100">
        <v>11.25</v>
      </c>
      <c r="R99" s="6"/>
      <c r="S99" s="6"/>
      <c r="T99" s="156"/>
      <c r="U99" s="6"/>
    </row>
    <row r="100" spans="1:28" customFormat="1">
      <c r="A100" s="163" t="s">
        <v>1194</v>
      </c>
      <c r="B100" s="100">
        <v>24.64</v>
      </c>
      <c r="C100" s="100">
        <v>31.3</v>
      </c>
      <c r="D100" s="100">
        <v>37.46</v>
      </c>
      <c r="E100" s="100">
        <v>9.75</v>
      </c>
      <c r="F100" s="152" t="s">
        <v>15</v>
      </c>
      <c r="G100" s="100">
        <v>139.96</v>
      </c>
      <c r="H100" s="100">
        <v>38.08</v>
      </c>
      <c r="I100" s="100">
        <v>14.84</v>
      </c>
      <c r="J100" s="100">
        <v>0.14000000000000001</v>
      </c>
      <c r="K100" s="100">
        <v>163.06</v>
      </c>
      <c r="L100" s="100">
        <v>14.72</v>
      </c>
      <c r="M100" s="100">
        <v>79.02</v>
      </c>
      <c r="N100" s="100">
        <v>1.1000000000000001</v>
      </c>
      <c r="O100" s="100">
        <v>0</v>
      </c>
      <c r="P100" s="100">
        <v>1.17</v>
      </c>
      <c r="Q100" s="100">
        <v>11.25</v>
      </c>
      <c r="R100" s="6"/>
      <c r="S100" s="6"/>
      <c r="T100" s="156"/>
      <c r="U100" s="6"/>
      <c r="AB100" s="161"/>
    </row>
    <row r="101" spans="1:28" customFormat="1">
      <c r="A101" s="163" t="s">
        <v>1195</v>
      </c>
      <c r="B101" s="100">
        <v>24.34</v>
      </c>
      <c r="C101" s="100">
        <v>31.05</v>
      </c>
      <c r="D101" s="100">
        <v>37.090000000000003</v>
      </c>
      <c r="E101" s="100">
        <v>9.65</v>
      </c>
      <c r="F101" s="152" t="s">
        <v>15</v>
      </c>
      <c r="G101" s="100">
        <v>139.96</v>
      </c>
      <c r="H101" s="100">
        <v>38.08</v>
      </c>
      <c r="I101" s="100">
        <v>15.07</v>
      </c>
      <c r="J101" s="100">
        <v>0.17</v>
      </c>
      <c r="K101" s="100">
        <v>201.13</v>
      </c>
      <c r="L101" s="100">
        <v>14.87</v>
      </c>
      <c r="M101" s="100">
        <v>76.569999999999993</v>
      </c>
      <c r="N101" s="100">
        <v>1.1000000000000001</v>
      </c>
      <c r="O101" s="100">
        <v>0</v>
      </c>
      <c r="P101" s="100">
        <v>1.17</v>
      </c>
      <c r="Q101" s="100">
        <v>11.25</v>
      </c>
      <c r="R101" s="6"/>
      <c r="S101" s="6"/>
      <c r="T101" s="156"/>
      <c r="U101" s="6"/>
    </row>
    <row r="102" spans="1:28" customFormat="1">
      <c r="A102" s="163" t="s">
        <v>1196</v>
      </c>
      <c r="B102" s="100">
        <v>24.29</v>
      </c>
      <c r="C102" s="100">
        <v>31.16</v>
      </c>
      <c r="D102" s="100">
        <v>37.11</v>
      </c>
      <c r="E102" s="100">
        <v>9.6300000000000008</v>
      </c>
      <c r="F102" s="152" t="s">
        <v>15</v>
      </c>
      <c r="G102" s="100">
        <v>140.16999999999999</v>
      </c>
      <c r="H102" s="100">
        <v>39.869999999999997</v>
      </c>
      <c r="I102" s="100">
        <v>15.29</v>
      </c>
      <c r="J102" s="100">
        <v>0.13</v>
      </c>
      <c r="K102" s="100">
        <v>217.27</v>
      </c>
      <c r="L102" s="100">
        <v>14.66</v>
      </c>
      <c r="M102" s="100">
        <v>74.98</v>
      </c>
      <c r="N102" s="100">
        <v>1.2</v>
      </c>
      <c r="O102" s="100">
        <v>0</v>
      </c>
      <c r="P102" s="100">
        <v>1.18</v>
      </c>
      <c r="Q102" s="100">
        <v>11.25</v>
      </c>
      <c r="R102" s="6"/>
      <c r="S102" s="6"/>
      <c r="T102" s="156"/>
      <c r="U102" s="6"/>
    </row>
    <row r="103" spans="1:28" customFormat="1">
      <c r="A103" s="163" t="s">
        <v>1197</v>
      </c>
      <c r="B103" s="100">
        <v>24.52</v>
      </c>
      <c r="C103" s="100">
        <v>31.3</v>
      </c>
      <c r="D103" s="100">
        <v>37.36</v>
      </c>
      <c r="E103" s="100">
        <v>9.91</v>
      </c>
      <c r="F103" s="152" t="s">
        <v>15</v>
      </c>
      <c r="G103" s="100">
        <v>140.22999999999999</v>
      </c>
      <c r="H103" s="100">
        <v>39.869999999999997</v>
      </c>
      <c r="I103" s="100">
        <v>15.43</v>
      </c>
      <c r="J103" s="100">
        <v>0.2</v>
      </c>
      <c r="K103" s="100">
        <v>191.53</v>
      </c>
      <c r="L103" s="100">
        <v>14.59</v>
      </c>
      <c r="M103" s="100">
        <v>76.81</v>
      </c>
      <c r="N103" s="100">
        <v>1.2</v>
      </c>
      <c r="O103" s="100">
        <v>0</v>
      </c>
      <c r="P103" s="100">
        <v>1.17</v>
      </c>
      <c r="Q103" s="100">
        <v>11.25</v>
      </c>
      <c r="R103" s="6"/>
      <c r="S103" s="6"/>
      <c r="T103" s="156"/>
      <c r="U103" s="6"/>
    </row>
    <row r="104" spans="1:28" customFormat="1">
      <c r="A104" s="163" t="s">
        <v>1198</v>
      </c>
      <c r="B104" s="100">
        <v>24.27</v>
      </c>
      <c r="C104" s="100">
        <v>31.08</v>
      </c>
      <c r="D104" s="100">
        <v>37.049999999999997</v>
      </c>
      <c r="E104" s="100">
        <v>9.27</v>
      </c>
      <c r="F104" s="152" t="s">
        <v>15</v>
      </c>
      <c r="G104" s="100">
        <v>140.22999999999999</v>
      </c>
      <c r="H104" s="100">
        <v>39.869999999999997</v>
      </c>
      <c r="I104" s="100">
        <v>15.5</v>
      </c>
      <c r="J104" s="100">
        <v>0.21</v>
      </c>
      <c r="K104" s="100">
        <v>199.62</v>
      </c>
      <c r="L104" s="100">
        <v>14.26</v>
      </c>
      <c r="M104" s="100">
        <v>79.849999999999994</v>
      </c>
      <c r="N104" s="100">
        <v>1.4</v>
      </c>
      <c r="O104" s="100">
        <v>0</v>
      </c>
      <c r="P104" s="100">
        <v>1.1599999999999999</v>
      </c>
      <c r="Q104" s="100">
        <v>11.25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3.85</v>
      </c>
      <c r="C106" s="158">
        <f>MIN(C9:C104)</f>
        <v>20.83</v>
      </c>
      <c r="D106" s="158">
        <f t="shared" ref="D106:Q106" si="0">MIN(D9:D104)</f>
        <v>15.85</v>
      </c>
      <c r="E106" s="158">
        <f t="shared" si="0"/>
        <v>6.69</v>
      </c>
      <c r="F106" s="158">
        <f t="shared" si="0"/>
        <v>0</v>
      </c>
      <c r="G106" s="158">
        <f t="shared" si="0"/>
        <v>52.69</v>
      </c>
      <c r="H106" s="158">
        <f t="shared" si="0"/>
        <v>22.64</v>
      </c>
      <c r="I106" s="158">
        <f t="shared" si="0"/>
        <v>9.11</v>
      </c>
      <c r="J106" s="158">
        <f t="shared" si="0"/>
        <v>0.05</v>
      </c>
      <c r="K106" s="158">
        <f t="shared" si="0"/>
        <v>12.57</v>
      </c>
      <c r="L106" s="158">
        <f t="shared" si="0"/>
        <v>10.15</v>
      </c>
      <c r="M106" s="158">
        <f t="shared" si="0"/>
        <v>20.420000000000002</v>
      </c>
      <c r="N106" s="158">
        <f t="shared" si="0"/>
        <v>0.6</v>
      </c>
      <c r="O106" s="158">
        <f t="shared" si="0"/>
        <v>0</v>
      </c>
      <c r="P106" s="158">
        <f t="shared" si="0"/>
        <v>0.64</v>
      </c>
      <c r="Q106" s="158">
        <f t="shared" si="0"/>
        <v>11.25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57.37</v>
      </c>
      <c r="C107" s="157">
        <f t="shared" ref="C107:Q107" si="1">MAX(C9:C104)</f>
        <v>31.7</v>
      </c>
      <c r="D107" s="157">
        <f t="shared" si="1"/>
        <v>61.98</v>
      </c>
      <c r="E107" s="157">
        <f t="shared" si="1"/>
        <v>10.31</v>
      </c>
      <c r="F107" s="157">
        <f t="shared" si="1"/>
        <v>0</v>
      </c>
      <c r="G107" s="157">
        <f t="shared" si="1"/>
        <v>148.41999999999999</v>
      </c>
      <c r="H107" s="157">
        <f t="shared" si="1"/>
        <v>39.869999999999997</v>
      </c>
      <c r="I107" s="157">
        <f t="shared" si="1"/>
        <v>21.43</v>
      </c>
      <c r="J107" s="157">
        <f t="shared" si="1"/>
        <v>0.85</v>
      </c>
      <c r="K107" s="157">
        <f t="shared" si="1"/>
        <v>217.27</v>
      </c>
      <c r="L107" s="157">
        <f t="shared" si="1"/>
        <v>27.67</v>
      </c>
      <c r="M107" s="157">
        <f t="shared" si="1"/>
        <v>93.81</v>
      </c>
      <c r="N107" s="157">
        <f t="shared" si="1"/>
        <v>461</v>
      </c>
      <c r="O107" s="157">
        <f t="shared" si="1"/>
        <v>0</v>
      </c>
      <c r="P107" s="157">
        <f t="shared" si="1"/>
        <v>1.28</v>
      </c>
      <c r="Q107" s="157">
        <f t="shared" si="1"/>
        <v>11.25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25.825000000000003</v>
      </c>
      <c r="C108" s="158">
        <f t="shared" ref="C108:Q108" si="2">AVERAGE(C9:C104)</f>
        <v>27.459375000000012</v>
      </c>
      <c r="D108" s="158">
        <f t="shared" si="2"/>
        <v>36.407500000000006</v>
      </c>
      <c r="E108" s="158">
        <f t="shared" si="2"/>
        <v>9.3956250000000008</v>
      </c>
      <c r="F108" s="158" t="e">
        <f t="shared" si="2"/>
        <v>#DIV/0!</v>
      </c>
      <c r="G108" s="158">
        <f t="shared" si="2"/>
        <v>104.63750000000003</v>
      </c>
      <c r="H108" s="158">
        <f t="shared" si="2"/>
        <v>32.246354166666642</v>
      </c>
      <c r="I108" s="158">
        <f t="shared" si="2"/>
        <v>14.937395833333339</v>
      </c>
      <c r="J108" s="158">
        <f t="shared" si="2"/>
        <v>0.27552083333333349</v>
      </c>
      <c r="K108" s="158">
        <f t="shared" si="2"/>
        <v>133.43791666666669</v>
      </c>
      <c r="L108" s="158">
        <f t="shared" si="2"/>
        <v>18.249062500000004</v>
      </c>
      <c r="M108" s="158">
        <f t="shared" si="2"/>
        <v>58.202187500000001</v>
      </c>
      <c r="N108" s="158">
        <f t="shared" si="2"/>
        <v>92.04479166666664</v>
      </c>
      <c r="O108" s="158">
        <f t="shared" si="2"/>
        <v>0</v>
      </c>
      <c r="P108" s="158">
        <f t="shared" si="2"/>
        <v>1.0285416666666671</v>
      </c>
      <c r="Q108" s="158">
        <f t="shared" si="2"/>
        <v>11.25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18.468610981309528</v>
      </c>
      <c r="C109" s="158">
        <f t="shared" ref="C109:Q109" si="3">STDEV(C9:C104)</f>
        <v>2.8940875527801944</v>
      </c>
      <c r="D109" s="158">
        <f t="shared" si="3"/>
        <v>15.123970656578665</v>
      </c>
      <c r="E109" s="158">
        <f t="shared" si="3"/>
        <v>0.52425347926963339</v>
      </c>
      <c r="F109" s="158" t="e">
        <f t="shared" si="3"/>
        <v>#DIV/0!</v>
      </c>
      <c r="G109" s="158">
        <f t="shared" si="3"/>
        <v>29.348577012038842</v>
      </c>
      <c r="H109" s="158">
        <f t="shared" si="3"/>
        <v>5.0686902948223729</v>
      </c>
      <c r="I109" s="158">
        <f t="shared" si="3"/>
        <v>3.475649805141801</v>
      </c>
      <c r="J109" s="158">
        <f t="shared" si="3"/>
        <v>0.18254844946892515</v>
      </c>
      <c r="K109" s="158">
        <f t="shared" si="3"/>
        <v>55.815323757372767</v>
      </c>
      <c r="L109" s="158">
        <f t="shared" si="3"/>
        <v>5.8042568912144406</v>
      </c>
      <c r="M109" s="158">
        <f t="shared" si="3"/>
        <v>24.916140750552</v>
      </c>
      <c r="N109" s="158">
        <f t="shared" si="3"/>
        <v>151.44172606530984</v>
      </c>
      <c r="O109" s="158">
        <f t="shared" si="3"/>
        <v>0</v>
      </c>
      <c r="P109" s="158">
        <f t="shared" si="3"/>
        <v>0.2226017409808782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I95" sqref="I9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1199</v>
      </c>
      <c r="B9" s="100">
        <v>23.79</v>
      </c>
      <c r="C9" s="100">
        <v>30.8</v>
      </c>
      <c r="D9" s="100">
        <v>36.520000000000003</v>
      </c>
      <c r="E9" s="100">
        <v>9.24</v>
      </c>
      <c r="F9" s="152" t="s">
        <v>15</v>
      </c>
      <c r="G9" s="100">
        <v>140.22999999999999</v>
      </c>
      <c r="H9" s="100">
        <v>39.869999999999997</v>
      </c>
      <c r="I9" s="100">
        <v>15.58</v>
      </c>
      <c r="J9" s="100">
        <v>0.11</v>
      </c>
      <c r="K9" s="100">
        <v>204.95</v>
      </c>
      <c r="L9" s="100">
        <v>13.97</v>
      </c>
      <c r="M9" s="100">
        <v>82.62</v>
      </c>
      <c r="N9" s="100">
        <v>1.4</v>
      </c>
      <c r="O9" s="100">
        <v>0</v>
      </c>
      <c r="P9" s="100">
        <v>1.17</v>
      </c>
      <c r="Q9" s="100">
        <v>12.54</v>
      </c>
      <c r="R9" s="6"/>
      <c r="S9" s="6"/>
      <c r="T9" s="156"/>
      <c r="U9" s="6"/>
    </row>
    <row r="10" spans="1:21" customFormat="1">
      <c r="A10" s="163" t="s">
        <v>1200</v>
      </c>
      <c r="B10" s="100">
        <v>23.02</v>
      </c>
      <c r="C10" s="100">
        <v>30.1</v>
      </c>
      <c r="D10" s="100">
        <v>35.54</v>
      </c>
      <c r="E10" s="100">
        <v>9.0399999999999991</v>
      </c>
      <c r="F10" s="152" t="s">
        <v>15</v>
      </c>
      <c r="G10" s="100">
        <v>129.72999999999999</v>
      </c>
      <c r="H10" s="100">
        <v>41.44</v>
      </c>
      <c r="I10" s="100">
        <v>15.58</v>
      </c>
      <c r="J10" s="100">
        <v>0.18</v>
      </c>
      <c r="K10" s="100">
        <v>164.4</v>
      </c>
      <c r="L10" s="100">
        <v>13.84</v>
      </c>
      <c r="M10" s="100">
        <v>84.11</v>
      </c>
      <c r="N10" s="100">
        <v>1.2</v>
      </c>
      <c r="O10" s="100">
        <v>0</v>
      </c>
      <c r="P10" s="100">
        <v>1.18</v>
      </c>
      <c r="Q10" s="100">
        <v>12.54</v>
      </c>
      <c r="R10" s="6"/>
      <c r="S10" s="6"/>
      <c r="T10" s="156"/>
      <c r="U10" s="6"/>
    </row>
    <row r="11" spans="1:21" customFormat="1">
      <c r="A11" s="163" t="s">
        <v>1201</v>
      </c>
      <c r="B11" s="100">
        <v>22.33</v>
      </c>
      <c r="C11" s="100">
        <v>29.31</v>
      </c>
      <c r="D11" s="100">
        <v>34.57</v>
      </c>
      <c r="E11" s="100">
        <v>9.24</v>
      </c>
      <c r="F11" s="152" t="s">
        <v>15</v>
      </c>
      <c r="G11" s="100">
        <v>126.53</v>
      </c>
      <c r="H11" s="100">
        <v>41.44</v>
      </c>
      <c r="I11" s="100">
        <v>15.63</v>
      </c>
      <c r="J11" s="100">
        <v>0.19</v>
      </c>
      <c r="K11" s="100">
        <v>162.18</v>
      </c>
      <c r="L11" s="100">
        <v>13.81</v>
      </c>
      <c r="M11" s="100">
        <v>83.01</v>
      </c>
      <c r="N11" s="100">
        <v>1.2</v>
      </c>
      <c r="O11" s="100">
        <v>0</v>
      </c>
      <c r="P11" s="100">
        <v>1.18</v>
      </c>
      <c r="Q11" s="100">
        <v>12.54</v>
      </c>
      <c r="R11" s="6"/>
      <c r="S11" s="6"/>
      <c r="T11" s="156"/>
      <c r="U11" s="6"/>
    </row>
    <row r="12" spans="1:21" customFormat="1">
      <c r="A12" s="163" t="s">
        <v>1202</v>
      </c>
      <c r="B12" s="100">
        <v>22.68</v>
      </c>
      <c r="C12" s="100">
        <v>29.16</v>
      </c>
      <c r="D12" s="100">
        <v>34.770000000000003</v>
      </c>
      <c r="E12" s="100">
        <v>9.65</v>
      </c>
      <c r="F12" s="152" t="s">
        <v>15</v>
      </c>
      <c r="G12" s="100">
        <v>126.53</v>
      </c>
      <c r="H12" s="100">
        <v>41.44</v>
      </c>
      <c r="I12" s="100">
        <v>15.72</v>
      </c>
      <c r="J12" s="100">
        <v>0.16</v>
      </c>
      <c r="K12" s="100">
        <v>202.02</v>
      </c>
      <c r="L12" s="100">
        <v>13.94</v>
      </c>
      <c r="M12" s="100">
        <v>76.28</v>
      </c>
      <c r="N12" s="100">
        <v>0.9</v>
      </c>
      <c r="O12" s="100">
        <v>0</v>
      </c>
      <c r="P12" s="100">
        <v>1.17</v>
      </c>
      <c r="Q12" s="100">
        <v>12.54</v>
      </c>
      <c r="R12" s="6"/>
      <c r="S12" s="6"/>
      <c r="T12" s="156"/>
      <c r="U12" s="6"/>
    </row>
    <row r="13" spans="1:21" customFormat="1">
      <c r="A13" s="163" t="s">
        <v>1203</v>
      </c>
      <c r="B13" s="100">
        <v>24.67</v>
      </c>
      <c r="C13" s="100">
        <v>29.56</v>
      </c>
      <c r="D13" s="100">
        <v>36.58</v>
      </c>
      <c r="E13" s="100">
        <v>9.24</v>
      </c>
      <c r="F13" s="152" t="s">
        <v>15</v>
      </c>
      <c r="G13" s="100">
        <v>124.16</v>
      </c>
      <c r="H13" s="100">
        <v>40.82</v>
      </c>
      <c r="I13" s="100">
        <v>0.18</v>
      </c>
      <c r="J13" s="100">
        <v>0.14000000000000001</v>
      </c>
      <c r="K13" s="100">
        <v>201.45</v>
      </c>
      <c r="L13" s="100">
        <v>13.78</v>
      </c>
      <c r="M13" s="100">
        <v>82.21</v>
      </c>
      <c r="N13" s="100">
        <v>1.3</v>
      </c>
      <c r="O13" s="100">
        <v>0</v>
      </c>
      <c r="P13" s="100">
        <v>1.18</v>
      </c>
      <c r="Q13" s="100">
        <v>12.54</v>
      </c>
      <c r="R13" s="6"/>
      <c r="S13" s="6"/>
      <c r="T13" s="156"/>
      <c r="U13" s="6"/>
    </row>
    <row r="14" spans="1:21" customFormat="1">
      <c r="A14" s="163" t="s">
        <v>1204</v>
      </c>
      <c r="B14" s="100">
        <v>24.72</v>
      </c>
      <c r="C14" s="100">
        <v>29.49</v>
      </c>
      <c r="D14" s="100">
        <v>36.58</v>
      </c>
      <c r="E14" s="100">
        <v>9.42</v>
      </c>
      <c r="F14" s="152" t="s">
        <v>15</v>
      </c>
      <c r="G14" s="100">
        <v>122.35</v>
      </c>
      <c r="H14" s="100">
        <v>40.35</v>
      </c>
      <c r="I14" s="100">
        <v>6.37</v>
      </c>
      <c r="J14" s="100">
        <v>0.17</v>
      </c>
      <c r="K14" s="100">
        <v>161.84</v>
      </c>
      <c r="L14" s="100">
        <v>13.4</v>
      </c>
      <c r="M14" s="100">
        <v>81.510000000000005</v>
      </c>
      <c r="N14" s="100">
        <v>1.3</v>
      </c>
      <c r="O14" s="100">
        <v>0</v>
      </c>
      <c r="P14" s="100">
        <v>1.1599999999999999</v>
      </c>
      <c r="Q14" s="100">
        <v>12.54</v>
      </c>
      <c r="R14" s="6"/>
      <c r="S14" s="6"/>
      <c r="T14" s="156"/>
      <c r="U14" s="6"/>
    </row>
    <row r="15" spans="1:21" customFormat="1">
      <c r="A15" s="163" t="s">
        <v>1205</v>
      </c>
      <c r="B15" s="100">
        <v>24.11</v>
      </c>
      <c r="C15" s="100">
        <v>29.36</v>
      </c>
      <c r="D15" s="100">
        <v>36.020000000000003</v>
      </c>
      <c r="E15" s="100">
        <v>9.58</v>
      </c>
      <c r="F15" s="152" t="s">
        <v>15</v>
      </c>
      <c r="G15" s="100">
        <v>122.35</v>
      </c>
      <c r="H15" s="100">
        <v>40.35</v>
      </c>
      <c r="I15" s="100">
        <v>15.49</v>
      </c>
      <c r="J15" s="100">
        <v>0.17</v>
      </c>
      <c r="K15" s="100">
        <v>155.61000000000001</v>
      </c>
      <c r="L15" s="100">
        <v>13.57</v>
      </c>
      <c r="M15" s="100">
        <v>80.78</v>
      </c>
      <c r="N15" s="100">
        <v>1.1000000000000001</v>
      </c>
      <c r="O15" s="100">
        <v>0</v>
      </c>
      <c r="P15" s="100">
        <v>1.1499999999999999</v>
      </c>
      <c r="Q15" s="100">
        <v>12.54</v>
      </c>
      <c r="R15" s="6"/>
      <c r="S15" s="6"/>
      <c r="T15" s="156"/>
      <c r="U15" s="6"/>
    </row>
    <row r="16" spans="1:21" customFormat="1">
      <c r="A16" s="163" t="s">
        <v>1206</v>
      </c>
      <c r="B16" s="100">
        <v>25.94</v>
      </c>
      <c r="C16" s="100">
        <v>29.78</v>
      </c>
      <c r="D16" s="100">
        <v>37.71</v>
      </c>
      <c r="E16" s="100">
        <v>9.93</v>
      </c>
      <c r="F16" s="152" t="s">
        <v>15</v>
      </c>
      <c r="G16" s="100">
        <v>122.35</v>
      </c>
      <c r="H16" s="100">
        <v>40.35</v>
      </c>
      <c r="I16" s="100">
        <v>15.47</v>
      </c>
      <c r="J16" s="100">
        <v>0.18</v>
      </c>
      <c r="K16" s="100">
        <v>167.07</v>
      </c>
      <c r="L16" s="100">
        <v>13.62</v>
      </c>
      <c r="M16" s="100">
        <v>80.41</v>
      </c>
      <c r="N16" s="100">
        <v>1</v>
      </c>
      <c r="O16" s="100">
        <v>0</v>
      </c>
      <c r="P16" s="100">
        <v>1.1499999999999999</v>
      </c>
      <c r="Q16" s="100">
        <v>12.54</v>
      </c>
      <c r="R16" s="6"/>
      <c r="S16" s="6"/>
      <c r="T16" s="156"/>
      <c r="U16" s="6"/>
    </row>
    <row r="17" spans="1:21" customFormat="1">
      <c r="A17" s="163" t="s">
        <v>1207</v>
      </c>
      <c r="B17" s="100">
        <v>29.19</v>
      </c>
      <c r="C17" s="100">
        <v>30.65</v>
      </c>
      <c r="D17" s="100">
        <v>40.78</v>
      </c>
      <c r="E17" s="100">
        <v>7.04</v>
      </c>
      <c r="F17" s="152" t="s">
        <v>15</v>
      </c>
      <c r="G17" s="100">
        <v>117.99</v>
      </c>
      <c r="H17" s="100">
        <v>38.9</v>
      </c>
      <c r="I17" s="100">
        <v>15.29</v>
      </c>
      <c r="J17" s="100">
        <v>0.16</v>
      </c>
      <c r="K17" s="100">
        <v>164.29</v>
      </c>
      <c r="L17" s="100">
        <v>13.26</v>
      </c>
      <c r="M17" s="100">
        <v>85.96</v>
      </c>
      <c r="N17" s="100">
        <v>1.3</v>
      </c>
      <c r="O17" s="100">
        <v>0</v>
      </c>
      <c r="P17" s="100">
        <v>1.2</v>
      </c>
      <c r="Q17" s="100">
        <v>12.54</v>
      </c>
      <c r="R17" s="6"/>
      <c r="S17" s="6"/>
      <c r="T17" s="156"/>
      <c r="U17" s="6"/>
    </row>
    <row r="18" spans="1:21" customFormat="1">
      <c r="A18" s="163" t="s">
        <v>1208</v>
      </c>
      <c r="B18" s="100">
        <v>31.09</v>
      </c>
      <c r="C18" s="100">
        <v>30.82</v>
      </c>
      <c r="D18" s="100">
        <v>42.39</v>
      </c>
      <c r="E18" s="100">
        <v>8.4700000000000006</v>
      </c>
      <c r="F18" s="152" t="s">
        <v>15</v>
      </c>
      <c r="G18" s="100">
        <v>114.66</v>
      </c>
      <c r="H18" s="100">
        <v>38.47</v>
      </c>
      <c r="I18" s="100">
        <v>15.26</v>
      </c>
      <c r="J18" s="100">
        <v>0.18</v>
      </c>
      <c r="K18" s="100">
        <v>153.9</v>
      </c>
      <c r="L18" s="100">
        <v>13.25</v>
      </c>
      <c r="M18" s="100">
        <v>83.05</v>
      </c>
      <c r="N18" s="100">
        <v>1.1000000000000001</v>
      </c>
      <c r="O18" s="100">
        <v>0</v>
      </c>
      <c r="P18" s="100">
        <v>1.21</v>
      </c>
      <c r="Q18" s="100">
        <v>12.54</v>
      </c>
      <c r="R18" s="6"/>
      <c r="S18" s="6"/>
      <c r="T18" s="156"/>
      <c r="U18" s="6"/>
    </row>
    <row r="19" spans="1:21" customFormat="1">
      <c r="A19" s="163" t="s">
        <v>1209</v>
      </c>
      <c r="B19" s="100">
        <v>34.42</v>
      </c>
      <c r="C19" s="100">
        <v>30.94</v>
      </c>
      <c r="D19" s="100">
        <v>45.12</v>
      </c>
      <c r="E19" s="100">
        <v>8.86</v>
      </c>
      <c r="F19" s="152" t="s">
        <v>15</v>
      </c>
      <c r="G19" s="100">
        <v>114.66</v>
      </c>
      <c r="H19" s="100">
        <v>38.47</v>
      </c>
      <c r="I19" s="100">
        <v>15.24</v>
      </c>
      <c r="J19" s="100">
        <v>0.24</v>
      </c>
      <c r="K19" s="100">
        <v>242.72</v>
      </c>
      <c r="L19" s="100">
        <v>13.22</v>
      </c>
      <c r="M19" s="100">
        <v>84.71</v>
      </c>
      <c r="N19" s="100">
        <v>1.3</v>
      </c>
      <c r="O19" s="100">
        <v>0</v>
      </c>
      <c r="P19" s="100">
        <v>1.22</v>
      </c>
      <c r="Q19" s="100">
        <v>12.54</v>
      </c>
      <c r="R19" s="6"/>
      <c r="S19" s="6"/>
      <c r="T19" s="156"/>
      <c r="U19" s="6"/>
    </row>
    <row r="20" spans="1:21" customFormat="1">
      <c r="A20" s="163" t="s">
        <v>1210</v>
      </c>
      <c r="B20" s="100">
        <v>36.880000000000003</v>
      </c>
      <c r="C20" s="100">
        <v>30.7</v>
      </c>
      <c r="D20" s="100">
        <v>46.97</v>
      </c>
      <c r="E20" s="100">
        <v>8.57</v>
      </c>
      <c r="F20" s="152" t="s">
        <v>15</v>
      </c>
      <c r="G20" s="100">
        <v>114.66</v>
      </c>
      <c r="H20" s="100">
        <v>38.47</v>
      </c>
      <c r="I20" s="100">
        <v>15.16</v>
      </c>
      <c r="J20" s="100">
        <v>0.16</v>
      </c>
      <c r="K20" s="100">
        <v>244.04</v>
      </c>
      <c r="L20" s="100">
        <v>12.7</v>
      </c>
      <c r="M20" s="100">
        <v>83.83</v>
      </c>
      <c r="N20" s="100">
        <v>1.6</v>
      </c>
      <c r="O20" s="100">
        <v>0</v>
      </c>
      <c r="P20" s="100">
        <v>1.22</v>
      </c>
      <c r="Q20" s="100">
        <v>12.54</v>
      </c>
      <c r="R20" s="6"/>
      <c r="S20" s="6"/>
      <c r="T20" s="156"/>
      <c r="U20" s="6"/>
    </row>
    <row r="21" spans="1:21" customFormat="1">
      <c r="A21" s="163" t="s">
        <v>1211</v>
      </c>
      <c r="B21" s="100">
        <v>38.6</v>
      </c>
      <c r="C21" s="100">
        <v>30.49</v>
      </c>
      <c r="D21" s="100">
        <v>48.23</v>
      </c>
      <c r="E21" s="100">
        <v>8.44</v>
      </c>
      <c r="F21" s="152" t="s">
        <v>15</v>
      </c>
      <c r="G21" s="100">
        <v>111</v>
      </c>
      <c r="H21" s="100">
        <v>37.53</v>
      </c>
      <c r="I21" s="100">
        <v>15.08</v>
      </c>
      <c r="J21" s="100">
        <v>0.13</v>
      </c>
      <c r="K21" s="100">
        <v>165.32</v>
      </c>
      <c r="L21" s="100">
        <v>12.73</v>
      </c>
      <c r="M21" s="100">
        <v>83.46</v>
      </c>
      <c r="N21" s="100">
        <v>1.2</v>
      </c>
      <c r="O21" s="100">
        <v>0</v>
      </c>
      <c r="P21" s="100">
        <v>1.23</v>
      </c>
      <c r="Q21" s="100">
        <v>12.54</v>
      </c>
      <c r="R21" s="6"/>
      <c r="S21" s="6"/>
      <c r="T21" s="156"/>
      <c r="U21" s="6"/>
    </row>
    <row r="22" spans="1:21" customFormat="1">
      <c r="A22" s="163" t="s">
        <v>1212</v>
      </c>
      <c r="B22" s="100">
        <v>40.549999999999997</v>
      </c>
      <c r="C22" s="100">
        <v>30.44</v>
      </c>
      <c r="D22" s="100">
        <v>49.77</v>
      </c>
      <c r="E22" s="100">
        <v>8.33</v>
      </c>
      <c r="F22" s="152" t="s">
        <v>15</v>
      </c>
      <c r="G22" s="100">
        <v>108.32</v>
      </c>
      <c r="H22" s="100">
        <v>37.24</v>
      </c>
      <c r="I22" s="100">
        <v>14.98</v>
      </c>
      <c r="J22" s="100">
        <v>0.16</v>
      </c>
      <c r="K22" s="100">
        <v>200.18</v>
      </c>
      <c r="L22" s="100">
        <v>12.67</v>
      </c>
      <c r="M22" s="100">
        <v>85.49</v>
      </c>
      <c r="N22" s="100">
        <v>1.3</v>
      </c>
      <c r="O22" s="100">
        <v>0</v>
      </c>
      <c r="P22" s="100">
        <v>1.23</v>
      </c>
      <c r="Q22" s="100">
        <v>12.54</v>
      </c>
      <c r="R22" s="6"/>
      <c r="S22" s="6"/>
      <c r="T22" s="156"/>
      <c r="U22" s="6"/>
    </row>
    <row r="23" spans="1:21" customFormat="1">
      <c r="A23" s="163" t="s">
        <v>1213</v>
      </c>
      <c r="B23" s="100">
        <v>41.97</v>
      </c>
      <c r="C23" s="100">
        <v>30.09</v>
      </c>
      <c r="D23" s="100">
        <v>50.73</v>
      </c>
      <c r="E23" s="100">
        <v>8.61</v>
      </c>
      <c r="F23" s="152" t="s">
        <v>15</v>
      </c>
      <c r="G23" s="100">
        <v>108.32</v>
      </c>
      <c r="H23" s="100">
        <v>37.24</v>
      </c>
      <c r="I23" s="100">
        <v>14.98</v>
      </c>
      <c r="J23" s="100">
        <v>0.13</v>
      </c>
      <c r="K23" s="100">
        <v>170.47</v>
      </c>
      <c r="L23" s="100">
        <v>12.53</v>
      </c>
      <c r="M23" s="100">
        <v>88.52</v>
      </c>
      <c r="N23" s="100">
        <v>1.4</v>
      </c>
      <c r="O23" s="100">
        <v>0</v>
      </c>
      <c r="P23" s="100">
        <v>1.25</v>
      </c>
      <c r="Q23" s="100">
        <v>12.54</v>
      </c>
      <c r="R23" s="6"/>
      <c r="S23" s="6"/>
      <c r="T23" s="156"/>
      <c r="U23" s="6"/>
    </row>
    <row r="24" spans="1:21" customFormat="1">
      <c r="A24" s="163" t="s">
        <v>1214</v>
      </c>
      <c r="B24" s="100">
        <v>42</v>
      </c>
      <c r="C24" s="100">
        <v>29.73</v>
      </c>
      <c r="D24" s="100">
        <v>50.57</v>
      </c>
      <c r="E24" s="100">
        <v>8.0399999999999991</v>
      </c>
      <c r="F24" s="152" t="s">
        <v>15</v>
      </c>
      <c r="G24" s="100">
        <v>108.32</v>
      </c>
      <c r="H24" s="100">
        <v>37.24</v>
      </c>
      <c r="I24" s="100">
        <v>15.03</v>
      </c>
      <c r="J24" s="100">
        <v>0.15</v>
      </c>
      <c r="K24" s="100">
        <v>189.51</v>
      </c>
      <c r="L24" s="100">
        <v>12.32</v>
      </c>
      <c r="M24" s="100">
        <v>91.07</v>
      </c>
      <c r="N24" s="100">
        <v>1.3</v>
      </c>
      <c r="O24" s="100">
        <v>0</v>
      </c>
      <c r="P24" s="100">
        <v>1.26</v>
      </c>
      <c r="Q24" s="100">
        <v>12.54</v>
      </c>
      <c r="R24" s="6"/>
      <c r="S24" s="6"/>
      <c r="T24" s="156"/>
      <c r="U24" s="6"/>
    </row>
    <row r="25" spans="1:21" customFormat="1">
      <c r="A25" s="163" t="s">
        <v>1215</v>
      </c>
      <c r="B25" s="100">
        <v>41.68</v>
      </c>
      <c r="C25" s="100">
        <v>29.07</v>
      </c>
      <c r="D25" s="100">
        <v>49.96</v>
      </c>
      <c r="E25" s="100">
        <v>7.97</v>
      </c>
      <c r="F25" s="152" t="s">
        <v>15</v>
      </c>
      <c r="G25" s="100">
        <v>108.83</v>
      </c>
      <c r="H25" s="100">
        <v>39.06</v>
      </c>
      <c r="I25" s="100">
        <v>15.15</v>
      </c>
      <c r="J25" s="100">
        <v>0.18</v>
      </c>
      <c r="K25" s="100">
        <v>175.95</v>
      </c>
      <c r="L25" s="100">
        <v>12.02</v>
      </c>
      <c r="M25" s="100">
        <v>91.19</v>
      </c>
      <c r="N25" s="100">
        <v>1.4</v>
      </c>
      <c r="O25" s="100">
        <v>0</v>
      </c>
      <c r="P25" s="100">
        <v>1.26</v>
      </c>
      <c r="Q25" s="100">
        <v>12.54</v>
      </c>
      <c r="R25" s="6"/>
      <c r="S25" s="6"/>
      <c r="T25" s="156"/>
      <c r="U25" s="6"/>
    </row>
    <row r="26" spans="1:21" customFormat="1">
      <c r="A26" s="163" t="s">
        <v>1216</v>
      </c>
      <c r="B26" s="100">
        <v>40.67</v>
      </c>
      <c r="C26" s="100">
        <v>28.55</v>
      </c>
      <c r="D26" s="100">
        <v>48.88</v>
      </c>
      <c r="E26" s="100">
        <v>7.74</v>
      </c>
      <c r="F26" s="152" t="s">
        <v>15</v>
      </c>
      <c r="G26" s="100">
        <v>109.2</v>
      </c>
      <c r="H26" s="100">
        <v>39.65</v>
      </c>
      <c r="I26" s="100">
        <v>15.18</v>
      </c>
      <c r="J26" s="100">
        <v>0.28999999999999998</v>
      </c>
      <c r="K26" s="100">
        <v>170.24</v>
      </c>
      <c r="L26" s="100">
        <v>11.87</v>
      </c>
      <c r="M26" s="100">
        <v>89.5</v>
      </c>
      <c r="N26" s="100">
        <v>1.4</v>
      </c>
      <c r="O26" s="100">
        <v>0</v>
      </c>
      <c r="P26" s="100">
        <v>1.26</v>
      </c>
      <c r="Q26" s="100">
        <v>12.54</v>
      </c>
      <c r="R26" s="6"/>
      <c r="S26" s="6"/>
      <c r="T26" s="156"/>
      <c r="U26" s="6"/>
    </row>
    <row r="27" spans="1:21" customFormat="1">
      <c r="A27" s="163" t="s">
        <v>1217</v>
      </c>
      <c r="B27" s="100">
        <v>38.89</v>
      </c>
      <c r="C27" s="100">
        <v>28.25</v>
      </c>
      <c r="D27" s="100">
        <v>47.3</v>
      </c>
      <c r="E27" s="100">
        <v>7.97</v>
      </c>
      <c r="F27" s="152" t="s">
        <v>15</v>
      </c>
      <c r="G27" s="100">
        <v>109.2</v>
      </c>
      <c r="H27" s="100">
        <v>39.65</v>
      </c>
      <c r="I27" s="100">
        <v>15.13</v>
      </c>
      <c r="J27" s="100">
        <v>0.18</v>
      </c>
      <c r="K27" s="100">
        <v>145.22</v>
      </c>
      <c r="L27" s="100">
        <v>11.9</v>
      </c>
      <c r="M27" s="100">
        <v>86.6</v>
      </c>
      <c r="N27" s="100">
        <v>1.3</v>
      </c>
      <c r="O27" s="100">
        <v>0</v>
      </c>
      <c r="P27" s="100">
        <v>1.25</v>
      </c>
      <c r="Q27" s="100">
        <v>12.54</v>
      </c>
      <c r="R27" s="6"/>
      <c r="S27" s="6"/>
      <c r="T27" s="156"/>
      <c r="U27" s="6"/>
    </row>
    <row r="28" spans="1:21" customFormat="1">
      <c r="A28" s="163" t="s">
        <v>1218</v>
      </c>
      <c r="B28" s="100">
        <v>37.08</v>
      </c>
      <c r="C28" s="100">
        <v>27.82</v>
      </c>
      <c r="D28" s="100">
        <v>45.62</v>
      </c>
      <c r="E28" s="100">
        <v>7.51</v>
      </c>
      <c r="F28" s="152" t="s">
        <v>15</v>
      </c>
      <c r="G28" s="100">
        <v>109.2</v>
      </c>
      <c r="H28" s="100">
        <v>39.65</v>
      </c>
      <c r="I28" s="100">
        <v>15.24</v>
      </c>
      <c r="J28" s="100">
        <v>0.17</v>
      </c>
      <c r="K28" s="100">
        <v>158.52000000000001</v>
      </c>
      <c r="L28" s="100">
        <v>11.92</v>
      </c>
      <c r="M28" s="100">
        <v>87.31</v>
      </c>
      <c r="N28" s="100">
        <v>1.3</v>
      </c>
      <c r="O28" s="100">
        <v>0</v>
      </c>
      <c r="P28" s="100">
        <v>1.24</v>
      </c>
      <c r="Q28" s="100">
        <v>12.54</v>
      </c>
      <c r="R28" s="6"/>
      <c r="S28" s="6"/>
      <c r="T28" s="156"/>
      <c r="U28" s="6"/>
    </row>
    <row r="29" spans="1:21" customFormat="1">
      <c r="A29" s="163" t="s">
        <v>1219</v>
      </c>
      <c r="B29" s="100">
        <v>35.11</v>
      </c>
      <c r="C29" s="100">
        <v>27.39</v>
      </c>
      <c r="D29" s="100">
        <v>43.81</v>
      </c>
      <c r="E29" s="100">
        <v>7.82</v>
      </c>
      <c r="F29" s="152" t="s">
        <v>15</v>
      </c>
      <c r="G29" s="100">
        <v>106.23</v>
      </c>
      <c r="H29" s="100">
        <v>37.44</v>
      </c>
      <c r="I29" s="100">
        <v>15.04</v>
      </c>
      <c r="J29" s="100">
        <v>0.19</v>
      </c>
      <c r="K29" s="100">
        <v>148.11000000000001</v>
      </c>
      <c r="L29" s="100">
        <v>11.83</v>
      </c>
      <c r="M29" s="100">
        <v>87.13</v>
      </c>
      <c r="N29" s="100">
        <v>1.3</v>
      </c>
      <c r="O29" s="100">
        <v>0</v>
      </c>
      <c r="P29" s="100">
        <v>1.23</v>
      </c>
      <c r="Q29" s="100">
        <v>12.54</v>
      </c>
      <c r="R29" s="6"/>
      <c r="S29" s="6"/>
      <c r="T29" s="156"/>
      <c r="U29" s="6"/>
    </row>
    <row r="30" spans="1:21" customFormat="1">
      <c r="A30" s="163" t="s">
        <v>1220</v>
      </c>
      <c r="B30" s="100">
        <v>32.92</v>
      </c>
      <c r="C30" s="100">
        <v>26.82</v>
      </c>
      <c r="D30" s="100">
        <v>41.76</v>
      </c>
      <c r="E30" s="100">
        <v>7.86</v>
      </c>
      <c r="F30" s="152" t="s">
        <v>15</v>
      </c>
      <c r="G30" s="100">
        <v>104.05</v>
      </c>
      <c r="H30" s="100">
        <v>36.75</v>
      </c>
      <c r="I30" s="100">
        <v>15</v>
      </c>
      <c r="J30" s="100">
        <v>0.2</v>
      </c>
      <c r="K30" s="100">
        <v>160.76</v>
      </c>
      <c r="L30" s="100">
        <v>11.95</v>
      </c>
      <c r="M30" s="100">
        <v>87.1</v>
      </c>
      <c r="N30" s="100">
        <v>1</v>
      </c>
      <c r="O30" s="100">
        <v>0</v>
      </c>
      <c r="P30" s="100">
        <v>1.21</v>
      </c>
      <c r="Q30" s="100">
        <v>12.54</v>
      </c>
      <c r="R30" s="6"/>
      <c r="S30" s="6"/>
      <c r="T30" s="156"/>
      <c r="U30" s="6"/>
    </row>
    <row r="31" spans="1:21" customFormat="1">
      <c r="A31" s="163" t="s">
        <v>1221</v>
      </c>
      <c r="B31" s="100">
        <v>30.66</v>
      </c>
      <c r="C31" s="100">
        <v>26.27</v>
      </c>
      <c r="D31" s="100">
        <v>39.659999999999997</v>
      </c>
      <c r="E31" s="100">
        <v>7.91</v>
      </c>
      <c r="F31" s="152" t="s">
        <v>15</v>
      </c>
      <c r="G31" s="100">
        <v>104.05</v>
      </c>
      <c r="H31" s="100">
        <v>36.75</v>
      </c>
      <c r="I31" s="100">
        <v>14.94</v>
      </c>
      <c r="J31" s="100">
        <v>0.15</v>
      </c>
      <c r="K31" s="100">
        <v>160.12</v>
      </c>
      <c r="L31" s="100">
        <v>11.78</v>
      </c>
      <c r="M31" s="100">
        <v>90.86</v>
      </c>
      <c r="N31" s="100">
        <v>1.3</v>
      </c>
      <c r="O31" s="100">
        <v>0</v>
      </c>
      <c r="P31" s="100">
        <v>1.2</v>
      </c>
      <c r="Q31" s="100">
        <v>12.54</v>
      </c>
      <c r="R31" s="6"/>
      <c r="S31" s="6"/>
      <c r="T31" s="156"/>
      <c r="U31" s="6"/>
    </row>
    <row r="32" spans="1:21" customFormat="1">
      <c r="A32" s="163" t="s">
        <v>1222</v>
      </c>
      <c r="B32" s="100">
        <v>28.56</v>
      </c>
      <c r="C32" s="100">
        <v>25.72</v>
      </c>
      <c r="D32" s="100">
        <v>37.69</v>
      </c>
      <c r="E32" s="100">
        <v>7.94</v>
      </c>
      <c r="F32" s="152" t="s">
        <v>15</v>
      </c>
      <c r="G32" s="100">
        <v>104.05</v>
      </c>
      <c r="H32" s="100">
        <v>36.75</v>
      </c>
      <c r="I32" s="100">
        <v>14.78</v>
      </c>
      <c r="J32" s="100">
        <v>0.19</v>
      </c>
      <c r="K32" s="100">
        <v>238.13</v>
      </c>
      <c r="L32" s="100">
        <v>11.67</v>
      </c>
      <c r="M32" s="100">
        <v>89.76</v>
      </c>
      <c r="N32" s="100">
        <v>1.2</v>
      </c>
      <c r="O32" s="100">
        <v>0</v>
      </c>
      <c r="P32" s="100">
        <v>1.18</v>
      </c>
      <c r="Q32" s="100">
        <v>12.54</v>
      </c>
      <c r="R32" s="6"/>
      <c r="S32" s="6"/>
      <c r="T32" s="156"/>
      <c r="U32" s="6"/>
    </row>
    <row r="33" spans="1:21" customFormat="1">
      <c r="A33" s="163" t="s">
        <v>1223</v>
      </c>
      <c r="B33" s="100">
        <v>26.7</v>
      </c>
      <c r="C33" s="100">
        <v>25.39</v>
      </c>
      <c r="D33" s="100">
        <v>36.03</v>
      </c>
      <c r="E33" s="100">
        <v>7.64</v>
      </c>
      <c r="F33" s="152" t="s">
        <v>15</v>
      </c>
      <c r="G33" s="100">
        <v>98.25</v>
      </c>
      <c r="H33" s="100">
        <v>37.14</v>
      </c>
      <c r="I33" s="100">
        <v>14.55</v>
      </c>
      <c r="J33" s="100">
        <v>0.08</v>
      </c>
      <c r="K33" s="100">
        <v>209.81</v>
      </c>
      <c r="L33" s="100">
        <v>11.49</v>
      </c>
      <c r="M33" s="100">
        <v>90.61</v>
      </c>
      <c r="N33" s="100">
        <v>1.4</v>
      </c>
      <c r="O33" s="100">
        <v>0</v>
      </c>
      <c r="P33" s="100">
        <v>1.17</v>
      </c>
      <c r="Q33" s="100">
        <v>12.54</v>
      </c>
      <c r="R33" s="6"/>
      <c r="S33" s="6"/>
      <c r="T33" s="156"/>
      <c r="U33" s="6"/>
    </row>
    <row r="34" spans="1:21" customFormat="1">
      <c r="A34" s="163" t="s">
        <v>1224</v>
      </c>
      <c r="B34" s="100">
        <v>25.23</v>
      </c>
      <c r="C34" s="100">
        <v>25.07</v>
      </c>
      <c r="D34" s="100">
        <v>34.68</v>
      </c>
      <c r="E34" s="100">
        <v>7.41</v>
      </c>
      <c r="F34" s="152" t="s">
        <v>15</v>
      </c>
      <c r="G34" s="100">
        <v>94.01</v>
      </c>
      <c r="H34" s="100">
        <v>37.26</v>
      </c>
      <c r="I34" s="100">
        <v>14.49</v>
      </c>
      <c r="J34" s="100">
        <v>0.18</v>
      </c>
      <c r="K34" s="100">
        <v>130.65</v>
      </c>
      <c r="L34" s="100">
        <v>11.43</v>
      </c>
      <c r="M34" s="100">
        <v>90.31</v>
      </c>
      <c r="N34" s="100">
        <v>1.6</v>
      </c>
      <c r="O34" s="100">
        <v>0</v>
      </c>
      <c r="P34" s="100">
        <v>1.1499999999999999</v>
      </c>
      <c r="Q34" s="100">
        <v>12.54</v>
      </c>
      <c r="R34" s="6"/>
      <c r="S34" s="6"/>
      <c r="T34" s="156"/>
      <c r="U34" s="6"/>
    </row>
    <row r="35" spans="1:21" customFormat="1">
      <c r="A35" s="163" t="s">
        <v>1225</v>
      </c>
      <c r="B35" s="100">
        <v>25.41</v>
      </c>
      <c r="C35" s="100">
        <v>24.9</v>
      </c>
      <c r="D35" s="100">
        <v>34.74</v>
      </c>
      <c r="E35" s="100">
        <v>7.17</v>
      </c>
      <c r="F35" s="152" t="s">
        <v>15</v>
      </c>
      <c r="G35" s="100">
        <v>94.01</v>
      </c>
      <c r="H35" s="100">
        <v>37.26</v>
      </c>
      <c r="I35" s="100">
        <v>14.37</v>
      </c>
      <c r="J35" s="100">
        <v>0.13</v>
      </c>
      <c r="K35" s="100">
        <v>114.68</v>
      </c>
      <c r="L35" s="100">
        <v>11.61</v>
      </c>
      <c r="M35" s="100">
        <v>88.1</v>
      </c>
      <c r="N35" s="100">
        <v>3</v>
      </c>
      <c r="O35" s="100">
        <v>0</v>
      </c>
      <c r="P35" s="100">
        <v>1.1499999999999999</v>
      </c>
      <c r="Q35" s="100">
        <v>12.54</v>
      </c>
      <c r="R35" s="6"/>
      <c r="S35" s="6"/>
      <c r="T35" s="156"/>
      <c r="U35" s="6"/>
    </row>
    <row r="36" spans="1:21" customFormat="1">
      <c r="A36" s="163" t="s">
        <v>1226</v>
      </c>
      <c r="B36" s="100">
        <v>27.98</v>
      </c>
      <c r="C36" s="100">
        <v>25.44</v>
      </c>
      <c r="D36" s="100">
        <v>37.08</v>
      </c>
      <c r="E36" s="100">
        <v>7.19</v>
      </c>
      <c r="F36" s="152" t="s">
        <v>15</v>
      </c>
      <c r="G36" s="100">
        <v>94.01</v>
      </c>
      <c r="H36" s="100">
        <v>37.26</v>
      </c>
      <c r="I36" s="100">
        <v>14.21</v>
      </c>
      <c r="J36" s="100">
        <v>0.06</v>
      </c>
      <c r="K36" s="100">
        <v>125.41</v>
      </c>
      <c r="L36" s="100">
        <v>11.89</v>
      </c>
      <c r="M36" s="100">
        <v>87.55</v>
      </c>
      <c r="N36" s="100">
        <v>7.6</v>
      </c>
      <c r="O36" s="100">
        <v>0</v>
      </c>
      <c r="P36" s="100">
        <v>1.1200000000000001</v>
      </c>
      <c r="Q36" s="100">
        <v>12.54</v>
      </c>
      <c r="R36" s="6"/>
      <c r="S36" s="6"/>
      <c r="T36" s="156"/>
      <c r="U36" s="6"/>
    </row>
    <row r="37" spans="1:21" customFormat="1">
      <c r="A37" s="163" t="s">
        <v>1227</v>
      </c>
      <c r="B37" s="100">
        <v>32.28</v>
      </c>
      <c r="C37" s="100">
        <v>26.01</v>
      </c>
      <c r="D37" s="100">
        <v>40.82</v>
      </c>
      <c r="E37" s="100">
        <v>7.6</v>
      </c>
      <c r="F37" s="152" t="s">
        <v>15</v>
      </c>
      <c r="G37" s="100">
        <v>97.8</v>
      </c>
      <c r="H37" s="100">
        <v>37.97</v>
      </c>
      <c r="I37" s="100">
        <v>14.15</v>
      </c>
      <c r="J37" s="100">
        <v>0.08</v>
      </c>
      <c r="K37" s="100">
        <v>113.44</v>
      </c>
      <c r="L37" s="100">
        <v>12.28</v>
      </c>
      <c r="M37" s="100">
        <v>86.87</v>
      </c>
      <c r="N37" s="100">
        <v>13.5</v>
      </c>
      <c r="O37" s="100">
        <v>0</v>
      </c>
      <c r="P37" s="100">
        <v>1.1299999999999999</v>
      </c>
      <c r="Q37" s="100">
        <v>12.54</v>
      </c>
      <c r="R37" s="6"/>
      <c r="S37" s="6"/>
      <c r="T37" s="156"/>
      <c r="U37" s="6"/>
    </row>
    <row r="38" spans="1:21" customFormat="1">
      <c r="A38" s="163" t="s">
        <v>1228</v>
      </c>
      <c r="B38" s="100">
        <v>35.659999999999997</v>
      </c>
      <c r="C38" s="100">
        <v>26.52</v>
      </c>
      <c r="D38" s="100">
        <v>43.8</v>
      </c>
      <c r="E38" s="100">
        <v>7.91</v>
      </c>
      <c r="F38" s="152" t="s">
        <v>15</v>
      </c>
      <c r="G38" s="100">
        <v>100.57</v>
      </c>
      <c r="H38" s="100">
        <v>38.35</v>
      </c>
      <c r="I38" s="100">
        <v>14.26</v>
      </c>
      <c r="J38" s="100">
        <v>0.14000000000000001</v>
      </c>
      <c r="K38" s="100">
        <v>123.39</v>
      </c>
      <c r="L38" s="100">
        <v>12.74</v>
      </c>
      <c r="M38" s="100">
        <v>87.2</v>
      </c>
      <c r="N38" s="100">
        <v>21.4</v>
      </c>
      <c r="O38" s="100">
        <v>0</v>
      </c>
      <c r="P38" s="100">
        <v>1.1399999999999999</v>
      </c>
      <c r="Q38" s="100">
        <v>12.54</v>
      </c>
      <c r="R38" s="6"/>
      <c r="S38" s="6"/>
      <c r="T38" s="156"/>
      <c r="U38" s="6"/>
    </row>
    <row r="39" spans="1:21" customFormat="1">
      <c r="A39" s="163" t="s">
        <v>1229</v>
      </c>
      <c r="B39" s="100">
        <v>37</v>
      </c>
      <c r="C39" s="100">
        <v>26.63</v>
      </c>
      <c r="D39" s="100">
        <v>44.93</v>
      </c>
      <c r="E39" s="100">
        <v>7.76</v>
      </c>
      <c r="F39" s="152" t="s">
        <v>15</v>
      </c>
      <c r="G39" s="100">
        <v>100.57</v>
      </c>
      <c r="H39" s="100">
        <v>38.35</v>
      </c>
      <c r="I39" s="100">
        <v>14.57</v>
      </c>
      <c r="J39" s="100">
        <v>0.36</v>
      </c>
      <c r="K39" s="100">
        <v>62.65</v>
      </c>
      <c r="L39" s="100">
        <v>13.38</v>
      </c>
      <c r="M39" s="100">
        <v>82.72</v>
      </c>
      <c r="N39" s="100">
        <v>31</v>
      </c>
      <c r="O39" s="100">
        <v>0</v>
      </c>
      <c r="P39" s="100">
        <v>1.1499999999999999</v>
      </c>
      <c r="Q39" s="100">
        <v>12.54</v>
      </c>
      <c r="R39" s="6"/>
      <c r="S39" s="6"/>
      <c r="T39" s="156"/>
      <c r="U39" s="6"/>
    </row>
    <row r="40" spans="1:21" customFormat="1">
      <c r="A40" s="163" t="s">
        <v>1230</v>
      </c>
      <c r="B40" s="100">
        <v>36.96</v>
      </c>
      <c r="C40" s="100">
        <v>27.07</v>
      </c>
      <c r="D40" s="100">
        <v>45.13</v>
      </c>
      <c r="E40" s="100">
        <v>8.2799999999999994</v>
      </c>
      <c r="F40" s="152" t="s">
        <v>15</v>
      </c>
      <c r="G40" s="100">
        <v>100.57</v>
      </c>
      <c r="H40" s="100">
        <v>38.35</v>
      </c>
      <c r="I40" s="100">
        <v>14.88</v>
      </c>
      <c r="J40" s="100">
        <v>0.6</v>
      </c>
      <c r="K40" s="100">
        <v>53.66</v>
      </c>
      <c r="L40" s="100">
        <v>14.1</v>
      </c>
      <c r="M40" s="100">
        <v>78.180000000000007</v>
      </c>
      <c r="N40" s="100">
        <v>40.799999999999997</v>
      </c>
      <c r="O40" s="100">
        <v>0</v>
      </c>
      <c r="P40" s="100">
        <v>1.1499999999999999</v>
      </c>
      <c r="Q40" s="100">
        <v>12.54</v>
      </c>
      <c r="R40" s="6"/>
      <c r="S40" s="6"/>
      <c r="T40" s="156"/>
      <c r="U40" s="6"/>
    </row>
    <row r="41" spans="1:21" customFormat="1">
      <c r="A41" s="163" t="s">
        <v>1231</v>
      </c>
      <c r="B41" s="100">
        <v>36.020000000000003</v>
      </c>
      <c r="C41" s="100">
        <v>28.25</v>
      </c>
      <c r="D41" s="100">
        <v>45</v>
      </c>
      <c r="E41" s="100">
        <v>8.18</v>
      </c>
      <c r="F41" s="152" t="s">
        <v>15</v>
      </c>
      <c r="G41" s="100">
        <v>103.91</v>
      </c>
      <c r="H41" s="100">
        <v>39.42</v>
      </c>
      <c r="I41" s="100">
        <v>15.08</v>
      </c>
      <c r="J41" s="100">
        <v>0.69</v>
      </c>
      <c r="K41" s="100">
        <v>61.52</v>
      </c>
      <c r="L41" s="100">
        <v>14.56</v>
      </c>
      <c r="M41" s="100">
        <v>75.760000000000005</v>
      </c>
      <c r="N41" s="100">
        <v>70</v>
      </c>
      <c r="O41" s="100">
        <v>0</v>
      </c>
      <c r="P41" s="100">
        <v>1.17</v>
      </c>
      <c r="Q41" s="100">
        <v>12.54</v>
      </c>
      <c r="R41" s="6"/>
      <c r="S41" s="6"/>
      <c r="T41" s="156"/>
      <c r="U41" s="6"/>
    </row>
    <row r="42" spans="1:21" customFormat="1">
      <c r="A42" s="163" t="s">
        <v>1232</v>
      </c>
      <c r="B42" s="100">
        <v>34.25</v>
      </c>
      <c r="C42" s="100">
        <v>29.08</v>
      </c>
      <c r="D42" s="100">
        <v>44.01</v>
      </c>
      <c r="E42" s="100">
        <v>8.01</v>
      </c>
      <c r="F42" s="152" t="s">
        <v>15</v>
      </c>
      <c r="G42" s="100">
        <v>106.46</v>
      </c>
      <c r="H42" s="100">
        <v>39.74</v>
      </c>
      <c r="I42" s="100">
        <v>15.32</v>
      </c>
      <c r="J42" s="100">
        <v>1.05</v>
      </c>
      <c r="K42" s="100">
        <v>57.85</v>
      </c>
      <c r="L42" s="100">
        <v>15.27</v>
      </c>
      <c r="M42" s="100">
        <v>71.33</v>
      </c>
      <c r="N42" s="100">
        <v>170.9</v>
      </c>
      <c r="O42" s="100">
        <v>0</v>
      </c>
      <c r="P42" s="100">
        <v>1.17</v>
      </c>
      <c r="Q42" s="100">
        <v>12.54</v>
      </c>
      <c r="R42" s="6"/>
      <c r="S42" s="6"/>
      <c r="T42" s="156"/>
      <c r="U42" s="6"/>
    </row>
    <row r="43" spans="1:21" customFormat="1">
      <c r="A43" s="163" t="s">
        <v>1233</v>
      </c>
      <c r="B43" s="100">
        <v>32.32</v>
      </c>
      <c r="C43" s="100">
        <v>29.81</v>
      </c>
      <c r="D43" s="100">
        <v>42.85</v>
      </c>
      <c r="E43" s="100">
        <v>7.51</v>
      </c>
      <c r="F43" s="152" t="s">
        <v>15</v>
      </c>
      <c r="G43" s="100">
        <v>106.46</v>
      </c>
      <c r="H43" s="100">
        <v>39.74</v>
      </c>
      <c r="I43" s="100">
        <v>15.56</v>
      </c>
      <c r="J43" s="100">
        <v>0.86</v>
      </c>
      <c r="K43" s="100">
        <v>50.88</v>
      </c>
      <c r="L43" s="100">
        <v>16.260000000000002</v>
      </c>
      <c r="M43" s="100">
        <v>66.87</v>
      </c>
      <c r="N43" s="100">
        <v>199.1</v>
      </c>
      <c r="O43" s="100">
        <v>0</v>
      </c>
      <c r="P43" s="100">
        <v>1.1599999999999999</v>
      </c>
      <c r="Q43" s="100">
        <v>12.54</v>
      </c>
      <c r="R43" s="6"/>
      <c r="S43" s="6"/>
      <c r="T43" s="156"/>
      <c r="U43" s="6"/>
    </row>
    <row r="44" spans="1:21" customFormat="1">
      <c r="A44" s="163" t="s">
        <v>1234</v>
      </c>
      <c r="B44" s="100">
        <v>30.3</v>
      </c>
      <c r="C44" s="100">
        <v>30.45</v>
      </c>
      <c r="D44" s="100">
        <v>41.56</v>
      </c>
      <c r="E44" s="100">
        <v>7.83</v>
      </c>
      <c r="F44" s="152" t="s">
        <v>15</v>
      </c>
      <c r="G44" s="100">
        <v>106.46</v>
      </c>
      <c r="H44" s="100">
        <v>39.74</v>
      </c>
      <c r="I44" s="100">
        <v>15.63</v>
      </c>
      <c r="J44" s="100">
        <v>0.68</v>
      </c>
      <c r="K44" s="100">
        <v>58.35</v>
      </c>
      <c r="L44" s="100">
        <v>17.54</v>
      </c>
      <c r="M44" s="100">
        <v>62.32</v>
      </c>
      <c r="N44" s="100">
        <v>185.2</v>
      </c>
      <c r="O44" s="100">
        <v>0</v>
      </c>
      <c r="P44" s="100">
        <v>1.1499999999999999</v>
      </c>
      <c r="Q44" s="100">
        <v>12.54</v>
      </c>
      <c r="R44" s="6"/>
      <c r="S44" s="6"/>
      <c r="T44" s="156"/>
      <c r="U44" s="6"/>
    </row>
    <row r="45" spans="1:21" customFormat="1">
      <c r="A45" s="163" t="s">
        <v>1235</v>
      </c>
      <c r="B45" s="100">
        <v>27.96</v>
      </c>
      <c r="C45" s="100">
        <v>30.96</v>
      </c>
      <c r="D45" s="100">
        <v>39.950000000000003</v>
      </c>
      <c r="E45" s="100">
        <v>7.55</v>
      </c>
      <c r="F45" s="152" t="s">
        <v>15</v>
      </c>
      <c r="G45" s="100">
        <v>111.88</v>
      </c>
      <c r="H45" s="100">
        <v>38.630000000000003</v>
      </c>
      <c r="I45" s="100">
        <v>15.44</v>
      </c>
      <c r="J45" s="100">
        <v>0.69</v>
      </c>
      <c r="K45" s="100">
        <v>60.82</v>
      </c>
      <c r="L45" s="100">
        <v>18.71</v>
      </c>
      <c r="M45" s="100">
        <v>58.72</v>
      </c>
      <c r="N45" s="100">
        <v>261.10000000000002</v>
      </c>
      <c r="O45" s="100">
        <v>0</v>
      </c>
      <c r="P45" s="100">
        <v>1.1399999999999999</v>
      </c>
      <c r="Q45" s="100">
        <v>12.54</v>
      </c>
      <c r="R45" s="6"/>
      <c r="S45" s="6"/>
      <c r="T45" s="156"/>
      <c r="U45" s="6"/>
    </row>
    <row r="46" spans="1:21" customFormat="1">
      <c r="A46" s="163" t="s">
        <v>1236</v>
      </c>
      <c r="B46" s="100">
        <v>25.41</v>
      </c>
      <c r="C46" s="100">
        <v>31.21</v>
      </c>
      <c r="D46" s="100">
        <v>38.04</v>
      </c>
      <c r="E46" s="100">
        <v>7.77</v>
      </c>
      <c r="F46" s="152" t="s">
        <v>15</v>
      </c>
      <c r="G46" s="100">
        <v>115.85</v>
      </c>
      <c r="H46" s="100">
        <v>38.299999999999997</v>
      </c>
      <c r="I46" s="100">
        <v>15.14</v>
      </c>
      <c r="J46" s="100">
        <v>0.49</v>
      </c>
      <c r="K46" s="100">
        <v>64.510000000000005</v>
      </c>
      <c r="L46" s="100">
        <v>20.04</v>
      </c>
      <c r="M46" s="100">
        <v>53.21</v>
      </c>
      <c r="N46" s="100">
        <v>169.4</v>
      </c>
      <c r="O46" s="100">
        <v>0</v>
      </c>
      <c r="P46" s="100">
        <v>1.1299999999999999</v>
      </c>
      <c r="Q46" s="100">
        <v>12.54</v>
      </c>
      <c r="R46" s="6"/>
      <c r="S46" s="6"/>
      <c r="T46" s="156"/>
      <c r="U46" s="6"/>
    </row>
    <row r="47" spans="1:21" customFormat="1">
      <c r="A47" s="163" t="s">
        <v>1237</v>
      </c>
      <c r="B47" s="100">
        <v>22.97</v>
      </c>
      <c r="C47" s="100">
        <v>31.71</v>
      </c>
      <c r="D47" s="100">
        <v>36.340000000000003</v>
      </c>
      <c r="E47" s="100">
        <v>7.76</v>
      </c>
      <c r="F47" s="152" t="s">
        <v>15</v>
      </c>
      <c r="G47" s="100">
        <v>115.85</v>
      </c>
      <c r="H47" s="100">
        <v>38.299999999999997</v>
      </c>
      <c r="I47" s="100">
        <v>14.9</v>
      </c>
      <c r="J47" s="100">
        <v>0.44</v>
      </c>
      <c r="K47" s="100">
        <v>78.739999999999995</v>
      </c>
      <c r="L47" s="100">
        <v>21.26</v>
      </c>
      <c r="M47" s="100">
        <v>48.01</v>
      </c>
      <c r="N47" s="100">
        <v>134.9</v>
      </c>
      <c r="O47" s="100">
        <v>0</v>
      </c>
      <c r="P47" s="100">
        <v>1.1100000000000001</v>
      </c>
      <c r="Q47" s="100">
        <v>12.54</v>
      </c>
      <c r="R47" s="6"/>
      <c r="S47" s="6"/>
      <c r="T47" s="156"/>
      <c r="U47" s="6"/>
    </row>
    <row r="48" spans="1:21" customFormat="1">
      <c r="A48" s="163" t="s">
        <v>1238</v>
      </c>
      <c r="B48" s="100">
        <v>20.55</v>
      </c>
      <c r="C48" s="100">
        <v>32.299999999999997</v>
      </c>
      <c r="D48" s="100">
        <v>34.71</v>
      </c>
      <c r="E48" s="100">
        <v>8.6</v>
      </c>
      <c r="F48" s="152" t="s">
        <v>15</v>
      </c>
      <c r="G48" s="100">
        <v>115.85</v>
      </c>
      <c r="H48" s="100">
        <v>38.299999999999997</v>
      </c>
      <c r="I48" s="100">
        <v>14.63</v>
      </c>
      <c r="J48" s="100">
        <v>0.4</v>
      </c>
      <c r="K48" s="100">
        <v>52.41</v>
      </c>
      <c r="L48" s="100">
        <v>21.96</v>
      </c>
      <c r="M48" s="100">
        <v>45.41</v>
      </c>
      <c r="N48" s="100">
        <v>172.6</v>
      </c>
      <c r="O48" s="100">
        <v>0</v>
      </c>
      <c r="P48" s="100">
        <v>1.1000000000000001</v>
      </c>
      <c r="Q48" s="100">
        <v>12.54</v>
      </c>
      <c r="R48" s="6"/>
      <c r="S48" s="6"/>
      <c r="T48" s="156"/>
      <c r="U48" s="6"/>
    </row>
    <row r="49" spans="1:21" customFormat="1">
      <c r="A49" s="163" t="s">
        <v>1239</v>
      </c>
      <c r="B49" s="100">
        <v>18.36</v>
      </c>
      <c r="C49" s="100">
        <v>32.840000000000003</v>
      </c>
      <c r="D49" s="100">
        <v>33.229999999999997</v>
      </c>
      <c r="E49" s="100">
        <v>7.9</v>
      </c>
      <c r="F49" s="152" t="s">
        <v>15</v>
      </c>
      <c r="G49" s="100">
        <v>114.25</v>
      </c>
      <c r="H49" s="100">
        <v>37.74</v>
      </c>
      <c r="I49" s="100">
        <v>14.3</v>
      </c>
      <c r="J49" s="100">
        <v>0.44</v>
      </c>
      <c r="K49" s="100">
        <v>63.43</v>
      </c>
      <c r="L49" s="100">
        <v>22.94</v>
      </c>
      <c r="M49" s="100">
        <v>43.09</v>
      </c>
      <c r="N49" s="100">
        <v>337.1</v>
      </c>
      <c r="O49" s="100">
        <v>0</v>
      </c>
      <c r="P49" s="100">
        <v>1.08</v>
      </c>
      <c r="Q49" s="100">
        <v>12.54</v>
      </c>
      <c r="R49" s="6"/>
      <c r="S49" s="6"/>
      <c r="T49" s="156"/>
      <c r="U49" s="6"/>
    </row>
    <row r="50" spans="1:21" customFormat="1">
      <c r="A50" s="163" t="s">
        <v>1240</v>
      </c>
      <c r="B50" s="100">
        <v>16.14</v>
      </c>
      <c r="C50" s="100">
        <v>33.270000000000003</v>
      </c>
      <c r="D50" s="100">
        <v>31.68</v>
      </c>
      <c r="E50" s="100">
        <v>9.6999999999999993</v>
      </c>
      <c r="F50" s="152" t="s">
        <v>15</v>
      </c>
      <c r="G50" s="100">
        <v>113.08</v>
      </c>
      <c r="H50" s="100">
        <v>37.58</v>
      </c>
      <c r="I50" s="100">
        <v>13.98</v>
      </c>
      <c r="J50" s="100">
        <v>0.63</v>
      </c>
      <c r="K50" s="100">
        <v>43.29</v>
      </c>
      <c r="L50" s="100">
        <v>23.38</v>
      </c>
      <c r="M50" s="100">
        <v>42.83</v>
      </c>
      <c r="N50" s="100">
        <v>378.2</v>
      </c>
      <c r="O50" s="100">
        <v>0</v>
      </c>
      <c r="P50" s="100">
        <v>1.05</v>
      </c>
      <c r="Q50" s="100">
        <v>12.54</v>
      </c>
      <c r="R50" s="6"/>
      <c r="S50" s="6"/>
      <c r="T50" s="156"/>
      <c r="U50" s="6"/>
    </row>
    <row r="51" spans="1:21" customFormat="1">
      <c r="A51" s="163" t="s">
        <v>1241</v>
      </c>
      <c r="B51" s="100">
        <v>13.93</v>
      </c>
      <c r="C51" s="100">
        <v>33.68</v>
      </c>
      <c r="D51" s="100">
        <v>30.12</v>
      </c>
      <c r="E51" s="100">
        <v>9.9700000000000006</v>
      </c>
      <c r="F51" s="152" t="s">
        <v>15</v>
      </c>
      <c r="G51" s="100">
        <v>113.08</v>
      </c>
      <c r="H51" s="100">
        <v>37.58</v>
      </c>
      <c r="I51" s="100">
        <v>13.72</v>
      </c>
      <c r="J51" s="100">
        <v>0.65</v>
      </c>
      <c r="K51" s="100">
        <v>54.79</v>
      </c>
      <c r="L51" s="100">
        <v>23.8</v>
      </c>
      <c r="M51" s="100">
        <v>42.38</v>
      </c>
      <c r="N51" s="100">
        <v>391.1</v>
      </c>
      <c r="O51" s="100">
        <v>0</v>
      </c>
      <c r="P51" s="100">
        <v>1.03</v>
      </c>
      <c r="Q51" s="100">
        <v>12.54</v>
      </c>
      <c r="R51" s="6"/>
      <c r="S51" s="6"/>
      <c r="T51" s="156"/>
      <c r="U51" s="6"/>
    </row>
    <row r="52" spans="1:21" customFormat="1">
      <c r="A52" s="163" t="s">
        <v>1242</v>
      </c>
      <c r="B52" s="100">
        <v>11.87</v>
      </c>
      <c r="C52" s="100">
        <v>33.79</v>
      </c>
      <c r="D52" s="100">
        <v>28.52</v>
      </c>
      <c r="E52" s="100">
        <v>9.4499999999999993</v>
      </c>
      <c r="F52" s="152" t="s">
        <v>15</v>
      </c>
      <c r="G52" s="100">
        <v>113.08</v>
      </c>
      <c r="H52" s="100">
        <v>37.58</v>
      </c>
      <c r="I52" s="100">
        <v>13.34</v>
      </c>
      <c r="J52" s="100">
        <v>0.75</v>
      </c>
      <c r="K52" s="100">
        <v>55.69</v>
      </c>
      <c r="L52" s="100">
        <v>24.58</v>
      </c>
      <c r="M52" s="100">
        <v>41.05</v>
      </c>
      <c r="N52" s="100">
        <v>403.6</v>
      </c>
      <c r="O52" s="100">
        <v>0</v>
      </c>
      <c r="P52" s="100">
        <v>1</v>
      </c>
      <c r="Q52" s="100">
        <v>12.54</v>
      </c>
      <c r="R52" s="6"/>
      <c r="S52" s="6"/>
      <c r="T52" s="156"/>
      <c r="U52" s="6"/>
    </row>
    <row r="53" spans="1:21" customFormat="1">
      <c r="A53" s="163" t="s">
        <v>1243</v>
      </c>
      <c r="B53" s="100">
        <v>9.91</v>
      </c>
      <c r="C53" s="100">
        <v>34.049999999999997</v>
      </c>
      <c r="D53" s="100">
        <v>27.09</v>
      </c>
      <c r="E53" s="100">
        <v>9.3699999999999992</v>
      </c>
      <c r="F53" s="152" t="s">
        <v>15</v>
      </c>
      <c r="G53" s="100">
        <v>104.04</v>
      </c>
      <c r="H53" s="100">
        <v>35.159999999999997</v>
      </c>
      <c r="I53" s="100">
        <v>13.03</v>
      </c>
      <c r="J53" s="100">
        <v>0.48</v>
      </c>
      <c r="K53" s="100">
        <v>71.349999999999994</v>
      </c>
      <c r="L53" s="100">
        <v>24.89</v>
      </c>
      <c r="M53" s="100">
        <v>40.21</v>
      </c>
      <c r="N53" s="100">
        <v>394.6</v>
      </c>
      <c r="O53" s="100">
        <v>0</v>
      </c>
      <c r="P53" s="100">
        <v>0.97</v>
      </c>
      <c r="Q53" s="100">
        <v>12.54</v>
      </c>
      <c r="R53" s="6"/>
      <c r="S53" s="6"/>
      <c r="T53" s="156"/>
      <c r="U53" s="6"/>
    </row>
    <row r="54" spans="1:21" customFormat="1">
      <c r="A54" s="163" t="s">
        <v>1244</v>
      </c>
      <c r="B54" s="100">
        <v>8.0299999999999994</v>
      </c>
      <c r="C54" s="100">
        <v>33.89</v>
      </c>
      <c r="D54" s="100">
        <v>25.5</v>
      </c>
      <c r="E54" s="100">
        <v>9.59</v>
      </c>
      <c r="F54" s="152" t="s">
        <v>15</v>
      </c>
      <c r="G54" s="100">
        <v>97.44</v>
      </c>
      <c r="H54" s="100">
        <v>34.450000000000003</v>
      </c>
      <c r="I54" s="100">
        <v>12.68</v>
      </c>
      <c r="J54" s="100">
        <v>0.36</v>
      </c>
      <c r="K54" s="100">
        <v>84.97</v>
      </c>
      <c r="L54" s="100">
        <v>25.45</v>
      </c>
      <c r="M54" s="100">
        <v>39.24</v>
      </c>
      <c r="N54" s="100">
        <v>361</v>
      </c>
      <c r="O54" s="100">
        <v>0</v>
      </c>
      <c r="P54" s="100">
        <v>0.95</v>
      </c>
      <c r="Q54" s="100">
        <v>12.54</v>
      </c>
      <c r="R54" s="6"/>
      <c r="S54" s="6"/>
      <c r="T54" s="156"/>
      <c r="U54" s="6"/>
    </row>
    <row r="55" spans="1:21" customFormat="1">
      <c r="A55" s="163" t="s">
        <v>1245</v>
      </c>
      <c r="B55" s="100">
        <v>6.43</v>
      </c>
      <c r="C55" s="100">
        <v>33.32</v>
      </c>
      <c r="D55" s="100">
        <v>23.92</v>
      </c>
      <c r="E55" s="100">
        <v>9.48</v>
      </c>
      <c r="F55" s="152" t="s">
        <v>15</v>
      </c>
      <c r="G55" s="100">
        <v>97.44</v>
      </c>
      <c r="H55" s="100">
        <v>34.450000000000003</v>
      </c>
      <c r="I55" s="100">
        <v>12.35</v>
      </c>
      <c r="J55" s="100">
        <v>0.59</v>
      </c>
      <c r="K55" s="100">
        <v>62.6</v>
      </c>
      <c r="L55" s="100">
        <v>25.97</v>
      </c>
      <c r="M55" s="100">
        <v>38.090000000000003</v>
      </c>
      <c r="N55" s="100">
        <v>428.4</v>
      </c>
      <c r="O55" s="100">
        <v>0</v>
      </c>
      <c r="P55" s="100">
        <v>0.93</v>
      </c>
      <c r="Q55" s="100">
        <v>12.54</v>
      </c>
      <c r="R55" s="6"/>
      <c r="S55" s="6"/>
      <c r="T55" s="156"/>
      <c r="U55" s="6"/>
    </row>
    <row r="56" spans="1:21" customFormat="1">
      <c r="A56" s="163" t="s">
        <v>1246</v>
      </c>
      <c r="B56" s="100">
        <v>5.38</v>
      </c>
      <c r="C56" s="100">
        <v>32.67</v>
      </c>
      <c r="D56" s="100">
        <v>22.73</v>
      </c>
      <c r="E56" s="100">
        <v>9.09</v>
      </c>
      <c r="F56" s="152" t="s">
        <v>15</v>
      </c>
      <c r="G56" s="100">
        <v>97.44</v>
      </c>
      <c r="H56" s="100">
        <v>34.450000000000003</v>
      </c>
      <c r="I56" s="100">
        <v>12.04</v>
      </c>
      <c r="J56" s="100">
        <v>0.31</v>
      </c>
      <c r="K56" s="100">
        <v>86.3</v>
      </c>
      <c r="L56" s="100">
        <v>26.29</v>
      </c>
      <c r="M56" s="100">
        <v>36.19</v>
      </c>
      <c r="N56" s="100">
        <v>429</v>
      </c>
      <c r="O56" s="100">
        <v>0</v>
      </c>
      <c r="P56" s="100">
        <v>0.92</v>
      </c>
      <c r="Q56" s="100">
        <v>12.54</v>
      </c>
      <c r="R56" s="6"/>
      <c r="S56" s="6"/>
      <c r="T56" s="156"/>
      <c r="U56" s="6"/>
    </row>
    <row r="57" spans="1:21" customFormat="1">
      <c r="A57" s="163" t="s">
        <v>1247</v>
      </c>
      <c r="B57" s="100">
        <v>4.9800000000000004</v>
      </c>
      <c r="C57" s="100">
        <v>31.64</v>
      </c>
      <c r="D57" s="100">
        <v>21.87</v>
      </c>
      <c r="E57" s="100">
        <v>9.4700000000000006</v>
      </c>
      <c r="F57" s="152" t="s">
        <v>15</v>
      </c>
      <c r="G57" s="100">
        <v>86.82</v>
      </c>
      <c r="H57" s="100">
        <v>31.91</v>
      </c>
      <c r="I57" s="100">
        <v>11.73</v>
      </c>
      <c r="J57" s="100">
        <v>0.22</v>
      </c>
      <c r="K57" s="100">
        <v>72.27</v>
      </c>
      <c r="L57" s="100">
        <v>26.66</v>
      </c>
      <c r="M57" s="100">
        <v>35.67</v>
      </c>
      <c r="N57" s="100">
        <v>433.5</v>
      </c>
      <c r="O57" s="100">
        <v>0</v>
      </c>
      <c r="P57" s="100">
        <v>0.93</v>
      </c>
      <c r="Q57" s="100">
        <v>12.54</v>
      </c>
      <c r="R57" s="6"/>
      <c r="S57" s="6"/>
      <c r="T57" s="156"/>
      <c r="U57" s="6"/>
    </row>
    <row r="58" spans="1:21" customFormat="1">
      <c r="A58" s="163" t="s">
        <v>1248</v>
      </c>
      <c r="B58" s="100">
        <v>4.8</v>
      </c>
      <c r="C58" s="100">
        <v>30.14</v>
      </c>
      <c r="D58" s="100">
        <v>20.95</v>
      </c>
      <c r="E58" s="100">
        <v>9.1300000000000008</v>
      </c>
      <c r="F58" s="152" t="s">
        <v>15</v>
      </c>
      <c r="G58" s="100">
        <v>79.069999999999993</v>
      </c>
      <c r="H58" s="100">
        <v>31.16</v>
      </c>
      <c r="I58" s="100">
        <v>11.48</v>
      </c>
      <c r="J58" s="100">
        <v>0.71</v>
      </c>
      <c r="K58" s="100">
        <v>58.53</v>
      </c>
      <c r="L58" s="100">
        <v>26.87</v>
      </c>
      <c r="M58" s="100">
        <v>34.75</v>
      </c>
      <c r="N58" s="100">
        <v>416.4</v>
      </c>
      <c r="O58" s="100">
        <v>0</v>
      </c>
      <c r="P58" s="100">
        <v>0.92</v>
      </c>
      <c r="Q58" s="100">
        <v>12.54</v>
      </c>
      <c r="R58" s="6"/>
      <c r="S58" s="6"/>
      <c r="T58" s="156"/>
      <c r="U58" s="6"/>
    </row>
    <row r="59" spans="1:21" customFormat="1">
      <c r="A59" s="163" t="s">
        <v>1249</v>
      </c>
      <c r="B59" s="100">
        <v>4.71</v>
      </c>
      <c r="C59" s="100">
        <v>28.75</v>
      </c>
      <c r="D59" s="100">
        <v>20.149999999999999</v>
      </c>
      <c r="E59" s="100">
        <v>9.4</v>
      </c>
      <c r="F59" s="152" t="s">
        <v>15</v>
      </c>
      <c r="G59" s="100">
        <v>79.069999999999993</v>
      </c>
      <c r="H59" s="100">
        <v>31.16</v>
      </c>
      <c r="I59" s="100">
        <v>11.35</v>
      </c>
      <c r="J59" s="100">
        <v>0.25</v>
      </c>
      <c r="K59" s="100">
        <v>37.31</v>
      </c>
      <c r="L59" s="100">
        <v>26.88</v>
      </c>
      <c r="M59" s="100">
        <v>34.11</v>
      </c>
      <c r="N59" s="100">
        <v>324.89999999999998</v>
      </c>
      <c r="O59" s="100">
        <v>0</v>
      </c>
      <c r="P59" s="100">
        <v>0.91</v>
      </c>
      <c r="Q59" s="100">
        <v>12.54</v>
      </c>
      <c r="R59" s="6"/>
      <c r="S59" s="6"/>
      <c r="T59" s="156"/>
      <c r="U59" s="6"/>
    </row>
    <row r="60" spans="1:21" customFormat="1">
      <c r="A60" s="163" t="s">
        <v>1250</v>
      </c>
      <c r="B60" s="100">
        <v>4.7</v>
      </c>
      <c r="C60" s="100">
        <v>27.38</v>
      </c>
      <c r="D60" s="100">
        <v>19.420000000000002</v>
      </c>
      <c r="E60" s="100">
        <v>10.11</v>
      </c>
      <c r="F60" s="152" t="s">
        <v>15</v>
      </c>
      <c r="G60" s="100">
        <v>79.069999999999993</v>
      </c>
      <c r="H60" s="100">
        <v>31.16</v>
      </c>
      <c r="I60" s="100">
        <v>11.16</v>
      </c>
      <c r="J60" s="100">
        <v>0.83</v>
      </c>
      <c r="K60" s="100">
        <v>35.18</v>
      </c>
      <c r="L60" s="100">
        <v>27.1</v>
      </c>
      <c r="M60" s="100">
        <v>32.89</v>
      </c>
      <c r="N60" s="100">
        <v>344.6</v>
      </c>
      <c r="O60" s="100">
        <v>0</v>
      </c>
      <c r="P60" s="100">
        <v>0.89</v>
      </c>
      <c r="Q60" s="100">
        <v>12.54</v>
      </c>
      <c r="R60" s="6"/>
      <c r="S60" s="6"/>
      <c r="T60" s="156"/>
      <c r="U60" s="6"/>
    </row>
    <row r="61" spans="1:21" customFormat="1">
      <c r="A61" s="163" t="s">
        <v>1251</v>
      </c>
      <c r="B61" s="100">
        <v>4.7300000000000004</v>
      </c>
      <c r="C61" s="100">
        <v>26.46</v>
      </c>
      <c r="D61" s="100">
        <v>18.97</v>
      </c>
      <c r="E61" s="100">
        <v>9.9700000000000006</v>
      </c>
      <c r="F61" s="152" t="s">
        <v>15</v>
      </c>
      <c r="G61" s="100">
        <v>71.790000000000006</v>
      </c>
      <c r="H61" s="100">
        <v>30.06</v>
      </c>
      <c r="I61" s="100">
        <v>11.04</v>
      </c>
      <c r="J61" s="100">
        <v>0.54</v>
      </c>
      <c r="K61" s="100">
        <v>64.06</v>
      </c>
      <c r="L61" s="100">
        <v>27.15</v>
      </c>
      <c r="M61" s="100">
        <v>32.65</v>
      </c>
      <c r="N61" s="100">
        <v>409.4</v>
      </c>
      <c r="O61" s="100">
        <v>0</v>
      </c>
      <c r="P61" s="100">
        <v>0.87</v>
      </c>
      <c r="Q61" s="100">
        <v>12.54</v>
      </c>
      <c r="R61" s="6"/>
      <c r="S61" s="6"/>
      <c r="T61" s="156"/>
      <c r="U61" s="6"/>
    </row>
    <row r="62" spans="1:21" customFormat="1">
      <c r="A62" s="163" t="s">
        <v>1252</v>
      </c>
      <c r="B62" s="100">
        <v>4.71</v>
      </c>
      <c r="C62" s="100">
        <v>25.69</v>
      </c>
      <c r="D62" s="100">
        <v>18.55</v>
      </c>
      <c r="E62" s="100">
        <v>9.9499999999999993</v>
      </c>
      <c r="F62" s="152" t="s">
        <v>15</v>
      </c>
      <c r="G62" s="100">
        <v>66.47</v>
      </c>
      <c r="H62" s="100">
        <v>29.47</v>
      </c>
      <c r="I62" s="100">
        <v>10.76</v>
      </c>
      <c r="J62" s="100">
        <v>0.5</v>
      </c>
      <c r="K62" s="100">
        <v>30.24</v>
      </c>
      <c r="L62" s="100">
        <v>27.46</v>
      </c>
      <c r="M62" s="100">
        <v>30.81</v>
      </c>
      <c r="N62" s="100">
        <v>400.9</v>
      </c>
      <c r="O62" s="100">
        <v>0</v>
      </c>
      <c r="P62" s="100">
        <v>0.87</v>
      </c>
      <c r="Q62" s="100">
        <v>12.54</v>
      </c>
      <c r="R62" s="6"/>
      <c r="S62" s="6"/>
      <c r="T62" s="156"/>
      <c r="U62" s="6"/>
    </row>
    <row r="63" spans="1:21" customFormat="1">
      <c r="A63" s="163" t="s">
        <v>1253</v>
      </c>
      <c r="B63" s="100">
        <v>4.6900000000000004</v>
      </c>
      <c r="C63" s="100">
        <v>25.04</v>
      </c>
      <c r="D63" s="100">
        <v>18.2</v>
      </c>
      <c r="E63" s="100">
        <v>9.08</v>
      </c>
      <c r="F63" s="152" t="s">
        <v>15</v>
      </c>
      <c r="G63" s="100">
        <v>66.47</v>
      </c>
      <c r="H63" s="100">
        <v>29.47</v>
      </c>
      <c r="I63" s="100">
        <v>10.51</v>
      </c>
      <c r="J63" s="100">
        <v>0.43</v>
      </c>
      <c r="K63" s="100">
        <v>69.64</v>
      </c>
      <c r="L63" s="100">
        <v>27.79</v>
      </c>
      <c r="M63" s="100">
        <v>30.13</v>
      </c>
      <c r="N63" s="100">
        <v>402</v>
      </c>
      <c r="O63" s="100">
        <v>0</v>
      </c>
      <c r="P63" s="100">
        <v>0.85</v>
      </c>
      <c r="Q63" s="100">
        <v>12.54</v>
      </c>
      <c r="R63" s="6"/>
      <c r="S63" s="6"/>
      <c r="T63" s="156"/>
      <c r="U63" s="6"/>
    </row>
    <row r="64" spans="1:21" customFormat="1">
      <c r="A64" s="163" t="s">
        <v>1254</v>
      </c>
      <c r="B64" s="100">
        <v>4.72</v>
      </c>
      <c r="C64" s="100">
        <v>24.24</v>
      </c>
      <c r="D64" s="100">
        <v>17.809999999999999</v>
      </c>
      <c r="E64" s="100">
        <v>9.26</v>
      </c>
      <c r="F64" s="152" t="s">
        <v>15</v>
      </c>
      <c r="G64" s="100">
        <v>66.47</v>
      </c>
      <c r="H64" s="100">
        <v>29.47</v>
      </c>
      <c r="I64" s="100">
        <v>10.42</v>
      </c>
      <c r="J64" s="100">
        <v>0.63</v>
      </c>
      <c r="K64" s="100">
        <v>78.540000000000006</v>
      </c>
      <c r="L64" s="100">
        <v>27.58</v>
      </c>
      <c r="M64" s="100">
        <v>29.38</v>
      </c>
      <c r="N64" s="100">
        <v>325.60000000000002</v>
      </c>
      <c r="O64" s="100">
        <v>0</v>
      </c>
      <c r="P64" s="100">
        <v>0.84</v>
      </c>
      <c r="Q64" s="100">
        <v>12.54</v>
      </c>
      <c r="R64" s="6"/>
      <c r="S64" s="6"/>
      <c r="T64" s="156"/>
      <c r="U64" s="6"/>
    </row>
    <row r="65" spans="1:21" customFormat="1">
      <c r="A65" s="163" t="s">
        <v>1255</v>
      </c>
      <c r="B65" s="100">
        <v>4.59</v>
      </c>
      <c r="C65" s="100">
        <v>23.6</v>
      </c>
      <c r="D65" s="100">
        <v>17.36</v>
      </c>
      <c r="E65" s="100">
        <v>9.65</v>
      </c>
      <c r="F65" s="152" t="s">
        <v>15</v>
      </c>
      <c r="G65" s="100">
        <v>56.18</v>
      </c>
      <c r="H65" s="100">
        <v>26.87</v>
      </c>
      <c r="I65" s="100">
        <v>10.27</v>
      </c>
      <c r="J65" s="100">
        <v>0.41</v>
      </c>
      <c r="K65" s="100">
        <v>82.7</v>
      </c>
      <c r="L65" s="100">
        <v>27.31</v>
      </c>
      <c r="M65" s="100">
        <v>29.43</v>
      </c>
      <c r="N65" s="100">
        <v>185.7</v>
      </c>
      <c r="O65" s="100">
        <v>0</v>
      </c>
      <c r="P65" s="100">
        <v>0.75</v>
      </c>
      <c r="Q65" s="100">
        <v>12.54</v>
      </c>
      <c r="R65" s="6"/>
      <c r="S65" s="6"/>
      <c r="T65" s="156"/>
      <c r="U65" s="6"/>
    </row>
    <row r="66" spans="1:21" customFormat="1">
      <c r="A66" s="163" t="s">
        <v>1256</v>
      </c>
      <c r="B66" s="100">
        <v>4.51</v>
      </c>
      <c r="C66" s="100">
        <v>22.9</v>
      </c>
      <c r="D66" s="100">
        <v>16.93</v>
      </c>
      <c r="E66" s="100">
        <v>9.86</v>
      </c>
      <c r="F66" s="152" t="s">
        <v>15</v>
      </c>
      <c r="G66" s="100">
        <v>48.65</v>
      </c>
      <c r="H66" s="100">
        <v>26.09</v>
      </c>
      <c r="I66" s="100">
        <v>10.119999999999999</v>
      </c>
      <c r="J66" s="100">
        <v>0.56999999999999995</v>
      </c>
      <c r="K66" s="100">
        <v>64.98</v>
      </c>
      <c r="L66" s="100">
        <v>27.4</v>
      </c>
      <c r="M66" s="100">
        <v>28.45</v>
      </c>
      <c r="N66" s="100">
        <v>91</v>
      </c>
      <c r="O66" s="100">
        <v>0</v>
      </c>
      <c r="P66" s="100">
        <v>0.78</v>
      </c>
      <c r="Q66" s="100">
        <v>12.54</v>
      </c>
      <c r="R66" s="6"/>
      <c r="S66" s="6"/>
      <c r="T66" s="156"/>
      <c r="U66" s="6"/>
    </row>
    <row r="67" spans="1:21" customFormat="1">
      <c r="A67" s="163" t="s">
        <v>1257</v>
      </c>
      <c r="B67" s="100">
        <v>4.51</v>
      </c>
      <c r="C67" s="100">
        <v>22.29</v>
      </c>
      <c r="D67" s="100">
        <v>16.62</v>
      </c>
      <c r="E67" s="100">
        <v>10.28</v>
      </c>
      <c r="F67" s="152" t="s">
        <v>15</v>
      </c>
      <c r="G67" s="100">
        <v>48.65</v>
      </c>
      <c r="H67" s="100">
        <v>26.09</v>
      </c>
      <c r="I67" s="100">
        <v>9.9</v>
      </c>
      <c r="J67" s="100">
        <v>0.15</v>
      </c>
      <c r="K67" s="100">
        <v>72.16</v>
      </c>
      <c r="L67" s="100">
        <v>27.07</v>
      </c>
      <c r="M67" s="100">
        <v>28.51</v>
      </c>
      <c r="N67" s="100">
        <v>115.3</v>
      </c>
      <c r="O67" s="100">
        <v>0</v>
      </c>
      <c r="P67" s="100">
        <v>0.76</v>
      </c>
      <c r="Q67" s="100">
        <v>12.54</v>
      </c>
      <c r="R67" s="6"/>
      <c r="S67" s="6"/>
      <c r="T67" s="156"/>
      <c r="U67" s="6"/>
    </row>
    <row r="68" spans="1:21" customFormat="1">
      <c r="A68" s="163" t="s">
        <v>1258</v>
      </c>
      <c r="B68" s="100">
        <v>4.5599999999999996</v>
      </c>
      <c r="C68" s="100">
        <v>21.71</v>
      </c>
      <c r="D68" s="100">
        <v>16.350000000000001</v>
      </c>
      <c r="E68" s="100">
        <v>9.75</v>
      </c>
      <c r="F68" s="152" t="s">
        <v>15</v>
      </c>
      <c r="G68" s="100">
        <v>48.65</v>
      </c>
      <c r="H68" s="100">
        <v>26.09</v>
      </c>
      <c r="I68" s="100">
        <v>9.7899999999999991</v>
      </c>
      <c r="J68" s="100">
        <v>0.69</v>
      </c>
      <c r="K68" s="100">
        <v>63.99</v>
      </c>
      <c r="L68" s="100">
        <v>27.15</v>
      </c>
      <c r="M68" s="100">
        <v>29.2</v>
      </c>
      <c r="N68" s="100">
        <v>62.6</v>
      </c>
      <c r="O68" s="100">
        <v>0</v>
      </c>
      <c r="P68" s="100">
        <v>0.76</v>
      </c>
      <c r="Q68" s="100">
        <v>12.54</v>
      </c>
      <c r="R68" s="6"/>
      <c r="S68" s="6"/>
      <c r="T68" s="156"/>
      <c r="U68" s="6"/>
    </row>
    <row r="69" spans="1:21" customFormat="1">
      <c r="A69" s="163" t="s">
        <v>1259</v>
      </c>
      <c r="B69" s="100">
        <v>4.53</v>
      </c>
      <c r="C69" s="100">
        <v>21.47</v>
      </c>
      <c r="D69" s="100">
        <v>16.2</v>
      </c>
      <c r="E69" s="100">
        <v>10.59</v>
      </c>
      <c r="F69" s="152" t="s">
        <v>15</v>
      </c>
      <c r="G69" s="100">
        <v>44.6</v>
      </c>
      <c r="H69" s="100">
        <v>22.11</v>
      </c>
      <c r="I69" s="100">
        <v>9.58</v>
      </c>
      <c r="J69" s="100">
        <v>0.92</v>
      </c>
      <c r="K69" s="100">
        <v>47.46</v>
      </c>
      <c r="L69" s="100">
        <v>27.1</v>
      </c>
      <c r="M69" s="100">
        <v>28.89</v>
      </c>
      <c r="N69" s="100">
        <v>55.2</v>
      </c>
      <c r="O69" s="100">
        <v>0</v>
      </c>
      <c r="P69" s="100">
        <v>0.75</v>
      </c>
      <c r="Q69" s="100">
        <v>12.54</v>
      </c>
      <c r="R69" s="6"/>
      <c r="S69" s="6"/>
      <c r="T69" s="156"/>
      <c r="U69" s="6"/>
    </row>
    <row r="70" spans="1:21" customFormat="1">
      <c r="A70" s="163" t="s">
        <v>1260</v>
      </c>
      <c r="B70" s="100">
        <v>4.58</v>
      </c>
      <c r="C70" s="100">
        <v>21.16</v>
      </c>
      <c r="D70" s="100">
        <v>16.079999999999998</v>
      </c>
      <c r="E70" s="100">
        <v>10.9</v>
      </c>
      <c r="F70" s="152" t="s">
        <v>15</v>
      </c>
      <c r="G70" s="100">
        <v>41.64</v>
      </c>
      <c r="H70" s="100">
        <v>20.94</v>
      </c>
      <c r="I70" s="100">
        <v>9.44</v>
      </c>
      <c r="J70" s="100">
        <v>0.37</v>
      </c>
      <c r="K70" s="100">
        <v>76.290000000000006</v>
      </c>
      <c r="L70" s="100">
        <v>26.91</v>
      </c>
      <c r="M70" s="100">
        <v>30.26</v>
      </c>
      <c r="N70" s="100">
        <v>51.8</v>
      </c>
      <c r="O70" s="100">
        <v>0</v>
      </c>
      <c r="P70" s="100">
        <v>0.75</v>
      </c>
      <c r="Q70" s="100">
        <v>12.54</v>
      </c>
      <c r="R70" s="6"/>
      <c r="S70" s="6"/>
      <c r="T70" s="156"/>
      <c r="U70" s="6"/>
    </row>
    <row r="71" spans="1:21" customFormat="1">
      <c r="A71" s="163" t="s">
        <v>1261</v>
      </c>
      <c r="B71" s="100">
        <v>4.55</v>
      </c>
      <c r="C71" s="100">
        <v>21.13</v>
      </c>
      <c r="D71" s="100">
        <v>16.04</v>
      </c>
      <c r="E71" s="100">
        <v>10.39</v>
      </c>
      <c r="F71" s="152" t="s">
        <v>15</v>
      </c>
      <c r="G71" s="100">
        <v>41.64</v>
      </c>
      <c r="H71" s="100">
        <v>20.94</v>
      </c>
      <c r="I71" s="100">
        <v>9.2200000000000006</v>
      </c>
      <c r="J71" s="100">
        <v>0.93</v>
      </c>
      <c r="K71" s="100">
        <v>51.4</v>
      </c>
      <c r="L71" s="100">
        <v>26.91</v>
      </c>
      <c r="M71" s="100">
        <v>29.72</v>
      </c>
      <c r="N71" s="100">
        <v>63.8</v>
      </c>
      <c r="O71" s="100">
        <v>0</v>
      </c>
      <c r="P71" s="100">
        <v>0.74</v>
      </c>
      <c r="Q71" s="100">
        <v>12.54</v>
      </c>
      <c r="R71" s="6"/>
      <c r="S71" s="6"/>
      <c r="T71" s="156"/>
      <c r="U71" s="6"/>
    </row>
    <row r="72" spans="1:21" customFormat="1">
      <c r="A72" s="163" t="s">
        <v>1262</v>
      </c>
      <c r="B72" s="100">
        <v>4.6100000000000003</v>
      </c>
      <c r="C72" s="100">
        <v>20.99</v>
      </c>
      <c r="D72" s="100">
        <v>16.010000000000002</v>
      </c>
      <c r="E72" s="100">
        <v>10.24</v>
      </c>
      <c r="F72" s="152" t="s">
        <v>15</v>
      </c>
      <c r="G72" s="100">
        <v>41.64</v>
      </c>
      <c r="H72" s="100">
        <v>20.94</v>
      </c>
      <c r="I72" s="100">
        <v>8.9499999999999993</v>
      </c>
      <c r="J72" s="100">
        <v>0.37</v>
      </c>
      <c r="K72" s="100">
        <v>83.77</v>
      </c>
      <c r="L72" s="100">
        <v>26.78</v>
      </c>
      <c r="M72" s="100">
        <v>31.21</v>
      </c>
      <c r="N72" s="100">
        <v>42.5</v>
      </c>
      <c r="O72" s="100">
        <v>0</v>
      </c>
      <c r="P72" s="100">
        <v>0.73</v>
      </c>
      <c r="Q72" s="100">
        <v>12.54</v>
      </c>
      <c r="R72" s="6"/>
      <c r="S72" s="6"/>
      <c r="T72" s="156"/>
      <c r="U72" s="6"/>
    </row>
    <row r="73" spans="1:21" customFormat="1">
      <c r="A73" s="163" t="s">
        <v>1263</v>
      </c>
      <c r="B73" s="100">
        <v>4.63</v>
      </c>
      <c r="C73" s="100">
        <v>20.78</v>
      </c>
      <c r="D73" s="100">
        <v>15.92</v>
      </c>
      <c r="E73" s="100">
        <v>9.8000000000000007</v>
      </c>
      <c r="F73" s="152" t="s">
        <v>15</v>
      </c>
      <c r="G73" s="100">
        <v>44.09</v>
      </c>
      <c r="H73" s="100">
        <v>19.7</v>
      </c>
      <c r="I73" s="100">
        <v>8.85</v>
      </c>
      <c r="J73" s="100">
        <v>0.22</v>
      </c>
      <c r="K73" s="100">
        <v>97.6</v>
      </c>
      <c r="L73" s="100">
        <v>26.5</v>
      </c>
      <c r="M73" s="100">
        <v>32.26</v>
      </c>
      <c r="N73" s="100">
        <v>35.5</v>
      </c>
      <c r="O73" s="100">
        <v>0</v>
      </c>
      <c r="P73" s="100">
        <v>0.73</v>
      </c>
      <c r="Q73" s="100">
        <v>12.54</v>
      </c>
      <c r="R73" s="6"/>
      <c r="S73" s="6"/>
      <c r="T73" s="156"/>
      <c r="U73" s="6"/>
    </row>
    <row r="74" spans="1:21" customFormat="1">
      <c r="A74" s="163" t="s">
        <v>1264</v>
      </c>
      <c r="B74" s="100">
        <v>4.6100000000000003</v>
      </c>
      <c r="C74" s="100">
        <v>20.46</v>
      </c>
      <c r="D74" s="100">
        <v>15.74</v>
      </c>
      <c r="E74" s="100">
        <v>10.4</v>
      </c>
      <c r="F74" s="152" t="s">
        <v>15</v>
      </c>
      <c r="G74" s="100">
        <v>45.87</v>
      </c>
      <c r="H74" s="100">
        <v>19.329999999999998</v>
      </c>
      <c r="I74" s="100">
        <v>8.69</v>
      </c>
      <c r="J74" s="100">
        <v>0.26</v>
      </c>
      <c r="K74" s="100">
        <v>148.36000000000001</v>
      </c>
      <c r="L74" s="100">
        <v>26.11</v>
      </c>
      <c r="M74" s="100">
        <v>34.840000000000003</v>
      </c>
      <c r="N74" s="100">
        <v>32.1</v>
      </c>
      <c r="O74" s="100">
        <v>0</v>
      </c>
      <c r="P74" s="100">
        <v>0.71</v>
      </c>
      <c r="Q74" s="100">
        <v>12.54</v>
      </c>
      <c r="R74" s="6"/>
      <c r="S74" s="6"/>
      <c r="T74" s="156"/>
      <c r="U74" s="6"/>
    </row>
    <row r="75" spans="1:21" customFormat="1">
      <c r="A75" s="163" t="s">
        <v>1265</v>
      </c>
      <c r="B75" s="100">
        <v>4.47</v>
      </c>
      <c r="C75" s="100">
        <v>20.18</v>
      </c>
      <c r="D75" s="100">
        <v>15.48</v>
      </c>
      <c r="E75" s="100">
        <v>10.18</v>
      </c>
      <c r="F75" s="152" t="s">
        <v>15</v>
      </c>
      <c r="G75" s="100">
        <v>45.87</v>
      </c>
      <c r="H75" s="100">
        <v>19.329999999999998</v>
      </c>
      <c r="I75" s="100">
        <v>8.6199999999999992</v>
      </c>
      <c r="J75" s="100">
        <v>0.21</v>
      </c>
      <c r="K75" s="100">
        <v>147.12</v>
      </c>
      <c r="L75" s="100">
        <v>25.86</v>
      </c>
      <c r="M75" s="100">
        <v>35.82</v>
      </c>
      <c r="N75" s="100">
        <v>27.4</v>
      </c>
      <c r="O75" s="100">
        <v>0</v>
      </c>
      <c r="P75" s="100">
        <v>0.7</v>
      </c>
      <c r="Q75" s="100">
        <v>12.54</v>
      </c>
      <c r="R75" s="6"/>
      <c r="S75" s="6"/>
      <c r="T75" s="156"/>
      <c r="U75" s="6"/>
    </row>
    <row r="76" spans="1:21" customFormat="1">
      <c r="A76" s="163" t="s">
        <v>1266</v>
      </c>
      <c r="B76" s="100">
        <v>4.21</v>
      </c>
      <c r="C76" s="100">
        <v>19.86</v>
      </c>
      <c r="D76" s="100">
        <v>15.1</v>
      </c>
      <c r="E76" s="100">
        <v>10.08</v>
      </c>
      <c r="F76" s="152" t="s">
        <v>15</v>
      </c>
      <c r="G76" s="100">
        <v>45.87</v>
      </c>
      <c r="H76" s="100">
        <v>19.329999999999998</v>
      </c>
      <c r="I76" s="100">
        <v>8.58</v>
      </c>
      <c r="J76" s="100">
        <v>0.22</v>
      </c>
      <c r="K76" s="100">
        <v>151.75</v>
      </c>
      <c r="L76" s="100">
        <v>25.41</v>
      </c>
      <c r="M76" s="100">
        <v>37.42</v>
      </c>
      <c r="N76" s="100">
        <v>19.100000000000001</v>
      </c>
      <c r="O76" s="100">
        <v>0</v>
      </c>
      <c r="P76" s="100">
        <v>0.64</v>
      </c>
      <c r="Q76" s="100">
        <v>12.54</v>
      </c>
      <c r="R76" s="6"/>
      <c r="S76" s="6"/>
      <c r="T76" s="156"/>
      <c r="U76" s="6"/>
    </row>
    <row r="77" spans="1:21" customFormat="1">
      <c r="A77" s="163" t="s">
        <v>1267</v>
      </c>
      <c r="B77" s="100">
        <v>4.07</v>
      </c>
      <c r="C77" s="100">
        <v>19.59</v>
      </c>
      <c r="D77" s="100">
        <v>14.85</v>
      </c>
      <c r="E77" s="100">
        <v>9.8000000000000007</v>
      </c>
      <c r="F77" s="152" t="s">
        <v>15</v>
      </c>
      <c r="G77" s="100">
        <v>45.39</v>
      </c>
      <c r="H77" s="100">
        <v>21.09</v>
      </c>
      <c r="I77" s="100">
        <v>8.5</v>
      </c>
      <c r="J77" s="100">
        <v>0.21</v>
      </c>
      <c r="K77" s="100">
        <v>161.75</v>
      </c>
      <c r="L77" s="100">
        <v>24.65</v>
      </c>
      <c r="M77" s="100">
        <v>39.94</v>
      </c>
      <c r="N77" s="100">
        <v>14.4</v>
      </c>
      <c r="O77" s="100">
        <v>0</v>
      </c>
      <c r="P77" s="100">
        <v>0.63</v>
      </c>
      <c r="Q77" s="100">
        <v>12.54</v>
      </c>
      <c r="R77" s="6"/>
      <c r="S77" s="6"/>
      <c r="T77" s="156"/>
      <c r="U77" s="6"/>
    </row>
    <row r="78" spans="1:21" customFormat="1">
      <c r="A78" s="163" t="s">
        <v>1268</v>
      </c>
      <c r="B78" s="100">
        <v>3.97</v>
      </c>
      <c r="C78" s="100">
        <v>19.350000000000001</v>
      </c>
      <c r="D78" s="100">
        <v>14.64</v>
      </c>
      <c r="E78" s="100">
        <v>9.9</v>
      </c>
      <c r="F78" s="152" t="s">
        <v>15</v>
      </c>
      <c r="G78" s="100">
        <v>45.04</v>
      </c>
      <c r="H78" s="100">
        <v>21.62</v>
      </c>
      <c r="I78" s="100">
        <v>8.24</v>
      </c>
      <c r="J78" s="100">
        <v>0.2</v>
      </c>
      <c r="K78" s="100">
        <v>173.54</v>
      </c>
      <c r="L78" s="100">
        <v>23.67</v>
      </c>
      <c r="M78" s="100">
        <v>42.5</v>
      </c>
      <c r="N78" s="100">
        <v>6.9</v>
      </c>
      <c r="O78" s="100">
        <v>0</v>
      </c>
      <c r="P78" s="100">
        <v>0.62</v>
      </c>
      <c r="Q78" s="100">
        <v>12.54</v>
      </c>
      <c r="R78" s="6"/>
      <c r="S78" s="6"/>
      <c r="T78" s="156"/>
      <c r="U78" s="6"/>
    </row>
    <row r="79" spans="1:21" customFormat="1">
      <c r="A79" s="163" t="s">
        <v>1269</v>
      </c>
      <c r="B79" s="100">
        <v>3.91</v>
      </c>
      <c r="C79" s="100">
        <v>19.05</v>
      </c>
      <c r="D79" s="100">
        <v>14.44</v>
      </c>
      <c r="E79" s="100">
        <v>9.5299999999999994</v>
      </c>
      <c r="F79" s="152" t="s">
        <v>15</v>
      </c>
      <c r="G79" s="100">
        <v>45.04</v>
      </c>
      <c r="H79" s="100">
        <v>21.62</v>
      </c>
      <c r="I79" s="100">
        <v>8.0299999999999994</v>
      </c>
      <c r="J79" s="100">
        <v>0.27</v>
      </c>
      <c r="K79" s="100">
        <v>168.09</v>
      </c>
      <c r="L79" s="100">
        <v>22.86</v>
      </c>
      <c r="M79" s="100">
        <v>46.32</v>
      </c>
      <c r="N79" s="100">
        <v>3.3</v>
      </c>
      <c r="O79" s="100">
        <v>0</v>
      </c>
      <c r="P79" s="100">
        <v>0.6</v>
      </c>
      <c r="Q79" s="100">
        <v>12.54</v>
      </c>
      <c r="R79" s="6"/>
      <c r="S79" s="6"/>
      <c r="T79" s="156"/>
      <c r="U79" s="6"/>
    </row>
    <row r="80" spans="1:21" customFormat="1">
      <c r="A80" s="163" t="s">
        <v>1270</v>
      </c>
      <c r="B80" s="100">
        <v>3.92</v>
      </c>
      <c r="C80" s="100">
        <v>19.03</v>
      </c>
      <c r="D80" s="100">
        <v>14.43</v>
      </c>
      <c r="E80" s="100">
        <v>10.130000000000001</v>
      </c>
      <c r="F80" s="152" t="s">
        <v>15</v>
      </c>
      <c r="G80" s="100">
        <v>45.04</v>
      </c>
      <c r="H80" s="100">
        <v>21.62</v>
      </c>
      <c r="I80" s="100">
        <v>7.98</v>
      </c>
      <c r="J80" s="100">
        <v>0.3</v>
      </c>
      <c r="K80" s="100">
        <v>165.91</v>
      </c>
      <c r="L80" s="100">
        <v>21.99</v>
      </c>
      <c r="M80" s="100">
        <v>55.37</v>
      </c>
      <c r="N80" s="100">
        <v>2.2000000000000002</v>
      </c>
      <c r="O80" s="100">
        <v>0</v>
      </c>
      <c r="P80" s="100">
        <v>0.6</v>
      </c>
      <c r="Q80" s="100">
        <v>12.54</v>
      </c>
      <c r="R80" s="6"/>
      <c r="S80" s="6"/>
      <c r="T80" s="156"/>
      <c r="U80" s="6"/>
    </row>
    <row r="81" spans="1:21" customFormat="1">
      <c r="A81" s="163" t="s">
        <v>1271</v>
      </c>
      <c r="B81" s="100">
        <v>4</v>
      </c>
      <c r="C81" s="100">
        <v>19.11</v>
      </c>
      <c r="D81" s="100">
        <v>14.54</v>
      </c>
      <c r="E81" s="100">
        <v>7.83</v>
      </c>
      <c r="F81" s="152" t="s">
        <v>15</v>
      </c>
      <c r="G81" s="100">
        <v>49.51</v>
      </c>
      <c r="H81" s="100">
        <v>22.43</v>
      </c>
      <c r="I81" s="100">
        <v>7.82</v>
      </c>
      <c r="J81" s="100">
        <v>0.31</v>
      </c>
      <c r="K81" s="100">
        <v>165.05</v>
      </c>
      <c r="L81" s="100">
        <v>21.44</v>
      </c>
      <c r="M81" s="100">
        <v>57.61</v>
      </c>
      <c r="N81" s="100">
        <v>1.9</v>
      </c>
      <c r="O81" s="100">
        <v>0</v>
      </c>
      <c r="P81" s="100">
        <v>0.6</v>
      </c>
      <c r="Q81" s="100">
        <v>12.54</v>
      </c>
      <c r="R81" s="6"/>
      <c r="S81" s="6"/>
      <c r="T81" s="156"/>
      <c r="U81" s="6"/>
    </row>
    <row r="82" spans="1:21" customFormat="1">
      <c r="A82" s="163" t="s">
        <v>1272</v>
      </c>
      <c r="B82" s="100">
        <v>4.2</v>
      </c>
      <c r="C82" s="100">
        <v>19.489999999999998</v>
      </c>
      <c r="D82" s="100">
        <v>14.9</v>
      </c>
      <c r="E82" s="100">
        <v>9</v>
      </c>
      <c r="F82" s="152" t="s">
        <v>15</v>
      </c>
      <c r="G82" s="100">
        <v>52.78</v>
      </c>
      <c r="H82" s="100">
        <v>22.67</v>
      </c>
      <c r="I82" s="100">
        <v>7.79</v>
      </c>
      <c r="J82" s="100">
        <v>0.3</v>
      </c>
      <c r="K82" s="100">
        <v>162.88</v>
      </c>
      <c r="L82" s="100">
        <v>21.02</v>
      </c>
      <c r="M82" s="100">
        <v>58.86</v>
      </c>
      <c r="N82" s="100">
        <v>1.7</v>
      </c>
      <c r="O82" s="100">
        <v>0</v>
      </c>
      <c r="P82" s="100">
        <v>0.61</v>
      </c>
      <c r="Q82" s="100">
        <v>12.54</v>
      </c>
      <c r="R82" s="6"/>
      <c r="S82" s="6"/>
      <c r="T82" s="156"/>
      <c r="U82" s="6"/>
    </row>
    <row r="83" spans="1:21" customFormat="1">
      <c r="A83" s="163" t="s">
        <v>1273</v>
      </c>
      <c r="B83" s="100">
        <v>4.53</v>
      </c>
      <c r="C83" s="100">
        <v>20.54</v>
      </c>
      <c r="D83" s="100">
        <v>15.71</v>
      </c>
      <c r="E83" s="100">
        <v>8.6</v>
      </c>
      <c r="F83" s="152" t="s">
        <v>15</v>
      </c>
      <c r="G83" s="100">
        <v>52.78</v>
      </c>
      <c r="H83" s="100">
        <v>22.67</v>
      </c>
      <c r="I83" s="100">
        <v>7.78</v>
      </c>
      <c r="J83" s="100">
        <v>0.28999999999999998</v>
      </c>
      <c r="K83" s="100">
        <v>166.04</v>
      </c>
      <c r="L83" s="100">
        <v>20.58</v>
      </c>
      <c r="M83" s="100">
        <v>64.11</v>
      </c>
      <c r="N83" s="100">
        <v>1.7</v>
      </c>
      <c r="O83" s="100">
        <v>0</v>
      </c>
      <c r="P83" s="100">
        <v>0.64</v>
      </c>
      <c r="Q83" s="100">
        <v>12.54</v>
      </c>
      <c r="R83" s="6"/>
      <c r="S83" s="6"/>
      <c r="T83" s="156"/>
      <c r="U83" s="6"/>
    </row>
    <row r="84" spans="1:21" customFormat="1">
      <c r="A84" s="163" t="s">
        <v>1274</v>
      </c>
      <c r="B84" s="100">
        <v>4.8899999999999997</v>
      </c>
      <c r="C84" s="100">
        <v>21.6</v>
      </c>
      <c r="D84" s="100">
        <v>16.559999999999999</v>
      </c>
      <c r="E84" s="100">
        <v>9.07</v>
      </c>
      <c r="F84" s="152" t="s">
        <v>15</v>
      </c>
      <c r="G84" s="100">
        <v>52.78</v>
      </c>
      <c r="H84" s="100">
        <v>22.67</v>
      </c>
      <c r="I84" s="100">
        <v>7.95</v>
      </c>
      <c r="J84" s="100">
        <v>0.25</v>
      </c>
      <c r="K84" s="100">
        <v>165.85</v>
      </c>
      <c r="L84" s="100">
        <v>20.350000000000001</v>
      </c>
      <c r="M84" s="100">
        <v>65.16</v>
      </c>
      <c r="N84" s="100">
        <v>1.6</v>
      </c>
      <c r="O84" s="100">
        <v>0</v>
      </c>
      <c r="P84" s="100">
        <v>0.66</v>
      </c>
      <c r="Q84" s="100">
        <v>12.54</v>
      </c>
      <c r="R84" s="6"/>
      <c r="S84" s="6"/>
      <c r="T84" s="156"/>
      <c r="U84" s="6"/>
    </row>
    <row r="85" spans="1:21" customFormat="1">
      <c r="A85" s="163" t="s">
        <v>1275</v>
      </c>
      <c r="B85" s="100">
        <v>5.13</v>
      </c>
      <c r="C85" s="100">
        <v>21.99</v>
      </c>
      <c r="D85" s="100">
        <v>16.95</v>
      </c>
      <c r="E85" s="100">
        <v>8.43</v>
      </c>
      <c r="F85" s="152" t="s">
        <v>15</v>
      </c>
      <c r="G85" s="100">
        <v>65.540000000000006</v>
      </c>
      <c r="H85" s="100">
        <v>25.99</v>
      </c>
      <c r="I85" s="100">
        <v>8.34</v>
      </c>
      <c r="J85" s="100">
        <v>0.19</v>
      </c>
      <c r="K85" s="100">
        <v>173</v>
      </c>
      <c r="L85" s="100">
        <v>19.98</v>
      </c>
      <c r="M85" s="100">
        <v>62.27</v>
      </c>
      <c r="N85" s="100">
        <v>1.6</v>
      </c>
      <c r="O85" s="100">
        <v>0</v>
      </c>
      <c r="P85" s="100">
        <v>0.69</v>
      </c>
      <c r="Q85" s="100">
        <v>12.54</v>
      </c>
      <c r="R85" s="6"/>
      <c r="S85" s="6"/>
      <c r="T85" s="156"/>
      <c r="U85" s="6"/>
    </row>
    <row r="86" spans="1:21" customFormat="1">
      <c r="A86" s="163" t="s">
        <v>1276</v>
      </c>
      <c r="B86" s="100">
        <v>5.3</v>
      </c>
      <c r="C86" s="100">
        <v>22.24</v>
      </c>
      <c r="D86" s="100">
        <v>17.23</v>
      </c>
      <c r="E86" s="100">
        <v>9.25</v>
      </c>
      <c r="F86" s="152" t="s">
        <v>15</v>
      </c>
      <c r="G86" s="100">
        <v>74.87</v>
      </c>
      <c r="H86" s="100">
        <v>27.76</v>
      </c>
      <c r="I86" s="100">
        <v>9.31</v>
      </c>
      <c r="J86" s="100">
        <v>0.21</v>
      </c>
      <c r="K86" s="100">
        <v>187.33</v>
      </c>
      <c r="L86" s="100">
        <v>19.37</v>
      </c>
      <c r="M86" s="100">
        <v>67.849999999999994</v>
      </c>
      <c r="N86" s="100">
        <v>1.9</v>
      </c>
      <c r="O86" s="100">
        <v>0</v>
      </c>
      <c r="P86" s="100">
        <v>0.71</v>
      </c>
      <c r="Q86" s="100">
        <v>12.54</v>
      </c>
      <c r="R86" s="6"/>
      <c r="S86" s="6"/>
      <c r="T86" s="156"/>
      <c r="U86" s="6"/>
    </row>
    <row r="87" spans="1:21" customFormat="1">
      <c r="A87" s="163" t="s">
        <v>1277</v>
      </c>
      <c r="B87" s="100">
        <v>5.48</v>
      </c>
      <c r="C87" s="100">
        <v>22.68</v>
      </c>
      <c r="D87" s="100">
        <v>17.59</v>
      </c>
      <c r="E87" s="100">
        <v>8.85</v>
      </c>
      <c r="F87" s="152" t="s">
        <v>15</v>
      </c>
      <c r="G87" s="100">
        <v>74.87</v>
      </c>
      <c r="H87" s="100">
        <v>27.76</v>
      </c>
      <c r="I87" s="100">
        <v>10.08</v>
      </c>
      <c r="J87" s="100">
        <v>0.26</v>
      </c>
      <c r="K87" s="100">
        <v>170.72</v>
      </c>
      <c r="L87" s="100">
        <v>19.18</v>
      </c>
      <c r="M87" s="100">
        <v>68.849999999999994</v>
      </c>
      <c r="N87" s="100">
        <v>1.6</v>
      </c>
      <c r="O87" s="100">
        <v>0</v>
      </c>
      <c r="P87" s="100">
        <v>0.72</v>
      </c>
      <c r="Q87" s="100">
        <v>12.54</v>
      </c>
      <c r="R87" s="6"/>
      <c r="S87" s="6"/>
      <c r="T87" s="156"/>
      <c r="U87" s="6"/>
    </row>
    <row r="88" spans="1:21" customFormat="1">
      <c r="A88" s="163" t="s">
        <v>1278</v>
      </c>
      <c r="B88" s="100">
        <v>5.58</v>
      </c>
      <c r="C88" s="100">
        <v>23.28</v>
      </c>
      <c r="D88" s="100">
        <v>17.989999999999998</v>
      </c>
      <c r="E88" s="100">
        <v>8.6199999999999992</v>
      </c>
      <c r="F88" s="152" t="s">
        <v>15</v>
      </c>
      <c r="G88" s="100">
        <v>74.87</v>
      </c>
      <c r="H88" s="100">
        <v>27.76</v>
      </c>
      <c r="I88" s="100">
        <v>10.54</v>
      </c>
      <c r="J88" s="100">
        <v>0.26</v>
      </c>
      <c r="K88" s="100">
        <v>169.61</v>
      </c>
      <c r="L88" s="100">
        <v>19.559999999999999</v>
      </c>
      <c r="M88" s="100">
        <v>63.32</v>
      </c>
      <c r="N88" s="100">
        <v>1</v>
      </c>
      <c r="O88" s="100">
        <v>0</v>
      </c>
      <c r="P88" s="100">
        <v>0.74</v>
      </c>
      <c r="Q88" s="100">
        <v>12.54</v>
      </c>
      <c r="R88" s="6"/>
      <c r="S88" s="6"/>
      <c r="T88" s="156"/>
      <c r="U88" s="6"/>
    </row>
    <row r="89" spans="1:21" customFormat="1">
      <c r="A89" s="163" t="s">
        <v>1279</v>
      </c>
      <c r="B89" s="100">
        <v>5.79</v>
      </c>
      <c r="C89" s="100">
        <v>23.5</v>
      </c>
      <c r="D89" s="100">
        <v>18.27</v>
      </c>
      <c r="E89" s="100">
        <v>8.73</v>
      </c>
      <c r="F89" s="152" t="s">
        <v>15</v>
      </c>
      <c r="G89" s="100">
        <v>76.989999999999995</v>
      </c>
      <c r="H89" s="100">
        <v>26.53</v>
      </c>
      <c r="I89" s="100">
        <v>10.76</v>
      </c>
      <c r="J89" s="100">
        <v>0.1</v>
      </c>
      <c r="K89" s="100">
        <v>164.57</v>
      </c>
      <c r="L89" s="100">
        <v>19.96</v>
      </c>
      <c r="M89" s="100">
        <v>57.74</v>
      </c>
      <c r="N89" s="100">
        <v>1.3</v>
      </c>
      <c r="O89" s="100">
        <v>0</v>
      </c>
      <c r="P89" s="100">
        <v>0.74</v>
      </c>
      <c r="Q89" s="100">
        <v>12.54</v>
      </c>
      <c r="R89" s="6"/>
      <c r="S89" s="6"/>
      <c r="T89" s="156"/>
      <c r="U89" s="6"/>
    </row>
    <row r="90" spans="1:21" customFormat="1">
      <c r="A90" s="163" t="s">
        <v>1280</v>
      </c>
      <c r="B90" s="100">
        <v>5.91</v>
      </c>
      <c r="C90" s="100">
        <v>23.86</v>
      </c>
      <c r="D90" s="100">
        <v>18.55</v>
      </c>
      <c r="E90" s="100">
        <v>9.39</v>
      </c>
      <c r="F90" s="152" t="s">
        <v>15</v>
      </c>
      <c r="G90" s="100">
        <v>78.540000000000006</v>
      </c>
      <c r="H90" s="100">
        <v>26.17</v>
      </c>
      <c r="I90" s="100">
        <v>10.75</v>
      </c>
      <c r="J90" s="100">
        <v>0.17</v>
      </c>
      <c r="K90" s="100">
        <v>180.32</v>
      </c>
      <c r="L90" s="100">
        <v>19.72</v>
      </c>
      <c r="M90" s="100">
        <v>59.33</v>
      </c>
      <c r="N90" s="100">
        <v>1.6</v>
      </c>
      <c r="O90" s="100">
        <v>0</v>
      </c>
      <c r="P90" s="100">
        <v>0.76</v>
      </c>
      <c r="Q90" s="100">
        <v>12.54</v>
      </c>
      <c r="R90" s="6"/>
      <c r="S90" s="6"/>
      <c r="T90" s="156"/>
      <c r="U90" s="6"/>
    </row>
    <row r="91" spans="1:21" customFormat="1">
      <c r="A91" s="163" t="s">
        <v>1281</v>
      </c>
      <c r="B91" s="100">
        <v>6.24</v>
      </c>
      <c r="C91" s="100">
        <v>24.43</v>
      </c>
      <c r="D91" s="100">
        <v>19.12</v>
      </c>
      <c r="E91" s="100">
        <v>9.2899999999999991</v>
      </c>
      <c r="F91" s="152" t="s">
        <v>15</v>
      </c>
      <c r="G91" s="100">
        <v>78.540000000000006</v>
      </c>
      <c r="H91" s="100">
        <v>26.17</v>
      </c>
      <c r="I91" s="100">
        <v>10.77</v>
      </c>
      <c r="J91" s="100">
        <v>0.2</v>
      </c>
      <c r="K91" s="100">
        <v>180.44</v>
      </c>
      <c r="L91" s="100">
        <v>19.18</v>
      </c>
      <c r="M91" s="100">
        <v>62.81</v>
      </c>
      <c r="N91" s="100">
        <v>1.7</v>
      </c>
      <c r="O91" s="100">
        <v>0</v>
      </c>
      <c r="P91" s="100">
        <v>0.76</v>
      </c>
      <c r="Q91" s="100">
        <v>12.54</v>
      </c>
      <c r="R91" s="6"/>
      <c r="S91" s="6"/>
      <c r="T91" s="156"/>
      <c r="U91" s="6"/>
    </row>
    <row r="92" spans="1:21" customFormat="1">
      <c r="A92" s="163" t="s">
        <v>1282</v>
      </c>
      <c r="B92" s="100">
        <v>6.85</v>
      </c>
      <c r="C92" s="100">
        <v>24.95</v>
      </c>
      <c r="D92" s="100">
        <v>19.88</v>
      </c>
      <c r="E92" s="100">
        <v>8.7100000000000009</v>
      </c>
      <c r="F92" s="152" t="s">
        <v>15</v>
      </c>
      <c r="G92" s="100">
        <v>78.540000000000006</v>
      </c>
      <c r="H92" s="100">
        <v>26.17</v>
      </c>
      <c r="I92" s="100">
        <v>10.85</v>
      </c>
      <c r="J92" s="100">
        <v>0.2</v>
      </c>
      <c r="K92" s="100">
        <v>171.54</v>
      </c>
      <c r="L92" s="100">
        <v>18.649999999999999</v>
      </c>
      <c r="M92" s="100">
        <v>66.849999999999994</v>
      </c>
      <c r="N92" s="100">
        <v>1.7</v>
      </c>
      <c r="O92" s="100">
        <v>0</v>
      </c>
      <c r="P92" s="100">
        <v>0.78</v>
      </c>
      <c r="Q92" s="100">
        <v>12.54</v>
      </c>
      <c r="R92" s="6"/>
      <c r="S92" s="6"/>
      <c r="T92" s="156"/>
      <c r="U92" s="6"/>
    </row>
    <row r="93" spans="1:21" customFormat="1">
      <c r="A93" s="163" t="s">
        <v>1283</v>
      </c>
      <c r="B93" s="100">
        <v>7.71</v>
      </c>
      <c r="C93" s="100">
        <v>25.48</v>
      </c>
      <c r="D93" s="100">
        <v>20.85</v>
      </c>
      <c r="E93" s="100">
        <v>9.3699999999999992</v>
      </c>
      <c r="F93" s="152" t="s">
        <v>15</v>
      </c>
      <c r="G93" s="100">
        <v>81.7</v>
      </c>
      <c r="H93" s="100">
        <v>25.44</v>
      </c>
      <c r="I93" s="100">
        <v>11</v>
      </c>
      <c r="J93" s="100">
        <v>0.22</v>
      </c>
      <c r="K93" s="100">
        <v>168.03</v>
      </c>
      <c r="L93" s="100">
        <v>18.3</v>
      </c>
      <c r="M93" s="100">
        <v>72.94</v>
      </c>
      <c r="N93" s="100">
        <v>1.7</v>
      </c>
      <c r="O93" s="100">
        <v>0</v>
      </c>
      <c r="P93" s="100">
        <v>0.79</v>
      </c>
      <c r="Q93" s="100">
        <v>12.54</v>
      </c>
      <c r="R93" s="6"/>
      <c r="S93" s="6"/>
      <c r="T93" s="156"/>
      <c r="U93" s="6"/>
    </row>
    <row r="94" spans="1:21" customFormat="1">
      <c r="A94" s="163" t="s">
        <v>1284</v>
      </c>
      <c r="B94" s="100">
        <v>8.7799999999999994</v>
      </c>
      <c r="C94" s="100">
        <v>25.52</v>
      </c>
      <c r="D94" s="100">
        <v>21.73</v>
      </c>
      <c r="E94" s="100">
        <v>9.14</v>
      </c>
      <c r="F94" s="152" t="s">
        <v>15</v>
      </c>
      <c r="G94" s="100">
        <v>84</v>
      </c>
      <c r="H94" s="100">
        <v>25.23</v>
      </c>
      <c r="I94" s="100">
        <v>11.07</v>
      </c>
      <c r="J94" s="100">
        <v>0.2</v>
      </c>
      <c r="K94" s="100">
        <v>167.28</v>
      </c>
      <c r="L94" s="100">
        <v>17.97</v>
      </c>
      <c r="M94" s="100">
        <v>74.48</v>
      </c>
      <c r="N94" s="100">
        <v>1.6</v>
      </c>
      <c r="O94" s="100">
        <v>0</v>
      </c>
      <c r="P94" s="100">
        <v>0.8</v>
      </c>
      <c r="Q94" s="100">
        <v>12.54</v>
      </c>
      <c r="R94" s="6"/>
      <c r="S94" s="6"/>
      <c r="T94" s="156"/>
      <c r="U94" s="6"/>
    </row>
    <row r="95" spans="1:21" customFormat="1">
      <c r="A95" s="163" t="s">
        <v>1285</v>
      </c>
      <c r="B95" s="100">
        <v>10.72</v>
      </c>
      <c r="C95" s="100">
        <v>25.9</v>
      </c>
      <c r="D95" s="100">
        <v>23.47</v>
      </c>
      <c r="E95" s="100">
        <v>8.67</v>
      </c>
      <c r="F95" s="152" t="s">
        <v>15</v>
      </c>
      <c r="G95" s="100">
        <v>84</v>
      </c>
      <c r="H95" s="100">
        <v>25.23</v>
      </c>
      <c r="I95" s="100">
        <v>11.14</v>
      </c>
      <c r="J95" s="100">
        <v>0.23</v>
      </c>
      <c r="K95" s="100">
        <v>157.37</v>
      </c>
      <c r="L95" s="100">
        <v>18.07</v>
      </c>
      <c r="M95" s="100">
        <v>71.069999999999993</v>
      </c>
      <c r="N95" s="100">
        <v>1.3</v>
      </c>
      <c r="O95" s="100">
        <v>0</v>
      </c>
      <c r="P95" s="100">
        <v>0.84</v>
      </c>
      <c r="Q95" s="100">
        <v>12.54</v>
      </c>
      <c r="R95" s="6"/>
      <c r="S95" s="6"/>
      <c r="T95" s="156"/>
      <c r="U95" s="6"/>
    </row>
    <row r="96" spans="1:21" customFormat="1">
      <c r="A96" s="163" t="s">
        <v>1286</v>
      </c>
      <c r="B96" s="100">
        <v>13.39</v>
      </c>
      <c r="C96" s="100">
        <v>26.48</v>
      </c>
      <c r="D96" s="100">
        <v>25.93</v>
      </c>
      <c r="E96" s="100">
        <v>9.25</v>
      </c>
      <c r="F96" s="152" t="s">
        <v>15</v>
      </c>
      <c r="G96" s="100">
        <v>84</v>
      </c>
      <c r="H96" s="100">
        <v>25.23</v>
      </c>
      <c r="I96" s="100">
        <v>11.24</v>
      </c>
      <c r="J96" s="100">
        <v>0.19</v>
      </c>
      <c r="K96" s="100">
        <v>85.26</v>
      </c>
      <c r="L96" s="100">
        <v>18.02</v>
      </c>
      <c r="M96" s="100">
        <v>68.510000000000005</v>
      </c>
      <c r="N96" s="100">
        <v>1.2</v>
      </c>
      <c r="O96" s="100">
        <v>0</v>
      </c>
      <c r="P96" s="100">
        <v>0.9</v>
      </c>
      <c r="Q96" s="100">
        <v>12.54</v>
      </c>
      <c r="R96" s="6"/>
      <c r="S96" s="6"/>
      <c r="T96" s="156"/>
      <c r="U96" s="6"/>
    </row>
    <row r="97" spans="1:28" customFormat="1">
      <c r="A97" s="163" t="s">
        <v>1287</v>
      </c>
      <c r="B97" s="100">
        <v>15.75</v>
      </c>
      <c r="C97" s="100">
        <v>26.72</v>
      </c>
      <c r="D97" s="100">
        <v>27.94</v>
      </c>
      <c r="E97" s="100">
        <v>9.08</v>
      </c>
      <c r="F97" s="152" t="s">
        <v>15</v>
      </c>
      <c r="G97" s="100">
        <v>91.02</v>
      </c>
      <c r="H97" s="100">
        <v>29.24</v>
      </c>
      <c r="I97" s="100">
        <v>11.4</v>
      </c>
      <c r="J97" s="100">
        <v>0.28999999999999998</v>
      </c>
      <c r="K97" s="100">
        <v>42.49</v>
      </c>
      <c r="L97" s="100">
        <v>18.63</v>
      </c>
      <c r="M97" s="100">
        <v>62.22</v>
      </c>
      <c r="N97" s="100">
        <v>0.8</v>
      </c>
      <c r="O97" s="100">
        <v>0</v>
      </c>
      <c r="P97" s="100">
        <v>0.93</v>
      </c>
      <c r="Q97" s="100">
        <v>12.54</v>
      </c>
      <c r="R97" s="6"/>
      <c r="S97" s="6"/>
      <c r="T97" s="156"/>
      <c r="U97" s="6"/>
    </row>
    <row r="98" spans="1:28" customFormat="1">
      <c r="A98" s="163" t="s">
        <v>1288</v>
      </c>
      <c r="B98" s="100">
        <v>17.55</v>
      </c>
      <c r="C98" s="100">
        <v>26.83</v>
      </c>
      <c r="D98" s="100">
        <v>29.44</v>
      </c>
      <c r="E98" s="100">
        <v>9.17</v>
      </c>
      <c r="F98" s="152" t="s">
        <v>15</v>
      </c>
      <c r="G98" s="100">
        <v>96.15</v>
      </c>
      <c r="H98" s="100">
        <v>30.42</v>
      </c>
      <c r="I98" s="100">
        <v>11.57</v>
      </c>
      <c r="J98" s="100">
        <v>0.35</v>
      </c>
      <c r="K98" s="100">
        <v>40.29</v>
      </c>
      <c r="L98" s="100">
        <v>18.809999999999999</v>
      </c>
      <c r="M98" s="100">
        <v>62.75</v>
      </c>
      <c r="N98" s="100">
        <v>1</v>
      </c>
      <c r="O98" s="100">
        <v>0</v>
      </c>
      <c r="P98" s="100">
        <v>0.96</v>
      </c>
      <c r="Q98" s="100">
        <v>12.54</v>
      </c>
      <c r="R98" s="6"/>
      <c r="S98" s="6"/>
      <c r="T98" s="156"/>
      <c r="U98" s="6"/>
    </row>
    <row r="99" spans="1:28" customFormat="1">
      <c r="A99" s="163" t="s">
        <v>1289</v>
      </c>
      <c r="B99" s="100">
        <v>18.88</v>
      </c>
      <c r="C99" s="100">
        <v>27.3</v>
      </c>
      <c r="D99" s="100">
        <v>30.76</v>
      </c>
      <c r="E99" s="100">
        <v>9.74</v>
      </c>
      <c r="F99" s="152" t="s">
        <v>15</v>
      </c>
      <c r="G99" s="100">
        <v>96.15</v>
      </c>
      <c r="H99" s="100">
        <v>30.42</v>
      </c>
      <c r="I99" s="100">
        <v>11.81</v>
      </c>
      <c r="J99" s="100">
        <v>0.28999999999999998</v>
      </c>
      <c r="K99" s="100">
        <v>57.17</v>
      </c>
      <c r="L99" s="100">
        <v>18.62</v>
      </c>
      <c r="M99" s="100">
        <v>64.33</v>
      </c>
      <c r="N99" s="100">
        <v>1.4</v>
      </c>
      <c r="O99" s="100">
        <v>0</v>
      </c>
      <c r="P99" s="100">
        <v>1</v>
      </c>
      <c r="Q99" s="100">
        <v>12.54</v>
      </c>
      <c r="R99" s="6"/>
      <c r="S99" s="6"/>
      <c r="T99" s="156"/>
      <c r="U99" s="6"/>
    </row>
    <row r="100" spans="1:28" customFormat="1">
      <c r="A100" s="163" t="s">
        <v>1290</v>
      </c>
      <c r="B100" s="100">
        <v>20.29</v>
      </c>
      <c r="C100" s="100">
        <v>27.46</v>
      </c>
      <c r="D100" s="100">
        <v>31.97</v>
      </c>
      <c r="E100" s="100">
        <v>9.68</v>
      </c>
      <c r="F100" s="152" t="s">
        <v>15</v>
      </c>
      <c r="G100" s="100">
        <v>96.15</v>
      </c>
      <c r="H100" s="100">
        <v>30.42</v>
      </c>
      <c r="I100" s="100">
        <v>12.18</v>
      </c>
      <c r="J100" s="100">
        <v>0.37</v>
      </c>
      <c r="K100" s="100">
        <v>39.01</v>
      </c>
      <c r="L100" s="100">
        <v>18.46</v>
      </c>
      <c r="M100" s="100">
        <v>64.52</v>
      </c>
      <c r="N100" s="100">
        <v>1.4</v>
      </c>
      <c r="O100" s="100">
        <v>0</v>
      </c>
      <c r="P100" s="100">
        <v>1.03</v>
      </c>
      <c r="Q100" s="100">
        <v>12.54</v>
      </c>
      <c r="R100" s="6"/>
      <c r="S100" s="6"/>
      <c r="T100" s="156"/>
      <c r="U100" s="6"/>
      <c r="AB100" s="161"/>
    </row>
    <row r="101" spans="1:28" customFormat="1">
      <c r="A101" s="163" t="s">
        <v>1291</v>
      </c>
      <c r="B101" s="100">
        <v>21.4</v>
      </c>
      <c r="C101" s="100">
        <v>27.42</v>
      </c>
      <c r="D101" s="100">
        <v>32.840000000000003</v>
      </c>
      <c r="E101" s="100">
        <v>9.57</v>
      </c>
      <c r="F101" s="152" t="s">
        <v>15</v>
      </c>
      <c r="G101" s="100">
        <v>109.5</v>
      </c>
      <c r="H101" s="100">
        <v>31.89</v>
      </c>
      <c r="I101" s="100">
        <v>12.68</v>
      </c>
      <c r="J101" s="100">
        <v>0.19</v>
      </c>
      <c r="K101" s="100">
        <v>71.989999999999995</v>
      </c>
      <c r="L101" s="100">
        <v>18.27</v>
      </c>
      <c r="M101" s="100">
        <v>65.760000000000005</v>
      </c>
      <c r="N101" s="100">
        <v>1.6</v>
      </c>
      <c r="O101" s="100">
        <v>0</v>
      </c>
      <c r="P101" s="100">
        <v>1.05</v>
      </c>
      <c r="Q101" s="100">
        <v>12.54</v>
      </c>
      <c r="R101" s="6"/>
      <c r="S101" s="6"/>
      <c r="T101" s="156"/>
      <c r="U101" s="6"/>
    </row>
    <row r="102" spans="1:28" customFormat="1">
      <c r="A102" s="163" t="s">
        <v>1292</v>
      </c>
      <c r="B102" s="100">
        <v>22.26</v>
      </c>
      <c r="C102" s="100">
        <v>27.43</v>
      </c>
      <c r="D102" s="100">
        <v>33.53</v>
      </c>
      <c r="E102" s="100">
        <v>9.3000000000000007</v>
      </c>
      <c r="F102" s="152" t="s">
        <v>15</v>
      </c>
      <c r="G102" s="100">
        <v>119.26</v>
      </c>
      <c r="H102" s="100">
        <v>32.32</v>
      </c>
      <c r="I102" s="100">
        <v>13.23</v>
      </c>
      <c r="J102" s="100">
        <v>0.09</v>
      </c>
      <c r="K102" s="100">
        <v>82.62</v>
      </c>
      <c r="L102" s="100">
        <v>17.72</v>
      </c>
      <c r="M102" s="100">
        <v>70.12</v>
      </c>
      <c r="N102" s="100">
        <v>1.7</v>
      </c>
      <c r="O102" s="100">
        <v>0</v>
      </c>
      <c r="P102" s="100">
        <v>1.07</v>
      </c>
      <c r="Q102" s="100">
        <v>12.54</v>
      </c>
      <c r="R102" s="6"/>
      <c r="S102" s="6"/>
      <c r="T102" s="156"/>
      <c r="U102" s="6"/>
    </row>
    <row r="103" spans="1:28" customFormat="1">
      <c r="A103" s="163" t="s">
        <v>1293</v>
      </c>
      <c r="B103" s="100">
        <v>23.21</v>
      </c>
      <c r="C103" s="100">
        <v>27.55</v>
      </c>
      <c r="D103" s="100">
        <v>34.36</v>
      </c>
      <c r="E103" s="100">
        <v>9.34</v>
      </c>
      <c r="F103" s="152" t="s">
        <v>15</v>
      </c>
      <c r="G103" s="100">
        <v>119.26</v>
      </c>
      <c r="H103" s="100">
        <v>32.32</v>
      </c>
      <c r="I103" s="100">
        <v>13.66</v>
      </c>
      <c r="J103" s="100">
        <v>0.12</v>
      </c>
      <c r="K103" s="100">
        <v>111.07</v>
      </c>
      <c r="L103" s="100">
        <v>17.46</v>
      </c>
      <c r="M103" s="100">
        <v>70.03</v>
      </c>
      <c r="N103" s="100">
        <v>1.6</v>
      </c>
      <c r="O103" s="100">
        <v>0</v>
      </c>
      <c r="P103" s="100">
        <v>1.0900000000000001</v>
      </c>
      <c r="Q103" s="100">
        <v>12.54</v>
      </c>
      <c r="R103" s="6"/>
      <c r="S103" s="6"/>
      <c r="T103" s="156"/>
      <c r="U103" s="6"/>
    </row>
    <row r="104" spans="1:28" customFormat="1">
      <c r="A104" s="163" t="s">
        <v>1294</v>
      </c>
      <c r="B104" s="100">
        <v>23.97</v>
      </c>
      <c r="C104" s="100">
        <v>27.61</v>
      </c>
      <c r="D104" s="100">
        <v>35</v>
      </c>
      <c r="E104" s="100">
        <v>9.6300000000000008</v>
      </c>
      <c r="F104" s="152" t="s">
        <v>15</v>
      </c>
      <c r="G104" s="100">
        <v>119.26</v>
      </c>
      <c r="H104" s="100">
        <v>32.32</v>
      </c>
      <c r="I104" s="100">
        <v>14</v>
      </c>
      <c r="J104" s="100">
        <v>0.18</v>
      </c>
      <c r="K104" s="100">
        <v>58.74</v>
      </c>
      <c r="L104" s="100">
        <v>17.29</v>
      </c>
      <c r="M104" s="100">
        <v>70.69</v>
      </c>
      <c r="N104" s="100">
        <v>1.3</v>
      </c>
      <c r="O104" s="100">
        <v>0</v>
      </c>
      <c r="P104" s="100">
        <v>1.1000000000000001</v>
      </c>
      <c r="Q104" s="100">
        <v>12.54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3.91</v>
      </c>
      <c r="C106" s="158">
        <f>MIN(C9:C104)</f>
        <v>19.03</v>
      </c>
      <c r="D106" s="158">
        <f t="shared" ref="D106:Q106" si="0">MIN(D9:D104)</f>
        <v>14.43</v>
      </c>
      <c r="E106" s="158">
        <f t="shared" si="0"/>
        <v>7.04</v>
      </c>
      <c r="F106" s="158">
        <f t="shared" si="0"/>
        <v>0</v>
      </c>
      <c r="G106" s="158">
        <f t="shared" si="0"/>
        <v>41.64</v>
      </c>
      <c r="H106" s="158">
        <f t="shared" si="0"/>
        <v>19.329999999999998</v>
      </c>
      <c r="I106" s="158">
        <f t="shared" si="0"/>
        <v>0.18</v>
      </c>
      <c r="J106" s="158">
        <f t="shared" si="0"/>
        <v>0.06</v>
      </c>
      <c r="K106" s="158">
        <f t="shared" si="0"/>
        <v>30.24</v>
      </c>
      <c r="L106" s="158">
        <f t="shared" si="0"/>
        <v>11.43</v>
      </c>
      <c r="M106" s="158">
        <f t="shared" si="0"/>
        <v>28.45</v>
      </c>
      <c r="N106" s="158">
        <f t="shared" si="0"/>
        <v>0.8</v>
      </c>
      <c r="O106" s="158">
        <f t="shared" si="0"/>
        <v>0</v>
      </c>
      <c r="P106" s="158">
        <f t="shared" si="0"/>
        <v>0.6</v>
      </c>
      <c r="Q106" s="158">
        <f t="shared" si="0"/>
        <v>12.54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42</v>
      </c>
      <c r="C107" s="157">
        <f t="shared" ref="C107:Q107" si="1">MAX(C9:C104)</f>
        <v>34.049999999999997</v>
      </c>
      <c r="D107" s="157">
        <f t="shared" si="1"/>
        <v>50.73</v>
      </c>
      <c r="E107" s="157">
        <f t="shared" si="1"/>
        <v>10.9</v>
      </c>
      <c r="F107" s="157">
        <f t="shared" si="1"/>
        <v>0</v>
      </c>
      <c r="G107" s="157">
        <f t="shared" si="1"/>
        <v>140.22999999999999</v>
      </c>
      <c r="H107" s="157">
        <f t="shared" si="1"/>
        <v>41.44</v>
      </c>
      <c r="I107" s="157">
        <f t="shared" si="1"/>
        <v>15.72</v>
      </c>
      <c r="J107" s="157">
        <f t="shared" si="1"/>
        <v>1.05</v>
      </c>
      <c r="K107" s="157">
        <f t="shared" si="1"/>
        <v>244.04</v>
      </c>
      <c r="L107" s="157">
        <f t="shared" si="1"/>
        <v>27.79</v>
      </c>
      <c r="M107" s="157">
        <f t="shared" si="1"/>
        <v>91.19</v>
      </c>
      <c r="N107" s="157">
        <f t="shared" si="1"/>
        <v>433.5</v>
      </c>
      <c r="O107" s="157">
        <f t="shared" si="1"/>
        <v>0</v>
      </c>
      <c r="P107" s="157">
        <f t="shared" si="1"/>
        <v>1.26</v>
      </c>
      <c r="Q107" s="157">
        <f t="shared" si="1"/>
        <v>12.54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17.861041666666672</v>
      </c>
      <c r="C108" s="158">
        <f t="shared" ref="C108:Q108" si="2">AVERAGE(C9:C104)</f>
        <v>26.686250000000001</v>
      </c>
      <c r="D108" s="158">
        <f t="shared" si="2"/>
        <v>29.616770833333323</v>
      </c>
      <c r="E108" s="158">
        <f t="shared" si="2"/>
        <v>8.9447916666666636</v>
      </c>
      <c r="F108" s="158" t="e">
        <f t="shared" si="2"/>
        <v>#DIV/0!</v>
      </c>
      <c r="G108" s="158">
        <f t="shared" si="2"/>
        <v>89.577916666666667</v>
      </c>
      <c r="H108" s="158">
        <f t="shared" si="2"/>
        <v>32.200208333333343</v>
      </c>
      <c r="I108" s="158">
        <f t="shared" si="2"/>
        <v>12.240104166666669</v>
      </c>
      <c r="J108" s="158">
        <f t="shared" si="2"/>
        <v>0.32468750000000007</v>
      </c>
      <c r="K108" s="158">
        <f t="shared" si="2"/>
        <v>120.72395833333337</v>
      </c>
      <c r="L108" s="158">
        <f t="shared" si="2"/>
        <v>19.136979166666666</v>
      </c>
      <c r="M108" s="158">
        <f t="shared" si="2"/>
        <v>61.82739583333332</v>
      </c>
      <c r="N108" s="158">
        <f t="shared" si="2"/>
        <v>88.943750000000009</v>
      </c>
      <c r="O108" s="158">
        <f t="shared" si="2"/>
        <v>0</v>
      </c>
      <c r="P108" s="158">
        <f t="shared" si="2"/>
        <v>0.97406249999999972</v>
      </c>
      <c r="Q108" s="158">
        <f t="shared" si="2"/>
        <v>12.539999999999983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12.893832836643183</v>
      </c>
      <c r="C109" s="158">
        <f t="shared" ref="C109:Q109" si="3">STDEV(C9:C104)</f>
        <v>4.114776517561257</v>
      </c>
      <c r="D109" s="158">
        <f t="shared" si="3"/>
        <v>11.611153756969324</v>
      </c>
      <c r="E109" s="158">
        <f t="shared" si="3"/>
        <v>0.90944283598799869</v>
      </c>
      <c r="F109" s="158" t="e">
        <f t="shared" si="3"/>
        <v>#DIV/0!</v>
      </c>
      <c r="G109" s="158">
        <f t="shared" si="3"/>
        <v>26.868608015054907</v>
      </c>
      <c r="H109" s="158">
        <f t="shared" si="3"/>
        <v>6.8871801546391573</v>
      </c>
      <c r="I109" s="158">
        <f t="shared" si="3"/>
        <v>2.9261271313863113</v>
      </c>
      <c r="J109" s="158">
        <f t="shared" si="3"/>
        <v>0.22144479233576825</v>
      </c>
      <c r="K109" s="158">
        <f t="shared" si="3"/>
        <v>57.629203278220395</v>
      </c>
      <c r="L109" s="158">
        <f t="shared" si="3"/>
        <v>5.597693720545541</v>
      </c>
      <c r="M109" s="158">
        <f t="shared" si="3"/>
        <v>21.322951274194356</v>
      </c>
      <c r="N109" s="158">
        <f t="shared" si="3"/>
        <v>144.3618828627703</v>
      </c>
      <c r="O109" s="158">
        <f t="shared" si="3"/>
        <v>0</v>
      </c>
      <c r="P109" s="158">
        <f t="shared" si="3"/>
        <v>0.21055104706710265</v>
      </c>
      <c r="Q109" s="158">
        <f t="shared" si="3"/>
        <v>1.6071134501595139E-14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P112" sqref="P1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1295</v>
      </c>
      <c r="B9" s="100">
        <v>24.55</v>
      </c>
      <c r="C9" s="100">
        <v>27.56</v>
      </c>
      <c r="D9" s="100">
        <v>35.44</v>
      </c>
      <c r="E9" s="100">
        <v>9.48</v>
      </c>
      <c r="F9" s="152" t="s">
        <v>15</v>
      </c>
      <c r="G9" s="100">
        <v>118.61</v>
      </c>
      <c r="H9" s="100">
        <v>31.91</v>
      </c>
      <c r="I9" s="100">
        <v>14.23</v>
      </c>
      <c r="J9" s="100">
        <v>0.22</v>
      </c>
      <c r="K9" s="100">
        <v>171.4</v>
      </c>
      <c r="L9" s="100">
        <v>16.920000000000002</v>
      </c>
      <c r="M9" s="100">
        <v>77.34</v>
      </c>
      <c r="N9" s="100">
        <v>1.9</v>
      </c>
      <c r="O9" s="100">
        <v>0</v>
      </c>
      <c r="P9" s="100">
        <v>1.1100000000000001</v>
      </c>
      <c r="Q9" s="100">
        <v>13.54</v>
      </c>
      <c r="R9" s="6"/>
      <c r="S9" s="6"/>
      <c r="T9" s="156"/>
      <c r="U9" s="6"/>
    </row>
    <row r="10" spans="1:21" customFormat="1">
      <c r="A10" s="163" t="s">
        <v>1296</v>
      </c>
      <c r="B10" s="100">
        <v>24.38</v>
      </c>
      <c r="C10" s="100">
        <v>27.16</v>
      </c>
      <c r="D10" s="100">
        <v>35.1</v>
      </c>
      <c r="E10" s="100">
        <v>9.44</v>
      </c>
      <c r="F10" s="152" t="s">
        <v>15</v>
      </c>
      <c r="G10" s="100">
        <v>118.14</v>
      </c>
      <c r="H10" s="100">
        <v>31.79</v>
      </c>
      <c r="I10" s="100">
        <v>14.34</v>
      </c>
      <c r="J10" s="100">
        <v>0.2</v>
      </c>
      <c r="K10" s="100">
        <v>173.96</v>
      </c>
      <c r="L10" s="100">
        <v>16.36</v>
      </c>
      <c r="M10" s="100">
        <v>82.82</v>
      </c>
      <c r="N10" s="100">
        <v>1.7</v>
      </c>
      <c r="O10" s="100">
        <v>0</v>
      </c>
      <c r="P10" s="100">
        <v>1.1100000000000001</v>
      </c>
      <c r="Q10" s="100">
        <v>13.54</v>
      </c>
      <c r="R10" s="6"/>
      <c r="S10" s="6"/>
      <c r="T10" s="156"/>
      <c r="U10" s="6"/>
    </row>
    <row r="11" spans="1:21" customFormat="1">
      <c r="A11" s="163" t="s">
        <v>1297</v>
      </c>
      <c r="B11" s="100">
        <v>23.93</v>
      </c>
      <c r="C11" s="100">
        <v>26.7</v>
      </c>
      <c r="D11" s="100">
        <v>34.49</v>
      </c>
      <c r="E11" s="100">
        <v>8.7899999999999991</v>
      </c>
      <c r="F11" s="152" t="s">
        <v>15</v>
      </c>
      <c r="G11" s="100">
        <v>118.14</v>
      </c>
      <c r="H11" s="100">
        <v>31.79</v>
      </c>
      <c r="I11" s="100">
        <v>14.41</v>
      </c>
      <c r="J11" s="100">
        <v>0.22</v>
      </c>
      <c r="K11" s="100">
        <v>202.21</v>
      </c>
      <c r="L11" s="100">
        <v>15.8</v>
      </c>
      <c r="M11" s="100">
        <v>85.12</v>
      </c>
      <c r="N11" s="100">
        <v>1.8</v>
      </c>
      <c r="O11" s="100">
        <v>0</v>
      </c>
      <c r="P11" s="100">
        <v>1.1100000000000001</v>
      </c>
      <c r="Q11" s="100">
        <v>13.54</v>
      </c>
      <c r="R11" s="6"/>
      <c r="S11" s="6"/>
      <c r="T11" s="156"/>
      <c r="U11" s="6"/>
    </row>
    <row r="12" spans="1:21" customFormat="1">
      <c r="A12" s="163" t="s">
        <v>1298</v>
      </c>
      <c r="B12" s="100">
        <v>23.17</v>
      </c>
      <c r="C12" s="100">
        <v>26.36</v>
      </c>
      <c r="D12" s="100">
        <v>33.71</v>
      </c>
      <c r="E12" s="100">
        <v>9.34</v>
      </c>
      <c r="F12" s="152" t="s">
        <v>15</v>
      </c>
      <c r="G12" s="100">
        <v>118.14</v>
      </c>
      <c r="H12" s="100">
        <v>31.79</v>
      </c>
      <c r="I12" s="100">
        <v>14.48</v>
      </c>
      <c r="J12" s="100">
        <v>0.16</v>
      </c>
      <c r="K12" s="100">
        <v>166.26</v>
      </c>
      <c r="L12" s="100">
        <v>15.54</v>
      </c>
      <c r="M12" s="100">
        <v>85.1</v>
      </c>
      <c r="N12" s="100">
        <v>1.6</v>
      </c>
      <c r="O12" s="100">
        <v>0</v>
      </c>
      <c r="P12" s="100">
        <v>1.1200000000000001</v>
      </c>
      <c r="Q12" s="100">
        <v>13.54</v>
      </c>
      <c r="R12" s="6"/>
      <c r="S12" s="6"/>
      <c r="T12" s="156"/>
      <c r="U12" s="6"/>
    </row>
    <row r="13" spans="1:21" customFormat="1">
      <c r="A13" s="163" t="s">
        <v>1299</v>
      </c>
      <c r="B13" s="100">
        <v>22.34</v>
      </c>
      <c r="C13" s="100">
        <v>25.97</v>
      </c>
      <c r="D13" s="100">
        <v>32.83</v>
      </c>
      <c r="E13" s="100">
        <v>8.4700000000000006</v>
      </c>
      <c r="F13" s="152" t="s">
        <v>15</v>
      </c>
      <c r="G13" s="100">
        <v>112.13</v>
      </c>
      <c r="H13" s="100">
        <v>32.409999999999997</v>
      </c>
      <c r="I13" s="100">
        <v>14.41</v>
      </c>
      <c r="J13" s="100">
        <v>0.15</v>
      </c>
      <c r="K13" s="100">
        <v>167.22</v>
      </c>
      <c r="L13" s="100">
        <v>15.46</v>
      </c>
      <c r="M13" s="100">
        <v>85.24</v>
      </c>
      <c r="N13" s="100">
        <v>1.4</v>
      </c>
      <c r="O13" s="100">
        <v>0</v>
      </c>
      <c r="P13" s="100">
        <v>1.1100000000000001</v>
      </c>
      <c r="Q13" s="100">
        <v>13.54</v>
      </c>
      <c r="R13" s="6"/>
      <c r="S13" s="6"/>
      <c r="T13" s="156"/>
      <c r="U13" s="6"/>
    </row>
    <row r="14" spans="1:21" customFormat="1">
      <c r="A14" s="163" t="s">
        <v>1300</v>
      </c>
      <c r="B14" s="100">
        <v>21.64</v>
      </c>
      <c r="C14" s="100">
        <v>25.63</v>
      </c>
      <c r="D14" s="100">
        <v>32.1</v>
      </c>
      <c r="E14" s="100">
        <v>9.25</v>
      </c>
      <c r="F14" s="152" t="s">
        <v>15</v>
      </c>
      <c r="G14" s="100">
        <v>107.73</v>
      </c>
      <c r="H14" s="100">
        <v>32.79</v>
      </c>
      <c r="I14" s="100">
        <v>14.38</v>
      </c>
      <c r="J14" s="100">
        <v>0.19</v>
      </c>
      <c r="K14" s="100">
        <v>192.82</v>
      </c>
      <c r="L14" s="100">
        <v>15.35</v>
      </c>
      <c r="M14" s="100">
        <v>86.69</v>
      </c>
      <c r="N14" s="100">
        <v>1.4</v>
      </c>
      <c r="O14" s="100">
        <v>0</v>
      </c>
      <c r="P14" s="100">
        <v>1.1100000000000001</v>
      </c>
      <c r="Q14" s="100">
        <v>13.54</v>
      </c>
      <c r="R14" s="6"/>
      <c r="S14" s="6"/>
      <c r="T14" s="156"/>
      <c r="U14" s="6"/>
    </row>
    <row r="15" spans="1:21" customFormat="1">
      <c r="A15" s="163" t="s">
        <v>1301</v>
      </c>
      <c r="B15" s="100">
        <v>21.11</v>
      </c>
      <c r="C15" s="100">
        <v>25.38</v>
      </c>
      <c r="D15" s="100">
        <v>31.54</v>
      </c>
      <c r="E15" s="100">
        <v>9.1300000000000008</v>
      </c>
      <c r="F15" s="152" t="s">
        <v>15</v>
      </c>
      <c r="G15" s="100">
        <v>107.73</v>
      </c>
      <c r="H15" s="100">
        <v>32.79</v>
      </c>
      <c r="I15" s="100">
        <v>14.33</v>
      </c>
      <c r="J15" s="100">
        <v>0.18</v>
      </c>
      <c r="K15" s="100">
        <v>201.67</v>
      </c>
      <c r="L15" s="100">
        <v>15.09</v>
      </c>
      <c r="M15" s="100">
        <v>88.18</v>
      </c>
      <c r="N15" s="100">
        <v>1.6</v>
      </c>
      <c r="O15" s="100">
        <v>0</v>
      </c>
      <c r="P15" s="100">
        <v>1.1100000000000001</v>
      </c>
      <c r="Q15" s="100">
        <v>13.54</v>
      </c>
      <c r="R15" s="6"/>
      <c r="S15" s="6"/>
      <c r="T15" s="156"/>
      <c r="U15" s="6"/>
    </row>
    <row r="16" spans="1:21" customFormat="1">
      <c r="A16" s="163" t="s">
        <v>1302</v>
      </c>
      <c r="B16" s="100">
        <v>20.62</v>
      </c>
      <c r="C16" s="100">
        <v>25.2</v>
      </c>
      <c r="D16" s="100">
        <v>31.05</v>
      </c>
      <c r="E16" s="100">
        <v>9.33</v>
      </c>
      <c r="F16" s="152" t="s">
        <v>15</v>
      </c>
      <c r="G16" s="100">
        <v>107.73</v>
      </c>
      <c r="H16" s="100">
        <v>32.79</v>
      </c>
      <c r="I16" s="100">
        <v>14.3</v>
      </c>
      <c r="J16" s="100">
        <v>0.13</v>
      </c>
      <c r="K16" s="100">
        <v>179.43</v>
      </c>
      <c r="L16" s="100">
        <v>14.89</v>
      </c>
      <c r="M16" s="100">
        <v>87.84</v>
      </c>
      <c r="N16" s="100">
        <v>1.5</v>
      </c>
      <c r="O16" s="100">
        <v>0</v>
      </c>
      <c r="P16" s="100">
        <v>1.1200000000000001</v>
      </c>
      <c r="Q16" s="100">
        <v>13.54</v>
      </c>
      <c r="R16" s="6"/>
      <c r="S16" s="6"/>
      <c r="T16" s="156"/>
      <c r="U16" s="6"/>
    </row>
    <row r="17" spans="1:21" customFormat="1">
      <c r="A17" s="163" t="s">
        <v>1303</v>
      </c>
      <c r="B17" s="100">
        <v>20.2</v>
      </c>
      <c r="C17" s="100">
        <v>25.02</v>
      </c>
      <c r="D17" s="100">
        <v>30.62</v>
      </c>
      <c r="E17" s="100">
        <v>6.54</v>
      </c>
      <c r="F17" s="152" t="s">
        <v>15</v>
      </c>
      <c r="G17" s="100">
        <v>107.88</v>
      </c>
      <c r="H17" s="100">
        <v>30.95</v>
      </c>
      <c r="I17" s="100">
        <v>14.25</v>
      </c>
      <c r="J17" s="100">
        <v>0.09</v>
      </c>
      <c r="K17" s="100">
        <v>188.86</v>
      </c>
      <c r="L17" s="100">
        <v>14.9</v>
      </c>
      <c r="M17" s="100">
        <v>86.04</v>
      </c>
      <c r="N17" s="100">
        <v>1.3</v>
      </c>
      <c r="O17" s="100">
        <v>0</v>
      </c>
      <c r="P17" s="100">
        <v>1.1100000000000001</v>
      </c>
      <c r="Q17" s="100">
        <v>13.54</v>
      </c>
      <c r="R17" s="6"/>
      <c r="S17" s="6"/>
      <c r="T17" s="156"/>
      <c r="U17" s="6"/>
    </row>
    <row r="18" spans="1:21" customFormat="1">
      <c r="A18" s="163" t="s">
        <v>1304</v>
      </c>
      <c r="B18" s="100">
        <v>19.48</v>
      </c>
      <c r="C18" s="100">
        <v>24.7</v>
      </c>
      <c r="D18" s="100">
        <v>29.88</v>
      </c>
      <c r="E18" s="100">
        <v>7.12</v>
      </c>
      <c r="F18" s="152" t="s">
        <v>15</v>
      </c>
      <c r="G18" s="100">
        <v>107.98</v>
      </c>
      <c r="H18" s="100">
        <v>30.36</v>
      </c>
      <c r="I18" s="100">
        <v>14.2</v>
      </c>
      <c r="J18" s="100">
        <v>0.15</v>
      </c>
      <c r="K18" s="100">
        <v>191.57</v>
      </c>
      <c r="L18" s="100">
        <v>14.96</v>
      </c>
      <c r="M18" s="100">
        <v>86.69</v>
      </c>
      <c r="N18" s="100">
        <v>1.3</v>
      </c>
      <c r="O18" s="100">
        <v>0</v>
      </c>
      <c r="P18" s="100">
        <v>1.0900000000000001</v>
      </c>
      <c r="Q18" s="100">
        <v>13.54</v>
      </c>
      <c r="R18" s="6"/>
      <c r="S18" s="6"/>
      <c r="T18" s="156"/>
      <c r="U18" s="6"/>
    </row>
    <row r="19" spans="1:21" customFormat="1">
      <c r="A19" s="163" t="s">
        <v>1305</v>
      </c>
      <c r="B19" s="100">
        <v>18.600000000000001</v>
      </c>
      <c r="C19" s="100">
        <v>24.28</v>
      </c>
      <c r="D19" s="100">
        <v>28.95</v>
      </c>
      <c r="E19" s="100">
        <v>6.72</v>
      </c>
      <c r="F19" s="152" t="s">
        <v>15</v>
      </c>
      <c r="G19" s="100">
        <v>107.98</v>
      </c>
      <c r="H19" s="100">
        <v>30.36</v>
      </c>
      <c r="I19" s="100">
        <v>14.11</v>
      </c>
      <c r="J19" s="100">
        <v>0.11</v>
      </c>
      <c r="K19" s="100">
        <v>184.67</v>
      </c>
      <c r="L19" s="100">
        <v>14.88</v>
      </c>
      <c r="M19" s="100">
        <v>86.75</v>
      </c>
      <c r="N19" s="100">
        <v>1.4</v>
      </c>
      <c r="O19" s="100">
        <v>0</v>
      </c>
      <c r="P19" s="100">
        <v>1.04</v>
      </c>
      <c r="Q19" s="100">
        <v>13.54</v>
      </c>
      <c r="R19" s="6"/>
      <c r="S19" s="6"/>
      <c r="T19" s="156"/>
      <c r="U19" s="6"/>
    </row>
    <row r="20" spans="1:21" customFormat="1">
      <c r="A20" s="163" t="s">
        <v>1306</v>
      </c>
      <c r="B20" s="100">
        <v>17.850000000000001</v>
      </c>
      <c r="C20" s="100">
        <v>24.03</v>
      </c>
      <c r="D20" s="100">
        <v>28.21</v>
      </c>
      <c r="E20" s="100">
        <v>6.99</v>
      </c>
      <c r="F20" s="152" t="s">
        <v>15</v>
      </c>
      <c r="G20" s="100">
        <v>107.98</v>
      </c>
      <c r="H20" s="100">
        <v>30.36</v>
      </c>
      <c r="I20" s="100">
        <v>13.92</v>
      </c>
      <c r="J20" s="100">
        <v>0.16</v>
      </c>
      <c r="K20" s="100">
        <v>185.19</v>
      </c>
      <c r="L20" s="100">
        <v>14.9</v>
      </c>
      <c r="M20" s="100">
        <v>87.01</v>
      </c>
      <c r="N20" s="100">
        <v>1.3</v>
      </c>
      <c r="O20" s="100">
        <v>0</v>
      </c>
      <c r="P20" s="100">
        <v>1.02</v>
      </c>
      <c r="Q20" s="100">
        <v>13.54</v>
      </c>
      <c r="R20" s="6"/>
      <c r="S20" s="6"/>
      <c r="T20" s="156"/>
      <c r="U20" s="6"/>
    </row>
    <row r="21" spans="1:21" customFormat="1">
      <c r="A21" s="163" t="s">
        <v>1307</v>
      </c>
      <c r="B21" s="100">
        <v>17.05</v>
      </c>
      <c r="C21" s="100">
        <v>23.99</v>
      </c>
      <c r="D21" s="100">
        <v>27.56</v>
      </c>
      <c r="E21" s="100">
        <v>7.18</v>
      </c>
      <c r="F21" s="152" t="s">
        <v>15</v>
      </c>
      <c r="G21" s="100">
        <v>104.2</v>
      </c>
      <c r="H21" s="100">
        <v>29.95</v>
      </c>
      <c r="I21" s="100">
        <v>13.71</v>
      </c>
      <c r="J21" s="100">
        <v>0.17</v>
      </c>
      <c r="K21" s="100">
        <v>145.16</v>
      </c>
      <c r="L21" s="100">
        <v>14.97</v>
      </c>
      <c r="M21" s="100">
        <v>85.68</v>
      </c>
      <c r="N21" s="100">
        <v>1.3</v>
      </c>
      <c r="O21" s="100">
        <v>0</v>
      </c>
      <c r="P21" s="100">
        <v>1.01</v>
      </c>
      <c r="Q21" s="100">
        <v>13.54</v>
      </c>
      <c r="R21" s="6"/>
      <c r="S21" s="6"/>
      <c r="T21" s="156"/>
      <c r="U21" s="6"/>
    </row>
    <row r="22" spans="1:21" customFormat="1">
      <c r="A22" s="163" t="s">
        <v>1308</v>
      </c>
      <c r="B22" s="100">
        <v>16.34</v>
      </c>
      <c r="C22" s="100">
        <v>23.94</v>
      </c>
      <c r="D22" s="100">
        <v>26.96</v>
      </c>
      <c r="E22" s="100">
        <v>7.08</v>
      </c>
      <c r="F22" s="152" t="s">
        <v>15</v>
      </c>
      <c r="G22" s="100">
        <v>101.44</v>
      </c>
      <c r="H22" s="100">
        <v>29.82</v>
      </c>
      <c r="I22" s="100">
        <v>13.51</v>
      </c>
      <c r="J22" s="100">
        <v>0.12</v>
      </c>
      <c r="K22" s="100">
        <v>151.13999999999999</v>
      </c>
      <c r="L22" s="100">
        <v>15.08</v>
      </c>
      <c r="M22" s="100">
        <v>82.9</v>
      </c>
      <c r="N22" s="100">
        <v>1.3</v>
      </c>
      <c r="O22" s="100">
        <v>0</v>
      </c>
      <c r="P22" s="100">
        <v>0.99</v>
      </c>
      <c r="Q22" s="100">
        <v>13.54</v>
      </c>
      <c r="R22" s="6"/>
      <c r="S22" s="6"/>
      <c r="T22" s="156"/>
      <c r="U22" s="6"/>
    </row>
    <row r="23" spans="1:21" customFormat="1">
      <c r="A23" s="163" t="s">
        <v>1309</v>
      </c>
      <c r="B23" s="100">
        <v>15.62</v>
      </c>
      <c r="C23" s="100">
        <v>23.91</v>
      </c>
      <c r="D23" s="100">
        <v>26.37</v>
      </c>
      <c r="E23" s="100">
        <v>6.28</v>
      </c>
      <c r="F23" s="152" t="s">
        <v>15</v>
      </c>
      <c r="G23" s="100">
        <v>101.44</v>
      </c>
      <c r="H23" s="100">
        <v>29.82</v>
      </c>
      <c r="I23" s="100">
        <v>13.34</v>
      </c>
      <c r="J23" s="100">
        <v>0.14000000000000001</v>
      </c>
      <c r="K23" s="100">
        <v>205.87</v>
      </c>
      <c r="L23" s="100">
        <v>15.15</v>
      </c>
      <c r="M23" s="100">
        <v>82.51</v>
      </c>
      <c r="N23" s="100">
        <v>1.3</v>
      </c>
      <c r="O23" s="100">
        <v>0</v>
      </c>
      <c r="P23" s="100">
        <v>0.97</v>
      </c>
      <c r="Q23" s="100">
        <v>13.54</v>
      </c>
      <c r="R23" s="6"/>
      <c r="S23" s="6"/>
      <c r="T23" s="156"/>
      <c r="U23" s="6"/>
    </row>
    <row r="24" spans="1:21" customFormat="1">
      <c r="A24" s="163" t="s">
        <v>1310</v>
      </c>
      <c r="B24" s="100">
        <v>15</v>
      </c>
      <c r="C24" s="100">
        <v>24.01</v>
      </c>
      <c r="D24" s="100">
        <v>25.92</v>
      </c>
      <c r="E24" s="100">
        <v>6.63</v>
      </c>
      <c r="F24" s="152" t="s">
        <v>15</v>
      </c>
      <c r="G24" s="100">
        <v>101.44</v>
      </c>
      <c r="H24" s="100">
        <v>29.82</v>
      </c>
      <c r="I24" s="100">
        <v>13.1</v>
      </c>
      <c r="J24" s="100">
        <v>0.18</v>
      </c>
      <c r="K24" s="100">
        <v>238.4</v>
      </c>
      <c r="L24" s="100">
        <v>14.85</v>
      </c>
      <c r="M24" s="100">
        <v>83.13</v>
      </c>
      <c r="N24" s="100">
        <v>1.5</v>
      </c>
      <c r="O24" s="100">
        <v>0</v>
      </c>
      <c r="P24" s="100">
        <v>0.96</v>
      </c>
      <c r="Q24" s="100">
        <v>13.54</v>
      </c>
      <c r="R24" s="6"/>
      <c r="S24" s="6"/>
      <c r="T24" s="156"/>
      <c r="U24" s="6"/>
    </row>
    <row r="25" spans="1:21" customFormat="1">
      <c r="A25" s="163" t="s">
        <v>1311</v>
      </c>
      <c r="B25" s="100">
        <v>15.58</v>
      </c>
      <c r="C25" s="100">
        <v>24.57</v>
      </c>
      <c r="D25" s="100">
        <v>26.68</v>
      </c>
      <c r="E25" s="100">
        <v>6.9</v>
      </c>
      <c r="F25" s="152" t="s">
        <v>15</v>
      </c>
      <c r="G25" s="100">
        <v>100.13</v>
      </c>
      <c r="H25" s="100">
        <v>29.27</v>
      </c>
      <c r="I25" s="100">
        <v>12.85</v>
      </c>
      <c r="J25" s="100">
        <v>0.21</v>
      </c>
      <c r="K25" s="100">
        <v>150.29</v>
      </c>
      <c r="L25" s="100">
        <v>14.89</v>
      </c>
      <c r="M25" s="100">
        <v>83.03</v>
      </c>
      <c r="N25" s="100">
        <v>1.4</v>
      </c>
      <c r="O25" s="100">
        <v>0</v>
      </c>
      <c r="P25" s="100">
        <v>0.94</v>
      </c>
      <c r="Q25" s="100">
        <v>13.54</v>
      </c>
      <c r="R25" s="6"/>
      <c r="S25" s="6"/>
      <c r="T25" s="156"/>
      <c r="U25" s="6"/>
    </row>
    <row r="26" spans="1:21" customFormat="1">
      <c r="A26" s="163" t="s">
        <v>1312</v>
      </c>
      <c r="B26" s="100">
        <v>16.579999999999998</v>
      </c>
      <c r="C26" s="100">
        <v>25.28</v>
      </c>
      <c r="D26" s="100">
        <v>27.85</v>
      </c>
      <c r="E26" s="100">
        <v>6.63</v>
      </c>
      <c r="F26" s="152" t="s">
        <v>15</v>
      </c>
      <c r="G26" s="100">
        <v>99.18</v>
      </c>
      <c r="H26" s="100">
        <v>29.1</v>
      </c>
      <c r="I26" s="100">
        <v>12.58</v>
      </c>
      <c r="J26" s="100">
        <v>0.17</v>
      </c>
      <c r="K26" s="100">
        <v>167.75</v>
      </c>
      <c r="L26" s="100">
        <v>14.96</v>
      </c>
      <c r="M26" s="100">
        <v>84.55</v>
      </c>
      <c r="N26" s="100">
        <v>1.4</v>
      </c>
      <c r="O26" s="100">
        <v>0</v>
      </c>
      <c r="P26" s="100">
        <v>0.92</v>
      </c>
      <c r="Q26" s="100">
        <v>13.54</v>
      </c>
      <c r="R26" s="6"/>
      <c r="S26" s="6"/>
      <c r="T26" s="156"/>
      <c r="U26" s="6"/>
    </row>
    <row r="27" spans="1:21" customFormat="1">
      <c r="A27" s="163" t="s">
        <v>1313</v>
      </c>
      <c r="B27" s="100">
        <v>17.239999999999998</v>
      </c>
      <c r="C27" s="100">
        <v>25.32</v>
      </c>
      <c r="D27" s="100">
        <v>28.41</v>
      </c>
      <c r="E27" s="100">
        <v>6.61</v>
      </c>
      <c r="F27" s="152" t="s">
        <v>15</v>
      </c>
      <c r="G27" s="100">
        <v>99.18</v>
      </c>
      <c r="H27" s="100">
        <v>29.1</v>
      </c>
      <c r="I27" s="100">
        <v>12.42</v>
      </c>
      <c r="J27" s="100">
        <v>0.12</v>
      </c>
      <c r="K27" s="100">
        <v>210.79</v>
      </c>
      <c r="L27" s="100">
        <v>14.68</v>
      </c>
      <c r="M27" s="100">
        <v>86.39</v>
      </c>
      <c r="N27" s="100">
        <v>1.4</v>
      </c>
      <c r="O27" s="100">
        <v>0</v>
      </c>
      <c r="P27" s="100">
        <v>0.91</v>
      </c>
      <c r="Q27" s="100">
        <v>13.54</v>
      </c>
      <c r="R27" s="6"/>
      <c r="S27" s="6"/>
      <c r="T27" s="156"/>
      <c r="U27" s="6"/>
    </row>
    <row r="28" spans="1:21" customFormat="1">
      <c r="A28" s="163" t="s">
        <v>1314</v>
      </c>
      <c r="B28" s="100">
        <v>18.010000000000002</v>
      </c>
      <c r="C28" s="100">
        <v>25.76</v>
      </c>
      <c r="D28" s="100">
        <v>29.25</v>
      </c>
      <c r="E28" s="100">
        <v>6.34</v>
      </c>
      <c r="F28" s="152" t="s">
        <v>15</v>
      </c>
      <c r="G28" s="100">
        <v>99.18</v>
      </c>
      <c r="H28" s="100">
        <v>29.1</v>
      </c>
      <c r="I28" s="100">
        <v>12.27</v>
      </c>
      <c r="J28" s="100">
        <v>0.19</v>
      </c>
      <c r="K28" s="100">
        <v>156.57</v>
      </c>
      <c r="L28" s="100">
        <v>14.67</v>
      </c>
      <c r="M28" s="100">
        <v>86.57</v>
      </c>
      <c r="N28" s="100">
        <v>1.4</v>
      </c>
      <c r="O28" s="100">
        <v>0</v>
      </c>
      <c r="P28" s="100">
        <v>0.9</v>
      </c>
      <c r="Q28" s="100">
        <v>13.54</v>
      </c>
      <c r="R28" s="6"/>
      <c r="S28" s="6"/>
      <c r="T28" s="156"/>
      <c r="U28" s="6"/>
    </row>
    <row r="29" spans="1:21" customFormat="1">
      <c r="A29" s="163" t="s">
        <v>1315</v>
      </c>
      <c r="B29" s="100">
        <v>19.34</v>
      </c>
      <c r="C29" s="100">
        <v>26</v>
      </c>
      <c r="D29" s="100">
        <v>30.44</v>
      </c>
      <c r="E29" s="100">
        <v>6.25</v>
      </c>
      <c r="F29" s="152" t="s">
        <v>15</v>
      </c>
      <c r="G29" s="100">
        <v>92.94</v>
      </c>
      <c r="H29" s="100">
        <v>28.37</v>
      </c>
      <c r="I29" s="100">
        <v>12.15</v>
      </c>
      <c r="J29" s="100">
        <v>7.0000000000000007E-2</v>
      </c>
      <c r="K29" s="100">
        <v>108.48</v>
      </c>
      <c r="L29" s="100">
        <v>14.61</v>
      </c>
      <c r="M29" s="100">
        <v>86.63</v>
      </c>
      <c r="N29" s="100">
        <v>1.3</v>
      </c>
      <c r="O29" s="100">
        <v>0</v>
      </c>
      <c r="P29" s="100">
        <v>0.89</v>
      </c>
      <c r="Q29" s="100">
        <v>13.54</v>
      </c>
      <c r="R29" s="6"/>
      <c r="S29" s="6"/>
      <c r="T29" s="156"/>
      <c r="U29" s="6"/>
    </row>
    <row r="30" spans="1:21" customFormat="1">
      <c r="A30" s="163" t="s">
        <v>1316</v>
      </c>
      <c r="B30" s="100">
        <v>21.58</v>
      </c>
      <c r="C30" s="100">
        <v>26.38</v>
      </c>
      <c r="D30" s="100">
        <v>32.44</v>
      </c>
      <c r="E30" s="100">
        <v>7.12</v>
      </c>
      <c r="F30" s="152" t="s">
        <v>15</v>
      </c>
      <c r="G30" s="100">
        <v>88.38</v>
      </c>
      <c r="H30" s="100">
        <v>28.15</v>
      </c>
      <c r="I30" s="100">
        <v>12.03</v>
      </c>
      <c r="J30" s="100">
        <v>0.47</v>
      </c>
      <c r="K30" s="100">
        <v>49.34</v>
      </c>
      <c r="L30" s="100">
        <v>14.84</v>
      </c>
      <c r="M30" s="100">
        <v>82.51</v>
      </c>
      <c r="N30" s="100">
        <v>1</v>
      </c>
      <c r="O30" s="100">
        <v>0</v>
      </c>
      <c r="P30" s="100">
        <v>0.87</v>
      </c>
      <c r="Q30" s="100">
        <v>13.54</v>
      </c>
      <c r="R30" s="6"/>
      <c r="S30" s="6"/>
      <c r="T30" s="156"/>
      <c r="U30" s="6"/>
    </row>
    <row r="31" spans="1:21" customFormat="1">
      <c r="A31" s="163" t="s">
        <v>1317</v>
      </c>
      <c r="B31" s="100">
        <v>22.62</v>
      </c>
      <c r="C31" s="100">
        <v>26.65</v>
      </c>
      <c r="D31" s="100">
        <v>33.42</v>
      </c>
      <c r="E31" s="100">
        <v>6.93</v>
      </c>
      <c r="F31" s="152" t="s">
        <v>15</v>
      </c>
      <c r="G31" s="100">
        <v>88.38</v>
      </c>
      <c r="H31" s="100">
        <v>28.15</v>
      </c>
      <c r="I31" s="100">
        <v>11.96</v>
      </c>
      <c r="J31" s="100">
        <v>0.46</v>
      </c>
      <c r="K31" s="100">
        <v>47.58</v>
      </c>
      <c r="L31" s="100">
        <v>15.04</v>
      </c>
      <c r="M31" s="100">
        <v>80.62</v>
      </c>
      <c r="N31" s="100">
        <v>1.2</v>
      </c>
      <c r="O31" s="100">
        <v>0</v>
      </c>
      <c r="P31" s="100">
        <v>0.87</v>
      </c>
      <c r="Q31" s="100">
        <v>13.54</v>
      </c>
      <c r="R31" s="6"/>
      <c r="S31" s="6"/>
      <c r="T31" s="156"/>
      <c r="U31" s="6"/>
    </row>
    <row r="32" spans="1:21" customFormat="1">
      <c r="A32" s="163" t="s">
        <v>1318</v>
      </c>
      <c r="B32" s="100">
        <v>22.32</v>
      </c>
      <c r="C32" s="100">
        <v>26.84</v>
      </c>
      <c r="D32" s="100">
        <v>33.270000000000003</v>
      </c>
      <c r="E32" s="100">
        <v>6.85</v>
      </c>
      <c r="F32" s="152" t="s">
        <v>15</v>
      </c>
      <c r="G32" s="100">
        <v>88.38</v>
      </c>
      <c r="H32" s="100">
        <v>28.15</v>
      </c>
      <c r="I32" s="100">
        <v>11.83</v>
      </c>
      <c r="J32" s="100">
        <v>0.5</v>
      </c>
      <c r="K32" s="100">
        <v>51.56</v>
      </c>
      <c r="L32" s="100">
        <v>15.04</v>
      </c>
      <c r="M32" s="100">
        <v>80.44</v>
      </c>
      <c r="N32" s="100">
        <v>1.4</v>
      </c>
      <c r="O32" s="100">
        <v>0</v>
      </c>
      <c r="P32" s="100">
        <v>0.86</v>
      </c>
      <c r="Q32" s="100">
        <v>13.54</v>
      </c>
      <c r="R32" s="6"/>
      <c r="S32" s="6"/>
      <c r="T32" s="156"/>
      <c r="U32" s="6"/>
    </row>
    <row r="33" spans="1:21" customFormat="1">
      <c r="A33" s="163" t="s">
        <v>1319</v>
      </c>
      <c r="B33" s="100">
        <v>21.64</v>
      </c>
      <c r="C33" s="100">
        <v>27.15</v>
      </c>
      <c r="D33" s="100">
        <v>32.89</v>
      </c>
      <c r="E33" s="100">
        <v>6.87</v>
      </c>
      <c r="F33" s="152" t="s">
        <v>15</v>
      </c>
      <c r="G33" s="100">
        <v>96.11</v>
      </c>
      <c r="H33" s="100">
        <v>29.38</v>
      </c>
      <c r="I33" s="100">
        <v>11.77</v>
      </c>
      <c r="J33" s="100">
        <v>0.39</v>
      </c>
      <c r="K33" s="100">
        <v>65.72</v>
      </c>
      <c r="L33" s="100">
        <v>14.96</v>
      </c>
      <c r="M33" s="100">
        <v>80.81</v>
      </c>
      <c r="N33" s="100">
        <v>1.6</v>
      </c>
      <c r="O33" s="100">
        <v>0</v>
      </c>
      <c r="P33" s="100">
        <v>0.86</v>
      </c>
      <c r="Q33" s="100">
        <v>13.54</v>
      </c>
      <c r="R33" s="6"/>
      <c r="S33" s="6"/>
      <c r="T33" s="156"/>
      <c r="U33" s="6"/>
    </row>
    <row r="34" spans="1:21" customFormat="1">
      <c r="A34" s="163" t="s">
        <v>1320</v>
      </c>
      <c r="B34" s="100">
        <v>20.88</v>
      </c>
      <c r="C34" s="100">
        <v>27.19</v>
      </c>
      <c r="D34" s="100">
        <v>32.299999999999997</v>
      </c>
      <c r="E34" s="100">
        <v>7.05</v>
      </c>
      <c r="F34" s="152" t="s">
        <v>15</v>
      </c>
      <c r="G34" s="100">
        <v>101.76</v>
      </c>
      <c r="H34" s="100">
        <v>29.74</v>
      </c>
      <c r="I34" s="100">
        <v>11.94</v>
      </c>
      <c r="J34" s="100">
        <v>0.24</v>
      </c>
      <c r="K34" s="100">
        <v>84.15</v>
      </c>
      <c r="L34" s="100">
        <v>14.9</v>
      </c>
      <c r="M34" s="100">
        <v>81.48</v>
      </c>
      <c r="N34" s="100">
        <v>1.7</v>
      </c>
      <c r="O34" s="100">
        <v>0</v>
      </c>
      <c r="P34" s="100">
        <v>0.86</v>
      </c>
      <c r="Q34" s="100">
        <v>13.54</v>
      </c>
      <c r="R34" s="6"/>
      <c r="S34" s="6"/>
      <c r="T34" s="156"/>
      <c r="U34" s="6"/>
    </row>
    <row r="35" spans="1:21" customFormat="1">
      <c r="A35" s="163" t="s">
        <v>1321</v>
      </c>
      <c r="B35" s="100">
        <v>19.78</v>
      </c>
      <c r="C35" s="100">
        <v>27.09</v>
      </c>
      <c r="D35" s="100">
        <v>31.36</v>
      </c>
      <c r="E35" s="100">
        <v>6.63</v>
      </c>
      <c r="F35" s="152" t="s">
        <v>15</v>
      </c>
      <c r="G35" s="100">
        <v>101.76</v>
      </c>
      <c r="H35" s="100">
        <v>29.74</v>
      </c>
      <c r="I35" s="100">
        <v>11.91</v>
      </c>
      <c r="J35" s="100">
        <v>0.23</v>
      </c>
      <c r="K35" s="100">
        <v>186</v>
      </c>
      <c r="L35" s="100">
        <v>14.78</v>
      </c>
      <c r="M35" s="100">
        <v>83.98</v>
      </c>
      <c r="N35" s="100">
        <v>3.6</v>
      </c>
      <c r="O35" s="100">
        <v>0</v>
      </c>
      <c r="P35" s="100">
        <v>0.85</v>
      </c>
      <c r="Q35" s="100">
        <v>13.54</v>
      </c>
      <c r="R35" s="6"/>
      <c r="S35" s="6"/>
      <c r="T35" s="156"/>
      <c r="U35" s="6"/>
    </row>
    <row r="36" spans="1:21" customFormat="1">
      <c r="A36" s="163" t="s">
        <v>1322</v>
      </c>
      <c r="B36" s="100">
        <v>18.45</v>
      </c>
      <c r="C36" s="100">
        <v>26.78</v>
      </c>
      <c r="D36" s="100">
        <v>30.13</v>
      </c>
      <c r="E36" s="100">
        <v>6.64</v>
      </c>
      <c r="F36" s="152" t="s">
        <v>15</v>
      </c>
      <c r="G36" s="100">
        <v>101.76</v>
      </c>
      <c r="H36" s="100">
        <v>29.74</v>
      </c>
      <c r="I36" s="100">
        <v>11.91</v>
      </c>
      <c r="J36" s="100">
        <v>0.08</v>
      </c>
      <c r="K36" s="100">
        <v>233.65</v>
      </c>
      <c r="L36" s="100">
        <v>14.28</v>
      </c>
      <c r="M36" s="100">
        <v>87.86</v>
      </c>
      <c r="N36" s="100">
        <v>10.3</v>
      </c>
      <c r="O36" s="100">
        <v>0</v>
      </c>
      <c r="P36" s="100">
        <v>0.85</v>
      </c>
      <c r="Q36" s="100">
        <v>13.54</v>
      </c>
      <c r="R36" s="6"/>
      <c r="S36" s="6"/>
      <c r="T36" s="156"/>
      <c r="U36" s="6"/>
    </row>
    <row r="37" spans="1:21" customFormat="1">
      <c r="A37" s="163" t="s">
        <v>1323</v>
      </c>
      <c r="B37" s="100">
        <v>17.3</v>
      </c>
      <c r="C37" s="100">
        <v>26.41</v>
      </c>
      <c r="D37" s="100">
        <v>29.02</v>
      </c>
      <c r="E37" s="100">
        <v>6.86</v>
      </c>
      <c r="F37" s="152" t="s">
        <v>15</v>
      </c>
      <c r="G37" s="100">
        <v>99.56</v>
      </c>
      <c r="H37" s="100">
        <v>31.32</v>
      </c>
      <c r="I37" s="100">
        <v>12.42</v>
      </c>
      <c r="J37" s="100">
        <v>0.24</v>
      </c>
      <c r="K37" s="100">
        <v>170.33</v>
      </c>
      <c r="L37" s="100">
        <v>14.57</v>
      </c>
      <c r="M37" s="100">
        <v>86.33</v>
      </c>
      <c r="N37" s="100">
        <v>20</v>
      </c>
      <c r="O37" s="100">
        <v>0</v>
      </c>
      <c r="P37" s="100">
        <v>0.85</v>
      </c>
      <c r="Q37" s="100">
        <v>13.54</v>
      </c>
      <c r="R37" s="6"/>
      <c r="S37" s="6"/>
      <c r="T37" s="156"/>
      <c r="U37" s="6"/>
    </row>
    <row r="38" spans="1:21" customFormat="1">
      <c r="A38" s="163" t="s">
        <v>1324</v>
      </c>
      <c r="B38" s="100">
        <v>16.190000000000001</v>
      </c>
      <c r="C38" s="100">
        <v>26.1</v>
      </c>
      <c r="D38" s="100">
        <v>27.97</v>
      </c>
      <c r="E38" s="100">
        <v>6.59</v>
      </c>
      <c r="F38" s="152" t="s">
        <v>15</v>
      </c>
      <c r="G38" s="100">
        <v>97.95</v>
      </c>
      <c r="H38" s="100">
        <v>32.200000000000003</v>
      </c>
      <c r="I38" s="100">
        <v>13.13</v>
      </c>
      <c r="J38" s="100">
        <v>0.12</v>
      </c>
      <c r="K38" s="100">
        <v>196.26</v>
      </c>
      <c r="L38" s="100">
        <v>15.05</v>
      </c>
      <c r="M38" s="100">
        <v>84.77</v>
      </c>
      <c r="N38" s="100">
        <v>28.2</v>
      </c>
      <c r="O38" s="100">
        <v>0</v>
      </c>
      <c r="P38" s="100">
        <v>0.86</v>
      </c>
      <c r="Q38" s="100">
        <v>13.54</v>
      </c>
      <c r="R38" s="6"/>
      <c r="S38" s="6"/>
      <c r="T38" s="156"/>
      <c r="U38" s="6"/>
    </row>
    <row r="39" spans="1:21" customFormat="1">
      <c r="A39" s="163" t="s">
        <v>1325</v>
      </c>
      <c r="B39" s="100">
        <v>15.44</v>
      </c>
      <c r="C39" s="100">
        <v>26.21</v>
      </c>
      <c r="D39" s="100">
        <v>27.43</v>
      </c>
      <c r="E39" s="100">
        <v>6.8</v>
      </c>
      <c r="F39" s="152" t="s">
        <v>15</v>
      </c>
      <c r="G39" s="100">
        <v>97.95</v>
      </c>
      <c r="H39" s="100">
        <v>32.200000000000003</v>
      </c>
      <c r="I39" s="100">
        <v>13.72</v>
      </c>
      <c r="J39" s="100">
        <v>0.15</v>
      </c>
      <c r="K39" s="100">
        <v>37.58</v>
      </c>
      <c r="L39" s="100">
        <v>15.47</v>
      </c>
      <c r="M39" s="100">
        <v>82.89</v>
      </c>
      <c r="N39" s="100">
        <v>32.4</v>
      </c>
      <c r="O39" s="100">
        <v>0</v>
      </c>
      <c r="P39" s="100">
        <v>0.89</v>
      </c>
      <c r="Q39" s="100">
        <v>13.54</v>
      </c>
      <c r="R39" s="6"/>
      <c r="S39" s="6"/>
      <c r="T39" s="156"/>
      <c r="U39" s="6"/>
    </row>
    <row r="40" spans="1:21" customFormat="1">
      <c r="A40" s="163" t="s">
        <v>1326</v>
      </c>
      <c r="B40" s="100">
        <v>15.62</v>
      </c>
      <c r="C40" s="100">
        <v>26.75</v>
      </c>
      <c r="D40" s="100">
        <v>27.86</v>
      </c>
      <c r="E40" s="100">
        <v>6.63</v>
      </c>
      <c r="F40" s="152" t="s">
        <v>15</v>
      </c>
      <c r="G40" s="100">
        <v>97.95</v>
      </c>
      <c r="H40" s="100">
        <v>32.200000000000003</v>
      </c>
      <c r="I40" s="100">
        <v>13.86</v>
      </c>
      <c r="J40" s="100">
        <v>0.25</v>
      </c>
      <c r="K40" s="100">
        <v>56.8</v>
      </c>
      <c r="L40" s="100">
        <v>16.190000000000001</v>
      </c>
      <c r="M40" s="100">
        <v>79.41</v>
      </c>
      <c r="N40" s="100">
        <v>47.7</v>
      </c>
      <c r="O40" s="100">
        <v>0</v>
      </c>
      <c r="P40" s="100">
        <v>0.91</v>
      </c>
      <c r="Q40" s="100">
        <v>13.54</v>
      </c>
      <c r="R40" s="6"/>
      <c r="S40" s="6"/>
      <c r="T40" s="156"/>
      <c r="U40" s="6"/>
    </row>
    <row r="41" spans="1:21" customFormat="1">
      <c r="A41" s="163" t="s">
        <v>1327</v>
      </c>
      <c r="B41" s="100">
        <v>15.88</v>
      </c>
      <c r="C41" s="100">
        <v>27</v>
      </c>
      <c r="D41" s="100">
        <v>28.19</v>
      </c>
      <c r="E41" s="100">
        <v>6.57</v>
      </c>
      <c r="F41" s="152" t="s">
        <v>15</v>
      </c>
      <c r="G41" s="100">
        <v>96.55</v>
      </c>
      <c r="H41" s="100">
        <v>33.369999999999997</v>
      </c>
      <c r="I41" s="100">
        <v>13.78</v>
      </c>
      <c r="J41" s="100">
        <v>0.18</v>
      </c>
      <c r="K41" s="100">
        <v>115.57</v>
      </c>
      <c r="L41" s="100">
        <v>17.09</v>
      </c>
      <c r="M41" s="100">
        <v>75.33</v>
      </c>
      <c r="N41" s="100">
        <v>68.3</v>
      </c>
      <c r="O41" s="100">
        <v>0</v>
      </c>
      <c r="P41" s="100">
        <v>0.92</v>
      </c>
      <c r="Q41" s="100">
        <v>13.54</v>
      </c>
      <c r="R41" s="6"/>
      <c r="S41" s="6"/>
      <c r="T41" s="156"/>
      <c r="U41" s="6"/>
    </row>
    <row r="42" spans="1:21" customFormat="1">
      <c r="A42" s="163" t="s">
        <v>1328</v>
      </c>
      <c r="B42" s="100">
        <v>15.3</v>
      </c>
      <c r="C42" s="100">
        <v>27.18</v>
      </c>
      <c r="D42" s="100">
        <v>27.82</v>
      </c>
      <c r="E42" s="100">
        <v>6.76</v>
      </c>
      <c r="F42" s="152" t="s">
        <v>15</v>
      </c>
      <c r="G42" s="100">
        <v>95.53</v>
      </c>
      <c r="H42" s="100">
        <v>33.71</v>
      </c>
      <c r="I42" s="100">
        <v>14.11</v>
      </c>
      <c r="J42" s="100">
        <v>0.41</v>
      </c>
      <c r="K42" s="100">
        <v>135.46</v>
      </c>
      <c r="L42" s="100">
        <v>18.28</v>
      </c>
      <c r="M42" s="100">
        <v>70.319999999999993</v>
      </c>
      <c r="N42" s="100">
        <v>143.6</v>
      </c>
      <c r="O42" s="100">
        <v>0</v>
      </c>
      <c r="P42" s="100">
        <v>0.92</v>
      </c>
      <c r="Q42" s="100">
        <v>13.54</v>
      </c>
      <c r="R42" s="6"/>
      <c r="S42" s="6"/>
      <c r="T42" s="156"/>
      <c r="U42" s="6"/>
    </row>
    <row r="43" spans="1:21" customFormat="1">
      <c r="A43" s="163" t="s">
        <v>1329</v>
      </c>
      <c r="B43" s="100">
        <v>14.2</v>
      </c>
      <c r="C43" s="100">
        <v>27.22</v>
      </c>
      <c r="D43" s="100">
        <v>26.96</v>
      </c>
      <c r="E43" s="100">
        <v>6.7</v>
      </c>
      <c r="F43" s="152" t="s">
        <v>15</v>
      </c>
      <c r="G43" s="100">
        <v>95.53</v>
      </c>
      <c r="H43" s="100">
        <v>33.71</v>
      </c>
      <c r="I43" s="100">
        <v>14.29</v>
      </c>
      <c r="J43" s="100">
        <v>0.28000000000000003</v>
      </c>
      <c r="K43" s="100">
        <v>139.18</v>
      </c>
      <c r="L43" s="100">
        <v>18.98</v>
      </c>
      <c r="M43" s="100">
        <v>66.44</v>
      </c>
      <c r="N43" s="100">
        <v>110.5</v>
      </c>
      <c r="O43" s="100">
        <v>0</v>
      </c>
      <c r="P43" s="100">
        <v>0.91</v>
      </c>
      <c r="Q43" s="100">
        <v>13.54</v>
      </c>
      <c r="R43" s="6"/>
      <c r="S43" s="6"/>
      <c r="T43" s="156"/>
      <c r="U43" s="6"/>
    </row>
    <row r="44" spans="1:21" customFormat="1">
      <c r="A44" s="163" t="s">
        <v>1330</v>
      </c>
      <c r="B44" s="100">
        <v>13.06</v>
      </c>
      <c r="C44" s="100">
        <v>27.01</v>
      </c>
      <c r="D44" s="100">
        <v>25.93</v>
      </c>
      <c r="E44" s="100">
        <v>7.02</v>
      </c>
      <c r="F44" s="152" t="s">
        <v>15</v>
      </c>
      <c r="G44" s="100">
        <v>95.53</v>
      </c>
      <c r="H44" s="100">
        <v>33.71</v>
      </c>
      <c r="I44" s="100">
        <v>14.06</v>
      </c>
      <c r="J44" s="100">
        <v>0.31</v>
      </c>
      <c r="K44" s="100">
        <v>107.2</v>
      </c>
      <c r="L44" s="100">
        <v>19.68</v>
      </c>
      <c r="M44" s="100">
        <v>63.45</v>
      </c>
      <c r="N44" s="100">
        <v>145.6</v>
      </c>
      <c r="O44" s="100">
        <v>0</v>
      </c>
      <c r="P44" s="100">
        <v>0.91</v>
      </c>
      <c r="Q44" s="100">
        <v>13.54</v>
      </c>
      <c r="R44" s="6"/>
      <c r="S44" s="6"/>
      <c r="T44" s="156"/>
      <c r="U44" s="6"/>
    </row>
    <row r="45" spans="1:21" customFormat="1">
      <c r="A45" s="163" t="s">
        <v>1331</v>
      </c>
      <c r="B45" s="100">
        <v>12.04</v>
      </c>
      <c r="C45" s="100">
        <v>26.92</v>
      </c>
      <c r="D45" s="100">
        <v>25.07</v>
      </c>
      <c r="E45" s="100">
        <v>6.28</v>
      </c>
      <c r="F45" s="152" t="s">
        <v>15</v>
      </c>
      <c r="G45" s="100">
        <v>89.94</v>
      </c>
      <c r="H45" s="100">
        <v>32.21</v>
      </c>
      <c r="I45" s="100">
        <v>13.86</v>
      </c>
      <c r="J45" s="100">
        <v>0.38</v>
      </c>
      <c r="K45" s="100">
        <v>108.28</v>
      </c>
      <c r="L45" s="100">
        <v>20.69</v>
      </c>
      <c r="M45" s="100">
        <v>59.1</v>
      </c>
      <c r="N45" s="100">
        <v>216.1</v>
      </c>
      <c r="O45" s="100">
        <v>0</v>
      </c>
      <c r="P45" s="100">
        <v>0.91</v>
      </c>
      <c r="Q45" s="100">
        <v>13.54</v>
      </c>
      <c r="R45" s="6"/>
      <c r="S45" s="6"/>
      <c r="T45" s="156"/>
      <c r="U45" s="6"/>
    </row>
    <row r="46" spans="1:21" customFormat="1">
      <c r="A46" s="163" t="s">
        <v>1332</v>
      </c>
      <c r="B46" s="100">
        <v>11.01</v>
      </c>
      <c r="C46" s="100">
        <v>26.77</v>
      </c>
      <c r="D46" s="100">
        <v>24.16</v>
      </c>
      <c r="E46" s="100">
        <v>6.49</v>
      </c>
      <c r="F46" s="152" t="s">
        <v>15</v>
      </c>
      <c r="G46" s="100">
        <v>85.85</v>
      </c>
      <c r="H46" s="100">
        <v>31.76</v>
      </c>
      <c r="I46" s="100">
        <v>13.56</v>
      </c>
      <c r="J46" s="100">
        <v>0.28999999999999998</v>
      </c>
      <c r="K46" s="100">
        <v>255.75</v>
      </c>
      <c r="L46" s="100">
        <v>21.2</v>
      </c>
      <c r="M46" s="100">
        <v>57.06</v>
      </c>
      <c r="N46" s="100">
        <v>172.4</v>
      </c>
      <c r="O46" s="100">
        <v>0</v>
      </c>
      <c r="P46" s="100">
        <v>0.89</v>
      </c>
      <c r="Q46" s="100">
        <v>13.54</v>
      </c>
      <c r="R46" s="6"/>
      <c r="S46" s="6"/>
      <c r="T46" s="156"/>
      <c r="U46" s="6"/>
    </row>
    <row r="47" spans="1:21" customFormat="1">
      <c r="A47" s="163" t="s">
        <v>1333</v>
      </c>
      <c r="B47" s="100">
        <v>10.220000000000001</v>
      </c>
      <c r="C47" s="100">
        <v>26.23</v>
      </c>
      <c r="D47" s="100">
        <v>23.25</v>
      </c>
      <c r="E47" s="100">
        <v>7.13</v>
      </c>
      <c r="F47" s="152" t="s">
        <v>15</v>
      </c>
      <c r="G47" s="100">
        <v>85.85</v>
      </c>
      <c r="H47" s="100">
        <v>31.76</v>
      </c>
      <c r="I47" s="100">
        <v>13.37</v>
      </c>
      <c r="J47" s="100">
        <v>0.06</v>
      </c>
      <c r="K47" s="100">
        <v>89.91</v>
      </c>
      <c r="L47" s="100">
        <v>22.15</v>
      </c>
      <c r="M47" s="100">
        <v>53.45</v>
      </c>
      <c r="N47" s="100">
        <v>153.1</v>
      </c>
      <c r="O47" s="100">
        <v>0</v>
      </c>
      <c r="P47" s="100">
        <v>0.89</v>
      </c>
      <c r="Q47" s="100">
        <v>13.54</v>
      </c>
      <c r="R47" s="6"/>
      <c r="S47" s="6"/>
      <c r="T47" s="156"/>
      <c r="U47" s="6"/>
    </row>
    <row r="48" spans="1:21" customFormat="1">
      <c r="A48" s="163" t="s">
        <v>1334</v>
      </c>
      <c r="B48" s="100">
        <v>9.59</v>
      </c>
      <c r="C48" s="100">
        <v>25.75</v>
      </c>
      <c r="D48" s="100">
        <v>22.5</v>
      </c>
      <c r="E48" s="100">
        <v>6.88</v>
      </c>
      <c r="F48" s="152" t="s">
        <v>15</v>
      </c>
      <c r="G48" s="100">
        <v>85.85</v>
      </c>
      <c r="H48" s="100">
        <v>31.76</v>
      </c>
      <c r="I48" s="100">
        <v>13.23</v>
      </c>
      <c r="J48" s="100">
        <v>0.37</v>
      </c>
      <c r="K48" s="100">
        <v>323.81</v>
      </c>
      <c r="L48" s="100">
        <v>22.7</v>
      </c>
      <c r="M48" s="100">
        <v>51.33</v>
      </c>
      <c r="N48" s="100">
        <v>209</v>
      </c>
      <c r="O48" s="100">
        <v>0</v>
      </c>
      <c r="P48" s="100">
        <v>0.88</v>
      </c>
      <c r="Q48" s="100">
        <v>13.54</v>
      </c>
      <c r="R48" s="6"/>
      <c r="S48" s="6"/>
      <c r="T48" s="156"/>
      <c r="U48" s="6"/>
    </row>
    <row r="49" spans="1:21" customFormat="1">
      <c r="A49" s="163" t="s">
        <v>1335</v>
      </c>
      <c r="B49" s="100">
        <v>9.02</v>
      </c>
      <c r="C49" s="100">
        <v>25.36</v>
      </c>
      <c r="D49" s="100">
        <v>21.84</v>
      </c>
      <c r="E49" s="100">
        <v>7.64</v>
      </c>
      <c r="F49" s="152" t="s">
        <v>15</v>
      </c>
      <c r="G49" s="100">
        <v>79.42</v>
      </c>
      <c r="H49" s="100">
        <v>29.19</v>
      </c>
      <c r="I49" s="100">
        <v>12.95</v>
      </c>
      <c r="J49" s="100">
        <v>0.3</v>
      </c>
      <c r="K49" s="100">
        <v>300.73</v>
      </c>
      <c r="L49" s="100">
        <v>22.74</v>
      </c>
      <c r="M49" s="100">
        <v>51.23</v>
      </c>
      <c r="N49" s="100">
        <v>169.8</v>
      </c>
      <c r="O49" s="100">
        <v>0</v>
      </c>
      <c r="P49" s="100">
        <v>0.88</v>
      </c>
      <c r="Q49" s="100">
        <v>13.54</v>
      </c>
      <c r="R49" s="6"/>
      <c r="S49" s="6"/>
      <c r="T49" s="156"/>
      <c r="U49" s="6"/>
    </row>
    <row r="50" spans="1:21" customFormat="1">
      <c r="A50" s="163" t="s">
        <v>1336</v>
      </c>
      <c r="B50" s="100">
        <v>8.56</v>
      </c>
      <c r="C50" s="100">
        <v>24.99</v>
      </c>
      <c r="D50" s="100">
        <v>21.27</v>
      </c>
      <c r="E50" s="100">
        <v>9.68</v>
      </c>
      <c r="F50" s="152" t="s">
        <v>15</v>
      </c>
      <c r="G50" s="100">
        <v>74.72</v>
      </c>
      <c r="H50" s="100">
        <v>28.43</v>
      </c>
      <c r="I50" s="100">
        <v>12.79</v>
      </c>
      <c r="J50" s="100">
        <v>0.42</v>
      </c>
      <c r="K50" s="100">
        <v>347.95</v>
      </c>
      <c r="L50" s="100">
        <v>22.8</v>
      </c>
      <c r="M50" s="100">
        <v>50.06</v>
      </c>
      <c r="N50" s="100">
        <v>224.8</v>
      </c>
      <c r="O50" s="100">
        <v>0</v>
      </c>
      <c r="P50" s="100">
        <v>0.88</v>
      </c>
      <c r="Q50" s="100">
        <v>13.54</v>
      </c>
      <c r="R50" s="6"/>
      <c r="S50" s="6"/>
      <c r="T50" s="156"/>
      <c r="U50" s="6"/>
    </row>
    <row r="51" spans="1:21" customFormat="1">
      <c r="A51" s="163" t="s">
        <v>1337</v>
      </c>
      <c r="B51" s="100">
        <v>8.2100000000000009</v>
      </c>
      <c r="C51" s="100">
        <v>24.81</v>
      </c>
      <c r="D51" s="100">
        <v>20.9</v>
      </c>
      <c r="E51" s="100">
        <v>9.83</v>
      </c>
      <c r="F51" s="152" t="s">
        <v>15</v>
      </c>
      <c r="G51" s="100">
        <v>74.72</v>
      </c>
      <c r="H51" s="100">
        <v>28.43</v>
      </c>
      <c r="I51" s="100">
        <v>12.65</v>
      </c>
      <c r="J51" s="100">
        <v>0.27</v>
      </c>
      <c r="K51" s="100">
        <v>284.89</v>
      </c>
      <c r="L51" s="100">
        <v>23.66</v>
      </c>
      <c r="M51" s="100">
        <v>47.64</v>
      </c>
      <c r="N51" s="100">
        <v>300.2</v>
      </c>
      <c r="O51" s="100">
        <v>0</v>
      </c>
      <c r="P51" s="100">
        <v>0.87</v>
      </c>
      <c r="Q51" s="100">
        <v>13.54</v>
      </c>
      <c r="R51" s="6"/>
      <c r="S51" s="6"/>
      <c r="T51" s="156"/>
      <c r="U51" s="6"/>
    </row>
    <row r="52" spans="1:21" customFormat="1">
      <c r="A52" s="163" t="s">
        <v>1338</v>
      </c>
      <c r="B52" s="100">
        <v>7.77</v>
      </c>
      <c r="C52" s="100">
        <v>24.56</v>
      </c>
      <c r="D52" s="100">
        <v>20.420000000000002</v>
      </c>
      <c r="E52" s="100">
        <v>10.16</v>
      </c>
      <c r="F52" s="152" t="s">
        <v>15</v>
      </c>
      <c r="G52" s="100">
        <v>74.72</v>
      </c>
      <c r="H52" s="100">
        <v>28.43</v>
      </c>
      <c r="I52" s="100">
        <v>12.54</v>
      </c>
      <c r="J52" s="100">
        <v>0.17</v>
      </c>
      <c r="K52" s="100">
        <v>349.17</v>
      </c>
      <c r="L52" s="100">
        <v>24.33</v>
      </c>
      <c r="M52" s="100">
        <v>45.25</v>
      </c>
      <c r="N52" s="100">
        <v>310.3</v>
      </c>
      <c r="O52" s="100">
        <v>0</v>
      </c>
      <c r="P52" s="100">
        <v>0.86</v>
      </c>
      <c r="Q52" s="100">
        <v>13.54</v>
      </c>
      <c r="R52" s="6"/>
      <c r="S52" s="6"/>
      <c r="T52" s="156"/>
      <c r="U52" s="6"/>
    </row>
    <row r="53" spans="1:21" customFormat="1">
      <c r="A53" s="163" t="s">
        <v>1339</v>
      </c>
      <c r="B53" s="100">
        <v>7.29</v>
      </c>
      <c r="C53" s="100">
        <v>24.39</v>
      </c>
      <c r="D53" s="100">
        <v>19.940000000000001</v>
      </c>
      <c r="E53" s="100">
        <v>9.86</v>
      </c>
      <c r="F53" s="152" t="s">
        <v>15</v>
      </c>
      <c r="G53" s="100">
        <v>72.7</v>
      </c>
      <c r="H53" s="100">
        <v>29.16</v>
      </c>
      <c r="I53" s="100">
        <v>12.42</v>
      </c>
      <c r="J53" s="100">
        <v>0.31</v>
      </c>
      <c r="K53" s="100">
        <v>267.10000000000002</v>
      </c>
      <c r="L53" s="100">
        <v>24.71</v>
      </c>
      <c r="M53" s="100">
        <v>44.67</v>
      </c>
      <c r="N53" s="100">
        <v>327.39999999999998</v>
      </c>
      <c r="O53" s="100">
        <v>0</v>
      </c>
      <c r="P53" s="100">
        <v>0.86</v>
      </c>
      <c r="Q53" s="100">
        <v>13.54</v>
      </c>
      <c r="R53" s="6"/>
      <c r="S53" s="6"/>
      <c r="T53" s="156"/>
      <c r="U53" s="6"/>
    </row>
    <row r="54" spans="1:21" customFormat="1">
      <c r="A54" s="163" t="s">
        <v>1340</v>
      </c>
      <c r="B54" s="100">
        <v>6.8</v>
      </c>
      <c r="C54" s="100">
        <v>24.1</v>
      </c>
      <c r="D54" s="100">
        <v>19.399999999999999</v>
      </c>
      <c r="E54" s="100">
        <v>9.7100000000000009</v>
      </c>
      <c r="F54" s="152" t="s">
        <v>15</v>
      </c>
      <c r="G54" s="100">
        <v>71.23</v>
      </c>
      <c r="H54" s="100">
        <v>29.5</v>
      </c>
      <c r="I54" s="100">
        <v>12.27</v>
      </c>
      <c r="J54" s="100">
        <v>0.49</v>
      </c>
      <c r="K54" s="100">
        <v>325.08999999999997</v>
      </c>
      <c r="L54" s="100">
        <v>24.53</v>
      </c>
      <c r="M54" s="100">
        <v>44.91</v>
      </c>
      <c r="N54" s="100">
        <v>238.3</v>
      </c>
      <c r="O54" s="100">
        <v>0</v>
      </c>
      <c r="P54" s="100">
        <v>0.85</v>
      </c>
      <c r="Q54" s="100">
        <v>13.54</v>
      </c>
      <c r="R54" s="6"/>
      <c r="S54" s="6"/>
      <c r="T54" s="156"/>
      <c r="U54" s="6"/>
    </row>
    <row r="55" spans="1:21" customFormat="1">
      <c r="A55" s="163" t="s">
        <v>1341</v>
      </c>
      <c r="B55" s="100">
        <v>6.37</v>
      </c>
      <c r="C55" s="100">
        <v>23.75</v>
      </c>
      <c r="D55" s="100">
        <v>18.87</v>
      </c>
      <c r="E55" s="100">
        <v>10.039999999999999</v>
      </c>
      <c r="F55" s="152" t="s">
        <v>15</v>
      </c>
      <c r="G55" s="100">
        <v>71.23</v>
      </c>
      <c r="H55" s="100">
        <v>29.5</v>
      </c>
      <c r="I55" s="100">
        <v>12.15</v>
      </c>
      <c r="J55" s="100">
        <v>0.39</v>
      </c>
      <c r="K55" s="100">
        <v>255.18</v>
      </c>
      <c r="L55" s="100">
        <v>25.09</v>
      </c>
      <c r="M55" s="100">
        <v>42.94</v>
      </c>
      <c r="N55" s="100">
        <v>351.1</v>
      </c>
      <c r="O55" s="100">
        <v>0</v>
      </c>
      <c r="P55" s="100">
        <v>0.84</v>
      </c>
      <c r="Q55" s="100">
        <v>13.54</v>
      </c>
      <c r="R55" s="6"/>
      <c r="S55" s="6"/>
      <c r="T55" s="156"/>
      <c r="U55" s="6"/>
    </row>
    <row r="56" spans="1:21" customFormat="1">
      <c r="A56" s="163" t="s">
        <v>1342</v>
      </c>
      <c r="B56" s="100">
        <v>5.89</v>
      </c>
      <c r="C56" s="100">
        <v>23.52</v>
      </c>
      <c r="D56" s="100">
        <v>18.36</v>
      </c>
      <c r="E56" s="100">
        <v>10.050000000000001</v>
      </c>
      <c r="F56" s="152" t="s">
        <v>15</v>
      </c>
      <c r="G56" s="100">
        <v>71.23</v>
      </c>
      <c r="H56" s="100">
        <v>29.5</v>
      </c>
      <c r="I56" s="100">
        <v>12.01</v>
      </c>
      <c r="J56" s="100">
        <v>0.8</v>
      </c>
      <c r="K56" s="100">
        <v>321.14999999999998</v>
      </c>
      <c r="L56" s="100">
        <v>25.68</v>
      </c>
      <c r="M56" s="100">
        <v>41.4</v>
      </c>
      <c r="N56" s="100">
        <v>400.6</v>
      </c>
      <c r="O56" s="100">
        <v>0</v>
      </c>
      <c r="P56" s="100">
        <v>0.84</v>
      </c>
      <c r="Q56" s="100">
        <v>13.54</v>
      </c>
      <c r="R56" s="6"/>
      <c r="S56" s="6"/>
      <c r="T56" s="156"/>
      <c r="U56" s="6"/>
    </row>
    <row r="57" spans="1:21" customFormat="1">
      <c r="A57" s="163" t="s">
        <v>1343</v>
      </c>
      <c r="B57" s="100">
        <v>5.55</v>
      </c>
      <c r="C57" s="100">
        <v>23.26</v>
      </c>
      <c r="D57" s="100">
        <v>17.96</v>
      </c>
      <c r="E57" s="100">
        <v>10.08</v>
      </c>
      <c r="F57" s="152" t="s">
        <v>15</v>
      </c>
      <c r="G57" s="100">
        <v>67.89</v>
      </c>
      <c r="H57" s="100">
        <v>28.01</v>
      </c>
      <c r="I57" s="100">
        <v>11.83</v>
      </c>
      <c r="J57" s="100">
        <v>0.19</v>
      </c>
      <c r="K57" s="100">
        <v>252.21</v>
      </c>
      <c r="L57" s="100">
        <v>26.07</v>
      </c>
      <c r="M57" s="100">
        <v>40.880000000000003</v>
      </c>
      <c r="N57" s="100">
        <v>400.6</v>
      </c>
      <c r="O57" s="100">
        <v>0</v>
      </c>
      <c r="P57" s="100">
        <v>0.83</v>
      </c>
      <c r="Q57" s="100">
        <v>13.54</v>
      </c>
      <c r="R57" s="6"/>
      <c r="S57" s="6"/>
      <c r="T57" s="156"/>
      <c r="U57" s="6"/>
    </row>
    <row r="58" spans="1:21" customFormat="1">
      <c r="A58" s="163" t="s">
        <v>1344</v>
      </c>
      <c r="B58" s="100">
        <v>5.1100000000000003</v>
      </c>
      <c r="C58" s="100">
        <v>22.96</v>
      </c>
      <c r="D58" s="100">
        <v>17.440000000000001</v>
      </c>
      <c r="E58" s="100">
        <v>10.18</v>
      </c>
      <c r="F58" s="152" t="s">
        <v>15</v>
      </c>
      <c r="G58" s="100">
        <v>65.45</v>
      </c>
      <c r="H58" s="100">
        <v>27.57</v>
      </c>
      <c r="I58" s="100">
        <v>11.66</v>
      </c>
      <c r="J58" s="100">
        <v>0.44</v>
      </c>
      <c r="K58" s="100">
        <v>278.97000000000003</v>
      </c>
      <c r="L58" s="100">
        <v>26.42</v>
      </c>
      <c r="M58" s="100">
        <v>40.5</v>
      </c>
      <c r="N58" s="100">
        <v>403.8</v>
      </c>
      <c r="O58" s="100">
        <v>0</v>
      </c>
      <c r="P58" s="100">
        <v>0.78</v>
      </c>
      <c r="Q58" s="100">
        <v>13.54</v>
      </c>
      <c r="R58" s="6"/>
      <c r="S58" s="6"/>
      <c r="T58" s="156"/>
      <c r="U58" s="6"/>
    </row>
    <row r="59" spans="1:21" customFormat="1">
      <c r="A59" s="163" t="s">
        <v>1345</v>
      </c>
      <c r="B59" s="100">
        <v>4.62</v>
      </c>
      <c r="C59" s="100">
        <v>22.88</v>
      </c>
      <c r="D59" s="100">
        <v>17.010000000000002</v>
      </c>
      <c r="E59" s="100">
        <v>9.66</v>
      </c>
      <c r="F59" s="152" t="s">
        <v>15</v>
      </c>
      <c r="G59" s="100">
        <v>65.45</v>
      </c>
      <c r="H59" s="100">
        <v>27.57</v>
      </c>
      <c r="I59" s="100">
        <v>11.48</v>
      </c>
      <c r="J59" s="100">
        <v>0.44</v>
      </c>
      <c r="K59" s="100">
        <v>326.89999999999998</v>
      </c>
      <c r="L59" s="100">
        <v>26.92</v>
      </c>
      <c r="M59" s="100">
        <v>40.01</v>
      </c>
      <c r="N59" s="100">
        <v>305.2</v>
      </c>
      <c r="O59" s="100">
        <v>0</v>
      </c>
      <c r="P59" s="100">
        <v>0.76</v>
      </c>
      <c r="Q59" s="100">
        <v>13.54</v>
      </c>
      <c r="R59" s="6"/>
      <c r="S59" s="6"/>
      <c r="T59" s="156"/>
      <c r="U59" s="6"/>
    </row>
    <row r="60" spans="1:21" customFormat="1">
      <c r="A60" s="163" t="s">
        <v>1346</v>
      </c>
      <c r="B60" s="100">
        <v>4.3</v>
      </c>
      <c r="C60" s="100">
        <v>22.87</v>
      </c>
      <c r="D60" s="100">
        <v>16.75</v>
      </c>
      <c r="E60" s="100">
        <v>10.41</v>
      </c>
      <c r="F60" s="152" t="s">
        <v>15</v>
      </c>
      <c r="G60" s="100">
        <v>65.45</v>
      </c>
      <c r="H60" s="100">
        <v>27.57</v>
      </c>
      <c r="I60" s="100">
        <v>11.26</v>
      </c>
      <c r="J60" s="100">
        <v>0.41</v>
      </c>
      <c r="K60" s="100">
        <v>296.82</v>
      </c>
      <c r="L60" s="100">
        <v>26.91</v>
      </c>
      <c r="M60" s="100">
        <v>39.979999999999997</v>
      </c>
      <c r="N60" s="100">
        <v>328.7</v>
      </c>
      <c r="O60" s="100">
        <v>0</v>
      </c>
      <c r="P60" s="100">
        <v>0.75</v>
      </c>
      <c r="Q60" s="100">
        <v>13.54</v>
      </c>
      <c r="R60" s="6"/>
      <c r="S60" s="6"/>
      <c r="T60" s="156"/>
      <c r="U60" s="6"/>
    </row>
    <row r="61" spans="1:21" customFormat="1">
      <c r="A61" s="163" t="s">
        <v>1347</v>
      </c>
      <c r="B61" s="100">
        <v>4.13</v>
      </c>
      <c r="C61" s="100">
        <v>22.38</v>
      </c>
      <c r="D61" s="100">
        <v>16.36</v>
      </c>
      <c r="E61" s="100">
        <v>10.31</v>
      </c>
      <c r="F61" s="152" t="s">
        <v>15</v>
      </c>
      <c r="G61" s="100">
        <v>59.7</v>
      </c>
      <c r="H61" s="100">
        <v>26.68</v>
      </c>
      <c r="I61" s="100">
        <v>10.97</v>
      </c>
      <c r="J61" s="100">
        <v>0.62</v>
      </c>
      <c r="K61" s="100">
        <v>328.36</v>
      </c>
      <c r="L61" s="100">
        <v>27.11</v>
      </c>
      <c r="M61" s="100">
        <v>38.880000000000003</v>
      </c>
      <c r="N61" s="100">
        <v>358.8</v>
      </c>
      <c r="O61" s="100">
        <v>0</v>
      </c>
      <c r="P61" s="100">
        <v>0.74</v>
      </c>
      <c r="Q61" s="100">
        <v>13.54</v>
      </c>
      <c r="R61" s="6"/>
      <c r="S61" s="6"/>
      <c r="T61" s="156"/>
      <c r="U61" s="6"/>
    </row>
    <row r="62" spans="1:21" customFormat="1">
      <c r="A62" s="163" t="s">
        <v>1348</v>
      </c>
      <c r="B62" s="100">
        <v>4.04</v>
      </c>
      <c r="C62" s="100">
        <v>22.44</v>
      </c>
      <c r="D62" s="100">
        <v>16.309999999999999</v>
      </c>
      <c r="E62" s="100">
        <v>10.220000000000001</v>
      </c>
      <c r="F62" s="152" t="s">
        <v>15</v>
      </c>
      <c r="G62" s="100">
        <v>55.49</v>
      </c>
      <c r="H62" s="100">
        <v>26.19</v>
      </c>
      <c r="I62" s="100">
        <v>10.7</v>
      </c>
      <c r="J62" s="100">
        <v>0.69</v>
      </c>
      <c r="K62" s="100">
        <v>345.36</v>
      </c>
      <c r="L62" s="100">
        <v>27.23</v>
      </c>
      <c r="M62" s="100">
        <v>38.659999999999997</v>
      </c>
      <c r="N62" s="100">
        <v>337.9</v>
      </c>
      <c r="O62" s="100">
        <v>0</v>
      </c>
      <c r="P62" s="100">
        <v>0.74</v>
      </c>
      <c r="Q62" s="100">
        <v>13.54</v>
      </c>
      <c r="R62" s="6"/>
      <c r="S62" s="6"/>
      <c r="T62" s="156"/>
      <c r="U62" s="6"/>
    </row>
    <row r="63" spans="1:21" customFormat="1">
      <c r="A63" s="163" t="s">
        <v>1349</v>
      </c>
      <c r="B63" s="100">
        <v>3.96</v>
      </c>
      <c r="C63" s="100">
        <v>22.85</v>
      </c>
      <c r="D63" s="100">
        <v>16.46</v>
      </c>
      <c r="E63" s="100">
        <v>10.55</v>
      </c>
      <c r="F63" s="152" t="s">
        <v>15</v>
      </c>
      <c r="G63" s="100">
        <v>55.49</v>
      </c>
      <c r="H63" s="100">
        <v>26.19</v>
      </c>
      <c r="I63" s="100">
        <v>10.48</v>
      </c>
      <c r="J63" s="100">
        <v>0.59</v>
      </c>
      <c r="K63" s="100">
        <v>322.2</v>
      </c>
      <c r="L63" s="100">
        <v>27.25</v>
      </c>
      <c r="M63" s="100">
        <v>38.200000000000003</v>
      </c>
      <c r="N63" s="100">
        <v>342</v>
      </c>
      <c r="O63" s="100">
        <v>0</v>
      </c>
      <c r="P63" s="100">
        <v>0.74</v>
      </c>
      <c r="Q63" s="100">
        <v>13.54</v>
      </c>
      <c r="R63" s="6"/>
      <c r="S63" s="6"/>
      <c r="T63" s="156"/>
      <c r="U63" s="6"/>
    </row>
    <row r="64" spans="1:21" customFormat="1">
      <c r="A64" s="163" t="s">
        <v>1350</v>
      </c>
      <c r="B64" s="100">
        <v>3.88</v>
      </c>
      <c r="C64" s="100">
        <v>22.99</v>
      </c>
      <c r="D64" s="100">
        <v>16.47</v>
      </c>
      <c r="E64" s="100">
        <v>10.89</v>
      </c>
      <c r="F64" s="152" t="s">
        <v>15</v>
      </c>
      <c r="G64" s="100">
        <v>55.49</v>
      </c>
      <c r="H64" s="100">
        <v>26.19</v>
      </c>
      <c r="I64" s="100">
        <v>10.45</v>
      </c>
      <c r="J64" s="100">
        <v>0.23</v>
      </c>
      <c r="K64" s="100">
        <v>270.61</v>
      </c>
      <c r="L64" s="100">
        <v>27.26</v>
      </c>
      <c r="M64" s="100">
        <v>39.14</v>
      </c>
      <c r="N64" s="100">
        <v>288.7</v>
      </c>
      <c r="O64" s="100">
        <v>0</v>
      </c>
      <c r="P64" s="100">
        <v>0.74</v>
      </c>
      <c r="Q64" s="100">
        <v>13.54</v>
      </c>
      <c r="R64" s="6"/>
      <c r="S64" s="6"/>
      <c r="T64" s="156"/>
      <c r="U64" s="6"/>
    </row>
    <row r="65" spans="1:21" customFormat="1">
      <c r="A65" s="163" t="s">
        <v>1351</v>
      </c>
      <c r="B65" s="100">
        <v>3.78</v>
      </c>
      <c r="C65" s="100">
        <v>22.94</v>
      </c>
      <c r="D65" s="100">
        <v>16.37</v>
      </c>
      <c r="E65" s="100">
        <v>10.68</v>
      </c>
      <c r="F65" s="152" t="s">
        <v>15</v>
      </c>
      <c r="G65" s="100">
        <v>57.68</v>
      </c>
      <c r="H65" s="100">
        <v>25.48</v>
      </c>
      <c r="I65" s="100">
        <v>10.41</v>
      </c>
      <c r="J65" s="100">
        <v>0.49</v>
      </c>
      <c r="K65" s="100">
        <v>329.84</v>
      </c>
      <c r="L65" s="100">
        <v>26.86</v>
      </c>
      <c r="M65" s="100">
        <v>39.64</v>
      </c>
      <c r="N65" s="100">
        <v>201.3</v>
      </c>
      <c r="O65" s="100">
        <v>0</v>
      </c>
      <c r="P65" s="100">
        <v>0.76</v>
      </c>
      <c r="Q65" s="100">
        <v>13.54</v>
      </c>
      <c r="R65" s="6"/>
      <c r="S65" s="6"/>
      <c r="T65" s="156"/>
      <c r="U65" s="6"/>
    </row>
    <row r="66" spans="1:21" customFormat="1">
      <c r="A66" s="163" t="s">
        <v>1352</v>
      </c>
      <c r="B66" s="100">
        <v>3.76</v>
      </c>
      <c r="C66" s="100">
        <v>23.04</v>
      </c>
      <c r="D66" s="100">
        <v>16.41</v>
      </c>
      <c r="E66" s="100">
        <v>11.08</v>
      </c>
      <c r="F66" s="152" t="s">
        <v>15</v>
      </c>
      <c r="G66" s="100">
        <v>59.28</v>
      </c>
      <c r="H66" s="100">
        <v>25.27</v>
      </c>
      <c r="I66" s="100">
        <v>10.65</v>
      </c>
      <c r="J66" s="100">
        <v>0.64</v>
      </c>
      <c r="K66" s="100">
        <v>317.73</v>
      </c>
      <c r="L66" s="100">
        <v>26.94</v>
      </c>
      <c r="M66" s="100">
        <v>38.950000000000003</v>
      </c>
      <c r="N66" s="100">
        <v>117.5</v>
      </c>
      <c r="O66" s="100">
        <v>0</v>
      </c>
      <c r="P66" s="100">
        <v>0.8</v>
      </c>
      <c r="Q66" s="100">
        <v>13.54</v>
      </c>
      <c r="R66" s="6"/>
      <c r="S66" s="6"/>
      <c r="T66" s="156"/>
      <c r="U66" s="6"/>
    </row>
    <row r="67" spans="1:21" customFormat="1">
      <c r="A67" s="163" t="s">
        <v>1353</v>
      </c>
      <c r="B67" s="100">
        <v>3.79</v>
      </c>
      <c r="C67" s="100">
        <v>23.31</v>
      </c>
      <c r="D67" s="100">
        <v>16.57</v>
      </c>
      <c r="E67" s="100">
        <v>10.14</v>
      </c>
      <c r="F67" s="152" t="s">
        <v>15</v>
      </c>
      <c r="G67" s="100">
        <v>59.28</v>
      </c>
      <c r="H67" s="100">
        <v>25.27</v>
      </c>
      <c r="I67" s="100">
        <v>11.14</v>
      </c>
      <c r="J67" s="100">
        <v>0.5</v>
      </c>
      <c r="K67" s="100">
        <v>302.63</v>
      </c>
      <c r="L67" s="100">
        <v>26.91</v>
      </c>
      <c r="M67" s="100">
        <v>39.479999999999997</v>
      </c>
      <c r="N67" s="100">
        <v>113.8</v>
      </c>
      <c r="O67" s="100">
        <v>0</v>
      </c>
      <c r="P67" s="100">
        <v>0.81</v>
      </c>
      <c r="Q67" s="100">
        <v>13.54</v>
      </c>
      <c r="R67" s="6"/>
      <c r="S67" s="6"/>
      <c r="T67" s="156"/>
      <c r="U67" s="6"/>
    </row>
    <row r="68" spans="1:21" customFormat="1">
      <c r="A68" s="163" t="s">
        <v>1354</v>
      </c>
      <c r="B68" s="100">
        <v>3.77</v>
      </c>
      <c r="C68" s="100">
        <v>23.17</v>
      </c>
      <c r="D68" s="100">
        <v>16.48</v>
      </c>
      <c r="E68" s="100">
        <v>10.8</v>
      </c>
      <c r="F68" s="152" t="s">
        <v>15</v>
      </c>
      <c r="G68" s="100">
        <v>59.28</v>
      </c>
      <c r="H68" s="100">
        <v>25.27</v>
      </c>
      <c r="I68" s="100">
        <v>11.61</v>
      </c>
      <c r="J68" s="100">
        <v>0.19</v>
      </c>
      <c r="K68" s="100">
        <v>291.81</v>
      </c>
      <c r="L68" s="100">
        <v>27.07</v>
      </c>
      <c r="M68" s="100">
        <v>39.409999999999997</v>
      </c>
      <c r="N68" s="100">
        <v>83.7</v>
      </c>
      <c r="O68" s="100">
        <v>0</v>
      </c>
      <c r="P68" s="100">
        <v>0.8</v>
      </c>
      <c r="Q68" s="100">
        <v>13.54</v>
      </c>
      <c r="R68" s="6"/>
      <c r="S68" s="6"/>
      <c r="T68" s="156"/>
      <c r="U68" s="6"/>
    </row>
    <row r="69" spans="1:21" customFormat="1">
      <c r="A69" s="163" t="s">
        <v>1355</v>
      </c>
      <c r="B69" s="100">
        <v>3.79</v>
      </c>
      <c r="C69" s="100">
        <v>22.93</v>
      </c>
      <c r="D69" s="100">
        <v>16.37</v>
      </c>
      <c r="E69" s="100">
        <v>10.67</v>
      </c>
      <c r="F69" s="152" t="s">
        <v>15</v>
      </c>
      <c r="G69" s="100">
        <v>62.99</v>
      </c>
      <c r="H69" s="100">
        <v>27.11</v>
      </c>
      <c r="I69" s="100">
        <v>11.9</v>
      </c>
      <c r="J69" s="100">
        <v>0.4</v>
      </c>
      <c r="K69" s="100">
        <v>285.64</v>
      </c>
      <c r="L69" s="100">
        <v>27.02</v>
      </c>
      <c r="M69" s="100">
        <v>40</v>
      </c>
      <c r="N69" s="100">
        <v>76.599999999999994</v>
      </c>
      <c r="O69" s="100">
        <v>0</v>
      </c>
      <c r="P69" s="100">
        <v>0.81</v>
      </c>
      <c r="Q69" s="100">
        <v>13.54</v>
      </c>
      <c r="R69" s="6"/>
      <c r="S69" s="6"/>
      <c r="T69" s="156"/>
      <c r="U69" s="6"/>
    </row>
    <row r="70" spans="1:21" customFormat="1">
      <c r="A70" s="163" t="s">
        <v>1356</v>
      </c>
      <c r="B70" s="100">
        <v>3.77</v>
      </c>
      <c r="C70" s="100">
        <v>22.55</v>
      </c>
      <c r="D70" s="100">
        <v>16.16</v>
      </c>
      <c r="E70" s="100">
        <v>10.87</v>
      </c>
      <c r="F70" s="152" t="s">
        <v>15</v>
      </c>
      <c r="G70" s="100">
        <v>65.69</v>
      </c>
      <c r="H70" s="100">
        <v>27.65</v>
      </c>
      <c r="I70" s="100">
        <v>11.83</v>
      </c>
      <c r="J70" s="100">
        <v>0.36</v>
      </c>
      <c r="K70" s="100">
        <v>305.14</v>
      </c>
      <c r="L70" s="100">
        <v>27</v>
      </c>
      <c r="M70" s="100">
        <v>41.3</v>
      </c>
      <c r="N70" s="100">
        <v>67.8</v>
      </c>
      <c r="O70" s="100">
        <v>0</v>
      </c>
      <c r="P70" s="100">
        <v>0.79</v>
      </c>
      <c r="Q70" s="100">
        <v>13.54</v>
      </c>
      <c r="R70" s="6"/>
      <c r="S70" s="6"/>
      <c r="T70" s="156"/>
      <c r="U70" s="6"/>
    </row>
    <row r="71" spans="1:21" customFormat="1">
      <c r="A71" s="163" t="s">
        <v>1357</v>
      </c>
      <c r="B71" s="100">
        <v>3.78</v>
      </c>
      <c r="C71" s="100">
        <v>22.34</v>
      </c>
      <c r="D71" s="100">
        <v>16.05</v>
      </c>
      <c r="E71" s="100">
        <v>11.1</v>
      </c>
      <c r="F71" s="152" t="s">
        <v>15</v>
      </c>
      <c r="G71" s="100">
        <v>65.69</v>
      </c>
      <c r="H71" s="100">
        <v>27.65</v>
      </c>
      <c r="I71" s="100">
        <v>12.02</v>
      </c>
      <c r="J71" s="100">
        <v>0.59</v>
      </c>
      <c r="K71" s="100">
        <v>307.20999999999998</v>
      </c>
      <c r="L71" s="100">
        <v>26.89</v>
      </c>
      <c r="M71" s="100">
        <v>42.27</v>
      </c>
      <c r="N71" s="100">
        <v>68.099999999999994</v>
      </c>
      <c r="O71" s="100">
        <v>0</v>
      </c>
      <c r="P71" s="100">
        <v>0.8</v>
      </c>
      <c r="Q71" s="100">
        <v>13.54</v>
      </c>
      <c r="R71" s="6"/>
      <c r="S71" s="6"/>
      <c r="T71" s="156"/>
      <c r="U71" s="6"/>
    </row>
    <row r="72" spans="1:21" customFormat="1">
      <c r="A72" s="163" t="s">
        <v>1358</v>
      </c>
      <c r="B72" s="100">
        <v>3.82</v>
      </c>
      <c r="C72" s="100">
        <v>22.72</v>
      </c>
      <c r="D72" s="100">
        <v>16.28</v>
      </c>
      <c r="E72" s="100">
        <v>11.18</v>
      </c>
      <c r="F72" s="152" t="s">
        <v>15</v>
      </c>
      <c r="G72" s="100">
        <v>65.69</v>
      </c>
      <c r="H72" s="100">
        <v>27.65</v>
      </c>
      <c r="I72" s="100">
        <v>11.86</v>
      </c>
      <c r="J72" s="100">
        <v>0.79</v>
      </c>
      <c r="K72" s="100">
        <v>328.7</v>
      </c>
      <c r="L72" s="100">
        <v>26.75</v>
      </c>
      <c r="M72" s="100">
        <v>43.02</v>
      </c>
      <c r="N72" s="100">
        <v>51.5</v>
      </c>
      <c r="O72" s="100">
        <v>0</v>
      </c>
      <c r="P72" s="100">
        <v>0.79</v>
      </c>
      <c r="Q72" s="100">
        <v>13.54</v>
      </c>
      <c r="R72" s="6"/>
      <c r="S72" s="6"/>
      <c r="T72" s="156"/>
      <c r="U72" s="6"/>
    </row>
    <row r="73" spans="1:21" customFormat="1">
      <c r="A73" s="163" t="s">
        <v>1359</v>
      </c>
      <c r="B73" s="100">
        <v>3.92</v>
      </c>
      <c r="C73" s="100">
        <v>23.28</v>
      </c>
      <c r="D73" s="100">
        <v>16.66</v>
      </c>
      <c r="E73" s="100">
        <v>11.55</v>
      </c>
      <c r="F73" s="152" t="s">
        <v>15</v>
      </c>
      <c r="G73" s="100">
        <v>68.13</v>
      </c>
      <c r="H73" s="100">
        <v>28.58</v>
      </c>
      <c r="I73" s="100">
        <v>11.67</v>
      </c>
      <c r="J73" s="100">
        <v>0.85</v>
      </c>
      <c r="K73" s="100">
        <v>316.64</v>
      </c>
      <c r="L73" s="100">
        <v>26.53</v>
      </c>
      <c r="M73" s="100">
        <v>44.24</v>
      </c>
      <c r="N73" s="100">
        <v>43.1</v>
      </c>
      <c r="O73" s="100">
        <v>0</v>
      </c>
      <c r="P73" s="100">
        <v>0.79</v>
      </c>
      <c r="Q73" s="100">
        <v>13.54</v>
      </c>
      <c r="R73" s="6"/>
      <c r="S73" s="6"/>
      <c r="T73" s="156"/>
      <c r="U73" s="6"/>
    </row>
    <row r="74" spans="1:21" customFormat="1">
      <c r="A74" s="163" t="s">
        <v>1360</v>
      </c>
      <c r="B74" s="100">
        <v>4.05</v>
      </c>
      <c r="C74" s="100">
        <v>23.79</v>
      </c>
      <c r="D74" s="100">
        <v>17.03</v>
      </c>
      <c r="E74" s="100">
        <v>10.86</v>
      </c>
      <c r="F74" s="152" t="s">
        <v>15</v>
      </c>
      <c r="G74" s="100">
        <v>69.900000000000006</v>
      </c>
      <c r="H74" s="100">
        <v>28.85</v>
      </c>
      <c r="I74" s="100">
        <v>11.53</v>
      </c>
      <c r="J74" s="100">
        <v>0.63</v>
      </c>
      <c r="K74" s="100">
        <v>312.37</v>
      </c>
      <c r="L74" s="100">
        <v>26.28</v>
      </c>
      <c r="M74" s="100">
        <v>44.93</v>
      </c>
      <c r="N74" s="100">
        <v>34.700000000000003</v>
      </c>
      <c r="O74" s="100">
        <v>0</v>
      </c>
      <c r="P74" s="100">
        <v>0.79</v>
      </c>
      <c r="Q74" s="100">
        <v>13.54</v>
      </c>
      <c r="R74" s="6"/>
      <c r="S74" s="6"/>
      <c r="T74" s="156"/>
      <c r="U74" s="6"/>
    </row>
    <row r="75" spans="1:21" customFormat="1">
      <c r="A75" s="163" t="s">
        <v>1361</v>
      </c>
      <c r="B75" s="100">
        <v>4.07</v>
      </c>
      <c r="C75" s="100">
        <v>24.41</v>
      </c>
      <c r="D75" s="100">
        <v>17.37</v>
      </c>
      <c r="E75" s="100">
        <v>11.39</v>
      </c>
      <c r="F75" s="152" t="s">
        <v>15</v>
      </c>
      <c r="G75" s="100">
        <v>69.900000000000006</v>
      </c>
      <c r="H75" s="100">
        <v>28.85</v>
      </c>
      <c r="I75" s="100">
        <v>11.4</v>
      </c>
      <c r="J75" s="100">
        <v>0.3</v>
      </c>
      <c r="K75" s="100">
        <v>319.83</v>
      </c>
      <c r="L75" s="100">
        <v>26.09</v>
      </c>
      <c r="M75" s="100">
        <v>45.61</v>
      </c>
      <c r="N75" s="100">
        <v>27.4</v>
      </c>
      <c r="O75" s="100">
        <v>0</v>
      </c>
      <c r="P75" s="100">
        <v>0.81</v>
      </c>
      <c r="Q75" s="100">
        <v>13.54</v>
      </c>
      <c r="R75" s="6"/>
      <c r="S75" s="6"/>
      <c r="T75" s="156"/>
      <c r="U75" s="6"/>
    </row>
    <row r="76" spans="1:21" customFormat="1">
      <c r="A76" s="163" t="s">
        <v>1362</v>
      </c>
      <c r="B76" s="100">
        <v>4.07</v>
      </c>
      <c r="C76" s="100">
        <v>25.01</v>
      </c>
      <c r="D76" s="100">
        <v>17.68</v>
      </c>
      <c r="E76" s="100">
        <v>11.27</v>
      </c>
      <c r="F76" s="152" t="s">
        <v>15</v>
      </c>
      <c r="G76" s="100">
        <v>69.900000000000006</v>
      </c>
      <c r="H76" s="100">
        <v>28.85</v>
      </c>
      <c r="I76" s="100">
        <v>11.34</v>
      </c>
      <c r="J76" s="100">
        <v>0.36</v>
      </c>
      <c r="K76" s="100">
        <v>41.74</v>
      </c>
      <c r="L76" s="100">
        <v>25.77</v>
      </c>
      <c r="M76" s="100">
        <v>46.28</v>
      </c>
      <c r="N76" s="100">
        <v>18.899999999999999</v>
      </c>
      <c r="O76" s="100">
        <v>0</v>
      </c>
      <c r="P76" s="100">
        <v>0.81</v>
      </c>
      <c r="Q76" s="100">
        <v>13.54</v>
      </c>
      <c r="R76" s="6"/>
      <c r="S76" s="6"/>
      <c r="T76" s="156"/>
      <c r="U76" s="6"/>
    </row>
    <row r="77" spans="1:21" customFormat="1">
      <c r="A77" s="163" t="s">
        <v>1363</v>
      </c>
      <c r="B77" s="100">
        <v>4.0999999999999996</v>
      </c>
      <c r="C77" s="100">
        <v>25.63</v>
      </c>
      <c r="D77" s="100">
        <v>18.03</v>
      </c>
      <c r="E77" s="100">
        <v>10.94</v>
      </c>
      <c r="F77" s="152" t="s">
        <v>15</v>
      </c>
      <c r="G77" s="100">
        <v>73.03</v>
      </c>
      <c r="H77" s="100">
        <v>27.27</v>
      </c>
      <c r="I77" s="100">
        <v>11.17</v>
      </c>
      <c r="J77" s="100">
        <v>0.37</v>
      </c>
      <c r="K77" s="100">
        <v>56.13</v>
      </c>
      <c r="L77" s="100">
        <v>25.45</v>
      </c>
      <c r="M77" s="100">
        <v>47.21</v>
      </c>
      <c r="N77" s="100">
        <v>12</v>
      </c>
      <c r="O77" s="100">
        <v>0</v>
      </c>
      <c r="P77" s="100">
        <v>0.81</v>
      </c>
      <c r="Q77" s="100">
        <v>13.54</v>
      </c>
      <c r="R77" s="6"/>
      <c r="S77" s="6"/>
      <c r="T77" s="156"/>
      <c r="U77" s="6"/>
    </row>
    <row r="78" spans="1:21" customFormat="1">
      <c r="A78" s="163" t="s">
        <v>1364</v>
      </c>
      <c r="B78" s="100">
        <v>4.2699999999999996</v>
      </c>
      <c r="C78" s="100">
        <v>26.33</v>
      </c>
      <c r="D78" s="100">
        <v>18.54</v>
      </c>
      <c r="E78" s="100">
        <v>11.2</v>
      </c>
      <c r="F78" s="152" t="s">
        <v>15</v>
      </c>
      <c r="G78" s="100">
        <v>75.31</v>
      </c>
      <c r="H78" s="100">
        <v>26.8</v>
      </c>
      <c r="I78" s="100">
        <v>11.16</v>
      </c>
      <c r="J78" s="100">
        <v>0.35</v>
      </c>
      <c r="K78" s="100">
        <v>52.11</v>
      </c>
      <c r="L78" s="100">
        <v>25</v>
      </c>
      <c r="M78" s="100">
        <v>48.67</v>
      </c>
      <c r="N78" s="100">
        <v>6.1</v>
      </c>
      <c r="O78" s="100">
        <v>0</v>
      </c>
      <c r="P78" s="100">
        <v>0.86</v>
      </c>
      <c r="Q78" s="100">
        <v>13.54</v>
      </c>
      <c r="R78" s="6"/>
      <c r="S78" s="6"/>
      <c r="T78" s="156"/>
      <c r="U78" s="6"/>
    </row>
    <row r="79" spans="1:21" customFormat="1">
      <c r="A79" s="163" t="s">
        <v>1365</v>
      </c>
      <c r="B79" s="100">
        <v>4.68</v>
      </c>
      <c r="C79" s="100">
        <v>26.74</v>
      </c>
      <c r="D79" s="100">
        <v>19.079999999999998</v>
      </c>
      <c r="E79" s="100">
        <v>11.44</v>
      </c>
      <c r="F79" s="152" t="s">
        <v>15</v>
      </c>
      <c r="G79" s="100">
        <v>75.31</v>
      </c>
      <c r="H79" s="100">
        <v>26.8</v>
      </c>
      <c r="I79" s="100">
        <v>11.18</v>
      </c>
      <c r="J79" s="100">
        <v>0.52</v>
      </c>
      <c r="K79" s="100">
        <v>46.62</v>
      </c>
      <c r="L79" s="100">
        <v>24.55</v>
      </c>
      <c r="M79" s="100">
        <v>49.58</v>
      </c>
      <c r="N79" s="100">
        <v>2.9</v>
      </c>
      <c r="O79" s="100">
        <v>0</v>
      </c>
      <c r="P79" s="100">
        <v>0.89</v>
      </c>
      <c r="Q79" s="100">
        <v>13.54</v>
      </c>
      <c r="R79" s="6"/>
      <c r="S79" s="6"/>
      <c r="T79" s="156"/>
      <c r="U79" s="6"/>
    </row>
    <row r="80" spans="1:21" customFormat="1">
      <c r="A80" s="163" t="s">
        <v>1366</v>
      </c>
      <c r="B80" s="100">
        <v>5.0999999999999996</v>
      </c>
      <c r="C80" s="100">
        <v>26.88</v>
      </c>
      <c r="D80" s="100">
        <v>19.48</v>
      </c>
      <c r="E80" s="100">
        <v>11.67</v>
      </c>
      <c r="F80" s="152" t="s">
        <v>15</v>
      </c>
      <c r="G80" s="100">
        <v>75.31</v>
      </c>
      <c r="H80" s="100">
        <v>26.8</v>
      </c>
      <c r="I80" s="100">
        <v>11.34</v>
      </c>
      <c r="J80" s="100">
        <v>0.68</v>
      </c>
      <c r="K80" s="100">
        <v>58.92</v>
      </c>
      <c r="L80" s="100">
        <v>24.01</v>
      </c>
      <c r="M80" s="100">
        <v>51.24</v>
      </c>
      <c r="N80" s="100">
        <v>2.1</v>
      </c>
      <c r="O80" s="100">
        <v>0</v>
      </c>
      <c r="P80" s="100">
        <v>0.91</v>
      </c>
      <c r="Q80" s="100">
        <v>13.54</v>
      </c>
      <c r="R80" s="6"/>
      <c r="S80" s="6"/>
      <c r="T80" s="156"/>
      <c r="U80" s="6"/>
    </row>
    <row r="81" spans="1:21" customFormat="1">
      <c r="A81" s="163" t="s">
        <v>1367</v>
      </c>
      <c r="B81" s="100">
        <v>5.32</v>
      </c>
      <c r="C81" s="100">
        <v>26.82</v>
      </c>
      <c r="D81" s="100">
        <v>19.63</v>
      </c>
      <c r="E81" s="100">
        <v>9.83</v>
      </c>
      <c r="F81" s="152" t="s">
        <v>15</v>
      </c>
      <c r="G81" s="100">
        <v>81.59</v>
      </c>
      <c r="H81" s="100">
        <v>29.49</v>
      </c>
      <c r="I81" s="100">
        <v>11.48</v>
      </c>
      <c r="J81" s="100">
        <v>0.62</v>
      </c>
      <c r="K81" s="100">
        <v>59.21</v>
      </c>
      <c r="L81" s="100">
        <v>23.63</v>
      </c>
      <c r="M81" s="100">
        <v>52.66</v>
      </c>
      <c r="N81" s="100">
        <v>2</v>
      </c>
      <c r="O81" s="100">
        <v>0</v>
      </c>
      <c r="P81" s="100">
        <v>0.92</v>
      </c>
      <c r="Q81" s="100">
        <v>13.54</v>
      </c>
      <c r="R81" s="6"/>
      <c r="S81" s="6"/>
      <c r="T81" s="156"/>
      <c r="U81" s="6"/>
    </row>
    <row r="82" spans="1:21" customFormat="1">
      <c r="A82" s="163" t="s">
        <v>1368</v>
      </c>
      <c r="B82" s="100">
        <v>5.56</v>
      </c>
      <c r="C82" s="100">
        <v>27.05</v>
      </c>
      <c r="D82" s="100">
        <v>19.940000000000001</v>
      </c>
      <c r="E82" s="100">
        <v>11.11</v>
      </c>
      <c r="F82" s="152" t="s">
        <v>15</v>
      </c>
      <c r="G82" s="100">
        <v>86.19</v>
      </c>
      <c r="H82" s="100">
        <v>30.28</v>
      </c>
      <c r="I82" s="100">
        <v>11.56</v>
      </c>
      <c r="J82" s="100">
        <v>0.5</v>
      </c>
      <c r="K82" s="100">
        <v>60.4</v>
      </c>
      <c r="L82" s="100">
        <v>23.35</v>
      </c>
      <c r="M82" s="100">
        <v>53.55</v>
      </c>
      <c r="N82" s="100">
        <v>1.8</v>
      </c>
      <c r="O82" s="100">
        <v>0</v>
      </c>
      <c r="P82" s="100">
        <v>0.94</v>
      </c>
      <c r="Q82" s="100">
        <v>13.54</v>
      </c>
      <c r="R82" s="6"/>
      <c r="S82" s="6"/>
      <c r="T82" s="156"/>
      <c r="U82" s="6"/>
    </row>
    <row r="83" spans="1:21" customFormat="1">
      <c r="A83" s="163" t="s">
        <v>1369</v>
      </c>
      <c r="B83" s="100">
        <v>5.83</v>
      </c>
      <c r="C83" s="100">
        <v>27.33</v>
      </c>
      <c r="D83" s="100">
        <v>20.309999999999999</v>
      </c>
      <c r="E83" s="100">
        <v>11.25</v>
      </c>
      <c r="F83" s="152" t="s">
        <v>15</v>
      </c>
      <c r="G83" s="100">
        <v>86.19</v>
      </c>
      <c r="H83" s="100">
        <v>30.28</v>
      </c>
      <c r="I83" s="100">
        <v>11.83</v>
      </c>
      <c r="J83" s="100">
        <v>0.24</v>
      </c>
      <c r="K83" s="100">
        <v>168.48</v>
      </c>
      <c r="L83" s="100">
        <v>22.4</v>
      </c>
      <c r="M83" s="100">
        <v>62.42</v>
      </c>
      <c r="N83" s="100">
        <v>2.4</v>
      </c>
      <c r="O83" s="100">
        <v>0</v>
      </c>
      <c r="P83" s="100">
        <v>0.96</v>
      </c>
      <c r="Q83" s="100">
        <v>13.54</v>
      </c>
      <c r="R83" s="6"/>
      <c r="S83" s="6"/>
      <c r="T83" s="156"/>
      <c r="U83" s="6"/>
    </row>
    <row r="84" spans="1:21" customFormat="1">
      <c r="A84" s="163" t="s">
        <v>1370</v>
      </c>
      <c r="B84" s="100">
        <v>5.92</v>
      </c>
      <c r="C84" s="100">
        <v>27.12</v>
      </c>
      <c r="D84" s="100">
        <v>20.27</v>
      </c>
      <c r="E84" s="100">
        <v>11.18</v>
      </c>
      <c r="F84" s="152" t="s">
        <v>15</v>
      </c>
      <c r="G84" s="100">
        <v>86.19</v>
      </c>
      <c r="H84" s="100">
        <v>30.28</v>
      </c>
      <c r="I84" s="100">
        <v>11.98</v>
      </c>
      <c r="J84" s="100">
        <v>0.23</v>
      </c>
      <c r="K84" s="100">
        <v>167.73</v>
      </c>
      <c r="L84" s="100">
        <v>21.39</v>
      </c>
      <c r="M84" s="100">
        <v>67.099999999999994</v>
      </c>
      <c r="N84" s="100">
        <v>2.2000000000000002</v>
      </c>
      <c r="O84" s="100">
        <v>0</v>
      </c>
      <c r="P84" s="100">
        <v>0.98</v>
      </c>
      <c r="Q84" s="100">
        <v>13.54</v>
      </c>
      <c r="R84" s="6"/>
      <c r="S84" s="6"/>
      <c r="T84" s="156"/>
      <c r="U84" s="6"/>
    </row>
    <row r="85" spans="1:21" customFormat="1">
      <c r="A85" s="163" t="s">
        <v>1371</v>
      </c>
      <c r="B85" s="100">
        <v>5.86</v>
      </c>
      <c r="C85" s="100">
        <v>26.91</v>
      </c>
      <c r="D85" s="100">
        <v>20.11</v>
      </c>
      <c r="E85" s="100">
        <v>10.69</v>
      </c>
      <c r="F85" s="152" t="s">
        <v>15</v>
      </c>
      <c r="G85" s="100">
        <v>98.43</v>
      </c>
      <c r="H85" s="100">
        <v>32.25</v>
      </c>
      <c r="I85" s="100">
        <v>12.05</v>
      </c>
      <c r="J85" s="100">
        <v>0.28999999999999998</v>
      </c>
      <c r="K85" s="100">
        <v>160.72999999999999</v>
      </c>
      <c r="L85" s="100">
        <v>20.97</v>
      </c>
      <c r="M85" s="100">
        <v>69.28</v>
      </c>
      <c r="N85" s="100">
        <v>1.9</v>
      </c>
      <c r="O85" s="100">
        <v>0</v>
      </c>
      <c r="P85" s="100">
        <v>0.99</v>
      </c>
      <c r="Q85" s="100">
        <v>13.54</v>
      </c>
      <c r="R85" s="6"/>
      <c r="S85" s="6"/>
      <c r="T85" s="156"/>
      <c r="U85" s="6"/>
    </row>
    <row r="86" spans="1:21" customFormat="1">
      <c r="A86" s="163" t="s">
        <v>1372</v>
      </c>
      <c r="B86" s="100">
        <v>5.84</v>
      </c>
      <c r="C86" s="100">
        <v>26.67</v>
      </c>
      <c r="D86" s="100">
        <v>19.97</v>
      </c>
      <c r="E86" s="100">
        <v>11.09</v>
      </c>
      <c r="F86" s="152" t="s">
        <v>15</v>
      </c>
      <c r="G86" s="100">
        <v>106.98</v>
      </c>
      <c r="H86" s="100">
        <v>33.31</v>
      </c>
      <c r="I86" s="100">
        <v>12.12</v>
      </c>
      <c r="J86" s="100">
        <v>0.19</v>
      </c>
      <c r="K86" s="100">
        <v>181.65</v>
      </c>
      <c r="L86" s="100">
        <v>20.57</v>
      </c>
      <c r="M86" s="100">
        <v>71.14</v>
      </c>
      <c r="N86" s="100">
        <v>1.8</v>
      </c>
      <c r="O86" s="100">
        <v>0</v>
      </c>
      <c r="P86" s="100">
        <v>1</v>
      </c>
      <c r="Q86" s="100">
        <v>13.54</v>
      </c>
      <c r="R86" s="6"/>
      <c r="S86" s="6"/>
      <c r="T86" s="156"/>
      <c r="U86" s="6"/>
    </row>
    <row r="87" spans="1:21" customFormat="1">
      <c r="A87" s="163" t="s">
        <v>1373</v>
      </c>
      <c r="B87" s="100">
        <v>6.05</v>
      </c>
      <c r="C87" s="100">
        <v>27.02</v>
      </c>
      <c r="D87" s="100">
        <v>20.329999999999998</v>
      </c>
      <c r="E87" s="100">
        <v>10.72</v>
      </c>
      <c r="F87" s="152" t="s">
        <v>15</v>
      </c>
      <c r="G87" s="100">
        <v>106.98</v>
      </c>
      <c r="H87" s="100">
        <v>33.31</v>
      </c>
      <c r="I87" s="100">
        <v>12.22</v>
      </c>
      <c r="J87" s="100">
        <v>0.2</v>
      </c>
      <c r="K87" s="100">
        <v>161.84</v>
      </c>
      <c r="L87" s="100">
        <v>20.420000000000002</v>
      </c>
      <c r="M87" s="100">
        <v>71.489999999999995</v>
      </c>
      <c r="N87" s="100">
        <v>1.7</v>
      </c>
      <c r="O87" s="100">
        <v>0</v>
      </c>
      <c r="P87" s="100">
        <v>1.03</v>
      </c>
      <c r="Q87" s="100">
        <v>13.54</v>
      </c>
      <c r="R87" s="6"/>
      <c r="S87" s="6"/>
      <c r="T87" s="156"/>
      <c r="U87" s="6"/>
    </row>
    <row r="88" spans="1:21" customFormat="1">
      <c r="A88" s="163" t="s">
        <v>1374</v>
      </c>
      <c r="B88" s="100">
        <v>6.22</v>
      </c>
      <c r="C88" s="100">
        <v>27.13</v>
      </c>
      <c r="D88" s="100">
        <v>20.51</v>
      </c>
      <c r="E88" s="100">
        <v>10.94</v>
      </c>
      <c r="F88" s="152" t="s">
        <v>15</v>
      </c>
      <c r="G88" s="100">
        <v>106.98</v>
      </c>
      <c r="H88" s="100">
        <v>33.31</v>
      </c>
      <c r="I88" s="100">
        <v>12.33</v>
      </c>
      <c r="J88" s="100">
        <v>0.12</v>
      </c>
      <c r="K88" s="100">
        <v>262.3</v>
      </c>
      <c r="L88" s="100">
        <v>20.23</v>
      </c>
      <c r="M88" s="100">
        <v>69.67</v>
      </c>
      <c r="N88" s="100">
        <v>1.5</v>
      </c>
      <c r="O88" s="100">
        <v>0</v>
      </c>
      <c r="P88" s="100">
        <v>1.04</v>
      </c>
      <c r="Q88" s="100">
        <v>13.54</v>
      </c>
      <c r="R88" s="6"/>
      <c r="S88" s="6"/>
      <c r="T88" s="156"/>
      <c r="U88" s="6"/>
    </row>
    <row r="89" spans="1:21" customFormat="1">
      <c r="A89" s="163" t="s">
        <v>1375</v>
      </c>
      <c r="B89" s="100">
        <v>6.37</v>
      </c>
      <c r="C89" s="100">
        <v>27.07</v>
      </c>
      <c r="D89" s="100">
        <v>20.6</v>
      </c>
      <c r="E89" s="100">
        <v>10.54</v>
      </c>
      <c r="F89" s="152" t="s">
        <v>15</v>
      </c>
      <c r="G89" s="100">
        <v>111.54</v>
      </c>
      <c r="H89" s="100">
        <v>32.31</v>
      </c>
      <c r="I89" s="100">
        <v>12.5</v>
      </c>
      <c r="J89" s="100">
        <v>0.22</v>
      </c>
      <c r="K89" s="100">
        <v>167.69</v>
      </c>
      <c r="L89" s="100">
        <v>20.2</v>
      </c>
      <c r="M89" s="100">
        <v>71.33</v>
      </c>
      <c r="N89" s="100">
        <v>1.6</v>
      </c>
      <c r="O89" s="100">
        <v>0</v>
      </c>
      <c r="P89" s="100">
        <v>1.06</v>
      </c>
      <c r="Q89" s="100">
        <v>13.54</v>
      </c>
      <c r="R89" s="6"/>
      <c r="S89" s="6"/>
      <c r="T89" s="156"/>
      <c r="U89" s="6"/>
    </row>
    <row r="90" spans="1:21" customFormat="1">
      <c r="A90" s="163" t="s">
        <v>1376</v>
      </c>
      <c r="B90" s="100">
        <v>6.48</v>
      </c>
      <c r="C90" s="100">
        <v>27</v>
      </c>
      <c r="D90" s="100">
        <v>20.65</v>
      </c>
      <c r="E90" s="100">
        <v>10.91</v>
      </c>
      <c r="F90" s="152" t="s">
        <v>15</v>
      </c>
      <c r="G90" s="100">
        <v>114.73</v>
      </c>
      <c r="H90" s="100">
        <v>32.020000000000003</v>
      </c>
      <c r="I90" s="100">
        <v>12.58</v>
      </c>
      <c r="J90" s="100">
        <v>0.18</v>
      </c>
      <c r="K90" s="100">
        <v>166.3</v>
      </c>
      <c r="L90" s="100">
        <v>19.78</v>
      </c>
      <c r="M90" s="100">
        <v>75.069999999999993</v>
      </c>
      <c r="N90" s="100">
        <v>1.7</v>
      </c>
      <c r="O90" s="100">
        <v>0</v>
      </c>
      <c r="P90" s="100">
        <v>1.07</v>
      </c>
      <c r="Q90" s="100">
        <v>13.54</v>
      </c>
      <c r="R90" s="6"/>
      <c r="S90" s="6"/>
      <c r="T90" s="156"/>
      <c r="U90" s="6"/>
    </row>
    <row r="91" spans="1:21" customFormat="1">
      <c r="A91" s="163" t="s">
        <v>1377</v>
      </c>
      <c r="B91" s="100">
        <v>6.85</v>
      </c>
      <c r="C91" s="100">
        <v>26.98</v>
      </c>
      <c r="D91" s="100">
        <v>20.94</v>
      </c>
      <c r="E91" s="100">
        <v>10.7</v>
      </c>
      <c r="F91" s="152" t="s">
        <v>15</v>
      </c>
      <c r="G91" s="100">
        <v>114.73</v>
      </c>
      <c r="H91" s="100">
        <v>32.020000000000003</v>
      </c>
      <c r="I91" s="100">
        <v>12.72</v>
      </c>
      <c r="J91" s="100">
        <v>0.25</v>
      </c>
      <c r="K91" s="100">
        <v>171.68</v>
      </c>
      <c r="L91" s="100">
        <v>19.62</v>
      </c>
      <c r="M91" s="100">
        <v>75.81</v>
      </c>
      <c r="N91" s="100">
        <v>1.7</v>
      </c>
      <c r="O91" s="100">
        <v>0</v>
      </c>
      <c r="P91" s="100">
        <v>1.0900000000000001</v>
      </c>
      <c r="Q91" s="100">
        <v>13.54</v>
      </c>
      <c r="R91" s="6"/>
      <c r="S91" s="6"/>
      <c r="T91" s="156"/>
      <c r="U91" s="6"/>
    </row>
    <row r="92" spans="1:21" customFormat="1">
      <c r="A92" s="163" t="s">
        <v>1378</v>
      </c>
      <c r="B92" s="100">
        <v>7.23</v>
      </c>
      <c r="C92" s="100">
        <v>27.25</v>
      </c>
      <c r="D92" s="100">
        <v>21.39</v>
      </c>
      <c r="E92" s="100">
        <v>11.27</v>
      </c>
      <c r="F92" s="152" t="s">
        <v>15</v>
      </c>
      <c r="G92" s="100">
        <v>114.73</v>
      </c>
      <c r="H92" s="100">
        <v>32.020000000000003</v>
      </c>
      <c r="I92" s="100">
        <v>12.78</v>
      </c>
      <c r="J92" s="100">
        <v>0.14000000000000001</v>
      </c>
      <c r="K92" s="100">
        <v>208.75</v>
      </c>
      <c r="L92" s="100">
        <v>19.600000000000001</v>
      </c>
      <c r="M92" s="100">
        <v>75.53</v>
      </c>
      <c r="N92" s="100">
        <v>1.6</v>
      </c>
      <c r="O92" s="100">
        <v>0</v>
      </c>
      <c r="P92" s="100">
        <v>1.1100000000000001</v>
      </c>
      <c r="Q92" s="100">
        <v>13.54</v>
      </c>
      <c r="R92" s="6"/>
      <c r="S92" s="6"/>
      <c r="T92" s="156"/>
      <c r="U92" s="6"/>
    </row>
    <row r="93" spans="1:21" customFormat="1">
      <c r="A93" s="163" t="s">
        <v>1379</v>
      </c>
      <c r="B93" s="100">
        <v>7.44</v>
      </c>
      <c r="C93" s="100">
        <v>27.2</v>
      </c>
      <c r="D93" s="100">
        <v>21.53</v>
      </c>
      <c r="E93" s="100">
        <v>10.62</v>
      </c>
      <c r="F93" s="152" t="s">
        <v>15</v>
      </c>
      <c r="G93" s="100">
        <v>123</v>
      </c>
      <c r="H93" s="100">
        <v>35.82</v>
      </c>
      <c r="I93" s="100">
        <v>12.94</v>
      </c>
      <c r="J93" s="100">
        <v>0.15</v>
      </c>
      <c r="K93" s="100">
        <v>201.29</v>
      </c>
      <c r="L93" s="100">
        <v>19.05</v>
      </c>
      <c r="M93" s="100">
        <v>79.86</v>
      </c>
      <c r="N93" s="100">
        <v>1.9</v>
      </c>
      <c r="O93" s="100">
        <v>0</v>
      </c>
      <c r="P93" s="100">
        <v>1.1200000000000001</v>
      </c>
      <c r="Q93" s="100">
        <v>13.54</v>
      </c>
      <c r="R93" s="6"/>
      <c r="S93" s="6"/>
      <c r="T93" s="156"/>
      <c r="U93" s="6"/>
    </row>
    <row r="94" spans="1:21" customFormat="1">
      <c r="A94" s="163" t="s">
        <v>1380</v>
      </c>
      <c r="B94" s="100">
        <v>7.6</v>
      </c>
      <c r="C94" s="100">
        <v>27.23</v>
      </c>
      <c r="D94" s="100">
        <v>21.67</v>
      </c>
      <c r="E94" s="100">
        <v>10.7</v>
      </c>
      <c r="F94" s="152" t="s">
        <v>15</v>
      </c>
      <c r="G94" s="100">
        <v>128.76</v>
      </c>
      <c r="H94" s="100">
        <v>36.94</v>
      </c>
      <c r="I94" s="100">
        <v>13.03</v>
      </c>
      <c r="J94" s="100">
        <v>0.18</v>
      </c>
      <c r="K94" s="100">
        <v>186.02</v>
      </c>
      <c r="L94" s="100">
        <v>18.84</v>
      </c>
      <c r="M94" s="100">
        <v>80.11</v>
      </c>
      <c r="N94" s="100">
        <v>1.7</v>
      </c>
      <c r="O94" s="100">
        <v>0</v>
      </c>
      <c r="P94" s="100">
        <v>1.1299999999999999</v>
      </c>
      <c r="Q94" s="100">
        <v>13.54</v>
      </c>
      <c r="R94" s="6"/>
      <c r="S94" s="6"/>
      <c r="T94" s="156"/>
      <c r="U94" s="6"/>
    </row>
    <row r="95" spans="1:21" customFormat="1">
      <c r="A95" s="163" t="s">
        <v>1381</v>
      </c>
      <c r="B95" s="100">
        <v>7.74</v>
      </c>
      <c r="C95" s="100">
        <v>27.18</v>
      </c>
      <c r="D95" s="100">
        <v>21.75</v>
      </c>
      <c r="E95" s="100">
        <v>11.32</v>
      </c>
      <c r="F95" s="152" t="s">
        <v>15</v>
      </c>
      <c r="G95" s="100">
        <v>128.76</v>
      </c>
      <c r="H95" s="100">
        <v>36.94</v>
      </c>
      <c r="I95" s="100">
        <v>13.13</v>
      </c>
      <c r="J95" s="100">
        <v>0.15</v>
      </c>
      <c r="K95" s="100">
        <v>176.69</v>
      </c>
      <c r="L95" s="100">
        <v>18.82</v>
      </c>
      <c r="M95" s="100">
        <v>79.97</v>
      </c>
      <c r="N95" s="100">
        <v>1.6</v>
      </c>
      <c r="O95" s="100">
        <v>0</v>
      </c>
      <c r="P95" s="100">
        <v>1.1499999999999999</v>
      </c>
      <c r="Q95" s="100">
        <v>13.54</v>
      </c>
      <c r="R95" s="6"/>
      <c r="S95" s="6"/>
      <c r="T95" s="156"/>
      <c r="U95" s="6"/>
    </row>
    <row r="96" spans="1:21" customFormat="1">
      <c r="A96" s="163" t="s">
        <v>1382</v>
      </c>
      <c r="B96" s="100">
        <v>7.79</v>
      </c>
      <c r="C96" s="100">
        <v>27.16</v>
      </c>
      <c r="D96" s="100">
        <v>21.79</v>
      </c>
      <c r="E96" s="100">
        <v>10.64</v>
      </c>
      <c r="F96" s="152" t="s">
        <v>15</v>
      </c>
      <c r="G96" s="100">
        <v>128.76</v>
      </c>
      <c r="H96" s="100">
        <v>36.94</v>
      </c>
      <c r="I96" s="100">
        <v>13.22</v>
      </c>
      <c r="J96" s="100">
        <v>0.2</v>
      </c>
      <c r="K96" s="100">
        <v>164.74</v>
      </c>
      <c r="L96" s="100">
        <v>18.739999999999998</v>
      </c>
      <c r="M96" s="100">
        <v>80.52</v>
      </c>
      <c r="N96" s="100">
        <v>1.7</v>
      </c>
      <c r="O96" s="100">
        <v>0</v>
      </c>
      <c r="P96" s="100">
        <v>1.1599999999999999</v>
      </c>
      <c r="Q96" s="100">
        <v>13.54</v>
      </c>
      <c r="R96" s="6"/>
      <c r="S96" s="6"/>
      <c r="T96" s="156"/>
      <c r="U96" s="6"/>
    </row>
    <row r="97" spans="1:28" customFormat="1">
      <c r="A97" s="163" t="s">
        <v>1383</v>
      </c>
      <c r="B97" s="100">
        <v>7.81</v>
      </c>
      <c r="C97" s="100">
        <v>26.9</v>
      </c>
      <c r="D97" s="100">
        <v>21.67</v>
      </c>
      <c r="E97" s="100">
        <v>11.06</v>
      </c>
      <c r="F97" s="152" t="s">
        <v>15</v>
      </c>
      <c r="G97" s="100">
        <v>128.51</v>
      </c>
      <c r="H97" s="100">
        <v>39.69</v>
      </c>
      <c r="I97" s="100">
        <v>13.33</v>
      </c>
      <c r="J97" s="100">
        <v>0.11</v>
      </c>
      <c r="K97" s="100">
        <v>180.77</v>
      </c>
      <c r="L97" s="100">
        <v>18.79</v>
      </c>
      <c r="M97" s="100">
        <v>79.55</v>
      </c>
      <c r="N97" s="100">
        <v>1.6</v>
      </c>
      <c r="O97" s="100">
        <v>0</v>
      </c>
      <c r="P97" s="100">
        <v>1.1499999999999999</v>
      </c>
      <c r="Q97" s="100">
        <v>13.54</v>
      </c>
      <c r="R97" s="6"/>
      <c r="S97" s="6"/>
      <c r="T97" s="156"/>
      <c r="U97" s="6"/>
    </row>
    <row r="98" spans="1:28" customFormat="1">
      <c r="A98" s="163" t="s">
        <v>1384</v>
      </c>
      <c r="B98" s="100">
        <v>8.27</v>
      </c>
      <c r="C98" s="100">
        <v>26.87</v>
      </c>
      <c r="D98" s="100">
        <v>22.02</v>
      </c>
      <c r="E98" s="100">
        <v>10.61</v>
      </c>
      <c r="F98" s="152" t="s">
        <v>15</v>
      </c>
      <c r="G98" s="100">
        <v>128.32</v>
      </c>
      <c r="H98" s="100">
        <v>40.479999999999997</v>
      </c>
      <c r="I98" s="100">
        <v>13.4</v>
      </c>
      <c r="J98" s="100">
        <v>0.22</v>
      </c>
      <c r="K98" s="100">
        <v>85.64</v>
      </c>
      <c r="L98" s="100">
        <v>18.98</v>
      </c>
      <c r="M98" s="100">
        <v>76.8</v>
      </c>
      <c r="N98" s="100">
        <v>1.3</v>
      </c>
      <c r="O98" s="100">
        <v>0</v>
      </c>
      <c r="P98" s="100">
        <v>1.1399999999999999</v>
      </c>
      <c r="Q98" s="100">
        <v>13.54</v>
      </c>
      <c r="R98" s="6"/>
      <c r="S98" s="6"/>
      <c r="T98" s="156"/>
      <c r="U98" s="6"/>
    </row>
    <row r="99" spans="1:28" customFormat="1">
      <c r="A99" s="163" t="s">
        <v>1385</v>
      </c>
      <c r="B99" s="100">
        <v>10.54</v>
      </c>
      <c r="C99" s="100">
        <v>27.66</v>
      </c>
      <c r="D99" s="100">
        <v>24.26</v>
      </c>
      <c r="E99" s="100">
        <v>10.69</v>
      </c>
      <c r="F99" s="152" t="s">
        <v>15</v>
      </c>
      <c r="G99" s="100">
        <v>128.32</v>
      </c>
      <c r="H99" s="100">
        <v>40.479999999999997</v>
      </c>
      <c r="I99" s="100">
        <v>13.47</v>
      </c>
      <c r="J99" s="100">
        <v>0.33</v>
      </c>
      <c r="K99" s="100">
        <v>62.03</v>
      </c>
      <c r="L99" s="100">
        <v>19.5</v>
      </c>
      <c r="M99" s="100">
        <v>72.48</v>
      </c>
      <c r="N99" s="100">
        <v>1.1000000000000001</v>
      </c>
      <c r="O99" s="100">
        <v>0</v>
      </c>
      <c r="P99" s="100">
        <v>1.1599999999999999</v>
      </c>
      <c r="Q99" s="100">
        <v>13.54</v>
      </c>
      <c r="R99" s="6"/>
      <c r="S99" s="6"/>
      <c r="T99" s="156"/>
      <c r="U99" s="6"/>
    </row>
    <row r="100" spans="1:28" customFormat="1">
      <c r="A100" s="163" t="s">
        <v>1386</v>
      </c>
      <c r="B100" s="100">
        <v>13.41</v>
      </c>
      <c r="C100" s="100">
        <v>28.5</v>
      </c>
      <c r="D100" s="100">
        <v>26.99</v>
      </c>
      <c r="E100" s="100">
        <v>11.04</v>
      </c>
      <c r="F100" s="152" t="s">
        <v>15</v>
      </c>
      <c r="G100" s="100">
        <v>128.32</v>
      </c>
      <c r="H100" s="100">
        <v>40.479999999999997</v>
      </c>
      <c r="I100" s="100">
        <v>13.57</v>
      </c>
      <c r="J100" s="100">
        <v>0.13</v>
      </c>
      <c r="K100" s="100">
        <v>186.03</v>
      </c>
      <c r="L100" s="100">
        <v>19.45</v>
      </c>
      <c r="M100" s="100">
        <v>75.16</v>
      </c>
      <c r="N100" s="100">
        <v>1.8</v>
      </c>
      <c r="O100" s="100">
        <v>0</v>
      </c>
      <c r="P100" s="100">
        <v>1.19</v>
      </c>
      <c r="Q100" s="100">
        <v>13.54</v>
      </c>
      <c r="R100" s="6"/>
      <c r="S100" s="6"/>
      <c r="T100" s="156"/>
      <c r="U100" s="6"/>
      <c r="AB100" s="161"/>
    </row>
    <row r="101" spans="1:28" customFormat="1">
      <c r="A101" s="163" t="s">
        <v>1387</v>
      </c>
      <c r="B101" s="100">
        <v>14.89</v>
      </c>
      <c r="C101" s="100">
        <v>28.99</v>
      </c>
      <c r="D101" s="100">
        <v>28.43</v>
      </c>
      <c r="E101" s="100">
        <v>10.79</v>
      </c>
      <c r="F101" s="152" t="s">
        <v>15</v>
      </c>
      <c r="G101" s="100">
        <v>133.55000000000001</v>
      </c>
      <c r="H101" s="100">
        <v>41.61</v>
      </c>
      <c r="I101" s="100">
        <v>13.75</v>
      </c>
      <c r="J101" s="100">
        <v>0.15</v>
      </c>
      <c r="K101" s="100">
        <v>141.46</v>
      </c>
      <c r="L101" s="100">
        <v>19.11</v>
      </c>
      <c r="M101" s="100">
        <v>76.12</v>
      </c>
      <c r="N101" s="100">
        <v>1.8</v>
      </c>
      <c r="O101" s="100">
        <v>0</v>
      </c>
      <c r="P101" s="100">
        <v>1.2</v>
      </c>
      <c r="Q101" s="100">
        <v>13.54</v>
      </c>
      <c r="R101" s="6"/>
      <c r="S101" s="6"/>
      <c r="T101" s="156"/>
      <c r="U101" s="6"/>
    </row>
    <row r="102" spans="1:28" customFormat="1">
      <c r="A102" s="163" t="s">
        <v>1388</v>
      </c>
      <c r="B102" s="100">
        <v>15.81</v>
      </c>
      <c r="C102" s="100">
        <v>29.21</v>
      </c>
      <c r="D102" s="100">
        <v>29.29</v>
      </c>
      <c r="E102" s="100">
        <v>10.99</v>
      </c>
      <c r="F102" s="152" t="s">
        <v>15</v>
      </c>
      <c r="G102" s="100">
        <v>137.38</v>
      </c>
      <c r="H102" s="100">
        <v>41.94</v>
      </c>
      <c r="I102" s="100">
        <v>13.94</v>
      </c>
      <c r="J102" s="100">
        <v>0.2</v>
      </c>
      <c r="K102" s="100">
        <v>178.87</v>
      </c>
      <c r="L102" s="100">
        <v>18.98</v>
      </c>
      <c r="M102" s="100">
        <v>77.91</v>
      </c>
      <c r="N102" s="100">
        <v>1.8</v>
      </c>
      <c r="O102" s="100">
        <v>0</v>
      </c>
      <c r="P102" s="100">
        <v>1.21</v>
      </c>
      <c r="Q102" s="100">
        <v>13.54</v>
      </c>
      <c r="R102" s="6"/>
      <c r="S102" s="6"/>
      <c r="T102" s="156"/>
      <c r="U102" s="6"/>
    </row>
    <row r="103" spans="1:28" customFormat="1">
      <c r="A103" s="163" t="s">
        <v>1389</v>
      </c>
      <c r="B103" s="100">
        <v>16.38</v>
      </c>
      <c r="C103" s="100">
        <v>29.45</v>
      </c>
      <c r="D103" s="100">
        <v>29.88</v>
      </c>
      <c r="E103" s="100">
        <v>11.05</v>
      </c>
      <c r="F103" s="152" t="s">
        <v>15</v>
      </c>
      <c r="G103" s="100">
        <v>137.38</v>
      </c>
      <c r="H103" s="100">
        <v>41.94</v>
      </c>
      <c r="I103" s="100">
        <v>14.04</v>
      </c>
      <c r="J103" s="100">
        <v>0.13</v>
      </c>
      <c r="K103" s="100">
        <v>146.21</v>
      </c>
      <c r="L103" s="100">
        <v>18.5</v>
      </c>
      <c r="M103" s="100">
        <v>80.55</v>
      </c>
      <c r="N103" s="100">
        <v>1.7</v>
      </c>
      <c r="O103" s="100">
        <v>0</v>
      </c>
      <c r="P103" s="100">
        <v>1.23</v>
      </c>
      <c r="Q103" s="100">
        <v>13.54</v>
      </c>
      <c r="R103" s="6"/>
      <c r="S103" s="6"/>
      <c r="T103" s="156"/>
      <c r="U103" s="6"/>
    </row>
    <row r="104" spans="1:28" customFormat="1">
      <c r="A104" s="163" t="s">
        <v>1390</v>
      </c>
      <c r="B104" s="100">
        <v>17.190000000000001</v>
      </c>
      <c r="C104" s="100">
        <v>29.61</v>
      </c>
      <c r="D104" s="100">
        <v>30.61</v>
      </c>
      <c r="E104" s="100">
        <v>10.8</v>
      </c>
      <c r="F104" s="152" t="s">
        <v>15</v>
      </c>
      <c r="G104" s="100">
        <v>137.38</v>
      </c>
      <c r="H104" s="100">
        <v>41.94</v>
      </c>
      <c r="I104" s="100">
        <v>14.2</v>
      </c>
      <c r="J104" s="100">
        <v>0.18</v>
      </c>
      <c r="K104" s="100">
        <v>137.37</v>
      </c>
      <c r="L104" s="100">
        <v>18.71</v>
      </c>
      <c r="M104" s="100">
        <v>77.53</v>
      </c>
      <c r="N104" s="100">
        <v>1.5</v>
      </c>
      <c r="O104" s="100">
        <v>0</v>
      </c>
      <c r="P104" s="100">
        <v>1.23</v>
      </c>
      <c r="Q104" s="100">
        <v>13.54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3.76</v>
      </c>
      <c r="C106" s="158">
        <f>MIN(C9:C104)</f>
        <v>22.34</v>
      </c>
      <c r="D106" s="158">
        <f t="shared" ref="D106:Q106" si="0">MIN(D9:D104)</f>
        <v>16.05</v>
      </c>
      <c r="E106" s="158">
        <f t="shared" si="0"/>
        <v>6.25</v>
      </c>
      <c r="F106" s="158">
        <f t="shared" si="0"/>
        <v>0</v>
      </c>
      <c r="G106" s="158">
        <f t="shared" si="0"/>
        <v>55.49</v>
      </c>
      <c r="H106" s="158">
        <f t="shared" si="0"/>
        <v>25.27</v>
      </c>
      <c r="I106" s="158">
        <f t="shared" si="0"/>
        <v>10.41</v>
      </c>
      <c r="J106" s="158">
        <f t="shared" si="0"/>
        <v>0.06</v>
      </c>
      <c r="K106" s="158">
        <f t="shared" si="0"/>
        <v>37.58</v>
      </c>
      <c r="L106" s="158">
        <f t="shared" si="0"/>
        <v>14.28</v>
      </c>
      <c r="M106" s="158">
        <f t="shared" si="0"/>
        <v>38.200000000000003</v>
      </c>
      <c r="N106" s="158">
        <f t="shared" si="0"/>
        <v>1</v>
      </c>
      <c r="O106" s="158">
        <f t="shared" si="0"/>
        <v>0</v>
      </c>
      <c r="P106" s="158">
        <f t="shared" si="0"/>
        <v>0.74</v>
      </c>
      <c r="Q106" s="158">
        <f t="shared" si="0"/>
        <v>13.54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24.55</v>
      </c>
      <c r="C107" s="157">
        <f t="shared" ref="C107:Q107" si="1">MAX(C9:C104)</f>
        <v>29.61</v>
      </c>
      <c r="D107" s="157">
        <f t="shared" si="1"/>
        <v>35.44</v>
      </c>
      <c r="E107" s="157">
        <f t="shared" si="1"/>
        <v>11.67</v>
      </c>
      <c r="F107" s="157">
        <f t="shared" si="1"/>
        <v>0</v>
      </c>
      <c r="G107" s="157">
        <f t="shared" si="1"/>
        <v>137.38</v>
      </c>
      <c r="H107" s="157">
        <f t="shared" si="1"/>
        <v>41.94</v>
      </c>
      <c r="I107" s="157">
        <f t="shared" si="1"/>
        <v>14.48</v>
      </c>
      <c r="J107" s="157">
        <f t="shared" si="1"/>
        <v>0.85</v>
      </c>
      <c r="K107" s="157">
        <f t="shared" si="1"/>
        <v>349.17</v>
      </c>
      <c r="L107" s="157">
        <f t="shared" si="1"/>
        <v>27.26</v>
      </c>
      <c r="M107" s="157">
        <f t="shared" si="1"/>
        <v>88.18</v>
      </c>
      <c r="N107" s="157">
        <f t="shared" si="1"/>
        <v>403.8</v>
      </c>
      <c r="O107" s="157">
        <f t="shared" si="1"/>
        <v>0</v>
      </c>
      <c r="P107" s="157">
        <f t="shared" si="1"/>
        <v>1.23</v>
      </c>
      <c r="Q107" s="157">
        <f t="shared" si="1"/>
        <v>13.54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11.355937499999998</v>
      </c>
      <c r="C108" s="158">
        <f t="shared" ref="C108:Q108" si="2">AVERAGE(C9:C104)</f>
        <v>25.644687499999989</v>
      </c>
      <c r="D108" s="158">
        <f t="shared" si="2"/>
        <v>23.856145833333333</v>
      </c>
      <c r="E108" s="158">
        <f t="shared" si="2"/>
        <v>9.228645833333335</v>
      </c>
      <c r="F108" s="158" t="e">
        <f t="shared" si="2"/>
        <v>#DIV/0!</v>
      </c>
      <c r="G108" s="158">
        <f t="shared" si="2"/>
        <v>93.399166666666574</v>
      </c>
      <c r="H108" s="158">
        <f t="shared" si="2"/>
        <v>30.997291666666683</v>
      </c>
      <c r="I108" s="158">
        <f t="shared" si="2"/>
        <v>12.635624999999999</v>
      </c>
      <c r="J108" s="158">
        <f t="shared" si="2"/>
        <v>0.30031249999999987</v>
      </c>
      <c r="K108" s="158">
        <f t="shared" si="2"/>
        <v>192.95281249999991</v>
      </c>
      <c r="L108" s="158">
        <f t="shared" si="2"/>
        <v>20.336041666666663</v>
      </c>
      <c r="M108" s="158">
        <f t="shared" si="2"/>
        <v>65.953958333333318</v>
      </c>
      <c r="N108" s="158">
        <f t="shared" si="2"/>
        <v>77.659375000000011</v>
      </c>
      <c r="O108" s="158">
        <f t="shared" si="2"/>
        <v>0</v>
      </c>
      <c r="P108" s="158">
        <f t="shared" si="2"/>
        <v>0.9443750000000003</v>
      </c>
      <c r="Q108" s="158">
        <f t="shared" si="2"/>
        <v>13.53999999999998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6.6938031952773569</v>
      </c>
      <c r="C109" s="158">
        <f t="shared" ref="C109:Q109" si="3">STDEV(C9:C104)</f>
        <v>1.8028112276021639</v>
      </c>
      <c r="D109" s="158">
        <f t="shared" si="3"/>
        <v>5.8072920348910397</v>
      </c>
      <c r="E109" s="158">
        <f t="shared" si="3"/>
        <v>1.8819970466958453</v>
      </c>
      <c r="F109" s="158" t="e">
        <f t="shared" si="3"/>
        <v>#DIV/0!</v>
      </c>
      <c r="G109" s="158">
        <f t="shared" si="3"/>
        <v>22.5056346005161</v>
      </c>
      <c r="H109" s="158">
        <f t="shared" si="3"/>
        <v>3.9874913573022979</v>
      </c>
      <c r="I109" s="158">
        <f t="shared" si="3"/>
        <v>1.1187472434544103</v>
      </c>
      <c r="J109" s="158">
        <f t="shared" si="3"/>
        <v>0.18159789660850065</v>
      </c>
      <c r="K109" s="158">
        <f t="shared" si="3"/>
        <v>89.914093780828736</v>
      </c>
      <c r="L109" s="158">
        <f t="shared" si="3"/>
        <v>4.5783958301126537</v>
      </c>
      <c r="M109" s="158">
        <f t="shared" si="3"/>
        <v>18.078441332392892</v>
      </c>
      <c r="N109" s="158">
        <f t="shared" si="3"/>
        <v>121.65030692251499</v>
      </c>
      <c r="O109" s="158">
        <f t="shared" si="3"/>
        <v>0</v>
      </c>
      <c r="P109" s="158">
        <f t="shared" si="3"/>
        <v>0.13619500338620463</v>
      </c>
      <c r="Q109" s="158">
        <f t="shared" si="3"/>
        <v>1.9642497724171834E-14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K102" sqref="K10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1391</v>
      </c>
      <c r="B9" s="100">
        <v>17.96</v>
      </c>
      <c r="C9" s="100">
        <v>29.85</v>
      </c>
      <c r="D9" s="100">
        <v>31.34</v>
      </c>
      <c r="E9" s="100">
        <v>10.81</v>
      </c>
      <c r="F9" s="152" t="s">
        <v>15</v>
      </c>
      <c r="G9" s="100">
        <v>138.88999999999999</v>
      </c>
      <c r="H9" s="100">
        <v>41.36</v>
      </c>
      <c r="I9" s="100">
        <v>14.36</v>
      </c>
      <c r="J9" s="100">
        <v>0.13</v>
      </c>
      <c r="K9" s="100">
        <v>199.13</v>
      </c>
      <c r="L9" s="100">
        <v>18.399999999999999</v>
      </c>
      <c r="M9" s="100">
        <v>80.64</v>
      </c>
      <c r="N9" s="100">
        <v>1.8</v>
      </c>
      <c r="O9" s="100">
        <v>0</v>
      </c>
      <c r="P9" s="100">
        <v>1.24</v>
      </c>
      <c r="Q9" s="100">
        <v>11.24</v>
      </c>
      <c r="R9" s="6"/>
      <c r="S9" s="6"/>
      <c r="T9" s="156"/>
      <c r="U9" s="6"/>
    </row>
    <row r="10" spans="1:21" customFormat="1">
      <c r="A10" s="163" t="s">
        <v>1392</v>
      </c>
      <c r="B10" s="100">
        <v>18.28</v>
      </c>
      <c r="C10" s="100">
        <v>29.73</v>
      </c>
      <c r="D10" s="100">
        <v>31.54</v>
      </c>
      <c r="E10" s="100">
        <v>10.65</v>
      </c>
      <c r="F10" s="152" t="s">
        <v>15</v>
      </c>
      <c r="G10" s="100">
        <v>139.94999999999999</v>
      </c>
      <c r="H10" s="100">
        <v>41.19</v>
      </c>
      <c r="I10" s="100">
        <v>14.39</v>
      </c>
      <c r="J10" s="100">
        <v>0.37</v>
      </c>
      <c r="K10" s="100">
        <v>66.89</v>
      </c>
      <c r="L10" s="100">
        <v>18.600000000000001</v>
      </c>
      <c r="M10" s="100">
        <v>74.23</v>
      </c>
      <c r="N10" s="100">
        <v>1.1000000000000001</v>
      </c>
      <c r="O10" s="100">
        <v>0</v>
      </c>
      <c r="P10" s="100">
        <v>1.23</v>
      </c>
      <c r="Q10" s="100">
        <v>11.24</v>
      </c>
      <c r="R10" s="6"/>
      <c r="S10" s="6"/>
      <c r="T10" s="156"/>
      <c r="U10" s="6"/>
    </row>
    <row r="11" spans="1:21" customFormat="1">
      <c r="A11" s="163" t="s">
        <v>1393</v>
      </c>
      <c r="B11" s="100">
        <v>18.399999999999999</v>
      </c>
      <c r="C11" s="100">
        <v>29.81</v>
      </c>
      <c r="D11" s="100">
        <v>31.68</v>
      </c>
      <c r="E11" s="100">
        <v>11.11</v>
      </c>
      <c r="F11" s="152" t="s">
        <v>15</v>
      </c>
      <c r="G11" s="100">
        <v>139.94999999999999</v>
      </c>
      <c r="H11" s="100">
        <v>41.19</v>
      </c>
      <c r="I11" s="100">
        <v>14.46</v>
      </c>
      <c r="J11" s="100">
        <v>0.19</v>
      </c>
      <c r="K11" s="100">
        <v>89.36</v>
      </c>
      <c r="L11" s="100">
        <v>18.77</v>
      </c>
      <c r="M11" s="100">
        <v>73.3</v>
      </c>
      <c r="N11" s="100">
        <v>1.5</v>
      </c>
      <c r="O11" s="100">
        <v>0</v>
      </c>
      <c r="P11" s="100">
        <v>1.23</v>
      </c>
      <c r="Q11" s="100">
        <v>11.24</v>
      </c>
      <c r="R11" s="6"/>
      <c r="S11" s="6"/>
      <c r="T11" s="156"/>
      <c r="U11" s="6"/>
    </row>
    <row r="12" spans="1:21" customFormat="1">
      <c r="A12" s="163" t="s">
        <v>1394</v>
      </c>
      <c r="B12" s="100">
        <v>17.95</v>
      </c>
      <c r="C12" s="100">
        <v>29.72</v>
      </c>
      <c r="D12" s="100">
        <v>31.27</v>
      </c>
      <c r="E12" s="100">
        <v>11.34</v>
      </c>
      <c r="F12" s="152" t="s">
        <v>15</v>
      </c>
      <c r="G12" s="100">
        <v>139.94999999999999</v>
      </c>
      <c r="H12" s="100">
        <v>41.19</v>
      </c>
      <c r="I12" s="100">
        <v>14.49</v>
      </c>
      <c r="J12" s="100">
        <v>0.25</v>
      </c>
      <c r="K12" s="100">
        <v>73.19</v>
      </c>
      <c r="L12" s="100">
        <v>18.64</v>
      </c>
      <c r="M12" s="100">
        <v>72.81</v>
      </c>
      <c r="N12" s="100">
        <v>1.4</v>
      </c>
      <c r="O12" s="100">
        <v>0</v>
      </c>
      <c r="P12" s="100">
        <v>1.22</v>
      </c>
      <c r="Q12" s="100">
        <v>11.24</v>
      </c>
      <c r="R12" s="6"/>
      <c r="S12" s="6"/>
      <c r="T12" s="156"/>
      <c r="U12" s="6"/>
    </row>
    <row r="13" spans="1:21" customFormat="1">
      <c r="A13" s="163" t="s">
        <v>1395</v>
      </c>
      <c r="B13" s="100">
        <v>17.13</v>
      </c>
      <c r="C13" s="100">
        <v>29.54</v>
      </c>
      <c r="D13" s="100">
        <v>30.52</v>
      </c>
      <c r="E13" s="100">
        <v>11.23</v>
      </c>
      <c r="F13" s="152" t="s">
        <v>15</v>
      </c>
      <c r="G13" s="100">
        <v>136.94999999999999</v>
      </c>
      <c r="H13" s="100">
        <v>42.52</v>
      </c>
      <c r="I13" s="100">
        <v>14.42</v>
      </c>
      <c r="J13" s="100">
        <v>0.1</v>
      </c>
      <c r="K13" s="100">
        <v>86.22</v>
      </c>
      <c r="L13" s="100">
        <v>18.54</v>
      </c>
      <c r="M13" s="100">
        <v>73.2</v>
      </c>
      <c r="N13" s="100">
        <v>1.6</v>
      </c>
      <c r="O13" s="100">
        <v>0</v>
      </c>
      <c r="P13" s="100">
        <v>1.22</v>
      </c>
      <c r="Q13" s="100">
        <v>11.24</v>
      </c>
      <c r="R13" s="6"/>
      <c r="S13" s="6"/>
      <c r="T13" s="156"/>
      <c r="U13" s="6"/>
    </row>
    <row r="14" spans="1:21" customFormat="1">
      <c r="A14" s="163" t="s">
        <v>1396</v>
      </c>
      <c r="B14" s="100">
        <v>16.18</v>
      </c>
      <c r="C14" s="100">
        <v>29.37</v>
      </c>
      <c r="D14" s="100">
        <v>29.67</v>
      </c>
      <c r="E14" s="100">
        <v>11.06</v>
      </c>
      <c r="F14" s="152" t="s">
        <v>15</v>
      </c>
      <c r="G14" s="100">
        <v>134.77000000000001</v>
      </c>
      <c r="H14" s="100">
        <v>43.77</v>
      </c>
      <c r="I14" s="100">
        <v>14.42</v>
      </c>
      <c r="J14" s="100">
        <v>0.27</v>
      </c>
      <c r="K14" s="100">
        <v>53.88</v>
      </c>
      <c r="L14" s="100">
        <v>18.28</v>
      </c>
      <c r="M14" s="100">
        <v>74.06</v>
      </c>
      <c r="N14" s="100">
        <v>1.4</v>
      </c>
      <c r="O14" s="100">
        <v>0</v>
      </c>
      <c r="P14" s="100">
        <v>1.21</v>
      </c>
      <c r="Q14" s="100">
        <v>11.24</v>
      </c>
      <c r="R14" s="6"/>
      <c r="S14" s="6"/>
      <c r="T14" s="156"/>
      <c r="U14" s="6"/>
    </row>
    <row r="15" spans="1:21" customFormat="1">
      <c r="A15" s="163" t="s">
        <v>1397</v>
      </c>
      <c r="B15" s="100">
        <v>15.54</v>
      </c>
      <c r="C15" s="100">
        <v>29.32</v>
      </c>
      <c r="D15" s="100">
        <v>29.13</v>
      </c>
      <c r="E15" s="100">
        <v>11.1</v>
      </c>
      <c r="F15" s="152" t="s">
        <v>15</v>
      </c>
      <c r="G15" s="100">
        <v>134.77000000000001</v>
      </c>
      <c r="H15" s="100">
        <v>43.77</v>
      </c>
      <c r="I15" s="100">
        <v>14.29</v>
      </c>
      <c r="J15" s="100">
        <v>0.43</v>
      </c>
      <c r="K15" s="100">
        <v>52.63</v>
      </c>
      <c r="L15" s="100">
        <v>18.37</v>
      </c>
      <c r="M15" s="100">
        <v>73.239999999999995</v>
      </c>
      <c r="N15" s="100">
        <v>1.4</v>
      </c>
      <c r="O15" s="100">
        <v>0</v>
      </c>
      <c r="P15" s="100">
        <v>1.19</v>
      </c>
      <c r="Q15" s="100">
        <v>11.24</v>
      </c>
      <c r="R15" s="6"/>
      <c r="S15" s="6"/>
      <c r="T15" s="156"/>
      <c r="U15" s="6"/>
    </row>
    <row r="16" spans="1:21" customFormat="1">
      <c r="A16" s="163" t="s">
        <v>1398</v>
      </c>
      <c r="B16" s="100">
        <v>14.82</v>
      </c>
      <c r="C16" s="100">
        <v>29.12</v>
      </c>
      <c r="D16" s="100">
        <v>28.45</v>
      </c>
      <c r="E16" s="100">
        <v>10.82</v>
      </c>
      <c r="F16" s="152" t="s">
        <v>15</v>
      </c>
      <c r="G16" s="100">
        <v>134.77000000000001</v>
      </c>
      <c r="H16" s="100">
        <v>43.77</v>
      </c>
      <c r="I16" s="100">
        <v>14.11</v>
      </c>
      <c r="J16" s="100">
        <v>0.41</v>
      </c>
      <c r="K16" s="100">
        <v>26.89</v>
      </c>
      <c r="L16" s="100">
        <v>18.39</v>
      </c>
      <c r="M16" s="100">
        <v>73.05</v>
      </c>
      <c r="N16" s="100">
        <v>1.6</v>
      </c>
      <c r="O16" s="100">
        <v>0</v>
      </c>
      <c r="P16" s="100">
        <v>1.17</v>
      </c>
      <c r="Q16" s="100">
        <v>11.24</v>
      </c>
      <c r="R16" s="6"/>
      <c r="S16" s="6"/>
      <c r="T16" s="156"/>
      <c r="U16" s="6"/>
    </row>
    <row r="17" spans="1:21" customFormat="1">
      <c r="A17" s="163" t="s">
        <v>1399</v>
      </c>
      <c r="B17" s="100">
        <v>14.11</v>
      </c>
      <c r="C17" s="100">
        <v>28.97</v>
      </c>
      <c r="D17" s="100">
        <v>27.8</v>
      </c>
      <c r="E17" s="100">
        <v>7.69</v>
      </c>
      <c r="F17" s="152" t="s">
        <v>15</v>
      </c>
      <c r="G17" s="100">
        <v>138.38</v>
      </c>
      <c r="H17" s="100">
        <v>40.479999999999997</v>
      </c>
      <c r="I17" s="100">
        <v>14.05</v>
      </c>
      <c r="J17" s="100">
        <v>0.52</v>
      </c>
      <c r="K17" s="100">
        <v>32.6</v>
      </c>
      <c r="L17" s="100">
        <v>18.190000000000001</v>
      </c>
      <c r="M17" s="100">
        <v>74.040000000000006</v>
      </c>
      <c r="N17" s="100">
        <v>1.7</v>
      </c>
      <c r="O17" s="100">
        <v>0</v>
      </c>
      <c r="P17" s="100">
        <v>1.1499999999999999</v>
      </c>
      <c r="Q17" s="100">
        <v>11.24</v>
      </c>
      <c r="R17" s="6"/>
      <c r="S17" s="6"/>
      <c r="T17" s="156"/>
      <c r="U17" s="6"/>
    </row>
    <row r="18" spans="1:21" customFormat="1">
      <c r="A18" s="163" t="s">
        <v>1400</v>
      </c>
      <c r="B18" s="100">
        <v>13.45</v>
      </c>
      <c r="C18" s="100">
        <v>28.79</v>
      </c>
      <c r="D18" s="100">
        <v>27.18</v>
      </c>
      <c r="E18" s="100">
        <v>8.94</v>
      </c>
      <c r="F18" s="152" t="s">
        <v>15</v>
      </c>
      <c r="G18" s="100">
        <v>141.13999999999999</v>
      </c>
      <c r="H18" s="100">
        <v>39.450000000000003</v>
      </c>
      <c r="I18" s="100">
        <v>13.81</v>
      </c>
      <c r="J18" s="100">
        <v>0.5</v>
      </c>
      <c r="K18" s="100">
        <v>21.24</v>
      </c>
      <c r="L18" s="100">
        <v>18.16</v>
      </c>
      <c r="M18" s="100">
        <v>73.86</v>
      </c>
      <c r="N18" s="100">
        <v>1.6</v>
      </c>
      <c r="O18" s="100">
        <v>0</v>
      </c>
      <c r="P18" s="100">
        <v>1.1299999999999999</v>
      </c>
      <c r="Q18" s="100">
        <v>11.24</v>
      </c>
      <c r="R18" s="6"/>
      <c r="S18" s="6"/>
      <c r="T18" s="156"/>
      <c r="U18" s="6"/>
    </row>
    <row r="19" spans="1:21" customFormat="1">
      <c r="A19" s="163" t="s">
        <v>1401</v>
      </c>
      <c r="B19" s="100">
        <v>12.82</v>
      </c>
      <c r="C19" s="100">
        <v>28.55</v>
      </c>
      <c r="D19" s="100">
        <v>26.55</v>
      </c>
      <c r="E19" s="100">
        <v>9.39</v>
      </c>
      <c r="F19" s="152" t="s">
        <v>15</v>
      </c>
      <c r="G19" s="100">
        <v>141.13999999999999</v>
      </c>
      <c r="H19" s="100">
        <v>39.450000000000003</v>
      </c>
      <c r="I19" s="100">
        <v>13.67</v>
      </c>
      <c r="J19" s="100">
        <v>0.4</v>
      </c>
      <c r="K19" s="100">
        <v>35.89</v>
      </c>
      <c r="L19" s="100">
        <v>18.239999999999998</v>
      </c>
      <c r="M19" s="100">
        <v>73.47</v>
      </c>
      <c r="N19" s="100">
        <v>1.7</v>
      </c>
      <c r="O19" s="100">
        <v>0</v>
      </c>
      <c r="P19" s="100">
        <v>1.1200000000000001</v>
      </c>
      <c r="Q19" s="100">
        <v>11.24</v>
      </c>
      <c r="R19" s="6"/>
      <c r="S19" s="6"/>
      <c r="T19" s="156"/>
      <c r="U19" s="6"/>
    </row>
    <row r="20" spans="1:21" customFormat="1">
      <c r="A20" s="163" t="s">
        <v>1402</v>
      </c>
      <c r="B20" s="100">
        <v>12.22</v>
      </c>
      <c r="C20" s="100">
        <v>28.42</v>
      </c>
      <c r="D20" s="100">
        <v>26</v>
      </c>
      <c r="E20" s="100">
        <v>9.1999999999999993</v>
      </c>
      <c r="F20" s="152" t="s">
        <v>15</v>
      </c>
      <c r="G20" s="100">
        <v>141.13999999999999</v>
      </c>
      <c r="H20" s="100">
        <v>39.450000000000003</v>
      </c>
      <c r="I20" s="100">
        <v>13.52</v>
      </c>
      <c r="J20" s="100">
        <v>0.12</v>
      </c>
      <c r="K20" s="100">
        <v>223.1</v>
      </c>
      <c r="L20" s="100">
        <v>18.309999999999999</v>
      </c>
      <c r="M20" s="100">
        <v>74.09</v>
      </c>
      <c r="N20" s="100">
        <v>2</v>
      </c>
      <c r="O20" s="100">
        <v>0</v>
      </c>
      <c r="P20" s="100">
        <v>1.1000000000000001</v>
      </c>
      <c r="Q20" s="100">
        <v>11.24</v>
      </c>
      <c r="R20" s="6"/>
      <c r="S20" s="6"/>
      <c r="T20" s="156"/>
      <c r="U20" s="6"/>
    </row>
    <row r="21" spans="1:21" customFormat="1">
      <c r="A21" s="163" t="s">
        <v>1403</v>
      </c>
      <c r="B21" s="100">
        <v>11.52</v>
      </c>
      <c r="C21" s="100">
        <v>28.33</v>
      </c>
      <c r="D21" s="100">
        <v>25.39</v>
      </c>
      <c r="E21" s="100">
        <v>8.9700000000000006</v>
      </c>
      <c r="F21" s="152" t="s">
        <v>15</v>
      </c>
      <c r="G21" s="100">
        <v>129.69</v>
      </c>
      <c r="H21" s="100">
        <v>38.26</v>
      </c>
      <c r="I21" s="100">
        <v>13.36</v>
      </c>
      <c r="J21" s="100">
        <v>0.25</v>
      </c>
      <c r="K21" s="100">
        <v>172.63</v>
      </c>
      <c r="L21" s="100">
        <v>18.12</v>
      </c>
      <c r="M21" s="100">
        <v>77.209999999999994</v>
      </c>
      <c r="N21" s="100">
        <v>2.1</v>
      </c>
      <c r="O21" s="100">
        <v>0</v>
      </c>
      <c r="P21" s="100">
        <v>1.1100000000000001</v>
      </c>
      <c r="Q21" s="100">
        <v>11.24</v>
      </c>
      <c r="R21" s="6"/>
      <c r="S21" s="6"/>
      <c r="T21" s="156"/>
      <c r="U21" s="6"/>
    </row>
    <row r="22" spans="1:21" customFormat="1">
      <c r="A22" s="163" t="s">
        <v>1404</v>
      </c>
      <c r="B22" s="100">
        <v>11.01</v>
      </c>
      <c r="C22" s="100">
        <v>28.26</v>
      </c>
      <c r="D22" s="100">
        <v>24.94</v>
      </c>
      <c r="E22" s="100">
        <v>8.77</v>
      </c>
      <c r="F22" s="152" t="s">
        <v>15</v>
      </c>
      <c r="G22" s="100">
        <v>121.32</v>
      </c>
      <c r="H22" s="100">
        <v>37.880000000000003</v>
      </c>
      <c r="I22" s="100">
        <v>13.17</v>
      </c>
      <c r="J22" s="100">
        <v>0.02</v>
      </c>
      <c r="K22" s="100">
        <v>210.82</v>
      </c>
      <c r="L22" s="100">
        <v>17.7</v>
      </c>
      <c r="M22" s="100">
        <v>78.95</v>
      </c>
      <c r="N22" s="100">
        <v>2.1</v>
      </c>
      <c r="O22" s="100">
        <v>0</v>
      </c>
      <c r="P22" s="100">
        <v>1.1200000000000001</v>
      </c>
      <c r="Q22" s="100">
        <v>11.24</v>
      </c>
      <c r="R22" s="6"/>
      <c r="S22" s="6"/>
      <c r="T22" s="156"/>
      <c r="U22" s="6"/>
    </row>
    <row r="23" spans="1:21" customFormat="1">
      <c r="A23" s="163" t="s">
        <v>1405</v>
      </c>
      <c r="B23" s="100">
        <v>10.72</v>
      </c>
      <c r="C23" s="100">
        <v>27.89</v>
      </c>
      <c r="D23" s="100">
        <v>24.52</v>
      </c>
      <c r="E23" s="100">
        <v>9.0500000000000007</v>
      </c>
      <c r="F23" s="152" t="s">
        <v>15</v>
      </c>
      <c r="G23" s="100">
        <v>121.32</v>
      </c>
      <c r="H23" s="100">
        <v>37.880000000000003</v>
      </c>
      <c r="I23" s="100">
        <v>13.07</v>
      </c>
      <c r="J23" s="100">
        <v>0.19</v>
      </c>
      <c r="K23" s="100">
        <v>65.34</v>
      </c>
      <c r="L23" s="100">
        <v>17.79</v>
      </c>
      <c r="M23" s="100">
        <v>76.11</v>
      </c>
      <c r="N23" s="100">
        <v>1.7</v>
      </c>
      <c r="O23" s="100">
        <v>0</v>
      </c>
      <c r="P23" s="100">
        <v>1.1200000000000001</v>
      </c>
      <c r="Q23" s="100">
        <v>11.24</v>
      </c>
      <c r="R23" s="6"/>
      <c r="S23" s="6"/>
      <c r="T23" s="156"/>
      <c r="U23" s="6"/>
    </row>
    <row r="24" spans="1:21" customFormat="1">
      <c r="A24" s="163" t="s">
        <v>1406</v>
      </c>
      <c r="B24" s="100">
        <v>10.6</v>
      </c>
      <c r="C24" s="100">
        <v>27.63</v>
      </c>
      <c r="D24" s="100">
        <v>24.29</v>
      </c>
      <c r="E24" s="100">
        <v>8.99</v>
      </c>
      <c r="F24" s="152" t="s">
        <v>15</v>
      </c>
      <c r="G24" s="100">
        <v>121.32</v>
      </c>
      <c r="H24" s="100">
        <v>37.880000000000003</v>
      </c>
      <c r="I24" s="100">
        <v>12.95</v>
      </c>
      <c r="J24" s="100">
        <v>0.15</v>
      </c>
      <c r="K24" s="100">
        <v>160.33000000000001</v>
      </c>
      <c r="L24" s="100">
        <v>17.48</v>
      </c>
      <c r="M24" s="100">
        <v>78.77</v>
      </c>
      <c r="N24" s="100">
        <v>1.8</v>
      </c>
      <c r="O24" s="100">
        <v>0</v>
      </c>
      <c r="P24" s="100">
        <v>1.1000000000000001</v>
      </c>
      <c r="Q24" s="100">
        <v>11.24</v>
      </c>
      <c r="R24" s="6"/>
      <c r="S24" s="6"/>
      <c r="T24" s="156"/>
      <c r="U24" s="6"/>
    </row>
    <row r="25" spans="1:21" customFormat="1">
      <c r="A25" s="163" t="s">
        <v>1407</v>
      </c>
      <c r="B25" s="100">
        <v>10.41</v>
      </c>
      <c r="C25" s="100">
        <v>27.38</v>
      </c>
      <c r="D25" s="100">
        <v>24.01</v>
      </c>
      <c r="E25" s="100">
        <v>8.74</v>
      </c>
      <c r="F25" s="152" t="s">
        <v>15</v>
      </c>
      <c r="G25" s="100">
        <v>114.22</v>
      </c>
      <c r="H25" s="100">
        <v>38.61</v>
      </c>
      <c r="I25" s="100">
        <v>12.8</v>
      </c>
      <c r="J25" s="100">
        <v>0.18</v>
      </c>
      <c r="K25" s="100">
        <v>176.31</v>
      </c>
      <c r="L25" s="100">
        <v>17.14</v>
      </c>
      <c r="M25" s="100">
        <v>83.75</v>
      </c>
      <c r="N25" s="100">
        <v>1.9</v>
      </c>
      <c r="O25" s="100">
        <v>0</v>
      </c>
      <c r="P25" s="100">
        <v>1.0900000000000001</v>
      </c>
      <c r="Q25" s="100">
        <v>11.24</v>
      </c>
      <c r="R25" s="6"/>
      <c r="S25" s="6"/>
      <c r="T25" s="156"/>
      <c r="U25" s="6"/>
    </row>
    <row r="26" spans="1:21" customFormat="1">
      <c r="A26" s="163" t="s">
        <v>1408</v>
      </c>
      <c r="B26" s="100">
        <v>10.119999999999999</v>
      </c>
      <c r="C26" s="100">
        <v>26.86</v>
      </c>
      <c r="D26" s="100">
        <v>23.5</v>
      </c>
      <c r="E26" s="100">
        <v>8.32</v>
      </c>
      <c r="F26" s="152" t="s">
        <v>15</v>
      </c>
      <c r="G26" s="100">
        <v>109.03</v>
      </c>
      <c r="H26" s="100">
        <v>38.82</v>
      </c>
      <c r="I26" s="100">
        <v>12.68</v>
      </c>
      <c r="J26" s="100">
        <v>0.15</v>
      </c>
      <c r="K26" s="100">
        <v>170.81</v>
      </c>
      <c r="L26" s="100">
        <v>16.73</v>
      </c>
      <c r="M26" s="100">
        <v>86.62</v>
      </c>
      <c r="N26" s="100">
        <v>1.7</v>
      </c>
      <c r="O26" s="100">
        <v>0</v>
      </c>
      <c r="P26" s="100">
        <v>1.08</v>
      </c>
      <c r="Q26" s="100">
        <v>11.24</v>
      </c>
      <c r="R26" s="6"/>
      <c r="S26" s="6"/>
      <c r="T26" s="156"/>
      <c r="U26" s="6"/>
    </row>
    <row r="27" spans="1:21" customFormat="1">
      <c r="A27" s="163" t="s">
        <v>1409</v>
      </c>
      <c r="B27" s="100">
        <v>9.8000000000000007</v>
      </c>
      <c r="C27" s="100">
        <v>26.08</v>
      </c>
      <c r="D27" s="100">
        <v>22.84</v>
      </c>
      <c r="E27" s="100">
        <v>8.84</v>
      </c>
      <c r="F27" s="152" t="s">
        <v>15</v>
      </c>
      <c r="G27" s="100">
        <v>109.03</v>
      </c>
      <c r="H27" s="100">
        <v>38.82</v>
      </c>
      <c r="I27" s="100">
        <v>12.56</v>
      </c>
      <c r="J27" s="100">
        <v>0.12</v>
      </c>
      <c r="K27" s="100">
        <v>180.05</v>
      </c>
      <c r="L27" s="100">
        <v>16.57</v>
      </c>
      <c r="M27" s="100">
        <v>86.1</v>
      </c>
      <c r="N27" s="100">
        <v>1.7</v>
      </c>
      <c r="O27" s="100">
        <v>0</v>
      </c>
      <c r="P27" s="100">
        <v>1.07</v>
      </c>
      <c r="Q27" s="100">
        <v>11.24</v>
      </c>
      <c r="R27" s="6"/>
      <c r="S27" s="6"/>
      <c r="T27" s="156"/>
      <c r="U27" s="6"/>
    </row>
    <row r="28" spans="1:21" customFormat="1">
      <c r="A28" s="163" t="s">
        <v>1410</v>
      </c>
      <c r="B28" s="100">
        <v>9.59</v>
      </c>
      <c r="C28" s="100">
        <v>25.69</v>
      </c>
      <c r="D28" s="100">
        <v>22.46</v>
      </c>
      <c r="E28" s="100">
        <v>8.76</v>
      </c>
      <c r="F28" s="152" t="s">
        <v>15</v>
      </c>
      <c r="G28" s="100">
        <v>109.03</v>
      </c>
      <c r="H28" s="100">
        <v>38.82</v>
      </c>
      <c r="I28" s="100">
        <v>12.42</v>
      </c>
      <c r="J28" s="100">
        <v>0.06</v>
      </c>
      <c r="K28" s="100">
        <v>152.12</v>
      </c>
      <c r="L28" s="100">
        <v>16.510000000000002</v>
      </c>
      <c r="M28" s="100">
        <v>86.41</v>
      </c>
      <c r="N28" s="100">
        <v>1.6</v>
      </c>
      <c r="O28" s="100">
        <v>0</v>
      </c>
      <c r="P28" s="100">
        <v>1.06</v>
      </c>
      <c r="Q28" s="100">
        <v>11.24</v>
      </c>
      <c r="R28" s="6"/>
      <c r="S28" s="6"/>
      <c r="T28" s="156"/>
      <c r="U28" s="6"/>
    </row>
    <row r="29" spans="1:21" customFormat="1">
      <c r="A29" s="163" t="s">
        <v>1411</v>
      </c>
      <c r="B29" s="100">
        <v>9.8000000000000007</v>
      </c>
      <c r="C29" s="100">
        <v>25.67</v>
      </c>
      <c r="D29" s="100">
        <v>22.62</v>
      </c>
      <c r="E29" s="100">
        <v>8.7100000000000009</v>
      </c>
      <c r="F29" s="152" t="s">
        <v>15</v>
      </c>
      <c r="G29" s="100">
        <v>104.16</v>
      </c>
      <c r="H29" s="100">
        <v>37.35</v>
      </c>
      <c r="I29" s="100">
        <v>12.29</v>
      </c>
      <c r="J29" s="100">
        <v>0.13</v>
      </c>
      <c r="K29" s="100">
        <v>174.4</v>
      </c>
      <c r="L29" s="100">
        <v>16.670000000000002</v>
      </c>
      <c r="M29" s="100">
        <v>84.23</v>
      </c>
      <c r="N29" s="100">
        <v>1.5</v>
      </c>
      <c r="O29" s="100">
        <v>0</v>
      </c>
      <c r="P29" s="100">
        <v>1.06</v>
      </c>
      <c r="Q29" s="100">
        <v>11.24</v>
      </c>
      <c r="R29" s="6"/>
      <c r="S29" s="6"/>
      <c r="T29" s="156"/>
      <c r="U29" s="6"/>
    </row>
    <row r="30" spans="1:21" customFormat="1">
      <c r="A30" s="163" t="s">
        <v>1412</v>
      </c>
      <c r="B30" s="100">
        <v>10.09</v>
      </c>
      <c r="C30" s="100">
        <v>25.63</v>
      </c>
      <c r="D30" s="100">
        <v>22.84</v>
      </c>
      <c r="E30" s="100">
        <v>8.39</v>
      </c>
      <c r="F30" s="152" t="s">
        <v>15</v>
      </c>
      <c r="G30" s="100">
        <v>100.6</v>
      </c>
      <c r="H30" s="100">
        <v>36.92</v>
      </c>
      <c r="I30" s="100">
        <v>12.19</v>
      </c>
      <c r="J30" s="100">
        <v>0.14000000000000001</v>
      </c>
      <c r="K30" s="100">
        <v>214.12</v>
      </c>
      <c r="L30" s="100">
        <v>16.309999999999999</v>
      </c>
      <c r="M30" s="100">
        <v>87.74</v>
      </c>
      <c r="N30" s="100">
        <v>1.7</v>
      </c>
      <c r="O30" s="100">
        <v>0</v>
      </c>
      <c r="P30" s="100">
        <v>1.04</v>
      </c>
      <c r="Q30" s="100">
        <v>11.24</v>
      </c>
      <c r="R30" s="6"/>
      <c r="S30" s="6"/>
      <c r="T30" s="156"/>
      <c r="U30" s="6"/>
    </row>
    <row r="31" spans="1:21" customFormat="1">
      <c r="A31" s="163" t="s">
        <v>1413</v>
      </c>
      <c r="B31" s="100">
        <v>10.07</v>
      </c>
      <c r="C31" s="100">
        <v>25.34</v>
      </c>
      <c r="D31" s="100">
        <v>22.66</v>
      </c>
      <c r="E31" s="100">
        <v>8.52</v>
      </c>
      <c r="F31" s="152" t="s">
        <v>15</v>
      </c>
      <c r="G31" s="100">
        <v>100.6</v>
      </c>
      <c r="H31" s="100">
        <v>36.92</v>
      </c>
      <c r="I31" s="100">
        <v>12.14</v>
      </c>
      <c r="J31" s="100">
        <v>0.13</v>
      </c>
      <c r="K31" s="100">
        <v>209.65</v>
      </c>
      <c r="L31" s="100">
        <v>16.13</v>
      </c>
      <c r="M31" s="100">
        <v>87.91</v>
      </c>
      <c r="N31" s="100">
        <v>1.7</v>
      </c>
      <c r="O31" s="100">
        <v>0</v>
      </c>
      <c r="P31" s="100">
        <v>1.03</v>
      </c>
      <c r="Q31" s="100">
        <v>11.24</v>
      </c>
      <c r="R31" s="6"/>
      <c r="S31" s="6"/>
      <c r="T31" s="156"/>
      <c r="U31" s="6"/>
    </row>
    <row r="32" spans="1:21" customFormat="1">
      <c r="A32" s="163" t="s">
        <v>1414</v>
      </c>
      <c r="B32" s="100">
        <v>10.029999999999999</v>
      </c>
      <c r="C32" s="100">
        <v>25.14</v>
      </c>
      <c r="D32" s="100">
        <v>22.53</v>
      </c>
      <c r="E32" s="100">
        <v>8.35</v>
      </c>
      <c r="F32" s="152" t="s">
        <v>15</v>
      </c>
      <c r="G32" s="100">
        <v>100.6</v>
      </c>
      <c r="H32" s="100">
        <v>36.92</v>
      </c>
      <c r="I32" s="100">
        <v>12.05</v>
      </c>
      <c r="J32" s="100">
        <v>0.08</v>
      </c>
      <c r="K32" s="100">
        <v>219.91</v>
      </c>
      <c r="L32" s="100">
        <v>16.010000000000002</v>
      </c>
      <c r="M32" s="100">
        <v>88.09</v>
      </c>
      <c r="N32" s="100">
        <v>1.5</v>
      </c>
      <c r="O32" s="100">
        <v>0</v>
      </c>
      <c r="P32" s="100">
        <v>1.02</v>
      </c>
      <c r="Q32" s="100">
        <v>11.24</v>
      </c>
      <c r="R32" s="6"/>
      <c r="S32" s="6"/>
      <c r="T32" s="156"/>
      <c r="U32" s="6"/>
    </row>
    <row r="33" spans="1:21" customFormat="1">
      <c r="A33" s="163" t="s">
        <v>1415</v>
      </c>
      <c r="B33" s="100">
        <v>10.84</v>
      </c>
      <c r="C33" s="100">
        <v>25.37</v>
      </c>
      <c r="D33" s="100">
        <v>23.3</v>
      </c>
      <c r="E33" s="100">
        <v>8.8699999999999992</v>
      </c>
      <c r="F33" s="152" t="s">
        <v>15</v>
      </c>
      <c r="G33" s="100">
        <v>95.07</v>
      </c>
      <c r="H33" s="100">
        <v>35.869999999999997</v>
      </c>
      <c r="I33" s="100">
        <v>11.96</v>
      </c>
      <c r="J33" s="100">
        <v>0.13</v>
      </c>
      <c r="K33" s="100">
        <v>41.05</v>
      </c>
      <c r="L33" s="100">
        <v>16.09</v>
      </c>
      <c r="M33" s="100">
        <v>86.89</v>
      </c>
      <c r="N33" s="100">
        <v>1.3</v>
      </c>
      <c r="O33" s="100">
        <v>0</v>
      </c>
      <c r="P33" s="100">
        <v>1.01</v>
      </c>
      <c r="Q33" s="100">
        <v>11.24</v>
      </c>
      <c r="R33" s="6"/>
      <c r="S33" s="6"/>
      <c r="T33" s="156"/>
      <c r="U33" s="6"/>
    </row>
    <row r="34" spans="1:21" customFormat="1">
      <c r="A34" s="163" t="s">
        <v>1416</v>
      </c>
      <c r="B34" s="100">
        <v>13.2</v>
      </c>
      <c r="C34" s="100">
        <v>25.59</v>
      </c>
      <c r="D34" s="100">
        <v>25.3</v>
      </c>
      <c r="E34" s="100">
        <v>8.5299999999999994</v>
      </c>
      <c r="F34" s="152" t="s">
        <v>15</v>
      </c>
      <c r="G34" s="100">
        <v>91.03</v>
      </c>
      <c r="H34" s="100">
        <v>35.549999999999997</v>
      </c>
      <c r="I34" s="100">
        <v>11.82</v>
      </c>
      <c r="J34" s="100">
        <v>7.0000000000000007E-2</v>
      </c>
      <c r="K34" s="100">
        <v>13.87</v>
      </c>
      <c r="L34" s="100">
        <v>16.37</v>
      </c>
      <c r="M34" s="100">
        <v>84.21</v>
      </c>
      <c r="N34" s="100">
        <v>1.5</v>
      </c>
      <c r="O34" s="100">
        <v>0</v>
      </c>
      <c r="P34" s="100">
        <v>1.02</v>
      </c>
      <c r="Q34" s="100">
        <v>11.24</v>
      </c>
      <c r="R34" s="6"/>
      <c r="S34" s="6"/>
      <c r="T34" s="156"/>
      <c r="U34" s="6"/>
    </row>
    <row r="35" spans="1:21" customFormat="1">
      <c r="A35" s="163" t="s">
        <v>1417</v>
      </c>
      <c r="B35" s="100">
        <v>15.1</v>
      </c>
      <c r="C35" s="100">
        <v>25.84</v>
      </c>
      <c r="D35" s="100">
        <v>26.96</v>
      </c>
      <c r="E35" s="100">
        <v>8.35</v>
      </c>
      <c r="F35" s="152" t="s">
        <v>15</v>
      </c>
      <c r="G35" s="100">
        <v>91.03</v>
      </c>
      <c r="H35" s="100">
        <v>35.549999999999997</v>
      </c>
      <c r="I35" s="100">
        <v>11.8</v>
      </c>
      <c r="J35" s="100">
        <v>0.28000000000000003</v>
      </c>
      <c r="K35" s="100">
        <v>28.89</v>
      </c>
      <c r="L35" s="100">
        <v>16.48</v>
      </c>
      <c r="M35" s="100">
        <v>83.73</v>
      </c>
      <c r="N35" s="100">
        <v>2.4</v>
      </c>
      <c r="O35" s="100">
        <v>0</v>
      </c>
      <c r="P35" s="100">
        <v>1.03</v>
      </c>
      <c r="Q35" s="100">
        <v>11.24</v>
      </c>
      <c r="R35" s="6"/>
      <c r="S35" s="6"/>
      <c r="T35" s="156"/>
      <c r="U35" s="6"/>
    </row>
    <row r="36" spans="1:21" customFormat="1">
      <c r="A36" s="163" t="s">
        <v>1418</v>
      </c>
      <c r="B36" s="100">
        <v>16.29</v>
      </c>
      <c r="C36" s="100">
        <v>26.14</v>
      </c>
      <c r="D36" s="100">
        <v>28.07</v>
      </c>
      <c r="E36" s="100">
        <v>8.89</v>
      </c>
      <c r="F36" s="152" t="s">
        <v>15</v>
      </c>
      <c r="G36" s="100">
        <v>91.03</v>
      </c>
      <c r="H36" s="100">
        <v>35.549999999999997</v>
      </c>
      <c r="I36" s="100">
        <v>11.82</v>
      </c>
      <c r="J36" s="100">
        <v>0.36</v>
      </c>
      <c r="K36" s="100">
        <v>59.61</v>
      </c>
      <c r="L36" s="100">
        <v>16.690000000000001</v>
      </c>
      <c r="M36" s="100">
        <v>81.77</v>
      </c>
      <c r="N36" s="100">
        <v>6.2</v>
      </c>
      <c r="O36" s="100">
        <v>0</v>
      </c>
      <c r="P36" s="100">
        <v>1.04</v>
      </c>
      <c r="Q36" s="100">
        <v>11.24</v>
      </c>
      <c r="R36" s="6"/>
      <c r="S36" s="6"/>
      <c r="T36" s="156"/>
      <c r="U36" s="6"/>
    </row>
    <row r="37" spans="1:21" customFormat="1">
      <c r="A37" s="163" t="s">
        <v>1419</v>
      </c>
      <c r="B37" s="100">
        <v>16.809999999999999</v>
      </c>
      <c r="C37" s="100">
        <v>26.25</v>
      </c>
      <c r="D37" s="100">
        <v>28.54</v>
      </c>
      <c r="E37" s="100">
        <v>8.75</v>
      </c>
      <c r="F37" s="152" t="s">
        <v>15</v>
      </c>
      <c r="G37" s="100">
        <v>93.67</v>
      </c>
      <c r="H37" s="100">
        <v>35.32</v>
      </c>
      <c r="I37" s="100">
        <v>11.91</v>
      </c>
      <c r="J37" s="100">
        <v>0.31</v>
      </c>
      <c r="K37" s="100">
        <v>41.3</v>
      </c>
      <c r="L37" s="100">
        <v>16.88</v>
      </c>
      <c r="M37" s="100">
        <v>80.06</v>
      </c>
      <c r="N37" s="100">
        <v>13.1</v>
      </c>
      <c r="O37" s="100">
        <v>0</v>
      </c>
      <c r="P37" s="100">
        <v>1.06</v>
      </c>
      <c r="Q37" s="100">
        <v>11.24</v>
      </c>
      <c r="R37" s="6"/>
      <c r="S37" s="6"/>
      <c r="T37" s="156"/>
      <c r="U37" s="6"/>
    </row>
    <row r="38" spans="1:21" customFormat="1">
      <c r="A38" s="163" t="s">
        <v>1420</v>
      </c>
      <c r="B38" s="100">
        <v>17.16</v>
      </c>
      <c r="C38" s="100">
        <v>26.4</v>
      </c>
      <c r="D38" s="100">
        <v>28.91</v>
      </c>
      <c r="E38" s="100">
        <v>8.77</v>
      </c>
      <c r="F38" s="152" t="s">
        <v>15</v>
      </c>
      <c r="G38" s="100">
        <v>95.59</v>
      </c>
      <c r="H38" s="100">
        <v>35.18</v>
      </c>
      <c r="I38" s="100">
        <v>12.08</v>
      </c>
      <c r="J38" s="100">
        <v>0.39</v>
      </c>
      <c r="K38" s="100">
        <v>43.44</v>
      </c>
      <c r="L38" s="100">
        <v>17.059999999999999</v>
      </c>
      <c r="M38" s="100">
        <v>79.09</v>
      </c>
      <c r="N38" s="100">
        <v>22.2</v>
      </c>
      <c r="O38" s="100">
        <v>0</v>
      </c>
      <c r="P38" s="100">
        <v>1.07</v>
      </c>
      <c r="Q38" s="100">
        <v>11.24</v>
      </c>
      <c r="R38" s="6"/>
      <c r="S38" s="6"/>
      <c r="T38" s="156"/>
      <c r="U38" s="6"/>
    </row>
    <row r="39" spans="1:21" customFormat="1">
      <c r="A39" s="163" t="s">
        <v>1421</v>
      </c>
      <c r="B39" s="100">
        <v>17.47</v>
      </c>
      <c r="C39" s="100">
        <v>26.63</v>
      </c>
      <c r="D39" s="100">
        <v>29.27</v>
      </c>
      <c r="E39" s="100">
        <v>8.7899999999999991</v>
      </c>
      <c r="F39" s="152" t="s">
        <v>15</v>
      </c>
      <c r="G39" s="100">
        <v>95.59</v>
      </c>
      <c r="H39" s="100">
        <v>35.18</v>
      </c>
      <c r="I39" s="100">
        <v>12.34</v>
      </c>
      <c r="J39" s="100">
        <v>0.28000000000000003</v>
      </c>
      <c r="K39" s="100">
        <v>59.26</v>
      </c>
      <c r="L39" s="100">
        <v>17.399999999999999</v>
      </c>
      <c r="M39" s="100">
        <v>78.010000000000005</v>
      </c>
      <c r="N39" s="100">
        <v>30.9</v>
      </c>
      <c r="O39" s="100">
        <v>0</v>
      </c>
      <c r="P39" s="100">
        <v>1.1000000000000001</v>
      </c>
      <c r="Q39" s="100">
        <v>11.24</v>
      </c>
      <c r="R39" s="6"/>
      <c r="S39" s="6"/>
      <c r="T39" s="156"/>
      <c r="U39" s="6"/>
    </row>
    <row r="40" spans="1:21" customFormat="1">
      <c r="A40" s="163" t="s">
        <v>1422</v>
      </c>
      <c r="B40" s="100">
        <v>17.82</v>
      </c>
      <c r="C40" s="100">
        <v>26.82</v>
      </c>
      <c r="D40" s="100">
        <v>29.65</v>
      </c>
      <c r="E40" s="100">
        <v>8.5500000000000007</v>
      </c>
      <c r="F40" s="152" t="s">
        <v>15</v>
      </c>
      <c r="G40" s="100">
        <v>95.59</v>
      </c>
      <c r="H40" s="100">
        <v>35.18</v>
      </c>
      <c r="I40" s="100">
        <v>12.53</v>
      </c>
      <c r="J40" s="100">
        <v>0.43</v>
      </c>
      <c r="K40" s="100">
        <v>33.229999999999997</v>
      </c>
      <c r="L40" s="100">
        <v>17.71</v>
      </c>
      <c r="M40" s="100">
        <v>76.61</v>
      </c>
      <c r="N40" s="100">
        <v>41.4</v>
      </c>
      <c r="O40" s="100">
        <v>0</v>
      </c>
      <c r="P40" s="100">
        <v>1.1200000000000001</v>
      </c>
      <c r="Q40" s="100">
        <v>11.24</v>
      </c>
      <c r="R40" s="6"/>
      <c r="S40" s="6"/>
      <c r="T40" s="156"/>
      <c r="U40" s="6"/>
    </row>
    <row r="41" spans="1:21" customFormat="1">
      <c r="A41" s="163" t="s">
        <v>1423</v>
      </c>
      <c r="B41" s="100">
        <v>18.16</v>
      </c>
      <c r="C41" s="100">
        <v>26.91</v>
      </c>
      <c r="D41" s="100">
        <v>29.97</v>
      </c>
      <c r="E41" s="100">
        <v>8.39</v>
      </c>
      <c r="F41" s="152" t="s">
        <v>15</v>
      </c>
      <c r="G41" s="100">
        <v>104.48</v>
      </c>
      <c r="H41" s="100">
        <v>37.44</v>
      </c>
      <c r="I41" s="100">
        <v>12.75</v>
      </c>
      <c r="J41" s="100">
        <v>0.38</v>
      </c>
      <c r="K41" s="100">
        <v>44.42</v>
      </c>
      <c r="L41" s="100">
        <v>18.03</v>
      </c>
      <c r="M41" s="100">
        <v>75.38</v>
      </c>
      <c r="N41" s="100">
        <v>58.2</v>
      </c>
      <c r="O41" s="100">
        <v>0</v>
      </c>
      <c r="P41" s="100">
        <v>1.1200000000000001</v>
      </c>
      <c r="Q41" s="100">
        <v>11.24</v>
      </c>
      <c r="R41" s="6"/>
      <c r="S41" s="6"/>
      <c r="T41" s="156"/>
      <c r="U41" s="6"/>
    </row>
    <row r="42" spans="1:21" customFormat="1">
      <c r="A42" s="163" t="s">
        <v>1424</v>
      </c>
      <c r="B42" s="100">
        <v>18.07</v>
      </c>
      <c r="C42" s="100">
        <v>27.08</v>
      </c>
      <c r="D42" s="100">
        <v>29.99</v>
      </c>
      <c r="E42" s="100">
        <v>8.82</v>
      </c>
      <c r="F42" s="152" t="s">
        <v>15</v>
      </c>
      <c r="G42" s="100">
        <v>110.97</v>
      </c>
      <c r="H42" s="100">
        <v>38.11</v>
      </c>
      <c r="I42" s="100">
        <v>12.91</v>
      </c>
      <c r="J42" s="100">
        <v>0.44</v>
      </c>
      <c r="K42" s="100">
        <v>25.6</v>
      </c>
      <c r="L42" s="100">
        <v>18.47</v>
      </c>
      <c r="M42" s="100">
        <v>73.41</v>
      </c>
      <c r="N42" s="100">
        <v>86.5</v>
      </c>
      <c r="O42" s="100">
        <v>0</v>
      </c>
      <c r="P42" s="100">
        <v>1.1299999999999999</v>
      </c>
      <c r="Q42" s="100">
        <v>11.24</v>
      </c>
      <c r="R42" s="6"/>
      <c r="S42" s="6"/>
      <c r="T42" s="156"/>
      <c r="U42" s="6"/>
    </row>
    <row r="43" spans="1:21" customFormat="1">
      <c r="A43" s="163" t="s">
        <v>1425</v>
      </c>
      <c r="B43" s="100">
        <v>17.64</v>
      </c>
      <c r="C43" s="100">
        <v>27.37</v>
      </c>
      <c r="D43" s="100">
        <v>29.79</v>
      </c>
      <c r="E43" s="100">
        <v>8.98</v>
      </c>
      <c r="F43" s="152" t="s">
        <v>15</v>
      </c>
      <c r="G43" s="100">
        <v>110.97</v>
      </c>
      <c r="H43" s="100">
        <v>38.11</v>
      </c>
      <c r="I43" s="100">
        <v>13.13</v>
      </c>
      <c r="J43" s="100">
        <v>0.5</v>
      </c>
      <c r="K43" s="100">
        <v>41.04</v>
      </c>
      <c r="L43" s="100">
        <v>19.14</v>
      </c>
      <c r="M43" s="100">
        <v>70.430000000000007</v>
      </c>
      <c r="N43" s="100">
        <v>102.3</v>
      </c>
      <c r="O43" s="100">
        <v>0</v>
      </c>
      <c r="P43" s="100">
        <v>1.1399999999999999</v>
      </c>
      <c r="Q43" s="100">
        <v>11.24</v>
      </c>
      <c r="R43" s="6"/>
      <c r="S43" s="6"/>
      <c r="T43" s="156"/>
      <c r="U43" s="6"/>
    </row>
    <row r="44" spans="1:21" customFormat="1">
      <c r="A44" s="163" t="s">
        <v>1426</v>
      </c>
      <c r="B44" s="100">
        <v>17.21</v>
      </c>
      <c r="C44" s="100">
        <v>27.74</v>
      </c>
      <c r="D44" s="100">
        <v>29.64</v>
      </c>
      <c r="E44" s="100">
        <v>9.0299999999999994</v>
      </c>
      <c r="F44" s="152" t="s">
        <v>15</v>
      </c>
      <c r="G44" s="100">
        <v>110.97</v>
      </c>
      <c r="H44" s="100">
        <v>38.11</v>
      </c>
      <c r="I44" s="100">
        <v>13.23</v>
      </c>
      <c r="J44" s="100">
        <v>0.89</v>
      </c>
      <c r="K44" s="100">
        <v>42.29</v>
      </c>
      <c r="L44" s="100">
        <v>19.559999999999999</v>
      </c>
      <c r="M44" s="100">
        <v>67.62</v>
      </c>
      <c r="N44" s="100">
        <v>110.1</v>
      </c>
      <c r="O44" s="100">
        <v>0</v>
      </c>
      <c r="P44" s="100">
        <v>1.1399999999999999</v>
      </c>
      <c r="Q44" s="100">
        <v>11.24</v>
      </c>
      <c r="R44" s="6"/>
      <c r="S44" s="6"/>
      <c r="T44" s="156"/>
      <c r="U44" s="6"/>
    </row>
    <row r="45" spans="1:21" customFormat="1">
      <c r="A45" s="163" t="s">
        <v>1427</v>
      </c>
      <c r="B45" s="100">
        <v>16.260000000000002</v>
      </c>
      <c r="C45" s="100">
        <v>28.23</v>
      </c>
      <c r="D45" s="100">
        <v>29.14</v>
      </c>
      <c r="E45" s="100">
        <v>9.11</v>
      </c>
      <c r="F45" s="152" t="s">
        <v>15</v>
      </c>
      <c r="G45" s="100">
        <v>112.73</v>
      </c>
      <c r="H45" s="100">
        <v>38.74</v>
      </c>
      <c r="I45" s="100">
        <v>13.3</v>
      </c>
      <c r="J45" s="100">
        <v>0.84</v>
      </c>
      <c r="K45" s="100">
        <v>49.2</v>
      </c>
      <c r="L45" s="100">
        <v>20.010000000000002</v>
      </c>
      <c r="M45" s="100">
        <v>64.78</v>
      </c>
      <c r="N45" s="100">
        <v>135.4</v>
      </c>
      <c r="O45" s="100">
        <v>0</v>
      </c>
      <c r="P45" s="100">
        <v>1.1399999999999999</v>
      </c>
      <c r="Q45" s="100">
        <v>11.24</v>
      </c>
      <c r="R45" s="6"/>
      <c r="S45" s="6"/>
      <c r="T45" s="156"/>
      <c r="U45" s="6"/>
    </row>
    <row r="46" spans="1:21" customFormat="1">
      <c r="A46" s="163" t="s">
        <v>1428</v>
      </c>
      <c r="B46" s="100">
        <v>15.04</v>
      </c>
      <c r="C46" s="100">
        <v>28.58</v>
      </c>
      <c r="D46" s="100">
        <v>28.34</v>
      </c>
      <c r="E46" s="100">
        <v>8.9600000000000009</v>
      </c>
      <c r="F46" s="152" t="s">
        <v>15</v>
      </c>
      <c r="G46" s="100">
        <v>114.02</v>
      </c>
      <c r="H46" s="100">
        <v>38.92</v>
      </c>
      <c r="I46" s="100">
        <v>13.27</v>
      </c>
      <c r="J46" s="100">
        <v>0.89</v>
      </c>
      <c r="K46" s="100">
        <v>50.89</v>
      </c>
      <c r="L46" s="100">
        <v>20.440000000000001</v>
      </c>
      <c r="M46" s="100">
        <v>63.29</v>
      </c>
      <c r="N46" s="100">
        <v>135.30000000000001</v>
      </c>
      <c r="O46" s="100">
        <v>0</v>
      </c>
      <c r="P46" s="100">
        <v>1.1299999999999999</v>
      </c>
      <c r="Q46" s="100">
        <v>11.24</v>
      </c>
      <c r="R46" s="6"/>
      <c r="S46" s="6"/>
      <c r="T46" s="156"/>
      <c r="U46" s="6"/>
    </row>
    <row r="47" spans="1:21" customFormat="1">
      <c r="A47" s="163" t="s">
        <v>1429</v>
      </c>
      <c r="B47" s="100">
        <v>14.27</v>
      </c>
      <c r="C47" s="100">
        <v>29.09</v>
      </c>
      <c r="D47" s="100">
        <v>28</v>
      </c>
      <c r="E47" s="100">
        <v>9.07</v>
      </c>
      <c r="F47" s="152" t="s">
        <v>15</v>
      </c>
      <c r="G47" s="100">
        <v>114.02</v>
      </c>
      <c r="H47" s="100">
        <v>38.92</v>
      </c>
      <c r="I47" s="100">
        <v>13.19</v>
      </c>
      <c r="J47" s="100">
        <v>0.9</v>
      </c>
      <c r="K47" s="100">
        <v>54.18</v>
      </c>
      <c r="L47" s="100">
        <v>21.09</v>
      </c>
      <c r="M47" s="100">
        <v>60.87</v>
      </c>
      <c r="N47" s="100">
        <v>143.4</v>
      </c>
      <c r="O47" s="100">
        <v>0</v>
      </c>
      <c r="P47" s="100">
        <v>1.1200000000000001</v>
      </c>
      <c r="Q47" s="100">
        <v>11.24</v>
      </c>
      <c r="R47" s="6"/>
      <c r="S47" s="6"/>
      <c r="T47" s="156"/>
      <c r="U47" s="6"/>
    </row>
    <row r="48" spans="1:21" customFormat="1">
      <c r="A48" s="163" t="s">
        <v>1430</v>
      </c>
      <c r="B48" s="100">
        <v>14.77</v>
      </c>
      <c r="C48" s="100">
        <v>29.98</v>
      </c>
      <c r="D48" s="100">
        <v>28.86</v>
      </c>
      <c r="E48" s="100">
        <v>9.17</v>
      </c>
      <c r="F48" s="152" t="s">
        <v>15</v>
      </c>
      <c r="G48" s="100">
        <v>114.02</v>
      </c>
      <c r="H48" s="100">
        <v>38.92</v>
      </c>
      <c r="I48" s="100">
        <v>13.01</v>
      </c>
      <c r="J48" s="100">
        <v>0.41</v>
      </c>
      <c r="K48" s="100">
        <v>93.32</v>
      </c>
      <c r="L48" s="100">
        <v>21.89</v>
      </c>
      <c r="M48" s="100">
        <v>58.45</v>
      </c>
      <c r="N48" s="100">
        <v>160.69999999999999</v>
      </c>
      <c r="O48" s="100">
        <v>0</v>
      </c>
      <c r="P48" s="100">
        <v>1.0900000000000001</v>
      </c>
      <c r="Q48" s="100">
        <v>11.24</v>
      </c>
      <c r="R48" s="6"/>
      <c r="S48" s="6"/>
      <c r="T48" s="156"/>
      <c r="U48" s="6"/>
    </row>
    <row r="49" spans="1:21" customFormat="1">
      <c r="A49" s="163" t="s">
        <v>1431</v>
      </c>
      <c r="B49" s="100">
        <v>15.3</v>
      </c>
      <c r="C49" s="100">
        <v>30.74</v>
      </c>
      <c r="D49" s="100">
        <v>29.68</v>
      </c>
      <c r="E49" s="100">
        <v>8.1</v>
      </c>
      <c r="F49" s="152" t="s">
        <v>15</v>
      </c>
      <c r="G49" s="100">
        <v>112.39</v>
      </c>
      <c r="H49" s="100">
        <v>39.53</v>
      </c>
      <c r="I49" s="100">
        <v>12.85</v>
      </c>
      <c r="J49" s="100">
        <v>0.79</v>
      </c>
      <c r="K49" s="100">
        <v>53.73</v>
      </c>
      <c r="L49" s="100">
        <v>22.38</v>
      </c>
      <c r="M49" s="100">
        <v>56.96</v>
      </c>
      <c r="N49" s="100">
        <v>198.7</v>
      </c>
      <c r="O49" s="100">
        <v>0</v>
      </c>
      <c r="P49" s="100">
        <v>1.0900000000000001</v>
      </c>
      <c r="Q49" s="100">
        <v>11.24</v>
      </c>
      <c r="R49" s="6"/>
      <c r="S49" s="6"/>
      <c r="T49" s="156"/>
      <c r="U49" s="6"/>
    </row>
    <row r="50" spans="1:21" customFormat="1">
      <c r="A50" s="163" t="s">
        <v>1432</v>
      </c>
      <c r="B50" s="100">
        <v>15.83</v>
      </c>
      <c r="C50" s="100">
        <v>31.37</v>
      </c>
      <c r="D50" s="100">
        <v>30.44</v>
      </c>
      <c r="E50" s="100">
        <v>9.9700000000000006</v>
      </c>
      <c r="F50" s="152" t="s">
        <v>15</v>
      </c>
      <c r="G50" s="100">
        <v>111.2</v>
      </c>
      <c r="H50" s="100">
        <v>39.71</v>
      </c>
      <c r="I50" s="100">
        <v>12.74</v>
      </c>
      <c r="J50" s="100">
        <v>0.69</v>
      </c>
      <c r="K50" s="100">
        <v>47.23</v>
      </c>
      <c r="L50" s="100">
        <v>22.79</v>
      </c>
      <c r="M50" s="100">
        <v>55.55</v>
      </c>
      <c r="N50" s="100">
        <v>219.3</v>
      </c>
      <c r="O50" s="100">
        <v>0</v>
      </c>
      <c r="P50" s="100">
        <v>1.08</v>
      </c>
      <c r="Q50" s="100">
        <v>11.24</v>
      </c>
      <c r="R50" s="6"/>
      <c r="S50" s="6"/>
      <c r="T50" s="156"/>
      <c r="U50" s="6"/>
    </row>
    <row r="51" spans="1:21" customFormat="1">
      <c r="A51" s="163" t="s">
        <v>1433</v>
      </c>
      <c r="B51" s="100">
        <v>15.87</v>
      </c>
      <c r="C51" s="100">
        <v>31.89</v>
      </c>
      <c r="D51" s="100">
        <v>30.74</v>
      </c>
      <c r="E51" s="100">
        <v>9.7200000000000006</v>
      </c>
      <c r="F51" s="152" t="s">
        <v>15</v>
      </c>
      <c r="G51" s="100">
        <v>111.2</v>
      </c>
      <c r="H51" s="100">
        <v>39.71</v>
      </c>
      <c r="I51" s="100">
        <v>12.65</v>
      </c>
      <c r="J51" s="100">
        <v>0.84</v>
      </c>
      <c r="K51" s="100">
        <v>49.26</v>
      </c>
      <c r="L51" s="100">
        <v>23.05</v>
      </c>
      <c r="M51" s="100">
        <v>55.15</v>
      </c>
      <c r="N51" s="100">
        <v>224.7</v>
      </c>
      <c r="O51" s="100">
        <v>0</v>
      </c>
      <c r="P51" s="100">
        <v>1.07</v>
      </c>
      <c r="Q51" s="100">
        <v>11.24</v>
      </c>
      <c r="R51" s="6"/>
      <c r="S51" s="6"/>
      <c r="T51" s="156"/>
      <c r="U51" s="6"/>
    </row>
    <row r="52" spans="1:21" customFormat="1">
      <c r="A52" s="163" t="s">
        <v>1434</v>
      </c>
      <c r="B52" s="100">
        <v>15.3</v>
      </c>
      <c r="C52" s="100">
        <v>32.22</v>
      </c>
      <c r="D52" s="100">
        <v>30.46</v>
      </c>
      <c r="E52" s="100">
        <v>10.51</v>
      </c>
      <c r="F52" s="152" t="s">
        <v>15</v>
      </c>
      <c r="G52" s="100">
        <v>111.2</v>
      </c>
      <c r="H52" s="100">
        <v>39.71</v>
      </c>
      <c r="I52" s="100">
        <v>12.58</v>
      </c>
      <c r="J52" s="100">
        <v>0.7</v>
      </c>
      <c r="K52" s="100">
        <v>28</v>
      </c>
      <c r="L52" s="100">
        <v>23.64</v>
      </c>
      <c r="M52" s="100">
        <v>53.08</v>
      </c>
      <c r="N52" s="100">
        <v>232.5</v>
      </c>
      <c r="O52" s="100">
        <v>0</v>
      </c>
      <c r="P52" s="100">
        <v>1.06</v>
      </c>
      <c r="Q52" s="100">
        <v>11.24</v>
      </c>
      <c r="R52" s="6"/>
      <c r="S52" s="6"/>
      <c r="T52" s="156"/>
      <c r="U52" s="6"/>
    </row>
    <row r="53" spans="1:21" customFormat="1">
      <c r="A53" s="163" t="s">
        <v>1435</v>
      </c>
      <c r="B53" s="100">
        <v>14.44</v>
      </c>
      <c r="C53" s="100">
        <v>32.630000000000003</v>
      </c>
      <c r="D53" s="100">
        <v>29.98</v>
      </c>
      <c r="E53" s="100">
        <v>10.039999999999999</v>
      </c>
      <c r="F53" s="152" t="s">
        <v>15</v>
      </c>
      <c r="G53" s="100">
        <v>112.51</v>
      </c>
      <c r="H53" s="100">
        <v>40.049999999999997</v>
      </c>
      <c r="I53" s="100">
        <v>12.5</v>
      </c>
      <c r="J53" s="100">
        <v>0.57999999999999996</v>
      </c>
      <c r="K53" s="100">
        <v>35.869999999999997</v>
      </c>
      <c r="L53" s="100">
        <v>24.24</v>
      </c>
      <c r="M53" s="100">
        <v>50.97</v>
      </c>
      <c r="N53" s="100">
        <v>234</v>
      </c>
      <c r="O53" s="100">
        <v>0</v>
      </c>
      <c r="P53" s="100">
        <v>1.06</v>
      </c>
      <c r="Q53" s="100">
        <v>11.24</v>
      </c>
      <c r="R53" s="6"/>
      <c r="S53" s="6"/>
      <c r="T53" s="156"/>
      <c r="U53" s="6"/>
    </row>
    <row r="54" spans="1:21" customFormat="1">
      <c r="A54" s="163" t="s">
        <v>1436</v>
      </c>
      <c r="B54" s="100">
        <v>13.26</v>
      </c>
      <c r="C54" s="100">
        <v>32.79</v>
      </c>
      <c r="D54" s="100">
        <v>29.12</v>
      </c>
      <c r="E54" s="100">
        <v>10.14</v>
      </c>
      <c r="F54" s="152" t="s">
        <v>15</v>
      </c>
      <c r="G54" s="100">
        <v>113.47</v>
      </c>
      <c r="H54" s="100">
        <v>40.14</v>
      </c>
      <c r="I54" s="100">
        <v>12.4</v>
      </c>
      <c r="J54" s="100">
        <v>0.51</v>
      </c>
      <c r="K54" s="100">
        <v>58.71</v>
      </c>
      <c r="L54" s="100">
        <v>24.71</v>
      </c>
      <c r="M54" s="100">
        <v>49.8</v>
      </c>
      <c r="N54" s="100">
        <v>241.5</v>
      </c>
      <c r="O54" s="100">
        <v>0</v>
      </c>
      <c r="P54" s="100">
        <v>1.05</v>
      </c>
      <c r="Q54" s="100">
        <v>11.24</v>
      </c>
      <c r="R54" s="6"/>
      <c r="S54" s="6"/>
      <c r="T54" s="156"/>
      <c r="U54" s="6"/>
    </row>
    <row r="55" spans="1:21" customFormat="1">
      <c r="A55" s="163" t="s">
        <v>1437</v>
      </c>
      <c r="B55" s="100">
        <v>12.1</v>
      </c>
      <c r="C55" s="100">
        <v>33.18</v>
      </c>
      <c r="D55" s="100">
        <v>28.39</v>
      </c>
      <c r="E55" s="100">
        <v>10.9</v>
      </c>
      <c r="F55" s="152" t="s">
        <v>15</v>
      </c>
      <c r="G55" s="100">
        <v>113.47</v>
      </c>
      <c r="H55" s="100">
        <v>40.14</v>
      </c>
      <c r="I55" s="100">
        <v>12.34</v>
      </c>
      <c r="J55" s="100">
        <v>0.76</v>
      </c>
      <c r="K55" s="100">
        <v>25.05</v>
      </c>
      <c r="L55" s="100">
        <v>25.18</v>
      </c>
      <c r="M55" s="100">
        <v>48.97</v>
      </c>
      <c r="N55" s="100">
        <v>251.5</v>
      </c>
      <c r="O55" s="100">
        <v>0</v>
      </c>
      <c r="P55" s="100">
        <v>1.03</v>
      </c>
      <c r="Q55" s="100">
        <v>11.24</v>
      </c>
      <c r="R55" s="6"/>
      <c r="S55" s="6"/>
      <c r="T55" s="156"/>
      <c r="U55" s="6"/>
    </row>
    <row r="56" spans="1:21" customFormat="1">
      <c r="A56" s="163" t="s">
        <v>1438</v>
      </c>
      <c r="B56" s="100">
        <v>11.5</v>
      </c>
      <c r="C56" s="100">
        <v>33.76</v>
      </c>
      <c r="D56" s="100">
        <v>28.22</v>
      </c>
      <c r="E56" s="100">
        <v>10.59</v>
      </c>
      <c r="F56" s="152" t="s">
        <v>15</v>
      </c>
      <c r="G56" s="100">
        <v>113.47</v>
      </c>
      <c r="H56" s="100">
        <v>40.14</v>
      </c>
      <c r="I56" s="100">
        <v>12.21</v>
      </c>
      <c r="J56" s="100">
        <v>0.63</v>
      </c>
      <c r="K56" s="100">
        <v>351.8</v>
      </c>
      <c r="L56" s="100">
        <v>25.01</v>
      </c>
      <c r="M56" s="100">
        <v>48.57</v>
      </c>
      <c r="N56" s="100">
        <v>246</v>
      </c>
      <c r="O56" s="100">
        <v>0</v>
      </c>
      <c r="P56" s="100">
        <v>1.03</v>
      </c>
      <c r="Q56" s="100">
        <v>11.24</v>
      </c>
      <c r="R56" s="6"/>
      <c r="S56" s="6"/>
      <c r="T56" s="156"/>
      <c r="U56" s="6"/>
    </row>
    <row r="57" spans="1:21" customFormat="1">
      <c r="A57" s="163" t="s">
        <v>1439</v>
      </c>
      <c r="B57" s="100">
        <v>11.27</v>
      </c>
      <c r="C57" s="100">
        <v>34.44</v>
      </c>
      <c r="D57" s="100">
        <v>28.39</v>
      </c>
      <c r="E57" s="100">
        <v>11.22</v>
      </c>
      <c r="F57" s="152" t="s">
        <v>15</v>
      </c>
      <c r="G57" s="100">
        <v>111.94</v>
      </c>
      <c r="H57" s="100">
        <v>39.78</v>
      </c>
      <c r="I57" s="100">
        <v>11.98</v>
      </c>
      <c r="J57" s="100">
        <v>0.87</v>
      </c>
      <c r="K57" s="100">
        <v>28.56</v>
      </c>
      <c r="L57" s="100">
        <v>25.42</v>
      </c>
      <c r="M57" s="100">
        <v>46.74</v>
      </c>
      <c r="N57" s="100">
        <v>276.7</v>
      </c>
      <c r="O57" s="100">
        <v>0</v>
      </c>
      <c r="P57" s="100">
        <v>1.02</v>
      </c>
      <c r="Q57" s="100">
        <v>11.24</v>
      </c>
      <c r="R57" s="6"/>
      <c r="S57" s="6"/>
      <c r="T57" s="156"/>
      <c r="U57" s="6"/>
    </row>
    <row r="58" spans="1:21" customFormat="1">
      <c r="A58" s="163" t="s">
        <v>1440</v>
      </c>
      <c r="B58" s="100">
        <v>11.07</v>
      </c>
      <c r="C58" s="100">
        <v>35.03</v>
      </c>
      <c r="D58" s="100">
        <v>28.54</v>
      </c>
      <c r="E58" s="100">
        <v>10.82</v>
      </c>
      <c r="F58" s="152" t="s">
        <v>15</v>
      </c>
      <c r="G58" s="100">
        <v>110.83</v>
      </c>
      <c r="H58" s="100">
        <v>39.68</v>
      </c>
      <c r="I58" s="100">
        <v>11.98</v>
      </c>
      <c r="J58" s="100">
        <v>0.84</v>
      </c>
      <c r="K58" s="100">
        <v>35.89</v>
      </c>
      <c r="L58" s="100">
        <v>25.54</v>
      </c>
      <c r="M58" s="100">
        <v>47.16</v>
      </c>
      <c r="N58" s="100">
        <v>264.60000000000002</v>
      </c>
      <c r="O58" s="100">
        <v>0</v>
      </c>
      <c r="P58" s="100">
        <v>1</v>
      </c>
      <c r="Q58" s="100">
        <v>11.24</v>
      </c>
      <c r="R58" s="6"/>
      <c r="S58" s="6"/>
      <c r="T58" s="156"/>
      <c r="U58" s="6"/>
    </row>
    <row r="59" spans="1:21" customFormat="1">
      <c r="A59" s="163" t="s">
        <v>1441</v>
      </c>
      <c r="B59" s="100">
        <v>10.66</v>
      </c>
      <c r="C59" s="100">
        <v>35.43</v>
      </c>
      <c r="D59" s="100">
        <v>28.41</v>
      </c>
      <c r="E59" s="100">
        <v>10.72</v>
      </c>
      <c r="F59" s="152" t="s">
        <v>15</v>
      </c>
      <c r="G59" s="100">
        <v>110.83</v>
      </c>
      <c r="H59" s="100">
        <v>39.68</v>
      </c>
      <c r="I59" s="100">
        <v>11.83</v>
      </c>
      <c r="J59" s="100">
        <v>0.35</v>
      </c>
      <c r="K59" s="100">
        <v>0.67</v>
      </c>
      <c r="L59" s="100">
        <v>25.7</v>
      </c>
      <c r="M59" s="100">
        <v>46.65</v>
      </c>
      <c r="N59" s="100">
        <v>258.39999999999998</v>
      </c>
      <c r="O59" s="100">
        <v>0</v>
      </c>
      <c r="P59" s="100">
        <v>1</v>
      </c>
      <c r="Q59" s="100">
        <v>11.24</v>
      </c>
      <c r="R59" s="6"/>
      <c r="S59" s="6"/>
      <c r="T59" s="156"/>
      <c r="U59" s="6"/>
    </row>
    <row r="60" spans="1:21" customFormat="1">
      <c r="A60" s="163" t="s">
        <v>1442</v>
      </c>
      <c r="B60" s="100">
        <v>10.130000000000001</v>
      </c>
      <c r="C60" s="100">
        <v>35.68</v>
      </c>
      <c r="D60" s="100">
        <v>28.11</v>
      </c>
      <c r="E60" s="100">
        <v>11.88</v>
      </c>
      <c r="F60" s="152" t="s">
        <v>15</v>
      </c>
      <c r="G60" s="100">
        <v>110.83</v>
      </c>
      <c r="H60" s="100">
        <v>39.68</v>
      </c>
      <c r="I60" s="100">
        <v>11.74</v>
      </c>
      <c r="J60" s="100">
        <v>0.85</v>
      </c>
      <c r="K60" s="100">
        <v>359.98</v>
      </c>
      <c r="L60" s="100">
        <v>25.67</v>
      </c>
      <c r="M60" s="100">
        <v>45.66</v>
      </c>
      <c r="N60" s="100">
        <v>133.1</v>
      </c>
      <c r="O60" s="100">
        <v>0</v>
      </c>
      <c r="P60" s="100">
        <v>1</v>
      </c>
      <c r="Q60" s="100">
        <v>11.24</v>
      </c>
      <c r="R60" s="6"/>
      <c r="S60" s="6"/>
      <c r="T60" s="156"/>
      <c r="U60" s="6"/>
    </row>
    <row r="61" spans="1:21" customFormat="1">
      <c r="A61" s="163" t="s">
        <v>1443</v>
      </c>
      <c r="B61" s="100">
        <v>9.34</v>
      </c>
      <c r="C61" s="100">
        <v>35.85</v>
      </c>
      <c r="D61" s="100">
        <v>27.57</v>
      </c>
      <c r="E61" s="100">
        <v>16.75</v>
      </c>
      <c r="F61" s="152" t="s">
        <v>15</v>
      </c>
      <c r="G61" s="100">
        <v>106.17</v>
      </c>
      <c r="H61" s="100">
        <v>38.71</v>
      </c>
      <c r="I61" s="100">
        <v>11.65</v>
      </c>
      <c r="J61" s="100">
        <v>0.81</v>
      </c>
      <c r="K61" s="100">
        <v>22.7</v>
      </c>
      <c r="L61" s="100">
        <v>25.79</v>
      </c>
      <c r="M61" s="100">
        <v>45.41</v>
      </c>
      <c r="N61" s="100">
        <v>241.4</v>
      </c>
      <c r="O61" s="100">
        <v>0</v>
      </c>
      <c r="P61" s="100">
        <v>1.03</v>
      </c>
      <c r="Q61" s="100">
        <v>11.73</v>
      </c>
      <c r="R61" s="6"/>
      <c r="S61" s="6"/>
      <c r="T61" s="156"/>
      <c r="U61" s="6"/>
    </row>
    <row r="62" spans="1:21" customFormat="1">
      <c r="A62" s="163" t="s">
        <v>1444</v>
      </c>
      <c r="B62" s="100">
        <v>7.68</v>
      </c>
      <c r="C62" s="100">
        <v>35.950000000000003</v>
      </c>
      <c r="D62" s="100">
        <v>26.3</v>
      </c>
      <c r="E62" s="100">
        <v>16.46</v>
      </c>
      <c r="F62" s="152" t="s">
        <v>15</v>
      </c>
      <c r="G62" s="100">
        <v>102.61</v>
      </c>
      <c r="H62" s="100">
        <v>38.11</v>
      </c>
      <c r="I62" s="100">
        <v>11.62</v>
      </c>
      <c r="J62" s="100">
        <v>0.72</v>
      </c>
      <c r="K62" s="100">
        <v>30.22</v>
      </c>
      <c r="L62" s="100">
        <v>25.93</v>
      </c>
      <c r="M62" s="100">
        <v>45.54</v>
      </c>
      <c r="N62" s="100">
        <v>185.9</v>
      </c>
      <c r="O62" s="100">
        <v>0</v>
      </c>
      <c r="P62" s="100">
        <v>1.01</v>
      </c>
      <c r="Q62" s="100">
        <v>13.03</v>
      </c>
      <c r="R62" s="6"/>
      <c r="S62" s="6"/>
      <c r="T62" s="156"/>
      <c r="U62" s="6"/>
    </row>
    <row r="63" spans="1:21" customFormat="1">
      <c r="A63" s="163" t="s">
        <v>1445</v>
      </c>
      <c r="B63" s="100">
        <v>6.57</v>
      </c>
      <c r="C63" s="100">
        <v>37.090000000000003</v>
      </c>
      <c r="D63" s="100">
        <v>25.8</v>
      </c>
      <c r="E63" s="100">
        <v>20.21</v>
      </c>
      <c r="F63" s="152" t="s">
        <v>15</v>
      </c>
      <c r="G63" s="100">
        <v>102.61</v>
      </c>
      <c r="H63" s="100">
        <v>38.11</v>
      </c>
      <c r="I63" s="100">
        <v>11.36</v>
      </c>
      <c r="J63" s="100">
        <v>0.49</v>
      </c>
      <c r="K63" s="100">
        <v>56.94</v>
      </c>
      <c r="L63" s="100">
        <v>26.05</v>
      </c>
      <c r="M63" s="100">
        <v>45.14</v>
      </c>
      <c r="N63" s="100">
        <v>246.5</v>
      </c>
      <c r="O63" s="100">
        <v>0</v>
      </c>
      <c r="P63" s="100">
        <v>1</v>
      </c>
      <c r="Q63" s="100">
        <v>13.01</v>
      </c>
      <c r="R63" s="6"/>
      <c r="S63" s="6"/>
      <c r="T63" s="156"/>
      <c r="U63" s="6"/>
    </row>
    <row r="64" spans="1:21" customFormat="1">
      <c r="A64" s="163" t="s">
        <v>1446</v>
      </c>
      <c r="B64" s="100">
        <v>5.79</v>
      </c>
      <c r="C64" s="100">
        <v>37.32</v>
      </c>
      <c r="D64" s="100">
        <v>25.49</v>
      </c>
      <c r="E64" s="100">
        <v>19.55</v>
      </c>
      <c r="F64" s="152" t="s">
        <v>15</v>
      </c>
      <c r="G64" s="100">
        <v>102.61</v>
      </c>
      <c r="H64" s="100">
        <v>38.11</v>
      </c>
      <c r="I64" s="100">
        <v>11.05</v>
      </c>
      <c r="J64" s="100">
        <v>1.04</v>
      </c>
      <c r="K64" s="100">
        <v>48.94</v>
      </c>
      <c r="L64" s="100">
        <v>26.09</v>
      </c>
      <c r="M64" s="100">
        <v>44.27</v>
      </c>
      <c r="N64" s="100">
        <v>233.5</v>
      </c>
      <c r="O64" s="100">
        <v>0</v>
      </c>
      <c r="P64" s="100">
        <v>0.97</v>
      </c>
      <c r="Q64" s="100">
        <v>13.01</v>
      </c>
      <c r="R64" s="6"/>
      <c r="S64" s="6"/>
      <c r="T64" s="156"/>
      <c r="U64" s="6"/>
    </row>
    <row r="65" spans="1:21" customFormat="1">
      <c r="A65" s="163" t="s">
        <v>1447</v>
      </c>
      <c r="B65" s="100">
        <v>4.79</v>
      </c>
      <c r="C65" s="100">
        <v>37.33</v>
      </c>
      <c r="D65" s="100">
        <v>24.7</v>
      </c>
      <c r="E65" s="100">
        <v>17.13</v>
      </c>
      <c r="F65" s="152" t="s">
        <v>15</v>
      </c>
      <c r="G65" s="100">
        <v>102.61</v>
      </c>
      <c r="H65" s="100">
        <v>38.11</v>
      </c>
      <c r="I65" s="100">
        <v>10.83</v>
      </c>
      <c r="J65" s="100">
        <v>0.8</v>
      </c>
      <c r="K65" s="100">
        <v>38.68</v>
      </c>
      <c r="L65" s="100">
        <v>26.16</v>
      </c>
      <c r="M65" s="100">
        <v>44.72</v>
      </c>
      <c r="N65" s="100">
        <v>202.6</v>
      </c>
      <c r="O65" s="100">
        <v>0</v>
      </c>
      <c r="P65" s="100">
        <v>0.91</v>
      </c>
      <c r="Q65" s="100">
        <v>13.01</v>
      </c>
      <c r="R65" s="6"/>
      <c r="S65" s="6"/>
      <c r="T65" s="156"/>
      <c r="U65" s="6"/>
    </row>
    <row r="66" spans="1:21" customFormat="1">
      <c r="A66" s="163" t="s">
        <v>1448</v>
      </c>
      <c r="B66" s="100">
        <v>4.1900000000000004</v>
      </c>
      <c r="C66" s="100">
        <v>36.56</v>
      </c>
      <c r="D66" s="100">
        <v>23.81</v>
      </c>
      <c r="E66" s="100">
        <v>17.38</v>
      </c>
      <c r="F66" s="152" t="s">
        <v>15</v>
      </c>
      <c r="G66" s="100">
        <v>0</v>
      </c>
      <c r="H66" s="100">
        <v>0</v>
      </c>
      <c r="I66" s="100">
        <v>10.75</v>
      </c>
      <c r="J66" s="100">
        <v>0.54</v>
      </c>
      <c r="K66" s="100">
        <v>43.62</v>
      </c>
      <c r="L66" s="100">
        <v>26.29</v>
      </c>
      <c r="M66" s="100">
        <v>44.78</v>
      </c>
      <c r="N66" s="100">
        <v>129.1</v>
      </c>
      <c r="O66" s="100">
        <v>0</v>
      </c>
      <c r="P66" s="100">
        <v>0.94</v>
      </c>
      <c r="Q66" s="100">
        <v>13.01</v>
      </c>
      <c r="R66" s="6"/>
      <c r="S66" s="6"/>
      <c r="T66" s="156"/>
      <c r="U66" s="6"/>
    </row>
    <row r="67" spans="1:21" customFormat="1">
      <c r="A67" s="163" t="s">
        <v>1449</v>
      </c>
      <c r="B67" s="100">
        <v>4.03</v>
      </c>
      <c r="C67" s="100">
        <v>34.85</v>
      </c>
      <c r="D67" s="100">
        <v>22.8</v>
      </c>
      <c r="E67" s="100">
        <v>16.8</v>
      </c>
      <c r="F67" s="152" t="s">
        <v>15</v>
      </c>
      <c r="G67" s="100">
        <v>0</v>
      </c>
      <c r="H67" s="100">
        <v>0</v>
      </c>
      <c r="I67" s="100">
        <v>10.42</v>
      </c>
      <c r="J67" s="100">
        <v>0.75</v>
      </c>
      <c r="K67" s="100">
        <v>44.24</v>
      </c>
      <c r="L67" s="100">
        <v>26.11</v>
      </c>
      <c r="M67" s="100">
        <v>44.66</v>
      </c>
      <c r="N67" s="100">
        <v>118.4</v>
      </c>
      <c r="O67" s="100">
        <v>0</v>
      </c>
      <c r="P67" s="100">
        <v>0.93</v>
      </c>
      <c r="Q67" s="100">
        <v>12.99</v>
      </c>
      <c r="R67" s="6"/>
      <c r="S67" s="6"/>
      <c r="T67" s="156"/>
      <c r="U67" s="6"/>
    </row>
    <row r="68" spans="1:21" customFormat="1">
      <c r="A68" s="163" t="s">
        <v>1450</v>
      </c>
      <c r="B68" s="100">
        <v>3.91</v>
      </c>
      <c r="C68" s="100">
        <v>33.71</v>
      </c>
      <c r="D68" s="100">
        <v>22.1</v>
      </c>
      <c r="E68" s="100">
        <v>18.940000000000001</v>
      </c>
      <c r="F68" s="152" t="s">
        <v>15</v>
      </c>
      <c r="G68" s="100">
        <v>0</v>
      </c>
      <c r="H68" s="100">
        <v>0</v>
      </c>
      <c r="I68" s="100">
        <v>10.26</v>
      </c>
      <c r="J68" s="100">
        <v>0.53</v>
      </c>
      <c r="K68" s="100">
        <v>27.08</v>
      </c>
      <c r="L68" s="100">
        <v>26.16</v>
      </c>
      <c r="M68" s="100">
        <v>44.72</v>
      </c>
      <c r="N68" s="100">
        <v>102.9</v>
      </c>
      <c r="O68" s="100">
        <v>0</v>
      </c>
      <c r="P68" s="100">
        <v>0.91</v>
      </c>
      <c r="Q68" s="100">
        <v>12.99</v>
      </c>
      <c r="R68" s="6"/>
      <c r="S68" s="6"/>
      <c r="T68" s="156"/>
      <c r="U68" s="6"/>
    </row>
    <row r="69" spans="1:21" customFormat="1">
      <c r="A69" s="163" t="s">
        <v>1451</v>
      </c>
      <c r="B69" s="100">
        <v>3.83</v>
      </c>
      <c r="C69" s="100">
        <v>32.42</v>
      </c>
      <c r="D69" s="100">
        <v>21.36</v>
      </c>
      <c r="E69" s="100">
        <v>14.98</v>
      </c>
      <c r="F69" s="152" t="s">
        <v>15</v>
      </c>
      <c r="G69" s="100">
        <v>0</v>
      </c>
      <c r="H69" s="100">
        <v>0</v>
      </c>
      <c r="I69" s="100">
        <v>10.24</v>
      </c>
      <c r="J69" s="100">
        <v>0.28000000000000003</v>
      </c>
      <c r="K69" s="100">
        <v>101.11</v>
      </c>
      <c r="L69" s="100">
        <v>26.26</v>
      </c>
      <c r="M69" s="100">
        <v>44.74</v>
      </c>
      <c r="N69" s="100">
        <v>88.1</v>
      </c>
      <c r="O69" s="100">
        <v>0</v>
      </c>
      <c r="P69" s="100">
        <v>0.9</v>
      </c>
      <c r="Q69" s="100">
        <v>12.97</v>
      </c>
      <c r="R69" s="6"/>
      <c r="S69" s="6"/>
      <c r="T69" s="156"/>
      <c r="U69" s="6"/>
    </row>
    <row r="70" spans="1:21" customFormat="1">
      <c r="A70" s="163" t="s">
        <v>1452</v>
      </c>
      <c r="B70" s="100">
        <v>3.74</v>
      </c>
      <c r="C70" s="100">
        <v>31.02</v>
      </c>
      <c r="D70" s="100">
        <v>20.56</v>
      </c>
      <c r="E70" s="100">
        <v>14.98</v>
      </c>
      <c r="F70" s="152" t="s">
        <v>15</v>
      </c>
      <c r="G70" s="100">
        <v>33.409999999999997</v>
      </c>
      <c r="H70" s="100">
        <v>8.9700000000000006</v>
      </c>
      <c r="I70" s="100">
        <v>9.91</v>
      </c>
      <c r="J70" s="100">
        <v>0.57999999999999996</v>
      </c>
      <c r="K70" s="100">
        <v>52.98</v>
      </c>
      <c r="L70" s="100">
        <v>26.18</v>
      </c>
      <c r="M70" s="100">
        <v>45.12</v>
      </c>
      <c r="N70" s="100">
        <v>76.7</v>
      </c>
      <c r="O70" s="100">
        <v>0</v>
      </c>
      <c r="P70" s="100">
        <v>0.9</v>
      </c>
      <c r="Q70" s="100">
        <v>13</v>
      </c>
      <c r="R70" s="6"/>
      <c r="S70" s="6"/>
      <c r="T70" s="156"/>
      <c r="U70" s="6"/>
    </row>
    <row r="71" spans="1:21" customFormat="1">
      <c r="A71" s="163" t="s">
        <v>1453</v>
      </c>
      <c r="B71" s="100">
        <v>3.79</v>
      </c>
      <c r="C71" s="100">
        <v>30.65</v>
      </c>
      <c r="D71" s="100">
        <v>20.41</v>
      </c>
      <c r="E71" s="100">
        <v>13.91</v>
      </c>
      <c r="F71" s="152" t="s">
        <v>15</v>
      </c>
      <c r="G71" s="100">
        <v>53.7</v>
      </c>
      <c r="H71" s="100">
        <v>10.92</v>
      </c>
      <c r="I71" s="100">
        <v>9.74</v>
      </c>
      <c r="J71" s="100">
        <v>0.41</v>
      </c>
      <c r="K71" s="100">
        <v>40.25</v>
      </c>
      <c r="L71" s="100">
        <v>26.13</v>
      </c>
      <c r="M71" s="100">
        <v>45.45</v>
      </c>
      <c r="N71" s="100">
        <v>69.8</v>
      </c>
      <c r="O71" s="100">
        <v>0</v>
      </c>
      <c r="P71" s="100">
        <v>0.9</v>
      </c>
      <c r="Q71" s="100">
        <v>13</v>
      </c>
      <c r="R71" s="6"/>
      <c r="S71" s="6"/>
      <c r="T71" s="156"/>
      <c r="U71" s="6"/>
    </row>
    <row r="72" spans="1:21" customFormat="1">
      <c r="A72" s="163" t="s">
        <v>1454</v>
      </c>
      <c r="B72" s="100">
        <v>3.85</v>
      </c>
      <c r="C72" s="100">
        <v>30.91</v>
      </c>
      <c r="D72" s="100">
        <v>20.59</v>
      </c>
      <c r="E72" s="100">
        <v>14.47</v>
      </c>
      <c r="F72" s="152" t="s">
        <v>15</v>
      </c>
      <c r="G72" s="100">
        <v>53.7</v>
      </c>
      <c r="H72" s="100">
        <v>10.92</v>
      </c>
      <c r="I72" s="100">
        <v>9.59</v>
      </c>
      <c r="J72" s="100">
        <v>0.52</v>
      </c>
      <c r="K72" s="100">
        <v>26.42</v>
      </c>
      <c r="L72" s="100">
        <v>25.99</v>
      </c>
      <c r="M72" s="100">
        <v>45.42</v>
      </c>
      <c r="N72" s="100">
        <v>55.4</v>
      </c>
      <c r="O72" s="100">
        <v>0</v>
      </c>
      <c r="P72" s="100">
        <v>0.9</v>
      </c>
      <c r="Q72" s="100">
        <v>13</v>
      </c>
      <c r="R72" s="6"/>
      <c r="S72" s="6"/>
      <c r="T72" s="156"/>
      <c r="U72" s="6"/>
    </row>
    <row r="73" spans="1:21" customFormat="1">
      <c r="A73" s="163" t="s">
        <v>1455</v>
      </c>
      <c r="B73" s="100">
        <v>3.97</v>
      </c>
      <c r="C73" s="100">
        <v>30.77</v>
      </c>
      <c r="D73" s="100">
        <v>20.61</v>
      </c>
      <c r="E73" s="100">
        <v>13.51</v>
      </c>
      <c r="F73" s="152" t="s">
        <v>15</v>
      </c>
      <c r="G73" s="100">
        <v>53.7</v>
      </c>
      <c r="H73" s="100">
        <v>10.92</v>
      </c>
      <c r="I73" s="100">
        <v>9.5500000000000007</v>
      </c>
      <c r="J73" s="100">
        <v>0.42</v>
      </c>
      <c r="K73" s="100">
        <v>25.85</v>
      </c>
      <c r="L73" s="100">
        <v>25.92</v>
      </c>
      <c r="M73" s="100">
        <v>46.25</v>
      </c>
      <c r="N73" s="100">
        <v>46.3</v>
      </c>
      <c r="O73" s="100">
        <v>0</v>
      </c>
      <c r="P73" s="100">
        <v>0.9</v>
      </c>
      <c r="Q73" s="100">
        <v>13</v>
      </c>
      <c r="R73" s="6"/>
      <c r="S73" s="6"/>
      <c r="T73" s="156"/>
      <c r="U73" s="6"/>
    </row>
    <row r="74" spans="1:21" customFormat="1">
      <c r="A74" s="163" t="s">
        <v>1456</v>
      </c>
      <c r="B74" s="100">
        <v>4.2</v>
      </c>
      <c r="C74" s="100">
        <v>30.17</v>
      </c>
      <c r="D74" s="100">
        <v>20.49</v>
      </c>
      <c r="E74" s="100">
        <v>10.94</v>
      </c>
      <c r="F74" s="152" t="s">
        <v>15</v>
      </c>
      <c r="G74" s="100">
        <v>64.28</v>
      </c>
      <c r="H74" s="100">
        <v>21.5</v>
      </c>
      <c r="I74" s="100">
        <v>9.5299999999999994</v>
      </c>
      <c r="J74" s="100">
        <v>0.69</v>
      </c>
      <c r="K74" s="100">
        <v>55.84</v>
      </c>
      <c r="L74" s="100">
        <v>25.67</v>
      </c>
      <c r="M74" s="100">
        <v>46.99</v>
      </c>
      <c r="N74" s="100">
        <v>36.799999999999997</v>
      </c>
      <c r="O74" s="100">
        <v>0</v>
      </c>
      <c r="P74" s="100">
        <v>0.91</v>
      </c>
      <c r="Q74" s="100">
        <v>13.01</v>
      </c>
      <c r="R74" s="6"/>
      <c r="S74" s="6"/>
      <c r="T74" s="156"/>
      <c r="U74" s="6"/>
    </row>
    <row r="75" spans="1:21" customFormat="1">
      <c r="A75" s="163" t="s">
        <v>1457</v>
      </c>
      <c r="B75" s="100">
        <v>4.46</v>
      </c>
      <c r="C75" s="100">
        <v>29.58</v>
      </c>
      <c r="D75" s="100">
        <v>20.38</v>
      </c>
      <c r="E75" s="100">
        <v>11.15</v>
      </c>
      <c r="F75" s="152" t="s">
        <v>15</v>
      </c>
      <c r="G75" s="100">
        <v>70.709999999999994</v>
      </c>
      <c r="H75" s="100">
        <v>23.81</v>
      </c>
      <c r="I75" s="100">
        <v>9.59</v>
      </c>
      <c r="J75" s="100">
        <v>0.47</v>
      </c>
      <c r="K75" s="100">
        <v>53.83</v>
      </c>
      <c r="L75" s="100">
        <v>25.46</v>
      </c>
      <c r="M75" s="100">
        <v>47.73</v>
      </c>
      <c r="N75" s="100">
        <v>28.1</v>
      </c>
      <c r="O75" s="100">
        <v>0</v>
      </c>
      <c r="P75" s="100">
        <v>0.92</v>
      </c>
      <c r="Q75" s="100">
        <v>13</v>
      </c>
      <c r="R75" s="6"/>
      <c r="S75" s="6"/>
      <c r="T75" s="156"/>
      <c r="U75" s="6"/>
    </row>
    <row r="76" spans="1:21" customFormat="1">
      <c r="A76" s="163" t="s">
        <v>1458</v>
      </c>
      <c r="B76" s="100">
        <v>4.68</v>
      </c>
      <c r="C76" s="100">
        <v>28.93</v>
      </c>
      <c r="D76" s="100">
        <v>20.22</v>
      </c>
      <c r="E76" s="100">
        <v>10.220000000000001</v>
      </c>
      <c r="F76" s="152" t="s">
        <v>15</v>
      </c>
      <c r="G76" s="100">
        <v>70.709999999999994</v>
      </c>
      <c r="H76" s="100">
        <v>23.81</v>
      </c>
      <c r="I76" s="100">
        <v>9.7200000000000006</v>
      </c>
      <c r="J76" s="100">
        <v>0.42</v>
      </c>
      <c r="K76" s="100">
        <v>67.64</v>
      </c>
      <c r="L76" s="100">
        <v>25.19</v>
      </c>
      <c r="M76" s="100">
        <v>49.22</v>
      </c>
      <c r="N76" s="100">
        <v>19.8</v>
      </c>
      <c r="O76" s="100">
        <v>0</v>
      </c>
      <c r="P76" s="100">
        <v>0.92</v>
      </c>
      <c r="Q76" s="100">
        <v>13</v>
      </c>
      <c r="R76" s="6"/>
      <c r="S76" s="6"/>
      <c r="T76" s="156"/>
      <c r="U76" s="6"/>
    </row>
    <row r="77" spans="1:21" customFormat="1">
      <c r="A77" s="163" t="s">
        <v>1459</v>
      </c>
      <c r="B77" s="100">
        <v>4.91</v>
      </c>
      <c r="C77" s="100">
        <v>28.7</v>
      </c>
      <c r="D77" s="100">
        <v>20.28</v>
      </c>
      <c r="E77" s="100">
        <v>10.23</v>
      </c>
      <c r="F77" s="152" t="s">
        <v>15</v>
      </c>
      <c r="G77" s="100">
        <v>70.709999999999994</v>
      </c>
      <c r="H77" s="100">
        <v>23.81</v>
      </c>
      <c r="I77" s="100">
        <v>9.91</v>
      </c>
      <c r="J77" s="100">
        <v>0.52</v>
      </c>
      <c r="K77" s="100">
        <v>58.77</v>
      </c>
      <c r="L77" s="100">
        <v>24.83</v>
      </c>
      <c r="M77" s="100">
        <v>50.24</v>
      </c>
      <c r="N77" s="100">
        <v>12.6</v>
      </c>
      <c r="O77" s="100">
        <v>0</v>
      </c>
      <c r="P77" s="100">
        <v>0.92</v>
      </c>
      <c r="Q77" s="100">
        <v>12.99</v>
      </c>
      <c r="R77" s="6"/>
      <c r="S77" s="6"/>
      <c r="T77" s="156"/>
      <c r="U77" s="6"/>
    </row>
    <row r="78" spans="1:21" customFormat="1">
      <c r="A78" s="163" t="s">
        <v>1460</v>
      </c>
      <c r="B78" s="100">
        <v>5.13</v>
      </c>
      <c r="C78" s="100">
        <v>28.53</v>
      </c>
      <c r="D78" s="100">
        <v>20.37</v>
      </c>
      <c r="E78" s="100">
        <v>10.42</v>
      </c>
      <c r="F78" s="152" t="s">
        <v>15</v>
      </c>
      <c r="G78" s="100">
        <v>78.28</v>
      </c>
      <c r="H78" s="100">
        <v>26.42</v>
      </c>
      <c r="I78" s="100">
        <v>9.9499999999999993</v>
      </c>
      <c r="J78" s="100">
        <v>0.39</v>
      </c>
      <c r="K78" s="100">
        <v>57.8</v>
      </c>
      <c r="L78" s="100">
        <v>24.44</v>
      </c>
      <c r="M78" s="100">
        <v>51.8</v>
      </c>
      <c r="N78" s="100">
        <v>6.6</v>
      </c>
      <c r="O78" s="100">
        <v>0</v>
      </c>
      <c r="P78" s="100">
        <v>0.95</v>
      </c>
      <c r="Q78" s="100">
        <v>13</v>
      </c>
      <c r="R78" s="6"/>
      <c r="S78" s="6"/>
      <c r="T78" s="156"/>
      <c r="U78" s="6"/>
    </row>
    <row r="79" spans="1:21" customFormat="1">
      <c r="A79" s="163" t="s">
        <v>1461</v>
      </c>
      <c r="B79" s="100">
        <v>5.43</v>
      </c>
      <c r="C79" s="100">
        <v>28.49</v>
      </c>
      <c r="D79" s="100">
        <v>20.59</v>
      </c>
      <c r="E79" s="100">
        <v>10.84</v>
      </c>
      <c r="F79" s="152" t="s">
        <v>15</v>
      </c>
      <c r="G79" s="100">
        <v>82.87</v>
      </c>
      <c r="H79" s="100">
        <v>26.99</v>
      </c>
      <c r="I79" s="100">
        <v>9.99</v>
      </c>
      <c r="J79" s="100">
        <v>0.28000000000000003</v>
      </c>
      <c r="K79" s="100">
        <v>46.81</v>
      </c>
      <c r="L79" s="100">
        <v>23.87</v>
      </c>
      <c r="M79" s="100">
        <v>54.8</v>
      </c>
      <c r="N79" s="100">
        <v>3.1</v>
      </c>
      <c r="O79" s="100">
        <v>0</v>
      </c>
      <c r="P79" s="100">
        <v>0.95</v>
      </c>
      <c r="Q79" s="100">
        <v>13</v>
      </c>
      <c r="R79" s="6"/>
      <c r="S79" s="6"/>
      <c r="T79" s="156"/>
      <c r="U79" s="6"/>
    </row>
    <row r="80" spans="1:21" customFormat="1">
      <c r="A80" s="163" t="s">
        <v>1462</v>
      </c>
      <c r="B80" s="100">
        <v>5.64</v>
      </c>
      <c r="C80" s="100">
        <v>29.08</v>
      </c>
      <c r="D80" s="100">
        <v>21.07</v>
      </c>
      <c r="E80" s="100">
        <v>9.89</v>
      </c>
      <c r="F80" s="152" t="s">
        <v>15</v>
      </c>
      <c r="G80" s="100">
        <v>82.87</v>
      </c>
      <c r="H80" s="100">
        <v>26.99</v>
      </c>
      <c r="I80" s="100">
        <v>10.36</v>
      </c>
      <c r="J80" s="100">
        <v>0.25</v>
      </c>
      <c r="K80" s="100">
        <v>61.54</v>
      </c>
      <c r="L80" s="100">
        <v>23.49</v>
      </c>
      <c r="M80" s="100">
        <v>56.13</v>
      </c>
      <c r="N80" s="100">
        <v>2.1</v>
      </c>
      <c r="O80" s="100">
        <v>0</v>
      </c>
      <c r="P80" s="100">
        <v>0.98</v>
      </c>
      <c r="Q80" s="100">
        <v>13.01</v>
      </c>
      <c r="R80" s="6"/>
      <c r="S80" s="6"/>
      <c r="T80" s="156"/>
      <c r="U80" s="6"/>
    </row>
    <row r="81" spans="1:21" customFormat="1">
      <c r="A81" s="163" t="s">
        <v>1463</v>
      </c>
      <c r="B81" s="100">
        <v>5.67</v>
      </c>
      <c r="C81" s="100">
        <v>29.94</v>
      </c>
      <c r="D81" s="100">
        <v>21.54</v>
      </c>
      <c r="E81" s="100">
        <v>5.99</v>
      </c>
      <c r="F81" s="152" t="s">
        <v>15</v>
      </c>
      <c r="G81" s="100">
        <v>82.87</v>
      </c>
      <c r="H81" s="100">
        <v>26.99</v>
      </c>
      <c r="I81" s="100">
        <v>10.88</v>
      </c>
      <c r="J81" s="100">
        <v>0.2</v>
      </c>
      <c r="K81" s="100">
        <v>149.46</v>
      </c>
      <c r="L81" s="100">
        <v>22.61</v>
      </c>
      <c r="M81" s="100">
        <v>62.39</v>
      </c>
      <c r="N81" s="100">
        <v>2.1</v>
      </c>
      <c r="O81" s="100">
        <v>0</v>
      </c>
      <c r="P81" s="100">
        <v>0.99</v>
      </c>
      <c r="Q81" s="100">
        <v>13.01</v>
      </c>
      <c r="R81" s="6"/>
      <c r="S81" s="6"/>
      <c r="T81" s="156"/>
      <c r="U81" s="6"/>
    </row>
    <row r="82" spans="1:21" customFormat="1">
      <c r="A82" s="163" t="s">
        <v>1464</v>
      </c>
      <c r="B82" s="100">
        <v>5.68</v>
      </c>
      <c r="C82" s="100">
        <v>30.55</v>
      </c>
      <c r="D82" s="100">
        <v>21.86</v>
      </c>
      <c r="E82" s="100">
        <v>6.63</v>
      </c>
      <c r="F82" s="152" t="s">
        <v>15</v>
      </c>
      <c r="G82" s="100">
        <v>96.85</v>
      </c>
      <c r="H82" s="100">
        <v>31.4</v>
      </c>
      <c r="I82" s="100">
        <v>11.31</v>
      </c>
      <c r="J82" s="100">
        <v>0.28000000000000003</v>
      </c>
      <c r="K82" s="100">
        <v>159.91</v>
      </c>
      <c r="L82" s="100">
        <v>21.99</v>
      </c>
      <c r="M82" s="100">
        <v>65.75</v>
      </c>
      <c r="N82" s="100">
        <v>2</v>
      </c>
      <c r="O82" s="100">
        <v>0</v>
      </c>
      <c r="P82" s="100">
        <v>1</v>
      </c>
      <c r="Q82" s="100">
        <v>13</v>
      </c>
      <c r="R82" s="6"/>
      <c r="S82" s="6"/>
      <c r="T82" s="156"/>
      <c r="U82" s="6"/>
    </row>
    <row r="83" spans="1:21" customFormat="1">
      <c r="A83" s="163" t="s">
        <v>1465</v>
      </c>
      <c r="B83" s="100">
        <v>5.86</v>
      </c>
      <c r="C83" s="100">
        <v>31.16</v>
      </c>
      <c r="D83" s="100">
        <v>22.33</v>
      </c>
      <c r="E83" s="100">
        <v>6.46</v>
      </c>
      <c r="F83" s="152" t="s">
        <v>15</v>
      </c>
      <c r="G83" s="100">
        <v>105.34</v>
      </c>
      <c r="H83" s="100">
        <v>32.36</v>
      </c>
      <c r="I83" s="100">
        <v>11.69</v>
      </c>
      <c r="J83" s="100">
        <v>0.17</v>
      </c>
      <c r="K83" s="100">
        <v>66.92</v>
      </c>
      <c r="L83" s="100">
        <v>21.96</v>
      </c>
      <c r="M83" s="100">
        <v>63</v>
      </c>
      <c r="N83" s="100">
        <v>1.4</v>
      </c>
      <c r="O83" s="100">
        <v>0</v>
      </c>
      <c r="P83" s="100">
        <v>1.02</v>
      </c>
      <c r="Q83" s="100">
        <v>13</v>
      </c>
      <c r="R83" s="6"/>
      <c r="S83" s="6"/>
      <c r="T83" s="156"/>
      <c r="U83" s="6"/>
    </row>
    <row r="84" spans="1:21" customFormat="1">
      <c r="A84" s="163" t="s">
        <v>1466</v>
      </c>
      <c r="B84" s="100">
        <v>6.22</v>
      </c>
      <c r="C84" s="100">
        <v>31.81</v>
      </c>
      <c r="D84" s="100">
        <v>22.96</v>
      </c>
      <c r="E84" s="100">
        <v>6.38</v>
      </c>
      <c r="F84" s="152" t="s">
        <v>15</v>
      </c>
      <c r="G84" s="100">
        <v>105.34</v>
      </c>
      <c r="H84" s="100">
        <v>32.36</v>
      </c>
      <c r="I84" s="100">
        <v>12.09</v>
      </c>
      <c r="J84" s="100">
        <v>0.22</v>
      </c>
      <c r="K84" s="100">
        <v>171.55</v>
      </c>
      <c r="L84" s="100">
        <v>21.4</v>
      </c>
      <c r="M84" s="100">
        <v>70.290000000000006</v>
      </c>
      <c r="N84" s="100">
        <v>2</v>
      </c>
      <c r="O84" s="100">
        <v>0</v>
      </c>
      <c r="P84" s="100">
        <v>1.05</v>
      </c>
      <c r="Q84" s="100">
        <v>13</v>
      </c>
      <c r="R84" s="6"/>
      <c r="S84" s="6"/>
      <c r="T84" s="156"/>
      <c r="U84" s="6"/>
    </row>
    <row r="85" spans="1:21" customFormat="1">
      <c r="A85" s="163" t="s">
        <v>1467</v>
      </c>
      <c r="B85" s="100">
        <v>6.58</v>
      </c>
      <c r="C85" s="100">
        <v>32.200000000000003</v>
      </c>
      <c r="D85" s="100">
        <v>23.46</v>
      </c>
      <c r="E85" s="100">
        <v>6.89</v>
      </c>
      <c r="F85" s="152" t="s">
        <v>15</v>
      </c>
      <c r="G85" s="100">
        <v>105.34</v>
      </c>
      <c r="H85" s="100">
        <v>32.36</v>
      </c>
      <c r="I85" s="100">
        <v>12.77</v>
      </c>
      <c r="J85" s="100">
        <v>0.2</v>
      </c>
      <c r="K85" s="100">
        <v>156.55000000000001</v>
      </c>
      <c r="L85" s="100">
        <v>21.06</v>
      </c>
      <c r="M85" s="100">
        <v>69.44</v>
      </c>
      <c r="N85" s="100">
        <v>1.6</v>
      </c>
      <c r="O85" s="100">
        <v>0</v>
      </c>
      <c r="P85" s="100">
        <v>1.07</v>
      </c>
      <c r="Q85" s="100">
        <v>13.01</v>
      </c>
      <c r="R85" s="6"/>
      <c r="S85" s="6"/>
      <c r="T85" s="156"/>
      <c r="U85" s="6"/>
    </row>
    <row r="86" spans="1:21" customFormat="1">
      <c r="A86" s="163" t="s">
        <v>1468</v>
      </c>
      <c r="B86" s="100">
        <v>7.1</v>
      </c>
      <c r="C86" s="100">
        <v>32.520000000000003</v>
      </c>
      <c r="D86" s="100">
        <v>24.03</v>
      </c>
      <c r="E86" s="100">
        <v>6.7</v>
      </c>
      <c r="F86" s="152" t="s">
        <v>15</v>
      </c>
      <c r="G86" s="100">
        <v>117.43</v>
      </c>
      <c r="H86" s="100">
        <v>41.37</v>
      </c>
      <c r="I86" s="100">
        <v>13.27</v>
      </c>
      <c r="J86" s="100">
        <v>0.16</v>
      </c>
      <c r="K86" s="100">
        <v>137.9</v>
      </c>
      <c r="L86" s="100">
        <v>20.88</v>
      </c>
      <c r="M86" s="100">
        <v>72.3</v>
      </c>
      <c r="N86" s="100">
        <v>1.7</v>
      </c>
      <c r="O86" s="100">
        <v>0</v>
      </c>
      <c r="P86" s="100">
        <v>1.1000000000000001</v>
      </c>
      <c r="Q86" s="100">
        <v>13</v>
      </c>
      <c r="R86" s="6"/>
      <c r="S86" s="6"/>
      <c r="T86" s="156"/>
      <c r="U86" s="6"/>
    </row>
    <row r="87" spans="1:21" customFormat="1">
      <c r="A87" s="163" t="s">
        <v>1469</v>
      </c>
      <c r="B87" s="100">
        <v>7.8</v>
      </c>
      <c r="C87" s="100">
        <v>32.75</v>
      </c>
      <c r="D87" s="100">
        <v>24.72</v>
      </c>
      <c r="E87" s="100">
        <v>6.6</v>
      </c>
      <c r="F87" s="152" t="s">
        <v>15</v>
      </c>
      <c r="G87" s="100">
        <v>124.78</v>
      </c>
      <c r="H87" s="100">
        <v>43.34</v>
      </c>
      <c r="I87" s="100">
        <v>13.65</v>
      </c>
      <c r="J87" s="100">
        <v>0.37</v>
      </c>
      <c r="K87" s="100">
        <v>44.74</v>
      </c>
      <c r="L87" s="100">
        <v>21.34</v>
      </c>
      <c r="M87" s="100">
        <v>65.22</v>
      </c>
      <c r="N87" s="100">
        <v>0.8</v>
      </c>
      <c r="O87" s="100">
        <v>0</v>
      </c>
      <c r="P87" s="100">
        <v>1.1399999999999999</v>
      </c>
      <c r="Q87" s="100">
        <v>13.01</v>
      </c>
      <c r="R87" s="6"/>
      <c r="S87" s="6"/>
      <c r="T87" s="156"/>
      <c r="U87" s="6"/>
    </row>
    <row r="88" spans="1:21" customFormat="1">
      <c r="A88" s="163" t="s">
        <v>1470</v>
      </c>
      <c r="B88" s="100">
        <v>8.7100000000000009</v>
      </c>
      <c r="C88" s="100">
        <v>33.090000000000003</v>
      </c>
      <c r="D88" s="100">
        <v>25.63</v>
      </c>
      <c r="E88" s="100">
        <v>6.93</v>
      </c>
      <c r="F88" s="152" t="s">
        <v>15</v>
      </c>
      <c r="G88" s="100">
        <v>124.78</v>
      </c>
      <c r="H88" s="100">
        <v>43.34</v>
      </c>
      <c r="I88" s="100">
        <v>14.14</v>
      </c>
      <c r="J88" s="100">
        <v>0.36</v>
      </c>
      <c r="K88" s="100">
        <v>54.46</v>
      </c>
      <c r="L88" s="100">
        <v>21.43</v>
      </c>
      <c r="M88" s="100">
        <v>65.19</v>
      </c>
      <c r="N88" s="100">
        <v>1.3</v>
      </c>
      <c r="O88" s="100">
        <v>0</v>
      </c>
      <c r="P88" s="100">
        <v>1.18</v>
      </c>
      <c r="Q88" s="100">
        <v>13.03</v>
      </c>
      <c r="R88" s="6"/>
      <c r="S88" s="6"/>
      <c r="T88" s="156"/>
      <c r="U88" s="6"/>
    </row>
    <row r="89" spans="1:21" customFormat="1">
      <c r="A89" s="163" t="s">
        <v>1471</v>
      </c>
      <c r="B89" s="100">
        <v>9.3000000000000007</v>
      </c>
      <c r="C89" s="100">
        <v>33.200000000000003</v>
      </c>
      <c r="D89" s="100">
        <v>26.16</v>
      </c>
      <c r="E89" s="100">
        <v>6.72</v>
      </c>
      <c r="F89" s="152" t="s">
        <v>15</v>
      </c>
      <c r="G89" s="100">
        <v>124.78</v>
      </c>
      <c r="H89" s="100">
        <v>43.34</v>
      </c>
      <c r="I89" s="100">
        <v>14.76</v>
      </c>
      <c r="J89" s="100">
        <v>0.31</v>
      </c>
      <c r="K89" s="100">
        <v>58.5</v>
      </c>
      <c r="L89" s="100">
        <v>21.13</v>
      </c>
      <c r="M89" s="100">
        <v>67.599999999999994</v>
      </c>
      <c r="N89" s="100">
        <v>1.6</v>
      </c>
      <c r="O89" s="100">
        <v>0</v>
      </c>
      <c r="P89" s="100">
        <v>1.21</v>
      </c>
      <c r="Q89" s="100">
        <v>13.04</v>
      </c>
      <c r="R89" s="6"/>
      <c r="S89" s="6"/>
      <c r="T89" s="156"/>
      <c r="U89" s="6"/>
    </row>
    <row r="90" spans="1:21" customFormat="1">
      <c r="A90" s="163" t="s">
        <v>1472</v>
      </c>
      <c r="B90" s="100">
        <v>9.75</v>
      </c>
      <c r="C90" s="100">
        <v>33.299999999999997</v>
      </c>
      <c r="D90" s="100">
        <v>26.57</v>
      </c>
      <c r="E90" s="100">
        <v>7.1</v>
      </c>
      <c r="F90" s="152" t="s">
        <v>15</v>
      </c>
      <c r="G90" s="100">
        <v>142.58000000000001</v>
      </c>
      <c r="H90" s="100">
        <v>49.31</v>
      </c>
      <c r="I90" s="100">
        <v>15.17</v>
      </c>
      <c r="J90" s="100">
        <v>0.44</v>
      </c>
      <c r="K90" s="100">
        <v>44.65</v>
      </c>
      <c r="L90" s="100">
        <v>21.17</v>
      </c>
      <c r="M90" s="100">
        <v>65.989999999999995</v>
      </c>
      <c r="N90" s="100">
        <v>1.3</v>
      </c>
      <c r="O90" s="100">
        <v>0</v>
      </c>
      <c r="P90" s="100">
        <v>1.25</v>
      </c>
      <c r="Q90" s="100">
        <v>13.02</v>
      </c>
      <c r="R90" s="6"/>
      <c r="S90" s="6"/>
      <c r="T90" s="156"/>
      <c r="U90" s="6"/>
    </row>
    <row r="91" spans="1:21" customFormat="1">
      <c r="A91" s="163" t="s">
        <v>1473</v>
      </c>
      <c r="B91" s="100">
        <v>10.25</v>
      </c>
      <c r="C91" s="100">
        <v>33.46</v>
      </c>
      <c r="D91" s="100">
        <v>27.05</v>
      </c>
      <c r="E91" s="100">
        <v>6.98</v>
      </c>
      <c r="F91" s="152" t="s">
        <v>15</v>
      </c>
      <c r="G91" s="100">
        <v>153.4</v>
      </c>
      <c r="H91" s="100">
        <v>51.96</v>
      </c>
      <c r="I91" s="100">
        <v>15.62</v>
      </c>
      <c r="J91" s="100">
        <v>0.4</v>
      </c>
      <c r="K91" s="100">
        <v>45.56</v>
      </c>
      <c r="L91" s="100">
        <v>21.1</v>
      </c>
      <c r="M91" s="100">
        <v>66.3</v>
      </c>
      <c r="N91" s="100">
        <v>1.4</v>
      </c>
      <c r="O91" s="100">
        <v>0</v>
      </c>
      <c r="P91" s="100">
        <v>1.28</v>
      </c>
      <c r="Q91" s="100">
        <v>13.03</v>
      </c>
      <c r="R91" s="6"/>
      <c r="S91" s="6"/>
      <c r="T91" s="156"/>
      <c r="U91" s="6"/>
    </row>
    <row r="92" spans="1:21" customFormat="1">
      <c r="A92" s="163" t="s">
        <v>1474</v>
      </c>
      <c r="B92" s="100">
        <v>10.33</v>
      </c>
      <c r="C92" s="100">
        <v>33.74</v>
      </c>
      <c r="D92" s="100">
        <v>27.26</v>
      </c>
      <c r="E92" s="100">
        <v>6.4</v>
      </c>
      <c r="F92" s="152" t="s">
        <v>15</v>
      </c>
      <c r="G92" s="100">
        <v>153.4</v>
      </c>
      <c r="H92" s="100">
        <v>51.96</v>
      </c>
      <c r="I92" s="100">
        <v>16.350000000000001</v>
      </c>
      <c r="J92" s="100">
        <v>0.22</v>
      </c>
      <c r="K92" s="100">
        <v>57.34</v>
      </c>
      <c r="L92" s="100">
        <v>20.92</v>
      </c>
      <c r="M92" s="100">
        <v>68.510000000000005</v>
      </c>
      <c r="N92" s="100">
        <v>1.7</v>
      </c>
      <c r="O92" s="100">
        <v>0</v>
      </c>
      <c r="P92" s="100">
        <v>1.29</v>
      </c>
      <c r="Q92" s="100">
        <v>13.02</v>
      </c>
      <c r="R92" s="6"/>
      <c r="S92" s="6"/>
      <c r="T92" s="156"/>
      <c r="U92" s="6"/>
    </row>
    <row r="93" spans="1:21" customFormat="1">
      <c r="A93" s="163" t="s">
        <v>1475</v>
      </c>
      <c r="B93" s="100">
        <v>10.050000000000001</v>
      </c>
      <c r="C93" s="100">
        <v>33.44</v>
      </c>
      <c r="D93" s="100">
        <v>26.88</v>
      </c>
      <c r="E93" s="100">
        <v>7.01</v>
      </c>
      <c r="F93" s="152" t="s">
        <v>15</v>
      </c>
      <c r="G93" s="100">
        <v>153.4</v>
      </c>
      <c r="H93" s="100">
        <v>51.96</v>
      </c>
      <c r="I93" s="100">
        <v>16.690000000000001</v>
      </c>
      <c r="J93" s="100">
        <v>0.22</v>
      </c>
      <c r="K93" s="100">
        <v>181.16</v>
      </c>
      <c r="L93" s="100">
        <v>19.87</v>
      </c>
      <c r="M93" s="100">
        <v>77.8</v>
      </c>
      <c r="N93" s="100">
        <v>2.2999999999999998</v>
      </c>
      <c r="O93" s="100">
        <v>0</v>
      </c>
      <c r="P93" s="100">
        <v>1.3</v>
      </c>
      <c r="Q93" s="100">
        <v>13.01</v>
      </c>
      <c r="R93" s="6"/>
      <c r="S93" s="6"/>
      <c r="T93" s="156"/>
      <c r="U93" s="6"/>
    </row>
    <row r="94" spans="1:21" customFormat="1">
      <c r="A94" s="163" t="s">
        <v>1476</v>
      </c>
      <c r="B94" s="100">
        <v>9.49</v>
      </c>
      <c r="C94" s="100">
        <v>32.97</v>
      </c>
      <c r="D94" s="100">
        <v>26.19</v>
      </c>
      <c r="E94" s="100">
        <v>7.07</v>
      </c>
      <c r="F94" s="152" t="s">
        <v>15</v>
      </c>
      <c r="G94" s="100">
        <v>149.04</v>
      </c>
      <c r="H94" s="100">
        <v>53.75</v>
      </c>
      <c r="I94" s="100">
        <v>16.940000000000001</v>
      </c>
      <c r="J94" s="100">
        <v>0.19</v>
      </c>
      <c r="K94" s="100">
        <v>100.91</v>
      </c>
      <c r="L94" s="100">
        <v>19.55</v>
      </c>
      <c r="M94" s="100">
        <v>75.680000000000007</v>
      </c>
      <c r="N94" s="100">
        <v>1.7</v>
      </c>
      <c r="O94" s="100">
        <v>0</v>
      </c>
      <c r="P94" s="100">
        <v>1.31</v>
      </c>
      <c r="Q94" s="100">
        <v>13.01</v>
      </c>
      <c r="R94" s="6"/>
      <c r="S94" s="6"/>
      <c r="T94" s="156"/>
      <c r="U94" s="6"/>
    </row>
    <row r="95" spans="1:21" customFormat="1">
      <c r="A95" s="163" t="s">
        <v>1477</v>
      </c>
      <c r="B95" s="100">
        <v>9.34</v>
      </c>
      <c r="C95" s="100">
        <v>32.81</v>
      </c>
      <c r="D95" s="100">
        <v>25.99</v>
      </c>
      <c r="E95" s="100">
        <v>6.45</v>
      </c>
      <c r="F95" s="152" t="s">
        <v>15</v>
      </c>
      <c r="G95" s="100">
        <v>146.38999999999999</v>
      </c>
      <c r="H95" s="100">
        <v>54.14</v>
      </c>
      <c r="I95" s="100">
        <v>17.14</v>
      </c>
      <c r="J95" s="100">
        <v>0.67</v>
      </c>
      <c r="K95" s="100">
        <v>55.09</v>
      </c>
      <c r="L95" s="100">
        <v>20.11</v>
      </c>
      <c r="M95" s="100">
        <v>70.400000000000006</v>
      </c>
      <c r="N95" s="100">
        <v>0.9</v>
      </c>
      <c r="O95" s="100">
        <v>0</v>
      </c>
      <c r="P95" s="100">
        <v>1.32</v>
      </c>
      <c r="Q95" s="100">
        <v>13</v>
      </c>
      <c r="R95" s="6"/>
      <c r="S95" s="6"/>
      <c r="T95" s="156"/>
      <c r="U95" s="6"/>
    </row>
    <row r="96" spans="1:21" customFormat="1">
      <c r="A96" s="163" t="s">
        <v>1478</v>
      </c>
      <c r="B96" s="100">
        <v>9.5399999999999991</v>
      </c>
      <c r="C96" s="100">
        <v>33.07</v>
      </c>
      <c r="D96" s="100">
        <v>26.28</v>
      </c>
      <c r="E96" s="100">
        <v>6.87</v>
      </c>
      <c r="F96" s="152" t="s">
        <v>15</v>
      </c>
      <c r="G96" s="100">
        <v>146.38999999999999</v>
      </c>
      <c r="H96" s="100">
        <v>54.14</v>
      </c>
      <c r="I96" s="100">
        <v>17.13</v>
      </c>
      <c r="J96" s="100">
        <v>0.8</v>
      </c>
      <c r="K96" s="100">
        <v>54.01</v>
      </c>
      <c r="L96" s="100">
        <v>20</v>
      </c>
      <c r="M96" s="100">
        <v>70.66</v>
      </c>
      <c r="N96" s="100">
        <v>1.6</v>
      </c>
      <c r="O96" s="100">
        <v>0</v>
      </c>
      <c r="P96" s="100">
        <v>1.31</v>
      </c>
      <c r="Q96" s="100">
        <v>13</v>
      </c>
      <c r="R96" s="6"/>
      <c r="S96" s="6"/>
      <c r="T96" s="156"/>
      <c r="U96" s="6"/>
    </row>
    <row r="97" spans="1:28" customFormat="1">
      <c r="A97" s="163" t="s">
        <v>1479</v>
      </c>
      <c r="B97" s="100">
        <v>9.6</v>
      </c>
      <c r="C97" s="100">
        <v>33.18</v>
      </c>
      <c r="D97" s="100">
        <v>26.39</v>
      </c>
      <c r="E97" s="100">
        <v>7.08</v>
      </c>
      <c r="F97" s="152" t="s">
        <v>15</v>
      </c>
      <c r="G97" s="100">
        <v>146.38999999999999</v>
      </c>
      <c r="H97" s="100">
        <v>54.14</v>
      </c>
      <c r="I97" s="100">
        <v>17.149999999999999</v>
      </c>
      <c r="J97" s="100">
        <v>0.55000000000000004</v>
      </c>
      <c r="K97" s="100">
        <v>53.42</v>
      </c>
      <c r="L97" s="100">
        <v>19.64</v>
      </c>
      <c r="M97" s="100">
        <v>72.72</v>
      </c>
      <c r="N97" s="100">
        <v>1.8</v>
      </c>
      <c r="O97" s="100">
        <v>0</v>
      </c>
      <c r="P97" s="100">
        <v>1.31</v>
      </c>
      <c r="Q97" s="100">
        <v>13.01</v>
      </c>
      <c r="R97" s="6"/>
      <c r="S97" s="6"/>
      <c r="T97" s="156"/>
      <c r="U97" s="6"/>
    </row>
    <row r="98" spans="1:28" customFormat="1">
      <c r="A98" s="163" t="s">
        <v>1480</v>
      </c>
      <c r="B98" s="100">
        <v>9.67</v>
      </c>
      <c r="C98" s="100">
        <v>33.229999999999997</v>
      </c>
      <c r="D98" s="100">
        <v>26.47</v>
      </c>
      <c r="E98" s="100">
        <v>6.54</v>
      </c>
      <c r="F98" s="152" t="s">
        <v>15</v>
      </c>
      <c r="G98" s="100">
        <v>144.69999999999999</v>
      </c>
      <c r="H98" s="100">
        <v>52.58</v>
      </c>
      <c r="I98" s="100">
        <v>17.41</v>
      </c>
      <c r="J98" s="100">
        <v>0.22</v>
      </c>
      <c r="K98" s="100">
        <v>68.63</v>
      </c>
      <c r="L98" s="100">
        <v>19.36</v>
      </c>
      <c r="M98" s="100">
        <v>74.569999999999993</v>
      </c>
      <c r="N98" s="100">
        <v>1.8</v>
      </c>
      <c r="O98" s="100">
        <v>0</v>
      </c>
      <c r="P98" s="100">
        <v>1.29</v>
      </c>
      <c r="Q98" s="100">
        <v>13.01</v>
      </c>
      <c r="R98" s="6"/>
      <c r="S98" s="6"/>
      <c r="T98" s="156"/>
      <c r="U98" s="6"/>
    </row>
    <row r="99" spans="1:28" customFormat="1">
      <c r="A99" s="163" t="s">
        <v>1481</v>
      </c>
      <c r="B99" s="100">
        <v>9.81</v>
      </c>
      <c r="C99" s="100">
        <v>32.840000000000003</v>
      </c>
      <c r="D99" s="100">
        <v>26.37</v>
      </c>
      <c r="E99" s="100">
        <v>6.86</v>
      </c>
      <c r="F99" s="152" t="s">
        <v>15</v>
      </c>
      <c r="G99" s="100">
        <v>143.68</v>
      </c>
      <c r="H99" s="100">
        <v>52.24</v>
      </c>
      <c r="I99" s="100">
        <v>17.309999999999999</v>
      </c>
      <c r="J99" s="100">
        <v>0.71</v>
      </c>
      <c r="K99" s="100">
        <v>51.75</v>
      </c>
      <c r="L99" s="100">
        <v>19.11</v>
      </c>
      <c r="M99" s="100">
        <v>75.06</v>
      </c>
      <c r="N99" s="100">
        <v>1.7</v>
      </c>
      <c r="O99" s="100">
        <v>0</v>
      </c>
      <c r="P99" s="100">
        <v>1.28</v>
      </c>
      <c r="Q99" s="100">
        <v>13.01</v>
      </c>
      <c r="R99" s="6"/>
      <c r="S99" s="6"/>
      <c r="T99" s="156"/>
      <c r="U99" s="6"/>
    </row>
    <row r="100" spans="1:28" customFormat="1">
      <c r="A100" s="163" t="s">
        <v>1482</v>
      </c>
      <c r="B100" s="100">
        <v>10.14</v>
      </c>
      <c r="C100" s="100">
        <v>32.799999999999997</v>
      </c>
      <c r="D100" s="100">
        <v>26.63</v>
      </c>
      <c r="E100" s="100">
        <v>6.4</v>
      </c>
      <c r="F100" s="152" t="s">
        <v>15</v>
      </c>
      <c r="G100" s="100">
        <v>143.68</v>
      </c>
      <c r="H100" s="100">
        <v>52.24</v>
      </c>
      <c r="I100" s="100">
        <v>17.14</v>
      </c>
      <c r="J100" s="100">
        <v>0.55000000000000004</v>
      </c>
      <c r="K100" s="100">
        <v>29.66</v>
      </c>
      <c r="L100" s="100">
        <v>18.91</v>
      </c>
      <c r="M100" s="100">
        <v>75.989999999999995</v>
      </c>
      <c r="N100" s="100">
        <v>1.7</v>
      </c>
      <c r="O100" s="100">
        <v>0</v>
      </c>
      <c r="P100" s="100">
        <v>1.26</v>
      </c>
      <c r="Q100" s="100">
        <v>13</v>
      </c>
      <c r="R100" s="6"/>
      <c r="S100" s="6"/>
      <c r="T100" s="156"/>
      <c r="U100" s="6"/>
      <c r="AB100" s="161"/>
    </row>
    <row r="101" spans="1:28" customFormat="1">
      <c r="A101" s="163" t="s">
        <v>1483</v>
      </c>
      <c r="B101" s="100">
        <v>10.39</v>
      </c>
      <c r="C101" s="100">
        <v>32.299999999999997</v>
      </c>
      <c r="D101" s="100">
        <v>26.56</v>
      </c>
      <c r="E101" s="100">
        <v>7.01</v>
      </c>
      <c r="F101" s="152" t="s">
        <v>15</v>
      </c>
      <c r="G101" s="100">
        <v>143.68</v>
      </c>
      <c r="H101" s="100">
        <v>52.24</v>
      </c>
      <c r="I101" s="100">
        <v>16.940000000000001</v>
      </c>
      <c r="J101" s="100">
        <v>0.79</v>
      </c>
      <c r="K101" s="100">
        <v>44.61</v>
      </c>
      <c r="L101" s="100">
        <v>18.559999999999999</v>
      </c>
      <c r="M101" s="100">
        <v>76.48</v>
      </c>
      <c r="N101" s="100">
        <v>1.8</v>
      </c>
      <c r="O101" s="100">
        <v>0</v>
      </c>
      <c r="P101" s="100">
        <v>1.24</v>
      </c>
      <c r="Q101" s="100">
        <v>13</v>
      </c>
      <c r="R101" s="6"/>
      <c r="S101" s="6"/>
      <c r="T101" s="156"/>
      <c r="U101" s="6"/>
    </row>
    <row r="102" spans="1:28" customFormat="1">
      <c r="A102" s="163" t="s">
        <v>1484</v>
      </c>
      <c r="B102" s="100">
        <v>10.41</v>
      </c>
      <c r="C102" s="100">
        <v>31.57</v>
      </c>
      <c r="D102" s="100">
        <v>26.2</v>
      </c>
      <c r="E102" s="100">
        <v>6.78</v>
      </c>
      <c r="F102" s="152" t="s">
        <v>15</v>
      </c>
      <c r="G102" s="100">
        <v>133.09</v>
      </c>
      <c r="H102" s="100">
        <v>46.95</v>
      </c>
      <c r="I102" s="100">
        <v>16.760000000000002</v>
      </c>
      <c r="J102" s="100">
        <v>0.75</v>
      </c>
      <c r="K102" s="100">
        <v>41.29</v>
      </c>
      <c r="L102" s="100">
        <v>18.309999999999999</v>
      </c>
      <c r="M102" s="100">
        <v>76.27</v>
      </c>
      <c r="N102" s="100">
        <v>1.7</v>
      </c>
      <c r="O102" s="100">
        <v>0</v>
      </c>
      <c r="P102" s="100">
        <v>1.22</v>
      </c>
      <c r="Q102" s="100">
        <v>13.01</v>
      </c>
      <c r="R102" s="6"/>
      <c r="S102" s="6"/>
      <c r="T102" s="156"/>
      <c r="U102" s="6"/>
    </row>
    <row r="103" spans="1:28" customFormat="1">
      <c r="A103" s="163" t="s">
        <v>1485</v>
      </c>
      <c r="B103" s="100">
        <v>10.33</v>
      </c>
      <c r="C103" s="100">
        <v>30.91</v>
      </c>
      <c r="D103" s="100">
        <v>25.78</v>
      </c>
      <c r="E103" s="100">
        <v>7.37</v>
      </c>
      <c r="F103" s="152" t="s">
        <v>15</v>
      </c>
      <c r="G103" s="100">
        <v>126.66</v>
      </c>
      <c r="H103" s="100">
        <v>45.79</v>
      </c>
      <c r="I103" s="100">
        <v>16.43</v>
      </c>
      <c r="J103" s="100">
        <v>0.92</v>
      </c>
      <c r="K103" s="100">
        <v>49.8</v>
      </c>
      <c r="L103" s="100">
        <v>18.14</v>
      </c>
      <c r="M103" s="100">
        <v>76.16</v>
      </c>
      <c r="N103" s="100">
        <v>1.7</v>
      </c>
      <c r="O103" s="100">
        <v>0</v>
      </c>
      <c r="P103" s="100">
        <v>1.19</v>
      </c>
      <c r="Q103" s="100">
        <v>13</v>
      </c>
      <c r="R103" s="6"/>
      <c r="S103" s="6"/>
      <c r="T103" s="156"/>
      <c r="U103" s="6"/>
    </row>
    <row r="104" spans="1:28" customFormat="1">
      <c r="A104" s="163" t="s">
        <v>1486</v>
      </c>
      <c r="B104" s="100">
        <v>10.18</v>
      </c>
      <c r="C104" s="100">
        <v>30.38</v>
      </c>
      <c r="D104" s="100">
        <v>25.39</v>
      </c>
      <c r="E104" s="100">
        <v>7.08</v>
      </c>
      <c r="F104" s="152" t="s">
        <v>15</v>
      </c>
      <c r="G104" s="100">
        <v>126.66</v>
      </c>
      <c r="H104" s="100">
        <v>45.79</v>
      </c>
      <c r="I104" s="100">
        <v>16.09</v>
      </c>
      <c r="J104" s="100">
        <v>0.73</v>
      </c>
      <c r="K104" s="100">
        <v>51.98</v>
      </c>
      <c r="L104" s="100">
        <v>17.98</v>
      </c>
      <c r="M104" s="100">
        <v>76.66</v>
      </c>
      <c r="N104" s="100">
        <v>1.7</v>
      </c>
      <c r="O104" s="100">
        <v>0</v>
      </c>
      <c r="P104" s="100">
        <v>1.18</v>
      </c>
      <c r="Q104" s="100">
        <v>13.01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3.74</v>
      </c>
      <c r="C106" s="158">
        <f>MIN(C9:C104)</f>
        <v>25.14</v>
      </c>
      <c r="D106" s="158">
        <f t="shared" ref="D106:Q106" si="0">MIN(D9:D104)</f>
        <v>20.22</v>
      </c>
      <c r="E106" s="158">
        <f t="shared" si="0"/>
        <v>5.99</v>
      </c>
      <c r="F106" s="158">
        <f t="shared" si="0"/>
        <v>0</v>
      </c>
      <c r="G106" s="158">
        <f t="shared" si="0"/>
        <v>0</v>
      </c>
      <c r="H106" s="158">
        <f t="shared" si="0"/>
        <v>0</v>
      </c>
      <c r="I106" s="158">
        <f t="shared" si="0"/>
        <v>9.5299999999999994</v>
      </c>
      <c r="J106" s="158">
        <f t="shared" si="0"/>
        <v>0.02</v>
      </c>
      <c r="K106" s="158">
        <f t="shared" si="0"/>
        <v>0.67</v>
      </c>
      <c r="L106" s="158">
        <f t="shared" si="0"/>
        <v>16.010000000000002</v>
      </c>
      <c r="M106" s="158">
        <f t="shared" si="0"/>
        <v>44.27</v>
      </c>
      <c r="N106" s="158">
        <f t="shared" si="0"/>
        <v>0.8</v>
      </c>
      <c r="O106" s="158">
        <f t="shared" si="0"/>
        <v>0</v>
      </c>
      <c r="P106" s="158">
        <f t="shared" si="0"/>
        <v>0.9</v>
      </c>
      <c r="Q106" s="158">
        <f t="shared" si="0"/>
        <v>11.24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18.399999999999999</v>
      </c>
      <c r="C107" s="157">
        <f t="shared" ref="C107:Q107" si="1">MAX(C9:C104)</f>
        <v>37.33</v>
      </c>
      <c r="D107" s="157">
        <f t="shared" si="1"/>
        <v>31.68</v>
      </c>
      <c r="E107" s="157">
        <f t="shared" si="1"/>
        <v>20.21</v>
      </c>
      <c r="F107" s="157">
        <f t="shared" si="1"/>
        <v>0</v>
      </c>
      <c r="G107" s="157">
        <f t="shared" si="1"/>
        <v>153.4</v>
      </c>
      <c r="H107" s="157">
        <f t="shared" si="1"/>
        <v>54.14</v>
      </c>
      <c r="I107" s="157">
        <f t="shared" si="1"/>
        <v>17.41</v>
      </c>
      <c r="J107" s="157">
        <f t="shared" si="1"/>
        <v>1.04</v>
      </c>
      <c r="K107" s="157">
        <f t="shared" si="1"/>
        <v>359.98</v>
      </c>
      <c r="L107" s="157">
        <f t="shared" si="1"/>
        <v>26.29</v>
      </c>
      <c r="M107" s="157">
        <f t="shared" si="1"/>
        <v>88.09</v>
      </c>
      <c r="N107" s="157">
        <f t="shared" si="1"/>
        <v>276.7</v>
      </c>
      <c r="O107" s="157">
        <f t="shared" si="1"/>
        <v>0</v>
      </c>
      <c r="P107" s="157">
        <f t="shared" si="1"/>
        <v>1.32</v>
      </c>
      <c r="Q107" s="157">
        <f t="shared" si="1"/>
        <v>13.04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10.808229166666663</v>
      </c>
      <c r="C108" s="158">
        <f t="shared" ref="C108:Q108" si="2">AVERAGE(C9:C104)</f>
        <v>30.514583333333338</v>
      </c>
      <c r="D108" s="158">
        <f t="shared" si="2"/>
        <v>25.959791666666661</v>
      </c>
      <c r="E108" s="158">
        <f t="shared" si="2"/>
        <v>9.8380208333333368</v>
      </c>
      <c r="F108" s="158" t="e">
        <f t="shared" si="2"/>
        <v>#DIV/0!</v>
      </c>
      <c r="G108" s="158">
        <f t="shared" si="2"/>
        <v>107.90666666666665</v>
      </c>
      <c r="H108" s="158">
        <f t="shared" si="2"/>
        <v>36.7034375</v>
      </c>
      <c r="I108" s="158">
        <f t="shared" si="2"/>
        <v>12.930937500000006</v>
      </c>
      <c r="J108" s="158">
        <f t="shared" si="2"/>
        <v>0.44312499999999994</v>
      </c>
      <c r="K108" s="158">
        <f t="shared" si="2"/>
        <v>80.780833333333334</v>
      </c>
      <c r="L108" s="158">
        <f t="shared" si="2"/>
        <v>20.929479166666667</v>
      </c>
      <c r="M108" s="158">
        <f t="shared" si="2"/>
        <v>65.888541666666654</v>
      </c>
      <c r="N108" s="158">
        <f t="shared" si="2"/>
        <v>60.590625000000017</v>
      </c>
      <c r="O108" s="158">
        <f t="shared" si="2"/>
        <v>0</v>
      </c>
      <c r="P108" s="158">
        <f t="shared" si="2"/>
        <v>1.0895833333333338</v>
      </c>
      <c r="Q108" s="158">
        <f t="shared" si="2"/>
        <v>12.036250000000001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4.3947439886616122</v>
      </c>
      <c r="C109" s="158">
        <f t="shared" ref="C109:Q109" si="3">STDEV(C9:C104)</f>
        <v>3.1386429909375124</v>
      </c>
      <c r="D109" s="158">
        <f t="shared" si="3"/>
        <v>3.2394512138119036</v>
      </c>
      <c r="E109" s="158">
        <f t="shared" si="3"/>
        <v>3.1418508188617671</v>
      </c>
      <c r="F109" s="158" t="e">
        <f t="shared" si="3"/>
        <v>#DIV/0!</v>
      </c>
      <c r="G109" s="158">
        <f t="shared" si="3"/>
        <v>33.342696877843004</v>
      </c>
      <c r="H109" s="158">
        <f t="shared" si="3"/>
        <v>11.837085596870152</v>
      </c>
      <c r="I109" s="158">
        <f t="shared" si="3"/>
        <v>2.0907682184835452</v>
      </c>
      <c r="J109" s="158">
        <f t="shared" si="3"/>
        <v>0.25585074802149399</v>
      </c>
      <c r="K109" s="158">
        <f t="shared" si="3"/>
        <v>69.205121375237837</v>
      </c>
      <c r="L109" s="158">
        <f t="shared" si="3"/>
        <v>3.3963814706681901</v>
      </c>
      <c r="M109" s="158">
        <f t="shared" si="3"/>
        <v>13.943182675201255</v>
      </c>
      <c r="N109" s="158">
        <f t="shared" si="3"/>
        <v>88.526583670936716</v>
      </c>
      <c r="O109" s="158">
        <f t="shared" si="3"/>
        <v>0</v>
      </c>
      <c r="P109" s="158">
        <f t="shared" si="3"/>
        <v>0.11577579664039865</v>
      </c>
      <c r="Q109" s="158">
        <f t="shared" si="3"/>
        <v>0.87977180055547954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7"/>
  <sheetViews>
    <sheetView zoomScale="85" zoomScaleNormal="85" workbookViewId="0">
      <pane xSplit="1" ySplit="8" topLeftCell="B46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14/01/2025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1487</v>
      </c>
      <c r="B9" s="100">
        <v>9.7899999999999991</v>
      </c>
      <c r="C9" s="100">
        <v>29.47</v>
      </c>
      <c r="D9" s="100">
        <v>24.6</v>
      </c>
      <c r="E9" s="100">
        <v>7.1</v>
      </c>
      <c r="F9" s="151" t="s">
        <v>8</v>
      </c>
      <c r="G9" s="100">
        <v>126.66</v>
      </c>
      <c r="H9" s="100">
        <v>45.79</v>
      </c>
      <c r="I9" s="100">
        <v>15.72</v>
      </c>
      <c r="J9" s="100">
        <v>0.45</v>
      </c>
      <c r="K9" s="100">
        <v>47.14</v>
      </c>
      <c r="L9" s="100">
        <v>17.82</v>
      </c>
      <c r="M9" s="100">
        <v>77.62</v>
      </c>
      <c r="N9" s="100">
        <v>1.6</v>
      </c>
      <c r="O9" s="100">
        <v>0</v>
      </c>
      <c r="P9" s="100">
        <v>1.1599999999999999</v>
      </c>
      <c r="Q9" s="100">
        <v>13</v>
      </c>
      <c r="R9" s="6"/>
      <c r="S9" s="6"/>
      <c r="T9" s="156"/>
      <c r="U9" s="6"/>
    </row>
    <row r="10" spans="1:21" customFormat="1">
      <c r="A10" s="163" t="s">
        <v>1488</v>
      </c>
      <c r="B10" s="100">
        <v>10.01</v>
      </c>
      <c r="C10" s="100">
        <v>29.46</v>
      </c>
      <c r="D10" s="100">
        <v>24.77</v>
      </c>
      <c r="E10" s="100">
        <v>7</v>
      </c>
      <c r="F10" s="151" t="s">
        <v>8</v>
      </c>
      <c r="G10" s="100">
        <v>109.91</v>
      </c>
      <c r="H10" s="100">
        <v>42.27</v>
      </c>
      <c r="I10" s="100">
        <v>15.44</v>
      </c>
      <c r="J10" s="100">
        <v>0.46</v>
      </c>
      <c r="K10" s="100">
        <v>43.76</v>
      </c>
      <c r="L10" s="100">
        <v>17.66</v>
      </c>
      <c r="M10" s="100">
        <v>78.650000000000006</v>
      </c>
      <c r="N10" s="100">
        <v>1.7</v>
      </c>
      <c r="O10" s="100">
        <v>0</v>
      </c>
      <c r="P10" s="100">
        <v>1.1399999999999999</v>
      </c>
      <c r="Q10" s="100">
        <v>13</v>
      </c>
      <c r="R10" s="6"/>
      <c r="S10" s="6"/>
      <c r="T10" s="156"/>
      <c r="U10" s="6"/>
    </row>
    <row r="11" spans="1:21" customFormat="1">
      <c r="A11" s="163" t="s">
        <v>1489</v>
      </c>
      <c r="B11" s="100">
        <v>10.26</v>
      </c>
      <c r="C11" s="100">
        <v>29.16</v>
      </c>
      <c r="D11" s="100">
        <v>24.81</v>
      </c>
      <c r="E11" s="100">
        <v>7.41</v>
      </c>
      <c r="F11" s="151" t="s">
        <v>8</v>
      </c>
      <c r="G11" s="100">
        <v>99.74</v>
      </c>
      <c r="H11" s="100">
        <v>41.5</v>
      </c>
      <c r="I11" s="100">
        <v>15.19</v>
      </c>
      <c r="J11" s="100">
        <v>0.49</v>
      </c>
      <c r="K11" s="100">
        <v>50.63</v>
      </c>
      <c r="L11" s="100">
        <v>17.46</v>
      </c>
      <c r="M11" s="100">
        <v>79.5</v>
      </c>
      <c r="N11" s="100">
        <v>1.7</v>
      </c>
      <c r="O11" s="100">
        <v>0</v>
      </c>
      <c r="P11" s="100">
        <v>1.1200000000000001</v>
      </c>
      <c r="Q11" s="100">
        <v>12.99</v>
      </c>
      <c r="R11" s="6"/>
      <c r="S11" s="6"/>
      <c r="T11" s="156"/>
      <c r="U11" s="6"/>
    </row>
    <row r="12" spans="1:21" customFormat="1">
      <c r="A12" s="163" t="s">
        <v>1490</v>
      </c>
      <c r="B12" s="100">
        <v>10.48</v>
      </c>
      <c r="C12" s="100">
        <v>29.04</v>
      </c>
      <c r="D12" s="100">
        <v>24.93</v>
      </c>
      <c r="E12" s="100">
        <v>7.07</v>
      </c>
      <c r="F12" s="151" t="s">
        <v>8</v>
      </c>
      <c r="G12" s="100">
        <v>99.74</v>
      </c>
      <c r="H12" s="100">
        <v>41.5</v>
      </c>
      <c r="I12" s="100">
        <v>14.88</v>
      </c>
      <c r="J12" s="100">
        <v>0.53</v>
      </c>
      <c r="K12" s="100">
        <v>55.75</v>
      </c>
      <c r="L12" s="100">
        <v>17.309999999999999</v>
      </c>
      <c r="M12" s="100">
        <v>80.12</v>
      </c>
      <c r="N12" s="100">
        <v>1.7</v>
      </c>
      <c r="O12" s="100">
        <v>0</v>
      </c>
      <c r="P12" s="100">
        <v>1.1200000000000001</v>
      </c>
      <c r="Q12" s="100">
        <v>12.99</v>
      </c>
      <c r="R12" s="6"/>
      <c r="S12" s="6"/>
      <c r="T12" s="156"/>
      <c r="U12" s="6"/>
    </row>
    <row r="13" spans="1:21" customFormat="1">
      <c r="A13" s="163" t="s">
        <v>1491</v>
      </c>
      <c r="B13" s="100">
        <v>10.42</v>
      </c>
      <c r="C13" s="100">
        <v>28.67</v>
      </c>
      <c r="D13" s="100">
        <v>24.69</v>
      </c>
      <c r="E13" s="100">
        <v>6.91</v>
      </c>
      <c r="F13" s="151" t="s">
        <v>8</v>
      </c>
      <c r="G13" s="100">
        <v>99.74</v>
      </c>
      <c r="H13" s="100">
        <v>41.5</v>
      </c>
      <c r="I13" s="100">
        <v>14.61</v>
      </c>
      <c r="J13" s="100">
        <v>0.49</v>
      </c>
      <c r="K13" s="100">
        <v>45.9</v>
      </c>
      <c r="L13" s="100">
        <v>17.170000000000002</v>
      </c>
      <c r="M13" s="100">
        <v>80.61</v>
      </c>
      <c r="N13" s="100">
        <v>1.7</v>
      </c>
      <c r="O13" s="100">
        <v>0</v>
      </c>
      <c r="P13" s="100">
        <v>1.1000000000000001</v>
      </c>
      <c r="Q13" s="100">
        <v>13</v>
      </c>
      <c r="R13" s="6"/>
      <c r="S13" s="6"/>
      <c r="T13" s="156"/>
      <c r="U13" s="6"/>
    </row>
    <row r="14" spans="1:21" customFormat="1">
      <c r="A14" s="163" t="s">
        <v>1492</v>
      </c>
      <c r="B14" s="100">
        <v>10.43</v>
      </c>
      <c r="C14" s="100">
        <v>28.31</v>
      </c>
      <c r="D14" s="100">
        <v>24.51</v>
      </c>
      <c r="E14" s="100">
        <v>6.57</v>
      </c>
      <c r="F14" s="151" t="s">
        <v>8</v>
      </c>
      <c r="G14" s="100">
        <v>94.98</v>
      </c>
      <c r="H14" s="100">
        <v>39.79</v>
      </c>
      <c r="I14" s="100">
        <v>14.41</v>
      </c>
      <c r="J14" s="100">
        <v>0.63</v>
      </c>
      <c r="K14" s="100">
        <v>31.8</v>
      </c>
      <c r="L14" s="100">
        <v>16.989999999999998</v>
      </c>
      <c r="M14" s="100">
        <v>81.680000000000007</v>
      </c>
      <c r="N14" s="100">
        <v>1.7</v>
      </c>
      <c r="O14" s="100">
        <v>0</v>
      </c>
      <c r="P14" s="100">
        <v>1.0900000000000001</v>
      </c>
      <c r="Q14" s="100">
        <v>13.01</v>
      </c>
      <c r="R14" s="6"/>
      <c r="S14" s="6"/>
      <c r="T14" s="156"/>
      <c r="U14" s="6"/>
    </row>
    <row r="15" spans="1:21" customFormat="1">
      <c r="A15" s="163" t="s">
        <v>1493</v>
      </c>
      <c r="B15" s="100">
        <v>10.42</v>
      </c>
      <c r="C15" s="100">
        <v>28.06</v>
      </c>
      <c r="D15" s="100">
        <v>24.36</v>
      </c>
      <c r="E15" s="100">
        <v>6.42</v>
      </c>
      <c r="F15" s="151" t="s">
        <v>8</v>
      </c>
      <c r="G15" s="100">
        <v>92.09</v>
      </c>
      <c r="H15" s="100">
        <v>39.409999999999997</v>
      </c>
      <c r="I15" s="100">
        <v>14.19</v>
      </c>
      <c r="J15" s="100">
        <v>0.68</v>
      </c>
      <c r="K15" s="100">
        <v>41.77</v>
      </c>
      <c r="L15" s="100">
        <v>16.79</v>
      </c>
      <c r="M15" s="100">
        <v>82.12</v>
      </c>
      <c r="N15" s="100">
        <v>1.7</v>
      </c>
      <c r="O15" s="100">
        <v>0</v>
      </c>
      <c r="P15" s="100">
        <v>1.0900000000000001</v>
      </c>
      <c r="Q15" s="100">
        <v>13</v>
      </c>
      <c r="R15" s="6"/>
      <c r="S15" s="6"/>
      <c r="T15" s="156"/>
      <c r="U15" s="6"/>
    </row>
    <row r="16" spans="1:21" customFormat="1">
      <c r="A16" s="163" t="s">
        <v>1494</v>
      </c>
      <c r="B16" s="100">
        <v>10.210000000000001</v>
      </c>
      <c r="C16" s="100">
        <v>27.63</v>
      </c>
      <c r="D16" s="100">
        <v>23.97</v>
      </c>
      <c r="E16" s="100">
        <v>6.54</v>
      </c>
      <c r="F16" s="151" t="s">
        <v>8</v>
      </c>
      <c r="G16" s="100">
        <v>92.09</v>
      </c>
      <c r="H16" s="100">
        <v>39.409999999999997</v>
      </c>
      <c r="I16" s="100">
        <v>14.04</v>
      </c>
      <c r="J16" s="100">
        <v>0.65</v>
      </c>
      <c r="K16" s="100">
        <v>33.090000000000003</v>
      </c>
      <c r="L16" s="100">
        <v>16.61</v>
      </c>
      <c r="M16" s="100">
        <v>82.95</v>
      </c>
      <c r="N16" s="100">
        <v>1.7</v>
      </c>
      <c r="O16" s="100">
        <v>0</v>
      </c>
      <c r="P16" s="100">
        <v>1.07</v>
      </c>
      <c r="Q16" s="100">
        <v>12.98</v>
      </c>
      <c r="R16" s="6"/>
      <c r="S16" s="6"/>
      <c r="T16" s="156"/>
      <c r="U16" s="6"/>
    </row>
    <row r="17" spans="1:21" customFormat="1">
      <c r="A17" s="163" t="s">
        <v>1495</v>
      </c>
      <c r="B17" s="100">
        <v>10.08</v>
      </c>
      <c r="C17" s="100">
        <v>27.17</v>
      </c>
      <c r="D17" s="100">
        <v>23.63</v>
      </c>
      <c r="E17" s="100">
        <v>8.61</v>
      </c>
      <c r="F17" s="151" t="s">
        <v>8</v>
      </c>
      <c r="G17" s="100">
        <v>92.09</v>
      </c>
      <c r="H17" s="100">
        <v>39.409999999999997</v>
      </c>
      <c r="I17" s="100">
        <v>13.8</v>
      </c>
      <c r="J17" s="100">
        <v>0.5</v>
      </c>
      <c r="K17" s="100">
        <v>34.119999999999997</v>
      </c>
      <c r="L17" s="100">
        <v>16.52</v>
      </c>
      <c r="M17" s="100">
        <v>83.6</v>
      </c>
      <c r="N17" s="100">
        <v>1.7</v>
      </c>
      <c r="O17" s="100">
        <v>0</v>
      </c>
      <c r="P17" s="100">
        <v>1.05</v>
      </c>
      <c r="Q17" s="100">
        <v>13</v>
      </c>
      <c r="R17" s="6"/>
      <c r="S17" s="6"/>
      <c r="T17" s="156"/>
      <c r="U17" s="6"/>
    </row>
    <row r="18" spans="1:21" customFormat="1">
      <c r="A18" s="163" t="s">
        <v>1496</v>
      </c>
      <c r="B18" s="100">
        <v>10.08</v>
      </c>
      <c r="C18" s="100">
        <v>27.05</v>
      </c>
      <c r="D18" s="100">
        <v>23.57</v>
      </c>
      <c r="E18" s="100">
        <v>9.77</v>
      </c>
      <c r="F18" s="151" t="s">
        <v>8</v>
      </c>
      <c r="G18" s="100">
        <v>89.47</v>
      </c>
      <c r="H18" s="100">
        <v>38.83</v>
      </c>
      <c r="I18" s="100">
        <v>13.55</v>
      </c>
      <c r="J18" s="100">
        <v>0.52</v>
      </c>
      <c r="K18" s="100">
        <v>56.77</v>
      </c>
      <c r="L18" s="100">
        <v>16.420000000000002</v>
      </c>
      <c r="M18" s="100">
        <v>84.22</v>
      </c>
      <c r="N18" s="100">
        <v>1.6</v>
      </c>
      <c r="O18" s="100">
        <v>0</v>
      </c>
      <c r="P18" s="100">
        <v>1.04</v>
      </c>
      <c r="Q18" s="100">
        <v>13</v>
      </c>
      <c r="R18" s="6"/>
      <c r="S18" s="6"/>
      <c r="T18" s="156"/>
      <c r="U18" s="6"/>
    </row>
    <row r="19" spans="1:21" customFormat="1">
      <c r="A19" s="163" t="s">
        <v>1497</v>
      </c>
      <c r="B19" s="100">
        <v>10.15</v>
      </c>
      <c r="C19" s="100">
        <v>26.9</v>
      </c>
      <c r="D19" s="100">
        <v>23.54</v>
      </c>
      <c r="E19" s="100">
        <v>10.26</v>
      </c>
      <c r="F19" s="151" t="s">
        <v>8</v>
      </c>
      <c r="G19" s="100">
        <v>87.88</v>
      </c>
      <c r="H19" s="100">
        <v>38.61</v>
      </c>
      <c r="I19" s="100">
        <v>13.24</v>
      </c>
      <c r="J19" s="100">
        <v>0.28000000000000003</v>
      </c>
      <c r="K19" s="100">
        <v>75.12</v>
      </c>
      <c r="L19" s="100">
        <v>16.32</v>
      </c>
      <c r="M19" s="100">
        <v>84.82</v>
      </c>
      <c r="N19" s="100">
        <v>1.6</v>
      </c>
      <c r="O19" s="100">
        <v>0</v>
      </c>
      <c r="P19" s="100">
        <v>1.03</v>
      </c>
      <c r="Q19" s="100">
        <v>12.98</v>
      </c>
      <c r="R19" s="6"/>
      <c r="S19" s="6"/>
      <c r="T19" s="156"/>
      <c r="U19" s="6"/>
    </row>
    <row r="20" spans="1:21" customFormat="1">
      <c r="A20" s="163" t="s">
        <v>1498</v>
      </c>
      <c r="B20" s="100">
        <v>10.050000000000001</v>
      </c>
      <c r="C20" s="100">
        <v>26.54</v>
      </c>
      <c r="D20" s="100">
        <v>23.27</v>
      </c>
      <c r="E20" s="100">
        <v>9.84</v>
      </c>
      <c r="F20" s="151" t="s">
        <v>8</v>
      </c>
      <c r="G20" s="100">
        <v>87.88</v>
      </c>
      <c r="H20" s="100">
        <v>38.61</v>
      </c>
      <c r="I20" s="100">
        <v>13.05</v>
      </c>
      <c r="J20" s="100">
        <v>0.49</v>
      </c>
      <c r="K20" s="100">
        <v>46.36</v>
      </c>
      <c r="L20" s="100">
        <v>16.18</v>
      </c>
      <c r="M20" s="100">
        <v>85.49</v>
      </c>
      <c r="N20" s="100">
        <v>1.5</v>
      </c>
      <c r="O20" s="100">
        <v>0</v>
      </c>
      <c r="P20" s="100">
        <v>1.01</v>
      </c>
      <c r="Q20" s="100">
        <v>12.99</v>
      </c>
      <c r="R20" s="6"/>
      <c r="S20" s="6"/>
      <c r="T20" s="156"/>
      <c r="U20" s="6"/>
    </row>
    <row r="21" spans="1:21" customFormat="1">
      <c r="A21" s="163" t="s">
        <v>1499</v>
      </c>
      <c r="B21" s="100">
        <v>9.98</v>
      </c>
      <c r="C21" s="100">
        <v>26.32</v>
      </c>
      <c r="D21" s="100">
        <v>23.11</v>
      </c>
      <c r="E21" s="100">
        <v>9.85</v>
      </c>
      <c r="F21" s="151" t="s">
        <v>8</v>
      </c>
      <c r="G21" s="100">
        <v>87.88</v>
      </c>
      <c r="H21" s="100">
        <v>38.61</v>
      </c>
      <c r="I21" s="100">
        <v>12.86</v>
      </c>
      <c r="J21" s="100">
        <v>0.82</v>
      </c>
      <c r="K21" s="100">
        <v>49.03</v>
      </c>
      <c r="L21" s="100">
        <v>16.07</v>
      </c>
      <c r="M21" s="100">
        <v>85.67</v>
      </c>
      <c r="N21" s="100">
        <v>1.7</v>
      </c>
      <c r="O21" s="100">
        <v>0</v>
      </c>
      <c r="P21" s="100">
        <v>1</v>
      </c>
      <c r="Q21" s="100">
        <v>12.98</v>
      </c>
      <c r="R21" s="6"/>
      <c r="S21" s="6"/>
      <c r="T21" s="156"/>
      <c r="U21" s="6"/>
    </row>
    <row r="22" spans="1:21" customFormat="1">
      <c r="A22" s="163" t="s">
        <v>1500</v>
      </c>
      <c r="B22" s="100">
        <v>9.82</v>
      </c>
      <c r="C22" s="100">
        <v>26.07</v>
      </c>
      <c r="D22" s="100">
        <v>22.85</v>
      </c>
      <c r="E22" s="100">
        <v>9.74</v>
      </c>
      <c r="F22" s="100">
        <v>0.52</v>
      </c>
      <c r="G22" s="100">
        <v>84.38</v>
      </c>
      <c r="H22" s="100">
        <v>36.96</v>
      </c>
      <c r="I22" s="100">
        <v>12.7</v>
      </c>
      <c r="J22" s="100">
        <v>0.69</v>
      </c>
      <c r="K22" s="100">
        <v>50.46</v>
      </c>
      <c r="L22" s="100">
        <v>16.03</v>
      </c>
      <c r="M22" s="100">
        <v>85.78</v>
      </c>
      <c r="N22" s="100">
        <v>1.7</v>
      </c>
      <c r="O22" s="100">
        <v>0</v>
      </c>
      <c r="P22" s="100">
        <v>1</v>
      </c>
      <c r="Q22" s="100">
        <v>12.98</v>
      </c>
      <c r="R22" s="6"/>
      <c r="S22" s="6"/>
      <c r="T22" s="156"/>
      <c r="U22" s="6"/>
    </row>
    <row r="23" spans="1:21" customFormat="1">
      <c r="A23" s="163" t="s">
        <v>1501</v>
      </c>
      <c r="B23" s="100">
        <v>9.52</v>
      </c>
      <c r="C23" s="100">
        <v>25.52</v>
      </c>
      <c r="D23" s="100">
        <v>22.32</v>
      </c>
      <c r="E23" s="100">
        <v>9.59</v>
      </c>
      <c r="F23" s="100">
        <v>0.69</v>
      </c>
      <c r="G23" s="100">
        <v>82.25</v>
      </c>
      <c r="H23" s="100">
        <v>36.6</v>
      </c>
      <c r="I23" s="100">
        <v>12.58</v>
      </c>
      <c r="J23" s="100">
        <v>0.63</v>
      </c>
      <c r="K23" s="100">
        <v>50.36</v>
      </c>
      <c r="L23" s="100">
        <v>15.99</v>
      </c>
      <c r="M23" s="100">
        <v>85.76</v>
      </c>
      <c r="N23" s="100">
        <v>1.7</v>
      </c>
      <c r="O23" s="100">
        <v>0</v>
      </c>
      <c r="P23" s="100">
        <v>0.99</v>
      </c>
      <c r="Q23" s="100">
        <v>12.99</v>
      </c>
      <c r="R23" s="6"/>
      <c r="S23" s="6"/>
      <c r="T23" s="156"/>
      <c r="U23" s="6"/>
    </row>
    <row r="24" spans="1:21" customFormat="1">
      <c r="A24" s="163" t="s">
        <v>1502</v>
      </c>
      <c r="B24" s="100">
        <v>9.3800000000000008</v>
      </c>
      <c r="C24" s="100">
        <v>25.4</v>
      </c>
      <c r="D24" s="100">
        <v>22.15</v>
      </c>
      <c r="E24" s="100">
        <v>9.27</v>
      </c>
      <c r="F24" s="100">
        <v>0.18</v>
      </c>
      <c r="G24" s="100">
        <v>82.25</v>
      </c>
      <c r="H24" s="100">
        <v>36.6</v>
      </c>
      <c r="I24" s="100">
        <v>12.56</v>
      </c>
      <c r="J24" s="100">
        <v>0.42</v>
      </c>
      <c r="K24" s="100">
        <v>36.03</v>
      </c>
      <c r="L24" s="100">
        <v>16.059999999999999</v>
      </c>
      <c r="M24" s="100">
        <v>85.33</v>
      </c>
      <c r="N24" s="100">
        <v>1.7</v>
      </c>
      <c r="O24" s="100">
        <v>0</v>
      </c>
      <c r="P24" s="100">
        <v>0.98</v>
      </c>
      <c r="Q24" s="100">
        <v>12.98</v>
      </c>
      <c r="R24" s="6"/>
      <c r="S24" s="6"/>
      <c r="T24" s="156"/>
      <c r="U24" s="6"/>
    </row>
    <row r="25" spans="1:21" customFormat="1">
      <c r="A25" s="163" t="s">
        <v>1503</v>
      </c>
      <c r="B25" s="100">
        <v>9.3800000000000008</v>
      </c>
      <c r="C25" s="100">
        <v>25.37</v>
      </c>
      <c r="D25" s="100">
        <v>22.13</v>
      </c>
      <c r="E25" s="100">
        <v>9.51</v>
      </c>
      <c r="F25" s="100">
        <v>0.18</v>
      </c>
      <c r="G25" s="100">
        <v>82.25</v>
      </c>
      <c r="H25" s="100">
        <v>36.6</v>
      </c>
      <c r="I25" s="100">
        <v>12.43</v>
      </c>
      <c r="J25" s="100">
        <v>0.65</v>
      </c>
      <c r="K25" s="100">
        <v>55.77</v>
      </c>
      <c r="L25" s="100">
        <v>16</v>
      </c>
      <c r="M25" s="100">
        <v>85.4</v>
      </c>
      <c r="N25" s="100">
        <v>1.7</v>
      </c>
      <c r="O25" s="100">
        <v>0</v>
      </c>
      <c r="P25" s="100">
        <v>0.97</v>
      </c>
      <c r="Q25" s="100">
        <v>12.98</v>
      </c>
      <c r="R25" s="6"/>
      <c r="S25" s="6"/>
      <c r="T25" s="156"/>
      <c r="U25" s="6"/>
    </row>
    <row r="26" spans="1:21" customFormat="1">
      <c r="A26" s="163" t="s">
        <v>1504</v>
      </c>
      <c r="B26" s="100">
        <v>9.11</v>
      </c>
      <c r="C26" s="100">
        <v>25.25</v>
      </c>
      <c r="D26" s="100">
        <v>21.85</v>
      </c>
      <c r="E26" s="100">
        <v>9.69</v>
      </c>
      <c r="F26" s="100">
        <v>0.18</v>
      </c>
      <c r="G26" s="100">
        <v>83.81</v>
      </c>
      <c r="H26" s="100">
        <v>33.729999999999997</v>
      </c>
      <c r="I26" s="100">
        <v>12.37</v>
      </c>
      <c r="J26" s="100">
        <v>0.68</v>
      </c>
      <c r="K26" s="100">
        <v>45.28</v>
      </c>
      <c r="L26" s="100">
        <v>15.89</v>
      </c>
      <c r="M26" s="100">
        <v>85.78</v>
      </c>
      <c r="N26" s="100">
        <v>1.7</v>
      </c>
      <c r="O26" s="100">
        <v>0</v>
      </c>
      <c r="P26" s="100">
        <v>0.96</v>
      </c>
      <c r="Q26" s="100">
        <v>13</v>
      </c>
      <c r="R26" s="6"/>
      <c r="S26" s="6"/>
      <c r="T26" s="156"/>
      <c r="U26" s="6"/>
    </row>
    <row r="27" spans="1:21" customFormat="1">
      <c r="A27" s="163" t="s">
        <v>1505</v>
      </c>
      <c r="B27" s="100">
        <v>8.85</v>
      </c>
      <c r="C27" s="100">
        <v>25.03</v>
      </c>
      <c r="D27" s="100">
        <v>21.53</v>
      </c>
      <c r="E27" s="100">
        <v>9.36</v>
      </c>
      <c r="F27" s="100">
        <v>0.18</v>
      </c>
      <c r="G27" s="100">
        <v>84.75</v>
      </c>
      <c r="H27" s="100">
        <v>33.11</v>
      </c>
      <c r="I27" s="100">
        <v>12.16</v>
      </c>
      <c r="J27" s="100">
        <v>0.76</v>
      </c>
      <c r="K27" s="100">
        <v>48.39</v>
      </c>
      <c r="L27" s="100">
        <v>15.78</v>
      </c>
      <c r="M27" s="100">
        <v>86.03</v>
      </c>
      <c r="N27" s="100">
        <v>1.7</v>
      </c>
      <c r="O27" s="100">
        <v>0</v>
      </c>
      <c r="P27" s="100">
        <v>0.94</v>
      </c>
      <c r="Q27" s="100">
        <v>13.01</v>
      </c>
      <c r="R27" s="6"/>
      <c r="S27" s="6"/>
      <c r="T27" s="156"/>
      <c r="U27" s="6"/>
    </row>
    <row r="28" spans="1:21" customFormat="1">
      <c r="A28" s="163" t="s">
        <v>1506</v>
      </c>
      <c r="B28" s="100">
        <v>8.73</v>
      </c>
      <c r="C28" s="100">
        <v>25.02</v>
      </c>
      <c r="D28" s="100">
        <v>21.43</v>
      </c>
      <c r="E28" s="100">
        <v>9.3000000000000007</v>
      </c>
      <c r="F28" s="100">
        <v>0.18</v>
      </c>
      <c r="G28" s="100">
        <v>84.75</v>
      </c>
      <c r="H28" s="100">
        <v>33.11</v>
      </c>
      <c r="I28" s="100">
        <v>12.04</v>
      </c>
      <c r="J28" s="100">
        <v>0.8</v>
      </c>
      <c r="K28" s="100">
        <v>48.64</v>
      </c>
      <c r="L28" s="100">
        <v>15.69</v>
      </c>
      <c r="M28" s="100">
        <v>86.14</v>
      </c>
      <c r="N28" s="100">
        <v>1.7</v>
      </c>
      <c r="O28" s="100">
        <v>0</v>
      </c>
      <c r="P28" s="100">
        <v>0.94</v>
      </c>
      <c r="Q28" s="100">
        <v>12.98</v>
      </c>
      <c r="R28" s="6"/>
      <c r="S28" s="6"/>
      <c r="T28" s="156"/>
      <c r="U28" s="6"/>
    </row>
    <row r="29" spans="1:21" customFormat="1">
      <c r="A29" s="163" t="s">
        <v>1507</v>
      </c>
      <c r="B29" s="100">
        <v>8.82</v>
      </c>
      <c r="C29" s="100">
        <v>25.05</v>
      </c>
      <c r="D29" s="100">
        <v>21.51</v>
      </c>
      <c r="E29" s="100">
        <v>9.15</v>
      </c>
      <c r="F29" s="100">
        <v>0.18</v>
      </c>
      <c r="G29" s="100">
        <v>84.75</v>
      </c>
      <c r="H29" s="100">
        <v>33.11</v>
      </c>
      <c r="I29" s="100">
        <v>11.85</v>
      </c>
      <c r="J29" s="100">
        <v>0.84</v>
      </c>
      <c r="K29" s="100">
        <v>43.31</v>
      </c>
      <c r="L29" s="100">
        <v>15.69</v>
      </c>
      <c r="M29" s="100">
        <v>85.61</v>
      </c>
      <c r="N29" s="100">
        <v>1.7</v>
      </c>
      <c r="O29" s="100">
        <v>0</v>
      </c>
      <c r="P29" s="100">
        <v>0.93</v>
      </c>
      <c r="Q29" s="100">
        <v>12.97</v>
      </c>
      <c r="R29" s="6"/>
      <c r="S29" s="6"/>
      <c r="T29" s="156"/>
      <c r="U29" s="6"/>
    </row>
    <row r="30" spans="1:21" customFormat="1">
      <c r="A30" s="163" t="s">
        <v>1508</v>
      </c>
      <c r="B30" s="100">
        <v>8.89</v>
      </c>
      <c r="C30" s="100">
        <v>25.02</v>
      </c>
      <c r="D30" s="100">
        <v>21.55</v>
      </c>
      <c r="E30" s="100">
        <v>9.16</v>
      </c>
      <c r="F30" s="100">
        <v>0.18</v>
      </c>
      <c r="G30" s="100">
        <v>81.180000000000007</v>
      </c>
      <c r="H30" s="100">
        <v>32.86</v>
      </c>
      <c r="I30" s="100">
        <v>11.69</v>
      </c>
      <c r="J30" s="100">
        <v>0.86</v>
      </c>
      <c r="K30" s="100">
        <v>45.36</v>
      </c>
      <c r="L30" s="100">
        <v>15.65</v>
      </c>
      <c r="M30" s="100">
        <v>85.19</v>
      </c>
      <c r="N30" s="100">
        <v>1.7</v>
      </c>
      <c r="O30" s="100">
        <v>0</v>
      </c>
      <c r="P30" s="100">
        <v>0.91</v>
      </c>
      <c r="Q30" s="100">
        <v>12.97</v>
      </c>
      <c r="R30" s="6"/>
      <c r="S30" s="6"/>
      <c r="T30" s="156"/>
      <c r="U30" s="6"/>
    </row>
    <row r="31" spans="1:21" customFormat="1">
      <c r="A31" s="163" t="s">
        <v>1509</v>
      </c>
      <c r="B31" s="100">
        <v>8.9700000000000006</v>
      </c>
      <c r="C31" s="100">
        <v>25.09</v>
      </c>
      <c r="D31" s="100">
        <v>21.65</v>
      </c>
      <c r="E31" s="100">
        <v>9.08</v>
      </c>
      <c r="F31" s="100">
        <v>0.18</v>
      </c>
      <c r="G31" s="100">
        <v>79.010000000000005</v>
      </c>
      <c r="H31" s="100">
        <v>32.81</v>
      </c>
      <c r="I31" s="100">
        <v>11.61</v>
      </c>
      <c r="J31" s="100">
        <v>0.95</v>
      </c>
      <c r="K31" s="100">
        <v>44.54</v>
      </c>
      <c r="L31" s="100">
        <v>15.41</v>
      </c>
      <c r="M31" s="100">
        <v>86.2</v>
      </c>
      <c r="N31" s="100">
        <v>1.8</v>
      </c>
      <c r="O31" s="100">
        <v>0</v>
      </c>
      <c r="P31" s="100">
        <v>0.9</v>
      </c>
      <c r="Q31" s="100">
        <v>12.98</v>
      </c>
      <c r="R31" s="6"/>
      <c r="S31" s="6"/>
      <c r="T31" s="156"/>
      <c r="U31" s="6"/>
    </row>
    <row r="32" spans="1:21" customFormat="1">
      <c r="A32" s="163" t="s">
        <v>1510</v>
      </c>
      <c r="B32" s="100">
        <v>8.93</v>
      </c>
      <c r="C32" s="100">
        <v>25.07</v>
      </c>
      <c r="D32" s="100">
        <v>21.61</v>
      </c>
      <c r="E32" s="100">
        <v>9.24</v>
      </c>
      <c r="F32" s="100">
        <v>0.18</v>
      </c>
      <c r="G32" s="100">
        <v>79.010000000000005</v>
      </c>
      <c r="H32" s="100">
        <v>32.81</v>
      </c>
      <c r="I32" s="100">
        <v>11.5</v>
      </c>
      <c r="J32" s="100">
        <v>0.32</v>
      </c>
      <c r="K32" s="100">
        <v>72.58</v>
      </c>
      <c r="L32" s="100">
        <v>15.38</v>
      </c>
      <c r="M32" s="100">
        <v>86.16</v>
      </c>
      <c r="N32" s="100">
        <v>1.6</v>
      </c>
      <c r="O32" s="100">
        <v>0</v>
      </c>
      <c r="P32" s="100">
        <v>0.91</v>
      </c>
      <c r="Q32" s="100">
        <v>12.98</v>
      </c>
      <c r="R32" s="6"/>
      <c r="S32" s="6"/>
      <c r="T32" s="156"/>
      <c r="U32" s="6"/>
    </row>
    <row r="33" spans="1:21" customFormat="1">
      <c r="A33" s="163" t="s">
        <v>1511</v>
      </c>
      <c r="B33" s="100">
        <v>8.89</v>
      </c>
      <c r="C33" s="100">
        <v>24.95</v>
      </c>
      <c r="D33" s="100">
        <v>21.51</v>
      </c>
      <c r="E33" s="100">
        <v>9.68</v>
      </c>
      <c r="F33" s="100">
        <v>0.18</v>
      </c>
      <c r="G33" s="100">
        <v>79.010000000000005</v>
      </c>
      <c r="H33" s="100">
        <v>32.81</v>
      </c>
      <c r="I33" s="100">
        <v>11.34</v>
      </c>
      <c r="J33" s="100">
        <v>0.41</v>
      </c>
      <c r="K33" s="100">
        <v>54.69</v>
      </c>
      <c r="L33" s="100">
        <v>15.17</v>
      </c>
      <c r="M33" s="100">
        <v>87.21</v>
      </c>
      <c r="N33" s="100">
        <v>1.7</v>
      </c>
      <c r="O33" s="100">
        <v>0</v>
      </c>
      <c r="P33" s="100">
        <v>0.89</v>
      </c>
      <c r="Q33" s="100">
        <v>12.96</v>
      </c>
      <c r="R33" s="6"/>
      <c r="S33" s="6"/>
      <c r="T33" s="156"/>
      <c r="U33" s="6"/>
    </row>
    <row r="34" spans="1:21" customFormat="1">
      <c r="A34" s="163" t="s">
        <v>1512</v>
      </c>
      <c r="B34" s="100">
        <v>8.91</v>
      </c>
      <c r="C34" s="100">
        <v>24.94</v>
      </c>
      <c r="D34" s="100">
        <v>21.53</v>
      </c>
      <c r="E34" s="100">
        <v>9.18</v>
      </c>
      <c r="F34" s="100">
        <v>0.18</v>
      </c>
      <c r="G34" s="100">
        <v>83.25</v>
      </c>
      <c r="H34" s="100">
        <v>33.5</v>
      </c>
      <c r="I34" s="100">
        <v>11.28</v>
      </c>
      <c r="J34" s="100">
        <v>0.03</v>
      </c>
      <c r="K34" s="100">
        <v>148.34</v>
      </c>
      <c r="L34" s="100">
        <v>15.17</v>
      </c>
      <c r="M34" s="100">
        <v>87.79</v>
      </c>
      <c r="N34" s="100">
        <v>1.6</v>
      </c>
      <c r="O34" s="100">
        <v>0</v>
      </c>
      <c r="P34" s="100">
        <v>0.88</v>
      </c>
      <c r="Q34" s="100">
        <v>12.96</v>
      </c>
      <c r="R34" s="6"/>
      <c r="S34" s="6"/>
      <c r="T34" s="156"/>
      <c r="U34" s="6"/>
    </row>
    <row r="35" spans="1:21" customFormat="1">
      <c r="A35" s="163" t="s">
        <v>1513</v>
      </c>
      <c r="B35" s="100">
        <v>8.86</v>
      </c>
      <c r="C35" s="100">
        <v>24.8</v>
      </c>
      <c r="D35" s="100">
        <v>21.42</v>
      </c>
      <c r="E35" s="100">
        <v>9.44</v>
      </c>
      <c r="F35" s="100">
        <v>0.18</v>
      </c>
      <c r="G35" s="100">
        <v>85.82</v>
      </c>
      <c r="H35" s="100">
        <v>33.659999999999997</v>
      </c>
      <c r="I35" s="100">
        <v>11.24</v>
      </c>
      <c r="J35" s="100">
        <v>0.14000000000000001</v>
      </c>
      <c r="K35" s="100">
        <v>168.03</v>
      </c>
      <c r="L35" s="100">
        <v>14.99</v>
      </c>
      <c r="M35" s="100">
        <v>88.88</v>
      </c>
      <c r="N35" s="100">
        <v>2.8</v>
      </c>
      <c r="O35" s="100">
        <v>0</v>
      </c>
      <c r="P35" s="100">
        <v>0.88</v>
      </c>
      <c r="Q35" s="100">
        <v>12.99</v>
      </c>
      <c r="R35" s="6"/>
      <c r="S35" s="6"/>
      <c r="T35" s="156"/>
      <c r="U35" s="6"/>
    </row>
    <row r="36" spans="1:21" customFormat="1">
      <c r="A36" s="163" t="s">
        <v>1514</v>
      </c>
      <c r="B36" s="100">
        <v>8.7799999999999994</v>
      </c>
      <c r="C36" s="100">
        <v>24.55</v>
      </c>
      <c r="D36" s="100">
        <v>21.22</v>
      </c>
      <c r="E36" s="100">
        <v>9.1999999999999993</v>
      </c>
      <c r="F36" s="100">
        <v>0.18</v>
      </c>
      <c r="G36" s="100">
        <v>85.82</v>
      </c>
      <c r="H36" s="100">
        <v>33.659999999999997</v>
      </c>
      <c r="I36" s="100">
        <v>11.16</v>
      </c>
      <c r="J36" s="100">
        <v>0.11</v>
      </c>
      <c r="K36" s="100">
        <v>40.119999999999997</v>
      </c>
      <c r="L36" s="100">
        <v>14.73</v>
      </c>
      <c r="M36" s="100">
        <v>90.77</v>
      </c>
      <c r="N36" s="100">
        <v>6.5</v>
      </c>
      <c r="O36" s="100">
        <v>0</v>
      </c>
      <c r="P36" s="100">
        <v>0.88</v>
      </c>
      <c r="Q36" s="100">
        <v>12.99</v>
      </c>
      <c r="R36" s="6"/>
      <c r="S36" s="6"/>
      <c r="T36" s="156"/>
      <c r="U36" s="6"/>
    </row>
    <row r="37" spans="1:21" customFormat="1">
      <c r="A37" s="163" t="s">
        <v>1515</v>
      </c>
      <c r="B37" s="100">
        <v>9.18</v>
      </c>
      <c r="C37" s="100">
        <v>24.77</v>
      </c>
      <c r="D37" s="100">
        <v>21.66</v>
      </c>
      <c r="E37" s="100">
        <v>9.19</v>
      </c>
      <c r="F37" s="100">
        <v>0.18</v>
      </c>
      <c r="G37" s="100">
        <v>85.82</v>
      </c>
      <c r="H37" s="100">
        <v>33.659999999999997</v>
      </c>
      <c r="I37" s="100">
        <v>11.06</v>
      </c>
      <c r="J37" s="100">
        <v>7.0000000000000007E-2</v>
      </c>
      <c r="K37" s="100">
        <v>54.57</v>
      </c>
      <c r="L37" s="100">
        <v>15.1</v>
      </c>
      <c r="M37" s="100">
        <v>89.18</v>
      </c>
      <c r="N37" s="100">
        <v>13.4</v>
      </c>
      <c r="O37" s="100">
        <v>0</v>
      </c>
      <c r="P37" s="100">
        <v>0.88</v>
      </c>
      <c r="Q37" s="100">
        <v>12.99</v>
      </c>
      <c r="R37" s="6"/>
      <c r="S37" s="6"/>
      <c r="T37" s="156"/>
      <c r="U37" s="6"/>
    </row>
    <row r="38" spans="1:21" customFormat="1">
      <c r="A38" s="163" t="s">
        <v>1516</v>
      </c>
      <c r="B38" s="100">
        <v>9.6999999999999993</v>
      </c>
      <c r="C38" s="100">
        <v>24.88</v>
      </c>
      <c r="D38" s="100">
        <v>22.12</v>
      </c>
      <c r="E38" s="100">
        <v>9.32</v>
      </c>
      <c r="F38" s="100">
        <v>0.18</v>
      </c>
      <c r="G38" s="100">
        <v>83.3</v>
      </c>
      <c r="H38" s="100">
        <v>33.44</v>
      </c>
      <c r="I38" s="100">
        <v>11.01</v>
      </c>
      <c r="J38" s="100">
        <v>0.15</v>
      </c>
      <c r="K38" s="100">
        <v>52.12</v>
      </c>
      <c r="L38" s="100">
        <v>15.28</v>
      </c>
      <c r="M38" s="100">
        <v>88.94</v>
      </c>
      <c r="N38" s="100">
        <v>22.6</v>
      </c>
      <c r="O38" s="100">
        <v>0</v>
      </c>
      <c r="P38" s="100">
        <v>0.87</v>
      </c>
      <c r="Q38" s="100">
        <v>13.01</v>
      </c>
      <c r="R38" s="6"/>
      <c r="S38" s="6"/>
      <c r="T38" s="156"/>
      <c r="U38" s="6"/>
    </row>
    <row r="39" spans="1:21" customFormat="1">
      <c r="A39" s="163" t="s">
        <v>1517</v>
      </c>
      <c r="B39" s="100">
        <v>10.55</v>
      </c>
      <c r="C39" s="100">
        <v>24.92</v>
      </c>
      <c r="D39" s="100">
        <v>22.83</v>
      </c>
      <c r="E39" s="100">
        <v>9.15</v>
      </c>
      <c r="F39" s="100">
        <v>0.18</v>
      </c>
      <c r="G39" s="100">
        <v>81.78</v>
      </c>
      <c r="H39" s="100">
        <v>33.4</v>
      </c>
      <c r="I39" s="100">
        <v>10.89</v>
      </c>
      <c r="J39" s="100">
        <v>0.04</v>
      </c>
      <c r="K39" s="100">
        <v>226.48</v>
      </c>
      <c r="L39" s="100">
        <v>15.75</v>
      </c>
      <c r="M39" s="100">
        <v>87.13</v>
      </c>
      <c r="N39" s="100">
        <v>31.7</v>
      </c>
      <c r="O39" s="100">
        <v>0</v>
      </c>
      <c r="P39" s="100">
        <v>0.87</v>
      </c>
      <c r="Q39" s="100">
        <v>13.01</v>
      </c>
      <c r="R39" s="6"/>
      <c r="S39" s="6"/>
      <c r="T39" s="156"/>
      <c r="U39" s="6"/>
    </row>
    <row r="40" spans="1:21" customFormat="1">
      <c r="A40" s="163" t="s">
        <v>1518</v>
      </c>
      <c r="B40" s="100">
        <v>11</v>
      </c>
      <c r="C40" s="100">
        <v>24.89</v>
      </c>
      <c r="D40" s="100">
        <v>23.18</v>
      </c>
      <c r="E40" s="100">
        <v>9.44</v>
      </c>
      <c r="F40" s="100">
        <v>0.18</v>
      </c>
      <c r="G40" s="100">
        <v>81.78</v>
      </c>
      <c r="H40" s="100">
        <v>33.4</v>
      </c>
      <c r="I40" s="100">
        <v>10.87</v>
      </c>
      <c r="J40" s="100">
        <v>0.33</v>
      </c>
      <c r="K40" s="100">
        <v>71.959999999999994</v>
      </c>
      <c r="L40" s="100">
        <v>16.05</v>
      </c>
      <c r="M40" s="100">
        <v>85.13</v>
      </c>
      <c r="N40" s="100">
        <v>43.3</v>
      </c>
      <c r="O40" s="100">
        <v>0</v>
      </c>
      <c r="P40" s="100">
        <v>0.88</v>
      </c>
      <c r="Q40" s="100">
        <v>13.01</v>
      </c>
      <c r="R40" s="6"/>
      <c r="S40" s="6"/>
      <c r="T40" s="156"/>
      <c r="U40" s="6"/>
    </row>
    <row r="41" spans="1:21" customFormat="1">
      <c r="A41" s="163" t="s">
        <v>1519</v>
      </c>
      <c r="B41" s="100">
        <v>11.05</v>
      </c>
      <c r="C41" s="100">
        <v>24.82</v>
      </c>
      <c r="D41" s="100">
        <v>23.18</v>
      </c>
      <c r="E41" s="100">
        <v>9.73</v>
      </c>
      <c r="F41" s="100">
        <v>0.18</v>
      </c>
      <c r="G41" s="100">
        <v>81.78</v>
      </c>
      <c r="H41" s="100">
        <v>33.4</v>
      </c>
      <c r="I41" s="100">
        <v>10.81</v>
      </c>
      <c r="J41" s="100">
        <v>0.59</v>
      </c>
      <c r="K41" s="100">
        <v>59.3</v>
      </c>
      <c r="L41" s="100">
        <v>16.11</v>
      </c>
      <c r="M41" s="100">
        <v>84.56</v>
      </c>
      <c r="N41" s="100">
        <v>59.4</v>
      </c>
      <c r="O41" s="100">
        <v>0</v>
      </c>
      <c r="P41" s="100">
        <v>0.89</v>
      </c>
      <c r="Q41" s="100">
        <v>12.99</v>
      </c>
      <c r="R41" s="6"/>
      <c r="S41" s="6"/>
      <c r="T41" s="156"/>
      <c r="U41" s="6"/>
    </row>
    <row r="42" spans="1:21" customFormat="1">
      <c r="A42" s="163" t="s">
        <v>1520</v>
      </c>
      <c r="B42" s="100">
        <v>10.84</v>
      </c>
      <c r="C42" s="100">
        <v>24.83</v>
      </c>
      <c r="D42" s="100">
        <v>23.01</v>
      </c>
      <c r="E42" s="100">
        <v>9.32</v>
      </c>
      <c r="F42" s="100">
        <v>0.18</v>
      </c>
      <c r="G42" s="100">
        <v>82.26</v>
      </c>
      <c r="H42" s="100">
        <v>33.630000000000003</v>
      </c>
      <c r="I42" s="100">
        <v>11.09</v>
      </c>
      <c r="J42" s="100">
        <v>0.32</v>
      </c>
      <c r="K42" s="100">
        <v>89.5</v>
      </c>
      <c r="L42" s="100">
        <v>16.71</v>
      </c>
      <c r="M42" s="100">
        <v>82.53</v>
      </c>
      <c r="N42" s="100">
        <v>90.2</v>
      </c>
      <c r="O42" s="100">
        <v>0</v>
      </c>
      <c r="P42" s="100">
        <v>0.89</v>
      </c>
      <c r="Q42" s="100">
        <v>12.98</v>
      </c>
      <c r="R42" s="6"/>
      <c r="S42" s="6"/>
      <c r="T42" s="156"/>
      <c r="U42" s="6"/>
    </row>
    <row r="43" spans="1:21" customFormat="1">
      <c r="A43" s="163" t="s">
        <v>1521</v>
      </c>
      <c r="B43" s="100">
        <v>10.39</v>
      </c>
      <c r="C43" s="100">
        <v>24.98</v>
      </c>
      <c r="D43" s="100">
        <v>22.74</v>
      </c>
      <c r="E43" s="100">
        <v>9.8000000000000007</v>
      </c>
      <c r="F43" s="100">
        <v>0.18</v>
      </c>
      <c r="G43" s="100">
        <v>82.55</v>
      </c>
      <c r="H43" s="100">
        <v>33.72</v>
      </c>
      <c r="I43" s="100">
        <v>10.98</v>
      </c>
      <c r="J43" s="100">
        <v>0.4</v>
      </c>
      <c r="K43" s="100">
        <v>80.5</v>
      </c>
      <c r="L43" s="100">
        <v>17.32</v>
      </c>
      <c r="M43" s="100">
        <v>79.95</v>
      </c>
      <c r="N43" s="100">
        <v>109.7</v>
      </c>
      <c r="O43" s="100">
        <v>0</v>
      </c>
      <c r="P43" s="100">
        <v>0.87</v>
      </c>
      <c r="Q43" s="100">
        <v>12.98</v>
      </c>
      <c r="R43" s="6"/>
      <c r="S43" s="6"/>
      <c r="T43" s="156"/>
      <c r="U43" s="6"/>
    </row>
    <row r="44" spans="1:21" customFormat="1">
      <c r="A44" s="163" t="s">
        <v>1522</v>
      </c>
      <c r="B44" s="100">
        <v>10.050000000000001</v>
      </c>
      <c r="C44" s="100">
        <v>25.15</v>
      </c>
      <c r="D44" s="100">
        <v>22.55</v>
      </c>
      <c r="E44" s="100">
        <v>9.42</v>
      </c>
      <c r="F44" s="100">
        <v>0.18</v>
      </c>
      <c r="G44" s="100">
        <v>82.55</v>
      </c>
      <c r="H44" s="100">
        <v>33.72</v>
      </c>
      <c r="I44" s="100">
        <v>11.05</v>
      </c>
      <c r="J44" s="100">
        <v>0.55000000000000004</v>
      </c>
      <c r="K44" s="100">
        <v>62.24</v>
      </c>
      <c r="L44" s="100">
        <v>17.739999999999998</v>
      </c>
      <c r="M44" s="100">
        <v>78.069999999999993</v>
      </c>
      <c r="N44" s="100">
        <v>120.8</v>
      </c>
      <c r="O44" s="100">
        <v>0</v>
      </c>
      <c r="P44" s="100">
        <v>0.87</v>
      </c>
      <c r="Q44" s="100">
        <v>12.97</v>
      </c>
      <c r="R44" s="6"/>
      <c r="S44" s="6"/>
      <c r="T44" s="156"/>
      <c r="U44" s="6"/>
    </row>
    <row r="45" spans="1:21" customFormat="1">
      <c r="A45" s="163" t="s">
        <v>1523</v>
      </c>
      <c r="B45" s="100">
        <v>9.94</v>
      </c>
      <c r="C45" s="100">
        <v>25.25</v>
      </c>
      <c r="D45" s="100">
        <v>22.52</v>
      </c>
      <c r="E45" s="100">
        <v>9.2799999999999994</v>
      </c>
      <c r="F45" s="100">
        <v>0.18</v>
      </c>
      <c r="G45" s="100">
        <v>82.55</v>
      </c>
      <c r="H45" s="100">
        <v>33.72</v>
      </c>
      <c r="I45" s="100">
        <v>11.02</v>
      </c>
      <c r="J45" s="100">
        <v>0.66</v>
      </c>
      <c r="K45" s="100">
        <v>54.94</v>
      </c>
      <c r="L45" s="100">
        <v>18.13</v>
      </c>
      <c r="M45" s="100">
        <v>75.849999999999994</v>
      </c>
      <c r="N45" s="100">
        <v>151.19999999999999</v>
      </c>
      <c r="O45" s="100">
        <v>0</v>
      </c>
      <c r="P45" s="100">
        <v>0.86</v>
      </c>
      <c r="Q45" s="100">
        <v>12.98</v>
      </c>
      <c r="R45" s="6"/>
      <c r="S45" s="6"/>
      <c r="T45" s="156"/>
      <c r="U45" s="6"/>
    </row>
    <row r="46" spans="1:21" customFormat="1">
      <c r="A46" s="163" t="s">
        <v>1524</v>
      </c>
      <c r="B46" s="100">
        <v>9.7899999999999991</v>
      </c>
      <c r="C46" s="100">
        <v>25.22</v>
      </c>
      <c r="D46" s="100">
        <v>22.37</v>
      </c>
      <c r="E46" s="100">
        <v>9.65</v>
      </c>
      <c r="F46" s="100">
        <v>0.18</v>
      </c>
      <c r="G46" s="100">
        <v>81.36</v>
      </c>
      <c r="H46" s="100">
        <v>32.67</v>
      </c>
      <c r="I46" s="100">
        <v>10.95</v>
      </c>
      <c r="J46" s="100">
        <v>0.6</v>
      </c>
      <c r="K46" s="100">
        <v>75.3</v>
      </c>
      <c r="L46" s="100">
        <v>18.86</v>
      </c>
      <c r="M46" s="100">
        <v>72.5</v>
      </c>
      <c r="N46" s="100">
        <v>153.69999999999999</v>
      </c>
      <c r="O46" s="100">
        <v>0</v>
      </c>
      <c r="P46" s="100">
        <v>0.87</v>
      </c>
      <c r="Q46" s="100">
        <v>12.98</v>
      </c>
      <c r="R46" s="6"/>
      <c r="S46" s="6"/>
      <c r="T46" s="156"/>
      <c r="U46" s="6"/>
    </row>
    <row r="47" spans="1:21" customFormat="1">
      <c r="A47" s="163" t="s">
        <v>1525</v>
      </c>
      <c r="B47" s="100">
        <v>9.5</v>
      </c>
      <c r="C47" s="100">
        <v>25.19</v>
      </c>
      <c r="D47" s="100">
        <v>22.13</v>
      </c>
      <c r="E47" s="100">
        <v>9.43</v>
      </c>
      <c r="F47" s="100">
        <v>0.18</v>
      </c>
      <c r="G47" s="100">
        <v>80.63</v>
      </c>
      <c r="H47" s="100">
        <v>32.44</v>
      </c>
      <c r="I47" s="100">
        <v>10.79</v>
      </c>
      <c r="J47" s="100">
        <v>0.87</v>
      </c>
      <c r="K47" s="100">
        <v>51.38</v>
      </c>
      <c r="L47" s="100">
        <v>19.34</v>
      </c>
      <c r="M47" s="100">
        <v>70.33</v>
      </c>
      <c r="N47" s="100">
        <v>152</v>
      </c>
      <c r="O47" s="100">
        <v>0</v>
      </c>
      <c r="P47" s="100">
        <v>0.86</v>
      </c>
      <c r="Q47" s="100">
        <v>12.97</v>
      </c>
      <c r="R47" s="6"/>
      <c r="S47" s="6"/>
      <c r="T47" s="156"/>
      <c r="U47" s="6"/>
    </row>
    <row r="48" spans="1:21" customFormat="1">
      <c r="A48" s="163" t="s">
        <v>1526</v>
      </c>
      <c r="B48" s="100">
        <v>9.35</v>
      </c>
      <c r="C48" s="100">
        <v>24.98</v>
      </c>
      <c r="D48" s="100">
        <v>21.9</v>
      </c>
      <c r="E48" s="100">
        <v>10.18</v>
      </c>
      <c r="F48" s="100">
        <v>0.18</v>
      </c>
      <c r="G48" s="100">
        <v>80.63</v>
      </c>
      <c r="H48" s="100">
        <v>32.44</v>
      </c>
      <c r="I48" s="100">
        <v>10.83</v>
      </c>
      <c r="J48" s="100">
        <v>0.8</v>
      </c>
      <c r="K48" s="100">
        <v>64.349999999999994</v>
      </c>
      <c r="L48" s="100">
        <v>19.79</v>
      </c>
      <c r="M48" s="100">
        <v>68.12</v>
      </c>
      <c r="N48" s="100">
        <v>168.8</v>
      </c>
      <c r="O48" s="100">
        <v>0</v>
      </c>
      <c r="P48" s="100">
        <v>0.87</v>
      </c>
      <c r="Q48" s="100">
        <v>12.97</v>
      </c>
      <c r="R48" s="6"/>
      <c r="S48" s="6"/>
      <c r="T48" s="156"/>
      <c r="U48" s="6"/>
    </row>
    <row r="49" spans="1:21" customFormat="1">
      <c r="A49" s="163" t="s">
        <v>1527</v>
      </c>
      <c r="B49" s="100">
        <v>8.99</v>
      </c>
      <c r="C49" s="100">
        <v>24.69</v>
      </c>
      <c r="D49" s="100">
        <v>21.46</v>
      </c>
      <c r="E49" s="100">
        <v>6.96</v>
      </c>
      <c r="F49" s="100">
        <v>0.18</v>
      </c>
      <c r="G49" s="100">
        <v>80.63</v>
      </c>
      <c r="H49" s="100">
        <v>32.44</v>
      </c>
      <c r="I49" s="100">
        <v>10.55</v>
      </c>
      <c r="J49" s="100">
        <v>1.1100000000000001</v>
      </c>
      <c r="K49" s="100">
        <v>58.82</v>
      </c>
      <c r="L49" s="100">
        <v>20.2</v>
      </c>
      <c r="M49" s="100">
        <v>66.8</v>
      </c>
      <c r="N49" s="100">
        <v>203.5</v>
      </c>
      <c r="O49" s="100">
        <v>0</v>
      </c>
      <c r="P49" s="100">
        <v>0.87</v>
      </c>
      <c r="Q49" s="100">
        <v>12.98</v>
      </c>
      <c r="R49" s="6"/>
      <c r="S49" s="6"/>
      <c r="T49" s="156"/>
      <c r="U49" s="6"/>
    </row>
    <row r="50" spans="1:21" customFormat="1">
      <c r="A50" s="163" t="s">
        <v>1528</v>
      </c>
      <c r="B50" s="100">
        <v>8.69</v>
      </c>
      <c r="C50" s="100">
        <v>24.63</v>
      </c>
      <c r="D50" s="100">
        <v>21.18</v>
      </c>
      <c r="E50" s="100">
        <v>8.39</v>
      </c>
      <c r="F50" s="100">
        <v>0.18</v>
      </c>
      <c r="G50" s="100">
        <v>80.819999999999993</v>
      </c>
      <c r="H50" s="100">
        <v>33.85</v>
      </c>
      <c r="I50" s="100">
        <v>10.75</v>
      </c>
      <c r="J50" s="100">
        <v>1.3</v>
      </c>
      <c r="K50" s="100">
        <v>47.82</v>
      </c>
      <c r="L50" s="100">
        <v>20.45</v>
      </c>
      <c r="M50" s="100">
        <v>65.62</v>
      </c>
      <c r="N50" s="100">
        <v>236.4</v>
      </c>
      <c r="O50" s="100">
        <v>0</v>
      </c>
      <c r="P50" s="100">
        <v>0.87</v>
      </c>
      <c r="Q50" s="100">
        <v>12.97</v>
      </c>
      <c r="R50" s="6"/>
      <c r="S50" s="6"/>
      <c r="T50" s="156"/>
      <c r="U50" s="6"/>
    </row>
    <row r="51" spans="1:21" customFormat="1">
      <c r="A51" s="163" t="s">
        <v>1529</v>
      </c>
      <c r="B51" s="100">
        <v>8.48</v>
      </c>
      <c r="C51" s="100">
        <v>24.53</v>
      </c>
      <c r="D51" s="100">
        <v>20.97</v>
      </c>
      <c r="E51" s="100">
        <v>8.58</v>
      </c>
      <c r="F51" s="100">
        <v>0.18</v>
      </c>
      <c r="G51" s="100">
        <v>80.930000000000007</v>
      </c>
      <c r="H51" s="100">
        <v>34.130000000000003</v>
      </c>
      <c r="I51" s="100">
        <v>10.44</v>
      </c>
      <c r="J51" s="100">
        <v>1.19</v>
      </c>
      <c r="K51" s="100">
        <v>50.15</v>
      </c>
      <c r="L51" s="100">
        <v>21.04</v>
      </c>
      <c r="M51" s="100">
        <v>63.74</v>
      </c>
      <c r="N51" s="100">
        <v>254.6</v>
      </c>
      <c r="O51" s="100">
        <v>0</v>
      </c>
      <c r="P51" s="100">
        <v>0.87</v>
      </c>
      <c r="Q51" s="100">
        <v>12.97</v>
      </c>
      <c r="R51" s="6"/>
      <c r="S51" s="6"/>
      <c r="T51" s="156"/>
      <c r="U51" s="6"/>
    </row>
    <row r="52" spans="1:21" customFormat="1">
      <c r="A52" s="163" t="s">
        <v>1530</v>
      </c>
      <c r="B52" s="100">
        <v>8.25</v>
      </c>
      <c r="C52" s="100">
        <v>24.55</v>
      </c>
      <c r="D52" s="100">
        <v>20.79</v>
      </c>
      <c r="E52" s="100">
        <v>8.7899999999999991</v>
      </c>
      <c r="F52" s="100">
        <v>0.18</v>
      </c>
      <c r="G52" s="100">
        <v>80.930000000000007</v>
      </c>
      <c r="H52" s="100">
        <v>34.130000000000003</v>
      </c>
      <c r="I52" s="100">
        <v>10.47</v>
      </c>
      <c r="J52" s="100">
        <v>0.51</v>
      </c>
      <c r="K52" s="100">
        <v>61.89</v>
      </c>
      <c r="L52" s="100">
        <v>22.35</v>
      </c>
      <c r="M52" s="100">
        <v>60.1</v>
      </c>
      <c r="N52" s="100">
        <v>273.3</v>
      </c>
      <c r="O52" s="100">
        <v>0</v>
      </c>
      <c r="P52" s="100">
        <v>0.87</v>
      </c>
      <c r="Q52" s="100">
        <v>12.98</v>
      </c>
      <c r="R52" s="6"/>
      <c r="S52" s="6"/>
      <c r="T52" s="156"/>
      <c r="U52" s="6"/>
    </row>
    <row r="53" spans="1:21" customFormat="1">
      <c r="A53" s="163" t="s">
        <v>1531</v>
      </c>
      <c r="B53" s="100">
        <v>8.0399999999999991</v>
      </c>
      <c r="C53" s="100">
        <v>24.36</v>
      </c>
      <c r="D53" s="100">
        <v>20.53</v>
      </c>
      <c r="E53" s="100">
        <v>8.61</v>
      </c>
      <c r="F53" s="100">
        <v>0.18</v>
      </c>
      <c r="G53" s="100">
        <v>80.930000000000007</v>
      </c>
      <c r="H53" s="100">
        <v>34.130000000000003</v>
      </c>
      <c r="I53" s="100">
        <v>10.66</v>
      </c>
      <c r="J53" s="100">
        <v>0.8</v>
      </c>
      <c r="K53" s="100">
        <v>49.26</v>
      </c>
      <c r="L53" s="100">
        <v>22.86</v>
      </c>
      <c r="M53" s="100">
        <v>58.51</v>
      </c>
      <c r="N53" s="100">
        <v>287.10000000000002</v>
      </c>
      <c r="O53" s="100">
        <v>0</v>
      </c>
      <c r="P53" s="100">
        <v>0.87</v>
      </c>
      <c r="Q53" s="100">
        <v>12.98</v>
      </c>
      <c r="R53" s="6"/>
      <c r="S53" s="6"/>
      <c r="T53" s="156"/>
      <c r="U53" s="6"/>
    </row>
    <row r="54" spans="1:21" customFormat="1">
      <c r="A54" s="163" t="s">
        <v>1532</v>
      </c>
      <c r="B54" s="100">
        <v>7.88</v>
      </c>
      <c r="C54" s="100">
        <v>24.3</v>
      </c>
      <c r="D54" s="100">
        <v>20.37</v>
      </c>
      <c r="E54" s="100">
        <v>8.92</v>
      </c>
      <c r="F54" s="100">
        <v>0.18</v>
      </c>
      <c r="G54" s="100">
        <v>82.02</v>
      </c>
      <c r="H54" s="100">
        <v>36.07</v>
      </c>
      <c r="I54" s="100">
        <v>10.41</v>
      </c>
      <c r="J54" s="100">
        <v>0.86</v>
      </c>
      <c r="K54" s="100">
        <v>44.76</v>
      </c>
      <c r="L54" s="100">
        <v>23.26</v>
      </c>
      <c r="M54" s="100">
        <v>57.05</v>
      </c>
      <c r="N54" s="100">
        <v>270.10000000000002</v>
      </c>
      <c r="O54" s="100">
        <v>0</v>
      </c>
      <c r="P54" s="100">
        <v>0.86</v>
      </c>
      <c r="Q54" s="100">
        <v>12.98</v>
      </c>
      <c r="R54" s="6"/>
      <c r="S54" s="6"/>
      <c r="T54" s="156"/>
      <c r="U54" s="6"/>
    </row>
    <row r="55" spans="1:21" customFormat="1">
      <c r="A55" s="163" t="s">
        <v>1533</v>
      </c>
      <c r="B55" s="100">
        <v>7.72</v>
      </c>
      <c r="C55" s="100">
        <v>24.29</v>
      </c>
      <c r="D55" s="100">
        <v>20.239999999999998</v>
      </c>
      <c r="E55" s="100">
        <v>9</v>
      </c>
      <c r="F55" s="100">
        <v>0.18</v>
      </c>
      <c r="G55" s="100">
        <v>82.69</v>
      </c>
      <c r="H55" s="100">
        <v>36.46</v>
      </c>
      <c r="I55" s="100">
        <v>10.35</v>
      </c>
      <c r="J55" s="100">
        <v>0.73</v>
      </c>
      <c r="K55" s="100">
        <v>39.96</v>
      </c>
      <c r="L55" s="100">
        <v>23.8</v>
      </c>
      <c r="M55" s="100">
        <v>55.61</v>
      </c>
      <c r="N55" s="100">
        <v>307.89999999999998</v>
      </c>
      <c r="O55" s="100">
        <v>0</v>
      </c>
      <c r="P55" s="100">
        <v>0.87</v>
      </c>
      <c r="Q55" s="100">
        <v>12.98</v>
      </c>
      <c r="R55" s="6"/>
      <c r="S55" s="6"/>
      <c r="T55" s="156"/>
      <c r="U55" s="6"/>
    </row>
    <row r="56" spans="1:21" customFormat="1">
      <c r="A56" s="163" t="s">
        <v>1534</v>
      </c>
      <c r="B56" s="100">
        <v>7.54</v>
      </c>
      <c r="C56" s="100">
        <v>24.29</v>
      </c>
      <c r="D56" s="100">
        <v>20.09</v>
      </c>
      <c r="E56" s="100">
        <v>9.66</v>
      </c>
      <c r="F56" s="100">
        <v>55.06</v>
      </c>
      <c r="G56" s="100">
        <v>82.69</v>
      </c>
      <c r="H56" s="100">
        <v>36.46</v>
      </c>
      <c r="I56" s="100">
        <v>10.26</v>
      </c>
      <c r="J56" s="100">
        <v>0.89</v>
      </c>
      <c r="K56" s="100">
        <v>45.54</v>
      </c>
      <c r="L56" s="100">
        <v>24.25</v>
      </c>
      <c r="M56" s="100">
        <v>54.46</v>
      </c>
      <c r="N56" s="100">
        <v>316.39999999999998</v>
      </c>
      <c r="O56" s="100">
        <v>0</v>
      </c>
      <c r="P56" s="100">
        <v>0.88</v>
      </c>
      <c r="Q56" s="100">
        <v>12.99</v>
      </c>
      <c r="R56" s="6"/>
      <c r="S56" s="6"/>
      <c r="T56" s="156"/>
      <c r="U56" s="6"/>
    </row>
    <row r="57" spans="1:21" customFormat="1">
      <c r="A57" s="163" t="s">
        <v>1535</v>
      </c>
      <c r="B57" s="100">
        <v>7.31</v>
      </c>
      <c r="C57" s="100">
        <v>24.27</v>
      </c>
      <c r="D57" s="100">
        <v>19.89</v>
      </c>
      <c r="E57" s="100">
        <v>9</v>
      </c>
      <c r="F57" s="100">
        <v>110.12</v>
      </c>
      <c r="G57" s="100">
        <v>82.69</v>
      </c>
      <c r="H57" s="100">
        <v>36.46</v>
      </c>
      <c r="I57" s="100">
        <v>10.25</v>
      </c>
      <c r="J57" s="100">
        <v>1.06</v>
      </c>
      <c r="K57" s="100">
        <v>48.94</v>
      </c>
      <c r="L57" s="100">
        <v>24.26</v>
      </c>
      <c r="M57" s="100">
        <v>54.66</v>
      </c>
      <c r="N57" s="100">
        <v>315.39999999999998</v>
      </c>
      <c r="O57" s="100">
        <v>0</v>
      </c>
      <c r="P57" s="100">
        <v>0.87</v>
      </c>
      <c r="Q57" s="100">
        <v>13</v>
      </c>
      <c r="R57" s="6"/>
      <c r="S57" s="6"/>
      <c r="T57" s="156"/>
      <c r="U57" s="6"/>
    </row>
    <row r="58" spans="1:21" customFormat="1">
      <c r="A58" s="163" t="s">
        <v>1536</v>
      </c>
      <c r="B58" s="100">
        <v>6.97</v>
      </c>
      <c r="C58" s="100">
        <v>24.35</v>
      </c>
      <c r="D58" s="100">
        <v>19.66</v>
      </c>
      <c r="E58" s="100">
        <v>9.8000000000000007</v>
      </c>
      <c r="F58" s="100">
        <v>131.13</v>
      </c>
      <c r="G58" s="100">
        <v>85.26</v>
      </c>
      <c r="H58" s="100">
        <v>35.729999999999997</v>
      </c>
      <c r="I58" s="100">
        <v>10.220000000000001</v>
      </c>
      <c r="J58" s="100">
        <v>0.6</v>
      </c>
      <c r="K58" s="100">
        <v>43.01</v>
      </c>
      <c r="L58" s="100">
        <v>25</v>
      </c>
      <c r="M58" s="100">
        <v>52.78</v>
      </c>
      <c r="N58" s="100">
        <v>299.10000000000002</v>
      </c>
      <c r="O58" s="100">
        <v>0</v>
      </c>
      <c r="P58" s="100">
        <v>0.88</v>
      </c>
      <c r="Q58" s="100">
        <v>12.97</v>
      </c>
      <c r="R58" s="6"/>
      <c r="S58" s="6"/>
      <c r="T58" s="156"/>
      <c r="U58" s="6"/>
    </row>
    <row r="59" spans="1:21" customFormat="1">
      <c r="A59" s="163" t="s">
        <v>1537</v>
      </c>
      <c r="B59" s="100">
        <v>6.6</v>
      </c>
      <c r="C59" s="100">
        <v>24.37</v>
      </c>
      <c r="D59" s="100">
        <v>19.38</v>
      </c>
      <c r="E59" s="100">
        <v>10.09</v>
      </c>
      <c r="F59" s="100">
        <v>7.6</v>
      </c>
      <c r="G59" s="100">
        <v>86.82</v>
      </c>
      <c r="H59" s="100">
        <v>35.58</v>
      </c>
      <c r="I59" s="100">
        <v>10.199999999999999</v>
      </c>
      <c r="J59" s="100">
        <v>0.85</v>
      </c>
      <c r="K59" s="100">
        <v>54.95</v>
      </c>
      <c r="L59" s="100">
        <v>25.3</v>
      </c>
      <c r="M59" s="100">
        <v>52.04</v>
      </c>
      <c r="N59" s="100">
        <v>269.7</v>
      </c>
      <c r="O59" s="100">
        <v>0</v>
      </c>
      <c r="P59" s="100">
        <v>0.88</v>
      </c>
      <c r="Q59" s="100">
        <v>12.96</v>
      </c>
      <c r="R59" s="6"/>
      <c r="S59" s="6"/>
      <c r="T59" s="156"/>
      <c r="U59" s="6"/>
    </row>
    <row r="60" spans="1:21" customFormat="1">
      <c r="A60" s="163" t="s">
        <v>1538</v>
      </c>
      <c r="B60" s="100">
        <v>6.26</v>
      </c>
      <c r="C60" s="100">
        <v>24.44</v>
      </c>
      <c r="D60" s="100">
        <v>19.14</v>
      </c>
      <c r="E60" s="100">
        <v>9.86</v>
      </c>
      <c r="F60" s="100">
        <v>7.06</v>
      </c>
      <c r="G60" s="100">
        <v>86.82</v>
      </c>
      <c r="H60" s="100">
        <v>35.58</v>
      </c>
      <c r="I60" s="100">
        <v>10.17</v>
      </c>
      <c r="J60" s="100">
        <v>0.55000000000000004</v>
      </c>
      <c r="K60" s="100">
        <v>48.39</v>
      </c>
      <c r="L60" s="100">
        <v>25.78</v>
      </c>
      <c r="M60" s="100">
        <v>50.48</v>
      </c>
      <c r="N60" s="100">
        <v>301.7</v>
      </c>
      <c r="O60" s="100">
        <v>0</v>
      </c>
      <c r="P60" s="100">
        <v>0.88</v>
      </c>
      <c r="Q60" s="100">
        <v>12.96</v>
      </c>
      <c r="R60" s="6"/>
      <c r="S60" s="6"/>
      <c r="T60" s="156"/>
      <c r="U60" s="6"/>
    </row>
    <row r="61" spans="1:21" customFormat="1">
      <c r="A61" s="163" t="s">
        <v>1539</v>
      </c>
      <c r="B61" s="100">
        <v>5.79</v>
      </c>
      <c r="C61" s="100">
        <v>24.28</v>
      </c>
      <c r="D61" s="100">
        <v>18.68</v>
      </c>
      <c r="E61" s="100">
        <v>9.84</v>
      </c>
      <c r="F61" s="100">
        <v>5.0199999999999996</v>
      </c>
      <c r="G61" s="100">
        <v>86.82</v>
      </c>
      <c r="H61" s="100">
        <v>35.58</v>
      </c>
      <c r="I61" s="100">
        <v>10.15</v>
      </c>
      <c r="J61" s="100">
        <v>0.4</v>
      </c>
      <c r="K61" s="100">
        <v>81.05</v>
      </c>
      <c r="L61" s="100">
        <v>26.1</v>
      </c>
      <c r="M61" s="100">
        <v>49.52</v>
      </c>
      <c r="N61" s="100">
        <v>286.8</v>
      </c>
      <c r="O61" s="100">
        <v>0</v>
      </c>
      <c r="P61" s="100">
        <v>0.87</v>
      </c>
      <c r="Q61" s="100">
        <v>12.96</v>
      </c>
      <c r="R61" s="6"/>
      <c r="S61" s="6"/>
      <c r="T61" s="156"/>
      <c r="U61" s="6"/>
    </row>
    <row r="62" spans="1:21" customFormat="1">
      <c r="A62" s="163" t="s">
        <v>1540</v>
      </c>
      <c r="B62" s="100">
        <v>5.32</v>
      </c>
      <c r="C62" s="100">
        <v>24.19</v>
      </c>
      <c r="D62" s="100">
        <v>18.260000000000002</v>
      </c>
      <c r="E62" s="100">
        <v>10.84</v>
      </c>
      <c r="F62" s="100">
        <v>17.559999999999999</v>
      </c>
      <c r="G62" s="100">
        <v>87.22</v>
      </c>
      <c r="H62" s="100">
        <v>36.17</v>
      </c>
      <c r="I62" s="100">
        <v>10.130000000000001</v>
      </c>
      <c r="J62" s="100">
        <v>0.44</v>
      </c>
      <c r="K62" s="100">
        <v>43.13</v>
      </c>
      <c r="L62" s="100">
        <v>26.14</v>
      </c>
      <c r="M62" s="100">
        <v>49.62</v>
      </c>
      <c r="N62" s="100">
        <v>273.2</v>
      </c>
      <c r="O62" s="100">
        <v>0</v>
      </c>
      <c r="P62" s="100">
        <v>0.88</v>
      </c>
      <c r="Q62" s="100">
        <v>12.97</v>
      </c>
      <c r="R62" s="6"/>
      <c r="S62" s="6"/>
      <c r="T62" s="156"/>
      <c r="U62" s="6"/>
    </row>
    <row r="63" spans="1:21" customFormat="1">
      <c r="A63" s="163" t="s">
        <v>1541</v>
      </c>
      <c r="B63" s="100">
        <v>4.72</v>
      </c>
      <c r="C63" s="100">
        <v>24.38</v>
      </c>
      <c r="D63" s="100">
        <v>17.87</v>
      </c>
      <c r="E63" s="100">
        <v>10.27</v>
      </c>
      <c r="F63" s="100">
        <v>128.02000000000001</v>
      </c>
      <c r="G63" s="100">
        <v>87.47</v>
      </c>
      <c r="H63" s="100">
        <v>36.299999999999997</v>
      </c>
      <c r="I63" s="100">
        <v>10.07</v>
      </c>
      <c r="J63" s="100">
        <v>0.44</v>
      </c>
      <c r="K63" s="100">
        <v>71.36</v>
      </c>
      <c r="L63" s="100">
        <v>26.54</v>
      </c>
      <c r="M63" s="100">
        <v>48.33</v>
      </c>
      <c r="N63" s="100">
        <v>274.5</v>
      </c>
      <c r="O63" s="100">
        <v>0</v>
      </c>
      <c r="P63" s="100">
        <v>0.89</v>
      </c>
      <c r="Q63" s="100">
        <v>12.99</v>
      </c>
      <c r="R63" s="6"/>
      <c r="S63" s="6"/>
      <c r="T63" s="156"/>
      <c r="U63" s="6"/>
    </row>
    <row r="64" spans="1:21" customFormat="1">
      <c r="A64" s="163" t="s">
        <v>1542</v>
      </c>
      <c r="B64" s="100">
        <v>4.1399999999999997</v>
      </c>
      <c r="C64" s="100">
        <v>24.55</v>
      </c>
      <c r="D64" s="100">
        <v>17.5</v>
      </c>
      <c r="E64" s="100">
        <v>9.99</v>
      </c>
      <c r="F64" s="100">
        <v>10.5</v>
      </c>
      <c r="G64" s="100">
        <v>87.47</v>
      </c>
      <c r="H64" s="100">
        <v>36.299999999999997</v>
      </c>
      <c r="I64" s="100">
        <v>10.02</v>
      </c>
      <c r="J64" s="100">
        <v>0.21</v>
      </c>
      <c r="K64" s="100">
        <v>57.23</v>
      </c>
      <c r="L64" s="100">
        <v>26.76</v>
      </c>
      <c r="M64" s="100">
        <v>47.67</v>
      </c>
      <c r="N64" s="100">
        <v>268.10000000000002</v>
      </c>
      <c r="O64" s="100">
        <v>0</v>
      </c>
      <c r="P64" s="100">
        <v>0.9</v>
      </c>
      <c r="Q64" s="100">
        <v>12.98</v>
      </c>
      <c r="R64" s="6"/>
      <c r="S64" s="6"/>
      <c r="T64" s="156"/>
      <c r="U64" s="6"/>
    </row>
    <row r="65" spans="1:21" customFormat="1">
      <c r="A65" s="163" t="s">
        <v>1543</v>
      </c>
      <c r="B65" s="100">
        <v>3.81</v>
      </c>
      <c r="C65" s="100">
        <v>24.5</v>
      </c>
      <c r="D65" s="100">
        <v>17.21</v>
      </c>
      <c r="E65" s="100">
        <v>10.26</v>
      </c>
      <c r="F65" s="100">
        <v>0.32</v>
      </c>
      <c r="G65" s="100">
        <v>87.47</v>
      </c>
      <c r="H65" s="100">
        <v>36.299999999999997</v>
      </c>
      <c r="I65" s="100">
        <v>9.9</v>
      </c>
      <c r="J65" s="100">
        <v>0.28999999999999998</v>
      </c>
      <c r="K65" s="100">
        <v>44.65</v>
      </c>
      <c r="L65" s="100">
        <v>26.45</v>
      </c>
      <c r="M65" s="100">
        <v>48.14</v>
      </c>
      <c r="N65" s="100">
        <v>240.1</v>
      </c>
      <c r="O65" s="100">
        <v>0</v>
      </c>
      <c r="P65" s="100">
        <v>0.73</v>
      </c>
      <c r="Q65" s="100">
        <v>12.95</v>
      </c>
      <c r="R65" s="6"/>
      <c r="S65" s="6"/>
      <c r="T65" s="156"/>
      <c r="U65" s="6"/>
    </row>
    <row r="66" spans="1:21" customFormat="1">
      <c r="A66" s="163" t="s">
        <v>1544</v>
      </c>
      <c r="B66" s="100">
        <v>3.63</v>
      </c>
      <c r="C66" s="100">
        <v>24.2</v>
      </c>
      <c r="D66" s="100">
        <v>16.899999999999999</v>
      </c>
      <c r="E66" s="100">
        <v>10.28</v>
      </c>
      <c r="F66" s="100">
        <v>0.32</v>
      </c>
      <c r="G66" s="100">
        <v>88.32</v>
      </c>
      <c r="H66" s="100">
        <v>36.1</v>
      </c>
      <c r="I66" s="100">
        <v>9.81</v>
      </c>
      <c r="J66" s="100">
        <v>0.2</v>
      </c>
      <c r="K66" s="100">
        <v>115.88</v>
      </c>
      <c r="L66" s="100">
        <v>27.22</v>
      </c>
      <c r="M66" s="100">
        <v>46.33</v>
      </c>
      <c r="N66" s="100">
        <v>134.80000000000001</v>
      </c>
      <c r="O66" s="100">
        <v>0</v>
      </c>
      <c r="P66" s="100">
        <v>0.78</v>
      </c>
      <c r="Q66" s="100">
        <v>12.97</v>
      </c>
      <c r="R66" s="6"/>
      <c r="S66" s="6"/>
      <c r="T66" s="156"/>
      <c r="U66" s="6"/>
    </row>
    <row r="67" spans="1:21" customFormat="1">
      <c r="A67" s="163" t="s">
        <v>1545</v>
      </c>
      <c r="B67" s="100">
        <v>3.48</v>
      </c>
      <c r="C67" s="100">
        <v>23.79</v>
      </c>
      <c r="D67" s="100">
        <v>16.57</v>
      </c>
      <c r="E67" s="100">
        <v>10.38</v>
      </c>
      <c r="F67" s="100">
        <v>0.32</v>
      </c>
      <c r="G67" s="100">
        <v>88.84</v>
      </c>
      <c r="H67" s="100">
        <v>36.03</v>
      </c>
      <c r="I67" s="100">
        <v>9.6999999999999993</v>
      </c>
      <c r="J67" s="100">
        <v>0.32</v>
      </c>
      <c r="K67" s="100">
        <v>133.99</v>
      </c>
      <c r="L67" s="100">
        <v>27.07</v>
      </c>
      <c r="M67" s="100">
        <v>46.43</v>
      </c>
      <c r="N67" s="100">
        <v>127.1</v>
      </c>
      <c r="O67" s="100">
        <v>0</v>
      </c>
      <c r="P67" s="100">
        <v>0.76</v>
      </c>
      <c r="Q67" s="100">
        <v>12.95</v>
      </c>
      <c r="R67" s="6"/>
      <c r="S67" s="6"/>
      <c r="T67" s="156"/>
      <c r="U67" s="6"/>
    </row>
    <row r="68" spans="1:21" customFormat="1">
      <c r="A68" s="163" t="s">
        <v>1546</v>
      </c>
      <c r="B68" s="100">
        <v>3.47</v>
      </c>
      <c r="C68" s="100">
        <v>23.27</v>
      </c>
      <c r="D68" s="100">
        <v>16.29</v>
      </c>
      <c r="E68" s="100">
        <v>11</v>
      </c>
      <c r="F68" s="100">
        <v>0.32</v>
      </c>
      <c r="G68" s="100">
        <v>88.84</v>
      </c>
      <c r="H68" s="100">
        <v>36.03</v>
      </c>
      <c r="I68" s="100">
        <v>9.67</v>
      </c>
      <c r="J68" s="100">
        <v>0.39</v>
      </c>
      <c r="K68" s="100">
        <v>70.17</v>
      </c>
      <c r="L68" s="100">
        <v>26.84</v>
      </c>
      <c r="M68" s="100">
        <v>46.81</v>
      </c>
      <c r="N68" s="100">
        <v>104.6</v>
      </c>
      <c r="O68" s="100">
        <v>0</v>
      </c>
      <c r="P68" s="100">
        <v>0.77</v>
      </c>
      <c r="Q68" s="100">
        <v>12.96</v>
      </c>
      <c r="R68" s="6"/>
      <c r="S68" s="6"/>
      <c r="T68" s="156"/>
      <c r="U68" s="6"/>
    </row>
    <row r="69" spans="1:21" customFormat="1">
      <c r="A69" s="163" t="s">
        <v>1547</v>
      </c>
      <c r="B69" s="100">
        <v>3.48</v>
      </c>
      <c r="C69" s="100">
        <v>23.24</v>
      </c>
      <c r="D69" s="100">
        <v>16.28</v>
      </c>
      <c r="E69" s="100">
        <v>10.49</v>
      </c>
      <c r="F69" s="100">
        <v>0.27</v>
      </c>
      <c r="G69" s="100">
        <v>88.84</v>
      </c>
      <c r="H69" s="100">
        <v>36.03</v>
      </c>
      <c r="I69" s="100">
        <v>9.51</v>
      </c>
      <c r="J69" s="100">
        <v>0.4</v>
      </c>
      <c r="K69" s="100">
        <v>85.17</v>
      </c>
      <c r="L69" s="100">
        <v>26.8</v>
      </c>
      <c r="M69" s="100">
        <v>46.22</v>
      </c>
      <c r="N69" s="100">
        <v>87.1</v>
      </c>
      <c r="O69" s="100">
        <v>0</v>
      </c>
      <c r="P69" s="100">
        <v>0.77</v>
      </c>
      <c r="Q69" s="100">
        <v>12.97</v>
      </c>
      <c r="R69" s="6"/>
      <c r="S69" s="6"/>
      <c r="T69" s="156"/>
      <c r="U69" s="6"/>
    </row>
    <row r="70" spans="1:21" customFormat="1">
      <c r="A70" s="163" t="s">
        <v>1548</v>
      </c>
      <c r="B70" s="100">
        <v>3.45</v>
      </c>
      <c r="C70" s="100">
        <v>23.1</v>
      </c>
      <c r="D70" s="100">
        <v>16.190000000000001</v>
      </c>
      <c r="E70" s="100">
        <v>10.32</v>
      </c>
      <c r="F70" s="100">
        <v>0.05</v>
      </c>
      <c r="G70" s="100">
        <v>86.03</v>
      </c>
      <c r="H70" s="100">
        <v>34</v>
      </c>
      <c r="I70" s="100">
        <v>9.4600000000000009</v>
      </c>
      <c r="J70" s="100">
        <v>0.18</v>
      </c>
      <c r="K70" s="100">
        <v>43.25</v>
      </c>
      <c r="L70" s="100">
        <v>26.59</v>
      </c>
      <c r="M70" s="100">
        <v>46.64</v>
      </c>
      <c r="N70" s="100">
        <v>78.8</v>
      </c>
      <c r="O70" s="100">
        <v>0</v>
      </c>
      <c r="P70" s="100">
        <v>0.76</v>
      </c>
      <c r="Q70" s="100">
        <v>12.96</v>
      </c>
      <c r="R70" s="6"/>
      <c r="S70" s="6"/>
      <c r="T70" s="156"/>
      <c r="U70" s="6"/>
    </row>
    <row r="71" spans="1:21" customFormat="1">
      <c r="A71" s="163" t="s">
        <v>1549</v>
      </c>
      <c r="B71" s="100">
        <v>3.46</v>
      </c>
      <c r="C71" s="100">
        <v>23.06</v>
      </c>
      <c r="D71" s="100">
        <v>16.170000000000002</v>
      </c>
      <c r="E71" s="100">
        <v>10.82</v>
      </c>
      <c r="F71" s="100">
        <v>0.05</v>
      </c>
      <c r="G71" s="100">
        <v>84.32</v>
      </c>
      <c r="H71" s="100">
        <v>33.590000000000003</v>
      </c>
      <c r="I71" s="100">
        <v>9.35</v>
      </c>
      <c r="J71" s="100">
        <v>0.56999999999999995</v>
      </c>
      <c r="K71" s="100">
        <v>54.99</v>
      </c>
      <c r="L71" s="100">
        <v>26.56</v>
      </c>
      <c r="M71" s="100">
        <v>45.27</v>
      </c>
      <c r="N71" s="100">
        <v>77</v>
      </c>
      <c r="O71" s="100">
        <v>0</v>
      </c>
      <c r="P71" s="100">
        <v>0.76</v>
      </c>
      <c r="Q71" s="100">
        <v>12.95</v>
      </c>
      <c r="R71" s="6"/>
      <c r="S71" s="6"/>
      <c r="T71" s="156"/>
      <c r="U71" s="6"/>
    </row>
    <row r="72" spans="1:21" customFormat="1">
      <c r="A72" s="163" t="s">
        <v>1550</v>
      </c>
      <c r="B72" s="100">
        <v>3.52</v>
      </c>
      <c r="C72" s="100">
        <v>23.24</v>
      </c>
      <c r="D72" s="100">
        <v>16.32</v>
      </c>
      <c r="E72" s="100">
        <v>10.64</v>
      </c>
      <c r="F72" s="100">
        <v>0.05</v>
      </c>
      <c r="G72" s="100">
        <v>84.32</v>
      </c>
      <c r="H72" s="100">
        <v>33.590000000000003</v>
      </c>
      <c r="I72" s="100">
        <v>9.3000000000000007</v>
      </c>
      <c r="J72" s="100">
        <v>0.43</v>
      </c>
      <c r="K72" s="100">
        <v>24.79</v>
      </c>
      <c r="L72" s="100">
        <v>26.38</v>
      </c>
      <c r="M72" s="100">
        <v>45.4</v>
      </c>
      <c r="N72" s="100">
        <v>58.7</v>
      </c>
      <c r="O72" s="100">
        <v>0</v>
      </c>
      <c r="P72" s="100">
        <v>0.76</v>
      </c>
      <c r="Q72" s="100">
        <v>12.94</v>
      </c>
      <c r="R72" s="6"/>
      <c r="S72" s="6"/>
      <c r="T72" s="156"/>
      <c r="U72" s="6"/>
    </row>
    <row r="73" spans="1:21" customFormat="1">
      <c r="A73" s="163" t="s">
        <v>1551</v>
      </c>
      <c r="B73" s="100">
        <v>3.58</v>
      </c>
      <c r="C73" s="100">
        <v>23.66</v>
      </c>
      <c r="D73" s="100">
        <v>16.579999999999998</v>
      </c>
      <c r="E73" s="100">
        <v>10.56</v>
      </c>
      <c r="F73" s="100">
        <v>0.05</v>
      </c>
      <c r="G73" s="100">
        <v>84.32</v>
      </c>
      <c r="H73" s="100">
        <v>33.590000000000003</v>
      </c>
      <c r="I73" s="100">
        <v>9.2100000000000009</v>
      </c>
      <c r="J73" s="100">
        <v>7.0000000000000007E-2</v>
      </c>
      <c r="K73" s="100">
        <v>266.88</v>
      </c>
      <c r="L73" s="100">
        <v>26.19</v>
      </c>
      <c r="M73" s="100">
        <v>46.45</v>
      </c>
      <c r="N73" s="100">
        <v>48.5</v>
      </c>
      <c r="O73" s="100">
        <v>0</v>
      </c>
      <c r="P73" s="100">
        <v>0.75</v>
      </c>
      <c r="Q73" s="100">
        <v>12.94</v>
      </c>
      <c r="R73" s="6"/>
      <c r="S73" s="6"/>
      <c r="T73" s="156"/>
      <c r="U73" s="6"/>
    </row>
    <row r="74" spans="1:21" customFormat="1">
      <c r="A74" s="163" t="s">
        <v>1552</v>
      </c>
      <c r="B74" s="100">
        <v>3.58</v>
      </c>
      <c r="C74" s="100">
        <v>23.9</v>
      </c>
      <c r="D74" s="100">
        <v>16.71</v>
      </c>
      <c r="E74" s="100">
        <v>10.27</v>
      </c>
      <c r="F74" s="100">
        <v>0.08</v>
      </c>
      <c r="G74" s="100">
        <v>82.6</v>
      </c>
      <c r="H74" s="100">
        <v>35.03</v>
      </c>
      <c r="I74" s="100">
        <v>9.1300000000000008</v>
      </c>
      <c r="J74" s="100">
        <v>0.32</v>
      </c>
      <c r="K74" s="100">
        <v>77.290000000000006</v>
      </c>
      <c r="L74" s="100">
        <v>26.17</v>
      </c>
      <c r="M74" s="100">
        <v>45.47</v>
      </c>
      <c r="N74" s="100">
        <v>38</v>
      </c>
      <c r="O74" s="100">
        <v>0</v>
      </c>
      <c r="P74" s="100">
        <v>0.75</v>
      </c>
      <c r="Q74" s="100">
        <v>12.95</v>
      </c>
      <c r="R74" s="6"/>
      <c r="S74" s="6"/>
      <c r="T74" s="156"/>
      <c r="U74" s="6"/>
    </row>
    <row r="75" spans="1:21" customFormat="1">
      <c r="A75" s="163" t="s">
        <v>1553</v>
      </c>
      <c r="B75" s="100">
        <v>3.59</v>
      </c>
      <c r="C75" s="100">
        <v>23.91</v>
      </c>
      <c r="D75" s="100">
        <v>16.72</v>
      </c>
      <c r="E75" s="100">
        <v>10.33</v>
      </c>
      <c r="F75" s="100">
        <v>1.83</v>
      </c>
      <c r="G75" s="100">
        <v>81.55</v>
      </c>
      <c r="H75" s="100">
        <v>35.32</v>
      </c>
      <c r="I75" s="100">
        <v>9.02</v>
      </c>
      <c r="J75" s="100">
        <v>0.44</v>
      </c>
      <c r="K75" s="100">
        <v>58.67</v>
      </c>
      <c r="L75" s="100">
        <v>25.84</v>
      </c>
      <c r="M75" s="100">
        <v>47.88</v>
      </c>
      <c r="N75" s="100">
        <v>29.7</v>
      </c>
      <c r="O75" s="100">
        <v>0</v>
      </c>
      <c r="P75" s="100">
        <v>0.74</v>
      </c>
      <c r="Q75" s="100">
        <v>12.94</v>
      </c>
      <c r="R75" s="6"/>
      <c r="S75" s="6"/>
      <c r="T75" s="156"/>
      <c r="U75" s="6"/>
    </row>
    <row r="76" spans="1:21" customFormat="1">
      <c r="A76" s="163" t="s">
        <v>1554</v>
      </c>
      <c r="B76" s="100">
        <v>3.64</v>
      </c>
      <c r="C76" s="100">
        <v>24.08</v>
      </c>
      <c r="D76" s="100">
        <v>16.850000000000001</v>
      </c>
      <c r="E76" s="100">
        <v>10.95</v>
      </c>
      <c r="F76" s="100">
        <v>13.99</v>
      </c>
      <c r="G76" s="100">
        <v>81.55</v>
      </c>
      <c r="H76" s="100">
        <v>35.32</v>
      </c>
      <c r="I76" s="100">
        <v>8.94</v>
      </c>
      <c r="J76" s="100">
        <v>0.5</v>
      </c>
      <c r="K76" s="100">
        <v>52.53</v>
      </c>
      <c r="L76" s="100">
        <v>25.58</v>
      </c>
      <c r="M76" s="100">
        <v>48.2</v>
      </c>
      <c r="N76" s="100">
        <v>20</v>
      </c>
      <c r="O76" s="100">
        <v>0</v>
      </c>
      <c r="P76" s="100">
        <v>0.75</v>
      </c>
      <c r="Q76" s="100">
        <v>12.96</v>
      </c>
      <c r="R76" s="6"/>
      <c r="S76" s="6"/>
      <c r="T76" s="156"/>
      <c r="U76" s="6"/>
    </row>
    <row r="77" spans="1:21" customFormat="1">
      <c r="A77" s="163" t="s">
        <v>1555</v>
      </c>
      <c r="B77" s="100">
        <v>3.73</v>
      </c>
      <c r="C77" s="100">
        <v>24.78</v>
      </c>
      <c r="D77" s="100">
        <v>17.29</v>
      </c>
      <c r="E77" s="100">
        <v>10.43</v>
      </c>
      <c r="F77" s="100">
        <v>33.61</v>
      </c>
      <c r="G77" s="100">
        <v>81.55</v>
      </c>
      <c r="H77" s="100">
        <v>35.32</v>
      </c>
      <c r="I77" s="100">
        <v>8.8800000000000008</v>
      </c>
      <c r="J77" s="100">
        <v>0.32</v>
      </c>
      <c r="K77" s="100">
        <v>56.79</v>
      </c>
      <c r="L77" s="100">
        <v>25.18</v>
      </c>
      <c r="M77" s="100">
        <v>50.49</v>
      </c>
      <c r="N77" s="100">
        <v>12.3</v>
      </c>
      <c r="O77" s="100">
        <v>0</v>
      </c>
      <c r="P77" s="100">
        <v>0.76</v>
      </c>
      <c r="Q77" s="100">
        <v>12.96</v>
      </c>
      <c r="R77" s="6"/>
      <c r="S77" s="6"/>
      <c r="T77" s="156"/>
      <c r="U77" s="6"/>
    </row>
    <row r="78" spans="1:21" customFormat="1">
      <c r="A78" s="163" t="s">
        <v>1556</v>
      </c>
      <c r="B78" s="100">
        <v>3.82</v>
      </c>
      <c r="C78" s="100">
        <v>25.22</v>
      </c>
      <c r="D78" s="100">
        <v>17.59</v>
      </c>
      <c r="E78" s="100">
        <v>9.9</v>
      </c>
      <c r="F78" s="100">
        <v>18.22</v>
      </c>
      <c r="G78" s="100">
        <v>84.93</v>
      </c>
      <c r="H78" s="100">
        <v>36.5</v>
      </c>
      <c r="I78" s="100">
        <v>8.94</v>
      </c>
      <c r="J78" s="100">
        <v>0.14000000000000001</v>
      </c>
      <c r="K78" s="100">
        <v>88.47</v>
      </c>
      <c r="L78" s="100">
        <v>24.39</v>
      </c>
      <c r="M78" s="100">
        <v>55.21</v>
      </c>
      <c r="N78" s="100">
        <v>6.7</v>
      </c>
      <c r="O78" s="100">
        <v>0</v>
      </c>
      <c r="P78" s="100">
        <v>0.77</v>
      </c>
      <c r="Q78" s="100">
        <v>12.96</v>
      </c>
      <c r="R78" s="6"/>
      <c r="S78" s="6"/>
      <c r="T78" s="156"/>
      <c r="U78" s="6"/>
    </row>
    <row r="79" spans="1:21" customFormat="1">
      <c r="A79" s="163" t="s">
        <v>1557</v>
      </c>
      <c r="B79" s="100">
        <v>3.91</v>
      </c>
      <c r="C79" s="100">
        <v>25.63</v>
      </c>
      <c r="D79" s="100">
        <v>17.88</v>
      </c>
      <c r="E79" s="100">
        <v>9.91</v>
      </c>
      <c r="F79" s="100">
        <v>1.1499999999999999</v>
      </c>
      <c r="G79" s="100">
        <v>86.98</v>
      </c>
      <c r="H79" s="100">
        <v>36.729999999999997</v>
      </c>
      <c r="I79" s="100">
        <v>8.98</v>
      </c>
      <c r="J79" s="100">
        <v>0.25</v>
      </c>
      <c r="K79" s="100">
        <v>160.33000000000001</v>
      </c>
      <c r="L79" s="100">
        <v>23.63</v>
      </c>
      <c r="M79" s="100">
        <v>59.03</v>
      </c>
      <c r="N79" s="100">
        <v>3.5</v>
      </c>
      <c r="O79" s="100">
        <v>0</v>
      </c>
      <c r="P79" s="100">
        <v>0.78</v>
      </c>
      <c r="Q79" s="100">
        <v>12.97</v>
      </c>
      <c r="R79" s="6"/>
      <c r="S79" s="6"/>
      <c r="T79" s="156"/>
      <c r="U79" s="6"/>
    </row>
    <row r="80" spans="1:21" customFormat="1">
      <c r="A80" s="163" t="s">
        <v>1558</v>
      </c>
      <c r="B80" s="100">
        <v>4.0199999999999996</v>
      </c>
      <c r="C80" s="100">
        <v>26.33</v>
      </c>
      <c r="D80" s="100">
        <v>18.329999999999998</v>
      </c>
      <c r="E80" s="100">
        <v>9.43</v>
      </c>
      <c r="F80" s="100">
        <v>37.64</v>
      </c>
      <c r="G80" s="100">
        <v>86.98</v>
      </c>
      <c r="H80" s="100">
        <v>36.729999999999997</v>
      </c>
      <c r="I80" s="100">
        <v>9.07</v>
      </c>
      <c r="J80" s="100">
        <v>0.24</v>
      </c>
      <c r="K80" s="100">
        <v>172.56</v>
      </c>
      <c r="L80" s="100">
        <v>22.81</v>
      </c>
      <c r="M80" s="100">
        <v>63.06</v>
      </c>
      <c r="N80" s="100">
        <v>2.2999999999999998</v>
      </c>
      <c r="O80" s="100">
        <v>0</v>
      </c>
      <c r="P80" s="100">
        <v>0.8</v>
      </c>
      <c r="Q80" s="100">
        <v>12.97</v>
      </c>
      <c r="R80" s="6"/>
      <c r="S80" s="6"/>
      <c r="T80" s="156"/>
      <c r="U80" s="6"/>
    </row>
    <row r="81" spans="1:21" customFormat="1">
      <c r="A81" s="163" t="s">
        <v>1559</v>
      </c>
      <c r="B81" s="100">
        <v>4.16</v>
      </c>
      <c r="C81" s="100">
        <v>26.82</v>
      </c>
      <c r="D81" s="100">
        <v>18.7</v>
      </c>
      <c r="E81" s="100">
        <v>7.39</v>
      </c>
      <c r="F81" s="100">
        <v>54.85</v>
      </c>
      <c r="G81" s="100">
        <v>86.98</v>
      </c>
      <c r="H81" s="100">
        <v>36.729999999999997</v>
      </c>
      <c r="I81" s="100">
        <v>9.11</v>
      </c>
      <c r="J81" s="100">
        <v>0.28999999999999998</v>
      </c>
      <c r="K81" s="100">
        <v>162.53</v>
      </c>
      <c r="L81" s="100">
        <v>22.06</v>
      </c>
      <c r="M81" s="100">
        <v>70.11</v>
      </c>
      <c r="N81" s="100">
        <v>2.1</v>
      </c>
      <c r="O81" s="100">
        <v>0</v>
      </c>
      <c r="P81" s="100">
        <v>0.81</v>
      </c>
      <c r="Q81" s="100">
        <v>12.97</v>
      </c>
      <c r="R81" s="6"/>
      <c r="S81" s="6"/>
      <c r="T81" s="156"/>
      <c r="U81" s="6"/>
    </row>
    <row r="82" spans="1:21" customFormat="1">
      <c r="A82" s="163" t="s">
        <v>1560</v>
      </c>
      <c r="B82" s="100">
        <v>4.55</v>
      </c>
      <c r="C82" s="100">
        <v>27.24</v>
      </c>
      <c r="D82" s="100">
        <v>19.23</v>
      </c>
      <c r="E82" s="100">
        <v>9.0399999999999991</v>
      </c>
      <c r="F82" s="100">
        <v>31.8</v>
      </c>
      <c r="G82" s="100">
        <v>95.64</v>
      </c>
      <c r="H82" s="100">
        <v>36.840000000000003</v>
      </c>
      <c r="I82" s="100">
        <v>9.5</v>
      </c>
      <c r="J82" s="100">
        <v>0.27</v>
      </c>
      <c r="K82" s="100">
        <v>159.41</v>
      </c>
      <c r="L82" s="100">
        <v>21.82</v>
      </c>
      <c r="M82" s="100">
        <v>67.709999999999994</v>
      </c>
      <c r="N82" s="100">
        <v>1.6</v>
      </c>
      <c r="O82" s="100">
        <v>0</v>
      </c>
      <c r="P82" s="100">
        <v>0.83</v>
      </c>
      <c r="Q82" s="100">
        <v>12.96</v>
      </c>
      <c r="R82" s="6"/>
      <c r="S82" s="6"/>
      <c r="T82" s="156"/>
      <c r="U82" s="6"/>
    </row>
    <row r="83" spans="1:21" customFormat="1">
      <c r="A83" s="163" t="s">
        <v>1561</v>
      </c>
      <c r="B83" s="100">
        <v>5.42</v>
      </c>
      <c r="C83" s="100">
        <v>28.33</v>
      </c>
      <c r="D83" s="100">
        <v>20.5</v>
      </c>
      <c r="E83" s="100">
        <v>9.32</v>
      </c>
      <c r="F83" s="100">
        <v>29.52</v>
      </c>
      <c r="G83" s="100">
        <v>100.9</v>
      </c>
      <c r="H83" s="100">
        <v>36.86</v>
      </c>
      <c r="I83" s="100">
        <v>9.4499999999999993</v>
      </c>
      <c r="J83" s="100">
        <v>0.22</v>
      </c>
      <c r="K83" s="100">
        <v>149.54</v>
      </c>
      <c r="L83" s="100">
        <v>21.53</v>
      </c>
      <c r="M83" s="100">
        <v>68.760000000000005</v>
      </c>
      <c r="N83" s="100">
        <v>1.6</v>
      </c>
      <c r="O83" s="100">
        <v>0</v>
      </c>
      <c r="P83" s="100">
        <v>0.85</v>
      </c>
      <c r="Q83" s="100">
        <v>12.97</v>
      </c>
      <c r="R83" s="6"/>
      <c r="S83" s="6"/>
      <c r="T83" s="156"/>
      <c r="U83" s="6"/>
    </row>
    <row r="84" spans="1:21" customFormat="1">
      <c r="A84" s="163" t="s">
        <v>1562</v>
      </c>
      <c r="B84" s="100">
        <v>6.22</v>
      </c>
      <c r="C84" s="100">
        <v>28.98</v>
      </c>
      <c r="D84" s="100">
        <v>21.48</v>
      </c>
      <c r="E84" s="100">
        <v>8.7799999999999994</v>
      </c>
      <c r="F84" s="100">
        <v>9.19</v>
      </c>
      <c r="G84" s="100">
        <v>100.9</v>
      </c>
      <c r="H84" s="100">
        <v>36.86</v>
      </c>
      <c r="I84" s="100">
        <v>9.91</v>
      </c>
      <c r="J84" s="100">
        <v>0.19</v>
      </c>
      <c r="K84" s="100">
        <v>161.66</v>
      </c>
      <c r="L84" s="100">
        <v>21.29</v>
      </c>
      <c r="M84" s="100">
        <v>69.459999999999994</v>
      </c>
      <c r="N84" s="100">
        <v>1.7</v>
      </c>
      <c r="O84" s="100">
        <v>0</v>
      </c>
      <c r="P84" s="100">
        <v>0.88</v>
      </c>
      <c r="Q84" s="100">
        <v>12.97</v>
      </c>
      <c r="R84" s="6"/>
      <c r="S84" s="6"/>
      <c r="T84" s="156"/>
      <c r="U84" s="6"/>
    </row>
    <row r="85" spans="1:21" customFormat="1">
      <c r="A85" s="163" t="s">
        <v>1563</v>
      </c>
      <c r="B85" s="100">
        <v>6.71</v>
      </c>
      <c r="C85" s="100">
        <v>29.36</v>
      </c>
      <c r="D85" s="100">
        <v>22.07</v>
      </c>
      <c r="E85" s="100">
        <v>9.24</v>
      </c>
      <c r="F85" s="100">
        <v>1.61</v>
      </c>
      <c r="G85" s="100">
        <v>100.9</v>
      </c>
      <c r="H85" s="100">
        <v>36.86</v>
      </c>
      <c r="I85" s="100">
        <v>10.25</v>
      </c>
      <c r="J85" s="100">
        <v>0.17</v>
      </c>
      <c r="K85" s="100">
        <v>142.31</v>
      </c>
      <c r="L85" s="100">
        <v>21.31</v>
      </c>
      <c r="M85" s="100">
        <v>67.66</v>
      </c>
      <c r="N85" s="100">
        <v>1.4</v>
      </c>
      <c r="O85" s="100">
        <v>0</v>
      </c>
      <c r="P85" s="100">
        <v>0.91</v>
      </c>
      <c r="Q85" s="100">
        <v>12.98</v>
      </c>
      <c r="R85" s="6"/>
      <c r="S85" s="6"/>
      <c r="T85" s="156"/>
      <c r="U85" s="6"/>
    </row>
    <row r="86" spans="1:21" customFormat="1">
      <c r="A86" s="163" t="s">
        <v>1564</v>
      </c>
      <c r="B86" s="100">
        <v>6.99</v>
      </c>
      <c r="C86" s="100">
        <v>29.31</v>
      </c>
      <c r="D86" s="100">
        <v>22.27</v>
      </c>
      <c r="E86" s="100">
        <v>8.8699999999999992</v>
      </c>
      <c r="F86" s="100">
        <v>2.2400000000000002</v>
      </c>
      <c r="G86" s="100">
        <v>117.43</v>
      </c>
      <c r="H86" s="100">
        <v>40.29</v>
      </c>
      <c r="I86" s="100">
        <v>10.55</v>
      </c>
      <c r="J86" s="100">
        <v>0.24</v>
      </c>
      <c r="K86" s="100">
        <v>148.01</v>
      </c>
      <c r="L86" s="100">
        <v>21.92</v>
      </c>
      <c r="M86" s="100">
        <v>61.59</v>
      </c>
      <c r="N86" s="100">
        <v>0.8</v>
      </c>
      <c r="O86" s="100">
        <v>0</v>
      </c>
      <c r="P86" s="100">
        <v>0.92</v>
      </c>
      <c r="Q86" s="100">
        <v>12.99</v>
      </c>
      <c r="R86" s="6"/>
      <c r="S86" s="6"/>
      <c r="T86" s="156"/>
      <c r="U86" s="6"/>
    </row>
    <row r="87" spans="1:21" customFormat="1">
      <c r="A87" s="163" t="s">
        <v>1565</v>
      </c>
      <c r="B87" s="100">
        <v>6.9</v>
      </c>
      <c r="C87" s="100">
        <v>29.02</v>
      </c>
      <c r="D87" s="100">
        <v>22.05</v>
      </c>
      <c r="E87" s="100">
        <v>9.5</v>
      </c>
      <c r="F87" s="100">
        <v>2.56</v>
      </c>
      <c r="G87" s="100">
        <v>127.46</v>
      </c>
      <c r="H87" s="100">
        <v>40.98</v>
      </c>
      <c r="I87" s="100">
        <v>10.86</v>
      </c>
      <c r="J87" s="100">
        <v>0.56000000000000005</v>
      </c>
      <c r="K87" s="100">
        <v>43.01</v>
      </c>
      <c r="L87" s="100">
        <v>21.9</v>
      </c>
      <c r="M87" s="100">
        <v>61.89</v>
      </c>
      <c r="N87" s="100">
        <v>1.2</v>
      </c>
      <c r="O87" s="100">
        <v>0</v>
      </c>
      <c r="P87" s="100">
        <v>0.92</v>
      </c>
      <c r="Q87" s="100">
        <v>12.98</v>
      </c>
      <c r="R87" s="6"/>
      <c r="S87" s="6"/>
      <c r="T87" s="156"/>
      <c r="U87" s="6"/>
    </row>
    <row r="88" spans="1:21" customFormat="1">
      <c r="A88" s="163" t="s">
        <v>1566</v>
      </c>
      <c r="B88" s="100">
        <v>6.89</v>
      </c>
      <c r="C88" s="100">
        <v>28.88</v>
      </c>
      <c r="D88" s="100">
        <v>21.96</v>
      </c>
      <c r="E88" s="100">
        <v>9.35</v>
      </c>
      <c r="F88" s="100">
        <v>53.38</v>
      </c>
      <c r="G88" s="100">
        <v>127.46</v>
      </c>
      <c r="H88" s="100">
        <v>40.98</v>
      </c>
      <c r="I88" s="100">
        <v>11</v>
      </c>
      <c r="J88" s="100">
        <v>0.54</v>
      </c>
      <c r="K88" s="100">
        <v>70.98</v>
      </c>
      <c r="L88" s="100">
        <v>21.49</v>
      </c>
      <c r="M88" s="100">
        <v>63.78</v>
      </c>
      <c r="N88" s="100">
        <v>1.5</v>
      </c>
      <c r="O88" s="100">
        <v>0</v>
      </c>
      <c r="P88" s="100">
        <v>0.93</v>
      </c>
      <c r="Q88" s="100">
        <v>12.99</v>
      </c>
      <c r="R88" s="6"/>
      <c r="S88" s="6"/>
      <c r="T88" s="156"/>
      <c r="U88" s="6"/>
    </row>
    <row r="89" spans="1:21" customFormat="1">
      <c r="A89" s="163" t="s">
        <v>1567</v>
      </c>
      <c r="B89" s="100">
        <v>6.97</v>
      </c>
      <c r="C89" s="100">
        <v>28.69</v>
      </c>
      <c r="D89" s="100">
        <v>21.93</v>
      </c>
      <c r="E89" s="100">
        <v>9.25</v>
      </c>
      <c r="F89" s="100">
        <v>88.24</v>
      </c>
      <c r="G89" s="100">
        <v>127.46</v>
      </c>
      <c r="H89" s="100">
        <v>40.98</v>
      </c>
      <c r="I89" s="100">
        <v>11</v>
      </c>
      <c r="J89" s="100">
        <v>0.28000000000000003</v>
      </c>
      <c r="K89" s="100">
        <v>105.51</v>
      </c>
      <c r="L89" s="100">
        <v>21.72</v>
      </c>
      <c r="M89" s="100">
        <v>62.85</v>
      </c>
      <c r="N89" s="100">
        <v>1.1000000000000001</v>
      </c>
      <c r="O89" s="100">
        <v>0</v>
      </c>
      <c r="P89" s="100">
        <v>0.94</v>
      </c>
      <c r="Q89" s="100">
        <v>12.98</v>
      </c>
      <c r="R89" s="6"/>
      <c r="S89" s="6"/>
      <c r="T89" s="156"/>
      <c r="U89" s="6"/>
    </row>
    <row r="90" spans="1:21" customFormat="1">
      <c r="A90" s="163" t="s">
        <v>1568</v>
      </c>
      <c r="B90" s="100">
        <v>6.65</v>
      </c>
      <c r="C90" s="100">
        <v>28.47</v>
      </c>
      <c r="D90" s="100">
        <v>21.56</v>
      </c>
      <c r="E90" s="100">
        <v>9.74</v>
      </c>
      <c r="F90" s="100">
        <v>9.1</v>
      </c>
      <c r="G90" s="100">
        <v>125.1</v>
      </c>
      <c r="H90" s="100">
        <v>40.19</v>
      </c>
      <c r="I90" s="100">
        <v>11.16</v>
      </c>
      <c r="J90" s="100">
        <v>0.52</v>
      </c>
      <c r="K90" s="100">
        <v>69.34</v>
      </c>
      <c r="L90" s="100">
        <v>21.7</v>
      </c>
      <c r="M90" s="100">
        <v>62.88</v>
      </c>
      <c r="N90" s="100">
        <v>1.2</v>
      </c>
      <c r="O90" s="100">
        <v>0</v>
      </c>
      <c r="P90" s="100">
        <v>0.95</v>
      </c>
      <c r="Q90" s="100">
        <v>12.98</v>
      </c>
      <c r="R90" s="6"/>
      <c r="S90" s="6"/>
      <c r="T90" s="156"/>
      <c r="U90" s="6"/>
    </row>
    <row r="91" spans="1:21" customFormat="1">
      <c r="A91" s="163" t="s">
        <v>1569</v>
      </c>
      <c r="B91" s="100">
        <v>6.33</v>
      </c>
      <c r="C91" s="100">
        <v>28.12</v>
      </c>
      <c r="D91" s="100">
        <v>21.12</v>
      </c>
      <c r="E91" s="100">
        <v>9.6</v>
      </c>
      <c r="F91" s="100">
        <v>28.26</v>
      </c>
      <c r="G91" s="100">
        <v>123.67</v>
      </c>
      <c r="H91" s="100">
        <v>39.92</v>
      </c>
      <c r="I91" s="100">
        <v>11.26</v>
      </c>
      <c r="J91" s="100">
        <v>0.37</v>
      </c>
      <c r="K91" s="100">
        <v>58.05</v>
      </c>
      <c r="L91" s="100">
        <v>21.4</v>
      </c>
      <c r="M91" s="100">
        <v>64.66</v>
      </c>
      <c r="N91" s="100">
        <v>1.5</v>
      </c>
      <c r="O91" s="100">
        <v>0</v>
      </c>
      <c r="P91" s="100">
        <v>0.94</v>
      </c>
      <c r="Q91" s="100">
        <v>12.98</v>
      </c>
      <c r="R91" s="6"/>
      <c r="S91" s="6"/>
      <c r="T91" s="156"/>
      <c r="U91" s="6"/>
    </row>
    <row r="92" spans="1:21" customFormat="1">
      <c r="A92" s="163" t="s">
        <v>1570</v>
      </c>
      <c r="B92" s="100">
        <v>6.18</v>
      </c>
      <c r="C92" s="100">
        <v>27.95</v>
      </c>
      <c r="D92" s="100">
        <v>20.91</v>
      </c>
      <c r="E92" s="100">
        <v>9.5299999999999994</v>
      </c>
      <c r="F92" s="100">
        <v>4.29</v>
      </c>
      <c r="G92" s="100">
        <v>123.67</v>
      </c>
      <c r="H92" s="100">
        <v>39.92</v>
      </c>
      <c r="I92" s="100">
        <v>11.26</v>
      </c>
      <c r="J92" s="100">
        <v>0.26</v>
      </c>
      <c r="K92" s="100">
        <v>166.77</v>
      </c>
      <c r="L92" s="100">
        <v>20.68</v>
      </c>
      <c r="M92" s="100">
        <v>68.38</v>
      </c>
      <c r="N92" s="100">
        <v>2</v>
      </c>
      <c r="O92" s="100">
        <v>0</v>
      </c>
      <c r="P92" s="100">
        <v>0.95</v>
      </c>
      <c r="Q92" s="100">
        <v>12.97</v>
      </c>
      <c r="R92" s="6"/>
      <c r="S92" s="6"/>
      <c r="T92" s="156"/>
      <c r="U92" s="6"/>
    </row>
    <row r="93" spans="1:21" customFormat="1">
      <c r="A93" s="163" t="s">
        <v>1571</v>
      </c>
      <c r="B93" s="100">
        <v>5.95</v>
      </c>
      <c r="C93" s="100">
        <v>27.67</v>
      </c>
      <c r="D93" s="100">
        <v>20.58</v>
      </c>
      <c r="E93" s="100">
        <v>9.6300000000000008</v>
      </c>
      <c r="F93" s="100">
        <v>1.08</v>
      </c>
      <c r="G93" s="100">
        <v>123.67</v>
      </c>
      <c r="H93" s="100">
        <v>39.92</v>
      </c>
      <c r="I93" s="100">
        <v>11.23</v>
      </c>
      <c r="J93" s="100">
        <v>0.17</v>
      </c>
      <c r="K93" s="100">
        <v>203.75</v>
      </c>
      <c r="L93" s="100">
        <v>19.89</v>
      </c>
      <c r="M93" s="100">
        <v>72.790000000000006</v>
      </c>
      <c r="N93" s="100">
        <v>2</v>
      </c>
      <c r="O93" s="100">
        <v>0</v>
      </c>
      <c r="P93" s="100">
        <v>0.95</v>
      </c>
      <c r="Q93" s="100">
        <v>12.97</v>
      </c>
      <c r="R93" s="6"/>
      <c r="S93" s="6"/>
      <c r="T93" s="156"/>
      <c r="U93" s="6"/>
    </row>
    <row r="94" spans="1:21" customFormat="1">
      <c r="A94" s="163" t="s">
        <v>1572</v>
      </c>
      <c r="B94" s="100">
        <v>5.69</v>
      </c>
      <c r="C94" s="100">
        <v>27.24</v>
      </c>
      <c r="D94" s="100">
        <v>20.149999999999999</v>
      </c>
      <c r="E94" s="100">
        <v>9.7200000000000006</v>
      </c>
      <c r="F94" s="100">
        <v>1.29</v>
      </c>
      <c r="G94" s="100">
        <v>117.15</v>
      </c>
      <c r="H94" s="100">
        <v>38.24</v>
      </c>
      <c r="I94" s="100">
        <v>11.19</v>
      </c>
      <c r="J94" s="100">
        <v>0.12</v>
      </c>
      <c r="K94" s="100">
        <v>114.36</v>
      </c>
      <c r="L94" s="100">
        <v>19.420000000000002</v>
      </c>
      <c r="M94" s="100">
        <v>74.64</v>
      </c>
      <c r="N94" s="100">
        <v>1.6</v>
      </c>
      <c r="O94" s="100">
        <v>0</v>
      </c>
      <c r="P94" s="100">
        <v>0.95</v>
      </c>
      <c r="Q94" s="100">
        <v>12.97</v>
      </c>
      <c r="R94" s="6"/>
      <c r="S94" s="6"/>
      <c r="T94" s="156"/>
      <c r="U94" s="6"/>
    </row>
    <row r="95" spans="1:21" customFormat="1">
      <c r="A95" s="163" t="s">
        <v>1573</v>
      </c>
      <c r="B95" s="100">
        <v>5.68</v>
      </c>
      <c r="C95" s="100">
        <v>27.06</v>
      </c>
      <c r="D95" s="100">
        <v>20.05</v>
      </c>
      <c r="E95" s="100">
        <v>9.17</v>
      </c>
      <c r="F95" s="100">
        <v>1.99</v>
      </c>
      <c r="G95" s="100">
        <v>113.18</v>
      </c>
      <c r="H95" s="100">
        <v>37.909999999999997</v>
      </c>
      <c r="I95" s="100">
        <v>11.2</v>
      </c>
      <c r="J95" s="100">
        <v>0.13</v>
      </c>
      <c r="K95" s="100">
        <v>133.36000000000001</v>
      </c>
      <c r="L95" s="100">
        <v>19.399999999999999</v>
      </c>
      <c r="M95" s="100">
        <v>75.260000000000005</v>
      </c>
      <c r="N95" s="100">
        <v>1.5</v>
      </c>
      <c r="O95" s="100">
        <v>0</v>
      </c>
      <c r="P95" s="100">
        <v>0.95</v>
      </c>
      <c r="Q95" s="100">
        <v>12.96</v>
      </c>
      <c r="R95" s="6"/>
      <c r="S95" s="6"/>
      <c r="T95" s="156"/>
      <c r="U95" s="6"/>
    </row>
    <row r="96" spans="1:21" customFormat="1">
      <c r="A96" s="163" t="s">
        <v>1574</v>
      </c>
      <c r="B96" s="100">
        <v>5.9</v>
      </c>
      <c r="C96" s="100">
        <v>27.42</v>
      </c>
      <c r="D96" s="100">
        <v>20.41</v>
      </c>
      <c r="E96" s="100">
        <v>9.43</v>
      </c>
      <c r="F96" s="100">
        <v>6.81</v>
      </c>
      <c r="G96" s="100">
        <v>113.18</v>
      </c>
      <c r="H96" s="100">
        <v>37.909999999999997</v>
      </c>
      <c r="I96" s="100">
        <v>11.11</v>
      </c>
      <c r="J96" s="100">
        <v>0.21</v>
      </c>
      <c r="K96" s="100">
        <v>236.42</v>
      </c>
      <c r="L96" s="100">
        <v>18.989999999999998</v>
      </c>
      <c r="M96" s="100">
        <v>78.3</v>
      </c>
      <c r="N96" s="100">
        <v>1.7</v>
      </c>
      <c r="O96" s="100">
        <v>0</v>
      </c>
      <c r="P96" s="100">
        <v>0.96</v>
      </c>
      <c r="Q96" s="100">
        <v>12.98</v>
      </c>
      <c r="R96" s="6"/>
      <c r="S96" s="6"/>
      <c r="T96" s="156"/>
      <c r="U96" s="6"/>
    </row>
    <row r="97" spans="1:28" customFormat="1">
      <c r="A97" s="163" t="s">
        <v>1575</v>
      </c>
      <c r="B97" s="100">
        <v>6.31</v>
      </c>
      <c r="C97" s="100">
        <v>27.9</v>
      </c>
      <c r="D97" s="100">
        <v>20.99</v>
      </c>
      <c r="E97" s="100">
        <v>9.09</v>
      </c>
      <c r="F97" s="100">
        <v>3.29</v>
      </c>
      <c r="G97" s="100">
        <v>113.18</v>
      </c>
      <c r="H97" s="100">
        <v>37.909999999999997</v>
      </c>
      <c r="I97" s="100">
        <v>11.1</v>
      </c>
      <c r="J97" s="100">
        <v>0.21</v>
      </c>
      <c r="K97" s="100">
        <v>168.84</v>
      </c>
      <c r="L97" s="100">
        <v>18.579999999999998</v>
      </c>
      <c r="M97" s="100">
        <v>80.930000000000007</v>
      </c>
      <c r="N97" s="100">
        <v>1.7</v>
      </c>
      <c r="O97" s="100">
        <v>0</v>
      </c>
      <c r="P97" s="100">
        <v>0.98</v>
      </c>
      <c r="Q97" s="100">
        <v>12.97</v>
      </c>
      <c r="R97" s="6"/>
      <c r="S97" s="6"/>
      <c r="T97" s="156"/>
      <c r="U97" s="6"/>
    </row>
    <row r="98" spans="1:28" customFormat="1">
      <c r="A98" s="163" t="s">
        <v>1576</v>
      </c>
      <c r="B98" s="100">
        <v>6.55</v>
      </c>
      <c r="C98" s="100">
        <v>27.76</v>
      </c>
      <c r="D98" s="100">
        <v>21.11</v>
      </c>
      <c r="E98" s="100">
        <v>9.1</v>
      </c>
      <c r="F98" s="100">
        <v>0.91</v>
      </c>
      <c r="G98" s="100">
        <v>119.98</v>
      </c>
      <c r="H98" s="100">
        <v>41.48</v>
      </c>
      <c r="I98" s="100">
        <v>11.1</v>
      </c>
      <c r="J98" s="100">
        <v>0.12</v>
      </c>
      <c r="K98" s="100">
        <v>190.76</v>
      </c>
      <c r="L98" s="100">
        <v>18.079999999999998</v>
      </c>
      <c r="M98" s="100">
        <v>84.06</v>
      </c>
      <c r="N98" s="100">
        <v>1.7</v>
      </c>
      <c r="O98" s="100">
        <v>0</v>
      </c>
      <c r="P98" s="100">
        <v>0.98</v>
      </c>
      <c r="Q98" s="100">
        <v>12.98</v>
      </c>
      <c r="R98" s="6"/>
      <c r="S98" s="6"/>
      <c r="T98" s="156"/>
      <c r="U98" s="6"/>
    </row>
    <row r="99" spans="1:28" customFormat="1">
      <c r="A99" s="163" t="s">
        <v>1577</v>
      </c>
      <c r="B99" s="100">
        <v>6.67</v>
      </c>
      <c r="C99" s="100">
        <v>27.47</v>
      </c>
      <c r="D99" s="100">
        <v>21.05</v>
      </c>
      <c r="E99" s="100">
        <v>9.51</v>
      </c>
      <c r="F99" s="100">
        <v>4.0999999999999996</v>
      </c>
      <c r="G99" s="100">
        <v>124.11</v>
      </c>
      <c r="H99" s="100">
        <v>42.2</v>
      </c>
      <c r="I99" s="100">
        <v>11.13</v>
      </c>
      <c r="J99" s="100">
        <v>0.12</v>
      </c>
      <c r="K99" s="100">
        <v>199.13</v>
      </c>
      <c r="L99" s="100">
        <v>17.93</v>
      </c>
      <c r="M99" s="100">
        <v>84.01</v>
      </c>
      <c r="N99" s="100">
        <v>1.4</v>
      </c>
      <c r="O99" s="100">
        <v>0</v>
      </c>
      <c r="P99" s="100">
        <v>0.98</v>
      </c>
      <c r="Q99" s="100">
        <v>12.98</v>
      </c>
      <c r="R99" s="6"/>
      <c r="S99" s="6"/>
      <c r="T99" s="156"/>
      <c r="U99" s="6"/>
    </row>
    <row r="100" spans="1:28" customFormat="1">
      <c r="A100" s="163" t="s">
        <v>1578</v>
      </c>
      <c r="B100" s="100">
        <v>6.95</v>
      </c>
      <c r="C100" s="100">
        <v>27.53</v>
      </c>
      <c r="D100" s="100">
        <v>21.3</v>
      </c>
      <c r="E100" s="100">
        <v>9.39</v>
      </c>
      <c r="F100" s="100">
        <v>9.07</v>
      </c>
      <c r="G100" s="100">
        <v>124.11</v>
      </c>
      <c r="H100" s="100">
        <v>42.2</v>
      </c>
      <c r="I100" s="100">
        <v>11.17</v>
      </c>
      <c r="J100" s="100">
        <v>0.2</v>
      </c>
      <c r="K100" s="100">
        <v>72.19</v>
      </c>
      <c r="L100" s="100">
        <v>17.79</v>
      </c>
      <c r="M100" s="100">
        <v>85.62</v>
      </c>
      <c r="N100" s="100">
        <v>1.3</v>
      </c>
      <c r="O100" s="100">
        <v>0</v>
      </c>
      <c r="P100" s="100">
        <v>0.98</v>
      </c>
      <c r="Q100" s="100">
        <v>12.98</v>
      </c>
      <c r="R100" s="6"/>
      <c r="S100" s="6"/>
      <c r="T100" s="156"/>
      <c r="U100" s="6"/>
      <c r="AB100" s="161"/>
    </row>
    <row r="101" spans="1:28" customFormat="1">
      <c r="A101" s="163" t="s">
        <v>1579</v>
      </c>
      <c r="B101" s="100">
        <v>7.62</v>
      </c>
      <c r="C101" s="100">
        <v>27.7</v>
      </c>
      <c r="D101" s="100">
        <v>21.93</v>
      </c>
      <c r="E101" s="100">
        <v>9.43</v>
      </c>
      <c r="F101" s="100">
        <v>32.909999999999997</v>
      </c>
      <c r="G101" s="100">
        <v>124.11</v>
      </c>
      <c r="H101" s="100">
        <v>42.2</v>
      </c>
      <c r="I101" s="100">
        <v>11.15</v>
      </c>
      <c r="J101" s="100">
        <v>0.52</v>
      </c>
      <c r="K101" s="100">
        <v>61.37</v>
      </c>
      <c r="L101" s="100">
        <v>18.43</v>
      </c>
      <c r="M101" s="100">
        <v>78.47</v>
      </c>
      <c r="N101" s="100">
        <v>0.7</v>
      </c>
      <c r="O101" s="100">
        <v>0</v>
      </c>
      <c r="P101" s="100">
        <v>0.99</v>
      </c>
      <c r="Q101" s="100">
        <v>12.99</v>
      </c>
      <c r="R101" s="6"/>
      <c r="S101" s="6"/>
      <c r="T101" s="156"/>
      <c r="U101" s="6"/>
    </row>
    <row r="102" spans="1:28" customFormat="1">
      <c r="A102" s="163" t="s">
        <v>1580</v>
      </c>
      <c r="B102" s="100">
        <v>7.82</v>
      </c>
      <c r="C102" s="100">
        <v>27.81</v>
      </c>
      <c r="D102" s="100">
        <v>22.16</v>
      </c>
      <c r="E102" s="100">
        <v>9.3000000000000007</v>
      </c>
      <c r="F102" s="100">
        <v>4.59</v>
      </c>
      <c r="G102" s="100">
        <v>120.85</v>
      </c>
      <c r="H102" s="100">
        <v>41.54</v>
      </c>
      <c r="I102" s="100">
        <v>11.09</v>
      </c>
      <c r="J102" s="100">
        <v>0.48</v>
      </c>
      <c r="K102" s="100">
        <v>55.33</v>
      </c>
      <c r="L102" s="100">
        <v>18.72</v>
      </c>
      <c r="M102" s="100">
        <v>76.22</v>
      </c>
      <c r="N102" s="100">
        <v>1.1000000000000001</v>
      </c>
      <c r="O102" s="100">
        <v>0</v>
      </c>
      <c r="P102" s="100">
        <v>1</v>
      </c>
      <c r="Q102" s="100">
        <v>13</v>
      </c>
      <c r="R102" s="6"/>
      <c r="S102" s="6"/>
      <c r="T102" s="156"/>
      <c r="U102" s="6"/>
    </row>
    <row r="103" spans="1:28" customFormat="1">
      <c r="A103" s="163" t="s">
        <v>1581</v>
      </c>
      <c r="B103" s="100">
        <v>7.86</v>
      </c>
      <c r="C103" s="100">
        <v>28.47</v>
      </c>
      <c r="D103" s="100">
        <v>22.53</v>
      </c>
      <c r="E103" s="100">
        <v>9.31</v>
      </c>
      <c r="F103" s="100">
        <v>2.06</v>
      </c>
      <c r="G103" s="100">
        <v>118.87</v>
      </c>
      <c r="H103" s="100">
        <v>41.41</v>
      </c>
      <c r="I103" s="100">
        <v>11.24</v>
      </c>
      <c r="J103" s="100">
        <v>0.4</v>
      </c>
      <c r="K103" s="100">
        <v>59.84</v>
      </c>
      <c r="L103" s="100">
        <v>18.75</v>
      </c>
      <c r="M103" s="100">
        <v>75.540000000000006</v>
      </c>
      <c r="N103" s="100">
        <v>1.3</v>
      </c>
      <c r="O103" s="100">
        <v>0</v>
      </c>
      <c r="P103" s="100">
        <v>1.01</v>
      </c>
      <c r="Q103" s="100">
        <v>12.99</v>
      </c>
      <c r="R103" s="6"/>
      <c r="S103" s="6"/>
      <c r="T103" s="156"/>
      <c r="U103" s="6"/>
    </row>
    <row r="104" spans="1:28" customFormat="1">
      <c r="A104" s="163" t="s">
        <v>1582</v>
      </c>
      <c r="B104" s="100">
        <v>8.08</v>
      </c>
      <c r="C104" s="100">
        <v>29</v>
      </c>
      <c r="D104" s="100">
        <v>22.98</v>
      </c>
      <c r="E104" s="100">
        <v>8.91</v>
      </c>
      <c r="F104" s="100">
        <v>1.51</v>
      </c>
      <c r="G104" s="100">
        <v>118.87</v>
      </c>
      <c r="H104" s="100">
        <v>41.41</v>
      </c>
      <c r="I104" s="100">
        <v>11.2</v>
      </c>
      <c r="J104" s="100">
        <v>0.13</v>
      </c>
      <c r="K104" s="100">
        <v>106.2</v>
      </c>
      <c r="L104" s="100">
        <v>18.53</v>
      </c>
      <c r="M104" s="100">
        <v>77.069999999999993</v>
      </c>
      <c r="N104" s="100">
        <v>1.6</v>
      </c>
      <c r="O104" s="100">
        <v>0</v>
      </c>
      <c r="P104" s="100">
        <v>1.01</v>
      </c>
      <c r="Q104" s="100">
        <v>13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3.45</v>
      </c>
      <c r="C106" s="158">
        <f>MIN(C9:C104)</f>
        <v>23.06</v>
      </c>
      <c r="D106" s="158">
        <f t="shared" ref="D106:Q106" si="0">MIN(D9:D104)</f>
        <v>16.170000000000002</v>
      </c>
      <c r="E106" s="158">
        <f t="shared" si="0"/>
        <v>6.42</v>
      </c>
      <c r="F106" s="158">
        <f t="shared" si="0"/>
        <v>0.05</v>
      </c>
      <c r="G106" s="158">
        <f t="shared" si="0"/>
        <v>79.010000000000005</v>
      </c>
      <c r="H106" s="158">
        <f t="shared" si="0"/>
        <v>32.44</v>
      </c>
      <c r="I106" s="158">
        <f t="shared" si="0"/>
        <v>8.8800000000000008</v>
      </c>
      <c r="J106" s="158">
        <f t="shared" si="0"/>
        <v>0.03</v>
      </c>
      <c r="K106" s="158">
        <f t="shared" si="0"/>
        <v>24.79</v>
      </c>
      <c r="L106" s="158">
        <f t="shared" si="0"/>
        <v>14.73</v>
      </c>
      <c r="M106" s="158">
        <f t="shared" si="0"/>
        <v>45.27</v>
      </c>
      <c r="N106" s="158">
        <f t="shared" si="0"/>
        <v>0.7</v>
      </c>
      <c r="O106" s="158">
        <f t="shared" si="0"/>
        <v>0</v>
      </c>
      <c r="P106" s="158">
        <f t="shared" si="0"/>
        <v>0.73</v>
      </c>
      <c r="Q106" s="158">
        <f t="shared" si="0"/>
        <v>12.94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11.05</v>
      </c>
      <c r="C107" s="157">
        <f t="shared" ref="C107:Q107" si="1">MAX(C9:C104)</f>
        <v>29.47</v>
      </c>
      <c r="D107" s="157">
        <f t="shared" si="1"/>
        <v>24.93</v>
      </c>
      <c r="E107" s="157">
        <f t="shared" si="1"/>
        <v>11</v>
      </c>
      <c r="F107" s="157">
        <f t="shared" si="1"/>
        <v>131.13</v>
      </c>
      <c r="G107" s="157">
        <f t="shared" si="1"/>
        <v>127.46</v>
      </c>
      <c r="H107" s="157">
        <f t="shared" si="1"/>
        <v>45.79</v>
      </c>
      <c r="I107" s="157">
        <f t="shared" si="1"/>
        <v>15.72</v>
      </c>
      <c r="J107" s="157">
        <f t="shared" si="1"/>
        <v>1.3</v>
      </c>
      <c r="K107" s="157">
        <f t="shared" si="1"/>
        <v>266.88</v>
      </c>
      <c r="L107" s="157">
        <f t="shared" si="1"/>
        <v>27.22</v>
      </c>
      <c r="M107" s="157">
        <f t="shared" si="1"/>
        <v>90.77</v>
      </c>
      <c r="N107" s="157">
        <f t="shared" si="1"/>
        <v>316.39999999999998</v>
      </c>
      <c r="O107" s="157">
        <f t="shared" si="1"/>
        <v>0</v>
      </c>
      <c r="P107" s="157">
        <f t="shared" si="1"/>
        <v>1.1599999999999999</v>
      </c>
      <c r="Q107" s="157">
        <f t="shared" si="1"/>
        <v>13.01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7.4527083333333364</v>
      </c>
      <c r="C108" s="158">
        <f t="shared" ref="C108:Q108" si="2">AVERAGE(C9:C104)</f>
        <v>25.951770833333324</v>
      </c>
      <c r="D108" s="158">
        <f t="shared" si="2"/>
        <v>20.886666666666667</v>
      </c>
      <c r="E108" s="158">
        <f t="shared" si="2"/>
        <v>9.3127083333333314</v>
      </c>
      <c r="F108" s="158">
        <f t="shared" si="2"/>
        <v>11.71036144578313</v>
      </c>
      <c r="G108" s="158">
        <f t="shared" si="2"/>
        <v>93.624062500000051</v>
      </c>
      <c r="H108" s="158">
        <f t="shared" si="2"/>
        <v>36.668020833333351</v>
      </c>
      <c r="I108" s="158">
        <f t="shared" si="2"/>
        <v>11.125312500000005</v>
      </c>
      <c r="J108" s="158">
        <f t="shared" si="2"/>
        <v>0.46229166666666682</v>
      </c>
      <c r="K108" s="158">
        <f t="shared" si="2"/>
        <v>82.261666666666684</v>
      </c>
      <c r="L108" s="158">
        <f t="shared" si="2"/>
        <v>20.210937500000004</v>
      </c>
      <c r="M108" s="158">
        <f t="shared" si="2"/>
        <v>70.146145833333378</v>
      </c>
      <c r="N108" s="158">
        <f t="shared" si="2"/>
        <v>69.9166666666667</v>
      </c>
      <c r="O108" s="158">
        <f t="shared" si="2"/>
        <v>0</v>
      </c>
      <c r="P108" s="158">
        <f t="shared" si="2"/>
        <v>0.90864583333333337</v>
      </c>
      <c r="Q108" s="158">
        <f t="shared" si="2"/>
        <v>12.978020833333348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2.3828074901442777</v>
      </c>
      <c r="C109" s="158">
        <f t="shared" ref="C109:Q109" si="3">STDEV(C9:C104)</f>
        <v>1.8370508372140308</v>
      </c>
      <c r="D109" s="158">
        <f t="shared" si="3"/>
        <v>2.3490843307515252</v>
      </c>
      <c r="E109" s="158">
        <f t="shared" si="3"/>
        <v>0.98102253760975744</v>
      </c>
      <c r="F109" s="158">
        <f t="shared" si="3"/>
        <v>26.776535388820186</v>
      </c>
      <c r="G109" s="158">
        <f t="shared" si="3"/>
        <v>15.531085133615877</v>
      </c>
      <c r="H109" s="158">
        <f t="shared" si="3"/>
        <v>3.0871279856140399</v>
      </c>
      <c r="I109" s="158">
        <f t="shared" si="3"/>
        <v>1.5461537699281531</v>
      </c>
      <c r="J109" s="158">
        <f t="shared" si="3"/>
        <v>0.27445440294927925</v>
      </c>
      <c r="K109" s="158">
        <f t="shared" si="3"/>
        <v>52.946126237041831</v>
      </c>
      <c r="L109" s="158">
        <f t="shared" si="3"/>
        <v>3.9748676450986924</v>
      </c>
      <c r="M109" s="158">
        <f t="shared" si="3"/>
        <v>14.738650610932213</v>
      </c>
      <c r="N109" s="158">
        <f t="shared" si="3"/>
        <v>104.93811074971421</v>
      </c>
      <c r="O109" s="158">
        <f t="shared" si="3"/>
        <v>0</v>
      </c>
      <c r="P109" s="158">
        <f t="shared" si="3"/>
        <v>9.7900269250387389E-2</v>
      </c>
      <c r="Q109" s="158">
        <f t="shared" si="3"/>
        <v>1.6132333773588175E-2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COUNT(F9:F104)+13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K11" sqref="K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1583</v>
      </c>
      <c r="B9" s="100">
        <v>7.93</v>
      </c>
      <c r="C9" s="100">
        <v>28.5</v>
      </c>
      <c r="D9" s="100">
        <v>22.6</v>
      </c>
      <c r="E9" s="100">
        <v>8.67</v>
      </c>
      <c r="F9" s="100">
        <v>10.93</v>
      </c>
      <c r="G9" s="100">
        <v>118.87</v>
      </c>
      <c r="H9" s="100">
        <v>41.41</v>
      </c>
      <c r="I9" s="100">
        <v>11.28</v>
      </c>
      <c r="J9" s="100">
        <v>0.24</v>
      </c>
      <c r="K9" s="100">
        <v>64.989999999999995</v>
      </c>
      <c r="L9" s="100">
        <v>18.309999999999999</v>
      </c>
      <c r="M9" s="100">
        <v>77.55</v>
      </c>
      <c r="N9" s="100">
        <v>1.5</v>
      </c>
      <c r="O9" s="100">
        <v>0</v>
      </c>
      <c r="P9" s="100">
        <v>1.01</v>
      </c>
      <c r="Q9" s="100">
        <v>13</v>
      </c>
      <c r="R9" s="6"/>
      <c r="S9" s="6"/>
      <c r="T9" s="156"/>
      <c r="U9" s="6"/>
    </row>
    <row r="10" spans="1:21" customFormat="1">
      <c r="A10" s="163" t="s">
        <v>1584</v>
      </c>
      <c r="B10" s="100">
        <v>7.93</v>
      </c>
      <c r="C10" s="100">
        <v>29.57</v>
      </c>
      <c r="D10" s="100">
        <v>23.16</v>
      </c>
      <c r="E10" s="100">
        <v>9</v>
      </c>
      <c r="F10" s="100">
        <v>0.97</v>
      </c>
      <c r="G10" s="100">
        <v>121.34</v>
      </c>
      <c r="H10" s="100">
        <v>41.87</v>
      </c>
      <c r="I10" s="100">
        <v>11.43</v>
      </c>
      <c r="J10" s="100">
        <v>0.3</v>
      </c>
      <c r="K10" s="100">
        <v>44.98</v>
      </c>
      <c r="L10" s="100">
        <v>18.32</v>
      </c>
      <c r="M10" s="100">
        <v>76.760000000000005</v>
      </c>
      <c r="N10" s="100">
        <v>1.2</v>
      </c>
      <c r="O10" s="100">
        <v>0</v>
      </c>
      <c r="P10" s="100">
        <v>1.01</v>
      </c>
      <c r="Q10" s="100">
        <v>13</v>
      </c>
      <c r="R10" s="6"/>
      <c r="S10" s="6"/>
      <c r="T10" s="156"/>
      <c r="U10" s="6"/>
    </row>
    <row r="11" spans="1:21" customFormat="1">
      <c r="A11" s="163" t="s">
        <v>1585</v>
      </c>
      <c r="B11" s="100">
        <v>7.85</v>
      </c>
      <c r="C11" s="100">
        <v>29.87</v>
      </c>
      <c r="D11" s="100">
        <v>23.25</v>
      </c>
      <c r="E11" s="100">
        <v>8.24</v>
      </c>
      <c r="F11" s="100">
        <v>7.0000000000000007E-2</v>
      </c>
      <c r="G11" s="100">
        <v>122.84</v>
      </c>
      <c r="H11" s="100">
        <v>41.97</v>
      </c>
      <c r="I11" s="100">
        <v>11.53</v>
      </c>
      <c r="J11" s="100">
        <v>0.21</v>
      </c>
      <c r="K11" s="100">
        <v>57.07</v>
      </c>
      <c r="L11" s="100">
        <v>18.260000000000002</v>
      </c>
      <c r="M11" s="100">
        <v>76.2</v>
      </c>
      <c r="N11" s="100">
        <v>1.4</v>
      </c>
      <c r="O11" s="100">
        <v>0</v>
      </c>
      <c r="P11" s="100">
        <v>1.01</v>
      </c>
      <c r="Q11" s="100">
        <v>12.99</v>
      </c>
      <c r="R11" s="6"/>
      <c r="S11" s="6"/>
      <c r="T11" s="156"/>
      <c r="U11" s="6"/>
    </row>
    <row r="12" spans="1:21" customFormat="1">
      <c r="A12" s="163" t="s">
        <v>1586</v>
      </c>
      <c r="B12" s="100">
        <v>7.66</v>
      </c>
      <c r="C12" s="100">
        <v>29.81</v>
      </c>
      <c r="D12" s="100">
        <v>23.07</v>
      </c>
      <c r="E12" s="100">
        <v>8.6</v>
      </c>
      <c r="F12" s="100">
        <v>1.18</v>
      </c>
      <c r="G12" s="100">
        <v>122.84</v>
      </c>
      <c r="H12" s="100">
        <v>41.97</v>
      </c>
      <c r="I12" s="100">
        <v>11.64</v>
      </c>
      <c r="J12" s="100">
        <v>0.28999999999999998</v>
      </c>
      <c r="K12" s="100">
        <v>70.42</v>
      </c>
      <c r="L12" s="100">
        <v>18.23</v>
      </c>
      <c r="M12" s="100">
        <v>74.48</v>
      </c>
      <c r="N12" s="100">
        <v>1.3</v>
      </c>
      <c r="O12" s="100">
        <v>0</v>
      </c>
      <c r="P12" s="100">
        <v>1</v>
      </c>
      <c r="Q12" s="100">
        <v>12.99</v>
      </c>
      <c r="R12" s="6"/>
      <c r="S12" s="6"/>
      <c r="T12" s="156"/>
      <c r="U12" s="6"/>
    </row>
    <row r="13" spans="1:21" customFormat="1">
      <c r="A13" s="163" t="s">
        <v>1587</v>
      </c>
      <c r="B13" s="100">
        <v>7.19</v>
      </c>
      <c r="C13" s="100">
        <v>29.61</v>
      </c>
      <c r="D13" s="100">
        <v>22.59</v>
      </c>
      <c r="E13" s="100">
        <v>7.92</v>
      </c>
      <c r="F13" s="100">
        <v>0.05</v>
      </c>
      <c r="G13" s="100">
        <v>122.84</v>
      </c>
      <c r="H13" s="100">
        <v>41.97</v>
      </c>
      <c r="I13" s="100">
        <v>11.76</v>
      </c>
      <c r="J13" s="100">
        <v>0.37</v>
      </c>
      <c r="K13" s="100">
        <v>52.58</v>
      </c>
      <c r="L13" s="100">
        <v>18.22</v>
      </c>
      <c r="M13" s="100">
        <v>72.02</v>
      </c>
      <c r="N13" s="100">
        <v>1.3</v>
      </c>
      <c r="O13" s="100">
        <v>0</v>
      </c>
      <c r="P13" s="100">
        <v>1</v>
      </c>
      <c r="Q13" s="100">
        <v>12.98</v>
      </c>
      <c r="R13" s="6"/>
      <c r="S13" s="6"/>
      <c r="T13" s="156"/>
      <c r="U13" s="6"/>
    </row>
    <row r="14" spans="1:21" customFormat="1">
      <c r="A14" s="163" t="s">
        <v>1588</v>
      </c>
      <c r="B14" s="100">
        <v>6.85</v>
      </c>
      <c r="C14" s="100">
        <v>29.36</v>
      </c>
      <c r="D14" s="100">
        <v>22.18</v>
      </c>
      <c r="E14" s="100">
        <v>8.67</v>
      </c>
      <c r="F14" s="100">
        <v>0.43</v>
      </c>
      <c r="G14" s="100">
        <v>118.92</v>
      </c>
      <c r="H14" s="100">
        <v>45.06</v>
      </c>
      <c r="I14" s="100">
        <v>11.79</v>
      </c>
      <c r="J14" s="100">
        <v>0.36</v>
      </c>
      <c r="K14" s="100">
        <v>50.2</v>
      </c>
      <c r="L14" s="100">
        <v>18.13</v>
      </c>
      <c r="M14" s="100">
        <v>71.94</v>
      </c>
      <c r="N14" s="100">
        <v>1.4</v>
      </c>
      <c r="O14" s="100">
        <v>0</v>
      </c>
      <c r="P14" s="100">
        <v>0.98</v>
      </c>
      <c r="Q14" s="100">
        <v>12.98</v>
      </c>
      <c r="R14" s="6"/>
      <c r="S14" s="6"/>
      <c r="T14" s="156"/>
      <c r="U14" s="6"/>
    </row>
    <row r="15" spans="1:21" customFormat="1">
      <c r="A15" s="163" t="s">
        <v>1589</v>
      </c>
      <c r="B15" s="100">
        <v>6.65</v>
      </c>
      <c r="C15" s="100">
        <v>29.06</v>
      </c>
      <c r="D15" s="100">
        <v>21.86</v>
      </c>
      <c r="E15" s="100">
        <v>8.35</v>
      </c>
      <c r="F15" s="100">
        <v>1.4</v>
      </c>
      <c r="G15" s="100">
        <v>116.54</v>
      </c>
      <c r="H15" s="100">
        <v>45.74</v>
      </c>
      <c r="I15" s="100">
        <v>11.74</v>
      </c>
      <c r="J15" s="100">
        <v>0.2</v>
      </c>
      <c r="K15" s="100">
        <v>56.68</v>
      </c>
      <c r="L15" s="100">
        <v>17.899999999999999</v>
      </c>
      <c r="M15" s="100">
        <v>73.37</v>
      </c>
      <c r="N15" s="100">
        <v>1.6</v>
      </c>
      <c r="O15" s="100">
        <v>0</v>
      </c>
      <c r="P15" s="100">
        <v>0.96</v>
      </c>
      <c r="Q15" s="100">
        <v>12.98</v>
      </c>
      <c r="R15" s="6"/>
      <c r="S15" s="6"/>
      <c r="T15" s="156"/>
      <c r="U15" s="6"/>
    </row>
    <row r="16" spans="1:21" customFormat="1">
      <c r="A16" s="163" t="s">
        <v>1590</v>
      </c>
      <c r="B16" s="100">
        <v>6.45</v>
      </c>
      <c r="C16" s="100">
        <v>28.77</v>
      </c>
      <c r="D16" s="100">
        <v>21.56</v>
      </c>
      <c r="E16" s="100">
        <v>8.2899999999999991</v>
      </c>
      <c r="F16" s="100">
        <v>0.77</v>
      </c>
      <c r="G16" s="100">
        <v>116.54</v>
      </c>
      <c r="H16" s="100">
        <v>45.74</v>
      </c>
      <c r="I16" s="100">
        <v>11.75</v>
      </c>
      <c r="J16" s="100">
        <v>0.27</v>
      </c>
      <c r="K16" s="100">
        <v>62.76</v>
      </c>
      <c r="L16" s="100">
        <v>17.77</v>
      </c>
      <c r="M16" s="100">
        <v>72.849999999999994</v>
      </c>
      <c r="N16" s="100">
        <v>1.4</v>
      </c>
      <c r="O16" s="100">
        <v>0</v>
      </c>
      <c r="P16" s="100">
        <v>0.94</v>
      </c>
      <c r="Q16" s="100">
        <v>12.99</v>
      </c>
      <c r="R16" s="6"/>
      <c r="S16" s="6"/>
      <c r="T16" s="156"/>
      <c r="U16" s="6"/>
    </row>
    <row r="17" spans="1:21" customFormat="1">
      <c r="A17" s="163" t="s">
        <v>1591</v>
      </c>
      <c r="B17" s="100">
        <v>6.23</v>
      </c>
      <c r="C17" s="100">
        <v>28.33</v>
      </c>
      <c r="D17" s="100">
        <v>21.15</v>
      </c>
      <c r="E17" s="100">
        <v>7.29</v>
      </c>
      <c r="F17" s="100">
        <v>1.58</v>
      </c>
      <c r="G17" s="100">
        <v>116.54</v>
      </c>
      <c r="H17" s="100">
        <v>45.74</v>
      </c>
      <c r="I17" s="100">
        <v>11.63</v>
      </c>
      <c r="J17" s="100">
        <v>0.1</v>
      </c>
      <c r="K17" s="100">
        <v>123.1</v>
      </c>
      <c r="L17" s="100">
        <v>17.32</v>
      </c>
      <c r="M17" s="100">
        <v>77.64</v>
      </c>
      <c r="N17" s="100">
        <v>2</v>
      </c>
      <c r="O17" s="100">
        <v>0</v>
      </c>
      <c r="P17" s="100">
        <v>0.94</v>
      </c>
      <c r="Q17" s="100">
        <v>12.97</v>
      </c>
      <c r="R17" s="6"/>
      <c r="S17" s="6"/>
      <c r="T17" s="156"/>
      <c r="U17" s="6"/>
    </row>
    <row r="18" spans="1:21" customFormat="1">
      <c r="A18" s="163" t="s">
        <v>1592</v>
      </c>
      <c r="B18" s="100">
        <v>6.27</v>
      </c>
      <c r="C18" s="100">
        <v>28.02</v>
      </c>
      <c r="D18" s="100">
        <v>21.01</v>
      </c>
      <c r="E18" s="100">
        <v>8.23</v>
      </c>
      <c r="F18" s="100">
        <v>2.46</v>
      </c>
      <c r="G18" s="100">
        <v>110.79</v>
      </c>
      <c r="H18" s="100">
        <v>43.48</v>
      </c>
      <c r="I18" s="100">
        <v>11.53</v>
      </c>
      <c r="J18" s="100">
        <v>7.0000000000000007E-2</v>
      </c>
      <c r="K18" s="100">
        <v>59.27</v>
      </c>
      <c r="L18" s="100">
        <v>17.16</v>
      </c>
      <c r="M18" s="100">
        <v>77.45</v>
      </c>
      <c r="N18" s="100">
        <v>1.4</v>
      </c>
      <c r="O18" s="100">
        <v>0</v>
      </c>
      <c r="P18" s="100">
        <v>0.92</v>
      </c>
      <c r="Q18" s="100">
        <v>12.99</v>
      </c>
      <c r="R18" s="6"/>
      <c r="S18" s="6"/>
      <c r="T18" s="156"/>
      <c r="U18" s="6"/>
    </row>
    <row r="19" spans="1:21" customFormat="1">
      <c r="A19" s="163" t="s">
        <v>1593</v>
      </c>
      <c r="B19" s="100">
        <v>6.54</v>
      </c>
      <c r="C19" s="100">
        <v>27.96</v>
      </c>
      <c r="D19" s="100">
        <v>21.2</v>
      </c>
      <c r="E19" s="100">
        <v>8.2200000000000006</v>
      </c>
      <c r="F19" s="100">
        <v>0.28999999999999998</v>
      </c>
      <c r="G19" s="100">
        <v>107.31</v>
      </c>
      <c r="H19" s="100">
        <v>42.61</v>
      </c>
      <c r="I19" s="100">
        <v>11.35</v>
      </c>
      <c r="J19" s="100">
        <v>0.24</v>
      </c>
      <c r="K19" s="100">
        <v>63.43</v>
      </c>
      <c r="L19" s="100">
        <v>17.2</v>
      </c>
      <c r="M19" s="100">
        <v>76.31</v>
      </c>
      <c r="N19" s="100">
        <v>1.4</v>
      </c>
      <c r="O19" s="100">
        <v>0</v>
      </c>
      <c r="P19" s="100">
        <v>0.9</v>
      </c>
      <c r="Q19" s="100">
        <v>12.97</v>
      </c>
      <c r="R19" s="6"/>
      <c r="S19" s="6"/>
      <c r="T19" s="156"/>
      <c r="U19" s="6"/>
    </row>
    <row r="20" spans="1:21" customFormat="1">
      <c r="A20" s="163" t="s">
        <v>1594</v>
      </c>
      <c r="B20" s="100">
        <v>6.75</v>
      </c>
      <c r="C20" s="100">
        <v>27.82</v>
      </c>
      <c r="D20" s="100">
        <v>21.3</v>
      </c>
      <c r="E20" s="100">
        <v>8.2799999999999994</v>
      </c>
      <c r="F20" s="100">
        <v>0.31</v>
      </c>
      <c r="G20" s="100">
        <v>107.31</v>
      </c>
      <c r="H20" s="100">
        <v>42.61</v>
      </c>
      <c r="I20" s="100">
        <v>11.26</v>
      </c>
      <c r="J20" s="100">
        <v>0.2</v>
      </c>
      <c r="K20" s="100">
        <v>14.79</v>
      </c>
      <c r="L20" s="100">
        <v>16.93</v>
      </c>
      <c r="M20" s="100">
        <v>77.510000000000005</v>
      </c>
      <c r="N20" s="100">
        <v>1.4</v>
      </c>
      <c r="O20" s="100">
        <v>0</v>
      </c>
      <c r="P20" s="100">
        <v>0.9</v>
      </c>
      <c r="Q20" s="100">
        <v>12.97</v>
      </c>
      <c r="R20" s="6"/>
      <c r="S20" s="6"/>
      <c r="T20" s="156"/>
      <c r="U20" s="6"/>
    </row>
    <row r="21" spans="1:21" customFormat="1">
      <c r="A21" s="163" t="s">
        <v>1595</v>
      </c>
      <c r="B21" s="100">
        <v>6.91</v>
      </c>
      <c r="C21" s="100">
        <v>27.64</v>
      </c>
      <c r="D21" s="100">
        <v>21.33</v>
      </c>
      <c r="E21" s="100">
        <v>8.26</v>
      </c>
      <c r="F21" s="100">
        <v>1.08</v>
      </c>
      <c r="G21" s="100">
        <v>107.31</v>
      </c>
      <c r="H21" s="100">
        <v>42.61</v>
      </c>
      <c r="I21" s="100">
        <v>11.15</v>
      </c>
      <c r="J21" s="100">
        <v>0.33</v>
      </c>
      <c r="K21" s="100">
        <v>51.02</v>
      </c>
      <c r="L21" s="100">
        <v>16.989999999999998</v>
      </c>
      <c r="M21" s="100">
        <v>75.540000000000006</v>
      </c>
      <c r="N21" s="100">
        <v>1.3</v>
      </c>
      <c r="O21" s="100">
        <v>0</v>
      </c>
      <c r="P21" s="100">
        <v>0.89</v>
      </c>
      <c r="Q21" s="100">
        <v>12.98</v>
      </c>
      <c r="R21" s="6"/>
      <c r="S21" s="6"/>
      <c r="T21" s="156"/>
      <c r="U21" s="6"/>
    </row>
    <row r="22" spans="1:21" customFormat="1">
      <c r="A22" s="163" t="s">
        <v>1596</v>
      </c>
      <c r="B22" s="100">
        <v>6.89</v>
      </c>
      <c r="C22" s="100">
        <v>27.44</v>
      </c>
      <c r="D22" s="100">
        <v>21.21</v>
      </c>
      <c r="E22" s="100">
        <v>8.3000000000000007</v>
      </c>
      <c r="F22" s="100">
        <v>1.18</v>
      </c>
      <c r="G22" s="100">
        <v>100.73</v>
      </c>
      <c r="H22" s="100">
        <v>38.43</v>
      </c>
      <c r="I22" s="100">
        <v>11.07</v>
      </c>
      <c r="J22" s="100">
        <v>0.32</v>
      </c>
      <c r="K22" s="100">
        <v>44.72</v>
      </c>
      <c r="L22" s="100">
        <v>17.13</v>
      </c>
      <c r="M22" s="100">
        <v>74.02</v>
      </c>
      <c r="N22" s="100">
        <v>1.2</v>
      </c>
      <c r="O22" s="100">
        <v>0</v>
      </c>
      <c r="P22" s="100">
        <v>0.88</v>
      </c>
      <c r="Q22" s="100">
        <v>12.98</v>
      </c>
      <c r="R22" s="6"/>
      <c r="S22" s="6"/>
      <c r="T22" s="156"/>
      <c r="U22" s="6"/>
    </row>
    <row r="23" spans="1:21" customFormat="1">
      <c r="A23" s="163" t="s">
        <v>1597</v>
      </c>
      <c r="B23" s="100">
        <v>6.8</v>
      </c>
      <c r="C23" s="100">
        <v>27.1</v>
      </c>
      <c r="D23" s="100">
        <v>20.96</v>
      </c>
      <c r="E23" s="100">
        <v>7.94</v>
      </c>
      <c r="F23" s="100">
        <v>0.32</v>
      </c>
      <c r="G23" s="100">
        <v>96.75</v>
      </c>
      <c r="H23" s="100">
        <v>37.520000000000003</v>
      </c>
      <c r="I23" s="100">
        <v>10.91</v>
      </c>
      <c r="J23" s="100">
        <v>0.15</v>
      </c>
      <c r="K23" s="100">
        <v>41.02</v>
      </c>
      <c r="L23" s="100">
        <v>16.87</v>
      </c>
      <c r="M23" s="100">
        <v>76.58</v>
      </c>
      <c r="N23" s="100">
        <v>1.6</v>
      </c>
      <c r="O23" s="100">
        <v>0</v>
      </c>
      <c r="P23" s="100">
        <v>0.86</v>
      </c>
      <c r="Q23" s="100">
        <v>12.98</v>
      </c>
      <c r="R23" s="6"/>
      <c r="S23" s="6"/>
      <c r="T23" s="156"/>
      <c r="U23" s="6"/>
    </row>
    <row r="24" spans="1:21" customFormat="1">
      <c r="A24" s="163" t="s">
        <v>1598</v>
      </c>
      <c r="B24" s="100">
        <v>6.95</v>
      </c>
      <c r="C24" s="100">
        <v>26.9</v>
      </c>
      <c r="D24" s="100">
        <v>20.98</v>
      </c>
      <c r="E24" s="100">
        <v>7.84</v>
      </c>
      <c r="F24" s="100">
        <v>1.53</v>
      </c>
      <c r="G24" s="100">
        <v>96.75</v>
      </c>
      <c r="H24" s="100">
        <v>37.520000000000003</v>
      </c>
      <c r="I24" s="100">
        <v>10.8</v>
      </c>
      <c r="J24" s="100">
        <v>0.23</v>
      </c>
      <c r="K24" s="100">
        <v>61.91</v>
      </c>
      <c r="L24" s="100">
        <v>16.68</v>
      </c>
      <c r="M24" s="100">
        <v>77.58</v>
      </c>
      <c r="N24" s="100">
        <v>1.5</v>
      </c>
      <c r="O24" s="100">
        <v>0</v>
      </c>
      <c r="P24" s="100">
        <v>0.87</v>
      </c>
      <c r="Q24" s="100">
        <v>12.97</v>
      </c>
      <c r="R24" s="6"/>
      <c r="S24" s="6"/>
      <c r="T24" s="156"/>
      <c r="U24" s="6"/>
    </row>
    <row r="25" spans="1:21" customFormat="1">
      <c r="A25" s="163" t="s">
        <v>1599</v>
      </c>
      <c r="B25" s="100">
        <v>7.04</v>
      </c>
      <c r="C25" s="100">
        <v>26.59</v>
      </c>
      <c r="D25" s="100">
        <v>20.89</v>
      </c>
      <c r="E25" s="100">
        <v>7.89</v>
      </c>
      <c r="F25" s="100">
        <v>0.74</v>
      </c>
      <c r="G25" s="100">
        <v>96.75</v>
      </c>
      <c r="H25" s="100">
        <v>37.520000000000003</v>
      </c>
      <c r="I25" s="100">
        <v>10.66</v>
      </c>
      <c r="J25" s="100">
        <v>0.73</v>
      </c>
      <c r="K25" s="100">
        <v>51.06</v>
      </c>
      <c r="L25" s="100">
        <v>16.71</v>
      </c>
      <c r="M25" s="100">
        <v>77.319999999999993</v>
      </c>
      <c r="N25" s="100">
        <v>1.3</v>
      </c>
      <c r="O25" s="100">
        <v>0</v>
      </c>
      <c r="P25" s="100">
        <v>0.85</v>
      </c>
      <c r="Q25" s="100">
        <v>12.98</v>
      </c>
      <c r="R25" s="6"/>
      <c r="S25" s="6"/>
      <c r="T25" s="156"/>
      <c r="U25" s="6"/>
    </row>
    <row r="26" spans="1:21" customFormat="1">
      <c r="A26" s="163" t="s">
        <v>1600</v>
      </c>
      <c r="B26" s="100">
        <v>7</v>
      </c>
      <c r="C26" s="100">
        <v>26.14</v>
      </c>
      <c r="D26" s="100">
        <v>20.63</v>
      </c>
      <c r="E26" s="100">
        <v>7.97</v>
      </c>
      <c r="F26" s="100">
        <v>0.45</v>
      </c>
      <c r="G26" s="100">
        <v>96.58</v>
      </c>
      <c r="H26" s="100">
        <v>37.46</v>
      </c>
      <c r="I26" s="100">
        <v>10.59</v>
      </c>
      <c r="J26" s="100">
        <v>0.17</v>
      </c>
      <c r="K26" s="100">
        <v>70.31</v>
      </c>
      <c r="L26" s="100">
        <v>16.579999999999998</v>
      </c>
      <c r="M26" s="100">
        <v>79.22</v>
      </c>
      <c r="N26" s="100">
        <v>1.6</v>
      </c>
      <c r="O26" s="100">
        <v>0</v>
      </c>
      <c r="P26" s="100">
        <v>0.85</v>
      </c>
      <c r="Q26" s="100">
        <v>12.97</v>
      </c>
      <c r="R26" s="6"/>
      <c r="S26" s="6"/>
      <c r="T26" s="156"/>
      <c r="U26" s="6"/>
    </row>
    <row r="27" spans="1:21" customFormat="1">
      <c r="A27" s="163" t="s">
        <v>1601</v>
      </c>
      <c r="B27" s="100">
        <v>7.08</v>
      </c>
      <c r="C27" s="100">
        <v>26.42</v>
      </c>
      <c r="D27" s="100">
        <v>20.83</v>
      </c>
      <c r="E27" s="100">
        <v>8.33</v>
      </c>
      <c r="F27" s="100">
        <v>0.4</v>
      </c>
      <c r="G27" s="100">
        <v>96.49</v>
      </c>
      <c r="H27" s="100">
        <v>37.44</v>
      </c>
      <c r="I27" s="100">
        <v>10.51</v>
      </c>
      <c r="J27" s="100">
        <v>0.27</v>
      </c>
      <c r="K27" s="100">
        <v>47.76</v>
      </c>
      <c r="L27" s="100">
        <v>16.309999999999999</v>
      </c>
      <c r="M27" s="100">
        <v>81.239999999999995</v>
      </c>
      <c r="N27" s="100">
        <v>1.5</v>
      </c>
      <c r="O27" s="100">
        <v>0</v>
      </c>
      <c r="P27" s="100">
        <v>0.84</v>
      </c>
      <c r="Q27" s="100">
        <v>12.96</v>
      </c>
      <c r="R27" s="6"/>
      <c r="S27" s="6"/>
      <c r="T27" s="156"/>
      <c r="U27" s="6"/>
    </row>
    <row r="28" spans="1:21" customFormat="1">
      <c r="A28" s="163" t="s">
        <v>1602</v>
      </c>
      <c r="B28" s="100">
        <v>7.74</v>
      </c>
      <c r="C28" s="100">
        <v>26.71</v>
      </c>
      <c r="D28" s="100">
        <v>21.51</v>
      </c>
      <c r="E28" s="100">
        <v>7.98</v>
      </c>
      <c r="F28" s="100">
        <v>4.3499999999999996</v>
      </c>
      <c r="G28" s="100">
        <v>96.49</v>
      </c>
      <c r="H28" s="100">
        <v>37.44</v>
      </c>
      <c r="I28" s="100">
        <v>10.44</v>
      </c>
      <c r="J28" s="100">
        <v>0.26</v>
      </c>
      <c r="K28" s="100">
        <v>40.67</v>
      </c>
      <c r="L28" s="100">
        <v>16.05</v>
      </c>
      <c r="M28" s="100">
        <v>83.51</v>
      </c>
      <c r="N28" s="100">
        <v>1.6</v>
      </c>
      <c r="O28" s="100">
        <v>0</v>
      </c>
      <c r="P28" s="100">
        <v>0.83</v>
      </c>
      <c r="Q28" s="100">
        <v>12.96</v>
      </c>
      <c r="R28" s="6"/>
      <c r="S28" s="6"/>
      <c r="T28" s="156"/>
      <c r="U28" s="6"/>
    </row>
    <row r="29" spans="1:21" customFormat="1">
      <c r="A29" s="163" t="s">
        <v>1603</v>
      </c>
      <c r="B29" s="100">
        <v>8.4700000000000006</v>
      </c>
      <c r="C29" s="100">
        <v>26.75</v>
      </c>
      <c r="D29" s="100">
        <v>22.12</v>
      </c>
      <c r="E29" s="100">
        <v>8.2100000000000009</v>
      </c>
      <c r="F29" s="100">
        <v>12.32</v>
      </c>
      <c r="G29" s="100">
        <v>96.49</v>
      </c>
      <c r="H29" s="100">
        <v>37.44</v>
      </c>
      <c r="I29" s="100">
        <v>10.46</v>
      </c>
      <c r="J29" s="100">
        <v>0.11</v>
      </c>
      <c r="K29" s="100">
        <v>264.58</v>
      </c>
      <c r="L29" s="100">
        <v>15.93</v>
      </c>
      <c r="M29" s="100">
        <v>84.65</v>
      </c>
      <c r="N29" s="100">
        <v>1.5</v>
      </c>
      <c r="O29" s="100">
        <v>0</v>
      </c>
      <c r="P29" s="100">
        <v>0.83</v>
      </c>
      <c r="Q29" s="100">
        <v>12.98</v>
      </c>
      <c r="R29" s="6"/>
      <c r="S29" s="6"/>
      <c r="T29" s="156"/>
      <c r="U29" s="6"/>
    </row>
    <row r="30" spans="1:21" customFormat="1">
      <c r="A30" s="163" t="s">
        <v>1604</v>
      </c>
      <c r="B30" s="100">
        <v>8.7899999999999991</v>
      </c>
      <c r="C30" s="100">
        <v>26.65</v>
      </c>
      <c r="D30" s="100">
        <v>22.33</v>
      </c>
      <c r="E30" s="100">
        <v>7.61</v>
      </c>
      <c r="F30" s="100">
        <v>5.35</v>
      </c>
      <c r="G30" s="100">
        <v>98.87</v>
      </c>
      <c r="H30" s="100">
        <v>37.86</v>
      </c>
      <c r="I30" s="100">
        <v>10.43</v>
      </c>
      <c r="J30" s="100">
        <v>0.03</v>
      </c>
      <c r="K30" s="100">
        <v>75.75</v>
      </c>
      <c r="L30" s="100">
        <v>15.69</v>
      </c>
      <c r="M30" s="100">
        <v>86.21</v>
      </c>
      <c r="N30" s="100">
        <v>1.5</v>
      </c>
      <c r="O30" s="100">
        <v>0</v>
      </c>
      <c r="P30" s="100">
        <v>0.83</v>
      </c>
      <c r="Q30" s="100">
        <v>12.97</v>
      </c>
      <c r="R30" s="6"/>
      <c r="S30" s="6"/>
      <c r="T30" s="156"/>
      <c r="U30" s="6"/>
    </row>
    <row r="31" spans="1:21" customFormat="1">
      <c r="A31" s="163" t="s">
        <v>1605</v>
      </c>
      <c r="B31" s="100">
        <v>9.34</v>
      </c>
      <c r="C31" s="100">
        <v>26.47</v>
      </c>
      <c r="D31" s="100">
        <v>22.67</v>
      </c>
      <c r="E31" s="100">
        <v>8.32</v>
      </c>
      <c r="F31" s="100">
        <v>65.64</v>
      </c>
      <c r="G31" s="100">
        <v>100.31</v>
      </c>
      <c r="H31" s="100">
        <v>37.950000000000003</v>
      </c>
      <c r="I31" s="100">
        <v>10.44</v>
      </c>
      <c r="J31" s="100">
        <v>0.44</v>
      </c>
      <c r="K31" s="100">
        <v>33.39</v>
      </c>
      <c r="L31" s="100">
        <v>15.75</v>
      </c>
      <c r="M31" s="100">
        <v>85.66</v>
      </c>
      <c r="N31" s="100">
        <v>1.2</v>
      </c>
      <c r="O31" s="100">
        <v>0</v>
      </c>
      <c r="P31" s="100">
        <v>0.84</v>
      </c>
      <c r="Q31" s="100">
        <v>12.97</v>
      </c>
      <c r="R31" s="6"/>
      <c r="S31" s="6"/>
      <c r="T31" s="156"/>
      <c r="U31" s="6"/>
    </row>
    <row r="32" spans="1:21" customFormat="1">
      <c r="A32" s="163" t="s">
        <v>1606</v>
      </c>
      <c r="B32" s="100">
        <v>10.06</v>
      </c>
      <c r="C32" s="100">
        <v>26.47</v>
      </c>
      <c r="D32" s="100">
        <v>23.25</v>
      </c>
      <c r="E32" s="100">
        <v>7.85</v>
      </c>
      <c r="F32" s="100">
        <v>5.41</v>
      </c>
      <c r="G32" s="100">
        <v>100.31</v>
      </c>
      <c r="H32" s="100">
        <v>37.950000000000003</v>
      </c>
      <c r="I32" s="100">
        <v>10.54</v>
      </c>
      <c r="J32" s="100">
        <v>0.25</v>
      </c>
      <c r="K32" s="100">
        <v>44.91</v>
      </c>
      <c r="L32" s="100">
        <v>15.99</v>
      </c>
      <c r="M32" s="100">
        <v>84.04</v>
      </c>
      <c r="N32" s="100">
        <v>1.2</v>
      </c>
      <c r="O32" s="100">
        <v>0</v>
      </c>
      <c r="P32" s="100">
        <v>0.85</v>
      </c>
      <c r="Q32" s="100">
        <v>12.95</v>
      </c>
      <c r="R32" s="6"/>
      <c r="S32" s="6"/>
      <c r="T32" s="156"/>
      <c r="U32" s="6"/>
    </row>
    <row r="33" spans="1:21" customFormat="1">
      <c r="A33" s="163" t="s">
        <v>1607</v>
      </c>
      <c r="B33" s="100">
        <v>10.74</v>
      </c>
      <c r="C33" s="100">
        <v>26.44</v>
      </c>
      <c r="D33" s="100">
        <v>23.78</v>
      </c>
      <c r="E33" s="100">
        <v>8.19</v>
      </c>
      <c r="F33" s="100">
        <v>0.48</v>
      </c>
      <c r="G33" s="100">
        <v>100.31</v>
      </c>
      <c r="H33" s="100">
        <v>37.950000000000003</v>
      </c>
      <c r="I33" s="100">
        <v>10.66</v>
      </c>
      <c r="J33" s="100">
        <v>0.09</v>
      </c>
      <c r="K33" s="100">
        <v>42.03</v>
      </c>
      <c r="L33" s="100">
        <v>15.81</v>
      </c>
      <c r="M33" s="100">
        <v>85.23</v>
      </c>
      <c r="N33" s="100">
        <v>1.6</v>
      </c>
      <c r="O33" s="100">
        <v>0</v>
      </c>
      <c r="P33" s="100">
        <v>0.87</v>
      </c>
      <c r="Q33" s="100">
        <v>12.96</v>
      </c>
      <c r="R33" s="6"/>
      <c r="S33" s="6"/>
      <c r="T33" s="156"/>
      <c r="U33" s="6"/>
    </row>
    <row r="34" spans="1:21" customFormat="1">
      <c r="A34" s="163" t="s">
        <v>1608</v>
      </c>
      <c r="B34" s="100">
        <v>11.41</v>
      </c>
      <c r="C34" s="100">
        <v>26.52</v>
      </c>
      <c r="D34" s="100">
        <v>24.36</v>
      </c>
      <c r="E34" s="100">
        <v>8.48</v>
      </c>
      <c r="F34" s="100">
        <v>1.1000000000000001</v>
      </c>
      <c r="G34" s="100">
        <v>100.97</v>
      </c>
      <c r="H34" s="100">
        <v>36.71</v>
      </c>
      <c r="I34" s="100">
        <v>10.97</v>
      </c>
      <c r="J34" s="100">
        <v>0.35</v>
      </c>
      <c r="K34" s="100">
        <v>65.81</v>
      </c>
      <c r="L34" s="100">
        <v>15.69</v>
      </c>
      <c r="M34" s="100">
        <v>85.75</v>
      </c>
      <c r="N34" s="100">
        <v>1.8</v>
      </c>
      <c r="O34" s="100">
        <v>0</v>
      </c>
      <c r="P34" s="100">
        <v>0.88</v>
      </c>
      <c r="Q34" s="100">
        <v>12.98</v>
      </c>
      <c r="R34" s="6"/>
      <c r="S34" s="6"/>
      <c r="T34" s="156"/>
      <c r="U34" s="6"/>
    </row>
    <row r="35" spans="1:21" customFormat="1">
      <c r="A35" s="163" t="s">
        <v>1609</v>
      </c>
      <c r="B35" s="100">
        <v>12.41</v>
      </c>
      <c r="C35" s="100">
        <v>26.6</v>
      </c>
      <c r="D35" s="100">
        <v>25.2</v>
      </c>
      <c r="E35" s="100">
        <v>8.18</v>
      </c>
      <c r="F35" s="100">
        <v>7.64</v>
      </c>
      <c r="G35" s="100">
        <v>101.38</v>
      </c>
      <c r="H35" s="100">
        <v>36.44</v>
      </c>
      <c r="I35" s="100">
        <v>11.31</v>
      </c>
      <c r="J35" s="100">
        <v>0.42</v>
      </c>
      <c r="K35" s="100">
        <v>29.58</v>
      </c>
      <c r="L35" s="100">
        <v>15.84</v>
      </c>
      <c r="M35" s="100">
        <v>85.21</v>
      </c>
      <c r="N35" s="100">
        <v>2.7</v>
      </c>
      <c r="O35" s="100">
        <v>0</v>
      </c>
      <c r="P35" s="100">
        <v>0.89</v>
      </c>
      <c r="Q35" s="100">
        <v>12.99</v>
      </c>
      <c r="R35" s="6"/>
      <c r="S35" s="6"/>
      <c r="T35" s="156"/>
      <c r="U35" s="6"/>
    </row>
    <row r="36" spans="1:21" customFormat="1">
      <c r="A36" s="163" t="s">
        <v>1610</v>
      </c>
      <c r="B36" s="100">
        <v>13.72</v>
      </c>
      <c r="C36" s="100">
        <v>26.87</v>
      </c>
      <c r="D36" s="100">
        <v>26.39</v>
      </c>
      <c r="E36" s="100">
        <v>7.83</v>
      </c>
      <c r="F36" s="100">
        <v>23.87</v>
      </c>
      <c r="G36" s="100">
        <v>101.38</v>
      </c>
      <c r="H36" s="100">
        <v>36.44</v>
      </c>
      <c r="I36" s="100">
        <v>11.6</v>
      </c>
      <c r="J36" s="100">
        <v>7.0000000000000007E-2</v>
      </c>
      <c r="K36" s="100">
        <v>357.11</v>
      </c>
      <c r="L36" s="100">
        <v>15.74</v>
      </c>
      <c r="M36" s="100">
        <v>86.41</v>
      </c>
      <c r="N36" s="100">
        <v>7.3</v>
      </c>
      <c r="O36" s="100">
        <v>0</v>
      </c>
      <c r="P36" s="100">
        <v>0.91</v>
      </c>
      <c r="Q36" s="100">
        <v>12.99</v>
      </c>
      <c r="R36" s="6"/>
      <c r="S36" s="6"/>
      <c r="T36" s="156"/>
      <c r="U36" s="6"/>
    </row>
    <row r="37" spans="1:21" customFormat="1">
      <c r="A37" s="163" t="s">
        <v>1611</v>
      </c>
      <c r="B37" s="100">
        <v>14.55</v>
      </c>
      <c r="C37" s="100">
        <v>26.75</v>
      </c>
      <c r="D37" s="100">
        <v>27</v>
      </c>
      <c r="E37" s="100">
        <v>7.92</v>
      </c>
      <c r="F37" s="100">
        <v>1.39</v>
      </c>
      <c r="G37" s="100">
        <v>101.38</v>
      </c>
      <c r="H37" s="100">
        <v>36.44</v>
      </c>
      <c r="I37" s="100">
        <v>11.84</v>
      </c>
      <c r="J37" s="100">
        <v>0.25</v>
      </c>
      <c r="K37" s="100">
        <v>50.96</v>
      </c>
      <c r="L37" s="100">
        <v>15.49</v>
      </c>
      <c r="M37" s="100">
        <v>88.04</v>
      </c>
      <c r="N37" s="100">
        <v>13.7</v>
      </c>
      <c r="O37" s="100">
        <v>0</v>
      </c>
      <c r="P37" s="100">
        <v>0.94</v>
      </c>
      <c r="Q37" s="100">
        <v>13</v>
      </c>
      <c r="R37" s="6"/>
      <c r="S37" s="6"/>
      <c r="T37" s="156"/>
      <c r="U37" s="6"/>
    </row>
    <row r="38" spans="1:21" customFormat="1">
      <c r="A38" s="163" t="s">
        <v>1612</v>
      </c>
      <c r="B38" s="100">
        <v>15.36</v>
      </c>
      <c r="C38" s="100">
        <v>26.57</v>
      </c>
      <c r="D38" s="100">
        <v>27.55</v>
      </c>
      <c r="E38" s="100">
        <v>7.95</v>
      </c>
      <c r="F38" s="100">
        <v>1.26</v>
      </c>
      <c r="G38" s="100">
        <v>106.86</v>
      </c>
      <c r="H38" s="100">
        <v>38.130000000000003</v>
      </c>
      <c r="I38" s="100">
        <v>12.18</v>
      </c>
      <c r="J38" s="100">
        <v>0.65</v>
      </c>
      <c r="K38" s="100">
        <v>46.49</v>
      </c>
      <c r="L38" s="100">
        <v>16.02</v>
      </c>
      <c r="M38" s="100">
        <v>85.71</v>
      </c>
      <c r="N38" s="100">
        <v>23.2</v>
      </c>
      <c r="O38" s="100">
        <v>0</v>
      </c>
      <c r="P38" s="100">
        <v>0.97</v>
      </c>
      <c r="Q38" s="100">
        <v>13.01</v>
      </c>
      <c r="R38" s="6"/>
      <c r="S38" s="6"/>
      <c r="T38" s="156"/>
      <c r="U38" s="6"/>
    </row>
    <row r="39" spans="1:21" customFormat="1">
      <c r="A39" s="163" t="s">
        <v>1613</v>
      </c>
      <c r="B39" s="100">
        <v>16.11</v>
      </c>
      <c r="C39" s="100">
        <v>26.81</v>
      </c>
      <c r="D39" s="100">
        <v>28.28</v>
      </c>
      <c r="E39" s="100">
        <v>7.77</v>
      </c>
      <c r="F39" s="100">
        <v>104.27</v>
      </c>
      <c r="G39" s="100">
        <v>110.19</v>
      </c>
      <c r="H39" s="100">
        <v>38.51</v>
      </c>
      <c r="I39" s="100">
        <v>12.36</v>
      </c>
      <c r="J39" s="100">
        <v>0.39</v>
      </c>
      <c r="K39" s="100">
        <v>49.08</v>
      </c>
      <c r="L39" s="100">
        <v>16.37</v>
      </c>
      <c r="M39" s="100">
        <v>84.81</v>
      </c>
      <c r="N39" s="100">
        <v>33.9</v>
      </c>
      <c r="O39" s="100">
        <v>0</v>
      </c>
      <c r="P39" s="100">
        <v>0.99</v>
      </c>
      <c r="Q39" s="100">
        <v>13</v>
      </c>
      <c r="R39" s="6"/>
      <c r="S39" s="6"/>
      <c r="T39" s="156"/>
      <c r="U39" s="6"/>
    </row>
    <row r="40" spans="1:21" customFormat="1">
      <c r="A40" s="163" t="s">
        <v>1614</v>
      </c>
      <c r="B40" s="100">
        <v>16.63</v>
      </c>
      <c r="C40" s="100">
        <v>26.79</v>
      </c>
      <c r="D40" s="100">
        <v>28.68</v>
      </c>
      <c r="E40" s="100">
        <v>8.11</v>
      </c>
      <c r="F40" s="100">
        <v>101.34</v>
      </c>
      <c r="G40" s="100">
        <v>110.19</v>
      </c>
      <c r="H40" s="100">
        <v>38.51</v>
      </c>
      <c r="I40" s="100">
        <v>12.78</v>
      </c>
      <c r="J40" s="100">
        <v>0.19</v>
      </c>
      <c r="K40" s="100">
        <v>93.78</v>
      </c>
      <c r="L40" s="100">
        <v>16.899999999999999</v>
      </c>
      <c r="M40" s="100">
        <v>82.94</v>
      </c>
      <c r="N40" s="100">
        <v>44.2</v>
      </c>
      <c r="O40" s="100">
        <v>0</v>
      </c>
      <c r="P40" s="100">
        <v>1.01</v>
      </c>
      <c r="Q40" s="100">
        <v>13.01</v>
      </c>
      <c r="R40" s="6"/>
      <c r="S40" s="6"/>
      <c r="T40" s="156"/>
      <c r="U40" s="6"/>
    </row>
    <row r="41" spans="1:21" customFormat="1">
      <c r="A41" s="163" t="s">
        <v>1615</v>
      </c>
      <c r="B41" s="100">
        <v>16.510000000000002</v>
      </c>
      <c r="C41" s="100">
        <v>26.79</v>
      </c>
      <c r="D41" s="100">
        <v>28.59</v>
      </c>
      <c r="E41" s="100">
        <v>8.0299999999999994</v>
      </c>
      <c r="F41" s="100">
        <v>0.85</v>
      </c>
      <c r="G41" s="100">
        <v>110.19</v>
      </c>
      <c r="H41" s="100">
        <v>38.51</v>
      </c>
      <c r="I41" s="100">
        <v>13.05</v>
      </c>
      <c r="J41" s="100">
        <v>0.5</v>
      </c>
      <c r="K41" s="100">
        <v>65.52</v>
      </c>
      <c r="L41" s="100">
        <v>17.440000000000001</v>
      </c>
      <c r="M41" s="100">
        <v>78.569999999999993</v>
      </c>
      <c r="N41" s="100">
        <v>63.8</v>
      </c>
      <c r="O41" s="100">
        <v>0</v>
      </c>
      <c r="P41" s="100">
        <v>1.01</v>
      </c>
      <c r="Q41" s="100">
        <v>13.01</v>
      </c>
      <c r="R41" s="6"/>
      <c r="S41" s="6"/>
      <c r="T41" s="156"/>
      <c r="U41" s="6"/>
    </row>
    <row r="42" spans="1:21" customFormat="1">
      <c r="A42" s="163" t="s">
        <v>1616</v>
      </c>
      <c r="B42" s="100">
        <v>16.36</v>
      </c>
      <c r="C42" s="100">
        <v>26.89</v>
      </c>
      <c r="D42" s="100">
        <v>28.52</v>
      </c>
      <c r="E42" s="100">
        <v>7.86</v>
      </c>
      <c r="F42" s="100">
        <v>0.67</v>
      </c>
      <c r="G42" s="100">
        <v>109.91</v>
      </c>
      <c r="H42" s="100">
        <v>38.520000000000003</v>
      </c>
      <c r="I42" s="100">
        <v>13.28</v>
      </c>
      <c r="J42" s="100">
        <v>0.66</v>
      </c>
      <c r="K42" s="100">
        <v>61.26</v>
      </c>
      <c r="L42" s="100">
        <v>17.739999999999998</v>
      </c>
      <c r="M42" s="100">
        <v>75.42</v>
      </c>
      <c r="N42" s="100">
        <v>107.9</v>
      </c>
      <c r="O42" s="100">
        <v>0</v>
      </c>
      <c r="P42" s="100">
        <v>1.02</v>
      </c>
      <c r="Q42" s="100">
        <v>13.01</v>
      </c>
      <c r="R42" s="6"/>
      <c r="S42" s="6"/>
      <c r="T42" s="156"/>
      <c r="U42" s="6"/>
    </row>
    <row r="43" spans="1:21" customFormat="1">
      <c r="A43" s="163" t="s">
        <v>1617</v>
      </c>
      <c r="B43" s="100">
        <v>16.190000000000001</v>
      </c>
      <c r="C43" s="100">
        <v>26.92</v>
      </c>
      <c r="D43" s="100">
        <v>28.4</v>
      </c>
      <c r="E43" s="100">
        <v>7.97</v>
      </c>
      <c r="F43" s="100">
        <v>0.98</v>
      </c>
      <c r="G43" s="100">
        <v>109.73</v>
      </c>
      <c r="H43" s="100">
        <v>38.53</v>
      </c>
      <c r="I43" s="100">
        <v>13.32</v>
      </c>
      <c r="J43" s="100">
        <v>0.68</v>
      </c>
      <c r="K43" s="100">
        <v>61.88</v>
      </c>
      <c r="L43" s="100">
        <v>18.38</v>
      </c>
      <c r="M43" s="100">
        <v>72.48</v>
      </c>
      <c r="N43" s="100">
        <v>132.30000000000001</v>
      </c>
      <c r="O43" s="100">
        <v>0</v>
      </c>
      <c r="P43" s="100">
        <v>1.03</v>
      </c>
      <c r="Q43" s="100">
        <v>13.02</v>
      </c>
      <c r="R43" s="6"/>
      <c r="S43" s="6"/>
      <c r="T43" s="156"/>
      <c r="U43" s="6"/>
    </row>
    <row r="44" spans="1:21" customFormat="1">
      <c r="A44" s="163" t="s">
        <v>1618</v>
      </c>
      <c r="B44" s="100">
        <v>15.93</v>
      </c>
      <c r="C44" s="100">
        <v>27.03</v>
      </c>
      <c r="D44" s="100">
        <v>28.25</v>
      </c>
      <c r="E44" s="100">
        <v>7.96</v>
      </c>
      <c r="F44" s="100">
        <v>51.95</v>
      </c>
      <c r="G44" s="100">
        <v>109.73</v>
      </c>
      <c r="H44" s="100">
        <v>38.53</v>
      </c>
      <c r="I44" s="100">
        <v>13.44</v>
      </c>
      <c r="J44" s="100">
        <v>0.71</v>
      </c>
      <c r="K44" s="100">
        <v>63.7</v>
      </c>
      <c r="L44" s="100">
        <v>19.3</v>
      </c>
      <c r="M44" s="100">
        <v>66.55</v>
      </c>
      <c r="N44" s="100">
        <v>135.5</v>
      </c>
      <c r="O44" s="100">
        <v>0</v>
      </c>
      <c r="P44" s="100">
        <v>1.02</v>
      </c>
      <c r="Q44" s="100">
        <v>13.01</v>
      </c>
      <c r="R44" s="6"/>
      <c r="S44" s="6"/>
      <c r="T44" s="156"/>
      <c r="U44" s="6"/>
    </row>
    <row r="45" spans="1:21" customFormat="1">
      <c r="A45" s="163" t="s">
        <v>1619</v>
      </c>
      <c r="B45" s="100">
        <v>15.23</v>
      </c>
      <c r="C45" s="100">
        <v>27.29</v>
      </c>
      <c r="D45" s="100">
        <v>27.82</v>
      </c>
      <c r="E45" s="100">
        <v>8</v>
      </c>
      <c r="F45" s="100">
        <v>34.130000000000003</v>
      </c>
      <c r="G45" s="100">
        <v>109.73</v>
      </c>
      <c r="H45" s="100">
        <v>38.53</v>
      </c>
      <c r="I45" s="100">
        <v>13.52</v>
      </c>
      <c r="J45" s="100">
        <v>0.84</v>
      </c>
      <c r="K45" s="100">
        <v>58.9</v>
      </c>
      <c r="L45" s="100">
        <v>20.100000000000001</v>
      </c>
      <c r="M45" s="100">
        <v>63.46</v>
      </c>
      <c r="N45" s="100">
        <v>177.2</v>
      </c>
      <c r="O45" s="100">
        <v>0</v>
      </c>
      <c r="P45" s="100">
        <v>1.03</v>
      </c>
      <c r="Q45" s="100">
        <v>13.01</v>
      </c>
      <c r="R45" s="6"/>
      <c r="S45" s="6"/>
      <c r="T45" s="156"/>
      <c r="U45" s="6"/>
    </row>
    <row r="46" spans="1:21" customFormat="1">
      <c r="A46" s="163" t="s">
        <v>1620</v>
      </c>
      <c r="B46" s="100">
        <v>14.87</v>
      </c>
      <c r="C46" s="100">
        <v>27.78</v>
      </c>
      <c r="D46" s="100">
        <v>27.79</v>
      </c>
      <c r="E46" s="100">
        <v>8.2200000000000006</v>
      </c>
      <c r="F46" s="100">
        <v>93.64</v>
      </c>
      <c r="G46" s="100">
        <v>108.88</v>
      </c>
      <c r="H46" s="100">
        <v>37.36</v>
      </c>
      <c r="I46" s="100">
        <v>13.56</v>
      </c>
      <c r="J46" s="100">
        <v>0.76</v>
      </c>
      <c r="K46" s="100">
        <v>62.01</v>
      </c>
      <c r="L46" s="100">
        <v>21</v>
      </c>
      <c r="M46" s="100">
        <v>60.48</v>
      </c>
      <c r="N46" s="100">
        <v>181.3</v>
      </c>
      <c r="O46" s="100">
        <v>0</v>
      </c>
      <c r="P46" s="100">
        <v>1.07</v>
      </c>
      <c r="Q46" s="100">
        <v>13.02</v>
      </c>
      <c r="R46" s="6"/>
      <c r="S46" s="6"/>
      <c r="T46" s="156"/>
      <c r="U46" s="6"/>
    </row>
    <row r="47" spans="1:21" customFormat="1">
      <c r="A47" s="163" t="s">
        <v>1621</v>
      </c>
      <c r="B47" s="100">
        <v>15.59</v>
      </c>
      <c r="C47" s="100">
        <v>29.07</v>
      </c>
      <c r="D47" s="100">
        <v>29.04</v>
      </c>
      <c r="E47" s="100">
        <v>8.32</v>
      </c>
      <c r="F47" s="100">
        <v>1.97</v>
      </c>
      <c r="G47" s="100">
        <v>108.37</v>
      </c>
      <c r="H47" s="100">
        <v>37.130000000000003</v>
      </c>
      <c r="I47" s="100">
        <v>13.37</v>
      </c>
      <c r="J47" s="100">
        <v>0.56999999999999995</v>
      </c>
      <c r="K47" s="100">
        <v>68.19</v>
      </c>
      <c r="L47" s="100">
        <v>21.82</v>
      </c>
      <c r="M47" s="100">
        <v>58.41</v>
      </c>
      <c r="N47" s="100">
        <v>157.6</v>
      </c>
      <c r="O47" s="100">
        <v>0</v>
      </c>
      <c r="P47" s="100">
        <v>1.1299999999999999</v>
      </c>
      <c r="Q47" s="100">
        <v>13.01</v>
      </c>
      <c r="R47" s="6"/>
      <c r="S47" s="6"/>
      <c r="T47" s="156"/>
      <c r="U47" s="6"/>
    </row>
    <row r="48" spans="1:21" customFormat="1">
      <c r="A48" s="163" t="s">
        <v>1622</v>
      </c>
      <c r="B48" s="100">
        <v>15.38</v>
      </c>
      <c r="C48" s="100">
        <v>29.52</v>
      </c>
      <c r="D48" s="100">
        <v>29.11</v>
      </c>
      <c r="E48" s="100">
        <v>7.86</v>
      </c>
      <c r="F48" s="100">
        <v>1.41</v>
      </c>
      <c r="G48" s="100">
        <v>108.37</v>
      </c>
      <c r="H48" s="100">
        <v>37.130000000000003</v>
      </c>
      <c r="I48" s="100">
        <v>14.73</v>
      </c>
      <c r="J48" s="100">
        <v>0.48</v>
      </c>
      <c r="K48" s="100">
        <v>71.87</v>
      </c>
      <c r="L48" s="100">
        <v>22.63</v>
      </c>
      <c r="M48" s="100">
        <v>55.3</v>
      </c>
      <c r="N48" s="100">
        <v>206.8</v>
      </c>
      <c r="O48" s="100">
        <v>0</v>
      </c>
      <c r="P48" s="100">
        <v>1.1399999999999999</v>
      </c>
      <c r="Q48" s="100">
        <v>13.02</v>
      </c>
      <c r="R48" s="6"/>
      <c r="S48" s="6"/>
      <c r="T48" s="156"/>
      <c r="U48" s="6"/>
    </row>
    <row r="49" spans="1:21" customFormat="1">
      <c r="A49" s="163" t="s">
        <v>1623</v>
      </c>
      <c r="B49" s="100">
        <v>14.26</v>
      </c>
      <c r="C49" s="100">
        <v>29.81</v>
      </c>
      <c r="D49" s="100">
        <v>28.36</v>
      </c>
      <c r="E49" s="100">
        <v>6.35</v>
      </c>
      <c r="F49" s="100">
        <v>2.64</v>
      </c>
      <c r="G49" s="100">
        <v>108.37</v>
      </c>
      <c r="H49" s="100">
        <v>37.130000000000003</v>
      </c>
      <c r="I49" s="100">
        <v>16.03</v>
      </c>
      <c r="J49" s="100">
        <v>0.56999999999999995</v>
      </c>
      <c r="K49" s="100">
        <v>70.319999999999993</v>
      </c>
      <c r="L49" s="100">
        <v>23.5</v>
      </c>
      <c r="M49" s="100">
        <v>51.45</v>
      </c>
      <c r="N49" s="100">
        <v>247.4</v>
      </c>
      <c r="O49" s="100">
        <v>0</v>
      </c>
      <c r="P49" s="100">
        <v>1.1100000000000001</v>
      </c>
      <c r="Q49" s="100">
        <v>13.01</v>
      </c>
      <c r="R49" s="6"/>
      <c r="S49" s="6"/>
      <c r="T49" s="156"/>
      <c r="U49" s="6"/>
    </row>
    <row r="50" spans="1:21" customFormat="1">
      <c r="A50" s="163" t="s">
        <v>1624</v>
      </c>
      <c r="B50" s="100">
        <v>12.6</v>
      </c>
      <c r="C50" s="100">
        <v>30.11</v>
      </c>
      <c r="D50" s="100">
        <v>27.19</v>
      </c>
      <c r="E50" s="100">
        <v>7.44</v>
      </c>
      <c r="F50" s="100">
        <v>2.2000000000000002</v>
      </c>
      <c r="G50" s="100">
        <v>119.06</v>
      </c>
      <c r="H50" s="100">
        <v>43.76</v>
      </c>
      <c r="I50" s="100">
        <v>15.87</v>
      </c>
      <c r="J50" s="100">
        <v>0.83</v>
      </c>
      <c r="K50" s="100">
        <v>61.22</v>
      </c>
      <c r="L50" s="100">
        <v>23.71</v>
      </c>
      <c r="M50" s="100">
        <v>50.37</v>
      </c>
      <c r="N50" s="100">
        <v>238.3</v>
      </c>
      <c r="O50" s="100">
        <v>0</v>
      </c>
      <c r="P50" s="100">
        <v>1.08</v>
      </c>
      <c r="Q50" s="100">
        <v>13</v>
      </c>
      <c r="R50" s="6"/>
      <c r="S50" s="6"/>
      <c r="T50" s="156"/>
      <c r="U50" s="6"/>
    </row>
    <row r="51" spans="1:21" customFormat="1">
      <c r="A51" s="163" t="s">
        <v>1625</v>
      </c>
      <c r="B51" s="100">
        <v>10.98</v>
      </c>
      <c r="C51" s="100">
        <v>30.21</v>
      </c>
      <c r="D51" s="100">
        <v>25.95</v>
      </c>
      <c r="E51" s="100">
        <v>7.52</v>
      </c>
      <c r="F51" s="100">
        <v>3.23</v>
      </c>
      <c r="G51" s="100">
        <v>125.55</v>
      </c>
      <c r="H51" s="100">
        <v>45.09</v>
      </c>
      <c r="I51" s="100">
        <v>15.49</v>
      </c>
      <c r="J51" s="100">
        <v>0.28000000000000003</v>
      </c>
      <c r="K51" s="100">
        <v>85.36</v>
      </c>
      <c r="L51" s="100">
        <v>24.4</v>
      </c>
      <c r="M51" s="100">
        <v>49.21</v>
      </c>
      <c r="N51" s="100">
        <v>274.7</v>
      </c>
      <c r="O51" s="100">
        <v>0</v>
      </c>
      <c r="P51" s="100">
        <v>1.05</v>
      </c>
      <c r="Q51" s="100">
        <v>13</v>
      </c>
      <c r="R51" s="6"/>
      <c r="S51" s="6"/>
      <c r="T51" s="156"/>
      <c r="U51" s="6"/>
    </row>
    <row r="52" spans="1:21" customFormat="1">
      <c r="A52" s="163" t="s">
        <v>1626</v>
      </c>
      <c r="B52" s="100">
        <v>9.23</v>
      </c>
      <c r="C52" s="100">
        <v>30.3</v>
      </c>
      <c r="D52" s="100">
        <v>24.58</v>
      </c>
      <c r="E52" s="100">
        <v>7.8</v>
      </c>
      <c r="F52" s="100">
        <v>1.71</v>
      </c>
      <c r="G52" s="100">
        <v>125.55</v>
      </c>
      <c r="H52" s="100">
        <v>45.09</v>
      </c>
      <c r="I52" s="100">
        <v>15.11</v>
      </c>
      <c r="J52" s="100">
        <v>0.45</v>
      </c>
      <c r="K52" s="100">
        <v>105.16</v>
      </c>
      <c r="L52" s="100">
        <v>25.36</v>
      </c>
      <c r="M52" s="100">
        <v>45.91</v>
      </c>
      <c r="N52" s="100">
        <v>309.2</v>
      </c>
      <c r="O52" s="100">
        <v>0</v>
      </c>
      <c r="P52" s="100">
        <v>1.03</v>
      </c>
      <c r="Q52" s="100">
        <v>13</v>
      </c>
      <c r="R52" s="6"/>
      <c r="S52" s="6"/>
      <c r="T52" s="156"/>
      <c r="U52" s="6"/>
    </row>
    <row r="53" spans="1:21" customFormat="1">
      <c r="A53" s="163" t="s">
        <v>1627</v>
      </c>
      <c r="B53" s="100">
        <v>7.72</v>
      </c>
      <c r="C53" s="100">
        <v>30.13</v>
      </c>
      <c r="D53" s="100">
        <v>23.28</v>
      </c>
      <c r="E53" s="100">
        <v>7.43</v>
      </c>
      <c r="F53" s="100">
        <v>1.1100000000000001</v>
      </c>
      <c r="G53" s="100">
        <v>125.55</v>
      </c>
      <c r="H53" s="100">
        <v>45.09</v>
      </c>
      <c r="I53" s="100">
        <v>14.7</v>
      </c>
      <c r="J53" s="100">
        <v>0.67</v>
      </c>
      <c r="K53" s="100">
        <v>56.62</v>
      </c>
      <c r="L53" s="100">
        <v>25.68</v>
      </c>
      <c r="M53" s="100">
        <v>44.45</v>
      </c>
      <c r="N53" s="100">
        <v>319</v>
      </c>
      <c r="O53" s="100">
        <v>0</v>
      </c>
      <c r="P53" s="100">
        <v>1.01</v>
      </c>
      <c r="Q53" s="100">
        <v>12.99</v>
      </c>
      <c r="R53" s="6"/>
      <c r="S53" s="6"/>
      <c r="T53" s="156"/>
      <c r="U53" s="6"/>
    </row>
    <row r="54" spans="1:21" customFormat="1">
      <c r="A54" s="163" t="s">
        <v>1628</v>
      </c>
      <c r="B54" s="100">
        <v>6.58</v>
      </c>
      <c r="C54" s="100">
        <v>30.11</v>
      </c>
      <c r="D54" s="100">
        <v>22.36</v>
      </c>
      <c r="E54" s="100">
        <v>7.9</v>
      </c>
      <c r="F54" s="100">
        <v>3.37</v>
      </c>
      <c r="G54" s="100">
        <v>113.82</v>
      </c>
      <c r="H54" s="100">
        <v>42.9</v>
      </c>
      <c r="I54" s="100">
        <v>14.27</v>
      </c>
      <c r="J54" s="100">
        <v>0.46</v>
      </c>
      <c r="K54" s="100">
        <v>85.16</v>
      </c>
      <c r="L54" s="100">
        <v>25.77</v>
      </c>
      <c r="M54" s="100">
        <v>43.6</v>
      </c>
      <c r="N54" s="100">
        <v>250.5</v>
      </c>
      <c r="O54" s="100">
        <v>0</v>
      </c>
      <c r="P54" s="100">
        <v>0.98</v>
      </c>
      <c r="Q54" s="100">
        <v>12.98</v>
      </c>
      <c r="R54" s="6"/>
      <c r="S54" s="6"/>
      <c r="T54" s="156"/>
      <c r="U54" s="6"/>
    </row>
    <row r="55" spans="1:21" customFormat="1">
      <c r="A55" s="163" t="s">
        <v>1629</v>
      </c>
      <c r="B55" s="100">
        <v>5.58</v>
      </c>
      <c r="C55" s="100">
        <v>29.82</v>
      </c>
      <c r="D55" s="100">
        <v>21.41</v>
      </c>
      <c r="E55" s="100">
        <v>8.52</v>
      </c>
      <c r="F55" s="100">
        <v>0.97</v>
      </c>
      <c r="G55" s="100">
        <v>106.71</v>
      </c>
      <c r="H55" s="100">
        <v>42.47</v>
      </c>
      <c r="I55" s="100">
        <v>13.93</v>
      </c>
      <c r="J55" s="100">
        <v>0.56000000000000005</v>
      </c>
      <c r="K55" s="100">
        <v>78.53</v>
      </c>
      <c r="L55" s="100">
        <v>26.31</v>
      </c>
      <c r="M55" s="100">
        <v>41.96</v>
      </c>
      <c r="N55" s="100">
        <v>349</v>
      </c>
      <c r="O55" s="100">
        <v>0</v>
      </c>
      <c r="P55" s="100">
        <v>0.96</v>
      </c>
      <c r="Q55" s="100">
        <v>12.97</v>
      </c>
      <c r="R55" s="6"/>
      <c r="S55" s="6"/>
      <c r="T55" s="156"/>
      <c r="U55" s="6"/>
    </row>
    <row r="56" spans="1:21" customFormat="1">
      <c r="A56" s="163" t="s">
        <v>1630</v>
      </c>
      <c r="B56" s="100">
        <v>4.92</v>
      </c>
      <c r="C56" s="100">
        <v>29.49</v>
      </c>
      <c r="D56" s="100">
        <v>20.7</v>
      </c>
      <c r="E56" s="100">
        <v>8.85</v>
      </c>
      <c r="F56" s="100">
        <v>2.91</v>
      </c>
      <c r="G56" s="100">
        <v>106.71</v>
      </c>
      <c r="H56" s="100">
        <v>42.47</v>
      </c>
      <c r="I56" s="100">
        <v>13.57</v>
      </c>
      <c r="J56" s="100">
        <v>0.63</v>
      </c>
      <c r="K56" s="100">
        <v>52.34</v>
      </c>
      <c r="L56" s="100">
        <v>26.55</v>
      </c>
      <c r="M56" s="100">
        <v>40.47</v>
      </c>
      <c r="N56" s="100">
        <v>326.60000000000002</v>
      </c>
      <c r="O56" s="100">
        <v>0</v>
      </c>
      <c r="P56" s="100">
        <v>0.94</v>
      </c>
      <c r="Q56" s="100">
        <v>12.98</v>
      </c>
      <c r="R56" s="6"/>
      <c r="S56" s="6"/>
      <c r="T56" s="156"/>
      <c r="U56" s="6"/>
    </row>
    <row r="57" spans="1:21" customFormat="1">
      <c r="A57" s="163" t="s">
        <v>1631</v>
      </c>
      <c r="B57" s="100">
        <v>4.58</v>
      </c>
      <c r="C57" s="100">
        <v>29.32</v>
      </c>
      <c r="D57" s="100">
        <v>20.34</v>
      </c>
      <c r="E57" s="100">
        <v>8.6999999999999993</v>
      </c>
      <c r="F57" s="100">
        <v>0.84</v>
      </c>
      <c r="G57" s="100">
        <v>106.71</v>
      </c>
      <c r="H57" s="100">
        <v>42.47</v>
      </c>
      <c r="I57" s="100">
        <v>13.22</v>
      </c>
      <c r="J57" s="100">
        <v>0.94</v>
      </c>
      <c r="K57" s="100">
        <v>53.51</v>
      </c>
      <c r="L57" s="100">
        <v>26.5</v>
      </c>
      <c r="M57" s="100">
        <v>39.44</v>
      </c>
      <c r="N57" s="100">
        <v>314.60000000000002</v>
      </c>
      <c r="O57" s="100">
        <v>0</v>
      </c>
      <c r="P57" s="100">
        <v>0.92</v>
      </c>
      <c r="Q57" s="100">
        <v>12.97</v>
      </c>
      <c r="R57" s="6"/>
      <c r="S57" s="6"/>
      <c r="T57" s="156"/>
      <c r="U57" s="6"/>
    </row>
    <row r="58" spans="1:21" customFormat="1">
      <c r="A58" s="163" t="s">
        <v>1632</v>
      </c>
      <c r="B58" s="100">
        <v>4.28</v>
      </c>
      <c r="C58" s="100">
        <v>28.87</v>
      </c>
      <c r="D58" s="100">
        <v>19.87</v>
      </c>
      <c r="E58" s="100">
        <v>9.3000000000000007</v>
      </c>
      <c r="F58" s="100">
        <v>1.28</v>
      </c>
      <c r="G58" s="100">
        <v>95.57</v>
      </c>
      <c r="H58" s="100">
        <v>38.340000000000003</v>
      </c>
      <c r="I58" s="100">
        <v>12.89</v>
      </c>
      <c r="J58" s="100">
        <v>0.73</v>
      </c>
      <c r="K58" s="100">
        <v>48.66</v>
      </c>
      <c r="L58" s="100">
        <v>26.83</v>
      </c>
      <c r="M58" s="100">
        <v>37.159999999999997</v>
      </c>
      <c r="N58" s="100">
        <v>322.8</v>
      </c>
      <c r="O58" s="100">
        <v>0</v>
      </c>
      <c r="P58" s="100">
        <v>0.89</v>
      </c>
      <c r="Q58" s="100">
        <v>12.98</v>
      </c>
      <c r="R58" s="6"/>
      <c r="S58" s="6"/>
      <c r="T58" s="156"/>
      <c r="U58" s="6"/>
    </row>
    <row r="59" spans="1:21" customFormat="1">
      <c r="A59" s="163" t="s">
        <v>1633</v>
      </c>
      <c r="B59" s="100">
        <v>4.03</v>
      </c>
      <c r="C59" s="100">
        <v>28.29</v>
      </c>
      <c r="D59" s="100">
        <v>19.37</v>
      </c>
      <c r="E59" s="100">
        <v>7.79</v>
      </c>
      <c r="F59" s="100">
        <v>0.87</v>
      </c>
      <c r="G59" s="100">
        <v>88.81</v>
      </c>
      <c r="H59" s="100">
        <v>37.51</v>
      </c>
      <c r="I59" s="100">
        <v>12.54</v>
      </c>
      <c r="J59" s="100">
        <v>0.26</v>
      </c>
      <c r="K59" s="100">
        <v>59.71</v>
      </c>
      <c r="L59" s="100">
        <v>27.31</v>
      </c>
      <c r="M59" s="100">
        <v>35.9</v>
      </c>
      <c r="N59" s="100">
        <v>317.3</v>
      </c>
      <c r="O59" s="100">
        <v>0</v>
      </c>
      <c r="P59" s="100">
        <v>0.87</v>
      </c>
      <c r="Q59" s="100">
        <v>12.97</v>
      </c>
      <c r="R59" s="6"/>
      <c r="S59" s="6"/>
      <c r="T59" s="156"/>
      <c r="U59" s="6"/>
    </row>
    <row r="60" spans="1:21" customFormat="1">
      <c r="A60" s="163" t="s">
        <v>1634</v>
      </c>
      <c r="B60" s="100">
        <v>3.85</v>
      </c>
      <c r="C60" s="100">
        <v>27.44</v>
      </c>
      <c r="D60" s="100">
        <v>18.78</v>
      </c>
      <c r="E60" s="100">
        <v>8.09</v>
      </c>
      <c r="F60" s="100">
        <v>0.59</v>
      </c>
      <c r="G60" s="100">
        <v>88.81</v>
      </c>
      <c r="H60" s="100">
        <v>37.51</v>
      </c>
      <c r="I60" s="100">
        <v>12.06</v>
      </c>
      <c r="J60" s="100">
        <v>0.37</v>
      </c>
      <c r="K60" s="100">
        <v>151.84</v>
      </c>
      <c r="L60" s="100">
        <v>27.14</v>
      </c>
      <c r="M60" s="100">
        <v>36.33</v>
      </c>
      <c r="N60" s="100">
        <v>277.60000000000002</v>
      </c>
      <c r="O60" s="100">
        <v>0</v>
      </c>
      <c r="P60" s="100">
        <v>0.85</v>
      </c>
      <c r="Q60" s="100">
        <v>12.98</v>
      </c>
      <c r="R60" s="6"/>
      <c r="S60" s="6"/>
      <c r="T60" s="156"/>
      <c r="U60" s="6"/>
    </row>
    <row r="61" spans="1:21" customFormat="1">
      <c r="A61" s="163" t="s">
        <v>1635</v>
      </c>
      <c r="B61" s="100">
        <v>3.73</v>
      </c>
      <c r="C61" s="100">
        <v>26.49</v>
      </c>
      <c r="D61" s="100">
        <v>18.18</v>
      </c>
      <c r="E61" s="100">
        <v>8.34</v>
      </c>
      <c r="F61" s="100">
        <v>2.0699999999999998</v>
      </c>
      <c r="G61" s="100">
        <v>88.81</v>
      </c>
      <c r="H61" s="100">
        <v>37.51</v>
      </c>
      <c r="I61" s="100">
        <v>11.76</v>
      </c>
      <c r="J61" s="100">
        <v>0.94</v>
      </c>
      <c r="K61" s="100">
        <v>43.81</v>
      </c>
      <c r="L61" s="100">
        <v>27.46</v>
      </c>
      <c r="M61" s="100">
        <v>34.58</v>
      </c>
      <c r="N61" s="100">
        <v>328.6</v>
      </c>
      <c r="O61" s="100">
        <v>0</v>
      </c>
      <c r="P61" s="100">
        <v>0.82</v>
      </c>
      <c r="Q61" s="100">
        <v>12.97</v>
      </c>
      <c r="R61" s="6"/>
      <c r="S61" s="6"/>
      <c r="T61" s="156"/>
      <c r="U61" s="6"/>
    </row>
    <row r="62" spans="1:21" customFormat="1">
      <c r="A62" s="163" t="s">
        <v>1636</v>
      </c>
      <c r="B62" s="100">
        <v>3.82</v>
      </c>
      <c r="C62" s="100">
        <v>25.99</v>
      </c>
      <c r="D62" s="100">
        <v>18</v>
      </c>
      <c r="E62" s="100">
        <v>8.9</v>
      </c>
      <c r="F62" s="100">
        <v>2.0499999999999998</v>
      </c>
      <c r="G62" s="100">
        <v>75.27</v>
      </c>
      <c r="H62" s="100">
        <v>35.67</v>
      </c>
      <c r="I62" s="100">
        <v>11.38</v>
      </c>
      <c r="J62" s="100">
        <v>0.67</v>
      </c>
      <c r="K62" s="100">
        <v>356.07</v>
      </c>
      <c r="L62" s="100">
        <v>26.89</v>
      </c>
      <c r="M62" s="100">
        <v>34.85</v>
      </c>
      <c r="N62" s="100">
        <v>183.8</v>
      </c>
      <c r="O62" s="100">
        <v>0</v>
      </c>
      <c r="P62" s="100">
        <v>0.8</v>
      </c>
      <c r="Q62" s="100">
        <v>12.97</v>
      </c>
      <c r="R62" s="6"/>
      <c r="S62" s="6"/>
      <c r="T62" s="156"/>
      <c r="U62" s="6"/>
    </row>
    <row r="63" spans="1:21" customFormat="1">
      <c r="A63" s="163" t="s">
        <v>1637</v>
      </c>
      <c r="B63" s="100">
        <v>3.83</v>
      </c>
      <c r="C63" s="100">
        <v>25.7</v>
      </c>
      <c r="D63" s="100">
        <v>17.850000000000001</v>
      </c>
      <c r="E63" s="100">
        <v>8.76</v>
      </c>
      <c r="F63" s="100">
        <v>1.62</v>
      </c>
      <c r="G63" s="100">
        <v>67.040000000000006</v>
      </c>
      <c r="H63" s="100">
        <v>35.299999999999997</v>
      </c>
      <c r="I63" s="100">
        <v>11.01</v>
      </c>
      <c r="J63" s="100">
        <v>0.56000000000000005</v>
      </c>
      <c r="K63" s="100">
        <v>18.82</v>
      </c>
      <c r="L63" s="100">
        <v>26.52</v>
      </c>
      <c r="M63" s="100">
        <v>35.39</v>
      </c>
      <c r="N63" s="100">
        <v>144</v>
      </c>
      <c r="O63" s="100">
        <v>0</v>
      </c>
      <c r="P63" s="100">
        <v>0.78</v>
      </c>
      <c r="Q63" s="100">
        <v>12.96</v>
      </c>
      <c r="R63" s="6"/>
      <c r="S63" s="6"/>
      <c r="T63" s="156"/>
      <c r="U63" s="6"/>
    </row>
    <row r="64" spans="1:21" customFormat="1">
      <c r="A64" s="163" t="s">
        <v>1638</v>
      </c>
      <c r="B64" s="100">
        <v>3.81</v>
      </c>
      <c r="C64" s="100">
        <v>25.5</v>
      </c>
      <c r="D64" s="100">
        <v>17.73</v>
      </c>
      <c r="E64" s="100">
        <v>8.09</v>
      </c>
      <c r="F64" s="100">
        <v>1.96</v>
      </c>
      <c r="G64" s="100">
        <v>67.040000000000006</v>
      </c>
      <c r="H64" s="100">
        <v>35.299999999999997</v>
      </c>
      <c r="I64" s="100">
        <v>10.6</v>
      </c>
      <c r="J64" s="100">
        <v>0.4</v>
      </c>
      <c r="K64" s="100">
        <v>42.43</v>
      </c>
      <c r="L64" s="100">
        <v>26.91</v>
      </c>
      <c r="M64" s="100">
        <v>34.57</v>
      </c>
      <c r="N64" s="100">
        <v>223.5</v>
      </c>
      <c r="O64" s="100">
        <v>0</v>
      </c>
      <c r="P64" s="100">
        <v>0.77</v>
      </c>
      <c r="Q64" s="100">
        <v>12.95</v>
      </c>
      <c r="R64" s="6"/>
      <c r="S64" s="6"/>
      <c r="T64" s="156"/>
      <c r="U64" s="6"/>
    </row>
    <row r="65" spans="1:21" customFormat="1">
      <c r="A65" s="163" t="s">
        <v>1639</v>
      </c>
      <c r="B65" s="100">
        <v>3.84</v>
      </c>
      <c r="C65" s="100">
        <v>25.24</v>
      </c>
      <c r="D65" s="100">
        <v>17.62</v>
      </c>
      <c r="E65" s="100">
        <v>8.15</v>
      </c>
      <c r="F65" s="100">
        <v>1.1000000000000001</v>
      </c>
      <c r="G65" s="100">
        <v>67.040000000000006</v>
      </c>
      <c r="H65" s="100">
        <v>35.299999999999997</v>
      </c>
      <c r="I65" s="100">
        <v>10.42</v>
      </c>
      <c r="J65" s="100">
        <v>0.44</v>
      </c>
      <c r="K65" s="100">
        <v>54.09</v>
      </c>
      <c r="L65" s="100">
        <v>27.01</v>
      </c>
      <c r="M65" s="100">
        <v>34.56</v>
      </c>
      <c r="N65" s="100">
        <v>167.4</v>
      </c>
      <c r="O65" s="100">
        <v>0</v>
      </c>
      <c r="P65" s="100">
        <v>0.71</v>
      </c>
      <c r="Q65" s="100">
        <v>12.94</v>
      </c>
      <c r="R65" s="6"/>
      <c r="S65" s="6"/>
      <c r="T65" s="156"/>
      <c r="U65" s="6"/>
    </row>
    <row r="66" spans="1:21" customFormat="1">
      <c r="A66" s="163" t="s">
        <v>1640</v>
      </c>
      <c r="B66" s="100">
        <v>4</v>
      </c>
      <c r="C66" s="100">
        <v>25.18</v>
      </c>
      <c r="D66" s="100">
        <v>17.71</v>
      </c>
      <c r="E66" s="100">
        <v>8.7200000000000006</v>
      </c>
      <c r="F66" s="100">
        <v>2.52</v>
      </c>
      <c r="G66" s="100">
        <v>67.650000000000006</v>
      </c>
      <c r="H66" s="100">
        <v>31.88</v>
      </c>
      <c r="I66" s="100">
        <v>9.94</v>
      </c>
      <c r="J66" s="100">
        <v>0.33</v>
      </c>
      <c r="K66" s="100">
        <v>79.790000000000006</v>
      </c>
      <c r="L66" s="100">
        <v>26.78</v>
      </c>
      <c r="M66" s="100">
        <v>34.619999999999997</v>
      </c>
      <c r="N66" s="100">
        <v>112.9</v>
      </c>
      <c r="O66" s="100">
        <v>0</v>
      </c>
      <c r="P66" s="100">
        <v>0.74</v>
      </c>
      <c r="Q66" s="100">
        <v>12.95</v>
      </c>
      <c r="R66" s="6"/>
      <c r="S66" s="6"/>
      <c r="T66" s="156"/>
      <c r="U66" s="6"/>
    </row>
    <row r="67" spans="1:21" customFormat="1">
      <c r="A67" s="163" t="s">
        <v>1641</v>
      </c>
      <c r="B67" s="100">
        <v>4.1100000000000003</v>
      </c>
      <c r="C67" s="100">
        <v>24.69</v>
      </c>
      <c r="D67" s="100">
        <v>17.55</v>
      </c>
      <c r="E67" s="100">
        <v>7.96</v>
      </c>
      <c r="F67" s="100">
        <v>2.57</v>
      </c>
      <c r="G67" s="100">
        <v>68.010000000000005</v>
      </c>
      <c r="H67" s="100">
        <v>30.66</v>
      </c>
      <c r="I67" s="100">
        <v>9.65</v>
      </c>
      <c r="J67" s="100">
        <v>0.25</v>
      </c>
      <c r="K67" s="100">
        <v>141.34</v>
      </c>
      <c r="L67" s="100">
        <v>26.78</v>
      </c>
      <c r="M67" s="100">
        <v>35.229999999999997</v>
      </c>
      <c r="N67" s="100">
        <v>95.6</v>
      </c>
      <c r="O67" s="100">
        <v>0</v>
      </c>
      <c r="P67" s="100">
        <v>0.71</v>
      </c>
      <c r="Q67" s="100">
        <v>12.96</v>
      </c>
      <c r="R67" s="6"/>
      <c r="S67" s="6"/>
      <c r="T67" s="156"/>
      <c r="U67" s="6"/>
    </row>
    <row r="68" spans="1:21" customFormat="1">
      <c r="A68" s="163" t="s">
        <v>1642</v>
      </c>
      <c r="B68" s="100">
        <v>4.21</v>
      </c>
      <c r="C68" s="100">
        <v>23.95</v>
      </c>
      <c r="D68" s="100">
        <v>17.239999999999998</v>
      </c>
      <c r="E68" s="100">
        <v>8.23</v>
      </c>
      <c r="F68" s="100">
        <v>1.28</v>
      </c>
      <c r="G68" s="100">
        <v>68.010000000000005</v>
      </c>
      <c r="H68" s="100">
        <v>30.66</v>
      </c>
      <c r="I68" s="100">
        <v>9.6199999999999992</v>
      </c>
      <c r="J68" s="100">
        <v>0.14000000000000001</v>
      </c>
      <c r="K68" s="100">
        <v>76.8</v>
      </c>
      <c r="L68" s="100">
        <v>26.71</v>
      </c>
      <c r="M68" s="100">
        <v>34.909999999999997</v>
      </c>
      <c r="N68" s="100">
        <v>115</v>
      </c>
      <c r="O68" s="100">
        <v>0</v>
      </c>
      <c r="P68" s="100">
        <v>0.7</v>
      </c>
      <c r="Q68" s="100">
        <v>12.97</v>
      </c>
      <c r="R68" s="6"/>
      <c r="S68" s="6"/>
      <c r="T68" s="156"/>
      <c r="U68" s="6"/>
    </row>
    <row r="69" spans="1:21" customFormat="1">
      <c r="A69" s="163" t="s">
        <v>1643</v>
      </c>
      <c r="B69" s="100">
        <v>4.26</v>
      </c>
      <c r="C69" s="100">
        <v>23.35</v>
      </c>
      <c r="D69" s="100">
        <v>16.97</v>
      </c>
      <c r="E69" s="100">
        <v>8.58</v>
      </c>
      <c r="F69" s="100">
        <v>0.92</v>
      </c>
      <c r="G69" s="100">
        <v>68.010000000000005</v>
      </c>
      <c r="H69" s="100">
        <v>30.66</v>
      </c>
      <c r="I69" s="100">
        <v>9.5299999999999994</v>
      </c>
      <c r="J69" s="100">
        <v>0.21</v>
      </c>
      <c r="K69" s="100">
        <v>30.47</v>
      </c>
      <c r="L69" s="100">
        <v>26.7</v>
      </c>
      <c r="M69" s="100">
        <v>35.03</v>
      </c>
      <c r="N69" s="100">
        <v>94.7</v>
      </c>
      <c r="O69" s="100">
        <v>0</v>
      </c>
      <c r="P69" s="100">
        <v>0.7</v>
      </c>
      <c r="Q69" s="100">
        <v>12.96</v>
      </c>
      <c r="R69" s="6"/>
      <c r="S69" s="6"/>
      <c r="T69" s="156"/>
      <c r="U69" s="6"/>
    </row>
    <row r="70" spans="1:21" customFormat="1">
      <c r="A70" s="163" t="s">
        <v>1644</v>
      </c>
      <c r="B70" s="100">
        <v>4.32</v>
      </c>
      <c r="C70" s="100">
        <v>22.91</v>
      </c>
      <c r="D70" s="100">
        <v>16.79</v>
      </c>
      <c r="E70" s="100">
        <v>9.2100000000000009</v>
      </c>
      <c r="F70" s="100">
        <v>1.44</v>
      </c>
      <c r="G70" s="100">
        <v>60.66</v>
      </c>
      <c r="H70" s="100">
        <v>25.29</v>
      </c>
      <c r="I70" s="100">
        <v>9.4</v>
      </c>
      <c r="J70" s="100">
        <v>0.76</v>
      </c>
      <c r="K70" s="100">
        <v>50.71</v>
      </c>
      <c r="L70" s="100">
        <v>26.56</v>
      </c>
      <c r="M70" s="100">
        <v>35.4</v>
      </c>
      <c r="N70" s="100">
        <v>78.7</v>
      </c>
      <c r="O70" s="100">
        <v>0</v>
      </c>
      <c r="P70" s="100">
        <v>0.69</v>
      </c>
      <c r="Q70" s="100">
        <v>12.94</v>
      </c>
      <c r="R70" s="6"/>
      <c r="S70" s="6"/>
      <c r="T70" s="156"/>
      <c r="U70" s="6"/>
    </row>
    <row r="71" spans="1:21" customFormat="1">
      <c r="A71" s="163" t="s">
        <v>1645</v>
      </c>
      <c r="B71" s="100">
        <v>4.46</v>
      </c>
      <c r="C71" s="100">
        <v>22.83</v>
      </c>
      <c r="D71" s="100">
        <v>16.850000000000001</v>
      </c>
      <c r="E71" s="100">
        <v>9.06</v>
      </c>
      <c r="F71" s="100">
        <v>1.89</v>
      </c>
      <c r="G71" s="100">
        <v>56.2</v>
      </c>
      <c r="H71" s="100">
        <v>24.22</v>
      </c>
      <c r="I71" s="100">
        <v>9.33</v>
      </c>
      <c r="J71" s="100">
        <v>0.69</v>
      </c>
      <c r="K71" s="100">
        <v>43.98</v>
      </c>
      <c r="L71" s="100">
        <v>26.48</v>
      </c>
      <c r="M71" s="100">
        <v>35.56</v>
      </c>
      <c r="N71" s="100">
        <v>81</v>
      </c>
      <c r="O71" s="100">
        <v>0</v>
      </c>
      <c r="P71" s="100">
        <v>0.69</v>
      </c>
      <c r="Q71" s="100">
        <v>12.94</v>
      </c>
      <c r="R71" s="6"/>
      <c r="S71" s="6"/>
      <c r="T71" s="156"/>
      <c r="U71" s="6"/>
    </row>
    <row r="72" spans="1:21" customFormat="1">
      <c r="A72" s="163" t="s">
        <v>1646</v>
      </c>
      <c r="B72" s="100">
        <v>4.6100000000000003</v>
      </c>
      <c r="C72" s="100">
        <v>22.83</v>
      </c>
      <c r="D72" s="100">
        <v>16.97</v>
      </c>
      <c r="E72" s="100">
        <v>9.08</v>
      </c>
      <c r="F72" s="100">
        <v>1.37</v>
      </c>
      <c r="G72" s="100">
        <v>56.2</v>
      </c>
      <c r="H72" s="100">
        <v>24.22</v>
      </c>
      <c r="I72" s="100">
        <v>9.16</v>
      </c>
      <c r="J72" s="100">
        <v>0.85</v>
      </c>
      <c r="K72" s="100">
        <v>47.82</v>
      </c>
      <c r="L72" s="100">
        <v>26.23</v>
      </c>
      <c r="M72" s="100">
        <v>36.07</v>
      </c>
      <c r="N72" s="100">
        <v>45.3</v>
      </c>
      <c r="O72" s="100">
        <v>0</v>
      </c>
      <c r="P72" s="100">
        <v>0.68</v>
      </c>
      <c r="Q72" s="100">
        <v>12.95</v>
      </c>
      <c r="R72" s="6"/>
      <c r="S72" s="6"/>
      <c r="T72" s="156"/>
      <c r="U72" s="6"/>
    </row>
    <row r="73" spans="1:21" customFormat="1">
      <c r="A73" s="163" t="s">
        <v>1647</v>
      </c>
      <c r="B73" s="100">
        <v>4.7</v>
      </c>
      <c r="C73" s="100">
        <v>22.93</v>
      </c>
      <c r="D73" s="100">
        <v>17.100000000000001</v>
      </c>
      <c r="E73" s="100">
        <v>8.91</v>
      </c>
      <c r="F73" s="100">
        <v>3.18</v>
      </c>
      <c r="G73" s="100">
        <v>56.2</v>
      </c>
      <c r="H73" s="100">
        <v>24.22</v>
      </c>
      <c r="I73" s="100">
        <v>9.1</v>
      </c>
      <c r="J73" s="100">
        <v>0.87</v>
      </c>
      <c r="K73" s="100">
        <v>37.86</v>
      </c>
      <c r="L73" s="100">
        <v>25.85</v>
      </c>
      <c r="M73" s="100">
        <v>37.07</v>
      </c>
      <c r="N73" s="100">
        <v>53.7</v>
      </c>
      <c r="O73" s="100">
        <v>0</v>
      </c>
      <c r="P73" s="100">
        <v>0.68</v>
      </c>
      <c r="Q73" s="100">
        <v>12.94</v>
      </c>
      <c r="R73" s="6"/>
      <c r="S73" s="6"/>
      <c r="T73" s="156"/>
      <c r="U73" s="6"/>
    </row>
    <row r="74" spans="1:21" customFormat="1">
      <c r="A74" s="163" t="s">
        <v>1648</v>
      </c>
      <c r="B74" s="100">
        <v>4.7699999999999996</v>
      </c>
      <c r="C74" s="100">
        <v>22.9</v>
      </c>
      <c r="D74" s="100">
        <v>17.14</v>
      </c>
      <c r="E74" s="100">
        <v>9.2100000000000009</v>
      </c>
      <c r="F74" s="100">
        <v>1.68</v>
      </c>
      <c r="G74" s="100">
        <v>60.06</v>
      </c>
      <c r="H74" s="100">
        <v>26.51</v>
      </c>
      <c r="I74" s="100">
        <v>9.01</v>
      </c>
      <c r="J74" s="100">
        <v>0.69</v>
      </c>
      <c r="K74" s="100">
        <v>19.510000000000002</v>
      </c>
      <c r="L74" s="100">
        <v>25.83</v>
      </c>
      <c r="M74" s="100">
        <v>37.14</v>
      </c>
      <c r="N74" s="100">
        <v>42.8</v>
      </c>
      <c r="O74" s="100">
        <v>0</v>
      </c>
      <c r="P74" s="100">
        <v>0.68</v>
      </c>
      <c r="Q74" s="100">
        <v>12.95</v>
      </c>
      <c r="R74" s="6"/>
      <c r="S74" s="6"/>
      <c r="T74" s="156"/>
      <c r="U74" s="6"/>
    </row>
    <row r="75" spans="1:21" customFormat="1">
      <c r="A75" s="163" t="s">
        <v>1649</v>
      </c>
      <c r="B75" s="100">
        <v>5.03</v>
      </c>
      <c r="C75" s="100">
        <v>23.14</v>
      </c>
      <c r="D75" s="100">
        <v>17.47</v>
      </c>
      <c r="E75" s="100">
        <v>8.42</v>
      </c>
      <c r="F75" s="100">
        <v>2.02</v>
      </c>
      <c r="G75" s="100">
        <v>62.41</v>
      </c>
      <c r="H75" s="100">
        <v>26.96</v>
      </c>
      <c r="I75" s="100">
        <v>8.91</v>
      </c>
      <c r="J75" s="100">
        <v>0.8</v>
      </c>
      <c r="K75" s="100">
        <v>44.26</v>
      </c>
      <c r="L75" s="100">
        <v>25.53</v>
      </c>
      <c r="M75" s="100">
        <v>38.64</v>
      </c>
      <c r="N75" s="100">
        <v>24.6</v>
      </c>
      <c r="O75" s="100">
        <v>0</v>
      </c>
      <c r="P75" s="100">
        <v>0.68</v>
      </c>
      <c r="Q75" s="100">
        <v>12.95</v>
      </c>
      <c r="R75" s="6"/>
      <c r="S75" s="6"/>
      <c r="T75" s="156"/>
      <c r="U75" s="6"/>
    </row>
    <row r="76" spans="1:21" customFormat="1">
      <c r="A76" s="163" t="s">
        <v>1650</v>
      </c>
      <c r="B76" s="100">
        <v>5.35</v>
      </c>
      <c r="C76" s="100">
        <v>23.53</v>
      </c>
      <c r="D76" s="100">
        <v>17.940000000000001</v>
      </c>
      <c r="E76" s="100">
        <v>9.2799999999999994</v>
      </c>
      <c r="F76" s="100">
        <v>2.0299999999999998</v>
      </c>
      <c r="G76" s="100">
        <v>62.41</v>
      </c>
      <c r="H76" s="100">
        <v>26.96</v>
      </c>
      <c r="I76" s="100">
        <v>8.7899999999999991</v>
      </c>
      <c r="J76" s="100">
        <v>0.57999999999999996</v>
      </c>
      <c r="K76" s="100">
        <v>48.2</v>
      </c>
      <c r="L76" s="100">
        <v>25.12</v>
      </c>
      <c r="M76" s="100">
        <v>39.950000000000003</v>
      </c>
      <c r="N76" s="100">
        <v>21.5</v>
      </c>
      <c r="O76" s="100">
        <v>0</v>
      </c>
      <c r="P76" s="100">
        <v>0.68</v>
      </c>
      <c r="Q76" s="100">
        <v>12.95</v>
      </c>
      <c r="R76" s="6"/>
      <c r="S76" s="6"/>
      <c r="T76" s="156"/>
      <c r="U76" s="6"/>
    </row>
    <row r="77" spans="1:21" customFormat="1">
      <c r="A77" s="163" t="s">
        <v>1651</v>
      </c>
      <c r="B77" s="100">
        <v>5.82</v>
      </c>
      <c r="C77" s="100">
        <v>23.87</v>
      </c>
      <c r="D77" s="100">
        <v>18.489999999999998</v>
      </c>
      <c r="E77" s="100">
        <v>9.07</v>
      </c>
      <c r="F77" s="100">
        <v>3.36</v>
      </c>
      <c r="G77" s="100">
        <v>62.41</v>
      </c>
      <c r="H77" s="100">
        <v>26.96</v>
      </c>
      <c r="I77" s="100">
        <v>8.82</v>
      </c>
      <c r="J77" s="100">
        <v>0.51</v>
      </c>
      <c r="K77" s="100">
        <v>57.72</v>
      </c>
      <c r="L77" s="100">
        <v>24.93</v>
      </c>
      <c r="M77" s="100">
        <v>40.49</v>
      </c>
      <c r="N77" s="100">
        <v>20.399999999999999</v>
      </c>
      <c r="O77" s="100">
        <v>0</v>
      </c>
      <c r="P77" s="100">
        <v>0.69</v>
      </c>
      <c r="Q77" s="100">
        <v>12.96</v>
      </c>
      <c r="R77" s="6"/>
      <c r="S77" s="6"/>
      <c r="T77" s="156"/>
      <c r="U77" s="6"/>
    </row>
    <row r="78" spans="1:21" customFormat="1">
      <c r="A78" s="163" t="s">
        <v>1652</v>
      </c>
      <c r="B78" s="100">
        <v>6.2</v>
      </c>
      <c r="C78" s="100">
        <v>24.12</v>
      </c>
      <c r="D78" s="100">
        <v>18.93</v>
      </c>
      <c r="E78" s="100">
        <v>8.66</v>
      </c>
      <c r="F78" s="100">
        <v>2.75</v>
      </c>
      <c r="G78" s="100">
        <v>66.959999999999994</v>
      </c>
      <c r="H78" s="100">
        <v>0</v>
      </c>
      <c r="I78" s="100">
        <v>8.7899999999999991</v>
      </c>
      <c r="J78" s="100">
        <v>0.32</v>
      </c>
      <c r="K78" s="100">
        <v>162.05000000000001</v>
      </c>
      <c r="L78" s="100">
        <v>24.21</v>
      </c>
      <c r="M78" s="100">
        <v>46.49</v>
      </c>
      <c r="N78" s="100">
        <v>11.4</v>
      </c>
      <c r="O78" s="100">
        <v>0</v>
      </c>
      <c r="P78" s="100">
        <v>0.69</v>
      </c>
      <c r="Q78" s="100">
        <v>12.96</v>
      </c>
      <c r="R78" s="6"/>
      <c r="S78" s="6"/>
      <c r="T78" s="156"/>
      <c r="U78" s="6"/>
    </row>
    <row r="79" spans="1:21" customFormat="1">
      <c r="A79" s="163" t="s">
        <v>1653</v>
      </c>
      <c r="B79" s="100">
        <v>6.35</v>
      </c>
      <c r="C79" s="100">
        <v>23.91</v>
      </c>
      <c r="D79" s="100">
        <v>18.940000000000001</v>
      </c>
      <c r="E79" s="100">
        <v>8.5299999999999994</v>
      </c>
      <c r="F79" s="100">
        <v>4.8600000000000003</v>
      </c>
      <c r="G79" s="100">
        <v>69.930000000000007</v>
      </c>
      <c r="H79" s="100">
        <v>25.78</v>
      </c>
      <c r="I79" s="100">
        <v>8.82</v>
      </c>
      <c r="J79" s="100">
        <v>0.22</v>
      </c>
      <c r="K79" s="100">
        <v>175.12</v>
      </c>
      <c r="L79" s="100">
        <v>22.84</v>
      </c>
      <c r="M79" s="100">
        <v>53.11</v>
      </c>
      <c r="N79" s="100">
        <v>4.5999999999999996</v>
      </c>
      <c r="O79" s="100">
        <v>0</v>
      </c>
      <c r="P79" s="100">
        <v>0.7</v>
      </c>
      <c r="Q79" s="100">
        <v>12.96</v>
      </c>
      <c r="R79" s="6"/>
      <c r="S79" s="6"/>
      <c r="T79" s="156"/>
      <c r="U79" s="6"/>
    </row>
    <row r="80" spans="1:21" customFormat="1">
      <c r="A80" s="163" t="s">
        <v>1654</v>
      </c>
      <c r="B80" s="100">
        <v>6.42</v>
      </c>
      <c r="C80" s="100">
        <v>24</v>
      </c>
      <c r="D80" s="100">
        <v>19.04</v>
      </c>
      <c r="E80" s="100">
        <v>8.3800000000000008</v>
      </c>
      <c r="F80" s="100">
        <v>0.95</v>
      </c>
      <c r="G80" s="100">
        <v>69.930000000000007</v>
      </c>
      <c r="H80" s="100">
        <v>25.78</v>
      </c>
      <c r="I80" s="100">
        <v>8.81</v>
      </c>
      <c r="J80" s="100">
        <v>0.22</v>
      </c>
      <c r="K80" s="100">
        <v>169.2</v>
      </c>
      <c r="L80" s="100">
        <v>21.87</v>
      </c>
      <c r="M80" s="100">
        <v>60.17</v>
      </c>
      <c r="N80" s="100">
        <v>2.2000000000000002</v>
      </c>
      <c r="O80" s="100">
        <v>0</v>
      </c>
      <c r="P80" s="100">
        <v>0.7</v>
      </c>
      <c r="Q80" s="100">
        <v>12.95</v>
      </c>
      <c r="R80" s="6"/>
      <c r="S80" s="6"/>
      <c r="T80" s="156"/>
      <c r="U80" s="6"/>
    </row>
    <row r="81" spans="1:21" customFormat="1">
      <c r="A81" s="163" t="s">
        <v>1655</v>
      </c>
      <c r="B81" s="100">
        <v>6.56</v>
      </c>
      <c r="C81" s="100">
        <v>23.95</v>
      </c>
      <c r="D81" s="100">
        <v>19.12</v>
      </c>
      <c r="E81" s="100">
        <v>8.8800000000000008</v>
      </c>
      <c r="F81" s="100">
        <v>0.66</v>
      </c>
      <c r="G81" s="100">
        <v>69.930000000000007</v>
      </c>
      <c r="H81" s="100">
        <v>25.78</v>
      </c>
      <c r="I81" s="100">
        <v>8.85</v>
      </c>
      <c r="J81" s="100">
        <v>0.23</v>
      </c>
      <c r="K81" s="100">
        <v>169.62</v>
      </c>
      <c r="L81" s="100">
        <v>21.08</v>
      </c>
      <c r="M81" s="100">
        <v>64.930000000000007</v>
      </c>
      <c r="N81" s="100">
        <v>2</v>
      </c>
      <c r="O81" s="100">
        <v>0</v>
      </c>
      <c r="P81" s="100">
        <v>0.71</v>
      </c>
      <c r="Q81" s="100">
        <v>12.95</v>
      </c>
      <c r="R81" s="6"/>
      <c r="S81" s="6"/>
      <c r="T81" s="156"/>
      <c r="U81" s="6"/>
    </row>
    <row r="82" spans="1:21" customFormat="1">
      <c r="A82" s="163" t="s">
        <v>1656</v>
      </c>
      <c r="B82" s="100">
        <v>6.69</v>
      </c>
      <c r="C82" s="100">
        <v>24.03</v>
      </c>
      <c r="D82" s="100">
        <v>19.27</v>
      </c>
      <c r="E82" s="100">
        <v>10.56</v>
      </c>
      <c r="F82" s="100">
        <v>1.19</v>
      </c>
      <c r="G82" s="100">
        <v>85.03</v>
      </c>
      <c r="H82" s="100">
        <v>29.44</v>
      </c>
      <c r="I82" s="100">
        <v>8.81</v>
      </c>
      <c r="J82" s="100">
        <v>0.15</v>
      </c>
      <c r="K82" s="100">
        <v>183.66</v>
      </c>
      <c r="L82" s="100">
        <v>20.440000000000001</v>
      </c>
      <c r="M82" s="100">
        <v>68.64</v>
      </c>
      <c r="N82" s="100">
        <v>1.7</v>
      </c>
      <c r="O82" s="100">
        <v>0</v>
      </c>
      <c r="P82" s="100">
        <v>0.71</v>
      </c>
      <c r="Q82" s="100">
        <v>12.96</v>
      </c>
      <c r="R82" s="6"/>
      <c r="S82" s="6"/>
      <c r="T82" s="156"/>
      <c r="U82" s="6"/>
    </row>
    <row r="83" spans="1:21" customFormat="1">
      <c r="A83" s="163" t="s">
        <v>1657</v>
      </c>
      <c r="B83" s="100">
        <v>6.93</v>
      </c>
      <c r="C83" s="100">
        <v>24.15</v>
      </c>
      <c r="D83" s="100">
        <v>19.52</v>
      </c>
      <c r="E83" s="100">
        <v>10.29</v>
      </c>
      <c r="F83" s="100">
        <v>1.24</v>
      </c>
      <c r="G83" s="100">
        <v>94.2</v>
      </c>
      <c r="H83" s="100">
        <v>30.17</v>
      </c>
      <c r="I83" s="100">
        <v>8.8000000000000007</v>
      </c>
      <c r="J83" s="100">
        <v>0.14000000000000001</v>
      </c>
      <c r="K83" s="100">
        <v>145.07</v>
      </c>
      <c r="L83" s="100">
        <v>20.329999999999998</v>
      </c>
      <c r="M83" s="100">
        <v>65.39</v>
      </c>
      <c r="N83" s="100">
        <v>1.3</v>
      </c>
      <c r="O83" s="100">
        <v>0</v>
      </c>
      <c r="P83" s="100">
        <v>0.72</v>
      </c>
      <c r="Q83" s="100">
        <v>12.96</v>
      </c>
      <c r="R83" s="6"/>
      <c r="S83" s="6"/>
      <c r="T83" s="156"/>
      <c r="U83" s="6"/>
    </row>
    <row r="84" spans="1:21" customFormat="1">
      <c r="A84" s="163" t="s">
        <v>1658</v>
      </c>
      <c r="B84" s="100">
        <v>7.56</v>
      </c>
      <c r="C84" s="100">
        <v>24.48</v>
      </c>
      <c r="D84" s="100">
        <v>20.2</v>
      </c>
      <c r="E84" s="100">
        <v>10.130000000000001</v>
      </c>
      <c r="F84" s="100">
        <v>0.8</v>
      </c>
      <c r="G84" s="100">
        <v>94.2</v>
      </c>
      <c r="H84" s="100">
        <v>30.17</v>
      </c>
      <c r="I84" s="100">
        <v>8.84</v>
      </c>
      <c r="J84" s="100">
        <v>0.21</v>
      </c>
      <c r="K84" s="100">
        <v>171.52</v>
      </c>
      <c r="L84" s="100">
        <v>20.21</v>
      </c>
      <c r="M84" s="100">
        <v>66.66</v>
      </c>
      <c r="N84" s="100">
        <v>1.5</v>
      </c>
      <c r="O84" s="100">
        <v>0</v>
      </c>
      <c r="P84" s="100">
        <v>0.74</v>
      </c>
      <c r="Q84" s="100">
        <v>12.96</v>
      </c>
      <c r="R84" s="6"/>
      <c r="S84" s="6"/>
      <c r="T84" s="156"/>
      <c r="U84" s="6"/>
    </row>
    <row r="85" spans="1:21" customFormat="1">
      <c r="A85" s="163" t="s">
        <v>1659</v>
      </c>
      <c r="B85" s="100">
        <v>7.73</v>
      </c>
      <c r="C85" s="100">
        <v>24.68</v>
      </c>
      <c r="D85" s="100">
        <v>20.45</v>
      </c>
      <c r="E85" s="100">
        <v>10.1</v>
      </c>
      <c r="F85" s="100">
        <v>1.57</v>
      </c>
      <c r="G85" s="100">
        <v>94.2</v>
      </c>
      <c r="H85" s="100">
        <v>30.17</v>
      </c>
      <c r="I85" s="100">
        <v>8.93</v>
      </c>
      <c r="J85" s="100">
        <v>0.18</v>
      </c>
      <c r="K85" s="100">
        <v>197.98</v>
      </c>
      <c r="L85" s="100">
        <v>19.579999999999998</v>
      </c>
      <c r="M85" s="100">
        <v>69.510000000000005</v>
      </c>
      <c r="N85" s="100">
        <v>1.7</v>
      </c>
      <c r="O85" s="100">
        <v>0</v>
      </c>
      <c r="P85" s="100">
        <v>0.76</v>
      </c>
      <c r="Q85" s="100">
        <v>12.97</v>
      </c>
      <c r="R85" s="6"/>
      <c r="S85" s="6"/>
      <c r="T85" s="156"/>
      <c r="U85" s="6"/>
    </row>
    <row r="86" spans="1:21" customFormat="1">
      <c r="A86" s="163" t="s">
        <v>1660</v>
      </c>
      <c r="B86" s="100">
        <v>7.66</v>
      </c>
      <c r="C86" s="100">
        <v>25.03</v>
      </c>
      <c r="D86" s="100">
        <v>20.57</v>
      </c>
      <c r="E86" s="100">
        <v>10.220000000000001</v>
      </c>
      <c r="F86" s="100">
        <v>0.75</v>
      </c>
      <c r="G86" s="100">
        <v>96.04</v>
      </c>
      <c r="H86" s="100">
        <v>28.25</v>
      </c>
      <c r="I86" s="100">
        <v>8.99</v>
      </c>
      <c r="J86" s="100">
        <v>0.21</v>
      </c>
      <c r="K86" s="100">
        <v>161.38</v>
      </c>
      <c r="L86" s="100">
        <v>19.350000000000001</v>
      </c>
      <c r="M86" s="100">
        <v>66.97</v>
      </c>
      <c r="N86" s="100">
        <v>1.3</v>
      </c>
      <c r="O86" s="100">
        <v>0</v>
      </c>
      <c r="P86" s="100">
        <v>0.77</v>
      </c>
      <c r="Q86" s="100">
        <v>12.99</v>
      </c>
      <c r="R86" s="6"/>
      <c r="S86" s="6"/>
      <c r="T86" s="156"/>
      <c r="U86" s="6"/>
    </row>
    <row r="87" spans="1:21" customFormat="1">
      <c r="A87" s="163" t="s">
        <v>1661</v>
      </c>
      <c r="B87" s="100">
        <v>7.46</v>
      </c>
      <c r="C87" s="100">
        <v>25.32</v>
      </c>
      <c r="D87" s="100">
        <v>20.56</v>
      </c>
      <c r="E87" s="100">
        <v>9.82</v>
      </c>
      <c r="F87" s="100">
        <v>2.31</v>
      </c>
      <c r="G87" s="100">
        <v>97.16</v>
      </c>
      <c r="H87" s="100">
        <v>27.83</v>
      </c>
      <c r="I87" s="100">
        <v>9.09</v>
      </c>
      <c r="J87" s="100">
        <v>0.22</v>
      </c>
      <c r="K87" s="100">
        <v>161.88</v>
      </c>
      <c r="L87" s="100">
        <v>19.21</v>
      </c>
      <c r="M87" s="100">
        <v>70.239999999999995</v>
      </c>
      <c r="N87" s="100">
        <v>1.3</v>
      </c>
      <c r="O87" s="100">
        <v>0</v>
      </c>
      <c r="P87" s="100">
        <v>0.78</v>
      </c>
      <c r="Q87" s="100">
        <v>12.98</v>
      </c>
      <c r="R87" s="6"/>
      <c r="S87" s="6"/>
      <c r="T87" s="156"/>
      <c r="U87" s="6"/>
    </row>
    <row r="88" spans="1:21" customFormat="1">
      <c r="A88" s="163" t="s">
        <v>1662</v>
      </c>
      <c r="B88" s="100">
        <v>7.58</v>
      </c>
      <c r="C88" s="100">
        <v>25.84</v>
      </c>
      <c r="D88" s="100">
        <v>20.93</v>
      </c>
      <c r="E88" s="100">
        <v>9.9600000000000009</v>
      </c>
      <c r="F88" s="100">
        <v>1.62</v>
      </c>
      <c r="G88" s="100">
        <v>97.16</v>
      </c>
      <c r="H88" s="100">
        <v>27.83</v>
      </c>
      <c r="I88" s="100">
        <v>9.1999999999999993</v>
      </c>
      <c r="J88" s="100">
        <v>0.2</v>
      </c>
      <c r="K88" s="100">
        <v>190.19</v>
      </c>
      <c r="L88" s="100">
        <v>18.91</v>
      </c>
      <c r="M88" s="100">
        <v>69.040000000000006</v>
      </c>
      <c r="N88" s="100">
        <v>1.4</v>
      </c>
      <c r="O88" s="100">
        <v>0</v>
      </c>
      <c r="P88" s="100">
        <v>0.81</v>
      </c>
      <c r="Q88" s="100">
        <v>12.99</v>
      </c>
      <c r="R88" s="6"/>
      <c r="S88" s="6"/>
      <c r="T88" s="156"/>
      <c r="U88" s="6"/>
    </row>
    <row r="89" spans="1:21" customFormat="1">
      <c r="A89" s="163" t="s">
        <v>1663</v>
      </c>
      <c r="B89" s="100">
        <v>7.73</v>
      </c>
      <c r="C89" s="100">
        <v>26.33</v>
      </c>
      <c r="D89" s="100">
        <v>21.31</v>
      </c>
      <c r="E89" s="100">
        <v>10.17</v>
      </c>
      <c r="F89" s="100">
        <v>0.72</v>
      </c>
      <c r="G89" s="100">
        <v>97.16</v>
      </c>
      <c r="H89" s="100">
        <v>27.83</v>
      </c>
      <c r="I89" s="100">
        <v>9.6199999999999992</v>
      </c>
      <c r="J89" s="100">
        <v>0.19</v>
      </c>
      <c r="K89" s="100">
        <v>166.58</v>
      </c>
      <c r="L89" s="100">
        <v>18.45</v>
      </c>
      <c r="M89" s="100">
        <v>75.16</v>
      </c>
      <c r="N89" s="100">
        <v>1.7</v>
      </c>
      <c r="O89" s="100">
        <v>0</v>
      </c>
      <c r="P89" s="100">
        <v>0.81</v>
      </c>
      <c r="Q89" s="100">
        <v>12.98</v>
      </c>
      <c r="R89" s="6"/>
      <c r="S89" s="6"/>
      <c r="T89" s="156"/>
      <c r="U89" s="6"/>
    </row>
    <row r="90" spans="1:21" customFormat="1">
      <c r="A90" s="163" t="s">
        <v>1664</v>
      </c>
      <c r="B90" s="100">
        <v>7.8</v>
      </c>
      <c r="C90" s="100">
        <v>26.29</v>
      </c>
      <c r="D90" s="100">
        <v>21.34</v>
      </c>
      <c r="E90" s="100">
        <v>10.01</v>
      </c>
      <c r="F90" s="100">
        <v>1.9</v>
      </c>
      <c r="G90" s="100">
        <v>96.64</v>
      </c>
      <c r="H90" s="100">
        <v>30.04</v>
      </c>
      <c r="I90" s="100">
        <v>9.51</v>
      </c>
      <c r="J90" s="100">
        <v>0.15</v>
      </c>
      <c r="K90" s="100">
        <v>205.36</v>
      </c>
      <c r="L90" s="100">
        <v>18.07</v>
      </c>
      <c r="M90" s="100">
        <v>73.959999999999994</v>
      </c>
      <c r="N90" s="100">
        <v>1.4</v>
      </c>
      <c r="O90" s="100">
        <v>0</v>
      </c>
      <c r="P90" s="100">
        <v>0.81</v>
      </c>
      <c r="Q90" s="100">
        <v>13</v>
      </c>
      <c r="R90" s="6"/>
      <c r="S90" s="6"/>
      <c r="T90" s="156"/>
      <c r="U90" s="6"/>
    </row>
    <row r="91" spans="1:21" customFormat="1">
      <c r="A91" s="163" t="s">
        <v>1665</v>
      </c>
      <c r="B91" s="100">
        <v>7.8</v>
      </c>
      <c r="C91" s="100">
        <v>26.11</v>
      </c>
      <c r="D91" s="100">
        <v>21.25</v>
      </c>
      <c r="E91" s="100">
        <v>10.119999999999999</v>
      </c>
      <c r="F91" s="100">
        <v>2.11</v>
      </c>
      <c r="G91" s="100">
        <v>96.32</v>
      </c>
      <c r="H91" s="100">
        <v>30.9</v>
      </c>
      <c r="I91" s="100">
        <v>9.9600000000000009</v>
      </c>
      <c r="J91" s="100">
        <v>0.17</v>
      </c>
      <c r="K91" s="100">
        <v>169.18</v>
      </c>
      <c r="L91" s="100">
        <v>17.89</v>
      </c>
      <c r="M91" s="100">
        <v>74.64</v>
      </c>
      <c r="N91" s="100">
        <v>1.3</v>
      </c>
      <c r="O91" s="100">
        <v>0</v>
      </c>
      <c r="P91" s="100">
        <v>0.82</v>
      </c>
      <c r="Q91" s="100">
        <v>12.98</v>
      </c>
      <c r="R91" s="6"/>
      <c r="S91" s="6"/>
      <c r="T91" s="156"/>
      <c r="U91" s="6"/>
    </row>
    <row r="92" spans="1:21" customFormat="1">
      <c r="A92" s="163" t="s">
        <v>1666</v>
      </c>
      <c r="B92" s="100">
        <v>7.75</v>
      </c>
      <c r="C92" s="100">
        <v>25.91</v>
      </c>
      <c r="D92" s="100">
        <v>21.11</v>
      </c>
      <c r="E92" s="100">
        <v>10.29</v>
      </c>
      <c r="F92" s="100">
        <v>1.23</v>
      </c>
      <c r="G92" s="100">
        <v>96.32</v>
      </c>
      <c r="H92" s="100">
        <v>30.9</v>
      </c>
      <c r="I92" s="100">
        <v>10.14</v>
      </c>
      <c r="J92" s="100">
        <v>0.2</v>
      </c>
      <c r="K92" s="100">
        <v>187.36</v>
      </c>
      <c r="L92" s="100">
        <v>17.670000000000002</v>
      </c>
      <c r="M92" s="100">
        <v>78.91</v>
      </c>
      <c r="N92" s="100">
        <v>1.4</v>
      </c>
      <c r="O92" s="100">
        <v>0</v>
      </c>
      <c r="P92" s="100">
        <v>0.83</v>
      </c>
      <c r="Q92" s="100">
        <v>12.98</v>
      </c>
      <c r="R92" s="6"/>
      <c r="S92" s="6"/>
      <c r="T92" s="156"/>
      <c r="U92" s="6"/>
    </row>
    <row r="93" spans="1:21" customFormat="1">
      <c r="A93" s="163" t="s">
        <v>1667</v>
      </c>
      <c r="B93" s="100">
        <v>7.81</v>
      </c>
      <c r="C93" s="100">
        <v>25.51</v>
      </c>
      <c r="D93" s="100">
        <v>20.94</v>
      </c>
      <c r="E93" s="100">
        <v>10.25</v>
      </c>
      <c r="F93" s="100">
        <v>1.64</v>
      </c>
      <c r="G93" s="100">
        <v>96.32</v>
      </c>
      <c r="H93" s="100">
        <v>30.9</v>
      </c>
      <c r="I93" s="100">
        <v>10.210000000000001</v>
      </c>
      <c r="J93" s="100">
        <v>0.12</v>
      </c>
      <c r="K93" s="100">
        <v>166.42</v>
      </c>
      <c r="L93" s="100">
        <v>17.32</v>
      </c>
      <c r="M93" s="100">
        <v>78.38</v>
      </c>
      <c r="N93" s="100">
        <v>1.3</v>
      </c>
      <c r="O93" s="100">
        <v>0</v>
      </c>
      <c r="P93" s="100">
        <v>0.83</v>
      </c>
      <c r="Q93" s="100">
        <v>12.97</v>
      </c>
      <c r="R93" s="6"/>
      <c r="S93" s="6"/>
      <c r="T93" s="156"/>
      <c r="U93" s="6"/>
    </row>
    <row r="94" spans="1:21" customFormat="1">
      <c r="A94" s="163" t="s">
        <v>1668</v>
      </c>
      <c r="B94" s="100">
        <v>7.96</v>
      </c>
      <c r="C94" s="100">
        <v>25.31</v>
      </c>
      <c r="D94" s="100">
        <v>20.96</v>
      </c>
      <c r="E94" s="100">
        <v>9.86</v>
      </c>
      <c r="F94" s="100">
        <v>1.54</v>
      </c>
      <c r="G94" s="100">
        <v>94.79</v>
      </c>
      <c r="H94" s="100">
        <v>29.68</v>
      </c>
      <c r="I94" s="100">
        <v>10.33</v>
      </c>
      <c r="J94" s="100">
        <v>0.19</v>
      </c>
      <c r="K94" s="100">
        <v>163.29</v>
      </c>
      <c r="L94" s="100">
        <v>17.55</v>
      </c>
      <c r="M94" s="100">
        <v>73.900000000000006</v>
      </c>
      <c r="N94" s="100">
        <v>1</v>
      </c>
      <c r="O94" s="100">
        <v>0</v>
      </c>
      <c r="P94" s="100">
        <v>0.84</v>
      </c>
      <c r="Q94" s="100">
        <v>12.97</v>
      </c>
      <c r="R94" s="6"/>
      <c r="S94" s="6"/>
      <c r="T94" s="156"/>
      <c r="U94" s="6"/>
    </row>
    <row r="95" spans="1:21" customFormat="1">
      <c r="A95" s="163" t="s">
        <v>1669</v>
      </c>
      <c r="B95" s="100">
        <v>8.39</v>
      </c>
      <c r="C95" s="100">
        <v>25.45</v>
      </c>
      <c r="D95" s="100">
        <v>21.38</v>
      </c>
      <c r="E95" s="100">
        <v>9.68</v>
      </c>
      <c r="F95" s="100">
        <v>1.72</v>
      </c>
      <c r="G95" s="100">
        <v>93.82</v>
      </c>
      <c r="H95" s="100">
        <v>29.43</v>
      </c>
      <c r="I95" s="100">
        <v>10.48</v>
      </c>
      <c r="J95" s="100">
        <v>0.15</v>
      </c>
      <c r="K95" s="100">
        <v>167.69</v>
      </c>
      <c r="L95" s="100">
        <v>17.63</v>
      </c>
      <c r="M95" s="100">
        <v>72.819999999999993</v>
      </c>
      <c r="N95" s="100">
        <v>1</v>
      </c>
      <c r="O95" s="100">
        <v>0</v>
      </c>
      <c r="P95" s="100">
        <v>0.86</v>
      </c>
      <c r="Q95" s="100">
        <v>12.96</v>
      </c>
      <c r="R95" s="6"/>
      <c r="S95" s="6"/>
      <c r="T95" s="156"/>
      <c r="U95" s="6"/>
    </row>
    <row r="96" spans="1:21" customFormat="1">
      <c r="A96" s="163" t="s">
        <v>1670</v>
      </c>
      <c r="B96" s="100">
        <v>10.42</v>
      </c>
      <c r="C96" s="100">
        <v>25.97</v>
      </c>
      <c r="D96" s="100">
        <v>23.27</v>
      </c>
      <c r="E96" s="100">
        <v>9.6199999999999992</v>
      </c>
      <c r="F96" s="100">
        <v>3.31</v>
      </c>
      <c r="G96" s="100">
        <v>93.82</v>
      </c>
      <c r="H96" s="100">
        <v>29.43</v>
      </c>
      <c r="I96" s="100">
        <v>10.65</v>
      </c>
      <c r="J96" s="100">
        <v>0.09</v>
      </c>
      <c r="K96" s="100">
        <v>147.68</v>
      </c>
      <c r="L96" s="100">
        <v>17.59</v>
      </c>
      <c r="M96" s="100">
        <v>73.930000000000007</v>
      </c>
      <c r="N96" s="100">
        <v>1.2</v>
      </c>
      <c r="O96" s="100">
        <v>0</v>
      </c>
      <c r="P96" s="100">
        <v>0.88</v>
      </c>
      <c r="Q96" s="100">
        <v>12.99</v>
      </c>
      <c r="R96" s="6"/>
      <c r="S96" s="6"/>
      <c r="T96" s="156"/>
      <c r="U96" s="6"/>
    </row>
    <row r="97" spans="1:28" customFormat="1">
      <c r="A97" s="163" t="s">
        <v>1671</v>
      </c>
      <c r="B97" s="100">
        <v>13.94</v>
      </c>
      <c r="C97" s="100">
        <v>26.6</v>
      </c>
      <c r="D97" s="100">
        <v>26.43</v>
      </c>
      <c r="E97" s="100">
        <v>10.029999999999999</v>
      </c>
      <c r="F97" s="100">
        <v>2.7</v>
      </c>
      <c r="G97" s="100">
        <v>93.82</v>
      </c>
      <c r="H97" s="100">
        <v>29.43</v>
      </c>
      <c r="I97" s="100">
        <v>10.8</v>
      </c>
      <c r="J97" s="100">
        <v>0.04</v>
      </c>
      <c r="K97" s="100">
        <v>131.33000000000001</v>
      </c>
      <c r="L97" s="100">
        <v>17.809999999999999</v>
      </c>
      <c r="M97" s="100">
        <v>72.61</v>
      </c>
      <c r="N97" s="100">
        <v>1</v>
      </c>
      <c r="O97" s="100">
        <v>0</v>
      </c>
      <c r="P97" s="100">
        <v>0.92</v>
      </c>
      <c r="Q97" s="100">
        <v>13</v>
      </c>
      <c r="R97" s="6"/>
      <c r="S97" s="6"/>
      <c r="T97" s="156"/>
      <c r="U97" s="6"/>
    </row>
    <row r="98" spans="1:28" customFormat="1">
      <c r="A98" s="163" t="s">
        <v>1672</v>
      </c>
      <c r="B98" s="100">
        <v>17.53</v>
      </c>
      <c r="C98" s="100">
        <v>27.4</v>
      </c>
      <c r="D98" s="100">
        <v>29.72</v>
      </c>
      <c r="E98" s="100">
        <v>9.86</v>
      </c>
      <c r="F98" s="100">
        <v>0.84</v>
      </c>
      <c r="G98" s="100">
        <v>104.47</v>
      </c>
      <c r="H98" s="100">
        <v>30.73</v>
      </c>
      <c r="I98" s="100">
        <v>11.06</v>
      </c>
      <c r="J98" s="100">
        <v>0.08</v>
      </c>
      <c r="K98" s="100">
        <v>163.56</v>
      </c>
      <c r="L98" s="100">
        <v>18.100000000000001</v>
      </c>
      <c r="M98" s="100">
        <v>70.36</v>
      </c>
      <c r="N98" s="100">
        <v>1.2</v>
      </c>
      <c r="O98" s="100">
        <v>0</v>
      </c>
      <c r="P98" s="100">
        <v>0.95</v>
      </c>
      <c r="Q98" s="100">
        <v>13.01</v>
      </c>
      <c r="R98" s="6"/>
      <c r="S98" s="6"/>
      <c r="T98" s="156"/>
      <c r="U98" s="6"/>
    </row>
    <row r="99" spans="1:28" customFormat="1">
      <c r="A99" s="163" t="s">
        <v>1673</v>
      </c>
      <c r="B99" s="100">
        <v>20.16</v>
      </c>
      <c r="C99" s="100">
        <v>28.06</v>
      </c>
      <c r="D99" s="100">
        <v>32.18</v>
      </c>
      <c r="E99" s="100">
        <v>9.65</v>
      </c>
      <c r="F99" s="100">
        <v>1.61</v>
      </c>
      <c r="G99" s="100">
        <v>110.93</v>
      </c>
      <c r="H99" s="100">
        <v>31.01</v>
      </c>
      <c r="I99" s="100">
        <v>11.67</v>
      </c>
      <c r="J99" s="100">
        <v>0.18</v>
      </c>
      <c r="K99" s="100">
        <v>172.85</v>
      </c>
      <c r="L99" s="100">
        <v>17.940000000000001</v>
      </c>
      <c r="M99" s="100">
        <v>75.19</v>
      </c>
      <c r="N99" s="100">
        <v>1.5</v>
      </c>
      <c r="O99" s="100">
        <v>0</v>
      </c>
      <c r="P99" s="100">
        <v>0.99</v>
      </c>
      <c r="Q99" s="100">
        <v>13.03</v>
      </c>
      <c r="R99" s="6"/>
      <c r="S99" s="6"/>
      <c r="T99" s="156"/>
      <c r="U99" s="6"/>
    </row>
    <row r="100" spans="1:28" customFormat="1">
      <c r="A100" s="163" t="s">
        <v>1674</v>
      </c>
      <c r="B100" s="100">
        <v>22.71</v>
      </c>
      <c r="C100" s="100">
        <v>28.3</v>
      </c>
      <c r="D100" s="100">
        <v>34.35</v>
      </c>
      <c r="E100" s="100">
        <v>9.6300000000000008</v>
      </c>
      <c r="F100" s="100">
        <v>0.09</v>
      </c>
      <c r="G100" s="100">
        <v>110.93</v>
      </c>
      <c r="H100" s="100">
        <v>31.01</v>
      </c>
      <c r="I100" s="100">
        <v>12.46</v>
      </c>
      <c r="J100" s="100">
        <v>0.17</v>
      </c>
      <c r="K100" s="100">
        <v>162.72</v>
      </c>
      <c r="L100" s="100">
        <v>18.010000000000002</v>
      </c>
      <c r="M100" s="100">
        <v>75.239999999999995</v>
      </c>
      <c r="N100" s="100">
        <v>1.5</v>
      </c>
      <c r="O100" s="100">
        <v>0</v>
      </c>
      <c r="P100" s="100">
        <v>1.01</v>
      </c>
      <c r="Q100" s="100">
        <v>13.04</v>
      </c>
      <c r="R100" s="6"/>
      <c r="S100" s="6"/>
      <c r="T100" s="156"/>
      <c r="U100" s="6"/>
      <c r="AB100" s="161"/>
    </row>
    <row r="101" spans="1:28" customFormat="1">
      <c r="A101" s="163" t="s">
        <v>1675</v>
      </c>
      <c r="B101" s="100">
        <v>25.14</v>
      </c>
      <c r="C101" s="100">
        <v>28.34</v>
      </c>
      <c r="D101" s="100">
        <v>36.32</v>
      </c>
      <c r="E101" s="100">
        <v>9.77</v>
      </c>
      <c r="F101" s="100">
        <v>0.28000000000000003</v>
      </c>
      <c r="G101" s="100">
        <v>110.93</v>
      </c>
      <c r="H101" s="100">
        <v>31.01</v>
      </c>
      <c r="I101" s="100">
        <v>13.02</v>
      </c>
      <c r="J101" s="100">
        <v>0.17</v>
      </c>
      <c r="K101" s="100">
        <v>172.9</v>
      </c>
      <c r="L101" s="100">
        <v>18.09</v>
      </c>
      <c r="M101" s="100">
        <v>78.02</v>
      </c>
      <c r="N101" s="100">
        <v>1.6</v>
      </c>
      <c r="O101" s="100">
        <v>0</v>
      </c>
      <c r="P101" s="100">
        <v>1.03</v>
      </c>
      <c r="Q101" s="100">
        <v>13.03</v>
      </c>
      <c r="R101" s="6"/>
      <c r="S101" s="6"/>
      <c r="T101" s="156"/>
      <c r="U101" s="6"/>
    </row>
    <row r="102" spans="1:28" customFormat="1">
      <c r="A102" s="163" t="s">
        <v>1676</v>
      </c>
      <c r="B102" s="100">
        <v>26.66</v>
      </c>
      <c r="C102" s="100">
        <v>28.33</v>
      </c>
      <c r="D102" s="100">
        <v>37.53</v>
      </c>
      <c r="E102" s="100">
        <v>10.06</v>
      </c>
      <c r="F102" s="100">
        <v>0.71</v>
      </c>
      <c r="G102" s="100">
        <v>114.27</v>
      </c>
      <c r="H102" s="100">
        <v>35.01</v>
      </c>
      <c r="I102" s="100">
        <v>13.45</v>
      </c>
      <c r="J102" s="100">
        <v>0.19</v>
      </c>
      <c r="K102" s="100">
        <v>168.64</v>
      </c>
      <c r="L102" s="100">
        <v>17.91</v>
      </c>
      <c r="M102" s="100">
        <v>80.98</v>
      </c>
      <c r="N102" s="100">
        <v>1.8</v>
      </c>
      <c r="O102" s="100">
        <v>0</v>
      </c>
      <c r="P102" s="100">
        <v>1.05</v>
      </c>
      <c r="Q102" s="100">
        <v>13.03</v>
      </c>
      <c r="R102" s="6"/>
      <c r="S102" s="6"/>
      <c r="T102" s="156"/>
      <c r="U102" s="6"/>
    </row>
    <row r="103" spans="1:28" customFormat="1">
      <c r="A103" s="163" t="s">
        <v>1677</v>
      </c>
      <c r="B103" s="100">
        <v>28.12</v>
      </c>
      <c r="C103" s="100">
        <v>28.15</v>
      </c>
      <c r="D103" s="100">
        <v>38.61</v>
      </c>
      <c r="E103" s="100">
        <v>10.1</v>
      </c>
      <c r="F103" s="100">
        <v>0.43</v>
      </c>
      <c r="G103" s="100">
        <v>116.3</v>
      </c>
      <c r="H103" s="100">
        <v>35.880000000000003</v>
      </c>
      <c r="I103" s="100">
        <v>13.84</v>
      </c>
      <c r="J103" s="100">
        <v>0.14000000000000001</v>
      </c>
      <c r="K103" s="100">
        <v>143.37</v>
      </c>
      <c r="L103" s="100">
        <v>18.02</v>
      </c>
      <c r="M103" s="100">
        <v>78.53</v>
      </c>
      <c r="N103" s="100">
        <v>1.5</v>
      </c>
      <c r="O103" s="100">
        <v>0</v>
      </c>
      <c r="P103" s="100">
        <v>1.07</v>
      </c>
      <c r="Q103" s="100">
        <v>13.04</v>
      </c>
      <c r="R103" s="6"/>
      <c r="S103" s="6"/>
      <c r="T103" s="156"/>
      <c r="U103" s="6"/>
    </row>
    <row r="104" spans="1:28" customFormat="1">
      <c r="A104" s="163" t="s">
        <v>1678</v>
      </c>
      <c r="B104" s="100">
        <v>29.79</v>
      </c>
      <c r="C104" s="100">
        <v>28.24</v>
      </c>
      <c r="D104" s="100">
        <v>40</v>
      </c>
      <c r="E104" s="100">
        <v>9.92</v>
      </c>
      <c r="F104" s="100">
        <v>0.46</v>
      </c>
      <c r="G104" s="100">
        <v>116.3</v>
      </c>
      <c r="H104" s="100">
        <v>35.880000000000003</v>
      </c>
      <c r="I104" s="100">
        <v>14.12</v>
      </c>
      <c r="J104" s="100">
        <v>0.26</v>
      </c>
      <c r="K104" s="100">
        <v>163.69999999999999</v>
      </c>
      <c r="L104" s="100">
        <v>18.170000000000002</v>
      </c>
      <c r="M104" s="100">
        <v>78.739999999999995</v>
      </c>
      <c r="N104" s="100">
        <v>1.8</v>
      </c>
      <c r="O104" s="100">
        <v>0</v>
      </c>
      <c r="P104" s="100">
        <v>1.0900000000000001</v>
      </c>
      <c r="Q104" s="100">
        <v>13.06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3.73</v>
      </c>
      <c r="C106" s="158">
        <f>MIN(C9:C104)</f>
        <v>22.83</v>
      </c>
      <c r="D106" s="158">
        <f t="shared" ref="D106:Q106" si="0">MIN(D9:D104)</f>
        <v>16.79</v>
      </c>
      <c r="E106" s="158">
        <f t="shared" si="0"/>
        <v>6.35</v>
      </c>
      <c r="F106" s="158">
        <f t="shared" si="0"/>
        <v>0.05</v>
      </c>
      <c r="G106" s="158">
        <f t="shared" si="0"/>
        <v>56.2</v>
      </c>
      <c r="H106" s="158">
        <f t="shared" si="0"/>
        <v>0</v>
      </c>
      <c r="I106" s="158">
        <f t="shared" si="0"/>
        <v>8.7899999999999991</v>
      </c>
      <c r="J106" s="158">
        <f t="shared" si="0"/>
        <v>0.03</v>
      </c>
      <c r="K106" s="158">
        <f t="shared" si="0"/>
        <v>14.79</v>
      </c>
      <c r="L106" s="158">
        <f t="shared" si="0"/>
        <v>15.49</v>
      </c>
      <c r="M106" s="158">
        <f t="shared" si="0"/>
        <v>34.56</v>
      </c>
      <c r="N106" s="158">
        <f t="shared" si="0"/>
        <v>1</v>
      </c>
      <c r="O106" s="158">
        <f t="shared" si="0"/>
        <v>0</v>
      </c>
      <c r="P106" s="158">
        <f t="shared" si="0"/>
        <v>0.68</v>
      </c>
      <c r="Q106" s="158">
        <f t="shared" si="0"/>
        <v>12.94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29.79</v>
      </c>
      <c r="C107" s="157">
        <f t="shared" ref="C107:Q107" si="1">MAX(C9:C104)</f>
        <v>30.3</v>
      </c>
      <c r="D107" s="157">
        <f t="shared" si="1"/>
        <v>40</v>
      </c>
      <c r="E107" s="157">
        <f t="shared" si="1"/>
        <v>10.56</v>
      </c>
      <c r="F107" s="157">
        <f t="shared" si="1"/>
        <v>104.27</v>
      </c>
      <c r="G107" s="157">
        <f t="shared" si="1"/>
        <v>125.55</v>
      </c>
      <c r="H107" s="157">
        <f t="shared" si="1"/>
        <v>45.74</v>
      </c>
      <c r="I107" s="157">
        <f t="shared" si="1"/>
        <v>16.03</v>
      </c>
      <c r="J107" s="157">
        <f t="shared" si="1"/>
        <v>0.94</v>
      </c>
      <c r="K107" s="157">
        <f t="shared" si="1"/>
        <v>357.11</v>
      </c>
      <c r="L107" s="157">
        <f t="shared" si="1"/>
        <v>27.46</v>
      </c>
      <c r="M107" s="157">
        <f t="shared" si="1"/>
        <v>88.04</v>
      </c>
      <c r="N107" s="157">
        <f t="shared" si="1"/>
        <v>349</v>
      </c>
      <c r="O107" s="157">
        <f t="shared" si="1"/>
        <v>0</v>
      </c>
      <c r="P107" s="157">
        <f t="shared" si="1"/>
        <v>1.1399999999999999</v>
      </c>
      <c r="Q107" s="157">
        <f t="shared" si="1"/>
        <v>13.06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9.4217708333333352</v>
      </c>
      <c r="C108" s="158">
        <f t="shared" ref="C108:Q108" si="2">AVERAGE(C9:C104)</f>
        <v>26.743125000000003</v>
      </c>
      <c r="D108" s="158">
        <f t="shared" si="2"/>
        <v>22.879374999999996</v>
      </c>
      <c r="E108" s="158">
        <f t="shared" si="2"/>
        <v>8.6783333333333292</v>
      </c>
      <c r="F108" s="158">
        <f t="shared" si="2"/>
        <v>6.6763541666666688</v>
      </c>
      <c r="G108" s="158">
        <f t="shared" si="2"/>
        <v>96.839687499999982</v>
      </c>
      <c r="H108" s="158">
        <f t="shared" si="2"/>
        <v>35.094375000000021</v>
      </c>
      <c r="I108" s="158">
        <f t="shared" si="2"/>
        <v>11.291874999999997</v>
      </c>
      <c r="J108" s="158">
        <f t="shared" si="2"/>
        <v>0.36437500000000006</v>
      </c>
      <c r="K108" s="158">
        <f t="shared" si="2"/>
        <v>98.31197916666666</v>
      </c>
      <c r="L108" s="158">
        <f t="shared" si="2"/>
        <v>20.503124999999994</v>
      </c>
      <c r="M108" s="158">
        <f t="shared" si="2"/>
        <v>63.825520833333307</v>
      </c>
      <c r="N108" s="158">
        <f t="shared" si="2"/>
        <v>70.39791666666666</v>
      </c>
      <c r="O108" s="158">
        <f t="shared" si="2"/>
        <v>0</v>
      </c>
      <c r="P108" s="158">
        <f t="shared" si="2"/>
        <v>0.87989583333333321</v>
      </c>
      <c r="Q108" s="158">
        <f t="shared" si="2"/>
        <v>12.981770833333345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5.6524861776951827</v>
      </c>
      <c r="C109" s="158">
        <f t="shared" ref="C109:Q109" si="3">STDEV(C9:C104)</f>
        <v>2.0421460912223535</v>
      </c>
      <c r="D109" s="158">
        <f t="shared" si="3"/>
        <v>4.993594172853693</v>
      </c>
      <c r="E109" s="158">
        <f t="shared" si="3"/>
        <v>0.88217156305718847</v>
      </c>
      <c r="F109" s="158">
        <f t="shared" si="3"/>
        <v>19.200457566904724</v>
      </c>
      <c r="G109" s="158">
        <f t="shared" si="3"/>
        <v>18.816467337393881</v>
      </c>
      <c r="H109" s="158">
        <f t="shared" si="3"/>
        <v>6.9604198016920762</v>
      </c>
      <c r="I109" s="158">
        <f t="shared" si="3"/>
        <v>1.8397226979257517</v>
      </c>
      <c r="J109" s="158">
        <f t="shared" si="3"/>
        <v>0.23965243473347872</v>
      </c>
      <c r="K109" s="158">
        <f t="shared" si="3"/>
        <v>67.861329064183948</v>
      </c>
      <c r="L109" s="158">
        <f t="shared" si="3"/>
        <v>4.0662203612588383</v>
      </c>
      <c r="M109" s="158">
        <f t="shared" si="3"/>
        <v>18.087289684939943</v>
      </c>
      <c r="N109" s="158">
        <f t="shared" si="3"/>
        <v>106.63992140713201</v>
      </c>
      <c r="O109" s="158">
        <f t="shared" si="3"/>
        <v>0</v>
      </c>
      <c r="P109" s="158">
        <f t="shared" si="3"/>
        <v>0.1268193476163062</v>
      </c>
      <c r="Q109" s="158">
        <f t="shared" si="3"/>
        <v>2.5047104745665592E-2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16/01/2025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1679</v>
      </c>
      <c r="B9" s="100">
        <v>31.66</v>
      </c>
      <c r="C9" s="100">
        <v>28.13</v>
      </c>
      <c r="D9" s="100">
        <v>41.44</v>
      </c>
      <c r="E9" s="100">
        <v>9.67</v>
      </c>
      <c r="F9" s="100">
        <v>0.84</v>
      </c>
      <c r="G9" s="100">
        <v>116.3</v>
      </c>
      <c r="H9" s="100">
        <v>35.880000000000003</v>
      </c>
      <c r="I9" s="100">
        <v>14.48</v>
      </c>
      <c r="J9" s="100">
        <v>0.22</v>
      </c>
      <c r="K9" s="100">
        <v>173.39</v>
      </c>
      <c r="L9" s="100">
        <v>17.84</v>
      </c>
      <c r="M9" s="100">
        <v>81.59</v>
      </c>
      <c r="N9" s="100">
        <v>2</v>
      </c>
      <c r="O9" s="100">
        <v>0</v>
      </c>
      <c r="P9" s="100">
        <v>1.1100000000000001</v>
      </c>
      <c r="Q9" s="100">
        <v>13.06</v>
      </c>
      <c r="R9" s="6"/>
      <c r="S9" s="6"/>
      <c r="T9" s="156"/>
      <c r="U9" s="6"/>
    </row>
    <row r="10" spans="1:21" customFormat="1">
      <c r="A10" s="163" t="s">
        <v>1680</v>
      </c>
      <c r="B10" s="100">
        <v>32.590000000000003</v>
      </c>
      <c r="C10" s="100">
        <v>28.45</v>
      </c>
      <c r="D10" s="100">
        <v>42.35</v>
      </c>
      <c r="E10" s="100">
        <v>10.55</v>
      </c>
      <c r="F10" s="100">
        <v>2.0699999999999998</v>
      </c>
      <c r="G10" s="100">
        <v>119.75</v>
      </c>
      <c r="H10" s="100">
        <v>36.770000000000003</v>
      </c>
      <c r="I10" s="100">
        <v>14.87</v>
      </c>
      <c r="J10" s="100">
        <v>0.15</v>
      </c>
      <c r="K10" s="100">
        <v>177.37</v>
      </c>
      <c r="L10" s="100">
        <v>17.600000000000001</v>
      </c>
      <c r="M10" s="100">
        <v>81.42</v>
      </c>
      <c r="N10" s="100">
        <v>1.9</v>
      </c>
      <c r="O10" s="100">
        <v>0</v>
      </c>
      <c r="P10" s="100">
        <v>1.1200000000000001</v>
      </c>
      <c r="Q10" s="100">
        <v>13.07</v>
      </c>
      <c r="R10" s="6"/>
      <c r="S10" s="6"/>
      <c r="T10" s="156"/>
      <c r="U10" s="6"/>
    </row>
    <row r="11" spans="1:21" customFormat="1">
      <c r="A11" s="163" t="s">
        <v>1681</v>
      </c>
      <c r="B11" s="100">
        <v>33.86</v>
      </c>
      <c r="C11" s="100">
        <v>28.24</v>
      </c>
      <c r="D11" s="100">
        <v>43.26</v>
      </c>
      <c r="E11" s="100">
        <v>10.09</v>
      </c>
      <c r="F11" s="100">
        <v>1.43</v>
      </c>
      <c r="G11" s="100">
        <v>121.85</v>
      </c>
      <c r="H11" s="100">
        <v>36.96</v>
      </c>
      <c r="I11" s="100">
        <v>15.08</v>
      </c>
      <c r="J11" s="100">
        <v>0.17</v>
      </c>
      <c r="K11" s="100">
        <v>166.04</v>
      </c>
      <c r="L11" s="100">
        <v>17.61</v>
      </c>
      <c r="M11" s="100">
        <v>81.25</v>
      </c>
      <c r="N11" s="100">
        <v>1.7</v>
      </c>
      <c r="O11" s="100">
        <v>0</v>
      </c>
      <c r="P11" s="100">
        <v>1.1399999999999999</v>
      </c>
      <c r="Q11" s="100">
        <v>13.07</v>
      </c>
      <c r="R11" s="6"/>
      <c r="S11" s="6"/>
      <c r="T11" s="156"/>
      <c r="U11" s="6"/>
    </row>
    <row r="12" spans="1:21" customFormat="1">
      <c r="A12" s="163" t="s">
        <v>1682</v>
      </c>
      <c r="B12" s="100">
        <v>36.24</v>
      </c>
      <c r="C12" s="100">
        <v>28.25</v>
      </c>
      <c r="D12" s="100">
        <v>45.17</v>
      </c>
      <c r="E12" s="100">
        <v>10.19</v>
      </c>
      <c r="F12" s="100">
        <v>0.83</v>
      </c>
      <c r="G12" s="100">
        <v>121.85</v>
      </c>
      <c r="H12" s="100">
        <v>36.96</v>
      </c>
      <c r="I12" s="100">
        <v>15.33</v>
      </c>
      <c r="J12" s="100">
        <v>0.14000000000000001</v>
      </c>
      <c r="K12" s="100">
        <v>151.04</v>
      </c>
      <c r="L12" s="100">
        <v>17.600000000000001</v>
      </c>
      <c r="M12" s="100">
        <v>80.14</v>
      </c>
      <c r="N12" s="100">
        <v>1.7</v>
      </c>
      <c r="O12" s="100">
        <v>0</v>
      </c>
      <c r="P12" s="100">
        <v>1.17</v>
      </c>
      <c r="Q12" s="100">
        <v>13.08</v>
      </c>
      <c r="R12" s="6"/>
      <c r="S12" s="6"/>
      <c r="T12" s="156"/>
      <c r="U12" s="6"/>
    </row>
    <row r="13" spans="1:21" customFormat="1">
      <c r="A13" s="163" t="s">
        <v>1683</v>
      </c>
      <c r="B13" s="100">
        <v>38.630000000000003</v>
      </c>
      <c r="C13" s="100">
        <v>28.37</v>
      </c>
      <c r="D13" s="100">
        <v>47.15</v>
      </c>
      <c r="E13" s="100">
        <v>10.63</v>
      </c>
      <c r="F13" s="100">
        <v>1.03</v>
      </c>
      <c r="G13" s="100">
        <v>121.85</v>
      </c>
      <c r="H13" s="100">
        <v>36.96</v>
      </c>
      <c r="I13" s="100">
        <v>15.62</v>
      </c>
      <c r="J13" s="100">
        <v>0.05</v>
      </c>
      <c r="K13" s="100">
        <v>0.87</v>
      </c>
      <c r="L13" s="100">
        <v>17.829999999999998</v>
      </c>
      <c r="M13" s="100">
        <v>77.5</v>
      </c>
      <c r="N13" s="100">
        <v>1.5</v>
      </c>
      <c r="O13" s="100">
        <v>0</v>
      </c>
      <c r="P13" s="100">
        <v>1.19</v>
      </c>
      <c r="Q13" s="100">
        <v>13.09</v>
      </c>
      <c r="R13" s="6"/>
      <c r="S13" s="6"/>
      <c r="T13" s="156"/>
      <c r="U13" s="6"/>
    </row>
    <row r="14" spans="1:21" customFormat="1">
      <c r="A14" s="163" t="s">
        <v>1684</v>
      </c>
      <c r="B14" s="100">
        <v>40.15</v>
      </c>
      <c r="C14" s="100">
        <v>28.11</v>
      </c>
      <c r="D14" s="100">
        <v>48.24</v>
      </c>
      <c r="E14" s="100">
        <v>10.5</v>
      </c>
      <c r="F14" s="100">
        <v>2.08</v>
      </c>
      <c r="G14" s="100">
        <v>124.87</v>
      </c>
      <c r="H14" s="100">
        <v>37.840000000000003</v>
      </c>
      <c r="I14" s="100">
        <v>15.9</v>
      </c>
      <c r="J14" s="100">
        <v>0.23</v>
      </c>
      <c r="K14" s="100">
        <v>53.42</v>
      </c>
      <c r="L14" s="100">
        <v>18.13</v>
      </c>
      <c r="M14" s="100">
        <v>70.62</v>
      </c>
      <c r="N14" s="100">
        <v>1.4</v>
      </c>
      <c r="O14" s="100">
        <v>0</v>
      </c>
      <c r="P14" s="100">
        <v>1.2</v>
      </c>
      <c r="Q14" s="100">
        <v>13.1</v>
      </c>
      <c r="R14" s="6"/>
      <c r="S14" s="6"/>
      <c r="T14" s="156"/>
      <c r="U14" s="6"/>
    </row>
    <row r="15" spans="1:21" customFormat="1">
      <c r="A15" s="163" t="s">
        <v>1685</v>
      </c>
      <c r="B15" s="100">
        <v>40.57</v>
      </c>
      <c r="C15" s="100">
        <v>27.95</v>
      </c>
      <c r="D15" s="100">
        <v>48.48</v>
      </c>
      <c r="E15" s="100">
        <v>10.39</v>
      </c>
      <c r="F15" s="100">
        <v>0.78</v>
      </c>
      <c r="G15" s="100">
        <v>126.71</v>
      </c>
      <c r="H15" s="100">
        <v>38.04</v>
      </c>
      <c r="I15" s="100">
        <v>16.16</v>
      </c>
      <c r="J15" s="100">
        <v>0.18</v>
      </c>
      <c r="K15" s="100">
        <v>168.14</v>
      </c>
      <c r="L15" s="100">
        <v>17.809999999999999</v>
      </c>
      <c r="M15" s="100">
        <v>78.13</v>
      </c>
      <c r="N15" s="100">
        <v>2</v>
      </c>
      <c r="O15" s="100">
        <v>0</v>
      </c>
      <c r="P15" s="100">
        <v>1.22</v>
      </c>
      <c r="Q15" s="100">
        <v>13.1</v>
      </c>
      <c r="R15" s="6"/>
      <c r="S15" s="6"/>
      <c r="T15" s="156"/>
      <c r="U15" s="6"/>
    </row>
    <row r="16" spans="1:21" customFormat="1">
      <c r="A16" s="163" t="s">
        <v>1686</v>
      </c>
      <c r="B16" s="100">
        <v>40.83</v>
      </c>
      <c r="C16" s="100">
        <v>27.88</v>
      </c>
      <c r="D16" s="100">
        <v>48.66</v>
      </c>
      <c r="E16" s="100">
        <v>10.94</v>
      </c>
      <c r="F16" s="100">
        <v>0.68</v>
      </c>
      <c r="G16" s="100">
        <v>126.71</v>
      </c>
      <c r="H16" s="100">
        <v>38.04</v>
      </c>
      <c r="I16" s="100">
        <v>16.43</v>
      </c>
      <c r="J16" s="100">
        <v>0.09</v>
      </c>
      <c r="K16" s="100">
        <v>202.86</v>
      </c>
      <c r="L16" s="100">
        <v>17.39</v>
      </c>
      <c r="M16" s="100">
        <v>79.930000000000007</v>
      </c>
      <c r="N16" s="100">
        <v>1.9</v>
      </c>
      <c r="O16" s="100">
        <v>0</v>
      </c>
      <c r="P16" s="100">
        <v>1.25</v>
      </c>
      <c r="Q16" s="100">
        <v>13.1</v>
      </c>
      <c r="R16" s="6"/>
      <c r="S16" s="6"/>
      <c r="T16" s="156"/>
      <c r="U16" s="6"/>
    </row>
    <row r="17" spans="1:21" customFormat="1">
      <c r="A17" s="163" t="s">
        <v>1687</v>
      </c>
      <c r="B17" s="100">
        <v>40.99</v>
      </c>
      <c r="C17" s="100">
        <v>27.73</v>
      </c>
      <c r="D17" s="100">
        <v>48.72</v>
      </c>
      <c r="E17" s="100">
        <v>9.5299999999999994</v>
      </c>
      <c r="F17" s="100">
        <v>2.0299999999999998</v>
      </c>
      <c r="G17" s="100">
        <v>126.71</v>
      </c>
      <c r="H17" s="100">
        <v>38.04</v>
      </c>
      <c r="I17" s="100">
        <v>16.670000000000002</v>
      </c>
      <c r="J17" s="100">
        <v>0.15</v>
      </c>
      <c r="K17" s="100">
        <v>187.07</v>
      </c>
      <c r="L17" s="100">
        <v>17.37</v>
      </c>
      <c r="M17" s="100">
        <v>78.569999999999993</v>
      </c>
      <c r="N17" s="100">
        <v>1.8</v>
      </c>
      <c r="O17" s="100">
        <v>0</v>
      </c>
      <c r="P17" s="100">
        <v>1.26</v>
      </c>
      <c r="Q17" s="100">
        <v>13.11</v>
      </c>
      <c r="R17" s="6"/>
      <c r="S17" s="6"/>
      <c r="T17" s="156"/>
      <c r="U17" s="6"/>
    </row>
    <row r="18" spans="1:21" customFormat="1">
      <c r="A18" s="163" t="s">
        <v>1688</v>
      </c>
      <c r="B18" s="100">
        <v>40.72</v>
      </c>
      <c r="C18" s="100">
        <v>27.65</v>
      </c>
      <c r="D18" s="100">
        <v>48.45</v>
      </c>
      <c r="E18" s="100">
        <v>11.41</v>
      </c>
      <c r="F18" s="100">
        <v>0.76</v>
      </c>
      <c r="G18" s="100">
        <v>126.72</v>
      </c>
      <c r="H18" s="100">
        <v>37.93</v>
      </c>
      <c r="I18" s="100">
        <v>16.84</v>
      </c>
      <c r="J18" s="100">
        <v>0.17</v>
      </c>
      <c r="K18" s="100">
        <v>199.57</v>
      </c>
      <c r="L18" s="100">
        <v>16.98</v>
      </c>
      <c r="M18" s="100">
        <v>83.75</v>
      </c>
      <c r="N18" s="100">
        <v>1.8</v>
      </c>
      <c r="O18" s="100">
        <v>0</v>
      </c>
      <c r="P18" s="100">
        <v>1.27</v>
      </c>
      <c r="Q18" s="100">
        <v>13.1</v>
      </c>
      <c r="R18" s="6"/>
      <c r="S18" s="6"/>
      <c r="T18" s="156"/>
      <c r="U18" s="6"/>
    </row>
    <row r="19" spans="1:21" customFormat="1">
      <c r="A19" s="163" t="s">
        <v>1689</v>
      </c>
      <c r="B19" s="100">
        <v>40.49</v>
      </c>
      <c r="C19" s="100">
        <v>27.29</v>
      </c>
      <c r="D19" s="100">
        <v>48.08</v>
      </c>
      <c r="E19" s="100">
        <v>11.07</v>
      </c>
      <c r="F19" s="100">
        <v>1.47</v>
      </c>
      <c r="G19" s="100">
        <v>126.72</v>
      </c>
      <c r="H19" s="100">
        <v>37.880000000000003</v>
      </c>
      <c r="I19" s="100">
        <v>16.98</v>
      </c>
      <c r="J19" s="100">
        <v>0.11</v>
      </c>
      <c r="K19" s="100">
        <v>177.92</v>
      </c>
      <c r="L19" s="100">
        <v>16.71</v>
      </c>
      <c r="M19" s="100">
        <v>86.2</v>
      </c>
      <c r="N19" s="100">
        <v>1.7</v>
      </c>
      <c r="O19" s="100">
        <v>0</v>
      </c>
      <c r="P19" s="100">
        <v>1.27</v>
      </c>
      <c r="Q19" s="100">
        <v>13.08</v>
      </c>
      <c r="R19" s="6"/>
      <c r="S19" s="6"/>
      <c r="T19" s="156"/>
      <c r="U19" s="6"/>
    </row>
    <row r="20" spans="1:21" customFormat="1">
      <c r="A20" s="163" t="s">
        <v>1690</v>
      </c>
      <c r="B20" s="100">
        <v>40.31</v>
      </c>
      <c r="C20" s="100">
        <v>26.96</v>
      </c>
      <c r="D20" s="100">
        <v>47.76</v>
      </c>
      <c r="E20" s="100">
        <v>10.75</v>
      </c>
      <c r="F20" s="100">
        <v>1.63</v>
      </c>
      <c r="G20" s="100">
        <v>126.72</v>
      </c>
      <c r="H20" s="100">
        <v>37.880000000000003</v>
      </c>
      <c r="I20" s="100">
        <v>17.170000000000002</v>
      </c>
      <c r="J20" s="100">
        <v>0.16</v>
      </c>
      <c r="K20" s="100">
        <v>189.04</v>
      </c>
      <c r="L20" s="100">
        <v>16.66</v>
      </c>
      <c r="M20" s="100">
        <v>86.09</v>
      </c>
      <c r="N20" s="100">
        <v>1.7</v>
      </c>
      <c r="O20" s="100">
        <v>0</v>
      </c>
      <c r="P20" s="100">
        <v>1.29</v>
      </c>
      <c r="Q20" s="100">
        <v>13.09</v>
      </c>
      <c r="R20" s="6"/>
      <c r="S20" s="6"/>
      <c r="T20" s="156"/>
      <c r="U20" s="6"/>
    </row>
    <row r="21" spans="1:21" customFormat="1">
      <c r="A21" s="163" t="s">
        <v>1691</v>
      </c>
      <c r="B21" s="100">
        <v>40.1</v>
      </c>
      <c r="C21" s="100">
        <v>26.63</v>
      </c>
      <c r="D21" s="100">
        <v>47.42</v>
      </c>
      <c r="E21" s="100">
        <v>11.39</v>
      </c>
      <c r="F21" s="100">
        <v>2.79</v>
      </c>
      <c r="G21" s="100">
        <v>126.72</v>
      </c>
      <c r="H21" s="100">
        <v>37.880000000000003</v>
      </c>
      <c r="I21" s="100">
        <v>17.260000000000002</v>
      </c>
      <c r="J21" s="100">
        <v>0.12</v>
      </c>
      <c r="K21" s="100">
        <v>174.04</v>
      </c>
      <c r="L21" s="100">
        <v>16.45</v>
      </c>
      <c r="M21" s="100">
        <v>87.96</v>
      </c>
      <c r="N21" s="100">
        <v>1.7</v>
      </c>
      <c r="O21" s="100">
        <v>0</v>
      </c>
      <c r="P21" s="100">
        <v>1.29</v>
      </c>
      <c r="Q21" s="100">
        <v>13.08</v>
      </c>
      <c r="R21" s="6"/>
      <c r="S21" s="6"/>
      <c r="T21" s="156"/>
      <c r="U21" s="6"/>
    </row>
    <row r="22" spans="1:21" customFormat="1">
      <c r="A22" s="163" t="s">
        <v>1692</v>
      </c>
      <c r="B22" s="100">
        <v>40.03</v>
      </c>
      <c r="C22" s="100">
        <v>26.43</v>
      </c>
      <c r="D22" s="100">
        <v>47.26</v>
      </c>
      <c r="E22" s="100">
        <v>11.07</v>
      </c>
      <c r="F22" s="100">
        <v>2.56</v>
      </c>
      <c r="G22" s="100">
        <v>123.28</v>
      </c>
      <c r="H22" s="100">
        <v>35.01</v>
      </c>
      <c r="I22" s="100">
        <v>17.329999999999998</v>
      </c>
      <c r="J22" s="100">
        <v>0.11</v>
      </c>
      <c r="K22" s="100">
        <v>191.04</v>
      </c>
      <c r="L22" s="100">
        <v>16.25</v>
      </c>
      <c r="M22" s="100">
        <v>87.31</v>
      </c>
      <c r="N22" s="100">
        <v>1.6</v>
      </c>
      <c r="O22" s="100">
        <v>0</v>
      </c>
      <c r="P22" s="100">
        <v>1.31</v>
      </c>
      <c r="Q22" s="100">
        <v>13.06</v>
      </c>
      <c r="R22" s="6"/>
      <c r="S22" s="6"/>
      <c r="T22" s="156"/>
      <c r="U22" s="6"/>
    </row>
    <row r="23" spans="1:21" customFormat="1">
      <c r="A23" s="163" t="s">
        <v>1693</v>
      </c>
      <c r="B23" s="100">
        <v>39.44</v>
      </c>
      <c r="C23" s="100">
        <v>26.29</v>
      </c>
      <c r="D23" s="100">
        <v>46.72</v>
      </c>
      <c r="E23" s="100">
        <v>11.11</v>
      </c>
      <c r="F23" s="100">
        <v>1.6</v>
      </c>
      <c r="G23" s="100">
        <v>121.19</v>
      </c>
      <c r="H23" s="100">
        <v>34.380000000000003</v>
      </c>
      <c r="I23" s="100">
        <v>17.45</v>
      </c>
      <c r="J23" s="100">
        <v>0.1</v>
      </c>
      <c r="K23" s="100">
        <v>192.02</v>
      </c>
      <c r="L23" s="100">
        <v>16.16</v>
      </c>
      <c r="M23" s="100">
        <v>89.19</v>
      </c>
      <c r="N23" s="100">
        <v>1.6</v>
      </c>
      <c r="O23" s="100">
        <v>0</v>
      </c>
      <c r="P23" s="100">
        <v>1.32</v>
      </c>
      <c r="Q23" s="100">
        <v>13.06</v>
      </c>
      <c r="R23" s="6"/>
      <c r="S23" s="6"/>
      <c r="T23" s="156"/>
      <c r="U23" s="6"/>
    </row>
    <row r="24" spans="1:21" customFormat="1">
      <c r="A24" s="163" t="s">
        <v>1694</v>
      </c>
      <c r="B24" s="100">
        <v>38.76</v>
      </c>
      <c r="C24" s="100">
        <v>25.82</v>
      </c>
      <c r="D24" s="100">
        <v>45.93</v>
      </c>
      <c r="E24" s="100">
        <v>10.8</v>
      </c>
      <c r="F24" s="100">
        <v>2.12</v>
      </c>
      <c r="G24" s="100">
        <v>121.19</v>
      </c>
      <c r="H24" s="100">
        <v>34.380000000000003</v>
      </c>
      <c r="I24" s="100">
        <v>17.62</v>
      </c>
      <c r="J24" s="100">
        <v>0.12</v>
      </c>
      <c r="K24" s="100">
        <v>165.65</v>
      </c>
      <c r="L24" s="100">
        <v>16.11</v>
      </c>
      <c r="M24" s="100">
        <v>87.51</v>
      </c>
      <c r="N24" s="100">
        <v>1.6</v>
      </c>
      <c r="O24" s="100">
        <v>0</v>
      </c>
      <c r="P24" s="100">
        <v>1.31</v>
      </c>
      <c r="Q24" s="100">
        <v>13.05</v>
      </c>
      <c r="R24" s="6"/>
      <c r="S24" s="6"/>
      <c r="T24" s="156"/>
      <c r="U24" s="6"/>
    </row>
    <row r="25" spans="1:21" customFormat="1">
      <c r="A25" s="163" t="s">
        <v>1695</v>
      </c>
      <c r="B25" s="100">
        <v>38.340000000000003</v>
      </c>
      <c r="C25" s="100">
        <v>25.58</v>
      </c>
      <c r="D25" s="100">
        <v>45.47</v>
      </c>
      <c r="E25" s="100">
        <v>10.58</v>
      </c>
      <c r="F25" s="100">
        <v>0.33</v>
      </c>
      <c r="G25" s="100">
        <v>121.19</v>
      </c>
      <c r="H25" s="100">
        <v>34.380000000000003</v>
      </c>
      <c r="I25" s="100">
        <v>17.79</v>
      </c>
      <c r="J25" s="100">
        <v>0.16</v>
      </c>
      <c r="K25" s="100">
        <v>172.19</v>
      </c>
      <c r="L25" s="100">
        <v>16.34</v>
      </c>
      <c r="M25" s="100">
        <v>86.67</v>
      </c>
      <c r="N25" s="100">
        <v>1.6</v>
      </c>
      <c r="O25" s="100">
        <v>0</v>
      </c>
      <c r="P25" s="100">
        <v>1.31</v>
      </c>
      <c r="Q25" s="100">
        <v>13.07</v>
      </c>
      <c r="R25" s="6"/>
      <c r="S25" s="6"/>
      <c r="T25" s="156"/>
      <c r="U25" s="6"/>
    </row>
    <row r="26" spans="1:21" customFormat="1">
      <c r="A26" s="163" t="s">
        <v>1696</v>
      </c>
      <c r="B26" s="100">
        <v>37.99</v>
      </c>
      <c r="C26" s="100">
        <v>25.27</v>
      </c>
      <c r="D26" s="100">
        <v>45.02</v>
      </c>
      <c r="E26" s="100">
        <v>11.44</v>
      </c>
      <c r="F26" s="100">
        <v>7.0000000000000007E-2</v>
      </c>
      <c r="G26" s="100">
        <v>114.61</v>
      </c>
      <c r="H26" s="100">
        <v>35.72</v>
      </c>
      <c r="I26" s="100">
        <v>17.899999999999999</v>
      </c>
      <c r="J26" s="100">
        <v>0.13</v>
      </c>
      <c r="K26" s="100">
        <v>163.07</v>
      </c>
      <c r="L26" s="100">
        <v>16.350000000000001</v>
      </c>
      <c r="M26" s="100">
        <v>88.74</v>
      </c>
      <c r="N26" s="100">
        <v>1.6</v>
      </c>
      <c r="O26" s="100">
        <v>0</v>
      </c>
      <c r="P26" s="100">
        <v>1.32</v>
      </c>
      <c r="Q26" s="100">
        <v>13.07</v>
      </c>
      <c r="R26" s="6"/>
      <c r="S26" s="6"/>
      <c r="T26" s="156"/>
      <c r="U26" s="6"/>
    </row>
    <row r="27" spans="1:21" customFormat="1">
      <c r="A27" s="163" t="s">
        <v>1697</v>
      </c>
      <c r="B27" s="100">
        <v>37.79</v>
      </c>
      <c r="C27" s="100">
        <v>25.25</v>
      </c>
      <c r="D27" s="100">
        <v>44.84</v>
      </c>
      <c r="E27" s="100">
        <v>10.91</v>
      </c>
      <c r="F27" s="100">
        <v>0.75</v>
      </c>
      <c r="G27" s="100">
        <v>110.61</v>
      </c>
      <c r="H27" s="100">
        <v>36.01</v>
      </c>
      <c r="I27" s="100">
        <v>18.03</v>
      </c>
      <c r="J27" s="100">
        <v>0.15</v>
      </c>
      <c r="K27" s="100">
        <v>203.09</v>
      </c>
      <c r="L27" s="100">
        <v>16.11</v>
      </c>
      <c r="M27" s="100">
        <v>89.45</v>
      </c>
      <c r="N27" s="100">
        <v>1.7</v>
      </c>
      <c r="O27" s="100">
        <v>0</v>
      </c>
      <c r="P27" s="100">
        <v>1.32</v>
      </c>
      <c r="Q27" s="100">
        <v>13.07</v>
      </c>
      <c r="R27" s="6"/>
      <c r="S27" s="6"/>
      <c r="T27" s="156"/>
      <c r="U27" s="6"/>
    </row>
    <row r="28" spans="1:21" customFormat="1">
      <c r="A28" s="163" t="s">
        <v>1698</v>
      </c>
      <c r="B28" s="100">
        <v>37.47</v>
      </c>
      <c r="C28" s="100">
        <v>24.75</v>
      </c>
      <c r="D28" s="100">
        <v>44.33</v>
      </c>
      <c r="E28" s="100">
        <v>10.93</v>
      </c>
      <c r="F28" s="100">
        <v>10.6</v>
      </c>
      <c r="G28" s="100">
        <v>110.61</v>
      </c>
      <c r="H28" s="100">
        <v>36.01</v>
      </c>
      <c r="I28" s="100">
        <v>18.149999999999999</v>
      </c>
      <c r="J28" s="100">
        <v>0.38</v>
      </c>
      <c r="K28" s="100">
        <v>169.04</v>
      </c>
      <c r="L28" s="100">
        <v>16.149999999999999</v>
      </c>
      <c r="M28" s="100">
        <v>89.34</v>
      </c>
      <c r="N28" s="100">
        <v>1.6</v>
      </c>
      <c r="O28" s="100">
        <v>0</v>
      </c>
      <c r="P28" s="100">
        <v>1.32</v>
      </c>
      <c r="Q28" s="100">
        <v>13.06</v>
      </c>
      <c r="R28" s="6"/>
      <c r="S28" s="6"/>
      <c r="T28" s="156"/>
      <c r="U28" s="6"/>
    </row>
    <row r="29" spans="1:21" customFormat="1">
      <c r="A29" s="163" t="s">
        <v>1699</v>
      </c>
      <c r="B29" s="100">
        <v>36.79</v>
      </c>
      <c r="C29" s="100">
        <v>24.35</v>
      </c>
      <c r="D29" s="100">
        <v>43.58</v>
      </c>
      <c r="E29" s="100">
        <v>11.13</v>
      </c>
      <c r="F29" s="100">
        <v>26.92</v>
      </c>
      <c r="G29" s="100">
        <v>110.61</v>
      </c>
      <c r="H29" s="100">
        <v>36.01</v>
      </c>
      <c r="I29" s="100">
        <v>18.190000000000001</v>
      </c>
      <c r="J29" s="100">
        <v>0.15</v>
      </c>
      <c r="K29" s="100">
        <v>184.98</v>
      </c>
      <c r="L29" s="100">
        <v>16.13</v>
      </c>
      <c r="M29" s="100">
        <v>86.26</v>
      </c>
      <c r="N29" s="100">
        <v>1.9</v>
      </c>
      <c r="O29" s="100">
        <v>0</v>
      </c>
      <c r="P29" s="100">
        <v>1.32</v>
      </c>
      <c r="Q29" s="100">
        <v>13.07</v>
      </c>
      <c r="R29" s="6"/>
      <c r="S29" s="6"/>
      <c r="T29" s="156"/>
      <c r="U29" s="6"/>
    </row>
    <row r="30" spans="1:21" customFormat="1">
      <c r="A30" s="163" t="s">
        <v>1700</v>
      </c>
      <c r="B30" s="100">
        <v>36.130000000000003</v>
      </c>
      <c r="C30" s="100">
        <v>24.24</v>
      </c>
      <c r="D30" s="100">
        <v>42.99</v>
      </c>
      <c r="E30" s="100">
        <v>10.63</v>
      </c>
      <c r="F30" s="100">
        <v>38.450000000000003</v>
      </c>
      <c r="G30" s="100">
        <v>106.71</v>
      </c>
      <c r="H30" s="100">
        <v>34.9</v>
      </c>
      <c r="I30" s="100">
        <v>18.27</v>
      </c>
      <c r="J30" s="100">
        <v>0.05</v>
      </c>
      <c r="K30" s="100">
        <v>325.66000000000003</v>
      </c>
      <c r="L30" s="100">
        <v>16.010000000000002</v>
      </c>
      <c r="M30" s="100">
        <v>86.07</v>
      </c>
      <c r="N30" s="100">
        <v>1.6</v>
      </c>
      <c r="O30" s="100">
        <v>0</v>
      </c>
      <c r="P30" s="100">
        <v>1.32</v>
      </c>
      <c r="Q30" s="100">
        <v>13.07</v>
      </c>
      <c r="R30" s="6"/>
      <c r="S30" s="6"/>
      <c r="T30" s="156"/>
      <c r="U30" s="6"/>
    </row>
    <row r="31" spans="1:21" customFormat="1">
      <c r="A31" s="163" t="s">
        <v>1701</v>
      </c>
      <c r="B31" s="100">
        <v>36.630000000000003</v>
      </c>
      <c r="C31" s="100">
        <v>24.22</v>
      </c>
      <c r="D31" s="100">
        <v>43.38</v>
      </c>
      <c r="E31" s="100">
        <v>10.68</v>
      </c>
      <c r="F31" s="100">
        <v>33.619999999999997</v>
      </c>
      <c r="G31" s="100">
        <v>104.35</v>
      </c>
      <c r="H31" s="100">
        <v>34.659999999999997</v>
      </c>
      <c r="I31" s="100">
        <v>18.170000000000002</v>
      </c>
      <c r="J31" s="100">
        <v>0.21</v>
      </c>
      <c r="K31" s="100">
        <v>53.21</v>
      </c>
      <c r="L31" s="100">
        <v>16.18</v>
      </c>
      <c r="M31" s="100">
        <v>84.51</v>
      </c>
      <c r="N31" s="100">
        <v>1.4</v>
      </c>
      <c r="O31" s="100">
        <v>0</v>
      </c>
      <c r="P31" s="100">
        <v>1.3</v>
      </c>
      <c r="Q31" s="100">
        <v>13.08</v>
      </c>
      <c r="R31" s="6"/>
      <c r="S31" s="6"/>
      <c r="T31" s="156"/>
      <c r="U31" s="6"/>
    </row>
    <row r="32" spans="1:21" customFormat="1">
      <c r="A32" s="163" t="s">
        <v>1702</v>
      </c>
      <c r="B32" s="100">
        <v>38.25</v>
      </c>
      <c r="C32" s="100">
        <v>24.31</v>
      </c>
      <c r="D32" s="100">
        <v>44.72</v>
      </c>
      <c r="E32" s="100">
        <v>11.11</v>
      </c>
      <c r="F32" s="100">
        <v>5.31</v>
      </c>
      <c r="G32" s="100">
        <v>104.35</v>
      </c>
      <c r="H32" s="100">
        <v>34.659999999999997</v>
      </c>
      <c r="I32" s="100">
        <v>18.14</v>
      </c>
      <c r="J32" s="100">
        <v>0.14000000000000001</v>
      </c>
      <c r="K32" s="100">
        <v>115.43</v>
      </c>
      <c r="L32" s="100">
        <v>16.309999999999999</v>
      </c>
      <c r="M32" s="100">
        <v>83.1</v>
      </c>
      <c r="N32" s="100">
        <v>1.3</v>
      </c>
      <c r="O32" s="100">
        <v>0</v>
      </c>
      <c r="P32" s="100">
        <v>1.31</v>
      </c>
      <c r="Q32" s="100">
        <v>13.08</v>
      </c>
      <c r="R32" s="6"/>
      <c r="S32" s="6"/>
      <c r="T32" s="156"/>
      <c r="U32" s="6"/>
    </row>
    <row r="33" spans="1:21" customFormat="1">
      <c r="A33" s="163" t="s">
        <v>1703</v>
      </c>
      <c r="B33" s="100">
        <v>39.119999999999997</v>
      </c>
      <c r="C33" s="100">
        <v>24.7</v>
      </c>
      <c r="D33" s="100">
        <v>45.63</v>
      </c>
      <c r="E33" s="100">
        <v>10.94</v>
      </c>
      <c r="F33" s="100">
        <v>4.3499999999999996</v>
      </c>
      <c r="G33" s="100">
        <v>104.35</v>
      </c>
      <c r="H33" s="100">
        <v>34.659999999999997</v>
      </c>
      <c r="I33" s="100">
        <v>18.100000000000001</v>
      </c>
      <c r="J33" s="100">
        <v>0.12</v>
      </c>
      <c r="K33" s="100">
        <v>190.18</v>
      </c>
      <c r="L33" s="100">
        <v>16.18</v>
      </c>
      <c r="M33" s="100">
        <v>84.24</v>
      </c>
      <c r="N33" s="100">
        <v>1.7</v>
      </c>
      <c r="O33" s="100">
        <v>0</v>
      </c>
      <c r="P33" s="100">
        <v>1.31</v>
      </c>
      <c r="Q33" s="100">
        <v>13.09</v>
      </c>
      <c r="R33" s="6"/>
      <c r="S33" s="6"/>
      <c r="T33" s="156"/>
      <c r="U33" s="6"/>
    </row>
    <row r="34" spans="1:21" customFormat="1">
      <c r="A34" s="163" t="s">
        <v>1704</v>
      </c>
      <c r="B34" s="100">
        <v>39.31</v>
      </c>
      <c r="C34" s="100">
        <v>24.74</v>
      </c>
      <c r="D34" s="100">
        <v>45.8</v>
      </c>
      <c r="E34" s="100">
        <v>10.4</v>
      </c>
      <c r="F34" s="100">
        <v>1.1399999999999999</v>
      </c>
      <c r="G34" s="100">
        <v>105.72</v>
      </c>
      <c r="H34" s="100">
        <v>34.18</v>
      </c>
      <c r="I34" s="100">
        <v>18.34</v>
      </c>
      <c r="J34" s="100">
        <v>0.12</v>
      </c>
      <c r="K34" s="100">
        <v>200.56</v>
      </c>
      <c r="L34" s="100">
        <v>15.97</v>
      </c>
      <c r="M34" s="100">
        <v>86.7</v>
      </c>
      <c r="N34" s="100">
        <v>1.9</v>
      </c>
      <c r="O34" s="100">
        <v>0</v>
      </c>
      <c r="P34" s="100">
        <v>1.3</v>
      </c>
      <c r="Q34" s="100">
        <v>13.08</v>
      </c>
      <c r="R34" s="6"/>
      <c r="S34" s="6"/>
      <c r="T34" s="156"/>
      <c r="U34" s="6"/>
    </row>
    <row r="35" spans="1:21" customFormat="1">
      <c r="A35" s="163" t="s">
        <v>1705</v>
      </c>
      <c r="B35" s="100">
        <v>39.409999999999997</v>
      </c>
      <c r="C35" s="100">
        <v>24.66</v>
      </c>
      <c r="D35" s="100">
        <v>45.84</v>
      </c>
      <c r="E35" s="100">
        <v>10.28</v>
      </c>
      <c r="F35" s="100">
        <v>57.99</v>
      </c>
      <c r="G35" s="100">
        <v>106.55</v>
      </c>
      <c r="H35" s="100">
        <v>34.07</v>
      </c>
      <c r="I35" s="100">
        <v>18.23</v>
      </c>
      <c r="J35" s="100">
        <v>0.22</v>
      </c>
      <c r="K35" s="100">
        <v>62.18</v>
      </c>
      <c r="L35" s="100">
        <v>16.22</v>
      </c>
      <c r="M35" s="100">
        <v>82.86</v>
      </c>
      <c r="N35" s="100">
        <v>4</v>
      </c>
      <c r="O35" s="100">
        <v>0</v>
      </c>
      <c r="P35" s="100">
        <v>1.3</v>
      </c>
      <c r="Q35" s="100">
        <v>13.07</v>
      </c>
      <c r="R35" s="6"/>
      <c r="S35" s="6"/>
      <c r="T35" s="156"/>
      <c r="U35" s="6"/>
    </row>
    <row r="36" spans="1:21" customFormat="1">
      <c r="A36" s="163" t="s">
        <v>1706</v>
      </c>
      <c r="B36" s="100">
        <v>39.67</v>
      </c>
      <c r="C36" s="100">
        <v>24.7</v>
      </c>
      <c r="D36" s="100">
        <v>46.07</v>
      </c>
      <c r="E36" s="100">
        <v>11.26</v>
      </c>
      <c r="F36" s="100">
        <v>0.23</v>
      </c>
      <c r="G36" s="100">
        <v>106.55</v>
      </c>
      <c r="H36" s="100">
        <v>34.07</v>
      </c>
      <c r="I36" s="100">
        <v>18.190000000000001</v>
      </c>
      <c r="J36" s="100">
        <v>0.05</v>
      </c>
      <c r="K36" s="100">
        <v>109.32</v>
      </c>
      <c r="L36" s="100">
        <v>16.670000000000002</v>
      </c>
      <c r="M36" s="100">
        <v>81.55</v>
      </c>
      <c r="N36" s="100">
        <v>11.4</v>
      </c>
      <c r="O36" s="100">
        <v>0</v>
      </c>
      <c r="P36" s="100">
        <v>1.29</v>
      </c>
      <c r="Q36" s="100">
        <v>13.07</v>
      </c>
      <c r="R36" s="6"/>
      <c r="S36" s="6"/>
      <c r="T36" s="156"/>
      <c r="U36" s="6"/>
    </row>
    <row r="37" spans="1:21" customFormat="1">
      <c r="A37" s="163" t="s">
        <v>1707</v>
      </c>
      <c r="B37" s="100">
        <v>39.21</v>
      </c>
      <c r="C37" s="100">
        <v>25.01</v>
      </c>
      <c r="D37" s="100">
        <v>45.86</v>
      </c>
      <c r="E37" s="100">
        <v>10.93</v>
      </c>
      <c r="F37" s="100">
        <v>65.97</v>
      </c>
      <c r="G37" s="100">
        <v>106.55</v>
      </c>
      <c r="H37" s="100">
        <v>34.07</v>
      </c>
      <c r="I37" s="100">
        <v>18.239999999999998</v>
      </c>
      <c r="J37" s="100">
        <v>0.16</v>
      </c>
      <c r="K37" s="100">
        <v>179.16</v>
      </c>
      <c r="L37" s="100">
        <v>16.72</v>
      </c>
      <c r="M37" s="100">
        <v>85.05</v>
      </c>
      <c r="N37" s="100">
        <v>15.4</v>
      </c>
      <c r="O37" s="100">
        <v>0</v>
      </c>
      <c r="P37" s="100">
        <v>1.27</v>
      </c>
      <c r="Q37" s="100">
        <v>13.09</v>
      </c>
      <c r="R37" s="6"/>
      <c r="S37" s="6"/>
      <c r="T37" s="156"/>
      <c r="U37" s="6"/>
    </row>
    <row r="38" spans="1:21" customFormat="1">
      <c r="A38" s="163" t="s">
        <v>1708</v>
      </c>
      <c r="B38" s="100">
        <v>38.090000000000003</v>
      </c>
      <c r="C38" s="100">
        <v>25.06</v>
      </c>
      <c r="D38" s="100">
        <v>44.99</v>
      </c>
      <c r="E38" s="100">
        <v>11.11</v>
      </c>
      <c r="F38" s="100">
        <v>1.69</v>
      </c>
      <c r="G38" s="100">
        <v>109.84</v>
      </c>
      <c r="H38" s="100">
        <v>36.46</v>
      </c>
      <c r="I38" s="100">
        <v>18.23</v>
      </c>
      <c r="J38" s="100">
        <v>0.06</v>
      </c>
      <c r="K38" s="100">
        <v>155.4</v>
      </c>
      <c r="L38" s="100">
        <v>16.66</v>
      </c>
      <c r="M38" s="100">
        <v>85.69</v>
      </c>
      <c r="N38" s="100">
        <v>23.5</v>
      </c>
      <c r="O38" s="100">
        <v>0</v>
      </c>
      <c r="P38" s="100">
        <v>1.26</v>
      </c>
      <c r="Q38" s="100">
        <v>13.09</v>
      </c>
      <c r="R38" s="6"/>
      <c r="S38" s="6"/>
      <c r="T38" s="156"/>
      <c r="U38" s="6"/>
    </row>
    <row r="39" spans="1:21" customFormat="1">
      <c r="A39" s="163" t="s">
        <v>1709</v>
      </c>
      <c r="B39" s="100">
        <v>36.81</v>
      </c>
      <c r="C39" s="100">
        <v>25.02</v>
      </c>
      <c r="D39" s="100">
        <v>43.94</v>
      </c>
      <c r="E39" s="100">
        <v>10.91</v>
      </c>
      <c r="F39" s="100">
        <v>0.56000000000000005</v>
      </c>
      <c r="G39" s="100">
        <v>111.84</v>
      </c>
      <c r="H39" s="100">
        <v>36.979999999999997</v>
      </c>
      <c r="I39" s="100">
        <v>18.079999999999998</v>
      </c>
      <c r="J39" s="100">
        <v>0.16</v>
      </c>
      <c r="K39" s="100">
        <v>183.94</v>
      </c>
      <c r="L39" s="100">
        <v>17.14</v>
      </c>
      <c r="M39" s="100">
        <v>83.47</v>
      </c>
      <c r="N39" s="100">
        <v>36.200000000000003</v>
      </c>
      <c r="O39" s="100">
        <v>0</v>
      </c>
      <c r="P39" s="100">
        <v>1.25</v>
      </c>
      <c r="Q39" s="100">
        <v>13.09</v>
      </c>
      <c r="R39" s="6"/>
      <c r="S39" s="6"/>
      <c r="T39" s="156"/>
      <c r="U39" s="6"/>
    </row>
    <row r="40" spans="1:21" customFormat="1">
      <c r="A40" s="163" t="s">
        <v>1710</v>
      </c>
      <c r="B40" s="100">
        <v>35.07</v>
      </c>
      <c r="C40" s="100">
        <v>25.13</v>
      </c>
      <c r="D40" s="100">
        <v>42.61</v>
      </c>
      <c r="E40" s="100">
        <v>10.76</v>
      </c>
      <c r="F40" s="100">
        <v>0.69</v>
      </c>
      <c r="G40" s="100">
        <v>111.84</v>
      </c>
      <c r="H40" s="100">
        <v>36.979999999999997</v>
      </c>
      <c r="I40" s="100">
        <v>17.97</v>
      </c>
      <c r="J40" s="100">
        <v>0.22</v>
      </c>
      <c r="K40" s="100">
        <v>159.38999999999999</v>
      </c>
      <c r="L40" s="100">
        <v>17.95</v>
      </c>
      <c r="M40" s="100">
        <v>79.010000000000005</v>
      </c>
      <c r="N40" s="100">
        <v>59.5</v>
      </c>
      <c r="O40" s="100">
        <v>0</v>
      </c>
      <c r="P40" s="100">
        <v>1.23</v>
      </c>
      <c r="Q40" s="100">
        <v>13.07</v>
      </c>
      <c r="R40" s="6"/>
      <c r="S40" s="6"/>
      <c r="T40" s="156"/>
      <c r="U40" s="6"/>
    </row>
    <row r="41" spans="1:21" customFormat="1">
      <c r="A41" s="163" t="s">
        <v>1711</v>
      </c>
      <c r="B41" s="100">
        <v>33.19</v>
      </c>
      <c r="C41" s="100">
        <v>25.22</v>
      </c>
      <c r="D41" s="100">
        <v>41.14</v>
      </c>
      <c r="E41" s="100">
        <v>10.68</v>
      </c>
      <c r="F41" s="100">
        <v>0.53</v>
      </c>
      <c r="G41" s="100">
        <v>111.84</v>
      </c>
      <c r="H41" s="100">
        <v>36.979999999999997</v>
      </c>
      <c r="I41" s="100">
        <v>17.760000000000002</v>
      </c>
      <c r="J41" s="100">
        <v>0.01</v>
      </c>
      <c r="K41" s="100">
        <v>110.94</v>
      </c>
      <c r="L41" s="100">
        <v>19.350000000000001</v>
      </c>
      <c r="M41" s="100">
        <v>70.75</v>
      </c>
      <c r="N41" s="100">
        <v>104.1</v>
      </c>
      <c r="O41" s="100">
        <v>0</v>
      </c>
      <c r="P41" s="100">
        <v>1.22</v>
      </c>
      <c r="Q41" s="100">
        <v>13.08</v>
      </c>
      <c r="R41" s="6"/>
      <c r="S41" s="6"/>
      <c r="T41" s="156"/>
      <c r="U41" s="6"/>
    </row>
    <row r="42" spans="1:21" customFormat="1">
      <c r="A42" s="163" t="s">
        <v>1712</v>
      </c>
      <c r="B42" s="100">
        <v>31.23</v>
      </c>
      <c r="C42" s="100">
        <v>25.72</v>
      </c>
      <c r="D42" s="100">
        <v>39.83</v>
      </c>
      <c r="E42" s="100">
        <v>10.82</v>
      </c>
      <c r="F42" s="100">
        <v>0.88</v>
      </c>
      <c r="G42" s="100">
        <v>111.07</v>
      </c>
      <c r="H42" s="100">
        <v>36.6</v>
      </c>
      <c r="I42" s="100">
        <v>17.55</v>
      </c>
      <c r="J42" s="100">
        <v>0.36</v>
      </c>
      <c r="K42" s="100">
        <v>57.33</v>
      </c>
      <c r="L42" s="100">
        <v>20.58</v>
      </c>
      <c r="M42" s="100">
        <v>63.55</v>
      </c>
      <c r="N42" s="100">
        <v>136</v>
      </c>
      <c r="O42" s="100">
        <v>0</v>
      </c>
      <c r="P42" s="100">
        <v>1.2</v>
      </c>
      <c r="Q42" s="100">
        <v>13.05</v>
      </c>
      <c r="R42" s="6"/>
      <c r="S42" s="6"/>
      <c r="T42" s="156"/>
      <c r="U42" s="6"/>
    </row>
    <row r="43" spans="1:21" customFormat="1">
      <c r="A43" s="163" t="s">
        <v>1713</v>
      </c>
      <c r="B43" s="100">
        <v>29.44</v>
      </c>
      <c r="C43" s="100">
        <v>26.4</v>
      </c>
      <c r="D43" s="100">
        <v>38.75</v>
      </c>
      <c r="E43" s="100">
        <v>11.14</v>
      </c>
      <c r="F43" s="100">
        <v>0.61</v>
      </c>
      <c r="G43" s="100">
        <v>110.6</v>
      </c>
      <c r="H43" s="100">
        <v>36.450000000000003</v>
      </c>
      <c r="I43" s="100">
        <v>17.29</v>
      </c>
      <c r="J43" s="100">
        <v>0.66</v>
      </c>
      <c r="K43" s="100">
        <v>61.3</v>
      </c>
      <c r="L43" s="100">
        <v>21.29</v>
      </c>
      <c r="M43" s="100">
        <v>58.94</v>
      </c>
      <c r="N43" s="100">
        <v>142.9</v>
      </c>
      <c r="O43" s="100">
        <v>0</v>
      </c>
      <c r="P43" s="100">
        <v>1.18</v>
      </c>
      <c r="Q43" s="100">
        <v>13.04</v>
      </c>
      <c r="R43" s="6"/>
      <c r="S43" s="6"/>
      <c r="T43" s="156"/>
      <c r="U43" s="6"/>
    </row>
    <row r="44" spans="1:21" customFormat="1">
      <c r="A44" s="163" t="s">
        <v>1714</v>
      </c>
      <c r="B44" s="100">
        <v>27.23</v>
      </c>
      <c r="C44" s="100">
        <v>27.3</v>
      </c>
      <c r="D44" s="100">
        <v>37.450000000000003</v>
      </c>
      <c r="E44" s="100">
        <v>11.28</v>
      </c>
      <c r="F44" s="100">
        <v>1.0900000000000001</v>
      </c>
      <c r="G44" s="100">
        <v>110.6</v>
      </c>
      <c r="H44" s="100">
        <v>36.450000000000003</v>
      </c>
      <c r="I44" s="100">
        <v>17.09</v>
      </c>
      <c r="J44" s="100">
        <v>0.36</v>
      </c>
      <c r="K44" s="100">
        <v>66.73</v>
      </c>
      <c r="L44" s="100">
        <v>22.01</v>
      </c>
      <c r="M44" s="100">
        <v>56.88</v>
      </c>
      <c r="N44" s="100">
        <v>120.4</v>
      </c>
      <c r="O44" s="100">
        <v>0</v>
      </c>
      <c r="P44" s="100">
        <v>1.1599999999999999</v>
      </c>
      <c r="Q44" s="100">
        <v>13.04</v>
      </c>
      <c r="R44" s="6"/>
      <c r="S44" s="6"/>
      <c r="T44" s="156"/>
      <c r="U44" s="6"/>
    </row>
    <row r="45" spans="1:21" customFormat="1">
      <c r="A45" s="163" t="s">
        <v>1715</v>
      </c>
      <c r="B45" s="100">
        <v>25.03</v>
      </c>
      <c r="C45" s="100">
        <v>28.2</v>
      </c>
      <c r="D45" s="100">
        <v>36.159999999999997</v>
      </c>
      <c r="E45" s="100">
        <v>11.39</v>
      </c>
      <c r="F45" s="100">
        <v>0.26</v>
      </c>
      <c r="G45" s="100">
        <v>110.6</v>
      </c>
      <c r="H45" s="100">
        <v>36.450000000000003</v>
      </c>
      <c r="I45" s="100">
        <v>16.78</v>
      </c>
      <c r="J45" s="100">
        <v>0.6</v>
      </c>
      <c r="K45" s="100">
        <v>61.39</v>
      </c>
      <c r="L45" s="100">
        <v>22.54</v>
      </c>
      <c r="M45" s="100">
        <v>54.72</v>
      </c>
      <c r="N45" s="100">
        <v>200.4</v>
      </c>
      <c r="O45" s="100">
        <v>0</v>
      </c>
      <c r="P45" s="100">
        <v>1.1499999999999999</v>
      </c>
      <c r="Q45" s="100">
        <v>13.03</v>
      </c>
      <c r="R45" s="6"/>
      <c r="S45" s="6"/>
      <c r="T45" s="156"/>
      <c r="U45" s="6"/>
    </row>
    <row r="46" spans="1:21" customFormat="1">
      <c r="A46" s="163" t="s">
        <v>1716</v>
      </c>
      <c r="B46" s="100">
        <v>22.77</v>
      </c>
      <c r="C46" s="100">
        <v>29.05</v>
      </c>
      <c r="D46" s="100">
        <v>34.78</v>
      </c>
      <c r="E46" s="100">
        <v>11.34</v>
      </c>
      <c r="F46" s="100">
        <v>0.91</v>
      </c>
      <c r="G46" s="100">
        <v>104.46</v>
      </c>
      <c r="H46" s="100">
        <v>35.74</v>
      </c>
      <c r="I46" s="100">
        <v>16.28</v>
      </c>
      <c r="J46" s="100">
        <v>0.31</v>
      </c>
      <c r="K46" s="100">
        <v>75.94</v>
      </c>
      <c r="L46" s="100">
        <v>23.67</v>
      </c>
      <c r="M46" s="100">
        <v>50.84</v>
      </c>
      <c r="N46" s="100">
        <v>211.3</v>
      </c>
      <c r="O46" s="100">
        <v>0</v>
      </c>
      <c r="P46" s="100">
        <v>1.1200000000000001</v>
      </c>
      <c r="Q46" s="100">
        <v>13.04</v>
      </c>
      <c r="R46" s="6"/>
      <c r="S46" s="6"/>
      <c r="T46" s="156"/>
      <c r="U46" s="6"/>
    </row>
    <row r="47" spans="1:21" customFormat="1">
      <c r="A47" s="163" t="s">
        <v>1717</v>
      </c>
      <c r="B47" s="100">
        <v>20.37</v>
      </c>
      <c r="C47" s="100">
        <v>29.8</v>
      </c>
      <c r="D47" s="100">
        <v>33.26</v>
      </c>
      <c r="E47" s="100">
        <v>10.78</v>
      </c>
      <c r="F47" s="100">
        <v>0.84</v>
      </c>
      <c r="G47" s="100">
        <v>100.73</v>
      </c>
      <c r="H47" s="100">
        <v>35.590000000000003</v>
      </c>
      <c r="I47" s="100">
        <v>15.85</v>
      </c>
      <c r="J47" s="100">
        <v>0.41</v>
      </c>
      <c r="K47" s="100">
        <v>45.58</v>
      </c>
      <c r="L47" s="100">
        <v>24.24</v>
      </c>
      <c r="M47" s="100">
        <v>48.15</v>
      </c>
      <c r="N47" s="100">
        <v>184</v>
      </c>
      <c r="O47" s="100">
        <v>0</v>
      </c>
      <c r="P47" s="100">
        <v>1.1000000000000001</v>
      </c>
      <c r="Q47" s="100">
        <v>13.04</v>
      </c>
      <c r="R47" s="6"/>
      <c r="S47" s="6"/>
      <c r="T47" s="156"/>
      <c r="U47" s="6"/>
    </row>
    <row r="48" spans="1:21" customFormat="1">
      <c r="A48" s="163" t="s">
        <v>1718</v>
      </c>
      <c r="B48" s="100">
        <v>18.489999999999998</v>
      </c>
      <c r="C48" s="100">
        <v>30.54</v>
      </c>
      <c r="D48" s="100">
        <v>32.14</v>
      </c>
      <c r="E48" s="100">
        <v>11</v>
      </c>
      <c r="F48" s="100">
        <v>0.67</v>
      </c>
      <c r="G48" s="100">
        <v>100.73</v>
      </c>
      <c r="H48" s="100">
        <v>35.590000000000003</v>
      </c>
      <c r="I48" s="100">
        <v>15.55</v>
      </c>
      <c r="J48" s="100">
        <v>0.2</v>
      </c>
      <c r="K48" s="100">
        <v>153.71</v>
      </c>
      <c r="L48" s="100">
        <v>24.35</v>
      </c>
      <c r="M48" s="100">
        <v>48.98</v>
      </c>
      <c r="N48" s="100">
        <v>114.9</v>
      </c>
      <c r="O48" s="100">
        <v>0</v>
      </c>
      <c r="P48" s="100">
        <v>1.0900000000000001</v>
      </c>
      <c r="Q48" s="100">
        <v>13.02</v>
      </c>
      <c r="R48" s="6"/>
      <c r="S48" s="6"/>
      <c r="T48" s="156"/>
      <c r="U48" s="6"/>
    </row>
    <row r="49" spans="1:21" customFormat="1">
      <c r="A49" s="163" t="s">
        <v>1719</v>
      </c>
      <c r="B49" s="100">
        <v>16.940000000000001</v>
      </c>
      <c r="C49" s="100">
        <v>30.61</v>
      </c>
      <c r="D49" s="100">
        <v>30.93</v>
      </c>
      <c r="E49" s="100">
        <v>7.9</v>
      </c>
      <c r="F49" s="100">
        <v>0.72</v>
      </c>
      <c r="G49" s="100">
        <v>100.73</v>
      </c>
      <c r="H49" s="100">
        <v>35.590000000000003</v>
      </c>
      <c r="I49" s="100">
        <v>15.23</v>
      </c>
      <c r="J49" s="100">
        <v>0.06</v>
      </c>
      <c r="K49" s="100">
        <v>91.78</v>
      </c>
      <c r="L49" s="100">
        <v>24.32</v>
      </c>
      <c r="M49" s="100">
        <v>48.38</v>
      </c>
      <c r="N49" s="100">
        <v>161.19999999999999</v>
      </c>
      <c r="O49" s="100">
        <v>0</v>
      </c>
      <c r="P49" s="100">
        <v>1.06</v>
      </c>
      <c r="Q49" s="100">
        <v>13.02</v>
      </c>
      <c r="R49" s="6"/>
      <c r="S49" s="6"/>
      <c r="T49" s="156"/>
      <c r="U49" s="6"/>
    </row>
    <row r="50" spans="1:21" customFormat="1">
      <c r="A50" s="163" t="s">
        <v>1720</v>
      </c>
      <c r="B50" s="100">
        <v>15.66</v>
      </c>
      <c r="C50" s="100">
        <v>30.03</v>
      </c>
      <c r="D50" s="100">
        <v>29.6</v>
      </c>
      <c r="E50" s="100">
        <v>9.33</v>
      </c>
      <c r="F50" s="100">
        <v>1.01</v>
      </c>
      <c r="G50" s="100">
        <v>96.6</v>
      </c>
      <c r="H50" s="100">
        <v>31.78</v>
      </c>
      <c r="I50" s="100">
        <v>14.9</v>
      </c>
      <c r="J50" s="100">
        <v>0.24</v>
      </c>
      <c r="K50" s="100">
        <v>61.21</v>
      </c>
      <c r="L50" s="100">
        <v>25.22</v>
      </c>
      <c r="M50" s="100">
        <v>45.76</v>
      </c>
      <c r="N50" s="100">
        <v>273.3</v>
      </c>
      <c r="O50" s="100">
        <v>0</v>
      </c>
      <c r="P50" s="100">
        <v>1.03</v>
      </c>
      <c r="Q50" s="100">
        <v>13.01</v>
      </c>
      <c r="R50" s="6"/>
      <c r="S50" s="6"/>
      <c r="T50" s="156"/>
      <c r="U50" s="6"/>
    </row>
    <row r="51" spans="1:21" customFormat="1">
      <c r="A51" s="163" t="s">
        <v>1721</v>
      </c>
      <c r="B51" s="100">
        <v>14.51</v>
      </c>
      <c r="C51" s="100">
        <v>29.53</v>
      </c>
      <c r="D51" s="100">
        <v>28.42</v>
      </c>
      <c r="E51" s="100">
        <v>9.09</v>
      </c>
      <c r="F51" s="100">
        <v>8.07</v>
      </c>
      <c r="G51" s="100">
        <v>94.1</v>
      </c>
      <c r="H51" s="100">
        <v>30.95</v>
      </c>
      <c r="I51" s="100">
        <v>14.58</v>
      </c>
      <c r="J51" s="100">
        <v>0.39</v>
      </c>
      <c r="K51" s="100">
        <v>93.32</v>
      </c>
      <c r="L51" s="100">
        <v>25.75</v>
      </c>
      <c r="M51" s="100">
        <v>43.15</v>
      </c>
      <c r="N51" s="100">
        <v>342.6</v>
      </c>
      <c r="O51" s="100">
        <v>0</v>
      </c>
      <c r="P51" s="100">
        <v>1.01</v>
      </c>
      <c r="Q51" s="100">
        <v>12.99</v>
      </c>
      <c r="R51" s="6"/>
      <c r="S51" s="6"/>
      <c r="T51" s="156"/>
      <c r="U51" s="6"/>
    </row>
    <row r="52" spans="1:21" customFormat="1">
      <c r="A52" s="163" t="s">
        <v>1722</v>
      </c>
      <c r="B52" s="100">
        <v>13.31</v>
      </c>
      <c r="C52" s="100">
        <v>29.1</v>
      </c>
      <c r="D52" s="100">
        <v>27.22</v>
      </c>
      <c r="E52" s="100">
        <v>8.83</v>
      </c>
      <c r="F52" s="100">
        <v>13.87</v>
      </c>
      <c r="G52" s="100">
        <v>94.1</v>
      </c>
      <c r="H52" s="100">
        <v>30.95</v>
      </c>
      <c r="I52" s="100">
        <v>14.4</v>
      </c>
      <c r="J52" s="100">
        <v>0.37</v>
      </c>
      <c r="K52" s="100">
        <v>207.15</v>
      </c>
      <c r="L52" s="100">
        <v>26.31</v>
      </c>
      <c r="M52" s="100">
        <v>41.82</v>
      </c>
      <c r="N52" s="100">
        <v>361.8</v>
      </c>
      <c r="O52" s="100">
        <v>0</v>
      </c>
      <c r="P52" s="100">
        <v>1</v>
      </c>
      <c r="Q52" s="100">
        <v>12.99</v>
      </c>
      <c r="R52" s="6"/>
      <c r="S52" s="6"/>
      <c r="T52" s="156"/>
      <c r="U52" s="6"/>
    </row>
    <row r="53" spans="1:21" customFormat="1">
      <c r="A53" s="163" t="s">
        <v>1723</v>
      </c>
      <c r="B53" s="100">
        <v>11.94</v>
      </c>
      <c r="C53" s="100">
        <v>28.63</v>
      </c>
      <c r="D53" s="100">
        <v>25.89</v>
      </c>
      <c r="E53" s="100">
        <v>9.39</v>
      </c>
      <c r="F53" s="100">
        <v>2.04</v>
      </c>
      <c r="G53" s="100">
        <v>94.1</v>
      </c>
      <c r="H53" s="100">
        <v>30.95</v>
      </c>
      <c r="I53" s="100">
        <v>14.18</v>
      </c>
      <c r="J53" s="100">
        <v>0.17</v>
      </c>
      <c r="K53" s="100">
        <v>153.69999999999999</v>
      </c>
      <c r="L53" s="100">
        <v>26.5</v>
      </c>
      <c r="M53" s="100">
        <v>40.799999999999997</v>
      </c>
      <c r="N53" s="100">
        <v>374.5</v>
      </c>
      <c r="O53" s="100">
        <v>0</v>
      </c>
      <c r="P53" s="100">
        <v>0.97</v>
      </c>
      <c r="Q53" s="100">
        <v>13.01</v>
      </c>
      <c r="R53" s="6"/>
      <c r="S53" s="6"/>
      <c r="T53" s="156"/>
      <c r="U53" s="6"/>
    </row>
    <row r="54" spans="1:21" customFormat="1">
      <c r="A54" s="163" t="s">
        <v>1724</v>
      </c>
      <c r="B54" s="100">
        <v>10.47</v>
      </c>
      <c r="C54" s="100">
        <v>28.27</v>
      </c>
      <c r="D54" s="100">
        <v>24.52</v>
      </c>
      <c r="E54" s="100">
        <v>9.4600000000000009</v>
      </c>
      <c r="F54" s="100">
        <v>1.47</v>
      </c>
      <c r="G54" s="100">
        <v>90.59</v>
      </c>
      <c r="H54" s="100">
        <v>31.67</v>
      </c>
      <c r="I54" s="100">
        <v>13.96</v>
      </c>
      <c r="J54" s="100">
        <v>0.39</v>
      </c>
      <c r="K54" s="100">
        <v>43.93</v>
      </c>
      <c r="L54" s="100">
        <v>26.9</v>
      </c>
      <c r="M54" s="100">
        <v>38.42</v>
      </c>
      <c r="N54" s="100">
        <v>309.60000000000002</v>
      </c>
      <c r="O54" s="100">
        <v>0</v>
      </c>
      <c r="P54" s="100">
        <v>0.95</v>
      </c>
      <c r="Q54" s="100">
        <v>13</v>
      </c>
      <c r="R54" s="6"/>
      <c r="S54" s="6"/>
      <c r="T54" s="156"/>
      <c r="U54" s="6"/>
    </row>
    <row r="55" spans="1:21" customFormat="1">
      <c r="A55" s="163" t="s">
        <v>1725</v>
      </c>
      <c r="B55" s="100">
        <v>9.15</v>
      </c>
      <c r="C55" s="100">
        <v>28.09</v>
      </c>
      <c r="D55" s="100">
        <v>23.36</v>
      </c>
      <c r="E55" s="100">
        <v>9.7200000000000006</v>
      </c>
      <c r="F55" s="100">
        <v>1.76</v>
      </c>
      <c r="G55" s="100">
        <v>88.47</v>
      </c>
      <c r="H55" s="100">
        <v>31.81</v>
      </c>
      <c r="I55" s="100">
        <v>13.72</v>
      </c>
      <c r="J55" s="100">
        <v>0.22</v>
      </c>
      <c r="K55" s="100">
        <v>-0.05</v>
      </c>
      <c r="L55" s="100">
        <v>27.33</v>
      </c>
      <c r="M55" s="100">
        <v>37.44</v>
      </c>
      <c r="N55" s="100">
        <v>391.8</v>
      </c>
      <c r="O55" s="100">
        <v>0</v>
      </c>
      <c r="P55" s="100">
        <v>0.94</v>
      </c>
      <c r="Q55" s="100">
        <v>12.98</v>
      </c>
      <c r="R55" s="6"/>
      <c r="S55" s="6"/>
      <c r="T55" s="156"/>
      <c r="U55" s="6"/>
    </row>
    <row r="56" spans="1:21" customFormat="1">
      <c r="A56" s="163" t="s">
        <v>1726</v>
      </c>
      <c r="B56" s="133" t="s">
        <v>4</v>
      </c>
      <c r="C56" s="133" t="s">
        <v>4</v>
      </c>
      <c r="D56" s="133" t="s">
        <v>4</v>
      </c>
      <c r="E56" s="133" t="s">
        <v>4</v>
      </c>
      <c r="F56" s="133" t="s">
        <v>4</v>
      </c>
      <c r="G56" s="133" t="s">
        <v>4</v>
      </c>
      <c r="H56" s="133" t="s">
        <v>4</v>
      </c>
      <c r="I56" s="133" t="s">
        <v>4</v>
      </c>
      <c r="J56" s="133" t="s">
        <v>4</v>
      </c>
      <c r="K56" s="133" t="s">
        <v>4</v>
      </c>
      <c r="L56" s="133" t="s">
        <v>4</v>
      </c>
      <c r="M56" s="133" t="s">
        <v>4</v>
      </c>
      <c r="N56" s="133" t="s">
        <v>4</v>
      </c>
      <c r="O56" s="133" t="s">
        <v>4</v>
      </c>
      <c r="P56" s="133" t="s">
        <v>4</v>
      </c>
      <c r="Q56" s="133" t="s">
        <v>4</v>
      </c>
      <c r="R56" s="6"/>
      <c r="S56" s="6"/>
      <c r="T56" s="156"/>
      <c r="U56" s="6"/>
    </row>
    <row r="57" spans="1:21" customFormat="1">
      <c r="A57" s="163" t="s">
        <v>1727</v>
      </c>
      <c r="B57" s="133" t="s">
        <v>4</v>
      </c>
      <c r="C57" s="133" t="s">
        <v>4</v>
      </c>
      <c r="D57" s="133" t="s">
        <v>4</v>
      </c>
      <c r="E57" s="133" t="s">
        <v>4</v>
      </c>
      <c r="F57" s="133" t="s">
        <v>4</v>
      </c>
      <c r="G57" s="133" t="s">
        <v>4</v>
      </c>
      <c r="H57" s="133" t="s">
        <v>4</v>
      </c>
      <c r="I57" s="133" t="s">
        <v>4</v>
      </c>
      <c r="J57" s="133" t="s">
        <v>4</v>
      </c>
      <c r="K57" s="133" t="s">
        <v>4</v>
      </c>
      <c r="L57" s="133" t="s">
        <v>4</v>
      </c>
      <c r="M57" s="133" t="s">
        <v>4</v>
      </c>
      <c r="N57" s="133" t="s">
        <v>4</v>
      </c>
      <c r="O57" s="133" t="s">
        <v>4</v>
      </c>
      <c r="P57" s="133" t="s">
        <v>4</v>
      </c>
      <c r="Q57" s="133" t="s">
        <v>4</v>
      </c>
      <c r="R57" s="6"/>
      <c r="S57" s="6"/>
      <c r="T57" s="156"/>
      <c r="U57" s="6"/>
    </row>
    <row r="58" spans="1:21" customFormat="1">
      <c r="A58" s="163" t="s">
        <v>1728</v>
      </c>
      <c r="B58" s="133" t="s">
        <v>4</v>
      </c>
      <c r="C58" s="133" t="s">
        <v>4</v>
      </c>
      <c r="D58" s="133" t="s">
        <v>4</v>
      </c>
      <c r="E58" s="133" t="s">
        <v>4</v>
      </c>
      <c r="F58" s="133" t="s">
        <v>4</v>
      </c>
      <c r="G58" s="133" t="s">
        <v>4</v>
      </c>
      <c r="H58" s="133" t="s">
        <v>4</v>
      </c>
      <c r="I58" s="133" t="s">
        <v>4</v>
      </c>
      <c r="J58" s="133" t="s">
        <v>4</v>
      </c>
      <c r="K58" s="133" t="s">
        <v>4</v>
      </c>
      <c r="L58" s="133" t="s">
        <v>4</v>
      </c>
      <c r="M58" s="133" t="s">
        <v>4</v>
      </c>
      <c r="N58" s="133" t="s">
        <v>4</v>
      </c>
      <c r="O58" s="133" t="s">
        <v>4</v>
      </c>
      <c r="P58" s="133" t="s">
        <v>4</v>
      </c>
      <c r="Q58" s="133" t="s">
        <v>4</v>
      </c>
      <c r="R58" s="6"/>
      <c r="S58" s="6"/>
      <c r="T58" s="156"/>
      <c r="U58" s="6"/>
    </row>
    <row r="59" spans="1:21" customFormat="1">
      <c r="A59" s="163" t="s">
        <v>1729</v>
      </c>
      <c r="B59" s="150" t="s">
        <v>21</v>
      </c>
      <c r="C59" s="150" t="s">
        <v>21</v>
      </c>
      <c r="D59" s="150" t="s">
        <v>21</v>
      </c>
      <c r="E59" s="150" t="s">
        <v>21</v>
      </c>
      <c r="F59" s="150" t="s">
        <v>21</v>
      </c>
      <c r="G59" s="100">
        <v>88.47</v>
      </c>
      <c r="H59" s="100">
        <v>31.81</v>
      </c>
      <c r="I59" s="150" t="s">
        <v>21</v>
      </c>
      <c r="J59" s="100">
        <v>0.56000000000000005</v>
      </c>
      <c r="K59" s="100">
        <v>354.31</v>
      </c>
      <c r="L59" s="100">
        <v>27.43</v>
      </c>
      <c r="M59" s="100">
        <v>36.15</v>
      </c>
      <c r="N59" s="100">
        <v>336.2</v>
      </c>
      <c r="O59" s="100">
        <v>0</v>
      </c>
      <c r="P59" s="100">
        <v>0.14000000000000001</v>
      </c>
      <c r="Q59" s="150" t="s">
        <v>21</v>
      </c>
      <c r="R59" s="6"/>
      <c r="S59" s="6"/>
      <c r="T59" s="156"/>
      <c r="U59" s="6"/>
    </row>
    <row r="60" spans="1:21" customFormat="1">
      <c r="A60" s="163" t="s">
        <v>1730</v>
      </c>
      <c r="B60" s="100">
        <v>5.42</v>
      </c>
      <c r="C60" s="100">
        <v>12.82</v>
      </c>
      <c r="D60" s="100">
        <v>12.4</v>
      </c>
      <c r="E60" s="100">
        <v>9.2100000000000009</v>
      </c>
      <c r="F60" s="100">
        <v>0.89</v>
      </c>
      <c r="G60" s="100">
        <v>73.59</v>
      </c>
      <c r="H60" s="100">
        <v>29.44</v>
      </c>
      <c r="I60" s="150" t="s">
        <v>21</v>
      </c>
      <c r="J60" s="100">
        <v>0.67</v>
      </c>
      <c r="K60" s="100">
        <v>16.010000000000002</v>
      </c>
      <c r="L60" s="100">
        <v>27.69</v>
      </c>
      <c r="M60" s="100">
        <v>35.159999999999997</v>
      </c>
      <c r="N60" s="100">
        <v>372.3</v>
      </c>
      <c r="O60" s="100">
        <v>0</v>
      </c>
      <c r="P60" s="100">
        <v>0.81</v>
      </c>
      <c r="Q60" s="150" t="s">
        <v>21</v>
      </c>
      <c r="R60" s="6"/>
      <c r="S60" s="6"/>
      <c r="T60" s="156"/>
      <c r="U60" s="6"/>
    </row>
    <row r="61" spans="1:21" customFormat="1">
      <c r="A61" s="163" t="s">
        <v>1731</v>
      </c>
      <c r="B61" s="100">
        <v>4.55</v>
      </c>
      <c r="C61" s="100">
        <v>26.1</v>
      </c>
      <c r="D61" s="100">
        <v>18.64</v>
      </c>
      <c r="E61" s="100">
        <v>2.15</v>
      </c>
      <c r="F61" s="100">
        <v>0.88</v>
      </c>
      <c r="G61" s="100">
        <v>72.34</v>
      </c>
      <c r="H61" s="100">
        <v>29.44</v>
      </c>
      <c r="I61" s="100">
        <v>3.98</v>
      </c>
      <c r="J61" s="100">
        <v>0.91</v>
      </c>
      <c r="K61" s="100">
        <v>335.22</v>
      </c>
      <c r="L61" s="100">
        <v>27.69</v>
      </c>
      <c r="M61" s="100">
        <v>34.450000000000003</v>
      </c>
      <c r="N61" s="100">
        <v>337.3</v>
      </c>
      <c r="O61" s="100">
        <v>0</v>
      </c>
      <c r="P61" s="100">
        <v>0.8</v>
      </c>
      <c r="Q61" s="100">
        <v>11.57</v>
      </c>
      <c r="R61" s="6"/>
      <c r="S61" s="6"/>
      <c r="T61" s="156"/>
      <c r="U61" s="6"/>
    </row>
    <row r="62" spans="1:21" customFormat="1">
      <c r="A62" s="163" t="s">
        <v>1732</v>
      </c>
      <c r="B62" s="100">
        <v>3.26</v>
      </c>
      <c r="C62" s="100">
        <v>27.08</v>
      </c>
      <c r="D62" s="100">
        <v>18.12</v>
      </c>
      <c r="E62" s="100">
        <v>2.15</v>
      </c>
      <c r="F62" s="100">
        <v>0.48</v>
      </c>
      <c r="G62" s="100">
        <v>80.09</v>
      </c>
      <c r="H62" s="100">
        <v>30.54</v>
      </c>
      <c r="I62" s="100">
        <v>12.36</v>
      </c>
      <c r="J62" s="100">
        <v>0.32</v>
      </c>
      <c r="K62" s="100">
        <v>314.60000000000002</v>
      </c>
      <c r="L62" s="100">
        <v>27.94</v>
      </c>
      <c r="M62" s="100">
        <v>34.409999999999997</v>
      </c>
      <c r="N62" s="100">
        <v>344.4</v>
      </c>
      <c r="O62" s="100">
        <v>0</v>
      </c>
      <c r="P62" s="100">
        <v>0.76</v>
      </c>
      <c r="Q62" s="100">
        <v>11.57</v>
      </c>
      <c r="R62" s="6"/>
      <c r="S62" s="6"/>
      <c r="T62" s="156"/>
      <c r="U62" s="6"/>
    </row>
    <row r="63" spans="1:21" customFormat="1">
      <c r="A63" s="163" t="s">
        <v>1733</v>
      </c>
      <c r="B63" s="100">
        <v>2.65</v>
      </c>
      <c r="C63" s="100">
        <v>26.57</v>
      </c>
      <c r="D63" s="100">
        <v>17.36</v>
      </c>
      <c r="E63" s="100">
        <v>2.15</v>
      </c>
      <c r="F63" s="100">
        <v>1.47</v>
      </c>
      <c r="G63" s="100">
        <v>84.79</v>
      </c>
      <c r="H63" s="100">
        <v>30.78</v>
      </c>
      <c r="I63" s="100">
        <v>12.06</v>
      </c>
      <c r="J63" s="100">
        <v>0.73</v>
      </c>
      <c r="K63" s="100">
        <v>27.48</v>
      </c>
      <c r="L63" s="100">
        <v>28.06</v>
      </c>
      <c r="M63" s="100">
        <v>33.18</v>
      </c>
      <c r="N63" s="100">
        <v>355.3</v>
      </c>
      <c r="O63" s="100">
        <v>0</v>
      </c>
      <c r="P63" s="100">
        <v>0.73</v>
      </c>
      <c r="Q63" s="100">
        <v>11.57</v>
      </c>
      <c r="R63" s="6"/>
      <c r="S63" s="6"/>
      <c r="T63" s="156"/>
      <c r="U63" s="6"/>
    </row>
    <row r="64" spans="1:21" customFormat="1">
      <c r="A64" s="163" t="s">
        <v>1734</v>
      </c>
      <c r="B64" s="100">
        <v>2.44</v>
      </c>
      <c r="C64" s="100">
        <v>25.85</v>
      </c>
      <c r="D64" s="100">
        <v>16.809999999999999</v>
      </c>
      <c r="E64" s="100">
        <v>2.15</v>
      </c>
      <c r="F64" s="100">
        <v>0.52</v>
      </c>
      <c r="G64" s="100">
        <v>84.79</v>
      </c>
      <c r="H64" s="100">
        <v>30.78</v>
      </c>
      <c r="I64" s="100">
        <v>11.69</v>
      </c>
      <c r="J64" s="100">
        <v>1.02</v>
      </c>
      <c r="K64" s="100">
        <v>33.799999999999997</v>
      </c>
      <c r="L64" s="100">
        <v>28.05</v>
      </c>
      <c r="M64" s="100">
        <v>31.33</v>
      </c>
      <c r="N64" s="100">
        <v>356.7</v>
      </c>
      <c r="O64" s="100">
        <v>0</v>
      </c>
      <c r="P64" s="100">
        <v>0.7</v>
      </c>
      <c r="Q64" s="100">
        <v>11.57</v>
      </c>
      <c r="R64" s="6"/>
      <c r="S64" s="6"/>
      <c r="T64" s="156"/>
      <c r="U64" s="6"/>
    </row>
    <row r="65" spans="1:21" customFormat="1">
      <c r="A65" s="163" t="s">
        <v>1735</v>
      </c>
      <c r="B65" s="100">
        <v>2.27</v>
      </c>
      <c r="C65" s="100">
        <v>25.36</v>
      </c>
      <c r="D65" s="100">
        <v>16.420000000000002</v>
      </c>
      <c r="E65" s="100">
        <v>2.15</v>
      </c>
      <c r="F65" s="100">
        <v>0.78</v>
      </c>
      <c r="G65" s="100">
        <v>84.79</v>
      </c>
      <c r="H65" s="100">
        <v>30.78</v>
      </c>
      <c r="I65" s="100">
        <v>11.46</v>
      </c>
      <c r="J65" s="100">
        <v>0.72</v>
      </c>
      <c r="K65" s="100">
        <v>27.74</v>
      </c>
      <c r="L65" s="100">
        <v>28.1</v>
      </c>
      <c r="M65" s="100">
        <v>30.58</v>
      </c>
      <c r="N65" s="100">
        <v>325.10000000000002</v>
      </c>
      <c r="O65" s="100">
        <v>0</v>
      </c>
      <c r="P65" s="100">
        <v>0.77</v>
      </c>
      <c r="Q65" s="100">
        <v>11.57</v>
      </c>
      <c r="R65" s="6"/>
      <c r="S65" s="6"/>
      <c r="T65" s="156"/>
      <c r="U65" s="6"/>
    </row>
    <row r="66" spans="1:21" customFormat="1">
      <c r="A66" s="163" t="s">
        <v>1736</v>
      </c>
      <c r="B66" s="100">
        <v>2.14</v>
      </c>
      <c r="C66" s="100">
        <v>24.95</v>
      </c>
      <c r="D66" s="100">
        <v>16.100000000000001</v>
      </c>
      <c r="E66" s="100">
        <v>2.15</v>
      </c>
      <c r="F66" s="100">
        <v>3.14</v>
      </c>
      <c r="G66" s="100">
        <v>76.569999999999993</v>
      </c>
      <c r="H66" s="100">
        <v>30.67</v>
      </c>
      <c r="I66" s="100">
        <v>11.2</v>
      </c>
      <c r="J66" s="100">
        <v>0.91</v>
      </c>
      <c r="K66" s="100">
        <v>23.97</v>
      </c>
      <c r="L66" s="100">
        <v>28.15</v>
      </c>
      <c r="M66" s="100">
        <v>28.93</v>
      </c>
      <c r="N66" s="100">
        <v>136.6</v>
      </c>
      <c r="O66" s="100">
        <v>0</v>
      </c>
      <c r="P66" s="100">
        <v>0.79</v>
      </c>
      <c r="Q66" s="100">
        <v>11.57</v>
      </c>
      <c r="R66" s="6"/>
      <c r="S66" s="6"/>
      <c r="T66" s="156"/>
      <c r="U66" s="6"/>
    </row>
    <row r="67" spans="1:21" customFormat="1">
      <c r="A67" s="163" t="s">
        <v>1737</v>
      </c>
      <c r="B67" s="100">
        <v>2.11</v>
      </c>
      <c r="C67" s="100">
        <v>24.59</v>
      </c>
      <c r="D67" s="100">
        <v>15.89</v>
      </c>
      <c r="E67" s="100">
        <v>2.15</v>
      </c>
      <c r="F67" s="100">
        <v>1.86</v>
      </c>
      <c r="G67" s="100">
        <v>71.59</v>
      </c>
      <c r="H67" s="100">
        <v>30.62</v>
      </c>
      <c r="I67" s="100">
        <v>11.01</v>
      </c>
      <c r="J67" s="100">
        <v>1.1299999999999999</v>
      </c>
      <c r="K67" s="100">
        <v>41.01</v>
      </c>
      <c r="L67" s="100">
        <v>27.87</v>
      </c>
      <c r="M67" s="100">
        <v>28.38</v>
      </c>
      <c r="N67" s="100">
        <v>101.4</v>
      </c>
      <c r="O67" s="100">
        <v>0</v>
      </c>
      <c r="P67" s="100">
        <v>0.78</v>
      </c>
      <c r="Q67" s="100">
        <v>11.57</v>
      </c>
      <c r="R67" s="6"/>
      <c r="S67" s="6"/>
      <c r="T67" s="156"/>
      <c r="U67" s="6"/>
    </row>
    <row r="68" spans="1:21" customFormat="1">
      <c r="A68" s="163" t="s">
        <v>1738</v>
      </c>
      <c r="B68" s="100">
        <v>2.04</v>
      </c>
      <c r="C68" s="100">
        <v>24.31</v>
      </c>
      <c r="D68" s="100">
        <v>15.69</v>
      </c>
      <c r="E68" s="100">
        <v>2.15</v>
      </c>
      <c r="F68" s="100">
        <v>0.84</v>
      </c>
      <c r="G68" s="100">
        <v>71.59</v>
      </c>
      <c r="H68" s="100">
        <v>30.62</v>
      </c>
      <c r="I68" s="100">
        <v>10.7</v>
      </c>
      <c r="J68" s="100">
        <v>1.0900000000000001</v>
      </c>
      <c r="K68" s="100">
        <v>32.57</v>
      </c>
      <c r="L68" s="100">
        <v>27.86</v>
      </c>
      <c r="M68" s="100">
        <v>29.97</v>
      </c>
      <c r="N68" s="100">
        <v>93.7</v>
      </c>
      <c r="O68" s="100">
        <v>0</v>
      </c>
      <c r="P68" s="100">
        <v>0.76</v>
      </c>
      <c r="Q68" s="100">
        <v>11.57</v>
      </c>
      <c r="R68" s="6"/>
      <c r="S68" s="6"/>
      <c r="T68" s="156"/>
      <c r="U68" s="6"/>
    </row>
    <row r="69" spans="1:21" customFormat="1">
      <c r="A69" s="163" t="s">
        <v>1739</v>
      </c>
      <c r="B69" s="100">
        <v>1.98</v>
      </c>
      <c r="C69" s="100">
        <v>23.85</v>
      </c>
      <c r="D69" s="100">
        <v>15.4</v>
      </c>
      <c r="E69" s="100">
        <v>2.15</v>
      </c>
      <c r="F69" s="100">
        <v>1.69</v>
      </c>
      <c r="G69" s="100">
        <v>71.59</v>
      </c>
      <c r="H69" s="100">
        <v>30.62</v>
      </c>
      <c r="I69" s="100">
        <v>10.55</v>
      </c>
      <c r="J69" s="100">
        <v>0.93</v>
      </c>
      <c r="K69" s="100">
        <v>44.71</v>
      </c>
      <c r="L69" s="100">
        <v>27.72</v>
      </c>
      <c r="M69" s="100">
        <v>31.65</v>
      </c>
      <c r="N69" s="100">
        <v>67.3</v>
      </c>
      <c r="O69" s="100">
        <v>0</v>
      </c>
      <c r="P69" s="100">
        <v>0.75</v>
      </c>
      <c r="Q69" s="100">
        <v>11.57</v>
      </c>
      <c r="R69" s="6"/>
      <c r="S69" s="6"/>
      <c r="T69" s="156"/>
      <c r="U69" s="6"/>
    </row>
    <row r="70" spans="1:21" customFormat="1">
      <c r="A70" s="163" t="s">
        <v>1740</v>
      </c>
      <c r="B70" s="100">
        <v>1.9</v>
      </c>
      <c r="C70" s="100">
        <v>23.7</v>
      </c>
      <c r="D70" s="100">
        <v>15.26</v>
      </c>
      <c r="E70" s="100">
        <v>2.15</v>
      </c>
      <c r="F70" s="100">
        <v>1.52</v>
      </c>
      <c r="G70" s="100">
        <v>64.010000000000005</v>
      </c>
      <c r="H70" s="100">
        <v>27.9</v>
      </c>
      <c r="I70" s="100">
        <v>10.23</v>
      </c>
      <c r="J70" s="100">
        <v>0.65</v>
      </c>
      <c r="K70" s="100">
        <v>32.909999999999997</v>
      </c>
      <c r="L70" s="100">
        <v>27.66</v>
      </c>
      <c r="M70" s="100">
        <v>32.14</v>
      </c>
      <c r="N70" s="100">
        <v>83.8</v>
      </c>
      <c r="O70" s="100">
        <v>0</v>
      </c>
      <c r="P70" s="100">
        <v>0.74</v>
      </c>
      <c r="Q70" s="100">
        <v>11.57</v>
      </c>
      <c r="R70" s="6"/>
      <c r="S70" s="6"/>
      <c r="T70" s="156"/>
      <c r="U70" s="6"/>
    </row>
    <row r="71" spans="1:21" customFormat="1">
      <c r="A71" s="163" t="s">
        <v>1741</v>
      </c>
      <c r="B71" s="100">
        <v>1.87</v>
      </c>
      <c r="C71" s="100">
        <v>23.73</v>
      </c>
      <c r="D71" s="100">
        <v>15.25</v>
      </c>
      <c r="E71" s="100">
        <v>2.15</v>
      </c>
      <c r="F71" s="100">
        <v>2.17</v>
      </c>
      <c r="G71" s="100">
        <v>59.41</v>
      </c>
      <c r="H71" s="100">
        <v>27.3</v>
      </c>
      <c r="I71" s="100">
        <v>10.19</v>
      </c>
      <c r="J71" s="100">
        <v>0.71</v>
      </c>
      <c r="K71" s="100">
        <v>2.5499999999999998</v>
      </c>
      <c r="L71" s="100">
        <v>27.79</v>
      </c>
      <c r="M71" s="100">
        <v>33.71</v>
      </c>
      <c r="N71" s="100">
        <v>61.9</v>
      </c>
      <c r="O71" s="100">
        <v>0</v>
      </c>
      <c r="P71" s="100">
        <v>0.74</v>
      </c>
      <c r="Q71" s="100">
        <v>11.57</v>
      </c>
      <c r="R71" s="6"/>
      <c r="S71" s="6"/>
      <c r="T71" s="156"/>
      <c r="U71" s="6"/>
    </row>
    <row r="72" spans="1:21" customFormat="1">
      <c r="A72" s="163" t="s">
        <v>1742</v>
      </c>
      <c r="B72" s="100">
        <v>1.92</v>
      </c>
      <c r="C72" s="100">
        <v>23.8</v>
      </c>
      <c r="D72" s="100">
        <v>15.33</v>
      </c>
      <c r="E72" s="100">
        <v>2.15</v>
      </c>
      <c r="F72" s="100">
        <v>0.92</v>
      </c>
      <c r="G72" s="100">
        <v>59.41</v>
      </c>
      <c r="H72" s="100">
        <v>27.3</v>
      </c>
      <c r="I72" s="100">
        <v>9.91</v>
      </c>
      <c r="J72" s="100">
        <v>0.8</v>
      </c>
      <c r="K72" s="100">
        <v>343.15</v>
      </c>
      <c r="L72" s="100">
        <v>27.06</v>
      </c>
      <c r="M72" s="100">
        <v>37.46</v>
      </c>
      <c r="N72" s="100">
        <v>48.9</v>
      </c>
      <c r="O72" s="100">
        <v>0</v>
      </c>
      <c r="P72" s="100">
        <v>0.74</v>
      </c>
      <c r="Q72" s="100">
        <v>11.57</v>
      </c>
      <c r="R72" s="6"/>
      <c r="S72" s="6"/>
      <c r="T72" s="156"/>
      <c r="U72" s="6"/>
    </row>
    <row r="73" spans="1:21" customFormat="1">
      <c r="A73" s="163" t="s">
        <v>1743</v>
      </c>
      <c r="B73" s="100">
        <v>1.98</v>
      </c>
      <c r="C73" s="100">
        <v>24.03</v>
      </c>
      <c r="D73" s="100">
        <v>15.49</v>
      </c>
      <c r="E73" s="100">
        <v>2.15</v>
      </c>
      <c r="F73" s="100">
        <v>2.1</v>
      </c>
      <c r="G73" s="100">
        <v>59.41</v>
      </c>
      <c r="H73" s="100">
        <v>27.3</v>
      </c>
      <c r="I73" s="100">
        <v>9.6300000000000008</v>
      </c>
      <c r="J73" s="100">
        <v>1.1000000000000001</v>
      </c>
      <c r="K73" s="100">
        <v>37.86</v>
      </c>
      <c r="L73" s="100">
        <v>26.57</v>
      </c>
      <c r="M73" s="100">
        <v>38.47</v>
      </c>
      <c r="N73" s="100">
        <v>40.9</v>
      </c>
      <c r="O73" s="100">
        <v>0</v>
      </c>
      <c r="P73" s="100">
        <v>0.74</v>
      </c>
      <c r="Q73" s="100">
        <v>11.57</v>
      </c>
      <c r="R73" s="6"/>
      <c r="S73" s="6"/>
      <c r="T73" s="156"/>
      <c r="U73" s="6"/>
    </row>
    <row r="74" spans="1:21" customFormat="1">
      <c r="A74" s="163" t="s">
        <v>1744</v>
      </c>
      <c r="B74" s="100">
        <v>2.1</v>
      </c>
      <c r="C74" s="100">
        <v>24.19</v>
      </c>
      <c r="D74" s="100">
        <v>15.68</v>
      </c>
      <c r="E74" s="100">
        <v>2.15</v>
      </c>
      <c r="F74" s="100">
        <v>1.23</v>
      </c>
      <c r="G74" s="100">
        <v>71.069999999999993</v>
      </c>
      <c r="H74" s="100">
        <v>29.94</v>
      </c>
      <c r="I74" s="100">
        <v>9.6199999999999992</v>
      </c>
      <c r="J74" s="100">
        <v>0.9</v>
      </c>
      <c r="K74" s="100">
        <v>27.09</v>
      </c>
      <c r="L74" s="100">
        <v>26.28</v>
      </c>
      <c r="M74" s="100">
        <v>39.119999999999997</v>
      </c>
      <c r="N74" s="100">
        <v>30.6</v>
      </c>
      <c r="O74" s="100">
        <v>0</v>
      </c>
      <c r="P74" s="100">
        <v>0.74</v>
      </c>
      <c r="Q74" s="100">
        <v>11.57</v>
      </c>
      <c r="R74" s="6"/>
      <c r="S74" s="6"/>
      <c r="T74" s="156"/>
      <c r="U74" s="6"/>
    </row>
    <row r="75" spans="1:21" customFormat="1">
      <c r="A75" s="163" t="s">
        <v>1745</v>
      </c>
      <c r="B75" s="100">
        <v>2.21</v>
      </c>
      <c r="C75" s="100">
        <v>24.5</v>
      </c>
      <c r="D75" s="100">
        <v>15.92</v>
      </c>
      <c r="E75" s="100">
        <v>2.15</v>
      </c>
      <c r="F75" s="100">
        <v>2.0299999999999998</v>
      </c>
      <c r="G75" s="100">
        <v>78.150000000000006</v>
      </c>
      <c r="H75" s="100">
        <v>30.52</v>
      </c>
      <c r="I75" s="100">
        <v>9.73</v>
      </c>
      <c r="J75" s="100">
        <v>0.96</v>
      </c>
      <c r="K75" s="100">
        <v>28.77</v>
      </c>
      <c r="L75" s="100">
        <v>25.92</v>
      </c>
      <c r="M75" s="100">
        <v>41.85</v>
      </c>
      <c r="N75" s="100">
        <v>28.5</v>
      </c>
      <c r="O75" s="100">
        <v>0</v>
      </c>
      <c r="P75" s="100">
        <v>0.74</v>
      </c>
      <c r="Q75" s="100">
        <v>11.57</v>
      </c>
      <c r="R75" s="6"/>
      <c r="S75" s="6"/>
      <c r="T75" s="156"/>
      <c r="U75" s="6"/>
    </row>
    <row r="76" spans="1:21" customFormat="1">
      <c r="A76" s="163" t="s">
        <v>1746</v>
      </c>
      <c r="B76" s="100">
        <v>2.31</v>
      </c>
      <c r="C76" s="100">
        <v>24.77</v>
      </c>
      <c r="D76" s="100">
        <v>16.149999999999999</v>
      </c>
      <c r="E76" s="100">
        <v>2.15</v>
      </c>
      <c r="F76" s="100">
        <v>7.01</v>
      </c>
      <c r="G76" s="100">
        <v>78.150000000000006</v>
      </c>
      <c r="H76" s="100">
        <v>30.52</v>
      </c>
      <c r="I76" s="100">
        <v>9.4600000000000009</v>
      </c>
      <c r="J76" s="100">
        <v>0.85</v>
      </c>
      <c r="K76" s="100">
        <v>32.11</v>
      </c>
      <c r="L76" s="100">
        <v>25.62</v>
      </c>
      <c r="M76" s="100">
        <v>42.93</v>
      </c>
      <c r="N76" s="100">
        <v>20.9</v>
      </c>
      <c r="O76" s="100">
        <v>0</v>
      </c>
      <c r="P76" s="100">
        <v>0.74</v>
      </c>
      <c r="Q76" s="100">
        <v>11.57</v>
      </c>
      <c r="R76" s="6"/>
      <c r="S76" s="6"/>
      <c r="T76" s="156"/>
      <c r="U76" s="6"/>
    </row>
    <row r="77" spans="1:21" customFormat="1">
      <c r="A77" s="163" t="s">
        <v>1747</v>
      </c>
      <c r="B77" s="100">
        <v>2.35</v>
      </c>
      <c r="C77" s="100">
        <v>24.92</v>
      </c>
      <c r="D77" s="100">
        <v>16.260000000000002</v>
      </c>
      <c r="E77" s="100">
        <v>2.15</v>
      </c>
      <c r="F77" s="100">
        <v>1.54</v>
      </c>
      <c r="G77" s="100">
        <v>78.150000000000006</v>
      </c>
      <c r="H77" s="100">
        <v>30.52</v>
      </c>
      <c r="I77" s="100">
        <v>9.4600000000000009</v>
      </c>
      <c r="J77" s="100">
        <v>0.82</v>
      </c>
      <c r="K77" s="100">
        <v>32.71</v>
      </c>
      <c r="L77" s="100">
        <v>25.33</v>
      </c>
      <c r="M77" s="100">
        <v>43.77</v>
      </c>
      <c r="N77" s="100">
        <v>12.6</v>
      </c>
      <c r="O77" s="100">
        <v>0</v>
      </c>
      <c r="P77" s="100">
        <v>0.75</v>
      </c>
      <c r="Q77" s="100">
        <v>11.57</v>
      </c>
      <c r="R77" s="6"/>
      <c r="S77" s="6"/>
      <c r="T77" s="156"/>
      <c r="U77" s="6"/>
    </row>
    <row r="78" spans="1:21" customFormat="1">
      <c r="A78" s="163" t="s">
        <v>1748</v>
      </c>
      <c r="B78" s="100">
        <v>2.42</v>
      </c>
      <c r="C78" s="100">
        <v>25.18</v>
      </c>
      <c r="D78" s="100">
        <v>16.45</v>
      </c>
      <c r="E78" s="100">
        <v>2.15</v>
      </c>
      <c r="F78" s="100">
        <v>0.95</v>
      </c>
      <c r="G78" s="100">
        <v>84.36</v>
      </c>
      <c r="H78" s="100">
        <v>30.68</v>
      </c>
      <c r="I78" s="100">
        <v>9.4700000000000006</v>
      </c>
      <c r="J78" s="100">
        <v>0.68</v>
      </c>
      <c r="K78" s="100">
        <v>40.17</v>
      </c>
      <c r="L78" s="100">
        <v>24.93</v>
      </c>
      <c r="M78" s="100">
        <v>46.65</v>
      </c>
      <c r="N78" s="100">
        <v>6.8</v>
      </c>
      <c r="O78" s="100">
        <v>0</v>
      </c>
      <c r="P78" s="100">
        <v>0.76</v>
      </c>
      <c r="Q78" s="100">
        <v>11.57</v>
      </c>
      <c r="R78" s="6"/>
      <c r="S78" s="6"/>
      <c r="T78" s="156"/>
      <c r="U78" s="6"/>
    </row>
    <row r="79" spans="1:21" customFormat="1">
      <c r="A79" s="163" t="s">
        <v>1749</v>
      </c>
      <c r="B79" s="100">
        <v>2.41</v>
      </c>
      <c r="C79" s="100">
        <v>25.72</v>
      </c>
      <c r="D79" s="100">
        <v>16.73</v>
      </c>
      <c r="E79" s="100">
        <v>2.15</v>
      </c>
      <c r="F79" s="100">
        <v>0.41</v>
      </c>
      <c r="G79" s="100">
        <v>88.13</v>
      </c>
      <c r="H79" s="100">
        <v>30.71</v>
      </c>
      <c r="I79" s="100">
        <v>9.43</v>
      </c>
      <c r="J79" s="100">
        <v>0.62</v>
      </c>
      <c r="K79" s="100">
        <v>34.96</v>
      </c>
      <c r="L79" s="100">
        <v>24.55</v>
      </c>
      <c r="M79" s="100">
        <v>48.62</v>
      </c>
      <c r="N79" s="100">
        <v>2.9</v>
      </c>
      <c r="O79" s="100">
        <v>0</v>
      </c>
      <c r="P79" s="100">
        <v>0.77</v>
      </c>
      <c r="Q79" s="100">
        <v>11.57</v>
      </c>
      <c r="R79" s="6"/>
      <c r="S79" s="6"/>
      <c r="T79" s="156"/>
      <c r="U79" s="6"/>
    </row>
    <row r="80" spans="1:21" customFormat="1">
      <c r="A80" s="163" t="s">
        <v>1750</v>
      </c>
      <c r="B80" s="100">
        <v>2.27</v>
      </c>
      <c r="C80" s="100">
        <v>26.78</v>
      </c>
      <c r="D80" s="100">
        <v>17.16</v>
      </c>
      <c r="E80" s="100">
        <v>2.15</v>
      </c>
      <c r="F80" s="100">
        <v>2.5099999999999998</v>
      </c>
      <c r="G80" s="100">
        <v>88.13</v>
      </c>
      <c r="H80" s="100">
        <v>30.71</v>
      </c>
      <c r="I80" s="100">
        <v>9.5</v>
      </c>
      <c r="J80" s="100">
        <v>0.44</v>
      </c>
      <c r="K80" s="100">
        <v>34.409999999999997</v>
      </c>
      <c r="L80" s="100">
        <v>24.25</v>
      </c>
      <c r="M80" s="100">
        <v>50.08</v>
      </c>
      <c r="N80" s="100">
        <v>2</v>
      </c>
      <c r="O80" s="100">
        <v>0</v>
      </c>
      <c r="P80" s="100">
        <v>0.78</v>
      </c>
      <c r="Q80" s="100">
        <v>11.57</v>
      </c>
      <c r="R80" s="6"/>
      <c r="S80" s="6"/>
      <c r="T80" s="156"/>
      <c r="U80" s="6"/>
    </row>
    <row r="81" spans="1:21" customFormat="1">
      <c r="A81" s="163" t="s">
        <v>1751</v>
      </c>
      <c r="B81" s="100">
        <v>2.3199999999999998</v>
      </c>
      <c r="C81" s="100">
        <v>28.25</v>
      </c>
      <c r="D81" s="100">
        <v>17.97</v>
      </c>
      <c r="E81" s="100">
        <v>8.9700000000000006</v>
      </c>
      <c r="F81" s="100">
        <v>2.36</v>
      </c>
      <c r="G81" s="100">
        <v>88.13</v>
      </c>
      <c r="H81" s="100">
        <v>30.71</v>
      </c>
      <c r="I81" s="100">
        <v>9.5399999999999991</v>
      </c>
      <c r="J81" s="100">
        <v>0.39</v>
      </c>
      <c r="K81" s="100">
        <v>37.99</v>
      </c>
      <c r="L81" s="100">
        <v>23.92</v>
      </c>
      <c r="M81" s="100">
        <v>51.48</v>
      </c>
      <c r="N81" s="100">
        <v>1.7</v>
      </c>
      <c r="O81" s="100">
        <v>0</v>
      </c>
      <c r="P81" s="100">
        <v>0.81</v>
      </c>
      <c r="Q81" s="100">
        <v>11.57</v>
      </c>
      <c r="R81" s="6"/>
      <c r="S81" s="6"/>
      <c r="T81" s="156"/>
      <c r="U81" s="6"/>
    </row>
    <row r="82" spans="1:21" customFormat="1">
      <c r="A82" s="163" t="s">
        <v>1752</v>
      </c>
      <c r="B82" s="100">
        <v>2.57</v>
      </c>
      <c r="C82" s="100">
        <v>29.3</v>
      </c>
      <c r="D82" s="100">
        <v>18.72</v>
      </c>
      <c r="E82" s="100">
        <v>10.220000000000001</v>
      </c>
      <c r="F82" s="100">
        <v>5.66</v>
      </c>
      <c r="G82" s="100">
        <v>94.17</v>
      </c>
      <c r="H82" s="100">
        <v>32.99</v>
      </c>
      <c r="I82" s="100">
        <v>9.6</v>
      </c>
      <c r="J82" s="100">
        <v>0.3</v>
      </c>
      <c r="K82" s="100">
        <v>42.13</v>
      </c>
      <c r="L82" s="100">
        <v>23.59</v>
      </c>
      <c r="M82" s="100">
        <v>52.58</v>
      </c>
      <c r="N82" s="100">
        <v>1.7</v>
      </c>
      <c r="O82" s="100">
        <v>0</v>
      </c>
      <c r="P82" s="100">
        <v>0.83</v>
      </c>
      <c r="Q82" s="100">
        <v>11.57</v>
      </c>
      <c r="R82" s="6"/>
      <c r="S82" s="6"/>
      <c r="T82" s="156"/>
      <c r="U82" s="6"/>
    </row>
    <row r="83" spans="1:21" customFormat="1">
      <c r="A83" s="163" t="s">
        <v>1753</v>
      </c>
      <c r="B83" s="100">
        <v>2.94</v>
      </c>
      <c r="C83" s="100">
        <v>30.62</v>
      </c>
      <c r="D83" s="100">
        <v>19.71</v>
      </c>
      <c r="E83" s="100">
        <v>9.33</v>
      </c>
      <c r="F83" s="100">
        <v>3.52</v>
      </c>
      <c r="G83" s="100">
        <v>97.83</v>
      </c>
      <c r="H83" s="100">
        <v>33.49</v>
      </c>
      <c r="I83" s="100">
        <v>10.09</v>
      </c>
      <c r="J83" s="100">
        <v>0.43</v>
      </c>
      <c r="K83" s="100">
        <v>53.94</v>
      </c>
      <c r="L83" s="100">
        <v>23.34</v>
      </c>
      <c r="M83" s="100">
        <v>53.43</v>
      </c>
      <c r="N83" s="100">
        <v>1.6</v>
      </c>
      <c r="O83" s="100">
        <v>0</v>
      </c>
      <c r="P83" s="100">
        <v>0.84</v>
      </c>
      <c r="Q83" s="100">
        <v>11.57</v>
      </c>
      <c r="R83" s="6"/>
      <c r="S83" s="6"/>
      <c r="T83" s="156"/>
      <c r="U83" s="6"/>
    </row>
    <row r="84" spans="1:21" customFormat="1">
      <c r="A84" s="163" t="s">
        <v>1754</v>
      </c>
      <c r="B84" s="100">
        <v>3.45</v>
      </c>
      <c r="C84" s="100">
        <v>31.56</v>
      </c>
      <c r="D84" s="100">
        <v>20.61</v>
      </c>
      <c r="E84" s="100">
        <v>9.82</v>
      </c>
      <c r="F84" s="100">
        <v>2.59</v>
      </c>
      <c r="G84" s="100">
        <v>97.83</v>
      </c>
      <c r="H84" s="100">
        <v>33.49</v>
      </c>
      <c r="I84" s="100">
        <v>10.42</v>
      </c>
      <c r="J84" s="100">
        <v>0.48</v>
      </c>
      <c r="K84" s="100">
        <v>45.74</v>
      </c>
      <c r="L84" s="100">
        <v>23.19</v>
      </c>
      <c r="M84" s="100">
        <v>53.78</v>
      </c>
      <c r="N84" s="100">
        <v>1.7</v>
      </c>
      <c r="O84" s="100">
        <v>0</v>
      </c>
      <c r="P84" s="100">
        <v>0.87</v>
      </c>
      <c r="Q84" s="100">
        <v>11.57</v>
      </c>
      <c r="R84" s="6"/>
      <c r="S84" s="6"/>
      <c r="T84" s="156"/>
      <c r="U84" s="6"/>
    </row>
    <row r="85" spans="1:21" customFormat="1">
      <c r="A85" s="163" t="s">
        <v>1755</v>
      </c>
      <c r="B85" s="100">
        <v>3.65</v>
      </c>
      <c r="C85" s="100">
        <v>32.19</v>
      </c>
      <c r="D85" s="100">
        <v>21.1</v>
      </c>
      <c r="E85" s="100">
        <v>9.25</v>
      </c>
      <c r="F85" s="100">
        <v>1.62</v>
      </c>
      <c r="G85" s="100">
        <v>97.83</v>
      </c>
      <c r="H85" s="100">
        <v>33.49</v>
      </c>
      <c r="I85" s="100">
        <v>10.7</v>
      </c>
      <c r="J85" s="100">
        <v>0.49</v>
      </c>
      <c r="K85" s="100">
        <v>51.84</v>
      </c>
      <c r="L85" s="100">
        <v>23</v>
      </c>
      <c r="M85" s="100">
        <v>54.99</v>
      </c>
      <c r="N85" s="100">
        <v>1.7</v>
      </c>
      <c r="O85" s="100">
        <v>0</v>
      </c>
      <c r="P85" s="100">
        <v>0.88</v>
      </c>
      <c r="Q85" s="100">
        <v>11.57</v>
      </c>
      <c r="R85" s="6"/>
      <c r="S85" s="6"/>
      <c r="T85" s="156"/>
      <c r="U85" s="6"/>
    </row>
    <row r="86" spans="1:21" customFormat="1">
      <c r="A86" s="163" t="s">
        <v>1756</v>
      </c>
      <c r="B86" s="100">
        <v>3.62</v>
      </c>
      <c r="C86" s="100">
        <v>32.520000000000003</v>
      </c>
      <c r="D86" s="100">
        <v>21.25</v>
      </c>
      <c r="E86" s="100">
        <v>8.99</v>
      </c>
      <c r="F86" s="100">
        <v>1.58</v>
      </c>
      <c r="G86" s="100">
        <v>105.92</v>
      </c>
      <c r="H86" s="100">
        <v>34.200000000000003</v>
      </c>
      <c r="I86" s="100">
        <v>10.84</v>
      </c>
      <c r="J86" s="100">
        <v>0.54</v>
      </c>
      <c r="K86" s="100">
        <v>52.72</v>
      </c>
      <c r="L86" s="100">
        <v>22.85</v>
      </c>
      <c r="M86" s="100">
        <v>56.05</v>
      </c>
      <c r="N86" s="100">
        <v>1.7</v>
      </c>
      <c r="O86" s="100">
        <v>0</v>
      </c>
      <c r="P86" s="100">
        <v>0.9</v>
      </c>
      <c r="Q86" s="100">
        <v>11.57</v>
      </c>
      <c r="R86" s="6"/>
      <c r="S86" s="6"/>
      <c r="T86" s="156"/>
      <c r="U86" s="6"/>
    </row>
    <row r="87" spans="1:21" customFormat="1">
      <c r="A87" s="163" t="s">
        <v>1757</v>
      </c>
      <c r="B87" s="100">
        <v>3.58</v>
      </c>
      <c r="C87" s="100">
        <v>32.5</v>
      </c>
      <c r="D87" s="100">
        <v>21.2</v>
      </c>
      <c r="E87" s="100">
        <v>8.86</v>
      </c>
      <c r="F87" s="100">
        <v>4.74</v>
      </c>
      <c r="G87" s="100">
        <v>110.82</v>
      </c>
      <c r="H87" s="100">
        <v>34.35</v>
      </c>
      <c r="I87" s="100">
        <v>10.9</v>
      </c>
      <c r="J87" s="100">
        <v>0.63</v>
      </c>
      <c r="K87" s="100">
        <v>52.52</v>
      </c>
      <c r="L87" s="100">
        <v>22.68</v>
      </c>
      <c r="M87" s="100">
        <v>57.05</v>
      </c>
      <c r="N87" s="100">
        <v>1.7</v>
      </c>
      <c r="O87" s="100">
        <v>0</v>
      </c>
      <c r="P87" s="100">
        <v>0.92</v>
      </c>
      <c r="Q87" s="100">
        <v>11.57</v>
      </c>
      <c r="R87" s="6"/>
      <c r="S87" s="6"/>
      <c r="T87" s="156"/>
      <c r="U87" s="6"/>
    </row>
    <row r="88" spans="1:21" customFormat="1">
      <c r="A88" s="163" t="s">
        <v>1758</v>
      </c>
      <c r="B88" s="100">
        <v>3.51</v>
      </c>
      <c r="C88" s="100">
        <v>32.44</v>
      </c>
      <c r="D88" s="100">
        <v>21.11</v>
      </c>
      <c r="E88" s="100">
        <v>8.9700000000000006</v>
      </c>
      <c r="F88" s="100">
        <v>3.38</v>
      </c>
      <c r="G88" s="100">
        <v>110.82</v>
      </c>
      <c r="H88" s="100">
        <v>34.35</v>
      </c>
      <c r="I88" s="100">
        <v>10.95</v>
      </c>
      <c r="J88" s="100">
        <v>0.56000000000000005</v>
      </c>
      <c r="K88" s="100">
        <v>45.13</v>
      </c>
      <c r="L88" s="100">
        <v>22.53</v>
      </c>
      <c r="M88" s="100">
        <v>57.32</v>
      </c>
      <c r="N88" s="100">
        <v>1.7</v>
      </c>
      <c r="O88" s="100">
        <v>0</v>
      </c>
      <c r="P88" s="100">
        <v>0.92</v>
      </c>
      <c r="Q88" s="100">
        <v>11.57</v>
      </c>
      <c r="R88" s="6"/>
      <c r="S88" s="6"/>
      <c r="T88" s="156"/>
      <c r="U88" s="6"/>
    </row>
    <row r="89" spans="1:21" customFormat="1">
      <c r="A89" s="163" t="s">
        <v>1759</v>
      </c>
      <c r="B89" s="100">
        <v>3.39</v>
      </c>
      <c r="C89" s="100">
        <v>32.36</v>
      </c>
      <c r="D89" s="100">
        <v>20.98</v>
      </c>
      <c r="E89" s="100">
        <v>8.7200000000000006</v>
      </c>
      <c r="F89" s="100">
        <v>2.09</v>
      </c>
      <c r="G89" s="100">
        <v>110.82</v>
      </c>
      <c r="H89" s="100">
        <v>34.35</v>
      </c>
      <c r="I89" s="100">
        <v>11.04</v>
      </c>
      <c r="J89" s="100">
        <v>0.51</v>
      </c>
      <c r="K89" s="100">
        <v>40.89</v>
      </c>
      <c r="L89" s="100">
        <v>22.41</v>
      </c>
      <c r="M89" s="100">
        <v>57.9</v>
      </c>
      <c r="N89" s="100">
        <v>1.7</v>
      </c>
      <c r="O89" s="100">
        <v>0</v>
      </c>
      <c r="P89" s="100">
        <v>0.92</v>
      </c>
      <c r="Q89" s="100">
        <v>11.57</v>
      </c>
      <c r="R89" s="6"/>
      <c r="S89" s="6"/>
      <c r="T89" s="156"/>
      <c r="U89" s="6"/>
    </row>
    <row r="90" spans="1:21" customFormat="1">
      <c r="A90" s="163" t="s">
        <v>1760</v>
      </c>
      <c r="B90" s="100">
        <v>3.29</v>
      </c>
      <c r="C90" s="100">
        <v>32.200000000000003</v>
      </c>
      <c r="D90" s="100">
        <v>20.82</v>
      </c>
      <c r="E90" s="100">
        <v>8.6</v>
      </c>
      <c r="F90" s="100">
        <v>4.0999999999999996</v>
      </c>
      <c r="G90" s="100">
        <v>108.41</v>
      </c>
      <c r="H90" s="100">
        <v>34.25</v>
      </c>
      <c r="I90" s="100">
        <v>11.04</v>
      </c>
      <c r="J90" s="100">
        <v>0.47</v>
      </c>
      <c r="K90" s="100">
        <v>27.42</v>
      </c>
      <c r="L90" s="100">
        <v>22.21</v>
      </c>
      <c r="M90" s="100">
        <v>59.05</v>
      </c>
      <c r="N90" s="100">
        <v>1.8</v>
      </c>
      <c r="O90" s="100">
        <v>0</v>
      </c>
      <c r="P90" s="100">
        <v>0.92</v>
      </c>
      <c r="Q90" s="100">
        <v>11.57</v>
      </c>
      <c r="R90" s="6"/>
      <c r="S90" s="6"/>
      <c r="T90" s="156"/>
      <c r="U90" s="6"/>
    </row>
    <row r="91" spans="1:21" customFormat="1">
      <c r="A91" s="163" t="s">
        <v>1761</v>
      </c>
      <c r="B91" s="100">
        <v>3.56</v>
      </c>
      <c r="C91" s="100">
        <v>32.14</v>
      </c>
      <c r="D91" s="100">
        <v>20.99</v>
      </c>
      <c r="E91" s="100">
        <v>8.4700000000000006</v>
      </c>
      <c r="F91" s="100">
        <v>2.4700000000000002</v>
      </c>
      <c r="G91" s="100">
        <v>106.95</v>
      </c>
      <c r="H91" s="100">
        <v>34.22</v>
      </c>
      <c r="I91" s="100">
        <v>10.97</v>
      </c>
      <c r="J91" s="100">
        <v>0.52</v>
      </c>
      <c r="K91" s="100">
        <v>49.63</v>
      </c>
      <c r="L91" s="100">
        <v>22.05</v>
      </c>
      <c r="M91" s="100">
        <v>59.96</v>
      </c>
      <c r="N91" s="100">
        <v>1.7</v>
      </c>
      <c r="O91" s="100">
        <v>0</v>
      </c>
      <c r="P91" s="100">
        <v>0.92</v>
      </c>
      <c r="Q91" s="100">
        <v>11.57</v>
      </c>
      <c r="R91" s="6"/>
      <c r="S91" s="6"/>
      <c r="T91" s="156"/>
      <c r="U91" s="6"/>
    </row>
    <row r="92" spans="1:21" customFormat="1">
      <c r="A92" s="163" t="s">
        <v>1762</v>
      </c>
      <c r="B92" s="100">
        <v>3.78</v>
      </c>
      <c r="C92" s="100">
        <v>31.97</v>
      </c>
      <c r="D92" s="100">
        <v>21.09</v>
      </c>
      <c r="E92" s="100">
        <v>8.36</v>
      </c>
      <c r="F92" s="100">
        <v>6.98</v>
      </c>
      <c r="G92" s="100">
        <v>106.95</v>
      </c>
      <c r="H92" s="100">
        <v>34.22</v>
      </c>
      <c r="I92" s="100">
        <v>10.95</v>
      </c>
      <c r="J92" s="100">
        <v>0.44</v>
      </c>
      <c r="K92" s="100">
        <v>36.65</v>
      </c>
      <c r="L92" s="100">
        <v>21.94</v>
      </c>
      <c r="M92" s="100">
        <v>60.43</v>
      </c>
      <c r="N92" s="100">
        <v>1.8</v>
      </c>
      <c r="O92" s="100">
        <v>0</v>
      </c>
      <c r="P92" s="100">
        <v>0.92</v>
      </c>
      <c r="Q92" s="100">
        <v>11.57</v>
      </c>
      <c r="R92" s="6"/>
      <c r="S92" s="6"/>
      <c r="T92" s="156"/>
      <c r="U92" s="6"/>
    </row>
    <row r="93" spans="1:21" customFormat="1">
      <c r="A93" s="163" t="s">
        <v>1763</v>
      </c>
      <c r="B93" s="100">
        <v>3.9</v>
      </c>
      <c r="C93" s="100">
        <v>31.78</v>
      </c>
      <c r="D93" s="100">
        <v>21.08</v>
      </c>
      <c r="E93" s="100">
        <v>8.08</v>
      </c>
      <c r="F93" s="100">
        <v>2.2400000000000002</v>
      </c>
      <c r="G93" s="100">
        <v>106.95</v>
      </c>
      <c r="H93" s="100">
        <v>34.22</v>
      </c>
      <c r="I93" s="100">
        <v>10.95</v>
      </c>
      <c r="J93" s="100">
        <v>0.43</v>
      </c>
      <c r="K93" s="100">
        <v>48.85</v>
      </c>
      <c r="L93" s="100">
        <v>21.78</v>
      </c>
      <c r="M93" s="100">
        <v>60.83</v>
      </c>
      <c r="N93" s="100">
        <v>1.7</v>
      </c>
      <c r="O93" s="100">
        <v>0</v>
      </c>
      <c r="P93" s="100">
        <v>0.92</v>
      </c>
      <c r="Q93" s="100">
        <v>11.57</v>
      </c>
      <c r="R93" s="6"/>
      <c r="S93" s="6"/>
      <c r="T93" s="156"/>
      <c r="U93" s="6"/>
    </row>
    <row r="94" spans="1:21" customFormat="1">
      <c r="A94" s="163" t="s">
        <v>1764</v>
      </c>
      <c r="B94" s="100">
        <v>4.07</v>
      </c>
      <c r="C94" s="100">
        <v>31.94</v>
      </c>
      <c r="D94" s="100">
        <v>21.3</v>
      </c>
      <c r="E94" s="100">
        <v>8.2799999999999994</v>
      </c>
      <c r="F94" s="100">
        <v>2.89</v>
      </c>
      <c r="G94" s="100">
        <v>101.11</v>
      </c>
      <c r="H94" s="100">
        <v>32.74</v>
      </c>
      <c r="I94" s="100">
        <v>10.95</v>
      </c>
      <c r="J94" s="100">
        <v>0.43</v>
      </c>
      <c r="K94" s="100">
        <v>46.65</v>
      </c>
      <c r="L94" s="100">
        <v>21.69</v>
      </c>
      <c r="M94" s="100">
        <v>60.6</v>
      </c>
      <c r="N94" s="100">
        <v>1.7</v>
      </c>
      <c r="O94" s="100">
        <v>0</v>
      </c>
      <c r="P94" s="100">
        <v>0.92</v>
      </c>
      <c r="Q94" s="100">
        <v>11.57</v>
      </c>
      <c r="R94" s="6"/>
      <c r="S94" s="6"/>
      <c r="T94" s="156"/>
      <c r="U94" s="6"/>
    </row>
    <row r="95" spans="1:21" customFormat="1">
      <c r="A95" s="163" t="s">
        <v>1765</v>
      </c>
      <c r="B95" s="100">
        <v>4.4800000000000004</v>
      </c>
      <c r="C95" s="100">
        <v>31.92</v>
      </c>
      <c r="D95" s="100">
        <v>21.62</v>
      </c>
      <c r="E95" s="100">
        <v>8.0299999999999994</v>
      </c>
      <c r="F95" s="100">
        <v>0.11</v>
      </c>
      <c r="G95" s="100">
        <v>97.57</v>
      </c>
      <c r="H95" s="100">
        <v>32.409999999999997</v>
      </c>
      <c r="I95" s="100">
        <v>10.93</v>
      </c>
      <c r="J95" s="100">
        <v>0.35</v>
      </c>
      <c r="K95" s="100">
        <v>48.22</v>
      </c>
      <c r="L95" s="100">
        <v>21.59</v>
      </c>
      <c r="M95" s="100">
        <v>60.78</v>
      </c>
      <c r="N95" s="100">
        <v>1.7</v>
      </c>
      <c r="O95" s="100">
        <v>0</v>
      </c>
      <c r="P95" s="100">
        <v>0.92</v>
      </c>
      <c r="Q95" s="100">
        <v>11.57</v>
      </c>
      <c r="R95" s="6"/>
      <c r="S95" s="6"/>
      <c r="T95" s="156"/>
      <c r="U95" s="6"/>
    </row>
    <row r="96" spans="1:21" customFormat="1">
      <c r="A96" s="163" t="s">
        <v>1766</v>
      </c>
      <c r="B96" s="100">
        <v>4.96</v>
      </c>
      <c r="C96" s="100">
        <v>32.14</v>
      </c>
      <c r="D96" s="100">
        <v>22.12</v>
      </c>
      <c r="E96" s="100">
        <v>8.26</v>
      </c>
      <c r="F96" s="100">
        <v>1.81</v>
      </c>
      <c r="G96" s="100">
        <v>97.57</v>
      </c>
      <c r="H96" s="100">
        <v>32.409999999999997</v>
      </c>
      <c r="I96" s="100">
        <v>10.95</v>
      </c>
      <c r="J96" s="100">
        <v>0.56000000000000005</v>
      </c>
      <c r="K96" s="100">
        <v>48.12</v>
      </c>
      <c r="L96" s="100">
        <v>21.52</v>
      </c>
      <c r="M96" s="100">
        <v>60.63</v>
      </c>
      <c r="N96" s="100">
        <v>1.7</v>
      </c>
      <c r="O96" s="100">
        <v>0</v>
      </c>
      <c r="P96" s="100">
        <v>0.93</v>
      </c>
      <c r="Q96" s="100">
        <v>11.57</v>
      </c>
      <c r="R96" s="6"/>
      <c r="S96" s="6"/>
      <c r="T96" s="156"/>
      <c r="U96" s="6"/>
    </row>
    <row r="97" spans="1:28" customFormat="1">
      <c r="A97" s="163" t="s">
        <v>1767</v>
      </c>
      <c r="B97" s="100">
        <v>5.66</v>
      </c>
      <c r="C97" s="100">
        <v>32.25</v>
      </c>
      <c r="D97" s="100">
        <v>22.74</v>
      </c>
      <c r="E97" s="100">
        <v>7.93</v>
      </c>
      <c r="F97" s="100">
        <v>2.3199999999999998</v>
      </c>
      <c r="G97" s="100">
        <v>97.57</v>
      </c>
      <c r="H97" s="100">
        <v>32.409999999999997</v>
      </c>
      <c r="I97" s="100">
        <v>11.07</v>
      </c>
      <c r="J97" s="100">
        <v>0.66</v>
      </c>
      <c r="K97" s="100">
        <v>51.39</v>
      </c>
      <c r="L97" s="100">
        <v>21.38</v>
      </c>
      <c r="M97" s="100">
        <v>61.35</v>
      </c>
      <c r="N97" s="100">
        <v>1.8</v>
      </c>
      <c r="O97" s="100">
        <v>0</v>
      </c>
      <c r="P97" s="100">
        <v>0.93</v>
      </c>
      <c r="Q97" s="100">
        <v>11.57</v>
      </c>
      <c r="R97" s="6"/>
      <c r="S97" s="6"/>
      <c r="T97" s="156"/>
      <c r="U97" s="6"/>
    </row>
    <row r="98" spans="1:28" customFormat="1">
      <c r="A98" s="163" t="s">
        <v>1768</v>
      </c>
      <c r="B98" s="100">
        <v>5.89</v>
      </c>
      <c r="C98" s="100">
        <v>32.04</v>
      </c>
      <c r="D98" s="100">
        <v>22.82</v>
      </c>
      <c r="E98" s="100">
        <v>7.91</v>
      </c>
      <c r="F98" s="100">
        <v>0.84</v>
      </c>
      <c r="G98" s="100">
        <v>95.24</v>
      </c>
      <c r="H98" s="100">
        <v>31.67</v>
      </c>
      <c r="I98" s="100">
        <v>11.12</v>
      </c>
      <c r="J98" s="100">
        <v>0.65</v>
      </c>
      <c r="K98" s="100">
        <v>55.32</v>
      </c>
      <c r="L98" s="100">
        <v>21.17</v>
      </c>
      <c r="M98" s="100">
        <v>62.3</v>
      </c>
      <c r="N98" s="100">
        <v>1.9</v>
      </c>
      <c r="O98" s="100">
        <v>0</v>
      </c>
      <c r="P98" s="100">
        <v>0.91</v>
      </c>
      <c r="Q98" s="100">
        <v>11.57</v>
      </c>
      <c r="R98" s="6"/>
      <c r="S98" s="6"/>
      <c r="T98" s="156"/>
      <c r="U98" s="6"/>
    </row>
    <row r="99" spans="1:28" customFormat="1">
      <c r="A99" s="163" t="s">
        <v>1769</v>
      </c>
      <c r="B99" s="100">
        <v>5.84</v>
      </c>
      <c r="C99" s="100">
        <v>31.93</v>
      </c>
      <c r="D99" s="100">
        <v>22.72</v>
      </c>
      <c r="E99" s="100">
        <v>8.25</v>
      </c>
      <c r="F99" s="100">
        <v>3.67</v>
      </c>
      <c r="G99" s="100">
        <v>93.83</v>
      </c>
      <c r="H99" s="100">
        <v>31.5</v>
      </c>
      <c r="I99" s="100">
        <v>11.05</v>
      </c>
      <c r="J99" s="100">
        <v>0.66</v>
      </c>
      <c r="K99" s="100">
        <v>42.51</v>
      </c>
      <c r="L99" s="100">
        <v>20.99</v>
      </c>
      <c r="M99" s="100">
        <v>62.45</v>
      </c>
      <c r="N99" s="100">
        <v>1.8</v>
      </c>
      <c r="O99" s="100">
        <v>0</v>
      </c>
      <c r="P99" s="100">
        <v>0.91</v>
      </c>
      <c r="Q99" s="100">
        <v>11.57</v>
      </c>
      <c r="R99" s="6"/>
      <c r="S99" s="6"/>
      <c r="T99" s="156"/>
      <c r="U99" s="6"/>
    </row>
    <row r="100" spans="1:28" customFormat="1">
      <c r="A100" s="163" t="s">
        <v>1770</v>
      </c>
      <c r="B100" s="100">
        <v>5.85</v>
      </c>
      <c r="C100" s="100">
        <v>31.66</v>
      </c>
      <c r="D100" s="100">
        <v>22.58</v>
      </c>
      <c r="E100" s="100">
        <v>8.3699999999999992</v>
      </c>
      <c r="F100" s="100">
        <v>1.48</v>
      </c>
      <c r="G100" s="100">
        <v>93.83</v>
      </c>
      <c r="H100" s="100">
        <v>31.5</v>
      </c>
      <c r="I100" s="100">
        <v>11</v>
      </c>
      <c r="J100" s="100">
        <v>0.56000000000000005</v>
      </c>
      <c r="K100" s="100">
        <v>38.83</v>
      </c>
      <c r="L100" s="100">
        <v>20.78</v>
      </c>
      <c r="M100" s="100">
        <v>61.87</v>
      </c>
      <c r="N100" s="100">
        <v>1.8</v>
      </c>
      <c r="O100" s="100">
        <v>0</v>
      </c>
      <c r="P100" s="100">
        <v>0.9</v>
      </c>
      <c r="Q100" s="100">
        <v>11.57</v>
      </c>
      <c r="R100" s="6"/>
      <c r="S100" s="6"/>
      <c r="T100" s="156"/>
      <c r="U100" s="6"/>
      <c r="AB100" s="161"/>
    </row>
    <row r="101" spans="1:28" customFormat="1">
      <c r="A101" s="163" t="s">
        <v>1771</v>
      </c>
      <c r="B101" s="100">
        <v>6.1</v>
      </c>
      <c r="C101" s="100">
        <v>31.13</v>
      </c>
      <c r="D101" s="100">
        <v>22.51</v>
      </c>
      <c r="E101" s="100">
        <v>8.07</v>
      </c>
      <c r="F101" s="100">
        <v>2.84</v>
      </c>
      <c r="G101" s="100">
        <v>93.83</v>
      </c>
      <c r="H101" s="100">
        <v>31.5</v>
      </c>
      <c r="I101" s="100">
        <v>10.91</v>
      </c>
      <c r="J101" s="100">
        <v>0.7</v>
      </c>
      <c r="K101" s="100">
        <v>52.78</v>
      </c>
      <c r="L101" s="100">
        <v>20.82</v>
      </c>
      <c r="M101" s="100">
        <v>57.14</v>
      </c>
      <c r="N101" s="100">
        <v>1.7</v>
      </c>
      <c r="O101" s="100">
        <v>0</v>
      </c>
      <c r="P101" s="100">
        <v>0.89</v>
      </c>
      <c r="Q101" s="100">
        <v>11.57</v>
      </c>
      <c r="R101" s="6"/>
      <c r="S101" s="6"/>
      <c r="T101" s="156"/>
      <c r="U101" s="6"/>
    </row>
    <row r="102" spans="1:28" customFormat="1">
      <c r="A102" s="163" t="s">
        <v>1772</v>
      </c>
      <c r="B102" s="100">
        <v>6.37</v>
      </c>
      <c r="C102" s="100">
        <v>30.63</v>
      </c>
      <c r="D102" s="100">
        <v>22.46</v>
      </c>
      <c r="E102" s="100">
        <v>8.39</v>
      </c>
      <c r="F102" s="100">
        <v>2.96</v>
      </c>
      <c r="G102" s="100">
        <v>93.59</v>
      </c>
      <c r="H102" s="100">
        <v>32.36</v>
      </c>
      <c r="I102" s="100">
        <v>10.86</v>
      </c>
      <c r="J102" s="100">
        <v>0.85</v>
      </c>
      <c r="K102" s="100">
        <v>53.82</v>
      </c>
      <c r="L102" s="100">
        <v>20.85</v>
      </c>
      <c r="M102" s="100">
        <v>53.67</v>
      </c>
      <c r="N102" s="100">
        <v>1.7</v>
      </c>
      <c r="O102" s="100">
        <v>0</v>
      </c>
      <c r="P102" s="100">
        <v>0.87</v>
      </c>
      <c r="Q102" s="100">
        <v>11.57</v>
      </c>
      <c r="R102" s="6"/>
      <c r="S102" s="6"/>
      <c r="T102" s="156"/>
      <c r="U102" s="6"/>
    </row>
    <row r="103" spans="1:28" customFormat="1">
      <c r="A103" s="163" t="s">
        <v>1773</v>
      </c>
      <c r="B103" s="100">
        <v>6.57</v>
      </c>
      <c r="C103" s="100">
        <v>30.15</v>
      </c>
      <c r="D103" s="100">
        <v>22.37</v>
      </c>
      <c r="E103" s="100">
        <v>8.7899999999999991</v>
      </c>
      <c r="F103" s="100">
        <v>0.99</v>
      </c>
      <c r="G103" s="100">
        <v>93.44</v>
      </c>
      <c r="H103" s="100">
        <v>32.549999999999997</v>
      </c>
      <c r="I103" s="100">
        <v>10.75</v>
      </c>
      <c r="J103" s="100">
        <v>0.64</v>
      </c>
      <c r="K103" s="100">
        <v>52.79</v>
      </c>
      <c r="L103" s="100">
        <v>20.68</v>
      </c>
      <c r="M103" s="100">
        <v>53.64</v>
      </c>
      <c r="N103" s="100">
        <v>2</v>
      </c>
      <c r="O103" s="100">
        <v>0</v>
      </c>
      <c r="P103" s="100">
        <v>0.86</v>
      </c>
      <c r="Q103" s="100">
        <v>11.57</v>
      </c>
      <c r="R103" s="6"/>
      <c r="S103" s="6"/>
      <c r="T103" s="156"/>
      <c r="U103" s="6"/>
    </row>
    <row r="104" spans="1:28" customFormat="1">
      <c r="A104" s="163" t="s">
        <v>1774</v>
      </c>
      <c r="B104" s="100">
        <v>6.94</v>
      </c>
      <c r="C104" s="100">
        <v>29.65</v>
      </c>
      <c r="D104" s="100">
        <v>22.41</v>
      </c>
      <c r="E104" s="100">
        <v>8.5399999999999991</v>
      </c>
      <c r="F104" s="100">
        <v>0.82</v>
      </c>
      <c r="G104" s="100">
        <v>93.44</v>
      </c>
      <c r="H104" s="100">
        <v>32.549999999999997</v>
      </c>
      <c r="I104" s="100">
        <v>10.69</v>
      </c>
      <c r="J104" s="100">
        <v>0.6</v>
      </c>
      <c r="K104" s="100">
        <v>59.08</v>
      </c>
      <c r="L104" s="100">
        <v>20.47</v>
      </c>
      <c r="M104" s="100">
        <v>54.58</v>
      </c>
      <c r="N104" s="100">
        <v>1.9</v>
      </c>
      <c r="O104" s="100">
        <v>0</v>
      </c>
      <c r="P104" s="100">
        <v>0.84</v>
      </c>
      <c r="Q104" s="100">
        <v>11.57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1.87</v>
      </c>
      <c r="C106" s="158">
        <f>MIN(C9:C104)</f>
        <v>12.82</v>
      </c>
      <c r="D106" s="158">
        <f t="shared" ref="D106:Q106" si="0">MIN(D9:D104)</f>
        <v>12.4</v>
      </c>
      <c r="E106" s="158">
        <f t="shared" si="0"/>
        <v>2.15</v>
      </c>
      <c r="F106" s="158">
        <f t="shared" si="0"/>
        <v>7.0000000000000007E-2</v>
      </c>
      <c r="G106" s="158">
        <f t="shared" si="0"/>
        <v>59.41</v>
      </c>
      <c r="H106" s="158">
        <f t="shared" si="0"/>
        <v>27.3</v>
      </c>
      <c r="I106" s="158">
        <f t="shared" si="0"/>
        <v>3.98</v>
      </c>
      <c r="J106" s="158">
        <f t="shared" si="0"/>
        <v>0.01</v>
      </c>
      <c r="K106" s="158">
        <f t="shared" si="0"/>
        <v>-0.05</v>
      </c>
      <c r="L106" s="158">
        <f t="shared" si="0"/>
        <v>15.97</v>
      </c>
      <c r="M106" s="158">
        <f t="shared" si="0"/>
        <v>28.38</v>
      </c>
      <c r="N106" s="158">
        <f t="shared" si="0"/>
        <v>1.3</v>
      </c>
      <c r="O106" s="158">
        <f t="shared" si="0"/>
        <v>0</v>
      </c>
      <c r="P106" s="158">
        <f t="shared" si="0"/>
        <v>0.14000000000000001</v>
      </c>
      <c r="Q106" s="158">
        <f t="shared" si="0"/>
        <v>11.57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40.99</v>
      </c>
      <c r="C107" s="157">
        <f t="shared" ref="C107:Q107" si="1">MAX(C9:C104)</f>
        <v>32.520000000000003</v>
      </c>
      <c r="D107" s="157">
        <f t="shared" si="1"/>
        <v>48.72</v>
      </c>
      <c r="E107" s="157">
        <f t="shared" si="1"/>
        <v>11.44</v>
      </c>
      <c r="F107" s="157">
        <f t="shared" si="1"/>
        <v>65.97</v>
      </c>
      <c r="G107" s="157">
        <f t="shared" si="1"/>
        <v>126.72</v>
      </c>
      <c r="H107" s="157">
        <f t="shared" si="1"/>
        <v>38.04</v>
      </c>
      <c r="I107" s="157">
        <f t="shared" si="1"/>
        <v>18.34</v>
      </c>
      <c r="J107" s="157">
        <f t="shared" si="1"/>
        <v>1.1299999999999999</v>
      </c>
      <c r="K107" s="157">
        <f t="shared" si="1"/>
        <v>354.31</v>
      </c>
      <c r="L107" s="157">
        <f t="shared" si="1"/>
        <v>28.15</v>
      </c>
      <c r="M107" s="157">
        <f t="shared" si="1"/>
        <v>89.45</v>
      </c>
      <c r="N107" s="157">
        <f t="shared" si="1"/>
        <v>391.8</v>
      </c>
      <c r="O107" s="157">
        <f t="shared" si="1"/>
        <v>0</v>
      </c>
      <c r="P107" s="157">
        <f t="shared" si="1"/>
        <v>1.32</v>
      </c>
      <c r="Q107" s="157">
        <f t="shared" si="1"/>
        <v>13.11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18.26163043478261</v>
      </c>
      <c r="C108" s="158">
        <f t="shared" ref="C108:Q108" si="2">AVERAGE(C9:C104)</f>
        <v>27.518804347826073</v>
      </c>
      <c r="D108" s="158">
        <f t="shared" si="2"/>
        <v>30.37391304347825</v>
      </c>
      <c r="E108" s="158">
        <f t="shared" si="2"/>
        <v>8.216413043478255</v>
      </c>
      <c r="F108" s="158">
        <f t="shared" si="2"/>
        <v>4.4249999999999998</v>
      </c>
      <c r="G108" s="158">
        <f t="shared" si="2"/>
        <v>100.08354838709678</v>
      </c>
      <c r="H108" s="158">
        <f t="shared" si="2"/>
        <v>33.544408602150519</v>
      </c>
      <c r="I108" s="158">
        <f t="shared" si="2"/>
        <v>13.694945054945057</v>
      </c>
      <c r="J108" s="158">
        <f t="shared" si="2"/>
        <v>0.4287096774193549</v>
      </c>
      <c r="K108" s="158">
        <f t="shared" si="2"/>
        <v>102.29365591397843</v>
      </c>
      <c r="L108" s="158">
        <f t="shared" si="2"/>
        <v>21.697849462365589</v>
      </c>
      <c r="M108" s="158">
        <f t="shared" si="2"/>
        <v>60.444086021505377</v>
      </c>
      <c r="N108" s="158">
        <f t="shared" si="2"/>
        <v>73.448387096774155</v>
      </c>
      <c r="O108" s="158">
        <f t="shared" si="2"/>
        <v>0</v>
      </c>
      <c r="P108" s="158">
        <f t="shared" si="2"/>
        <v>1.0119354838709678</v>
      </c>
      <c r="Q108" s="158">
        <f t="shared" si="2"/>
        <v>12.340000000000012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16.111094414922167</v>
      </c>
      <c r="C109" s="158">
        <f t="shared" ref="C109:Q109" si="3">STDEV(C9:C104)</f>
        <v>3.2309859150541946</v>
      </c>
      <c r="D109" s="158">
        <f t="shared" si="3"/>
        <v>12.568254877813205</v>
      </c>
      <c r="E109" s="158">
        <f t="shared" si="3"/>
        <v>3.3713409408732855</v>
      </c>
      <c r="F109" s="158">
        <f t="shared" si="3"/>
        <v>10.512858218015115</v>
      </c>
      <c r="G109" s="158">
        <f t="shared" si="3"/>
        <v>17.290697212610397</v>
      </c>
      <c r="H109" s="158">
        <f t="shared" si="3"/>
        <v>2.7936435856070583</v>
      </c>
      <c r="I109" s="158">
        <f t="shared" si="3"/>
        <v>3.4216387800864996</v>
      </c>
      <c r="J109" s="158">
        <f t="shared" si="3"/>
        <v>0.2913321196282152</v>
      </c>
      <c r="K109" s="158">
        <f t="shared" si="3"/>
        <v>84.112269962402891</v>
      </c>
      <c r="L109" s="158">
        <f t="shared" si="3"/>
        <v>4.1812619921092518</v>
      </c>
      <c r="M109" s="158">
        <f t="shared" si="3"/>
        <v>19.373377981841564</v>
      </c>
      <c r="N109" s="158">
        <f t="shared" si="3"/>
        <v>120.7612814181829</v>
      </c>
      <c r="O109" s="158">
        <f t="shared" si="3"/>
        <v>0</v>
      </c>
      <c r="P109" s="158">
        <f t="shared" si="3"/>
        <v>0.22946657455042446</v>
      </c>
      <c r="Q109" s="158">
        <f t="shared" si="3"/>
        <v>0.7495094692159967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COUNT(B9:B104)+4</f>
        <v>96</v>
      </c>
      <c r="C110" s="157">
        <f t="shared" ref="C110:F110" si="4">COUNT(C9:C104)+4</f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COUNT(G9:G104)+3</f>
        <v>96</v>
      </c>
      <c r="H110" s="157">
        <f t="shared" ref="H110:P110" si="5">COUNT(H9:H104)+3</f>
        <v>96</v>
      </c>
      <c r="I110" s="157">
        <f>COUNT(I9:I104)+5</f>
        <v>96</v>
      </c>
      <c r="J110" s="157">
        <f t="shared" si="5"/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>COUNT(Q9:Q104)+5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Q9" sqref="Q9:Q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17/01/2025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1775</v>
      </c>
      <c r="B9" s="100">
        <v>9.67</v>
      </c>
      <c r="C9" s="100">
        <v>29.13</v>
      </c>
      <c r="D9" s="100">
        <v>24.33</v>
      </c>
      <c r="E9" s="100">
        <v>8.0299999999999994</v>
      </c>
      <c r="F9" s="100">
        <v>1.64</v>
      </c>
      <c r="G9" s="100">
        <v>93.44</v>
      </c>
      <c r="H9" s="100">
        <v>32.549999999999997</v>
      </c>
      <c r="I9" s="100">
        <v>10.25</v>
      </c>
      <c r="J9" s="100">
        <v>0.73</v>
      </c>
      <c r="K9" s="100">
        <v>51.85</v>
      </c>
      <c r="L9" s="100">
        <v>20.329999999999998</v>
      </c>
      <c r="M9" s="100">
        <v>53.62</v>
      </c>
      <c r="N9" s="100">
        <v>1.8</v>
      </c>
      <c r="O9" s="100">
        <v>0</v>
      </c>
      <c r="P9" s="100">
        <v>0.84</v>
      </c>
      <c r="Q9" s="100">
        <v>12.54</v>
      </c>
      <c r="R9" s="6"/>
      <c r="S9" s="6"/>
      <c r="T9" s="156"/>
      <c r="U9" s="6"/>
    </row>
    <row r="10" spans="1:21" customFormat="1">
      <c r="A10" s="163" t="s">
        <v>1776</v>
      </c>
      <c r="B10" s="100">
        <v>9.8800000000000008</v>
      </c>
      <c r="C10" s="100">
        <v>28.92</v>
      </c>
      <c r="D10" s="100">
        <v>24.38</v>
      </c>
      <c r="E10" s="100">
        <v>8.42</v>
      </c>
      <c r="F10" s="100">
        <v>1.36</v>
      </c>
      <c r="G10" s="100">
        <v>84.8</v>
      </c>
      <c r="H10" s="100">
        <v>28.31</v>
      </c>
      <c r="I10" s="100">
        <v>10.119999999999999</v>
      </c>
      <c r="J10" s="100">
        <v>0.78</v>
      </c>
      <c r="K10" s="100">
        <v>54.37</v>
      </c>
      <c r="L10" s="100">
        <v>20.22</v>
      </c>
      <c r="M10" s="100">
        <v>53.41</v>
      </c>
      <c r="N10" s="100">
        <v>1.8</v>
      </c>
      <c r="O10" s="100">
        <v>0</v>
      </c>
      <c r="P10" s="100">
        <v>0.82</v>
      </c>
      <c r="Q10" s="100">
        <v>12.54</v>
      </c>
      <c r="R10" s="6"/>
      <c r="S10" s="6"/>
      <c r="T10" s="156"/>
      <c r="U10" s="6"/>
    </row>
    <row r="11" spans="1:21" customFormat="1">
      <c r="A11" s="163" t="s">
        <v>1777</v>
      </c>
      <c r="B11" s="100">
        <v>10.119999999999999</v>
      </c>
      <c r="C11" s="100">
        <v>28.71</v>
      </c>
      <c r="D11" s="100">
        <v>24.47</v>
      </c>
      <c r="E11" s="100">
        <v>8.9499999999999993</v>
      </c>
      <c r="F11" s="100">
        <v>1.72</v>
      </c>
      <c r="G11" s="100">
        <v>79.55</v>
      </c>
      <c r="H11" s="100">
        <v>27.46</v>
      </c>
      <c r="I11" s="100">
        <v>9.9700000000000006</v>
      </c>
      <c r="J11" s="100">
        <v>0.71</v>
      </c>
      <c r="K11" s="100">
        <v>49.32</v>
      </c>
      <c r="L11" s="100">
        <v>20.100000000000001</v>
      </c>
      <c r="M11" s="100">
        <v>53.9</v>
      </c>
      <c r="N11" s="100">
        <v>1.9</v>
      </c>
      <c r="O11" s="100">
        <v>0</v>
      </c>
      <c r="P11" s="100">
        <v>0.81</v>
      </c>
      <c r="Q11" s="100">
        <v>12.54</v>
      </c>
      <c r="R11" s="6"/>
      <c r="S11" s="6"/>
      <c r="T11" s="156"/>
      <c r="U11" s="6"/>
    </row>
    <row r="12" spans="1:21" customFormat="1">
      <c r="A12" s="163" t="s">
        <v>1778</v>
      </c>
      <c r="B12" s="100">
        <v>10.18</v>
      </c>
      <c r="C12" s="100">
        <v>28.28</v>
      </c>
      <c r="D12" s="100">
        <v>24.29</v>
      </c>
      <c r="E12" s="100">
        <v>8.32</v>
      </c>
      <c r="F12" s="100">
        <v>2.94</v>
      </c>
      <c r="G12" s="100">
        <v>79.55</v>
      </c>
      <c r="H12" s="100">
        <v>27.46</v>
      </c>
      <c r="I12" s="100">
        <v>9.82</v>
      </c>
      <c r="J12" s="100">
        <v>0.53</v>
      </c>
      <c r="K12" s="100">
        <v>52.68</v>
      </c>
      <c r="L12" s="100">
        <v>19.940000000000001</v>
      </c>
      <c r="M12" s="100">
        <v>54.95</v>
      </c>
      <c r="N12" s="100">
        <v>2</v>
      </c>
      <c r="O12" s="100">
        <v>0</v>
      </c>
      <c r="P12" s="100">
        <v>0.8</v>
      </c>
      <c r="Q12" s="100">
        <v>12.54</v>
      </c>
      <c r="R12" s="6"/>
      <c r="S12" s="6"/>
      <c r="T12" s="156"/>
      <c r="U12" s="6"/>
    </row>
    <row r="13" spans="1:21" customFormat="1">
      <c r="A13" s="163" t="s">
        <v>1779</v>
      </c>
      <c r="B13" s="100">
        <v>10.29</v>
      </c>
      <c r="C13" s="100">
        <v>27.94</v>
      </c>
      <c r="D13" s="100">
        <v>24.2</v>
      </c>
      <c r="E13" s="100">
        <v>8.01</v>
      </c>
      <c r="F13" s="100">
        <v>3.2</v>
      </c>
      <c r="G13" s="100">
        <v>79.55</v>
      </c>
      <c r="H13" s="100">
        <v>27.46</v>
      </c>
      <c r="I13" s="100">
        <v>9.69</v>
      </c>
      <c r="J13" s="100">
        <v>0.59</v>
      </c>
      <c r="K13" s="100">
        <v>53.48</v>
      </c>
      <c r="L13" s="100">
        <v>19.75</v>
      </c>
      <c r="M13" s="100">
        <v>55.76</v>
      </c>
      <c r="N13" s="100">
        <v>1.8</v>
      </c>
      <c r="O13" s="100">
        <v>0</v>
      </c>
      <c r="P13" s="100">
        <v>0.79</v>
      </c>
      <c r="Q13" s="100">
        <v>12.54</v>
      </c>
      <c r="R13" s="6"/>
      <c r="S13" s="6"/>
      <c r="T13" s="156"/>
      <c r="U13" s="6"/>
    </row>
    <row r="14" spans="1:21" customFormat="1">
      <c r="A14" s="163" t="s">
        <v>1780</v>
      </c>
      <c r="B14" s="100">
        <v>10.33</v>
      </c>
      <c r="C14" s="100">
        <v>27.42</v>
      </c>
      <c r="D14" s="100">
        <v>23.97</v>
      </c>
      <c r="E14" s="100">
        <v>8.0299999999999994</v>
      </c>
      <c r="F14" s="100">
        <v>2.16</v>
      </c>
      <c r="G14" s="100">
        <v>72.540000000000006</v>
      </c>
      <c r="H14" s="100">
        <v>25.22</v>
      </c>
      <c r="I14" s="100">
        <v>9.6</v>
      </c>
      <c r="J14" s="100">
        <v>0.67</v>
      </c>
      <c r="K14" s="100">
        <v>54.02</v>
      </c>
      <c r="L14" s="100">
        <v>19.68</v>
      </c>
      <c r="M14" s="100">
        <v>55.57</v>
      </c>
      <c r="N14" s="100">
        <v>1.7</v>
      </c>
      <c r="O14" s="100">
        <v>0</v>
      </c>
      <c r="P14" s="100">
        <v>0.78</v>
      </c>
      <c r="Q14" s="100">
        <v>12.54</v>
      </c>
      <c r="R14" s="6"/>
      <c r="S14" s="6"/>
      <c r="T14" s="156"/>
      <c r="U14" s="6"/>
    </row>
    <row r="15" spans="1:21" customFormat="1">
      <c r="A15" s="163" t="s">
        <v>1781</v>
      </c>
      <c r="B15" s="100">
        <v>10.36</v>
      </c>
      <c r="C15" s="100">
        <v>27.08</v>
      </c>
      <c r="D15" s="100">
        <v>23.81</v>
      </c>
      <c r="E15" s="100">
        <v>8.6999999999999993</v>
      </c>
      <c r="F15" s="100">
        <v>1.27</v>
      </c>
      <c r="G15" s="100">
        <v>68.28</v>
      </c>
      <c r="H15" s="100">
        <v>24.74</v>
      </c>
      <c r="I15" s="100">
        <v>9.43</v>
      </c>
      <c r="J15" s="100">
        <v>0.67</v>
      </c>
      <c r="K15" s="100">
        <v>53.05</v>
      </c>
      <c r="L15" s="100">
        <v>19.61</v>
      </c>
      <c r="M15" s="100">
        <v>55.2</v>
      </c>
      <c r="N15" s="100">
        <v>1.7</v>
      </c>
      <c r="O15" s="100">
        <v>0</v>
      </c>
      <c r="P15" s="100">
        <v>0.76</v>
      </c>
      <c r="Q15" s="100">
        <v>12.54</v>
      </c>
      <c r="R15" s="6"/>
      <c r="S15" s="6"/>
      <c r="T15" s="156"/>
      <c r="U15" s="6"/>
    </row>
    <row r="16" spans="1:21" customFormat="1">
      <c r="A16" s="163" t="s">
        <v>1782</v>
      </c>
      <c r="B16" s="100">
        <v>10.39</v>
      </c>
      <c r="C16" s="100">
        <v>26.94</v>
      </c>
      <c r="D16" s="100">
        <v>23.76</v>
      </c>
      <c r="E16" s="100">
        <v>8.1999999999999993</v>
      </c>
      <c r="F16" s="100">
        <v>7.57</v>
      </c>
      <c r="G16" s="100">
        <v>68.28</v>
      </c>
      <c r="H16" s="100">
        <v>24.74</v>
      </c>
      <c r="I16" s="100">
        <v>9.32</v>
      </c>
      <c r="J16" s="100">
        <v>0.6</v>
      </c>
      <c r="K16" s="100">
        <v>54.45</v>
      </c>
      <c r="L16" s="100">
        <v>19.54</v>
      </c>
      <c r="M16" s="100">
        <v>55.09</v>
      </c>
      <c r="N16" s="100">
        <v>1.7</v>
      </c>
      <c r="O16" s="100">
        <v>0</v>
      </c>
      <c r="P16" s="100">
        <v>0.76</v>
      </c>
      <c r="Q16" s="100">
        <v>12.54</v>
      </c>
      <c r="R16" s="6"/>
      <c r="S16" s="6"/>
      <c r="T16" s="156"/>
      <c r="U16" s="6"/>
    </row>
    <row r="17" spans="1:21" customFormat="1">
      <c r="A17" s="163" t="s">
        <v>1783</v>
      </c>
      <c r="B17" s="100">
        <v>10.5</v>
      </c>
      <c r="C17" s="100">
        <v>26.81</v>
      </c>
      <c r="D17" s="100">
        <v>23.78</v>
      </c>
      <c r="E17" s="100">
        <v>8.16</v>
      </c>
      <c r="F17" s="100">
        <v>6.32</v>
      </c>
      <c r="G17" s="100">
        <v>68.28</v>
      </c>
      <c r="H17" s="100">
        <v>24.74</v>
      </c>
      <c r="I17" s="100">
        <v>9.18</v>
      </c>
      <c r="J17" s="100">
        <v>0.36</v>
      </c>
      <c r="K17" s="100">
        <v>61.27</v>
      </c>
      <c r="L17" s="100">
        <v>19.36</v>
      </c>
      <c r="M17" s="100">
        <v>55.97</v>
      </c>
      <c r="N17" s="100">
        <v>1.8</v>
      </c>
      <c r="O17" s="100">
        <v>0</v>
      </c>
      <c r="P17" s="100">
        <v>0.75</v>
      </c>
      <c r="Q17" s="100">
        <v>12.54</v>
      </c>
      <c r="R17" s="6"/>
      <c r="S17" s="6"/>
      <c r="T17" s="156"/>
      <c r="U17" s="6"/>
    </row>
    <row r="18" spans="1:21" customFormat="1">
      <c r="A18" s="163" t="s">
        <v>1784</v>
      </c>
      <c r="B18" s="100">
        <v>10.52</v>
      </c>
      <c r="C18" s="100">
        <v>26.63</v>
      </c>
      <c r="D18" s="100">
        <v>23.7</v>
      </c>
      <c r="E18" s="100">
        <v>10.17</v>
      </c>
      <c r="F18" s="100">
        <v>6.46</v>
      </c>
      <c r="G18" s="100">
        <v>66.97</v>
      </c>
      <c r="H18" s="100">
        <v>25.56</v>
      </c>
      <c r="I18" s="100">
        <v>9.08</v>
      </c>
      <c r="J18" s="100">
        <v>0.32</v>
      </c>
      <c r="K18" s="100">
        <v>70.28</v>
      </c>
      <c r="L18" s="100">
        <v>19.28</v>
      </c>
      <c r="M18" s="100">
        <v>56.44</v>
      </c>
      <c r="N18" s="100">
        <v>1.7</v>
      </c>
      <c r="O18" s="100">
        <v>0</v>
      </c>
      <c r="P18" s="100">
        <v>0.75</v>
      </c>
      <c r="Q18" s="100">
        <v>12.54</v>
      </c>
      <c r="R18" s="6"/>
      <c r="S18" s="6"/>
      <c r="T18" s="156"/>
      <c r="U18" s="6"/>
    </row>
    <row r="19" spans="1:21" customFormat="1">
      <c r="A19" s="163" t="s">
        <v>1785</v>
      </c>
      <c r="B19" s="100">
        <v>10.52</v>
      </c>
      <c r="C19" s="100">
        <v>26.41</v>
      </c>
      <c r="D19" s="100">
        <v>23.59</v>
      </c>
      <c r="E19" s="100">
        <v>10.28</v>
      </c>
      <c r="F19" s="100">
        <v>8.75</v>
      </c>
      <c r="G19" s="100">
        <v>66.180000000000007</v>
      </c>
      <c r="H19" s="100">
        <v>25.88</v>
      </c>
      <c r="I19" s="100">
        <v>8.94</v>
      </c>
      <c r="J19" s="100">
        <v>0.6</v>
      </c>
      <c r="K19" s="100">
        <v>56.33</v>
      </c>
      <c r="L19" s="100">
        <v>19.100000000000001</v>
      </c>
      <c r="M19" s="100">
        <v>57.03</v>
      </c>
      <c r="N19" s="100">
        <v>1.7</v>
      </c>
      <c r="O19" s="100">
        <v>0</v>
      </c>
      <c r="P19" s="100">
        <v>0.73</v>
      </c>
      <c r="Q19" s="100">
        <v>12.54</v>
      </c>
      <c r="R19" s="6"/>
      <c r="S19" s="6"/>
      <c r="T19" s="156"/>
      <c r="U19" s="6"/>
    </row>
    <row r="20" spans="1:21" customFormat="1">
      <c r="A20" s="163" t="s">
        <v>1786</v>
      </c>
      <c r="B20" s="100">
        <v>10.6</v>
      </c>
      <c r="C20" s="100">
        <v>26.07</v>
      </c>
      <c r="D20" s="100">
        <v>23.47</v>
      </c>
      <c r="E20" s="100">
        <v>10.18</v>
      </c>
      <c r="F20" s="100">
        <v>4.8899999999999997</v>
      </c>
      <c r="G20" s="100">
        <v>66.180000000000007</v>
      </c>
      <c r="H20" s="100">
        <v>25.88</v>
      </c>
      <c r="I20" s="100">
        <v>8.84</v>
      </c>
      <c r="J20" s="100">
        <v>0.51</v>
      </c>
      <c r="K20" s="100">
        <v>47.12</v>
      </c>
      <c r="L20" s="100">
        <v>18.989999999999998</v>
      </c>
      <c r="M20" s="100">
        <v>57.55</v>
      </c>
      <c r="N20" s="100">
        <v>1.7</v>
      </c>
      <c r="O20" s="100">
        <v>0</v>
      </c>
      <c r="P20" s="100">
        <v>0.72</v>
      </c>
      <c r="Q20" s="100">
        <v>12.54</v>
      </c>
      <c r="R20" s="6"/>
      <c r="S20" s="6"/>
      <c r="T20" s="156"/>
      <c r="U20" s="6"/>
    </row>
    <row r="21" spans="1:21" customFormat="1">
      <c r="A21" s="163" t="s">
        <v>1787</v>
      </c>
      <c r="B21" s="100">
        <v>10.63</v>
      </c>
      <c r="C21" s="100">
        <v>25.99</v>
      </c>
      <c r="D21" s="100">
        <v>23.45</v>
      </c>
      <c r="E21" s="100">
        <v>10.51</v>
      </c>
      <c r="F21" s="100">
        <v>1.83</v>
      </c>
      <c r="G21" s="100">
        <v>66.180000000000007</v>
      </c>
      <c r="H21" s="100">
        <v>25.88</v>
      </c>
      <c r="I21" s="100">
        <v>8.76</v>
      </c>
      <c r="J21" s="100">
        <v>0.49</v>
      </c>
      <c r="K21" s="100">
        <v>58.84</v>
      </c>
      <c r="L21" s="100">
        <v>18.760000000000002</v>
      </c>
      <c r="M21" s="100">
        <v>58.28</v>
      </c>
      <c r="N21" s="100">
        <v>1.7</v>
      </c>
      <c r="O21" s="100">
        <v>0</v>
      </c>
      <c r="P21" s="100">
        <v>0.71</v>
      </c>
      <c r="Q21" s="100">
        <v>12.54</v>
      </c>
      <c r="R21" s="6"/>
      <c r="S21" s="6"/>
      <c r="T21" s="156"/>
      <c r="U21" s="6"/>
    </row>
    <row r="22" spans="1:21" customFormat="1">
      <c r="A22" s="163" t="s">
        <v>1788</v>
      </c>
      <c r="B22" s="100">
        <v>10.76</v>
      </c>
      <c r="C22" s="100">
        <v>26.03</v>
      </c>
      <c r="D22" s="100">
        <v>23.58</v>
      </c>
      <c r="E22" s="100">
        <v>10.3</v>
      </c>
      <c r="F22" s="100">
        <v>3.78</v>
      </c>
      <c r="G22" s="100">
        <v>63.85</v>
      </c>
      <c r="H22" s="100">
        <v>20.09</v>
      </c>
      <c r="I22" s="100">
        <v>8.68</v>
      </c>
      <c r="J22" s="100">
        <v>0.56000000000000005</v>
      </c>
      <c r="K22" s="100">
        <v>48.72</v>
      </c>
      <c r="L22" s="100">
        <v>18.63</v>
      </c>
      <c r="M22" s="100">
        <v>58.22</v>
      </c>
      <c r="N22" s="100">
        <v>1.7</v>
      </c>
      <c r="O22" s="100">
        <v>0</v>
      </c>
      <c r="P22" s="100">
        <v>0.71</v>
      </c>
      <c r="Q22" s="100">
        <v>12.54</v>
      </c>
      <c r="R22" s="6"/>
      <c r="S22" s="6"/>
      <c r="T22" s="156"/>
      <c r="U22" s="6"/>
    </row>
    <row r="23" spans="1:21" customFormat="1">
      <c r="A23" s="163" t="s">
        <v>1789</v>
      </c>
      <c r="B23" s="100">
        <v>10.91</v>
      </c>
      <c r="C23" s="100">
        <v>25.69</v>
      </c>
      <c r="D23" s="100">
        <v>23.52</v>
      </c>
      <c r="E23" s="100">
        <v>10.07</v>
      </c>
      <c r="F23" s="100">
        <v>5.26</v>
      </c>
      <c r="G23" s="100">
        <v>62.44</v>
      </c>
      <c r="H23" s="100">
        <v>18.829999999999998</v>
      </c>
      <c r="I23" s="100">
        <v>8.59</v>
      </c>
      <c r="J23" s="100">
        <v>0.66</v>
      </c>
      <c r="K23" s="100">
        <v>54.33</v>
      </c>
      <c r="L23" s="100">
        <v>18.559999999999999</v>
      </c>
      <c r="M23" s="100">
        <v>58.07</v>
      </c>
      <c r="N23" s="100">
        <v>1.7</v>
      </c>
      <c r="O23" s="100">
        <v>0</v>
      </c>
      <c r="P23" s="100">
        <v>0.71</v>
      </c>
      <c r="Q23" s="100">
        <v>12.54</v>
      </c>
      <c r="R23" s="6"/>
      <c r="S23" s="6"/>
      <c r="T23" s="156"/>
      <c r="U23" s="6"/>
    </row>
    <row r="24" spans="1:21" customFormat="1">
      <c r="A24" s="163" t="s">
        <v>1790</v>
      </c>
      <c r="B24" s="100">
        <v>10.74</v>
      </c>
      <c r="C24" s="100">
        <v>25.43</v>
      </c>
      <c r="D24" s="100">
        <v>23.25</v>
      </c>
      <c r="E24" s="100">
        <v>9.6300000000000008</v>
      </c>
      <c r="F24" s="100">
        <v>7.26</v>
      </c>
      <c r="G24" s="100">
        <v>62.44</v>
      </c>
      <c r="H24" s="100">
        <v>18.829999999999998</v>
      </c>
      <c r="I24" s="100">
        <v>8.5500000000000007</v>
      </c>
      <c r="J24" s="100">
        <v>0.61</v>
      </c>
      <c r="K24" s="100">
        <v>47.75</v>
      </c>
      <c r="L24" s="100">
        <v>18.43</v>
      </c>
      <c r="M24" s="100">
        <v>58.86</v>
      </c>
      <c r="N24" s="100">
        <v>1.7</v>
      </c>
      <c r="O24" s="100">
        <v>0</v>
      </c>
      <c r="P24" s="100">
        <v>0.7</v>
      </c>
      <c r="Q24" s="100">
        <v>12.54</v>
      </c>
      <c r="R24" s="6"/>
      <c r="S24" s="6"/>
      <c r="T24" s="156"/>
      <c r="U24" s="6"/>
    </row>
    <row r="25" spans="1:21" customFormat="1">
      <c r="A25" s="163" t="s">
        <v>1791</v>
      </c>
      <c r="B25" s="100">
        <v>10.55</v>
      </c>
      <c r="C25" s="100">
        <v>25.31</v>
      </c>
      <c r="D25" s="100">
        <v>23.04</v>
      </c>
      <c r="E25" s="100">
        <v>9.33</v>
      </c>
      <c r="F25" s="100">
        <v>3.75</v>
      </c>
      <c r="G25" s="100">
        <v>62.44</v>
      </c>
      <c r="H25" s="100">
        <v>18.829999999999998</v>
      </c>
      <c r="I25" s="100">
        <v>8.3800000000000008</v>
      </c>
      <c r="J25" s="100">
        <v>0.74</v>
      </c>
      <c r="K25" s="100">
        <v>48.36</v>
      </c>
      <c r="L25" s="100">
        <v>18.32</v>
      </c>
      <c r="M25" s="100">
        <v>59.1</v>
      </c>
      <c r="N25" s="100">
        <v>1.7</v>
      </c>
      <c r="O25" s="100">
        <v>0</v>
      </c>
      <c r="P25" s="100">
        <v>0.68</v>
      </c>
      <c r="Q25" s="100">
        <v>12.54</v>
      </c>
      <c r="R25" s="6"/>
      <c r="S25" s="6"/>
      <c r="T25" s="156"/>
      <c r="U25" s="6"/>
    </row>
    <row r="26" spans="1:21" customFormat="1">
      <c r="A26" s="163" t="s">
        <v>1792</v>
      </c>
      <c r="B26" s="100">
        <v>10.38</v>
      </c>
      <c r="C26" s="100">
        <v>24.97</v>
      </c>
      <c r="D26" s="100">
        <v>22.72</v>
      </c>
      <c r="E26" s="100">
        <v>9.98</v>
      </c>
      <c r="F26" s="100">
        <v>3.51</v>
      </c>
      <c r="G26" s="100">
        <v>60.5</v>
      </c>
      <c r="H26" s="100">
        <v>20.76</v>
      </c>
      <c r="I26" s="100">
        <v>8.2899999999999991</v>
      </c>
      <c r="J26" s="100">
        <v>0.63</v>
      </c>
      <c r="K26" s="100">
        <v>43.2</v>
      </c>
      <c r="L26" s="100">
        <v>18.18</v>
      </c>
      <c r="M26" s="100">
        <v>59.94</v>
      </c>
      <c r="N26" s="100">
        <v>1.7</v>
      </c>
      <c r="O26" s="100">
        <v>0</v>
      </c>
      <c r="P26" s="100">
        <v>0.68</v>
      </c>
      <c r="Q26" s="100">
        <v>12.54</v>
      </c>
      <c r="R26" s="6"/>
      <c r="S26" s="6"/>
      <c r="T26" s="156"/>
      <c r="U26" s="6"/>
    </row>
    <row r="27" spans="1:21" customFormat="1">
      <c r="A27" s="163" t="s">
        <v>1793</v>
      </c>
      <c r="B27" s="100">
        <v>10.050000000000001</v>
      </c>
      <c r="C27" s="100">
        <v>24.89</v>
      </c>
      <c r="D27" s="100">
        <v>22.42</v>
      </c>
      <c r="E27" s="100">
        <v>9.41</v>
      </c>
      <c r="F27" s="100">
        <v>0.86</v>
      </c>
      <c r="G27" s="100">
        <v>59.33</v>
      </c>
      <c r="H27" s="100">
        <v>21.18</v>
      </c>
      <c r="I27" s="100">
        <v>8.17</v>
      </c>
      <c r="J27" s="100">
        <v>0.53</v>
      </c>
      <c r="K27" s="100">
        <v>54.02</v>
      </c>
      <c r="L27" s="100">
        <v>18.149999999999999</v>
      </c>
      <c r="M27" s="100">
        <v>60.48</v>
      </c>
      <c r="N27" s="100">
        <v>1.8</v>
      </c>
      <c r="O27" s="100">
        <v>0</v>
      </c>
      <c r="P27" s="100">
        <v>0.66</v>
      </c>
      <c r="Q27" s="100">
        <v>12.54</v>
      </c>
      <c r="R27" s="6"/>
      <c r="S27" s="6"/>
      <c r="T27" s="156"/>
      <c r="U27" s="6"/>
    </row>
    <row r="28" spans="1:21" customFormat="1">
      <c r="A28" s="163" t="s">
        <v>1794</v>
      </c>
      <c r="B28" s="100">
        <v>10.029999999999999</v>
      </c>
      <c r="C28" s="100">
        <v>24.73</v>
      </c>
      <c r="D28" s="100">
        <v>22.31</v>
      </c>
      <c r="E28" s="100">
        <v>9.14</v>
      </c>
      <c r="F28" s="100">
        <v>2.33</v>
      </c>
      <c r="G28" s="100">
        <v>59.33</v>
      </c>
      <c r="H28" s="100">
        <v>21.18</v>
      </c>
      <c r="I28" s="100">
        <v>8.23</v>
      </c>
      <c r="J28" s="100">
        <v>0.49</v>
      </c>
      <c r="K28" s="100">
        <v>47.5</v>
      </c>
      <c r="L28" s="100">
        <v>18.079999999999998</v>
      </c>
      <c r="M28" s="100">
        <v>61.05</v>
      </c>
      <c r="N28" s="100">
        <v>1.7</v>
      </c>
      <c r="O28" s="100">
        <v>0</v>
      </c>
      <c r="P28" s="100">
        <v>0.66</v>
      </c>
      <c r="Q28" s="100">
        <v>12.54</v>
      </c>
      <c r="R28" s="6"/>
      <c r="S28" s="6"/>
      <c r="T28" s="156"/>
      <c r="U28" s="6"/>
    </row>
    <row r="29" spans="1:21" customFormat="1">
      <c r="A29" s="163" t="s">
        <v>1795</v>
      </c>
      <c r="B29" s="100">
        <v>10.36</v>
      </c>
      <c r="C29" s="100">
        <v>24.93</v>
      </c>
      <c r="D29" s="100">
        <v>22.68</v>
      </c>
      <c r="E29" s="100">
        <v>9.1</v>
      </c>
      <c r="F29" s="100">
        <v>2.68</v>
      </c>
      <c r="G29" s="100">
        <v>59.33</v>
      </c>
      <c r="H29" s="100">
        <v>21.18</v>
      </c>
      <c r="I29" s="100">
        <v>7.99</v>
      </c>
      <c r="J29" s="100">
        <v>0.52</v>
      </c>
      <c r="K29" s="100">
        <v>45.69</v>
      </c>
      <c r="L29" s="100">
        <v>17.96</v>
      </c>
      <c r="M29" s="100">
        <v>61.79</v>
      </c>
      <c r="N29" s="100">
        <v>1.7</v>
      </c>
      <c r="O29" s="100">
        <v>0</v>
      </c>
      <c r="P29" s="100">
        <v>0.65</v>
      </c>
      <c r="Q29" s="100">
        <v>12.54</v>
      </c>
      <c r="R29" s="6"/>
      <c r="S29" s="6"/>
      <c r="T29" s="156"/>
      <c r="U29" s="6"/>
    </row>
    <row r="30" spans="1:21" customFormat="1">
      <c r="A30" s="163" t="s">
        <v>1796</v>
      </c>
      <c r="B30" s="100">
        <v>10.7</v>
      </c>
      <c r="C30" s="100">
        <v>25.14</v>
      </c>
      <c r="D30" s="100">
        <v>23.07</v>
      </c>
      <c r="E30" s="100">
        <v>9.56</v>
      </c>
      <c r="F30" s="100">
        <v>3.68</v>
      </c>
      <c r="G30" s="100">
        <v>61.13</v>
      </c>
      <c r="H30" s="100">
        <v>20.49</v>
      </c>
      <c r="I30" s="100">
        <v>8.0299999999999994</v>
      </c>
      <c r="J30" s="100">
        <v>0.48</v>
      </c>
      <c r="K30" s="100">
        <v>45.22</v>
      </c>
      <c r="L30" s="100">
        <v>17.78</v>
      </c>
      <c r="M30" s="100">
        <v>62.18</v>
      </c>
      <c r="N30" s="100">
        <v>1.7</v>
      </c>
      <c r="O30" s="100">
        <v>0</v>
      </c>
      <c r="P30" s="100">
        <v>0.64</v>
      </c>
      <c r="Q30" s="100">
        <v>12.54</v>
      </c>
      <c r="R30" s="6"/>
      <c r="S30" s="6"/>
      <c r="T30" s="156"/>
      <c r="U30" s="6"/>
    </row>
    <row r="31" spans="1:21" customFormat="1">
      <c r="A31" s="163" t="s">
        <v>1797</v>
      </c>
      <c r="B31" s="100">
        <v>10.86</v>
      </c>
      <c r="C31" s="100">
        <v>24.92</v>
      </c>
      <c r="D31" s="100">
        <v>23.08</v>
      </c>
      <c r="E31" s="100">
        <v>8.98</v>
      </c>
      <c r="F31" s="100">
        <v>0.77</v>
      </c>
      <c r="G31" s="100">
        <v>62.23</v>
      </c>
      <c r="H31" s="100">
        <v>20.34</v>
      </c>
      <c r="I31" s="100">
        <v>8</v>
      </c>
      <c r="J31" s="100">
        <v>0.56000000000000005</v>
      </c>
      <c r="K31" s="100">
        <v>43.21</v>
      </c>
      <c r="L31" s="100">
        <v>17.62</v>
      </c>
      <c r="M31" s="100">
        <v>62.68</v>
      </c>
      <c r="N31" s="100">
        <v>1.6</v>
      </c>
      <c r="O31" s="100">
        <v>0</v>
      </c>
      <c r="P31" s="100">
        <v>0.64</v>
      </c>
      <c r="Q31" s="100">
        <v>12.54</v>
      </c>
      <c r="R31" s="6"/>
      <c r="S31" s="6"/>
      <c r="T31" s="156"/>
      <c r="U31" s="6"/>
    </row>
    <row r="32" spans="1:21" customFormat="1">
      <c r="A32" s="163" t="s">
        <v>1798</v>
      </c>
      <c r="B32" s="100">
        <v>10.79</v>
      </c>
      <c r="C32" s="100">
        <v>24.7</v>
      </c>
      <c r="D32" s="100">
        <v>22.91</v>
      </c>
      <c r="E32" s="100">
        <v>9.26</v>
      </c>
      <c r="F32" s="100">
        <v>1.46</v>
      </c>
      <c r="G32" s="100">
        <v>62.23</v>
      </c>
      <c r="H32" s="100">
        <v>20.34</v>
      </c>
      <c r="I32" s="100">
        <v>7.98</v>
      </c>
      <c r="J32" s="100">
        <v>0.49</v>
      </c>
      <c r="K32" s="100">
        <v>52.3</v>
      </c>
      <c r="L32" s="100">
        <v>17.46</v>
      </c>
      <c r="M32" s="100">
        <v>63.28</v>
      </c>
      <c r="N32" s="100">
        <v>1.7</v>
      </c>
      <c r="O32" s="100">
        <v>0</v>
      </c>
      <c r="P32" s="100">
        <v>0.64</v>
      </c>
      <c r="Q32" s="100">
        <v>12.54</v>
      </c>
      <c r="R32" s="6"/>
      <c r="S32" s="6"/>
      <c r="T32" s="156"/>
      <c r="U32" s="6"/>
    </row>
    <row r="33" spans="1:21" customFormat="1">
      <c r="A33" s="163" t="s">
        <v>1799</v>
      </c>
      <c r="B33" s="100">
        <v>10.68</v>
      </c>
      <c r="C33" s="100">
        <v>24.6</v>
      </c>
      <c r="D33" s="100">
        <v>22.77</v>
      </c>
      <c r="E33" s="100">
        <v>9.07</v>
      </c>
      <c r="F33" s="100">
        <v>3.85</v>
      </c>
      <c r="G33" s="100">
        <v>62.23</v>
      </c>
      <c r="H33" s="100">
        <v>20.34</v>
      </c>
      <c r="I33" s="100">
        <v>7.94</v>
      </c>
      <c r="J33" s="100">
        <v>0.41</v>
      </c>
      <c r="K33" s="100">
        <v>53.04</v>
      </c>
      <c r="L33" s="100">
        <v>17.34</v>
      </c>
      <c r="M33" s="100">
        <v>63.79</v>
      </c>
      <c r="N33" s="100">
        <v>1.5</v>
      </c>
      <c r="O33" s="100">
        <v>0</v>
      </c>
      <c r="P33" s="100">
        <v>0.64</v>
      </c>
      <c r="Q33" s="100">
        <v>12.54</v>
      </c>
      <c r="R33" s="6"/>
      <c r="S33" s="6"/>
      <c r="T33" s="156"/>
      <c r="U33" s="6"/>
    </row>
    <row r="34" spans="1:21" customFormat="1">
      <c r="A34" s="163" t="s">
        <v>1800</v>
      </c>
      <c r="B34" s="100">
        <v>10.82</v>
      </c>
      <c r="C34" s="100">
        <v>24.56</v>
      </c>
      <c r="D34" s="100">
        <v>22.86</v>
      </c>
      <c r="E34" s="100">
        <v>8.7899999999999991</v>
      </c>
      <c r="F34" s="100">
        <v>1.67</v>
      </c>
      <c r="G34" s="100">
        <v>60.11</v>
      </c>
      <c r="H34" s="100">
        <v>21.76</v>
      </c>
      <c r="I34" s="100">
        <v>7.92</v>
      </c>
      <c r="J34" s="100">
        <v>0.35</v>
      </c>
      <c r="K34" s="100">
        <v>51.09</v>
      </c>
      <c r="L34" s="100">
        <v>17.25</v>
      </c>
      <c r="M34" s="100">
        <v>63.73</v>
      </c>
      <c r="N34" s="100">
        <v>1.6</v>
      </c>
      <c r="O34" s="100">
        <v>0</v>
      </c>
      <c r="P34" s="100">
        <v>0.64</v>
      </c>
      <c r="Q34" s="100">
        <v>12.54</v>
      </c>
      <c r="R34" s="6"/>
      <c r="S34" s="6"/>
      <c r="T34" s="156"/>
      <c r="U34" s="6"/>
    </row>
    <row r="35" spans="1:21" customFormat="1">
      <c r="A35" s="163" t="s">
        <v>1801</v>
      </c>
      <c r="B35" s="100">
        <v>11.05</v>
      </c>
      <c r="C35" s="100">
        <v>24.69</v>
      </c>
      <c r="D35" s="100">
        <v>23.11</v>
      </c>
      <c r="E35" s="100">
        <v>9.19</v>
      </c>
      <c r="F35" s="100">
        <v>7.38</v>
      </c>
      <c r="G35" s="100">
        <v>58.76</v>
      </c>
      <c r="H35" s="100">
        <v>22.06</v>
      </c>
      <c r="I35" s="100">
        <v>7.97</v>
      </c>
      <c r="J35" s="100">
        <v>0.48</v>
      </c>
      <c r="K35" s="100">
        <v>55.45</v>
      </c>
      <c r="L35" s="100">
        <v>17.18</v>
      </c>
      <c r="M35" s="100">
        <v>63.37</v>
      </c>
      <c r="N35" s="100">
        <v>3.2</v>
      </c>
      <c r="O35" s="100">
        <v>0</v>
      </c>
      <c r="P35" s="100">
        <v>0.64</v>
      </c>
      <c r="Q35" s="100">
        <v>12.54</v>
      </c>
      <c r="R35" s="6"/>
      <c r="S35" s="6"/>
      <c r="T35" s="156"/>
      <c r="U35" s="6"/>
    </row>
    <row r="36" spans="1:21" customFormat="1">
      <c r="A36" s="163" t="s">
        <v>1802</v>
      </c>
      <c r="B36" s="100">
        <v>11.87</v>
      </c>
      <c r="C36" s="100">
        <v>24.75</v>
      </c>
      <c r="D36" s="100">
        <v>23.8</v>
      </c>
      <c r="E36" s="100">
        <v>9.06</v>
      </c>
      <c r="F36" s="100">
        <v>3.77</v>
      </c>
      <c r="G36" s="100">
        <v>58.76</v>
      </c>
      <c r="H36" s="100">
        <v>22.06</v>
      </c>
      <c r="I36" s="100">
        <v>8.01</v>
      </c>
      <c r="J36" s="100">
        <v>0.52</v>
      </c>
      <c r="K36" s="100">
        <v>44.83</v>
      </c>
      <c r="L36" s="100">
        <v>17.25</v>
      </c>
      <c r="M36" s="100">
        <v>61.42</v>
      </c>
      <c r="N36" s="100">
        <v>8.6</v>
      </c>
      <c r="O36" s="100">
        <v>0</v>
      </c>
      <c r="P36" s="100">
        <v>0.66</v>
      </c>
      <c r="Q36" s="100">
        <v>12.54</v>
      </c>
      <c r="R36" s="6"/>
      <c r="S36" s="6"/>
      <c r="T36" s="156"/>
      <c r="U36" s="6"/>
    </row>
    <row r="37" spans="1:21" customFormat="1">
      <c r="A37" s="163" t="s">
        <v>1803</v>
      </c>
      <c r="B37" s="100">
        <v>13.02</v>
      </c>
      <c r="C37" s="100">
        <v>24.97</v>
      </c>
      <c r="D37" s="100">
        <v>24.84</v>
      </c>
      <c r="E37" s="100">
        <v>9.2899999999999991</v>
      </c>
      <c r="F37" s="100">
        <v>1.1000000000000001</v>
      </c>
      <c r="G37" s="100">
        <v>58.76</v>
      </c>
      <c r="H37" s="100">
        <v>22.06</v>
      </c>
      <c r="I37" s="100">
        <v>8.11</v>
      </c>
      <c r="J37" s="100">
        <v>0.57999999999999996</v>
      </c>
      <c r="K37" s="100">
        <v>49.77</v>
      </c>
      <c r="L37" s="100">
        <v>17.36</v>
      </c>
      <c r="M37" s="100">
        <v>59.86</v>
      </c>
      <c r="N37" s="100">
        <v>11.9</v>
      </c>
      <c r="O37" s="100">
        <v>0</v>
      </c>
      <c r="P37" s="100">
        <v>0.65</v>
      </c>
      <c r="Q37" s="100">
        <v>12.54</v>
      </c>
      <c r="R37" s="6"/>
      <c r="S37" s="6"/>
      <c r="T37" s="156"/>
      <c r="U37" s="6"/>
    </row>
    <row r="38" spans="1:21" customFormat="1">
      <c r="A38" s="163" t="s">
        <v>1804</v>
      </c>
      <c r="B38" s="100">
        <v>13.95</v>
      </c>
      <c r="C38" s="100">
        <v>25.14</v>
      </c>
      <c r="D38" s="100">
        <v>25.67</v>
      </c>
      <c r="E38" s="100">
        <v>9.4600000000000009</v>
      </c>
      <c r="F38" s="100">
        <v>0.73</v>
      </c>
      <c r="G38" s="100">
        <v>59.83</v>
      </c>
      <c r="H38" s="100">
        <v>19.29</v>
      </c>
      <c r="I38" s="100">
        <v>8.09</v>
      </c>
      <c r="J38" s="100">
        <v>0.65</v>
      </c>
      <c r="K38" s="100">
        <v>52.15</v>
      </c>
      <c r="L38" s="100">
        <v>17.510000000000002</v>
      </c>
      <c r="M38" s="100">
        <v>58.61</v>
      </c>
      <c r="N38" s="100">
        <v>19.899999999999999</v>
      </c>
      <c r="O38" s="100">
        <v>0</v>
      </c>
      <c r="P38" s="100">
        <v>0.66</v>
      </c>
      <c r="Q38" s="100">
        <v>12.54</v>
      </c>
      <c r="R38" s="6"/>
      <c r="S38" s="6"/>
      <c r="T38" s="156"/>
      <c r="U38" s="6"/>
    </row>
    <row r="39" spans="1:21" customFormat="1">
      <c r="A39" s="163" t="s">
        <v>1805</v>
      </c>
      <c r="B39" s="100">
        <v>14.51</v>
      </c>
      <c r="C39" s="100">
        <v>25.28</v>
      </c>
      <c r="D39" s="100">
        <v>26.19</v>
      </c>
      <c r="E39" s="100">
        <v>9.44</v>
      </c>
      <c r="F39" s="100">
        <v>1.46</v>
      </c>
      <c r="G39" s="100">
        <v>60.49</v>
      </c>
      <c r="H39" s="100">
        <v>18.690000000000001</v>
      </c>
      <c r="I39" s="100">
        <v>8.35</v>
      </c>
      <c r="J39" s="100">
        <v>0.77</v>
      </c>
      <c r="K39" s="100">
        <v>53.82</v>
      </c>
      <c r="L39" s="100">
        <v>17.670000000000002</v>
      </c>
      <c r="M39" s="100">
        <v>57.32</v>
      </c>
      <c r="N39" s="100">
        <v>28.6</v>
      </c>
      <c r="O39" s="100">
        <v>0</v>
      </c>
      <c r="P39" s="100">
        <v>0.67</v>
      </c>
      <c r="Q39" s="100">
        <v>12.54</v>
      </c>
      <c r="R39" s="6"/>
      <c r="S39" s="6"/>
      <c r="T39" s="156"/>
      <c r="U39" s="6"/>
    </row>
    <row r="40" spans="1:21" customFormat="1">
      <c r="A40" s="163" t="s">
        <v>1806</v>
      </c>
      <c r="B40" s="100">
        <v>15.18</v>
      </c>
      <c r="C40" s="100">
        <v>25.2</v>
      </c>
      <c r="D40" s="100">
        <v>26.69</v>
      </c>
      <c r="E40" s="100">
        <v>9.2100000000000009</v>
      </c>
      <c r="F40" s="100">
        <v>1.23</v>
      </c>
      <c r="G40" s="100">
        <v>60.49</v>
      </c>
      <c r="H40" s="100">
        <v>18.690000000000001</v>
      </c>
      <c r="I40" s="100">
        <v>8.5299999999999994</v>
      </c>
      <c r="J40" s="100">
        <v>0.76</v>
      </c>
      <c r="K40" s="100">
        <v>48.1</v>
      </c>
      <c r="L40" s="100">
        <v>18.03</v>
      </c>
      <c r="M40" s="100">
        <v>54.58</v>
      </c>
      <c r="N40" s="100">
        <v>48.4</v>
      </c>
      <c r="O40" s="100">
        <v>0</v>
      </c>
      <c r="P40" s="100">
        <v>0.68</v>
      </c>
      <c r="Q40" s="100">
        <v>12.54</v>
      </c>
      <c r="R40" s="6"/>
      <c r="S40" s="6"/>
      <c r="T40" s="156"/>
      <c r="U40" s="6"/>
    </row>
    <row r="41" spans="1:21" customFormat="1">
      <c r="A41" s="163" t="s">
        <v>1807</v>
      </c>
      <c r="B41" s="100">
        <v>15.32</v>
      </c>
      <c r="C41" s="100">
        <v>25.54</v>
      </c>
      <c r="D41" s="100">
        <v>26.98</v>
      </c>
      <c r="E41" s="100">
        <v>9.2200000000000006</v>
      </c>
      <c r="F41" s="100">
        <v>0.71</v>
      </c>
      <c r="G41" s="100">
        <v>60.49</v>
      </c>
      <c r="H41" s="100">
        <v>18.690000000000001</v>
      </c>
      <c r="I41" s="100">
        <v>8.69</v>
      </c>
      <c r="J41" s="100">
        <v>1.1000000000000001</v>
      </c>
      <c r="K41" s="100">
        <v>53.1</v>
      </c>
      <c r="L41" s="100">
        <v>18.61</v>
      </c>
      <c r="M41" s="100">
        <v>47.88</v>
      </c>
      <c r="N41" s="100">
        <v>63.7</v>
      </c>
      <c r="O41" s="100">
        <v>0</v>
      </c>
      <c r="P41" s="100">
        <v>0.69</v>
      </c>
      <c r="Q41" s="100">
        <v>12.54</v>
      </c>
      <c r="R41" s="6"/>
      <c r="S41" s="6"/>
      <c r="T41" s="156"/>
      <c r="U41" s="6"/>
    </row>
    <row r="42" spans="1:21" customFormat="1">
      <c r="A42" s="163" t="s">
        <v>1808</v>
      </c>
      <c r="B42" s="100">
        <v>15.18</v>
      </c>
      <c r="C42" s="100">
        <v>25.71</v>
      </c>
      <c r="D42" s="100">
        <v>26.96</v>
      </c>
      <c r="E42" s="100">
        <v>9.1199999999999992</v>
      </c>
      <c r="F42" s="100">
        <v>2.02</v>
      </c>
      <c r="G42" s="100">
        <v>61.56</v>
      </c>
      <c r="H42" s="100">
        <v>20.61</v>
      </c>
      <c r="I42" s="100">
        <v>8.83</v>
      </c>
      <c r="J42" s="100">
        <v>1.1299999999999999</v>
      </c>
      <c r="K42" s="100">
        <v>48.48</v>
      </c>
      <c r="L42" s="100">
        <v>19.02</v>
      </c>
      <c r="M42" s="100">
        <v>44.02</v>
      </c>
      <c r="N42" s="100">
        <v>80.599999999999994</v>
      </c>
      <c r="O42" s="100">
        <v>0</v>
      </c>
      <c r="P42" s="100">
        <v>0.69</v>
      </c>
      <c r="Q42" s="100">
        <v>12.54</v>
      </c>
      <c r="R42" s="6"/>
      <c r="S42" s="6"/>
      <c r="T42" s="156"/>
      <c r="U42" s="6"/>
    </row>
    <row r="43" spans="1:21" customFormat="1">
      <c r="A43" s="163" t="s">
        <v>1809</v>
      </c>
      <c r="B43" s="100">
        <v>15.57</v>
      </c>
      <c r="C43" s="100">
        <v>25.94</v>
      </c>
      <c r="D43" s="100">
        <v>27.39</v>
      </c>
      <c r="E43" s="100">
        <v>9.48</v>
      </c>
      <c r="F43" s="100">
        <v>1.39</v>
      </c>
      <c r="G43" s="100">
        <v>62.22</v>
      </c>
      <c r="H43" s="100">
        <v>21.33</v>
      </c>
      <c r="I43" s="100">
        <v>8.9499999999999993</v>
      </c>
      <c r="J43" s="100">
        <v>1.06</v>
      </c>
      <c r="K43" s="100">
        <v>52.48</v>
      </c>
      <c r="L43" s="100">
        <v>19.36</v>
      </c>
      <c r="M43" s="100">
        <v>41.82</v>
      </c>
      <c r="N43" s="100">
        <v>85.5</v>
      </c>
      <c r="O43" s="100">
        <v>0</v>
      </c>
      <c r="P43" s="100">
        <v>0.68</v>
      </c>
      <c r="Q43" s="100">
        <v>12.54</v>
      </c>
      <c r="R43" s="6"/>
      <c r="S43" s="6"/>
      <c r="T43" s="156"/>
      <c r="U43" s="6"/>
    </row>
    <row r="44" spans="1:21" customFormat="1">
      <c r="A44" s="163" t="s">
        <v>1810</v>
      </c>
      <c r="B44" s="100">
        <v>16.23</v>
      </c>
      <c r="C44" s="100">
        <v>26.32</v>
      </c>
      <c r="D44" s="100">
        <v>28.12</v>
      </c>
      <c r="E44" s="100">
        <v>9.31</v>
      </c>
      <c r="F44" s="100">
        <v>1.25</v>
      </c>
      <c r="G44" s="100">
        <v>62.22</v>
      </c>
      <c r="H44" s="100">
        <v>21.33</v>
      </c>
      <c r="I44" s="100">
        <v>8.85</v>
      </c>
      <c r="J44" s="100">
        <v>1.08</v>
      </c>
      <c r="K44" s="100">
        <v>48.06</v>
      </c>
      <c r="L44" s="100">
        <v>19.899999999999999</v>
      </c>
      <c r="M44" s="100">
        <v>39.86</v>
      </c>
      <c r="N44" s="100">
        <v>118.4</v>
      </c>
      <c r="O44" s="100">
        <v>0</v>
      </c>
      <c r="P44" s="100">
        <v>0.68</v>
      </c>
      <c r="Q44" s="100">
        <v>12.54</v>
      </c>
      <c r="R44" s="6"/>
      <c r="S44" s="6"/>
      <c r="T44" s="156"/>
      <c r="U44" s="6"/>
    </row>
    <row r="45" spans="1:21" customFormat="1">
      <c r="A45" s="163" t="s">
        <v>1811</v>
      </c>
      <c r="B45" s="100">
        <v>17.27</v>
      </c>
      <c r="C45" s="100">
        <v>26.25</v>
      </c>
      <c r="D45" s="100">
        <v>28.91</v>
      </c>
      <c r="E45" s="100">
        <v>9.56</v>
      </c>
      <c r="F45" s="100">
        <v>1.1399999999999999</v>
      </c>
      <c r="G45" s="100">
        <v>62.22</v>
      </c>
      <c r="H45" s="100">
        <v>21.33</v>
      </c>
      <c r="I45" s="100">
        <v>9.01</v>
      </c>
      <c r="J45" s="100">
        <v>0.85</v>
      </c>
      <c r="K45" s="100">
        <v>53.42</v>
      </c>
      <c r="L45" s="100">
        <v>20.38</v>
      </c>
      <c r="M45" s="100">
        <v>38.31</v>
      </c>
      <c r="N45" s="100">
        <v>176</v>
      </c>
      <c r="O45" s="100">
        <v>0</v>
      </c>
      <c r="P45" s="100">
        <v>0.67</v>
      </c>
      <c r="Q45" s="100">
        <v>12.54</v>
      </c>
      <c r="R45" s="6"/>
      <c r="S45" s="6"/>
      <c r="T45" s="156"/>
      <c r="U45" s="6"/>
    </row>
    <row r="46" spans="1:21" customFormat="1">
      <c r="A46" s="163" t="s">
        <v>1812</v>
      </c>
      <c r="B46" s="100">
        <v>17.829999999999998</v>
      </c>
      <c r="C46" s="100">
        <v>26.2</v>
      </c>
      <c r="D46" s="100">
        <v>29.34</v>
      </c>
      <c r="E46" s="100">
        <v>9.56</v>
      </c>
      <c r="F46" s="100">
        <v>1.65</v>
      </c>
      <c r="G46" s="100">
        <v>63.03</v>
      </c>
      <c r="H46" s="100">
        <v>20.94</v>
      </c>
      <c r="I46" s="100">
        <v>9.0299999999999994</v>
      </c>
      <c r="J46" s="100">
        <v>0.92</v>
      </c>
      <c r="K46" s="100">
        <v>49.14</v>
      </c>
      <c r="L46" s="100">
        <v>21.55</v>
      </c>
      <c r="M46" s="100">
        <v>36.93</v>
      </c>
      <c r="N46" s="100">
        <v>205.5</v>
      </c>
      <c r="O46" s="100">
        <v>0</v>
      </c>
      <c r="P46" s="100">
        <v>0.67</v>
      </c>
      <c r="Q46" s="100">
        <v>12.54</v>
      </c>
      <c r="R46" s="6"/>
      <c r="S46" s="6"/>
      <c r="T46" s="156"/>
      <c r="U46" s="6"/>
    </row>
    <row r="47" spans="1:21" customFormat="1">
      <c r="A47" s="163" t="s">
        <v>1813</v>
      </c>
      <c r="B47" s="100">
        <v>18.190000000000001</v>
      </c>
      <c r="C47" s="100">
        <v>26.19</v>
      </c>
      <c r="D47" s="100">
        <v>29.62</v>
      </c>
      <c r="E47" s="100">
        <v>9.7899999999999991</v>
      </c>
      <c r="F47" s="100">
        <v>2.06</v>
      </c>
      <c r="G47" s="100">
        <v>63.52</v>
      </c>
      <c r="H47" s="100">
        <v>20.86</v>
      </c>
      <c r="I47" s="100">
        <v>9</v>
      </c>
      <c r="J47" s="100">
        <v>1</v>
      </c>
      <c r="K47" s="100">
        <v>50.92</v>
      </c>
      <c r="L47" s="100">
        <v>22.14</v>
      </c>
      <c r="M47" s="100">
        <v>36.770000000000003</v>
      </c>
      <c r="N47" s="100">
        <v>221.3</v>
      </c>
      <c r="O47" s="100">
        <v>0</v>
      </c>
      <c r="P47" s="100">
        <v>0.67</v>
      </c>
      <c r="Q47" s="100">
        <v>12.54</v>
      </c>
      <c r="R47" s="6"/>
      <c r="S47" s="6"/>
      <c r="T47" s="156"/>
      <c r="U47" s="6"/>
    </row>
    <row r="48" spans="1:21" customFormat="1">
      <c r="A48" s="163" t="s">
        <v>1814</v>
      </c>
      <c r="B48" s="100">
        <v>18.440000000000001</v>
      </c>
      <c r="C48" s="100">
        <v>26.06</v>
      </c>
      <c r="D48" s="100">
        <v>29.76</v>
      </c>
      <c r="E48" s="100">
        <v>9.8000000000000007</v>
      </c>
      <c r="F48" s="100">
        <v>1.21</v>
      </c>
      <c r="G48" s="100">
        <v>63.52</v>
      </c>
      <c r="H48" s="100">
        <v>20.86</v>
      </c>
      <c r="I48" s="100">
        <v>8.9499999999999993</v>
      </c>
      <c r="J48" s="100">
        <v>0.96</v>
      </c>
      <c r="K48" s="100">
        <v>48.99</v>
      </c>
      <c r="L48" s="100">
        <v>22.74</v>
      </c>
      <c r="M48" s="100">
        <v>35.869999999999997</v>
      </c>
      <c r="N48" s="100">
        <v>239.9</v>
      </c>
      <c r="O48" s="100">
        <v>0</v>
      </c>
      <c r="P48" s="100">
        <v>0.67</v>
      </c>
      <c r="Q48" s="100">
        <v>12.54</v>
      </c>
      <c r="R48" s="6"/>
      <c r="S48" s="6"/>
      <c r="T48" s="156"/>
      <c r="U48" s="6"/>
    </row>
    <row r="49" spans="1:21" customFormat="1">
      <c r="A49" s="163" t="s">
        <v>1815</v>
      </c>
      <c r="B49" s="100">
        <v>18.5</v>
      </c>
      <c r="C49" s="100">
        <v>25.84</v>
      </c>
      <c r="D49" s="100">
        <v>29.69</v>
      </c>
      <c r="E49" s="100">
        <v>9.56</v>
      </c>
      <c r="F49" s="100">
        <v>1.96</v>
      </c>
      <c r="G49" s="100">
        <v>63.52</v>
      </c>
      <c r="H49" s="100">
        <v>20.86</v>
      </c>
      <c r="I49" s="100">
        <v>8.9600000000000009</v>
      </c>
      <c r="J49" s="100">
        <v>0.72</v>
      </c>
      <c r="K49" s="100">
        <v>59.25</v>
      </c>
      <c r="L49" s="100">
        <v>23.38</v>
      </c>
      <c r="M49" s="100">
        <v>35.01</v>
      </c>
      <c r="N49" s="100">
        <v>267.8</v>
      </c>
      <c r="O49" s="100">
        <v>0</v>
      </c>
      <c r="P49" s="100">
        <v>0.67</v>
      </c>
      <c r="Q49" s="100">
        <v>12.54</v>
      </c>
      <c r="R49" s="6"/>
      <c r="S49" s="6"/>
      <c r="T49" s="156"/>
      <c r="U49" s="6"/>
    </row>
    <row r="50" spans="1:21" customFormat="1">
      <c r="A50" s="163" t="s">
        <v>1816</v>
      </c>
      <c r="B50" s="100">
        <v>18.579999999999998</v>
      </c>
      <c r="C50" s="100">
        <v>25.4</v>
      </c>
      <c r="D50" s="100">
        <v>29.52</v>
      </c>
      <c r="E50" s="100">
        <v>10.59</v>
      </c>
      <c r="F50" s="100">
        <v>0.91</v>
      </c>
      <c r="G50" s="100">
        <v>69.33</v>
      </c>
      <c r="H50" s="100">
        <v>19.59</v>
      </c>
      <c r="I50" s="100">
        <v>8.91</v>
      </c>
      <c r="J50" s="100">
        <v>0.8</v>
      </c>
      <c r="K50" s="100">
        <v>54.49</v>
      </c>
      <c r="L50" s="100">
        <v>24.02</v>
      </c>
      <c r="M50" s="100">
        <v>34.68</v>
      </c>
      <c r="N50" s="100">
        <v>330.7</v>
      </c>
      <c r="O50" s="100">
        <v>0</v>
      </c>
      <c r="P50" s="100">
        <v>0.66</v>
      </c>
      <c r="Q50" s="100">
        <v>12.54</v>
      </c>
      <c r="R50" s="6"/>
      <c r="S50" s="6"/>
      <c r="T50" s="156"/>
      <c r="U50" s="6"/>
    </row>
    <row r="51" spans="1:21" customFormat="1">
      <c r="A51" s="163" t="s">
        <v>1817</v>
      </c>
      <c r="B51" s="100">
        <v>18.399999999999999</v>
      </c>
      <c r="C51" s="100">
        <v>25.02</v>
      </c>
      <c r="D51" s="100">
        <v>29.18</v>
      </c>
      <c r="E51" s="100">
        <v>11.1</v>
      </c>
      <c r="F51" s="100">
        <v>4.99</v>
      </c>
      <c r="G51" s="100">
        <v>72.86</v>
      </c>
      <c r="H51" s="100">
        <v>19.329999999999998</v>
      </c>
      <c r="I51" s="100">
        <v>8.9</v>
      </c>
      <c r="J51" s="100">
        <v>0.67</v>
      </c>
      <c r="K51" s="100">
        <v>54.84</v>
      </c>
      <c r="L51" s="100">
        <v>24.82</v>
      </c>
      <c r="M51" s="100">
        <v>34.380000000000003</v>
      </c>
      <c r="N51" s="100">
        <v>350</v>
      </c>
      <c r="O51" s="100">
        <v>0</v>
      </c>
      <c r="P51" s="100">
        <v>0.66</v>
      </c>
      <c r="Q51" s="100">
        <v>12.54</v>
      </c>
      <c r="R51" s="6"/>
      <c r="S51" s="6"/>
      <c r="T51" s="156"/>
      <c r="U51" s="6"/>
    </row>
    <row r="52" spans="1:21" customFormat="1">
      <c r="A52" s="163" t="s">
        <v>1818</v>
      </c>
      <c r="B52" s="100">
        <v>17.559999999999999</v>
      </c>
      <c r="C52" s="100">
        <v>24.85</v>
      </c>
      <c r="D52" s="100">
        <v>28.41</v>
      </c>
      <c r="E52" s="100">
        <v>11.07</v>
      </c>
      <c r="F52" s="100">
        <v>0.93</v>
      </c>
      <c r="G52" s="100">
        <v>72.86</v>
      </c>
      <c r="H52" s="100">
        <v>19.329999999999998</v>
      </c>
      <c r="I52" s="100">
        <v>8.8800000000000008</v>
      </c>
      <c r="J52" s="100">
        <v>1.1000000000000001</v>
      </c>
      <c r="K52" s="100">
        <v>51.72</v>
      </c>
      <c r="L52" s="100">
        <v>24.92</v>
      </c>
      <c r="M52" s="100">
        <v>34.58</v>
      </c>
      <c r="N52" s="100">
        <v>347</v>
      </c>
      <c r="O52" s="100">
        <v>0</v>
      </c>
      <c r="P52" s="100">
        <v>0.65</v>
      </c>
      <c r="Q52" s="100">
        <v>12.54</v>
      </c>
      <c r="R52" s="6"/>
      <c r="S52" s="6"/>
      <c r="T52" s="156"/>
      <c r="U52" s="6"/>
    </row>
    <row r="53" spans="1:21" customFormat="1">
      <c r="A53" s="163" t="s">
        <v>1819</v>
      </c>
      <c r="B53" s="100">
        <v>16.77</v>
      </c>
      <c r="C53" s="100">
        <v>24.99</v>
      </c>
      <c r="D53" s="100">
        <v>27.86</v>
      </c>
      <c r="E53" s="100">
        <v>12.13</v>
      </c>
      <c r="F53" s="100">
        <v>0.4</v>
      </c>
      <c r="G53" s="100">
        <v>72.86</v>
      </c>
      <c r="H53" s="100">
        <v>19.329999999999998</v>
      </c>
      <c r="I53" s="100">
        <v>8.8800000000000008</v>
      </c>
      <c r="J53" s="100">
        <v>0.93</v>
      </c>
      <c r="K53" s="100">
        <v>38.69</v>
      </c>
      <c r="L53" s="100">
        <v>25.26</v>
      </c>
      <c r="M53" s="100">
        <v>34.25</v>
      </c>
      <c r="N53" s="100">
        <v>343.6</v>
      </c>
      <c r="O53" s="100">
        <v>0</v>
      </c>
      <c r="P53" s="100">
        <v>0.66</v>
      </c>
      <c r="Q53" s="100">
        <v>12.54</v>
      </c>
      <c r="R53" s="6"/>
      <c r="S53" s="6"/>
      <c r="T53" s="156"/>
      <c r="U53" s="6"/>
    </row>
    <row r="54" spans="1:21" customFormat="1">
      <c r="A54" s="163" t="s">
        <v>1820</v>
      </c>
      <c r="B54" s="100">
        <v>16.149999999999999</v>
      </c>
      <c r="C54" s="100">
        <v>25.18</v>
      </c>
      <c r="D54" s="100">
        <v>27.46</v>
      </c>
      <c r="E54" s="100">
        <v>11.93</v>
      </c>
      <c r="F54" s="100">
        <v>0.63</v>
      </c>
      <c r="G54" s="100">
        <v>73.17</v>
      </c>
      <c r="H54" s="100">
        <v>23.55</v>
      </c>
      <c r="I54" s="100">
        <v>8.83</v>
      </c>
      <c r="J54" s="100">
        <v>0.85</v>
      </c>
      <c r="K54" s="100">
        <v>49.36</v>
      </c>
      <c r="L54" s="100">
        <v>25.85</v>
      </c>
      <c r="M54" s="100">
        <v>33.46</v>
      </c>
      <c r="N54" s="100">
        <v>306.89999999999998</v>
      </c>
      <c r="O54" s="100">
        <v>0</v>
      </c>
      <c r="P54" s="100">
        <v>0.66</v>
      </c>
      <c r="Q54" s="100">
        <v>12.54</v>
      </c>
      <c r="R54" s="6"/>
      <c r="S54" s="6"/>
      <c r="T54" s="156"/>
      <c r="U54" s="6"/>
    </row>
    <row r="55" spans="1:21" customFormat="1">
      <c r="A55" s="163" t="s">
        <v>1821</v>
      </c>
      <c r="B55" s="100">
        <v>15.62</v>
      </c>
      <c r="C55" s="100">
        <v>25.28</v>
      </c>
      <c r="D55" s="100">
        <v>27.09</v>
      </c>
      <c r="E55" s="100">
        <v>12.79</v>
      </c>
      <c r="F55" s="100">
        <v>1.25</v>
      </c>
      <c r="G55" s="100">
        <v>73.36</v>
      </c>
      <c r="H55" s="100">
        <v>24.39</v>
      </c>
      <c r="I55" s="100">
        <v>8.83</v>
      </c>
      <c r="J55" s="100">
        <v>1.1499999999999999</v>
      </c>
      <c r="K55" s="100">
        <v>31.97</v>
      </c>
      <c r="L55" s="100">
        <v>25.6</v>
      </c>
      <c r="M55" s="100">
        <v>32.19</v>
      </c>
      <c r="N55" s="100">
        <v>367.4</v>
      </c>
      <c r="O55" s="100">
        <v>0</v>
      </c>
      <c r="P55" s="100">
        <v>0.66</v>
      </c>
      <c r="Q55" s="100">
        <v>12.54</v>
      </c>
      <c r="R55" s="6"/>
      <c r="S55" s="6"/>
      <c r="T55" s="156"/>
      <c r="U55" s="6"/>
    </row>
    <row r="56" spans="1:21" customFormat="1">
      <c r="A56" s="163" t="s">
        <v>1822</v>
      </c>
      <c r="B56" s="100">
        <v>15.21</v>
      </c>
      <c r="C56" s="100">
        <v>25.4</v>
      </c>
      <c r="D56" s="100">
        <v>26.82</v>
      </c>
      <c r="E56" s="100">
        <v>13.51</v>
      </c>
      <c r="F56" s="100">
        <v>0.65</v>
      </c>
      <c r="G56" s="100">
        <v>73.36</v>
      </c>
      <c r="H56" s="100">
        <v>24.39</v>
      </c>
      <c r="I56" s="100">
        <v>8.81</v>
      </c>
      <c r="J56" s="100">
        <v>1.1200000000000001</v>
      </c>
      <c r="K56" s="100">
        <v>32.93</v>
      </c>
      <c r="L56" s="100">
        <v>25.84</v>
      </c>
      <c r="M56" s="100">
        <v>31.74</v>
      </c>
      <c r="N56" s="100">
        <v>377.5</v>
      </c>
      <c r="O56" s="100">
        <v>0</v>
      </c>
      <c r="P56" s="100">
        <v>0.64</v>
      </c>
      <c r="Q56" s="100">
        <v>12.54</v>
      </c>
      <c r="R56" s="6"/>
      <c r="S56" s="6"/>
      <c r="T56" s="156"/>
      <c r="U56" s="6"/>
    </row>
    <row r="57" spans="1:21" customFormat="1">
      <c r="A57" s="163" t="s">
        <v>1823</v>
      </c>
      <c r="B57" s="100">
        <v>15.25</v>
      </c>
      <c r="C57" s="100">
        <v>26.02</v>
      </c>
      <c r="D57" s="100">
        <v>27.17</v>
      </c>
      <c r="E57" s="100">
        <v>14.75</v>
      </c>
      <c r="F57" s="100">
        <v>1.35</v>
      </c>
      <c r="G57" s="100">
        <v>73.36</v>
      </c>
      <c r="H57" s="100">
        <v>24.39</v>
      </c>
      <c r="I57" s="100">
        <v>8.76</v>
      </c>
      <c r="J57" s="100">
        <v>0.99</v>
      </c>
      <c r="K57" s="100">
        <v>35.56</v>
      </c>
      <c r="L57" s="100">
        <v>26.05</v>
      </c>
      <c r="M57" s="100">
        <v>30.74</v>
      </c>
      <c r="N57" s="100">
        <v>392.7</v>
      </c>
      <c r="O57" s="100">
        <v>0</v>
      </c>
      <c r="P57" s="100">
        <v>0.65</v>
      </c>
      <c r="Q57" s="100">
        <v>12.54</v>
      </c>
      <c r="R57" s="6"/>
      <c r="S57" s="6"/>
      <c r="T57" s="156"/>
      <c r="U57" s="6"/>
    </row>
    <row r="58" spans="1:21" customFormat="1">
      <c r="A58" s="163" t="s">
        <v>1824</v>
      </c>
      <c r="B58" s="100">
        <v>15.65</v>
      </c>
      <c r="C58" s="100">
        <v>26.62</v>
      </c>
      <c r="D58" s="100">
        <v>27.81</v>
      </c>
      <c r="E58" s="100">
        <v>14.71</v>
      </c>
      <c r="F58" s="100">
        <v>3.38</v>
      </c>
      <c r="G58" s="100">
        <v>73.53</v>
      </c>
      <c r="H58" s="100">
        <v>27.97</v>
      </c>
      <c r="I58" s="100">
        <v>8.74</v>
      </c>
      <c r="J58" s="100">
        <v>1.28</v>
      </c>
      <c r="K58" s="100">
        <v>50.07</v>
      </c>
      <c r="L58" s="100">
        <v>26.69</v>
      </c>
      <c r="M58" s="100">
        <v>26.38</v>
      </c>
      <c r="N58" s="100">
        <v>333.9</v>
      </c>
      <c r="O58" s="100">
        <v>0</v>
      </c>
      <c r="P58" s="100">
        <v>0.65</v>
      </c>
      <c r="Q58" s="100">
        <v>12.54</v>
      </c>
      <c r="R58" s="6"/>
      <c r="S58" s="6"/>
      <c r="T58" s="156"/>
      <c r="U58" s="6"/>
    </row>
    <row r="59" spans="1:21" customFormat="1">
      <c r="A59" s="163" t="s">
        <v>1825</v>
      </c>
      <c r="B59" s="100">
        <v>16.059999999999999</v>
      </c>
      <c r="C59" s="100">
        <v>27.25</v>
      </c>
      <c r="D59" s="100">
        <v>28.47</v>
      </c>
      <c r="E59" s="100">
        <v>18.91</v>
      </c>
      <c r="F59" s="100">
        <v>2.4300000000000002</v>
      </c>
      <c r="G59" s="100">
        <v>73.63</v>
      </c>
      <c r="H59" s="100">
        <v>28.69</v>
      </c>
      <c r="I59" s="100">
        <v>8.7100000000000009</v>
      </c>
      <c r="J59" s="100">
        <v>1.45</v>
      </c>
      <c r="K59" s="100">
        <v>28.09</v>
      </c>
      <c r="L59" s="100">
        <v>26.63</v>
      </c>
      <c r="M59" s="100">
        <v>25.13</v>
      </c>
      <c r="N59" s="100">
        <v>383.3</v>
      </c>
      <c r="O59" s="100">
        <v>0</v>
      </c>
      <c r="P59" s="100">
        <v>0.64</v>
      </c>
      <c r="Q59" s="100">
        <v>12.54</v>
      </c>
      <c r="R59" s="6"/>
      <c r="S59" s="6"/>
      <c r="T59" s="156"/>
      <c r="U59" s="6"/>
    </row>
    <row r="60" spans="1:21" customFormat="1">
      <c r="A60" s="163" t="s">
        <v>1826</v>
      </c>
      <c r="B60" s="100">
        <v>16.37</v>
      </c>
      <c r="C60" s="100">
        <v>27.57</v>
      </c>
      <c r="D60" s="100">
        <v>28.88</v>
      </c>
      <c r="E60" s="100">
        <v>15.4</v>
      </c>
      <c r="F60" s="100">
        <v>2.5499999999999998</v>
      </c>
      <c r="G60" s="100">
        <v>73.63</v>
      </c>
      <c r="H60" s="100">
        <v>28.69</v>
      </c>
      <c r="I60" s="100">
        <v>8.73</v>
      </c>
      <c r="J60" s="100">
        <v>1.39</v>
      </c>
      <c r="K60" s="100">
        <v>47.86</v>
      </c>
      <c r="L60" s="100">
        <v>26.95</v>
      </c>
      <c r="M60" s="100">
        <v>22.15</v>
      </c>
      <c r="N60" s="100">
        <v>406.8</v>
      </c>
      <c r="O60" s="100">
        <v>0</v>
      </c>
      <c r="P60" s="100">
        <v>0.63</v>
      </c>
      <c r="Q60" s="100">
        <v>12.54</v>
      </c>
      <c r="R60" s="6"/>
      <c r="S60" s="6"/>
      <c r="T60" s="156"/>
      <c r="U60" s="6"/>
    </row>
    <row r="61" spans="1:21" customFormat="1">
      <c r="A61" s="163" t="s">
        <v>1827</v>
      </c>
      <c r="B61" s="100">
        <v>15.95</v>
      </c>
      <c r="C61" s="100">
        <v>27.81</v>
      </c>
      <c r="D61" s="100">
        <v>28.67</v>
      </c>
      <c r="E61" s="100">
        <v>13.81</v>
      </c>
      <c r="F61" s="100">
        <v>1</v>
      </c>
      <c r="G61" s="100">
        <v>73.63</v>
      </c>
      <c r="H61" s="100">
        <v>28.69</v>
      </c>
      <c r="I61" s="100">
        <v>8.6199999999999992</v>
      </c>
      <c r="J61" s="100">
        <v>1.6</v>
      </c>
      <c r="K61" s="100">
        <v>52.56</v>
      </c>
      <c r="L61" s="100">
        <v>27.17</v>
      </c>
      <c r="M61" s="100">
        <v>21.61</v>
      </c>
      <c r="N61" s="100">
        <v>386.9</v>
      </c>
      <c r="O61" s="100">
        <v>0</v>
      </c>
      <c r="P61" s="100">
        <v>0.63</v>
      </c>
      <c r="Q61" s="100">
        <v>12.54</v>
      </c>
      <c r="R61" s="6"/>
      <c r="S61" s="6"/>
      <c r="T61" s="156"/>
      <c r="U61" s="6"/>
    </row>
    <row r="62" spans="1:21" customFormat="1">
      <c r="A62" s="163" t="s">
        <v>1828</v>
      </c>
      <c r="B62" s="100">
        <v>14.76</v>
      </c>
      <c r="C62" s="100">
        <v>28.26</v>
      </c>
      <c r="D62" s="100">
        <v>27.95</v>
      </c>
      <c r="E62" s="100">
        <v>12.86</v>
      </c>
      <c r="F62" s="100">
        <v>3.22</v>
      </c>
      <c r="G62" s="100">
        <v>74.33</v>
      </c>
      <c r="H62" s="100">
        <v>31.27</v>
      </c>
      <c r="I62" s="100">
        <v>8.6199999999999992</v>
      </c>
      <c r="J62" s="100">
        <v>1.66</v>
      </c>
      <c r="K62" s="100">
        <v>45.51</v>
      </c>
      <c r="L62" s="100">
        <v>27.34</v>
      </c>
      <c r="M62" s="100">
        <v>20.58</v>
      </c>
      <c r="N62" s="100">
        <v>376.3</v>
      </c>
      <c r="O62" s="100">
        <v>0</v>
      </c>
      <c r="P62" s="100">
        <v>0.62</v>
      </c>
      <c r="Q62" s="100">
        <v>12.54</v>
      </c>
      <c r="R62" s="6"/>
      <c r="S62" s="6"/>
      <c r="T62" s="156"/>
      <c r="U62" s="6"/>
    </row>
    <row r="63" spans="1:21" customFormat="1">
      <c r="A63" s="163" t="s">
        <v>1829</v>
      </c>
      <c r="B63" s="100">
        <v>12.97</v>
      </c>
      <c r="C63" s="100">
        <v>29.18</v>
      </c>
      <c r="D63" s="100">
        <v>27</v>
      </c>
      <c r="E63" s="100">
        <v>12.39</v>
      </c>
      <c r="F63" s="100">
        <v>10.16</v>
      </c>
      <c r="G63" s="100">
        <v>74.75</v>
      </c>
      <c r="H63" s="100">
        <v>31.79</v>
      </c>
      <c r="I63" s="100">
        <v>8.52</v>
      </c>
      <c r="J63" s="100">
        <v>1.67</v>
      </c>
      <c r="K63" s="100">
        <v>45.33</v>
      </c>
      <c r="L63" s="100">
        <v>27.52</v>
      </c>
      <c r="M63" s="100">
        <v>22</v>
      </c>
      <c r="N63" s="100">
        <v>373.8</v>
      </c>
      <c r="O63" s="100">
        <v>0</v>
      </c>
      <c r="P63" s="100">
        <v>0.63</v>
      </c>
      <c r="Q63" s="100">
        <v>12.54</v>
      </c>
      <c r="R63" s="6"/>
      <c r="S63" s="6"/>
      <c r="T63" s="156"/>
      <c r="U63" s="6"/>
    </row>
    <row r="64" spans="1:21" customFormat="1">
      <c r="A64" s="163" t="s">
        <v>1830</v>
      </c>
      <c r="B64" s="100">
        <v>11.36</v>
      </c>
      <c r="C64" s="100">
        <v>29.99</v>
      </c>
      <c r="D64" s="100">
        <v>26.13</v>
      </c>
      <c r="E64" s="100">
        <v>12.98</v>
      </c>
      <c r="F64" s="100">
        <v>2.1</v>
      </c>
      <c r="G64" s="100">
        <v>74.75</v>
      </c>
      <c r="H64" s="100">
        <v>31.79</v>
      </c>
      <c r="I64" s="100">
        <v>8.33</v>
      </c>
      <c r="J64" s="100">
        <v>1.58</v>
      </c>
      <c r="K64" s="100">
        <v>42.35</v>
      </c>
      <c r="L64" s="100">
        <v>27.31</v>
      </c>
      <c r="M64" s="100">
        <v>23.46</v>
      </c>
      <c r="N64" s="100">
        <v>320</v>
      </c>
      <c r="O64" s="100">
        <v>0</v>
      </c>
      <c r="P64" s="100">
        <v>0.61</v>
      </c>
      <c r="Q64" s="100">
        <v>12.54</v>
      </c>
      <c r="R64" s="6"/>
      <c r="S64" s="6"/>
      <c r="T64" s="156"/>
      <c r="U64" s="6"/>
    </row>
    <row r="65" spans="1:21" customFormat="1">
      <c r="A65" s="163" t="s">
        <v>1831</v>
      </c>
      <c r="B65" s="100">
        <v>9.85</v>
      </c>
      <c r="C65" s="100">
        <v>30.78</v>
      </c>
      <c r="D65" s="100">
        <v>25.33</v>
      </c>
      <c r="E65" s="100">
        <v>12.95</v>
      </c>
      <c r="F65" s="100">
        <v>0.65</v>
      </c>
      <c r="G65" s="100">
        <v>74.75</v>
      </c>
      <c r="H65" s="100">
        <v>31.79</v>
      </c>
      <c r="I65" s="100">
        <v>8.16</v>
      </c>
      <c r="J65" s="100">
        <v>1.52</v>
      </c>
      <c r="K65" s="100">
        <v>49.94</v>
      </c>
      <c r="L65" s="100">
        <v>27.31</v>
      </c>
      <c r="M65" s="100">
        <v>25.07</v>
      </c>
      <c r="N65" s="100">
        <v>277.10000000000002</v>
      </c>
      <c r="O65" s="100">
        <v>0</v>
      </c>
      <c r="P65" s="100">
        <v>0.59</v>
      </c>
      <c r="Q65" s="100">
        <v>12.54</v>
      </c>
      <c r="R65" s="6"/>
      <c r="S65" s="6"/>
      <c r="T65" s="156"/>
      <c r="U65" s="6"/>
    </row>
    <row r="66" spans="1:21" customFormat="1">
      <c r="A66" s="163" t="s">
        <v>1832</v>
      </c>
      <c r="B66" s="100">
        <v>8.5299999999999994</v>
      </c>
      <c r="C66" s="100">
        <v>31.35</v>
      </c>
      <c r="D66" s="100">
        <v>24.58</v>
      </c>
      <c r="E66" s="100">
        <v>13.28</v>
      </c>
      <c r="F66" s="100">
        <v>1.72</v>
      </c>
      <c r="G66" s="100">
        <v>75.78</v>
      </c>
      <c r="H66" s="100">
        <v>35.39</v>
      </c>
      <c r="I66" s="100">
        <v>7.94</v>
      </c>
      <c r="J66" s="100">
        <v>1.7</v>
      </c>
      <c r="K66" s="100">
        <v>51.05</v>
      </c>
      <c r="L66" s="100">
        <v>27.07</v>
      </c>
      <c r="M66" s="100">
        <v>26.41</v>
      </c>
      <c r="N66" s="100">
        <v>125.4</v>
      </c>
      <c r="O66" s="100">
        <v>0</v>
      </c>
      <c r="P66" s="100">
        <v>0.6</v>
      </c>
      <c r="Q66" s="100">
        <v>12.54</v>
      </c>
      <c r="R66" s="6"/>
      <c r="S66" s="6"/>
      <c r="T66" s="156"/>
      <c r="U66" s="6"/>
    </row>
    <row r="67" spans="1:21" customFormat="1">
      <c r="A67" s="163" t="s">
        <v>1833</v>
      </c>
      <c r="B67" s="100">
        <v>7.53</v>
      </c>
      <c r="C67" s="100">
        <v>31.86</v>
      </c>
      <c r="D67" s="100">
        <v>24.03</v>
      </c>
      <c r="E67" s="100">
        <v>13.74</v>
      </c>
      <c r="F67" s="100">
        <v>1.68</v>
      </c>
      <c r="G67" s="100">
        <v>76.400000000000006</v>
      </c>
      <c r="H67" s="100">
        <v>36.67</v>
      </c>
      <c r="I67" s="100">
        <v>7.86</v>
      </c>
      <c r="J67" s="100">
        <v>1.66</v>
      </c>
      <c r="K67" s="100">
        <v>46.42</v>
      </c>
      <c r="L67" s="100">
        <v>26.93</v>
      </c>
      <c r="M67" s="100">
        <v>27.29</v>
      </c>
      <c r="N67" s="100">
        <v>93.6</v>
      </c>
      <c r="O67" s="100">
        <v>0</v>
      </c>
      <c r="P67" s="100">
        <v>0.59</v>
      </c>
      <c r="Q67" s="100">
        <v>12.54</v>
      </c>
      <c r="R67" s="6"/>
      <c r="S67" s="6"/>
      <c r="T67" s="156"/>
      <c r="U67" s="6"/>
    </row>
    <row r="68" spans="1:21" customFormat="1">
      <c r="A68" s="163" t="s">
        <v>1834</v>
      </c>
      <c r="B68" s="100">
        <v>6.97</v>
      </c>
      <c r="C68" s="100">
        <v>32.369999999999997</v>
      </c>
      <c r="D68" s="100">
        <v>23.85</v>
      </c>
      <c r="E68" s="100">
        <v>14.29</v>
      </c>
      <c r="F68" s="100">
        <v>6.86</v>
      </c>
      <c r="G68" s="100">
        <v>76.400000000000006</v>
      </c>
      <c r="H68" s="100">
        <v>36.67</v>
      </c>
      <c r="I68" s="100">
        <v>7.72</v>
      </c>
      <c r="J68" s="100">
        <v>1.33</v>
      </c>
      <c r="K68" s="100">
        <v>44.68</v>
      </c>
      <c r="L68" s="100">
        <v>26.98</v>
      </c>
      <c r="M68" s="100">
        <v>27.59</v>
      </c>
      <c r="N68" s="100">
        <v>79.599999999999994</v>
      </c>
      <c r="O68" s="100">
        <v>0</v>
      </c>
      <c r="P68" s="100">
        <v>0.59</v>
      </c>
      <c r="Q68" s="100">
        <v>12.54</v>
      </c>
      <c r="R68" s="6"/>
      <c r="S68" s="6"/>
      <c r="T68" s="156"/>
      <c r="U68" s="6"/>
    </row>
    <row r="69" spans="1:21" customFormat="1">
      <c r="A69" s="163" t="s">
        <v>1835</v>
      </c>
      <c r="B69" s="100">
        <v>6.58</v>
      </c>
      <c r="C69" s="100">
        <v>32.619999999999997</v>
      </c>
      <c r="D69" s="100">
        <v>23.67</v>
      </c>
      <c r="E69" s="100">
        <v>13.49</v>
      </c>
      <c r="F69" s="100">
        <v>0.66</v>
      </c>
      <c r="G69" s="100">
        <v>76.400000000000006</v>
      </c>
      <c r="H69" s="100">
        <v>36.67</v>
      </c>
      <c r="I69" s="100">
        <v>7.64</v>
      </c>
      <c r="J69" s="100">
        <v>1.34</v>
      </c>
      <c r="K69" s="100">
        <v>49.2</v>
      </c>
      <c r="L69" s="100">
        <v>27</v>
      </c>
      <c r="M69" s="100">
        <v>28.2</v>
      </c>
      <c r="N69" s="100">
        <v>68.5</v>
      </c>
      <c r="O69" s="100">
        <v>0</v>
      </c>
      <c r="P69" s="100">
        <v>0.6</v>
      </c>
      <c r="Q69" s="100">
        <v>12.54</v>
      </c>
      <c r="R69" s="6"/>
      <c r="S69" s="6"/>
      <c r="T69" s="156"/>
      <c r="U69" s="6"/>
    </row>
    <row r="70" spans="1:21" customFormat="1">
      <c r="A70" s="163" t="s">
        <v>1836</v>
      </c>
      <c r="B70" s="100">
        <v>6.19</v>
      </c>
      <c r="C70" s="100">
        <v>32.99</v>
      </c>
      <c r="D70" s="100">
        <v>23.55</v>
      </c>
      <c r="E70" s="100">
        <v>14.78</v>
      </c>
      <c r="F70" s="100">
        <v>1.22</v>
      </c>
      <c r="G70" s="100">
        <v>73.77</v>
      </c>
      <c r="H70" s="100">
        <v>37.04</v>
      </c>
      <c r="I70" s="100">
        <v>7.56</v>
      </c>
      <c r="J70" s="100">
        <v>1.19</v>
      </c>
      <c r="K70" s="100">
        <v>51.75</v>
      </c>
      <c r="L70" s="100">
        <v>27</v>
      </c>
      <c r="M70" s="100">
        <v>28.59</v>
      </c>
      <c r="N70" s="100">
        <v>61.7</v>
      </c>
      <c r="O70" s="100">
        <v>0</v>
      </c>
      <c r="P70" s="100">
        <v>0.59</v>
      </c>
      <c r="Q70" s="100">
        <v>12.54</v>
      </c>
      <c r="R70" s="6"/>
      <c r="S70" s="6"/>
      <c r="T70" s="156"/>
      <c r="U70" s="6"/>
    </row>
    <row r="71" spans="1:21" customFormat="1">
      <c r="A71" s="163" t="s">
        <v>1837</v>
      </c>
      <c r="B71" s="100">
        <v>5.96</v>
      </c>
      <c r="C71" s="100">
        <v>33.229999999999997</v>
      </c>
      <c r="D71" s="100">
        <v>23.49</v>
      </c>
      <c r="E71" s="100">
        <v>14.21</v>
      </c>
      <c r="F71" s="100">
        <v>2.46</v>
      </c>
      <c r="G71" s="100">
        <v>72.17</v>
      </c>
      <c r="H71" s="100">
        <v>37.11</v>
      </c>
      <c r="I71" s="100">
        <v>7.5</v>
      </c>
      <c r="J71" s="100">
        <v>1.26</v>
      </c>
      <c r="K71" s="100">
        <v>43.41</v>
      </c>
      <c r="L71" s="100">
        <v>26.89</v>
      </c>
      <c r="M71" s="100">
        <v>29.02</v>
      </c>
      <c r="N71" s="100">
        <v>58.8</v>
      </c>
      <c r="O71" s="100">
        <v>0</v>
      </c>
      <c r="P71" s="100">
        <v>0.59</v>
      </c>
      <c r="Q71" s="100">
        <v>12.54</v>
      </c>
      <c r="R71" s="6"/>
      <c r="S71" s="6"/>
      <c r="T71" s="156"/>
      <c r="U71" s="6"/>
    </row>
    <row r="72" spans="1:21" customFormat="1">
      <c r="A72" s="163" t="s">
        <v>1838</v>
      </c>
      <c r="B72" s="100">
        <v>5.77</v>
      </c>
      <c r="C72" s="100">
        <v>33.57</v>
      </c>
      <c r="D72" s="100">
        <v>23.52</v>
      </c>
      <c r="E72" s="100">
        <v>14.11</v>
      </c>
      <c r="F72" s="100">
        <v>3.09</v>
      </c>
      <c r="G72" s="100">
        <v>72.17</v>
      </c>
      <c r="H72" s="100">
        <v>37.11</v>
      </c>
      <c r="I72" s="100">
        <v>7.43</v>
      </c>
      <c r="J72" s="100">
        <v>1.1399999999999999</v>
      </c>
      <c r="K72" s="100">
        <v>50.26</v>
      </c>
      <c r="L72" s="100">
        <v>26.8</v>
      </c>
      <c r="M72" s="100">
        <v>29.34</v>
      </c>
      <c r="N72" s="100">
        <v>53.7</v>
      </c>
      <c r="O72" s="100">
        <v>0</v>
      </c>
      <c r="P72" s="100">
        <v>0.59</v>
      </c>
      <c r="Q72" s="100">
        <v>12.54</v>
      </c>
      <c r="R72" s="6"/>
      <c r="S72" s="6"/>
      <c r="T72" s="156"/>
      <c r="U72" s="6"/>
    </row>
    <row r="73" spans="1:21" customFormat="1">
      <c r="A73" s="163" t="s">
        <v>1839</v>
      </c>
      <c r="B73" s="100">
        <v>5.62</v>
      </c>
      <c r="C73" s="100">
        <v>33.659999999999997</v>
      </c>
      <c r="D73" s="100">
        <v>23.45</v>
      </c>
      <c r="E73" s="100">
        <v>13.6</v>
      </c>
      <c r="F73" s="100">
        <v>3.5</v>
      </c>
      <c r="G73" s="100">
        <v>72.17</v>
      </c>
      <c r="H73" s="100">
        <v>37.11</v>
      </c>
      <c r="I73" s="100">
        <v>7.39</v>
      </c>
      <c r="J73" s="100">
        <v>1.07</v>
      </c>
      <c r="K73" s="100">
        <v>54.5</v>
      </c>
      <c r="L73" s="100">
        <v>26.69</v>
      </c>
      <c r="M73" s="100">
        <v>29.87</v>
      </c>
      <c r="N73" s="100">
        <v>43.8</v>
      </c>
      <c r="O73" s="100">
        <v>0</v>
      </c>
      <c r="P73" s="100">
        <v>0.59</v>
      </c>
      <c r="Q73" s="100">
        <v>12.54</v>
      </c>
      <c r="R73" s="6"/>
      <c r="S73" s="6"/>
      <c r="T73" s="156"/>
      <c r="U73" s="6"/>
    </row>
    <row r="74" spans="1:21" customFormat="1">
      <c r="A74" s="163" t="s">
        <v>1840</v>
      </c>
      <c r="B74" s="100">
        <v>5.61</v>
      </c>
      <c r="C74" s="100">
        <v>33.86</v>
      </c>
      <c r="D74" s="100">
        <v>23.54</v>
      </c>
      <c r="E74" s="100">
        <v>16.54</v>
      </c>
      <c r="F74" s="100">
        <v>2.27</v>
      </c>
      <c r="G74" s="100">
        <v>72</v>
      </c>
      <c r="H74" s="100">
        <v>36.94</v>
      </c>
      <c r="I74" s="100">
        <v>7.38</v>
      </c>
      <c r="J74" s="100">
        <v>0.98</v>
      </c>
      <c r="K74" s="100">
        <v>45.52</v>
      </c>
      <c r="L74" s="100">
        <v>26.61</v>
      </c>
      <c r="M74" s="100">
        <v>30.37</v>
      </c>
      <c r="N74" s="100">
        <v>34.9</v>
      </c>
      <c r="O74" s="100">
        <v>0</v>
      </c>
      <c r="P74" s="100">
        <v>0.6</v>
      </c>
      <c r="Q74" s="100">
        <v>12.54</v>
      </c>
      <c r="R74" s="6"/>
      <c r="S74" s="6"/>
      <c r="T74" s="156"/>
      <c r="U74" s="6"/>
    </row>
    <row r="75" spans="1:21" customFormat="1">
      <c r="A75" s="163" t="s">
        <v>1841</v>
      </c>
      <c r="B75" s="100">
        <v>5.69</v>
      </c>
      <c r="C75" s="100">
        <v>34.04</v>
      </c>
      <c r="D75" s="100">
        <v>23.7</v>
      </c>
      <c r="E75" s="100">
        <v>13.27</v>
      </c>
      <c r="F75" s="100">
        <v>1.1599999999999999</v>
      </c>
      <c r="G75" s="100">
        <v>71.900000000000006</v>
      </c>
      <c r="H75" s="100">
        <v>36.909999999999997</v>
      </c>
      <c r="I75" s="100">
        <v>7.33</v>
      </c>
      <c r="J75" s="100">
        <v>1.01</v>
      </c>
      <c r="K75" s="100">
        <v>49.98</v>
      </c>
      <c r="L75" s="100">
        <v>26.4</v>
      </c>
      <c r="M75" s="100">
        <v>31.38</v>
      </c>
      <c r="N75" s="100">
        <v>28.3</v>
      </c>
      <c r="O75" s="100">
        <v>0</v>
      </c>
      <c r="P75" s="100">
        <v>0.6</v>
      </c>
      <c r="Q75" s="100">
        <v>12.54</v>
      </c>
      <c r="R75" s="6"/>
      <c r="S75" s="6"/>
      <c r="T75" s="156"/>
      <c r="U75" s="6"/>
    </row>
    <row r="76" spans="1:21" customFormat="1">
      <c r="A76" s="163" t="s">
        <v>1842</v>
      </c>
      <c r="B76" s="100">
        <v>5.69</v>
      </c>
      <c r="C76" s="100">
        <v>34.64</v>
      </c>
      <c r="D76" s="100">
        <v>24.01</v>
      </c>
      <c r="E76" s="100">
        <v>12.64</v>
      </c>
      <c r="F76" s="100">
        <v>0.28000000000000003</v>
      </c>
      <c r="G76" s="100">
        <v>71.900000000000006</v>
      </c>
      <c r="H76" s="100">
        <v>36.909999999999997</v>
      </c>
      <c r="I76" s="100">
        <v>7.31</v>
      </c>
      <c r="J76" s="100">
        <v>0.7</v>
      </c>
      <c r="K76" s="100">
        <v>55.26</v>
      </c>
      <c r="L76" s="100">
        <v>26.08</v>
      </c>
      <c r="M76" s="100">
        <v>32.04</v>
      </c>
      <c r="N76" s="100">
        <v>21.8</v>
      </c>
      <c r="O76" s="100">
        <v>0</v>
      </c>
      <c r="P76" s="100">
        <v>0.61</v>
      </c>
      <c r="Q76" s="100">
        <v>12.54</v>
      </c>
      <c r="R76" s="6"/>
      <c r="S76" s="6"/>
      <c r="T76" s="156"/>
      <c r="U76" s="6"/>
    </row>
    <row r="77" spans="1:21" customFormat="1">
      <c r="A77" s="163" t="s">
        <v>1843</v>
      </c>
      <c r="B77" s="100">
        <v>5.65</v>
      </c>
      <c r="C77" s="100">
        <v>35.07</v>
      </c>
      <c r="D77" s="100">
        <v>24.2</v>
      </c>
      <c r="E77" s="100">
        <v>12</v>
      </c>
      <c r="F77" s="100">
        <v>0.86</v>
      </c>
      <c r="G77" s="100">
        <v>71.900000000000006</v>
      </c>
      <c r="H77" s="100">
        <v>36.909999999999997</v>
      </c>
      <c r="I77" s="100">
        <v>7.3</v>
      </c>
      <c r="J77" s="100">
        <v>0.87</v>
      </c>
      <c r="K77" s="100">
        <v>52.46</v>
      </c>
      <c r="L77" s="100">
        <v>25.74</v>
      </c>
      <c r="M77" s="100">
        <v>31.28</v>
      </c>
      <c r="N77" s="100">
        <v>14.2</v>
      </c>
      <c r="O77" s="100">
        <v>0</v>
      </c>
      <c r="P77" s="100">
        <v>0.62</v>
      </c>
      <c r="Q77" s="100">
        <v>12.54</v>
      </c>
      <c r="R77" s="6"/>
      <c r="S77" s="6"/>
      <c r="T77" s="156"/>
      <c r="U77" s="6"/>
    </row>
    <row r="78" spans="1:21" customFormat="1">
      <c r="A78" s="163" t="s">
        <v>1844</v>
      </c>
      <c r="B78" s="100">
        <v>5.75</v>
      </c>
      <c r="C78" s="100">
        <v>35.32</v>
      </c>
      <c r="D78" s="100">
        <v>24.42</v>
      </c>
      <c r="E78" s="100">
        <v>11.06</v>
      </c>
      <c r="F78" s="100">
        <v>0.49</v>
      </c>
      <c r="G78" s="100">
        <v>70.23</v>
      </c>
      <c r="H78" s="100">
        <v>35.869999999999997</v>
      </c>
      <c r="I78" s="100">
        <v>7.33</v>
      </c>
      <c r="J78" s="100">
        <v>0.55000000000000004</v>
      </c>
      <c r="K78" s="100">
        <v>57.03</v>
      </c>
      <c r="L78" s="100">
        <v>25.24</v>
      </c>
      <c r="M78" s="100">
        <v>31.91</v>
      </c>
      <c r="N78" s="100">
        <v>7.7</v>
      </c>
      <c r="O78" s="100">
        <v>0</v>
      </c>
      <c r="P78" s="100">
        <v>0.63</v>
      </c>
      <c r="Q78" s="100">
        <v>12.54</v>
      </c>
      <c r="R78" s="6"/>
      <c r="S78" s="6"/>
      <c r="T78" s="156"/>
      <c r="U78" s="6"/>
    </row>
    <row r="79" spans="1:21" customFormat="1">
      <c r="A79" s="163" t="s">
        <v>1845</v>
      </c>
      <c r="B79" s="100">
        <v>5.98</v>
      </c>
      <c r="C79" s="100">
        <v>35.71</v>
      </c>
      <c r="D79" s="100">
        <v>24.8</v>
      </c>
      <c r="E79" s="100">
        <v>10.61</v>
      </c>
      <c r="F79" s="100">
        <v>4.59</v>
      </c>
      <c r="G79" s="100">
        <v>69.22</v>
      </c>
      <c r="H79" s="100">
        <v>35.659999999999997</v>
      </c>
      <c r="I79" s="100">
        <v>7.32</v>
      </c>
      <c r="J79" s="100">
        <v>0.56000000000000005</v>
      </c>
      <c r="K79" s="100">
        <v>57.14</v>
      </c>
      <c r="L79" s="100">
        <v>24.73</v>
      </c>
      <c r="M79" s="100">
        <v>33.39</v>
      </c>
      <c r="N79" s="100">
        <v>3.4</v>
      </c>
      <c r="O79" s="100">
        <v>0</v>
      </c>
      <c r="P79" s="100">
        <v>0.64</v>
      </c>
      <c r="Q79" s="100">
        <v>12.54</v>
      </c>
      <c r="R79" s="6"/>
      <c r="S79" s="6"/>
      <c r="T79" s="156"/>
      <c r="U79" s="6"/>
    </row>
    <row r="80" spans="1:21" customFormat="1">
      <c r="A80" s="163" t="s">
        <v>1846</v>
      </c>
      <c r="B80" s="100">
        <v>6.97</v>
      </c>
      <c r="C80" s="100">
        <v>35.96</v>
      </c>
      <c r="D80" s="100">
        <v>25.73</v>
      </c>
      <c r="E80" s="100">
        <v>10.220000000000001</v>
      </c>
      <c r="F80" s="100">
        <v>0.74</v>
      </c>
      <c r="G80" s="100">
        <v>69.22</v>
      </c>
      <c r="H80" s="100">
        <v>35.659999999999997</v>
      </c>
      <c r="I80" s="100">
        <v>7.35</v>
      </c>
      <c r="J80" s="100">
        <v>0.66</v>
      </c>
      <c r="K80" s="100">
        <v>52.93</v>
      </c>
      <c r="L80" s="100">
        <v>24.28</v>
      </c>
      <c r="M80" s="100">
        <v>34.49</v>
      </c>
      <c r="N80" s="100">
        <v>1.9</v>
      </c>
      <c r="O80" s="100">
        <v>0</v>
      </c>
      <c r="P80" s="100">
        <v>0.67</v>
      </c>
      <c r="Q80" s="100">
        <v>12.54</v>
      </c>
      <c r="R80" s="6"/>
      <c r="S80" s="6"/>
      <c r="T80" s="156"/>
      <c r="U80" s="6"/>
    </row>
    <row r="81" spans="1:21" customFormat="1">
      <c r="A81" s="163" t="s">
        <v>1847</v>
      </c>
      <c r="B81" s="100">
        <v>9.14</v>
      </c>
      <c r="C81" s="100">
        <v>36.78</v>
      </c>
      <c r="D81" s="100">
        <v>27.9</v>
      </c>
      <c r="E81" s="100">
        <v>9.0299999999999994</v>
      </c>
      <c r="F81" s="100">
        <v>12.85</v>
      </c>
      <c r="G81" s="100">
        <v>69.22</v>
      </c>
      <c r="H81" s="100">
        <v>35.659999999999997</v>
      </c>
      <c r="I81" s="100">
        <v>7.41</v>
      </c>
      <c r="J81" s="100">
        <v>0.48</v>
      </c>
      <c r="K81" s="100">
        <v>48.49</v>
      </c>
      <c r="L81" s="100">
        <v>23.81</v>
      </c>
      <c r="M81" s="100">
        <v>36.58</v>
      </c>
      <c r="N81" s="100">
        <v>1.7</v>
      </c>
      <c r="O81" s="100">
        <v>0</v>
      </c>
      <c r="P81" s="100">
        <v>0.68</v>
      </c>
      <c r="Q81" s="100">
        <v>12.54</v>
      </c>
      <c r="R81" s="6"/>
      <c r="S81" s="6"/>
      <c r="T81" s="156"/>
      <c r="U81" s="6"/>
    </row>
    <row r="82" spans="1:21" customFormat="1">
      <c r="A82" s="163" t="s">
        <v>1848</v>
      </c>
      <c r="B82" s="100">
        <v>10.96</v>
      </c>
      <c r="C82" s="100">
        <v>36.979999999999997</v>
      </c>
      <c r="D82" s="100">
        <v>29.46</v>
      </c>
      <c r="E82" s="100">
        <v>10.57</v>
      </c>
      <c r="F82" s="100">
        <v>44.47</v>
      </c>
      <c r="G82" s="100">
        <v>78.64</v>
      </c>
      <c r="H82" s="100">
        <v>33.93</v>
      </c>
      <c r="I82" s="100">
        <v>7.38</v>
      </c>
      <c r="J82" s="100">
        <v>0.55000000000000004</v>
      </c>
      <c r="K82" s="100">
        <v>47.17</v>
      </c>
      <c r="L82" s="100">
        <v>23.29</v>
      </c>
      <c r="M82" s="100">
        <v>38.549999999999997</v>
      </c>
      <c r="N82" s="100">
        <v>1.7</v>
      </c>
      <c r="O82" s="100">
        <v>0</v>
      </c>
      <c r="P82" s="100">
        <v>0.7</v>
      </c>
      <c r="Q82" s="100">
        <v>12.54</v>
      </c>
      <c r="R82" s="6"/>
      <c r="S82" s="6"/>
      <c r="T82" s="156"/>
      <c r="U82" s="6"/>
    </row>
    <row r="83" spans="1:21" customFormat="1">
      <c r="A83" s="163" t="s">
        <v>1849</v>
      </c>
      <c r="B83" s="100">
        <v>11.67</v>
      </c>
      <c r="C83" s="100">
        <v>36.15</v>
      </c>
      <c r="D83" s="100">
        <v>29.6</v>
      </c>
      <c r="E83" s="100">
        <v>10.71</v>
      </c>
      <c r="F83" s="100">
        <v>1.65</v>
      </c>
      <c r="G83" s="100">
        <v>84.36</v>
      </c>
      <c r="H83" s="100">
        <v>33.58</v>
      </c>
      <c r="I83" s="100">
        <v>7.52</v>
      </c>
      <c r="J83" s="100">
        <v>0.52</v>
      </c>
      <c r="K83" s="100">
        <v>43.79</v>
      </c>
      <c r="L83" s="100">
        <v>22.82</v>
      </c>
      <c r="M83" s="100">
        <v>39.46</v>
      </c>
      <c r="N83" s="100">
        <v>1.7</v>
      </c>
      <c r="O83" s="100">
        <v>0</v>
      </c>
      <c r="P83" s="100">
        <v>0.7</v>
      </c>
      <c r="Q83" s="100">
        <v>12.54</v>
      </c>
      <c r="R83" s="6"/>
      <c r="S83" s="6"/>
      <c r="T83" s="156"/>
      <c r="U83" s="6"/>
    </row>
    <row r="84" spans="1:21" customFormat="1">
      <c r="A84" s="163" t="s">
        <v>1850</v>
      </c>
      <c r="B84" s="100">
        <v>12.05</v>
      </c>
      <c r="C84" s="100">
        <v>34.89</v>
      </c>
      <c r="D84" s="100">
        <v>29.24</v>
      </c>
      <c r="E84" s="100">
        <v>10.87</v>
      </c>
      <c r="F84" s="100">
        <v>3.33</v>
      </c>
      <c r="G84" s="100">
        <v>84.36</v>
      </c>
      <c r="H84" s="100">
        <v>33.58</v>
      </c>
      <c r="I84" s="100">
        <v>7.69</v>
      </c>
      <c r="J84" s="100">
        <v>0.62</v>
      </c>
      <c r="K84" s="100">
        <v>42.47</v>
      </c>
      <c r="L84" s="100">
        <v>22.48</v>
      </c>
      <c r="M84" s="100">
        <v>40.25</v>
      </c>
      <c r="N84" s="100">
        <v>1.6</v>
      </c>
      <c r="O84" s="100">
        <v>0</v>
      </c>
      <c r="P84" s="100">
        <v>0.7</v>
      </c>
      <c r="Q84" s="100">
        <v>12.54</v>
      </c>
      <c r="R84" s="6"/>
      <c r="S84" s="6"/>
      <c r="T84" s="156"/>
      <c r="U84" s="6"/>
    </row>
    <row r="85" spans="1:21" customFormat="1">
      <c r="A85" s="163" t="s">
        <v>1851</v>
      </c>
      <c r="B85" s="100">
        <v>12.32</v>
      </c>
      <c r="C85" s="100">
        <v>33.880000000000003</v>
      </c>
      <c r="D85" s="100">
        <v>28.93</v>
      </c>
      <c r="E85" s="100">
        <v>10.5</v>
      </c>
      <c r="F85" s="100">
        <v>2.38</v>
      </c>
      <c r="G85" s="100">
        <v>84.36</v>
      </c>
      <c r="H85" s="100">
        <v>33.58</v>
      </c>
      <c r="I85" s="100">
        <v>8.0500000000000007</v>
      </c>
      <c r="J85" s="100">
        <v>0.79</v>
      </c>
      <c r="K85" s="100">
        <v>48.48</v>
      </c>
      <c r="L85" s="100">
        <v>22.19</v>
      </c>
      <c r="M85" s="100">
        <v>40.93</v>
      </c>
      <c r="N85" s="100">
        <v>1.4</v>
      </c>
      <c r="O85" s="100">
        <v>0</v>
      </c>
      <c r="P85" s="100">
        <v>0.71</v>
      </c>
      <c r="Q85" s="100">
        <v>12.54</v>
      </c>
      <c r="R85" s="6"/>
      <c r="S85" s="6"/>
      <c r="T85" s="156"/>
      <c r="U85" s="6"/>
    </row>
    <row r="86" spans="1:21" customFormat="1">
      <c r="A86" s="163" t="s">
        <v>1852</v>
      </c>
      <c r="B86" s="100">
        <v>12.8</v>
      </c>
      <c r="C86" s="100">
        <v>32.75</v>
      </c>
      <c r="D86" s="100">
        <v>28.72</v>
      </c>
      <c r="E86" s="100">
        <v>10.9</v>
      </c>
      <c r="F86" s="100">
        <v>44.99</v>
      </c>
      <c r="G86" s="100">
        <v>85.89</v>
      </c>
      <c r="H86" s="100">
        <v>33.94</v>
      </c>
      <c r="I86" s="100">
        <v>8.0399999999999991</v>
      </c>
      <c r="J86" s="100">
        <v>0.71</v>
      </c>
      <c r="K86" s="100">
        <v>45.21</v>
      </c>
      <c r="L86" s="100">
        <v>21.94</v>
      </c>
      <c r="M86" s="100">
        <v>41.38</v>
      </c>
      <c r="N86" s="100">
        <v>1.4</v>
      </c>
      <c r="O86" s="100">
        <v>0</v>
      </c>
      <c r="P86" s="100">
        <v>0.73</v>
      </c>
      <c r="Q86" s="100">
        <v>12.54</v>
      </c>
      <c r="R86" s="6"/>
      <c r="S86" s="6"/>
      <c r="T86" s="156"/>
      <c r="U86" s="6"/>
    </row>
    <row r="87" spans="1:21" customFormat="1">
      <c r="A87" s="163" t="s">
        <v>1853</v>
      </c>
      <c r="B87" s="100">
        <v>13.43</v>
      </c>
      <c r="C87" s="100">
        <v>31.86</v>
      </c>
      <c r="D87" s="100">
        <v>28.77</v>
      </c>
      <c r="E87" s="100">
        <v>11.04</v>
      </c>
      <c r="F87" s="100">
        <v>21.39</v>
      </c>
      <c r="G87" s="100">
        <v>86.82</v>
      </c>
      <c r="H87" s="100">
        <v>34.020000000000003</v>
      </c>
      <c r="I87" s="100">
        <v>8.1199999999999992</v>
      </c>
      <c r="J87" s="100">
        <v>0.68</v>
      </c>
      <c r="K87" s="100">
        <v>43.16</v>
      </c>
      <c r="L87" s="100">
        <v>21.66</v>
      </c>
      <c r="M87" s="100">
        <v>42.15</v>
      </c>
      <c r="N87" s="100">
        <v>1.5</v>
      </c>
      <c r="O87" s="100">
        <v>0</v>
      </c>
      <c r="P87" s="100">
        <v>0.73</v>
      </c>
      <c r="Q87" s="100">
        <v>12.54</v>
      </c>
      <c r="R87" s="6"/>
      <c r="S87" s="6"/>
      <c r="T87" s="156"/>
      <c r="U87" s="6"/>
    </row>
    <row r="88" spans="1:21" customFormat="1">
      <c r="A88" s="163" t="s">
        <v>1854</v>
      </c>
      <c r="B88" s="100">
        <v>14.04</v>
      </c>
      <c r="C88" s="100">
        <v>31</v>
      </c>
      <c r="D88" s="100">
        <v>28.81</v>
      </c>
      <c r="E88" s="100">
        <v>11.44</v>
      </c>
      <c r="F88" s="100">
        <v>0.66</v>
      </c>
      <c r="G88" s="100">
        <v>86.82</v>
      </c>
      <c r="H88" s="100">
        <v>34.020000000000003</v>
      </c>
      <c r="I88" s="100">
        <v>8.18</v>
      </c>
      <c r="J88" s="100">
        <v>0.65</v>
      </c>
      <c r="K88" s="100">
        <v>48.43</v>
      </c>
      <c r="L88" s="100">
        <v>21.44</v>
      </c>
      <c r="M88" s="100">
        <v>42.62</v>
      </c>
      <c r="N88" s="100">
        <v>1.4</v>
      </c>
      <c r="O88" s="100">
        <v>0</v>
      </c>
      <c r="P88" s="100">
        <v>0.74</v>
      </c>
      <c r="Q88" s="100">
        <v>12.54</v>
      </c>
      <c r="R88" s="6"/>
      <c r="S88" s="6"/>
      <c r="T88" s="156"/>
      <c r="U88" s="6"/>
    </row>
    <row r="89" spans="1:21" customFormat="1">
      <c r="A89" s="163" t="s">
        <v>1855</v>
      </c>
      <c r="B89" s="100">
        <v>14.84</v>
      </c>
      <c r="C89" s="100">
        <v>30.36</v>
      </c>
      <c r="D89" s="100">
        <v>29.11</v>
      </c>
      <c r="E89" s="100">
        <v>11.2</v>
      </c>
      <c r="F89" s="100">
        <v>1.8</v>
      </c>
      <c r="G89" s="100">
        <v>86.82</v>
      </c>
      <c r="H89" s="100">
        <v>34.020000000000003</v>
      </c>
      <c r="I89" s="100">
        <v>8.3000000000000007</v>
      </c>
      <c r="J89" s="100">
        <v>0.78</v>
      </c>
      <c r="K89" s="100">
        <v>57.52</v>
      </c>
      <c r="L89" s="100">
        <v>21.25</v>
      </c>
      <c r="M89" s="100">
        <v>43.14</v>
      </c>
      <c r="N89" s="100">
        <v>1.4</v>
      </c>
      <c r="O89" s="100">
        <v>0</v>
      </c>
      <c r="P89" s="100">
        <v>0.74</v>
      </c>
      <c r="Q89" s="100">
        <v>12.54</v>
      </c>
      <c r="R89" s="6"/>
      <c r="S89" s="6"/>
      <c r="T89" s="156"/>
      <c r="U89" s="6"/>
    </row>
    <row r="90" spans="1:21" customFormat="1">
      <c r="A90" s="163" t="s">
        <v>1856</v>
      </c>
      <c r="B90" s="100">
        <v>15.75</v>
      </c>
      <c r="C90" s="100">
        <v>29.81</v>
      </c>
      <c r="D90" s="100">
        <v>29.56</v>
      </c>
      <c r="E90" s="100">
        <v>11.07</v>
      </c>
      <c r="F90" s="100">
        <v>1.0900000000000001</v>
      </c>
      <c r="G90" s="100">
        <v>88.88</v>
      </c>
      <c r="H90" s="100">
        <v>32.020000000000003</v>
      </c>
      <c r="I90" s="100">
        <v>8.33</v>
      </c>
      <c r="J90" s="100">
        <v>0.71</v>
      </c>
      <c r="K90" s="100">
        <v>48.77</v>
      </c>
      <c r="L90" s="100">
        <v>21.1</v>
      </c>
      <c r="M90" s="100">
        <v>43.4</v>
      </c>
      <c r="N90" s="100">
        <v>1.4</v>
      </c>
      <c r="O90" s="100">
        <v>0</v>
      </c>
      <c r="P90" s="100">
        <v>0.75</v>
      </c>
      <c r="Q90" s="100">
        <v>12.54</v>
      </c>
      <c r="R90" s="6"/>
      <c r="S90" s="6"/>
      <c r="T90" s="156"/>
      <c r="U90" s="6"/>
    </row>
    <row r="91" spans="1:21" customFormat="1">
      <c r="A91" s="163" t="s">
        <v>1857</v>
      </c>
      <c r="B91" s="100">
        <v>16.5</v>
      </c>
      <c r="C91" s="100">
        <v>29.44</v>
      </c>
      <c r="D91" s="100">
        <v>29.96</v>
      </c>
      <c r="E91" s="100">
        <v>10.84</v>
      </c>
      <c r="F91" s="100">
        <v>0.67</v>
      </c>
      <c r="G91" s="100">
        <v>90.14</v>
      </c>
      <c r="H91" s="100">
        <v>31.31</v>
      </c>
      <c r="I91" s="100">
        <v>8.34</v>
      </c>
      <c r="J91" s="100">
        <v>0.82</v>
      </c>
      <c r="K91" s="100">
        <v>57.09</v>
      </c>
      <c r="L91" s="100">
        <v>20.97</v>
      </c>
      <c r="M91" s="100">
        <v>43.78</v>
      </c>
      <c r="N91" s="100">
        <v>1.4</v>
      </c>
      <c r="O91" s="100">
        <v>0</v>
      </c>
      <c r="P91" s="100">
        <v>0.76</v>
      </c>
      <c r="Q91" s="100">
        <v>12.54</v>
      </c>
      <c r="R91" s="6"/>
      <c r="S91" s="6"/>
      <c r="T91" s="156"/>
      <c r="U91" s="6"/>
    </row>
    <row r="92" spans="1:21" customFormat="1">
      <c r="A92" s="163" t="s">
        <v>1858</v>
      </c>
      <c r="B92" s="100">
        <v>17.13</v>
      </c>
      <c r="C92" s="100">
        <v>29.19</v>
      </c>
      <c r="D92" s="100">
        <v>30.34</v>
      </c>
      <c r="E92" s="100">
        <v>10.55</v>
      </c>
      <c r="F92" s="100">
        <v>1.6</v>
      </c>
      <c r="G92" s="100">
        <v>90.14</v>
      </c>
      <c r="H92" s="100">
        <v>31.31</v>
      </c>
      <c r="I92" s="100">
        <v>8.3699999999999992</v>
      </c>
      <c r="J92" s="100">
        <v>0.61</v>
      </c>
      <c r="K92" s="100">
        <v>58.74</v>
      </c>
      <c r="L92" s="100">
        <v>20.64</v>
      </c>
      <c r="M92" s="100">
        <v>45.34</v>
      </c>
      <c r="N92" s="100">
        <v>1.6</v>
      </c>
      <c r="O92" s="100">
        <v>0</v>
      </c>
      <c r="P92" s="100">
        <v>0.76</v>
      </c>
      <c r="Q92" s="100">
        <v>12.54</v>
      </c>
      <c r="R92" s="6"/>
      <c r="S92" s="6"/>
      <c r="T92" s="156"/>
      <c r="U92" s="6"/>
    </row>
    <row r="93" spans="1:21" customFormat="1">
      <c r="A93" s="163" t="s">
        <v>1859</v>
      </c>
      <c r="B93" s="100">
        <v>17.8</v>
      </c>
      <c r="C93" s="100">
        <v>28.75</v>
      </c>
      <c r="D93" s="100">
        <v>30.65</v>
      </c>
      <c r="E93" s="100">
        <v>11.63</v>
      </c>
      <c r="F93" s="100">
        <v>0.5</v>
      </c>
      <c r="G93" s="100">
        <v>90.14</v>
      </c>
      <c r="H93" s="100">
        <v>31.31</v>
      </c>
      <c r="I93" s="100">
        <v>8.61</v>
      </c>
      <c r="J93" s="100">
        <v>0.81</v>
      </c>
      <c r="K93" s="100">
        <v>54.42</v>
      </c>
      <c r="L93" s="100">
        <v>20.420000000000002</v>
      </c>
      <c r="M93" s="100">
        <v>46.11</v>
      </c>
      <c r="N93" s="100">
        <v>1.5</v>
      </c>
      <c r="O93" s="100">
        <v>0</v>
      </c>
      <c r="P93" s="100">
        <v>0.77</v>
      </c>
      <c r="Q93" s="100">
        <v>12.54</v>
      </c>
      <c r="R93" s="6"/>
      <c r="S93" s="6"/>
      <c r="T93" s="156"/>
      <c r="U93" s="6"/>
    </row>
    <row r="94" spans="1:21" customFormat="1">
      <c r="A94" s="163" t="s">
        <v>1860</v>
      </c>
      <c r="B94" s="100">
        <v>18.29</v>
      </c>
      <c r="C94" s="100">
        <v>28.25</v>
      </c>
      <c r="D94" s="100">
        <v>30.78</v>
      </c>
      <c r="E94" s="100">
        <v>11.07</v>
      </c>
      <c r="F94" s="100">
        <v>1.44</v>
      </c>
      <c r="G94" s="100">
        <v>88.36</v>
      </c>
      <c r="H94" s="100">
        <v>29.1</v>
      </c>
      <c r="I94" s="100">
        <v>8.65</v>
      </c>
      <c r="J94" s="100">
        <v>0.71</v>
      </c>
      <c r="K94" s="100">
        <v>56.25</v>
      </c>
      <c r="L94" s="100">
        <v>20.170000000000002</v>
      </c>
      <c r="M94" s="100">
        <v>47.01</v>
      </c>
      <c r="N94" s="100">
        <v>1.5</v>
      </c>
      <c r="O94" s="100">
        <v>0</v>
      </c>
      <c r="P94" s="100">
        <v>0.77</v>
      </c>
      <c r="Q94" s="100">
        <v>12.54</v>
      </c>
      <c r="R94" s="6"/>
      <c r="S94" s="6"/>
      <c r="T94" s="156"/>
      <c r="U94" s="6"/>
    </row>
    <row r="95" spans="1:21" customFormat="1">
      <c r="A95" s="163" t="s">
        <v>1861</v>
      </c>
      <c r="B95" s="100">
        <v>18.82</v>
      </c>
      <c r="C95" s="100">
        <v>27.96</v>
      </c>
      <c r="D95" s="100">
        <v>31.06</v>
      </c>
      <c r="E95" s="100">
        <v>10.96</v>
      </c>
      <c r="F95" s="100">
        <v>2.11</v>
      </c>
      <c r="G95" s="100">
        <v>87.29</v>
      </c>
      <c r="H95" s="100">
        <v>28.66</v>
      </c>
      <c r="I95" s="100">
        <v>8.4600000000000009</v>
      </c>
      <c r="J95" s="100">
        <v>0.64</v>
      </c>
      <c r="K95" s="100">
        <v>53.53</v>
      </c>
      <c r="L95" s="100">
        <v>19.920000000000002</v>
      </c>
      <c r="M95" s="100">
        <v>47.92</v>
      </c>
      <c r="N95" s="100">
        <v>1.5</v>
      </c>
      <c r="O95" s="100">
        <v>0</v>
      </c>
      <c r="P95" s="100">
        <v>0.77</v>
      </c>
      <c r="Q95" s="100">
        <v>12.54</v>
      </c>
      <c r="R95" s="6"/>
      <c r="S95" s="6"/>
      <c r="T95" s="156"/>
      <c r="U95" s="6"/>
    </row>
    <row r="96" spans="1:21" customFormat="1">
      <c r="A96" s="163" t="s">
        <v>1862</v>
      </c>
      <c r="B96" s="100">
        <v>19.489999999999998</v>
      </c>
      <c r="C96" s="100">
        <v>27.65</v>
      </c>
      <c r="D96" s="100">
        <v>31.43</v>
      </c>
      <c r="E96" s="100">
        <v>11.12</v>
      </c>
      <c r="F96" s="100">
        <v>1.05</v>
      </c>
      <c r="G96" s="100">
        <v>87.29</v>
      </c>
      <c r="H96" s="100">
        <v>28.66</v>
      </c>
      <c r="I96" s="100">
        <v>8.67</v>
      </c>
      <c r="J96" s="100">
        <v>0.67</v>
      </c>
      <c r="K96" s="100">
        <v>58.36</v>
      </c>
      <c r="L96" s="100">
        <v>19.82</v>
      </c>
      <c r="M96" s="100">
        <v>47.84</v>
      </c>
      <c r="N96" s="100">
        <v>1.4</v>
      </c>
      <c r="O96" s="100">
        <v>0</v>
      </c>
      <c r="P96" s="100">
        <v>0.78</v>
      </c>
      <c r="Q96" s="100">
        <v>12.54</v>
      </c>
      <c r="R96" s="6"/>
      <c r="S96" s="6"/>
      <c r="T96" s="156"/>
      <c r="U96" s="6"/>
    </row>
    <row r="97" spans="1:28" customFormat="1">
      <c r="A97" s="163" t="s">
        <v>1863</v>
      </c>
      <c r="B97" s="100">
        <v>20.11</v>
      </c>
      <c r="C97" s="100">
        <v>27.31</v>
      </c>
      <c r="D97" s="100">
        <v>31.74</v>
      </c>
      <c r="E97" s="100">
        <v>10.9</v>
      </c>
      <c r="F97" s="100">
        <v>0.91</v>
      </c>
      <c r="G97" s="100">
        <v>87.29</v>
      </c>
      <c r="H97" s="100">
        <v>28.66</v>
      </c>
      <c r="I97" s="100">
        <v>8.59</v>
      </c>
      <c r="J97" s="100">
        <v>0.64</v>
      </c>
      <c r="K97" s="100">
        <v>48.81</v>
      </c>
      <c r="L97" s="100">
        <v>19.59</v>
      </c>
      <c r="M97" s="100">
        <v>48.07</v>
      </c>
      <c r="N97" s="100">
        <v>1.4</v>
      </c>
      <c r="O97" s="100">
        <v>0</v>
      </c>
      <c r="P97" s="100">
        <v>0.78</v>
      </c>
      <c r="Q97" s="100">
        <v>12.54</v>
      </c>
      <c r="R97" s="6"/>
      <c r="S97" s="6"/>
      <c r="T97" s="156"/>
      <c r="U97" s="6"/>
    </row>
    <row r="98" spans="1:28" customFormat="1">
      <c r="A98" s="163" t="s">
        <v>1864</v>
      </c>
      <c r="B98" s="100">
        <v>20.62</v>
      </c>
      <c r="C98" s="100">
        <v>27.14</v>
      </c>
      <c r="D98" s="100">
        <v>32.06</v>
      </c>
      <c r="E98" s="100">
        <v>11.5</v>
      </c>
      <c r="F98" s="100">
        <v>1.37</v>
      </c>
      <c r="G98" s="100">
        <v>85.51</v>
      </c>
      <c r="H98" s="100">
        <v>27.16</v>
      </c>
      <c r="I98" s="100">
        <v>8.84</v>
      </c>
      <c r="J98" s="100">
        <v>0.53</v>
      </c>
      <c r="K98" s="100">
        <v>53.45</v>
      </c>
      <c r="L98" s="100">
        <v>19.34</v>
      </c>
      <c r="M98" s="100">
        <v>48.63</v>
      </c>
      <c r="N98" s="100">
        <v>1.5</v>
      </c>
      <c r="O98" s="100">
        <v>0</v>
      </c>
      <c r="P98" s="100">
        <v>0.77</v>
      </c>
      <c r="Q98" s="100">
        <v>12.54</v>
      </c>
      <c r="R98" s="6"/>
      <c r="S98" s="6"/>
      <c r="T98" s="156"/>
      <c r="U98" s="6"/>
    </row>
    <row r="99" spans="1:28" customFormat="1">
      <c r="A99" s="163" t="s">
        <v>1865</v>
      </c>
      <c r="B99" s="100">
        <v>21.02</v>
      </c>
      <c r="C99" s="100">
        <v>27</v>
      </c>
      <c r="D99" s="100">
        <v>32.31</v>
      </c>
      <c r="E99" s="100">
        <v>11.77</v>
      </c>
      <c r="F99" s="100">
        <v>0.79</v>
      </c>
      <c r="G99" s="100">
        <v>84.43</v>
      </c>
      <c r="H99" s="100">
        <v>26.86</v>
      </c>
      <c r="I99" s="100">
        <v>8.93</v>
      </c>
      <c r="J99" s="100">
        <v>0.5</v>
      </c>
      <c r="K99" s="100">
        <v>43.14</v>
      </c>
      <c r="L99" s="100">
        <v>19.100000000000001</v>
      </c>
      <c r="M99" s="100">
        <v>49.38</v>
      </c>
      <c r="N99" s="100">
        <v>1.3</v>
      </c>
      <c r="O99" s="100">
        <v>0</v>
      </c>
      <c r="P99" s="100">
        <v>0.77</v>
      </c>
      <c r="Q99" s="100">
        <v>12.54</v>
      </c>
      <c r="R99" s="6"/>
      <c r="S99" s="6"/>
      <c r="T99" s="156"/>
      <c r="U99" s="6"/>
    </row>
    <row r="100" spans="1:28" customFormat="1">
      <c r="A100" s="163" t="s">
        <v>1866</v>
      </c>
      <c r="B100" s="100">
        <v>21.66</v>
      </c>
      <c r="C100" s="100">
        <v>26.79</v>
      </c>
      <c r="D100" s="100">
        <v>32.71</v>
      </c>
      <c r="E100" s="100">
        <v>11.23</v>
      </c>
      <c r="F100" s="100">
        <v>0.66</v>
      </c>
      <c r="G100" s="100">
        <v>84.43</v>
      </c>
      <c r="H100" s="100">
        <v>26.86</v>
      </c>
      <c r="I100" s="100">
        <v>8.75</v>
      </c>
      <c r="J100" s="100">
        <v>0.51</v>
      </c>
      <c r="K100" s="100">
        <v>36.770000000000003</v>
      </c>
      <c r="L100" s="100">
        <v>18.98</v>
      </c>
      <c r="M100" s="100">
        <v>49.81</v>
      </c>
      <c r="N100" s="100">
        <v>1.3</v>
      </c>
      <c r="O100" s="100">
        <v>0</v>
      </c>
      <c r="P100" s="100">
        <v>0.77</v>
      </c>
      <c r="Q100" s="100">
        <v>12.54</v>
      </c>
      <c r="R100" s="6"/>
      <c r="S100" s="6"/>
      <c r="T100" s="156"/>
      <c r="U100" s="6"/>
      <c r="AB100" s="161"/>
    </row>
    <row r="101" spans="1:28" customFormat="1">
      <c r="A101" s="163" t="s">
        <v>1867</v>
      </c>
      <c r="B101" s="100">
        <v>22.28</v>
      </c>
      <c r="C101" s="100">
        <v>26.75</v>
      </c>
      <c r="D101" s="100">
        <v>33.200000000000003</v>
      </c>
      <c r="E101" s="100">
        <v>11.19</v>
      </c>
      <c r="F101" s="100">
        <v>2.78</v>
      </c>
      <c r="G101" s="100">
        <v>84.43</v>
      </c>
      <c r="H101" s="100">
        <v>26.86</v>
      </c>
      <c r="I101" s="100">
        <v>8.73</v>
      </c>
      <c r="J101" s="100">
        <v>0.4</v>
      </c>
      <c r="K101" s="100">
        <v>39.299999999999997</v>
      </c>
      <c r="L101" s="100">
        <v>18.760000000000002</v>
      </c>
      <c r="M101" s="100">
        <v>50.86</v>
      </c>
      <c r="N101" s="100">
        <v>1.3</v>
      </c>
      <c r="O101" s="100">
        <v>0</v>
      </c>
      <c r="P101" s="100">
        <v>0.78</v>
      </c>
      <c r="Q101" s="100">
        <v>12.54</v>
      </c>
      <c r="R101" s="6"/>
      <c r="S101" s="6"/>
      <c r="T101" s="156"/>
      <c r="U101" s="6"/>
    </row>
    <row r="102" spans="1:28" customFormat="1">
      <c r="A102" s="163" t="s">
        <v>1868</v>
      </c>
      <c r="B102" s="100">
        <v>23.22</v>
      </c>
      <c r="C102" s="100">
        <v>26.88</v>
      </c>
      <c r="D102" s="100">
        <v>34.020000000000003</v>
      </c>
      <c r="E102" s="100">
        <v>10.84</v>
      </c>
      <c r="F102" s="100">
        <v>2.84</v>
      </c>
      <c r="G102" s="100">
        <v>83.37</v>
      </c>
      <c r="H102" s="100">
        <v>25.82</v>
      </c>
      <c r="I102" s="100">
        <v>8.9499999999999993</v>
      </c>
      <c r="J102" s="100">
        <v>0.39</v>
      </c>
      <c r="K102" s="100">
        <v>34.590000000000003</v>
      </c>
      <c r="L102" s="100">
        <v>18.600000000000001</v>
      </c>
      <c r="M102" s="100">
        <v>51.89</v>
      </c>
      <c r="N102" s="100">
        <v>1.3</v>
      </c>
      <c r="O102" s="100">
        <v>0</v>
      </c>
      <c r="P102" s="100">
        <v>0.78</v>
      </c>
      <c r="Q102" s="100">
        <v>12.54</v>
      </c>
      <c r="R102" s="6"/>
      <c r="S102" s="6"/>
      <c r="T102" s="156"/>
      <c r="U102" s="6"/>
    </row>
    <row r="103" spans="1:28" customFormat="1">
      <c r="A103" s="163" t="s">
        <v>1869</v>
      </c>
      <c r="B103" s="100">
        <v>24.37</v>
      </c>
      <c r="C103" s="100">
        <v>27.04</v>
      </c>
      <c r="D103" s="100">
        <v>35.020000000000003</v>
      </c>
      <c r="E103" s="100">
        <v>11.22</v>
      </c>
      <c r="F103" s="100">
        <v>4.2300000000000004</v>
      </c>
      <c r="G103" s="100">
        <v>82.73</v>
      </c>
      <c r="H103" s="100">
        <v>25.62</v>
      </c>
      <c r="I103" s="100">
        <v>8.7799999999999994</v>
      </c>
      <c r="J103" s="100">
        <v>0.39</v>
      </c>
      <c r="K103" s="100">
        <v>34.229999999999997</v>
      </c>
      <c r="L103" s="100">
        <v>18.46</v>
      </c>
      <c r="M103" s="100">
        <v>52.6</v>
      </c>
      <c r="N103" s="100">
        <v>1.3</v>
      </c>
      <c r="O103" s="100">
        <v>0</v>
      </c>
      <c r="P103" s="100">
        <v>0.78</v>
      </c>
      <c r="Q103" s="100">
        <v>12.54</v>
      </c>
      <c r="R103" s="6"/>
      <c r="S103" s="6"/>
      <c r="T103" s="156"/>
      <c r="U103" s="6"/>
    </row>
    <row r="104" spans="1:28" customFormat="1">
      <c r="A104" s="163" t="s">
        <v>1870</v>
      </c>
      <c r="B104" s="100">
        <v>24.97</v>
      </c>
      <c r="C104" s="100">
        <v>27.25</v>
      </c>
      <c r="D104" s="100">
        <v>35.61</v>
      </c>
      <c r="E104" s="100">
        <v>11.39</v>
      </c>
      <c r="F104" s="100">
        <v>13.85</v>
      </c>
      <c r="G104" s="100">
        <v>82.73</v>
      </c>
      <c r="H104" s="100">
        <v>25.62</v>
      </c>
      <c r="I104" s="100">
        <v>8.7899999999999991</v>
      </c>
      <c r="J104" s="100">
        <v>0.42</v>
      </c>
      <c r="K104" s="100">
        <v>46.6</v>
      </c>
      <c r="L104" s="100">
        <v>18.329999999999998</v>
      </c>
      <c r="M104" s="100">
        <v>53.64</v>
      </c>
      <c r="N104" s="100">
        <v>1.3</v>
      </c>
      <c r="O104" s="100">
        <v>0</v>
      </c>
      <c r="P104" s="100">
        <v>0.78</v>
      </c>
      <c r="Q104" s="100">
        <v>12.54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5.61</v>
      </c>
      <c r="C106" s="158">
        <f>MIN(C9:C104)</f>
        <v>24.56</v>
      </c>
      <c r="D106" s="158">
        <f t="shared" ref="D106:Q106" si="0">MIN(D9:D104)</f>
        <v>22.31</v>
      </c>
      <c r="E106" s="158">
        <f t="shared" si="0"/>
        <v>8.01</v>
      </c>
      <c r="F106" s="158">
        <f t="shared" si="0"/>
        <v>0.28000000000000003</v>
      </c>
      <c r="G106" s="158">
        <f t="shared" si="0"/>
        <v>58.76</v>
      </c>
      <c r="H106" s="158">
        <f t="shared" si="0"/>
        <v>18.690000000000001</v>
      </c>
      <c r="I106" s="158">
        <f t="shared" si="0"/>
        <v>7.3</v>
      </c>
      <c r="J106" s="158">
        <f t="shared" si="0"/>
        <v>0.32</v>
      </c>
      <c r="K106" s="158">
        <f t="shared" si="0"/>
        <v>28.09</v>
      </c>
      <c r="L106" s="158">
        <f t="shared" si="0"/>
        <v>17.18</v>
      </c>
      <c r="M106" s="158">
        <f t="shared" si="0"/>
        <v>20.58</v>
      </c>
      <c r="N106" s="158">
        <f t="shared" si="0"/>
        <v>1.3</v>
      </c>
      <c r="O106" s="158">
        <f t="shared" si="0"/>
        <v>0</v>
      </c>
      <c r="P106" s="158">
        <f t="shared" si="0"/>
        <v>0.59</v>
      </c>
      <c r="Q106" s="158">
        <f t="shared" si="0"/>
        <v>12.54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24.97</v>
      </c>
      <c r="C107" s="157">
        <f t="shared" ref="C107:Q107" si="1">MAX(C9:C104)</f>
        <v>36.979999999999997</v>
      </c>
      <c r="D107" s="157">
        <f t="shared" si="1"/>
        <v>35.61</v>
      </c>
      <c r="E107" s="157">
        <f t="shared" si="1"/>
        <v>18.91</v>
      </c>
      <c r="F107" s="157">
        <f t="shared" si="1"/>
        <v>44.99</v>
      </c>
      <c r="G107" s="157">
        <f t="shared" si="1"/>
        <v>93.44</v>
      </c>
      <c r="H107" s="157">
        <f t="shared" si="1"/>
        <v>37.11</v>
      </c>
      <c r="I107" s="157">
        <f t="shared" si="1"/>
        <v>10.25</v>
      </c>
      <c r="J107" s="157">
        <f t="shared" si="1"/>
        <v>1.7</v>
      </c>
      <c r="K107" s="157">
        <f t="shared" si="1"/>
        <v>70.28</v>
      </c>
      <c r="L107" s="157">
        <f t="shared" si="1"/>
        <v>27.52</v>
      </c>
      <c r="M107" s="157">
        <f t="shared" si="1"/>
        <v>63.79</v>
      </c>
      <c r="N107" s="157">
        <f t="shared" si="1"/>
        <v>406.8</v>
      </c>
      <c r="O107" s="157">
        <f t="shared" si="1"/>
        <v>0</v>
      </c>
      <c r="P107" s="157">
        <f t="shared" si="1"/>
        <v>0.84</v>
      </c>
      <c r="Q107" s="157">
        <f t="shared" si="1"/>
        <v>12.54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13.104270833333331</v>
      </c>
      <c r="C108" s="158">
        <f t="shared" ref="C108:Q108" si="2">AVERAGE(C9:C104)</f>
        <v>28.375208333333333</v>
      </c>
      <c r="D108" s="158">
        <f t="shared" si="2"/>
        <v>26.685000000000006</v>
      </c>
      <c r="E108" s="158">
        <f t="shared" si="2"/>
        <v>10.967604166666669</v>
      </c>
      <c r="F108" s="158">
        <f t="shared" si="2"/>
        <v>3.725208333333335</v>
      </c>
      <c r="G108" s="158">
        <f t="shared" si="2"/>
        <v>72.78125</v>
      </c>
      <c r="H108" s="158">
        <f t="shared" si="2"/>
        <v>27.244375000000005</v>
      </c>
      <c r="I108" s="158">
        <f t="shared" si="2"/>
        <v>8.4494791666666629</v>
      </c>
      <c r="J108" s="158">
        <f t="shared" si="2"/>
        <v>0.80708333333333349</v>
      </c>
      <c r="K108" s="158">
        <f t="shared" si="2"/>
        <v>49.386249999999997</v>
      </c>
      <c r="L108" s="158">
        <f t="shared" si="2"/>
        <v>21.763541666666665</v>
      </c>
      <c r="M108" s="158">
        <f t="shared" si="2"/>
        <v>43.984166666666681</v>
      </c>
      <c r="N108" s="158">
        <f t="shared" si="2"/>
        <v>83.64687499999998</v>
      </c>
      <c r="O108" s="158">
        <f t="shared" si="2"/>
        <v>0</v>
      </c>
      <c r="P108" s="158">
        <f t="shared" si="2"/>
        <v>0.68822916666666734</v>
      </c>
      <c r="Q108" s="158">
        <f t="shared" si="2"/>
        <v>12.539999999999983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4.7009145235215835</v>
      </c>
      <c r="C109" s="158">
        <f t="shared" ref="C109:Q109" si="3">STDEV(C9:C104)</f>
        <v>3.5287224404030106</v>
      </c>
      <c r="D109" s="158">
        <f t="shared" si="3"/>
        <v>3.2786964675485635</v>
      </c>
      <c r="E109" s="158">
        <f t="shared" si="3"/>
        <v>2.0555003205989419</v>
      </c>
      <c r="F109" s="158">
        <f t="shared" si="3"/>
        <v>6.7916994197897136</v>
      </c>
      <c r="G109" s="158">
        <f t="shared" si="3"/>
        <v>9.693243794683065</v>
      </c>
      <c r="H109" s="158">
        <f t="shared" si="3"/>
        <v>6.1204516194734753</v>
      </c>
      <c r="I109" s="158">
        <f t="shared" si="3"/>
        <v>0.66542961159123082</v>
      </c>
      <c r="J109" s="158">
        <f t="shared" si="3"/>
        <v>0.34674703859143369</v>
      </c>
      <c r="K109" s="158">
        <f t="shared" si="3"/>
        <v>6.7547641277139885</v>
      </c>
      <c r="L109" s="158">
        <f t="shared" si="3"/>
        <v>3.4592369037318584</v>
      </c>
      <c r="M109" s="158">
        <f t="shared" si="3"/>
        <v>12.684787380054576</v>
      </c>
      <c r="N109" s="158">
        <f t="shared" si="3"/>
        <v>133.62246813366227</v>
      </c>
      <c r="O109" s="158">
        <f t="shared" si="3"/>
        <v>0</v>
      </c>
      <c r="P109" s="158">
        <f t="shared" si="3"/>
        <v>6.4497976984458347E-2</v>
      </c>
      <c r="Q109" s="158">
        <f t="shared" si="3"/>
        <v>1.6071134501595139E-14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Q9" sqref="Q9:Q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18/01/2025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1871</v>
      </c>
      <c r="B9" s="100">
        <v>26.15</v>
      </c>
      <c r="C9" s="100">
        <v>27.5</v>
      </c>
      <c r="D9" s="100">
        <v>36.69</v>
      </c>
      <c r="E9" s="100">
        <v>10.83</v>
      </c>
      <c r="F9" s="100">
        <v>2.77</v>
      </c>
      <c r="G9" s="100">
        <v>82.73</v>
      </c>
      <c r="H9" s="100">
        <v>25.62</v>
      </c>
      <c r="I9" s="100">
        <v>8.8000000000000007</v>
      </c>
      <c r="J9" s="100">
        <v>0.37</v>
      </c>
      <c r="K9" s="100">
        <v>39.770000000000003</v>
      </c>
      <c r="L9" s="100">
        <v>18.239999999999998</v>
      </c>
      <c r="M9" s="100">
        <v>55.08</v>
      </c>
      <c r="N9" s="100">
        <v>1.3</v>
      </c>
      <c r="O9" s="100">
        <v>0</v>
      </c>
      <c r="P9" s="100">
        <v>0.78</v>
      </c>
      <c r="Q9" s="100">
        <v>11.24</v>
      </c>
      <c r="R9" s="6"/>
      <c r="S9" s="6"/>
      <c r="T9" s="156"/>
      <c r="U9" s="6"/>
    </row>
    <row r="10" spans="1:21" customFormat="1">
      <c r="A10" s="163" t="s">
        <v>1872</v>
      </c>
      <c r="B10" s="100">
        <v>27.21</v>
      </c>
      <c r="C10" s="100">
        <v>27.51</v>
      </c>
      <c r="D10" s="100">
        <v>37.549999999999997</v>
      </c>
      <c r="E10" s="100">
        <v>11.01</v>
      </c>
      <c r="F10" s="100">
        <v>0.81</v>
      </c>
      <c r="G10" s="100">
        <v>83.7</v>
      </c>
      <c r="H10" s="100">
        <v>26.07</v>
      </c>
      <c r="I10" s="100">
        <v>9.0299999999999994</v>
      </c>
      <c r="J10" s="100">
        <v>0.37</v>
      </c>
      <c r="K10" s="100">
        <v>23.16</v>
      </c>
      <c r="L10" s="100">
        <v>18.12</v>
      </c>
      <c r="M10" s="100">
        <v>55.9</v>
      </c>
      <c r="N10" s="100">
        <v>1.2</v>
      </c>
      <c r="O10" s="100">
        <v>0</v>
      </c>
      <c r="P10" s="100">
        <v>0.78</v>
      </c>
      <c r="Q10" s="100">
        <v>11.24</v>
      </c>
      <c r="R10" s="6"/>
      <c r="S10" s="6"/>
      <c r="T10" s="156"/>
      <c r="U10" s="6"/>
    </row>
    <row r="11" spans="1:21" customFormat="1">
      <c r="A11" s="163" t="s">
        <v>1873</v>
      </c>
      <c r="B11" s="100">
        <v>28.63</v>
      </c>
      <c r="C11" s="100">
        <v>27.73</v>
      </c>
      <c r="D11" s="100">
        <v>38.79</v>
      </c>
      <c r="E11" s="100">
        <v>11.12</v>
      </c>
      <c r="F11" s="100">
        <v>2.46</v>
      </c>
      <c r="G11" s="100">
        <v>84.28</v>
      </c>
      <c r="H11" s="100">
        <v>26.16</v>
      </c>
      <c r="I11" s="100">
        <v>8.84</v>
      </c>
      <c r="J11" s="100">
        <v>0.25</v>
      </c>
      <c r="K11" s="100">
        <v>38.49</v>
      </c>
      <c r="L11" s="100">
        <v>18.02</v>
      </c>
      <c r="M11" s="100">
        <v>56.38</v>
      </c>
      <c r="N11" s="100">
        <v>1.3</v>
      </c>
      <c r="O11" s="100">
        <v>0</v>
      </c>
      <c r="P11" s="100">
        <v>0.78</v>
      </c>
      <c r="Q11" s="100">
        <v>11.24</v>
      </c>
      <c r="R11" s="6"/>
      <c r="S11" s="6"/>
      <c r="T11" s="156"/>
      <c r="U11" s="6"/>
    </row>
    <row r="12" spans="1:21" customFormat="1">
      <c r="A12" s="163" t="s">
        <v>1874</v>
      </c>
      <c r="B12" s="100">
        <v>29.77</v>
      </c>
      <c r="C12" s="100">
        <v>27.68</v>
      </c>
      <c r="D12" s="100">
        <v>39.69</v>
      </c>
      <c r="E12" s="100">
        <v>10.84</v>
      </c>
      <c r="F12" s="100">
        <v>0.53</v>
      </c>
      <c r="G12" s="100">
        <v>84.28</v>
      </c>
      <c r="H12" s="100">
        <v>26.16</v>
      </c>
      <c r="I12" s="100">
        <v>8.8699999999999992</v>
      </c>
      <c r="J12" s="100">
        <v>0.17</v>
      </c>
      <c r="K12" s="100">
        <v>213.52</v>
      </c>
      <c r="L12" s="100">
        <v>17.350000000000001</v>
      </c>
      <c r="M12" s="100">
        <v>67.67</v>
      </c>
      <c r="N12" s="100">
        <v>1.9</v>
      </c>
      <c r="O12" s="100">
        <v>0</v>
      </c>
      <c r="P12" s="100">
        <v>0.78</v>
      </c>
      <c r="Q12" s="100">
        <v>11.24</v>
      </c>
      <c r="R12" s="6"/>
      <c r="S12" s="6"/>
      <c r="T12" s="156"/>
      <c r="U12" s="6"/>
    </row>
    <row r="13" spans="1:21" customFormat="1">
      <c r="A13" s="163" t="s">
        <v>1875</v>
      </c>
      <c r="B13" s="100">
        <v>29.97</v>
      </c>
      <c r="C13" s="100">
        <v>27.47</v>
      </c>
      <c r="D13" s="100">
        <v>39.74</v>
      </c>
      <c r="E13" s="100">
        <v>10.54</v>
      </c>
      <c r="F13" s="100">
        <v>6.82</v>
      </c>
      <c r="G13" s="100">
        <v>84.28</v>
      </c>
      <c r="H13" s="100">
        <v>26.16</v>
      </c>
      <c r="I13" s="100">
        <v>8.93</v>
      </c>
      <c r="J13" s="100">
        <v>0.33</v>
      </c>
      <c r="K13" s="100">
        <v>10.74</v>
      </c>
      <c r="L13" s="100">
        <v>17.13</v>
      </c>
      <c r="M13" s="100">
        <v>60.97</v>
      </c>
      <c r="N13" s="100">
        <v>1.2</v>
      </c>
      <c r="O13" s="100">
        <v>0</v>
      </c>
      <c r="P13" s="100">
        <v>0.79</v>
      </c>
      <c r="Q13" s="100">
        <v>11.24</v>
      </c>
      <c r="R13" s="6"/>
      <c r="S13" s="6"/>
      <c r="T13" s="156"/>
      <c r="U13" s="6"/>
    </row>
    <row r="14" spans="1:21" customFormat="1">
      <c r="A14" s="163" t="s">
        <v>1876</v>
      </c>
      <c r="B14" s="100">
        <v>30.35</v>
      </c>
      <c r="C14" s="100">
        <v>27.39</v>
      </c>
      <c r="D14" s="100">
        <v>40</v>
      </c>
      <c r="E14" s="100">
        <v>10.81</v>
      </c>
      <c r="F14" s="100">
        <v>1.24</v>
      </c>
      <c r="G14" s="100">
        <v>84.24</v>
      </c>
      <c r="H14" s="100">
        <v>24.49</v>
      </c>
      <c r="I14" s="100">
        <v>8.93</v>
      </c>
      <c r="J14" s="100">
        <v>0.28000000000000003</v>
      </c>
      <c r="K14" s="100">
        <v>35.5</v>
      </c>
      <c r="L14" s="100">
        <v>17.37</v>
      </c>
      <c r="M14" s="100">
        <v>58.62</v>
      </c>
      <c r="N14" s="100">
        <v>0.9</v>
      </c>
      <c r="O14" s="100">
        <v>0</v>
      </c>
      <c r="P14" s="100">
        <v>0.77</v>
      </c>
      <c r="Q14" s="100">
        <v>11.24</v>
      </c>
      <c r="R14" s="6"/>
      <c r="S14" s="6"/>
      <c r="T14" s="156"/>
      <c r="U14" s="6"/>
    </row>
    <row r="15" spans="1:21" customFormat="1">
      <c r="A15" s="163" t="s">
        <v>1877</v>
      </c>
      <c r="B15" s="100">
        <v>30.51</v>
      </c>
      <c r="C15" s="100">
        <v>27.41</v>
      </c>
      <c r="D15" s="100">
        <v>40.14</v>
      </c>
      <c r="E15" s="100">
        <v>10.63</v>
      </c>
      <c r="F15" s="100">
        <v>0.7</v>
      </c>
      <c r="G15" s="100">
        <v>84.21</v>
      </c>
      <c r="H15" s="100">
        <v>24.13</v>
      </c>
      <c r="I15" s="100">
        <v>8.92</v>
      </c>
      <c r="J15" s="100">
        <v>0.37</v>
      </c>
      <c r="K15" s="100">
        <v>32.99</v>
      </c>
      <c r="L15" s="100">
        <v>17.32</v>
      </c>
      <c r="M15" s="100">
        <v>58.54</v>
      </c>
      <c r="N15" s="100">
        <v>1.2</v>
      </c>
      <c r="O15" s="100">
        <v>0</v>
      </c>
      <c r="P15" s="100">
        <v>0.78</v>
      </c>
      <c r="Q15" s="100">
        <v>11.24</v>
      </c>
      <c r="R15" s="6"/>
      <c r="S15" s="6"/>
      <c r="T15" s="156"/>
      <c r="U15" s="6"/>
    </row>
    <row r="16" spans="1:21" customFormat="1">
      <c r="A16" s="163" t="s">
        <v>1878</v>
      </c>
      <c r="B16" s="100">
        <v>30.61</v>
      </c>
      <c r="C16" s="100">
        <v>27.31</v>
      </c>
      <c r="D16" s="100">
        <v>40.159999999999997</v>
      </c>
      <c r="E16" s="100">
        <v>10.98</v>
      </c>
      <c r="F16" s="100">
        <v>1.74</v>
      </c>
      <c r="G16" s="100">
        <v>84.21</v>
      </c>
      <c r="H16" s="100">
        <v>24.13</v>
      </c>
      <c r="I16" s="100">
        <v>8.9600000000000009</v>
      </c>
      <c r="J16" s="100">
        <v>0.51</v>
      </c>
      <c r="K16" s="100">
        <v>43.06</v>
      </c>
      <c r="L16" s="100">
        <v>17.18</v>
      </c>
      <c r="M16" s="100">
        <v>58.85</v>
      </c>
      <c r="N16" s="100">
        <v>1.2</v>
      </c>
      <c r="O16" s="100">
        <v>0</v>
      </c>
      <c r="P16" s="100">
        <v>0.78</v>
      </c>
      <c r="Q16" s="100">
        <v>11.24</v>
      </c>
      <c r="R16" s="6"/>
      <c r="S16" s="6"/>
      <c r="T16" s="156"/>
      <c r="U16" s="6"/>
    </row>
    <row r="17" spans="1:21" customFormat="1">
      <c r="A17" s="163" t="s">
        <v>1879</v>
      </c>
      <c r="B17" s="100">
        <v>30.38</v>
      </c>
      <c r="C17" s="100">
        <v>27.29</v>
      </c>
      <c r="D17" s="100">
        <v>39.97</v>
      </c>
      <c r="E17" s="100">
        <v>9.84</v>
      </c>
      <c r="F17" s="100">
        <v>3.76</v>
      </c>
      <c r="G17" s="100">
        <v>84.21</v>
      </c>
      <c r="H17" s="100">
        <v>24.13</v>
      </c>
      <c r="I17" s="100">
        <v>8.9499999999999993</v>
      </c>
      <c r="J17" s="100">
        <v>0.39</v>
      </c>
      <c r="K17" s="100">
        <v>52.33</v>
      </c>
      <c r="L17" s="100">
        <v>17.09</v>
      </c>
      <c r="M17" s="100">
        <v>59.4</v>
      </c>
      <c r="N17" s="100">
        <v>1.3</v>
      </c>
      <c r="O17" s="100">
        <v>0</v>
      </c>
      <c r="P17" s="100">
        <v>0.78</v>
      </c>
      <c r="Q17" s="100">
        <v>11.24</v>
      </c>
      <c r="R17" s="6"/>
      <c r="S17" s="6"/>
      <c r="T17" s="156"/>
      <c r="U17" s="6"/>
    </row>
    <row r="18" spans="1:21" customFormat="1">
      <c r="A18" s="163" t="s">
        <v>1880</v>
      </c>
      <c r="B18" s="100">
        <v>30.29</v>
      </c>
      <c r="C18" s="100">
        <v>27.13</v>
      </c>
      <c r="D18" s="100">
        <v>39.82</v>
      </c>
      <c r="E18" s="100">
        <v>11.45</v>
      </c>
      <c r="F18" s="100">
        <v>5.53</v>
      </c>
      <c r="G18" s="100">
        <v>82.07</v>
      </c>
      <c r="H18" s="100">
        <v>23.88</v>
      </c>
      <c r="I18" s="100">
        <v>8.94</v>
      </c>
      <c r="J18" s="100">
        <v>0.28000000000000003</v>
      </c>
      <c r="K18" s="100">
        <v>57.21</v>
      </c>
      <c r="L18" s="100">
        <v>16.89</v>
      </c>
      <c r="M18" s="100">
        <v>61.21</v>
      </c>
      <c r="N18" s="100">
        <v>1.4</v>
      </c>
      <c r="O18" s="100">
        <v>0</v>
      </c>
      <c r="P18" s="100">
        <v>0.77</v>
      </c>
      <c r="Q18" s="100">
        <v>11.24</v>
      </c>
      <c r="R18" s="6"/>
      <c r="S18" s="6"/>
      <c r="T18" s="156"/>
      <c r="U18" s="6"/>
    </row>
    <row r="19" spans="1:21" customFormat="1">
      <c r="A19" s="163" t="s">
        <v>1881</v>
      </c>
      <c r="B19" s="100">
        <v>29.96</v>
      </c>
      <c r="C19" s="100">
        <v>26.81</v>
      </c>
      <c r="D19" s="100">
        <v>39.380000000000003</v>
      </c>
      <c r="E19" s="100">
        <v>11.4</v>
      </c>
      <c r="F19" s="100">
        <v>0.18</v>
      </c>
      <c r="G19" s="100">
        <v>80.77</v>
      </c>
      <c r="H19" s="100">
        <v>23.78</v>
      </c>
      <c r="I19" s="100">
        <v>8.9</v>
      </c>
      <c r="J19" s="100">
        <v>0.21</v>
      </c>
      <c r="K19" s="100">
        <v>72.48</v>
      </c>
      <c r="L19" s="100">
        <v>16.68</v>
      </c>
      <c r="M19" s="100">
        <v>62.97</v>
      </c>
      <c r="N19" s="100">
        <v>1.4</v>
      </c>
      <c r="O19" s="100">
        <v>0</v>
      </c>
      <c r="P19" s="100">
        <v>0.76</v>
      </c>
      <c r="Q19" s="100">
        <v>11.24</v>
      </c>
      <c r="R19" s="6"/>
      <c r="S19" s="6"/>
      <c r="T19" s="156"/>
      <c r="U19" s="6"/>
    </row>
    <row r="20" spans="1:21" customFormat="1">
      <c r="A20" s="163" t="s">
        <v>1882</v>
      </c>
      <c r="B20" s="100">
        <v>29.51</v>
      </c>
      <c r="C20" s="100">
        <v>26.47</v>
      </c>
      <c r="D20" s="100">
        <v>38.85</v>
      </c>
      <c r="E20" s="100">
        <v>11.32</v>
      </c>
      <c r="F20" s="100">
        <v>0.57999999999999996</v>
      </c>
      <c r="G20" s="100">
        <v>80.77</v>
      </c>
      <c r="H20" s="100">
        <v>23.78</v>
      </c>
      <c r="I20" s="100">
        <v>8.85</v>
      </c>
      <c r="J20" s="100">
        <v>0.14000000000000001</v>
      </c>
      <c r="K20" s="100">
        <v>108.47</v>
      </c>
      <c r="L20" s="100">
        <v>16.29</v>
      </c>
      <c r="M20" s="100">
        <v>67.17</v>
      </c>
      <c r="N20" s="100">
        <v>1.5</v>
      </c>
      <c r="O20" s="100">
        <v>0</v>
      </c>
      <c r="P20" s="100">
        <v>0.76</v>
      </c>
      <c r="Q20" s="100">
        <v>11.24</v>
      </c>
      <c r="R20" s="6"/>
      <c r="S20" s="6"/>
      <c r="T20" s="156"/>
      <c r="U20" s="6"/>
    </row>
    <row r="21" spans="1:21" customFormat="1">
      <c r="A21" s="163" t="s">
        <v>1883</v>
      </c>
      <c r="B21" s="100">
        <v>28.93</v>
      </c>
      <c r="C21" s="100">
        <v>26.29</v>
      </c>
      <c r="D21" s="100">
        <v>38.29</v>
      </c>
      <c r="E21" s="100">
        <v>10.64</v>
      </c>
      <c r="F21" s="100">
        <v>1.65</v>
      </c>
      <c r="G21" s="100">
        <v>80.77</v>
      </c>
      <c r="H21" s="100">
        <v>23.78</v>
      </c>
      <c r="I21" s="100">
        <v>8.84</v>
      </c>
      <c r="J21" s="100">
        <v>0.28999999999999998</v>
      </c>
      <c r="K21" s="100">
        <v>68.64</v>
      </c>
      <c r="L21" s="100">
        <v>16.100000000000001</v>
      </c>
      <c r="M21" s="100">
        <v>65.239999999999995</v>
      </c>
      <c r="N21" s="100">
        <v>1.2</v>
      </c>
      <c r="O21" s="100">
        <v>0</v>
      </c>
      <c r="P21" s="100">
        <v>0.75</v>
      </c>
      <c r="Q21" s="100">
        <v>11.24</v>
      </c>
      <c r="R21" s="6"/>
      <c r="S21" s="6"/>
      <c r="T21" s="156"/>
      <c r="U21" s="6"/>
    </row>
    <row r="22" spans="1:21" customFormat="1">
      <c r="A22" s="163" t="s">
        <v>1884</v>
      </c>
      <c r="B22" s="100">
        <v>28.71</v>
      </c>
      <c r="C22" s="100">
        <v>26.2</v>
      </c>
      <c r="D22" s="100">
        <v>38.06</v>
      </c>
      <c r="E22" s="100">
        <v>10.97</v>
      </c>
      <c r="F22" s="100">
        <v>0.26</v>
      </c>
      <c r="G22" s="100">
        <v>77.11</v>
      </c>
      <c r="H22" s="100">
        <v>22.98</v>
      </c>
      <c r="I22" s="100">
        <v>8.83</v>
      </c>
      <c r="J22" s="100">
        <v>0.35</v>
      </c>
      <c r="K22" s="100">
        <v>56.57</v>
      </c>
      <c r="L22" s="100">
        <v>16.28</v>
      </c>
      <c r="M22" s="100">
        <v>63.62</v>
      </c>
      <c r="N22" s="100">
        <v>1.1000000000000001</v>
      </c>
      <c r="O22" s="100">
        <v>0</v>
      </c>
      <c r="P22" s="100">
        <v>0.75</v>
      </c>
      <c r="Q22" s="100">
        <v>11.24</v>
      </c>
      <c r="R22" s="6"/>
      <c r="S22" s="6"/>
      <c r="T22" s="156"/>
      <c r="U22" s="6"/>
    </row>
    <row r="23" spans="1:21" customFormat="1">
      <c r="A23" s="163" t="s">
        <v>1885</v>
      </c>
      <c r="B23" s="100">
        <v>28.59</v>
      </c>
      <c r="C23" s="100">
        <v>26.02</v>
      </c>
      <c r="D23" s="100">
        <v>37.869999999999997</v>
      </c>
      <c r="E23" s="100">
        <v>11.05</v>
      </c>
      <c r="F23" s="100">
        <v>0.68</v>
      </c>
      <c r="G23" s="100">
        <v>74.88</v>
      </c>
      <c r="H23" s="100">
        <v>22.81</v>
      </c>
      <c r="I23" s="100">
        <v>8.8000000000000007</v>
      </c>
      <c r="J23" s="100">
        <v>0.35</v>
      </c>
      <c r="K23" s="100">
        <v>44.94</v>
      </c>
      <c r="L23" s="100">
        <v>16.27</v>
      </c>
      <c r="M23" s="100">
        <v>63.83</v>
      </c>
      <c r="N23" s="100">
        <v>1.3</v>
      </c>
      <c r="O23" s="100">
        <v>0</v>
      </c>
      <c r="P23" s="100">
        <v>0.74</v>
      </c>
      <c r="Q23" s="100">
        <v>11.24</v>
      </c>
      <c r="R23" s="6"/>
      <c r="S23" s="6"/>
      <c r="T23" s="156"/>
      <c r="U23" s="6"/>
    </row>
    <row r="24" spans="1:21" customFormat="1">
      <c r="A24" s="163" t="s">
        <v>1886</v>
      </c>
      <c r="B24" s="100">
        <v>28.56</v>
      </c>
      <c r="C24" s="100">
        <v>25.88</v>
      </c>
      <c r="D24" s="100">
        <v>37.78</v>
      </c>
      <c r="E24" s="100">
        <v>11.32</v>
      </c>
      <c r="F24" s="100">
        <v>0.66</v>
      </c>
      <c r="G24" s="100">
        <v>74.88</v>
      </c>
      <c r="H24" s="100">
        <v>22.81</v>
      </c>
      <c r="I24" s="100">
        <v>8.84</v>
      </c>
      <c r="J24" s="100">
        <v>0.24</v>
      </c>
      <c r="K24" s="100">
        <v>51.38</v>
      </c>
      <c r="L24" s="100">
        <v>16.21</v>
      </c>
      <c r="M24" s="100">
        <v>64.239999999999995</v>
      </c>
      <c r="N24" s="100">
        <v>1.3</v>
      </c>
      <c r="O24" s="100">
        <v>0</v>
      </c>
      <c r="P24" s="100">
        <v>0.74</v>
      </c>
      <c r="Q24" s="100">
        <v>11.24</v>
      </c>
      <c r="R24" s="6"/>
      <c r="S24" s="6"/>
      <c r="T24" s="156"/>
      <c r="U24" s="6"/>
    </row>
    <row r="25" spans="1:21" customFormat="1">
      <c r="A25" s="163" t="s">
        <v>1887</v>
      </c>
      <c r="B25" s="100">
        <v>28.76</v>
      </c>
      <c r="C25" s="100">
        <v>25.84</v>
      </c>
      <c r="D25" s="100">
        <v>37.92</v>
      </c>
      <c r="E25" s="100">
        <v>11.18</v>
      </c>
      <c r="F25" s="100">
        <v>2.78</v>
      </c>
      <c r="G25" s="100">
        <v>74.88</v>
      </c>
      <c r="H25" s="100">
        <v>22.81</v>
      </c>
      <c r="I25" s="100">
        <v>8.84</v>
      </c>
      <c r="J25" s="100">
        <v>0.14000000000000001</v>
      </c>
      <c r="K25" s="100">
        <v>142.93</v>
      </c>
      <c r="L25" s="100">
        <v>15.94</v>
      </c>
      <c r="M25" s="100">
        <v>68.64</v>
      </c>
      <c r="N25" s="100">
        <v>1.5</v>
      </c>
      <c r="O25" s="100">
        <v>0</v>
      </c>
      <c r="P25" s="100">
        <v>0.74</v>
      </c>
      <c r="Q25" s="100">
        <v>11.24</v>
      </c>
      <c r="R25" s="6"/>
      <c r="S25" s="6"/>
      <c r="T25" s="156"/>
      <c r="U25" s="6"/>
    </row>
    <row r="26" spans="1:21" customFormat="1">
      <c r="A26" s="163" t="s">
        <v>1888</v>
      </c>
      <c r="B26" s="100">
        <v>28.54</v>
      </c>
      <c r="C26" s="100">
        <v>25.91</v>
      </c>
      <c r="D26" s="100">
        <v>37.78</v>
      </c>
      <c r="E26" s="100">
        <v>10.85</v>
      </c>
      <c r="F26" s="100">
        <v>0.75</v>
      </c>
      <c r="G26" s="100">
        <v>75.430000000000007</v>
      </c>
      <c r="H26" s="100">
        <v>23.04</v>
      </c>
      <c r="I26" s="100">
        <v>8.9700000000000006</v>
      </c>
      <c r="J26" s="100">
        <v>0.06</v>
      </c>
      <c r="K26" s="100">
        <v>100.03</v>
      </c>
      <c r="L26" s="100">
        <v>15.46</v>
      </c>
      <c r="M26" s="100">
        <v>73.48</v>
      </c>
      <c r="N26" s="100">
        <v>1.4</v>
      </c>
      <c r="O26" s="100">
        <v>0</v>
      </c>
      <c r="P26" s="100">
        <v>0.74</v>
      </c>
      <c r="Q26" s="100">
        <v>11.24</v>
      </c>
      <c r="R26" s="6"/>
      <c r="S26" s="6"/>
      <c r="T26" s="156"/>
      <c r="U26" s="6"/>
    </row>
    <row r="27" spans="1:21" customFormat="1">
      <c r="A27" s="163" t="s">
        <v>1889</v>
      </c>
      <c r="B27" s="100">
        <v>28.53</v>
      </c>
      <c r="C27" s="100">
        <v>25.84</v>
      </c>
      <c r="D27" s="100">
        <v>37.729999999999997</v>
      </c>
      <c r="E27" s="100">
        <v>10.65</v>
      </c>
      <c r="F27" s="100">
        <v>0.67</v>
      </c>
      <c r="G27" s="100">
        <v>75.77</v>
      </c>
      <c r="H27" s="100">
        <v>23.1</v>
      </c>
      <c r="I27" s="100">
        <v>8.81</v>
      </c>
      <c r="J27" s="100">
        <v>0.03</v>
      </c>
      <c r="K27" s="100">
        <v>104.61</v>
      </c>
      <c r="L27" s="100">
        <v>15.28</v>
      </c>
      <c r="M27" s="100">
        <v>72.59</v>
      </c>
      <c r="N27" s="100">
        <v>1.2</v>
      </c>
      <c r="O27" s="100">
        <v>0</v>
      </c>
      <c r="P27" s="100">
        <v>0.73</v>
      </c>
      <c r="Q27" s="100">
        <v>11.24</v>
      </c>
      <c r="R27" s="6"/>
      <c r="S27" s="6"/>
      <c r="T27" s="156"/>
      <c r="U27" s="6"/>
    </row>
    <row r="28" spans="1:21" customFormat="1">
      <c r="A28" s="163" t="s">
        <v>1890</v>
      </c>
      <c r="B28" s="100">
        <v>28.77</v>
      </c>
      <c r="C28" s="100">
        <v>25.8</v>
      </c>
      <c r="D28" s="100">
        <v>37.9</v>
      </c>
      <c r="E28" s="100">
        <v>10.53</v>
      </c>
      <c r="F28" s="100">
        <v>0.4</v>
      </c>
      <c r="G28" s="100">
        <v>75.77</v>
      </c>
      <c r="H28" s="100">
        <v>23.1</v>
      </c>
      <c r="I28" s="100">
        <v>8.98</v>
      </c>
      <c r="J28" s="100">
        <v>0.09</v>
      </c>
      <c r="K28" s="100">
        <v>70.45</v>
      </c>
      <c r="L28" s="100">
        <v>15.09</v>
      </c>
      <c r="M28" s="100">
        <v>71.989999999999995</v>
      </c>
      <c r="N28" s="100">
        <v>1.2</v>
      </c>
      <c r="O28" s="100">
        <v>0</v>
      </c>
      <c r="P28" s="100">
        <v>0.72</v>
      </c>
      <c r="Q28" s="100">
        <v>11.24</v>
      </c>
      <c r="R28" s="6"/>
      <c r="S28" s="6"/>
      <c r="T28" s="156"/>
      <c r="U28" s="6"/>
    </row>
    <row r="29" spans="1:21" customFormat="1">
      <c r="A29" s="163" t="s">
        <v>1891</v>
      </c>
      <c r="B29" s="100">
        <v>29.45</v>
      </c>
      <c r="C29" s="100">
        <v>25.9</v>
      </c>
      <c r="D29" s="100">
        <v>38.5</v>
      </c>
      <c r="E29" s="100">
        <v>10.33</v>
      </c>
      <c r="F29" s="100">
        <v>0.72</v>
      </c>
      <c r="G29" s="100">
        <v>75.77</v>
      </c>
      <c r="H29" s="100">
        <v>23.1</v>
      </c>
      <c r="I29" s="100">
        <v>9.01</v>
      </c>
      <c r="J29" s="100">
        <v>0.31</v>
      </c>
      <c r="K29" s="100">
        <v>34.369999999999997</v>
      </c>
      <c r="L29" s="100">
        <v>15.28</v>
      </c>
      <c r="M29" s="100">
        <v>68.709999999999994</v>
      </c>
      <c r="N29" s="100">
        <v>0.9</v>
      </c>
      <c r="O29" s="100">
        <v>0</v>
      </c>
      <c r="P29" s="100">
        <v>0.72</v>
      </c>
      <c r="Q29" s="100">
        <v>11.24</v>
      </c>
      <c r="R29" s="6"/>
      <c r="S29" s="6"/>
      <c r="T29" s="156"/>
      <c r="U29" s="6"/>
    </row>
    <row r="30" spans="1:21" customFormat="1">
      <c r="A30" s="163" t="s">
        <v>1892</v>
      </c>
      <c r="B30" s="100">
        <v>30.46</v>
      </c>
      <c r="C30" s="100">
        <v>26.11</v>
      </c>
      <c r="D30" s="100">
        <v>39.42</v>
      </c>
      <c r="E30" s="100">
        <v>10.67</v>
      </c>
      <c r="F30" s="100">
        <v>0.46</v>
      </c>
      <c r="G30" s="100">
        <v>74.36</v>
      </c>
      <c r="H30" s="100">
        <v>22.76</v>
      </c>
      <c r="I30" s="100">
        <v>8.85</v>
      </c>
      <c r="J30" s="100">
        <v>0.4</v>
      </c>
      <c r="K30" s="100">
        <v>52.99</v>
      </c>
      <c r="L30" s="100">
        <v>15.39</v>
      </c>
      <c r="M30" s="100">
        <v>68.02</v>
      </c>
      <c r="N30" s="100">
        <v>1</v>
      </c>
      <c r="O30" s="100">
        <v>0</v>
      </c>
      <c r="P30" s="100">
        <v>0.73</v>
      </c>
      <c r="Q30" s="100">
        <v>11.24</v>
      </c>
      <c r="R30" s="6"/>
      <c r="S30" s="6"/>
      <c r="T30" s="156"/>
      <c r="U30" s="6"/>
    </row>
    <row r="31" spans="1:21" customFormat="1">
      <c r="A31" s="163" t="s">
        <v>1893</v>
      </c>
      <c r="B31" s="100">
        <v>31.36</v>
      </c>
      <c r="C31" s="100">
        <v>26.25</v>
      </c>
      <c r="D31" s="100">
        <v>40.22</v>
      </c>
      <c r="E31" s="100">
        <v>10.85</v>
      </c>
      <c r="F31" s="100">
        <v>1.1599999999999999</v>
      </c>
      <c r="G31" s="100">
        <v>73.510000000000005</v>
      </c>
      <c r="H31" s="100">
        <v>22.68</v>
      </c>
      <c r="I31" s="100">
        <v>8.84</v>
      </c>
      <c r="J31" s="100">
        <v>0.23</v>
      </c>
      <c r="K31" s="100">
        <v>49.84</v>
      </c>
      <c r="L31" s="100">
        <v>15.37</v>
      </c>
      <c r="M31" s="100">
        <v>69.5</v>
      </c>
      <c r="N31" s="100">
        <v>1.2</v>
      </c>
      <c r="O31" s="100">
        <v>0</v>
      </c>
      <c r="P31" s="100">
        <v>0.73</v>
      </c>
      <c r="Q31" s="100">
        <v>11.24</v>
      </c>
      <c r="R31" s="6"/>
      <c r="S31" s="6"/>
      <c r="T31" s="156"/>
      <c r="U31" s="6"/>
    </row>
    <row r="32" spans="1:21" customFormat="1">
      <c r="A32" s="163" t="s">
        <v>1894</v>
      </c>
      <c r="B32" s="100">
        <v>32.14</v>
      </c>
      <c r="C32" s="100">
        <v>26.26</v>
      </c>
      <c r="D32" s="100">
        <v>40.85</v>
      </c>
      <c r="E32" s="100">
        <v>10.8</v>
      </c>
      <c r="F32" s="100">
        <v>0.36</v>
      </c>
      <c r="G32" s="100">
        <v>73.510000000000005</v>
      </c>
      <c r="H32" s="100">
        <v>22.68</v>
      </c>
      <c r="I32" s="100">
        <v>8.8800000000000008</v>
      </c>
      <c r="J32" s="100">
        <v>0.35</v>
      </c>
      <c r="K32" s="100">
        <v>27.84</v>
      </c>
      <c r="L32" s="100">
        <v>15.23</v>
      </c>
      <c r="M32" s="100">
        <v>69.92</v>
      </c>
      <c r="N32" s="100">
        <v>1.2</v>
      </c>
      <c r="O32" s="100">
        <v>0</v>
      </c>
      <c r="P32" s="100">
        <v>0.74</v>
      </c>
      <c r="Q32" s="100">
        <v>11.24</v>
      </c>
      <c r="R32" s="6"/>
      <c r="S32" s="6"/>
      <c r="T32" s="156"/>
      <c r="U32" s="6"/>
    </row>
    <row r="33" spans="1:21" customFormat="1">
      <c r="A33" s="163" t="s">
        <v>1895</v>
      </c>
      <c r="B33" s="100">
        <v>32.94</v>
      </c>
      <c r="C33" s="100">
        <v>26.32</v>
      </c>
      <c r="D33" s="100">
        <v>41.52</v>
      </c>
      <c r="E33" s="100">
        <v>10.79</v>
      </c>
      <c r="F33" s="100">
        <v>0.56000000000000005</v>
      </c>
      <c r="G33" s="100">
        <v>73.510000000000005</v>
      </c>
      <c r="H33" s="100">
        <v>22.68</v>
      </c>
      <c r="I33" s="100">
        <v>9.09</v>
      </c>
      <c r="J33" s="100">
        <v>0.39</v>
      </c>
      <c r="K33" s="100">
        <v>48.78</v>
      </c>
      <c r="L33" s="100">
        <v>15.18</v>
      </c>
      <c r="M33" s="100">
        <v>69.66</v>
      </c>
      <c r="N33" s="100">
        <v>1.3</v>
      </c>
      <c r="O33" s="100">
        <v>0</v>
      </c>
      <c r="P33" s="100">
        <v>0.74</v>
      </c>
      <c r="Q33" s="100">
        <v>11.24</v>
      </c>
      <c r="R33" s="6"/>
      <c r="S33" s="6"/>
      <c r="T33" s="156"/>
      <c r="U33" s="6"/>
    </row>
    <row r="34" spans="1:21" customFormat="1">
      <c r="A34" s="163" t="s">
        <v>1896</v>
      </c>
      <c r="B34" s="100">
        <v>33.869999999999997</v>
      </c>
      <c r="C34" s="100">
        <v>26.73</v>
      </c>
      <c r="D34" s="100">
        <v>42.48</v>
      </c>
      <c r="E34" s="100">
        <v>10.97</v>
      </c>
      <c r="F34" s="100">
        <v>0.42</v>
      </c>
      <c r="G34" s="100">
        <v>77.66</v>
      </c>
      <c r="H34" s="100">
        <v>21.57</v>
      </c>
      <c r="I34" s="100">
        <v>9</v>
      </c>
      <c r="J34" s="100">
        <v>0.39</v>
      </c>
      <c r="K34" s="100">
        <v>43</v>
      </c>
      <c r="L34" s="100">
        <v>15.1</v>
      </c>
      <c r="M34" s="100">
        <v>70.28</v>
      </c>
      <c r="N34" s="100">
        <v>1.4</v>
      </c>
      <c r="O34" s="100">
        <v>0</v>
      </c>
      <c r="P34" s="100">
        <v>0.75</v>
      </c>
      <c r="Q34" s="100">
        <v>11.24</v>
      </c>
      <c r="R34" s="6"/>
      <c r="S34" s="6"/>
      <c r="T34" s="156"/>
      <c r="U34" s="6"/>
    </row>
    <row r="35" spans="1:21" customFormat="1">
      <c r="A35" s="163" t="s">
        <v>1897</v>
      </c>
      <c r="B35" s="100">
        <v>35.19</v>
      </c>
      <c r="C35" s="100">
        <v>26.83</v>
      </c>
      <c r="D35" s="100">
        <v>43.59</v>
      </c>
      <c r="E35" s="100">
        <v>10.53</v>
      </c>
      <c r="F35" s="100">
        <v>1.54</v>
      </c>
      <c r="G35" s="100">
        <v>80.180000000000007</v>
      </c>
      <c r="H35" s="100">
        <v>21.33</v>
      </c>
      <c r="I35" s="100">
        <v>9.1199999999999992</v>
      </c>
      <c r="J35" s="100">
        <v>0.31</v>
      </c>
      <c r="K35" s="100">
        <v>41.09</v>
      </c>
      <c r="L35" s="100">
        <v>15.01</v>
      </c>
      <c r="M35" s="100">
        <v>70.489999999999995</v>
      </c>
      <c r="N35" s="100">
        <v>2.6</v>
      </c>
      <c r="O35" s="100">
        <v>0</v>
      </c>
      <c r="P35" s="100">
        <v>0.77</v>
      </c>
      <c r="Q35" s="100">
        <v>11.24</v>
      </c>
      <c r="R35" s="6"/>
      <c r="S35" s="6"/>
      <c r="T35" s="156"/>
      <c r="U35" s="6"/>
    </row>
    <row r="36" spans="1:21" customFormat="1">
      <c r="A36" s="163" t="s">
        <v>1898</v>
      </c>
      <c r="B36" s="100">
        <v>36.64</v>
      </c>
      <c r="C36" s="100">
        <v>27.03</v>
      </c>
      <c r="D36" s="100">
        <v>44.85</v>
      </c>
      <c r="E36" s="100">
        <v>11.27</v>
      </c>
      <c r="F36" s="100">
        <v>1.97</v>
      </c>
      <c r="G36" s="100">
        <v>80.180000000000007</v>
      </c>
      <c r="H36" s="100">
        <v>21.33</v>
      </c>
      <c r="I36" s="100">
        <v>9.2799999999999994</v>
      </c>
      <c r="J36" s="100">
        <v>0.23</v>
      </c>
      <c r="K36" s="100">
        <v>63.1</v>
      </c>
      <c r="L36" s="100">
        <v>15.02</v>
      </c>
      <c r="M36" s="100">
        <v>71.12</v>
      </c>
      <c r="N36" s="100">
        <v>6.9</v>
      </c>
      <c r="O36" s="100">
        <v>0</v>
      </c>
      <c r="P36" s="100">
        <v>0.79</v>
      </c>
      <c r="Q36" s="100">
        <v>11.24</v>
      </c>
      <c r="R36" s="6"/>
      <c r="S36" s="6"/>
      <c r="T36" s="156"/>
      <c r="U36" s="6"/>
    </row>
    <row r="37" spans="1:21" customFormat="1">
      <c r="A37" s="163" t="s">
        <v>1899</v>
      </c>
      <c r="B37" s="100">
        <v>37.4</v>
      </c>
      <c r="C37" s="100">
        <v>27.01</v>
      </c>
      <c r="D37" s="100">
        <v>45.45</v>
      </c>
      <c r="E37" s="100">
        <v>11.14</v>
      </c>
      <c r="F37" s="100">
        <v>0.81</v>
      </c>
      <c r="G37" s="100">
        <v>80.180000000000007</v>
      </c>
      <c r="H37" s="100">
        <v>21.33</v>
      </c>
      <c r="I37" s="100">
        <v>9.44</v>
      </c>
      <c r="J37" s="100">
        <v>0.1</v>
      </c>
      <c r="K37" s="100">
        <v>104.01</v>
      </c>
      <c r="L37" s="100">
        <v>14.84</v>
      </c>
      <c r="M37" s="100">
        <v>74.989999999999995</v>
      </c>
      <c r="N37" s="100">
        <v>14.1</v>
      </c>
      <c r="O37" s="100">
        <v>0</v>
      </c>
      <c r="P37" s="100">
        <v>0.79</v>
      </c>
      <c r="Q37" s="100">
        <v>11.24</v>
      </c>
      <c r="R37" s="6"/>
      <c r="S37" s="6"/>
      <c r="T37" s="156"/>
      <c r="U37" s="6"/>
    </row>
    <row r="38" spans="1:21" customFormat="1">
      <c r="A38" s="163" t="s">
        <v>1900</v>
      </c>
      <c r="B38" s="100">
        <v>37.67</v>
      </c>
      <c r="C38" s="100">
        <v>26.89</v>
      </c>
      <c r="D38" s="100">
        <v>45.61</v>
      </c>
      <c r="E38" s="100">
        <v>10.59</v>
      </c>
      <c r="F38" s="100">
        <v>1.56</v>
      </c>
      <c r="G38" s="100">
        <v>82.24</v>
      </c>
      <c r="H38" s="100">
        <v>24.87</v>
      </c>
      <c r="I38" s="100">
        <v>9.74</v>
      </c>
      <c r="J38" s="100">
        <v>0.38</v>
      </c>
      <c r="K38" s="100">
        <v>35.479999999999997</v>
      </c>
      <c r="L38" s="100">
        <v>15.24</v>
      </c>
      <c r="M38" s="100">
        <v>69.72</v>
      </c>
      <c r="N38" s="100">
        <v>22.6</v>
      </c>
      <c r="O38" s="100">
        <v>0</v>
      </c>
      <c r="P38" s="100">
        <v>0.81</v>
      </c>
      <c r="Q38" s="100">
        <v>11.24</v>
      </c>
      <c r="R38" s="6"/>
      <c r="S38" s="6"/>
      <c r="T38" s="156"/>
      <c r="U38" s="6"/>
    </row>
    <row r="39" spans="1:21" customFormat="1">
      <c r="A39" s="163" t="s">
        <v>1901</v>
      </c>
      <c r="B39" s="100">
        <v>38.39</v>
      </c>
      <c r="C39" s="100">
        <v>26.89</v>
      </c>
      <c r="D39" s="100">
        <v>46.18</v>
      </c>
      <c r="E39" s="100">
        <v>10.94</v>
      </c>
      <c r="F39" s="100">
        <v>1.02</v>
      </c>
      <c r="G39" s="100">
        <v>83.5</v>
      </c>
      <c r="H39" s="100">
        <v>25.64</v>
      </c>
      <c r="I39" s="100">
        <v>9.7799999999999994</v>
      </c>
      <c r="J39" s="100">
        <v>0.51</v>
      </c>
      <c r="K39" s="100">
        <v>29.28</v>
      </c>
      <c r="L39" s="100">
        <v>15.68</v>
      </c>
      <c r="M39" s="100">
        <v>66.5</v>
      </c>
      <c r="N39" s="100">
        <v>32.799999999999997</v>
      </c>
      <c r="O39" s="100">
        <v>0</v>
      </c>
      <c r="P39" s="100">
        <v>0.82</v>
      </c>
      <c r="Q39" s="100">
        <v>11.24</v>
      </c>
      <c r="R39" s="6"/>
      <c r="S39" s="6"/>
      <c r="T39" s="156"/>
      <c r="U39" s="6"/>
    </row>
    <row r="40" spans="1:21" customFormat="1">
      <c r="A40" s="163" t="s">
        <v>1902</v>
      </c>
      <c r="B40" s="100">
        <v>39.04</v>
      </c>
      <c r="C40" s="100">
        <v>26.83</v>
      </c>
      <c r="D40" s="100">
        <v>46.68</v>
      </c>
      <c r="E40" s="100">
        <v>11.06</v>
      </c>
      <c r="F40" s="100">
        <v>1.43</v>
      </c>
      <c r="G40" s="100">
        <v>83.5</v>
      </c>
      <c r="H40" s="100">
        <v>25.64</v>
      </c>
      <c r="I40" s="100">
        <v>9.9700000000000006</v>
      </c>
      <c r="J40" s="100">
        <v>0.4</v>
      </c>
      <c r="K40" s="100">
        <v>0.56000000000000005</v>
      </c>
      <c r="L40" s="100">
        <v>15.94</v>
      </c>
      <c r="M40" s="100">
        <v>66</v>
      </c>
      <c r="N40" s="100">
        <v>43.2</v>
      </c>
      <c r="O40" s="100">
        <v>0</v>
      </c>
      <c r="P40" s="100">
        <v>0.83</v>
      </c>
      <c r="Q40" s="100">
        <v>11.24</v>
      </c>
      <c r="R40" s="6"/>
      <c r="S40" s="6"/>
      <c r="T40" s="156"/>
      <c r="U40" s="6"/>
    </row>
    <row r="41" spans="1:21" customFormat="1">
      <c r="A41" s="163" t="s">
        <v>1903</v>
      </c>
      <c r="B41" s="100">
        <v>0</v>
      </c>
      <c r="C41" s="100">
        <v>0</v>
      </c>
      <c r="D41" s="100">
        <v>0</v>
      </c>
      <c r="E41" s="100">
        <v>0</v>
      </c>
      <c r="F41" s="100">
        <v>0</v>
      </c>
      <c r="G41" s="100">
        <v>0</v>
      </c>
      <c r="H41" s="100">
        <v>0</v>
      </c>
      <c r="I41" s="100">
        <v>0</v>
      </c>
      <c r="J41" s="100">
        <v>0</v>
      </c>
      <c r="K41" s="100">
        <v>0</v>
      </c>
      <c r="L41" s="100">
        <v>0</v>
      </c>
      <c r="M41" s="100">
        <v>0</v>
      </c>
      <c r="N41" s="100">
        <v>0</v>
      </c>
      <c r="O41" s="100">
        <v>0</v>
      </c>
      <c r="P41" s="100">
        <v>0</v>
      </c>
      <c r="Q41" s="100">
        <v>11.24</v>
      </c>
      <c r="R41" s="6"/>
      <c r="S41" s="6"/>
      <c r="T41" s="156"/>
      <c r="U41" s="6"/>
    </row>
    <row r="42" spans="1:21" customFormat="1">
      <c r="A42" s="163" t="s">
        <v>1904</v>
      </c>
      <c r="B42" s="100">
        <v>0</v>
      </c>
      <c r="C42" s="100">
        <v>0</v>
      </c>
      <c r="D42" s="100">
        <v>0</v>
      </c>
      <c r="E42" s="100">
        <v>0</v>
      </c>
      <c r="F42" s="100">
        <v>0</v>
      </c>
      <c r="G42" s="100">
        <v>0</v>
      </c>
      <c r="H42" s="100">
        <v>0</v>
      </c>
      <c r="I42" s="100">
        <v>0</v>
      </c>
      <c r="J42" s="100">
        <v>0</v>
      </c>
      <c r="K42" s="100">
        <v>0</v>
      </c>
      <c r="L42" s="100">
        <v>0</v>
      </c>
      <c r="M42" s="100">
        <v>0</v>
      </c>
      <c r="N42" s="100">
        <v>0</v>
      </c>
      <c r="O42" s="100">
        <v>0</v>
      </c>
      <c r="P42" s="100">
        <v>0</v>
      </c>
      <c r="Q42" s="100">
        <v>11.24</v>
      </c>
      <c r="R42" s="6"/>
      <c r="S42" s="6"/>
      <c r="T42" s="156"/>
      <c r="U42" s="6"/>
    </row>
    <row r="43" spans="1:21" customFormat="1">
      <c r="A43" s="163" t="s">
        <v>1905</v>
      </c>
      <c r="B43" s="100">
        <v>0</v>
      </c>
      <c r="C43" s="100">
        <v>0</v>
      </c>
      <c r="D43" s="100">
        <v>0</v>
      </c>
      <c r="E43" s="100">
        <v>0</v>
      </c>
      <c r="F43" s="100">
        <v>0</v>
      </c>
      <c r="G43" s="100">
        <v>0</v>
      </c>
      <c r="H43" s="100">
        <v>0</v>
      </c>
      <c r="I43" s="100">
        <v>0</v>
      </c>
      <c r="J43" s="100">
        <v>0</v>
      </c>
      <c r="K43" s="100">
        <v>0</v>
      </c>
      <c r="L43" s="100">
        <v>0</v>
      </c>
      <c r="M43" s="100">
        <v>0</v>
      </c>
      <c r="N43" s="100">
        <v>0</v>
      </c>
      <c r="O43" s="100">
        <v>0</v>
      </c>
      <c r="P43" s="100">
        <v>0</v>
      </c>
      <c r="Q43" s="100">
        <v>11.24</v>
      </c>
      <c r="R43" s="6"/>
      <c r="S43" s="6"/>
      <c r="T43" s="156"/>
      <c r="U43" s="6"/>
    </row>
    <row r="44" spans="1:21" customFormat="1">
      <c r="A44" s="163" t="s">
        <v>1906</v>
      </c>
      <c r="B44" s="100">
        <v>0</v>
      </c>
      <c r="C44" s="100">
        <v>0</v>
      </c>
      <c r="D44" s="100">
        <v>0</v>
      </c>
      <c r="E44" s="100">
        <v>0</v>
      </c>
      <c r="F44" s="100">
        <v>0.81</v>
      </c>
      <c r="G44" s="100">
        <v>83.5</v>
      </c>
      <c r="H44" s="100">
        <v>25.64</v>
      </c>
      <c r="I44" s="100">
        <v>0</v>
      </c>
      <c r="J44" s="100">
        <v>1.58</v>
      </c>
      <c r="K44" s="100">
        <v>59.14</v>
      </c>
      <c r="L44" s="100">
        <v>18.54</v>
      </c>
      <c r="M44" s="100">
        <v>54.78</v>
      </c>
      <c r="N44" s="100">
        <v>175.8</v>
      </c>
      <c r="O44" s="100">
        <v>0</v>
      </c>
      <c r="P44" s="100">
        <v>0.1</v>
      </c>
      <c r="Q44" s="100">
        <v>11.24</v>
      </c>
      <c r="R44" s="6"/>
      <c r="S44" s="6"/>
      <c r="T44" s="156"/>
      <c r="U44" s="6"/>
    </row>
    <row r="45" spans="1:21" customFormat="1">
      <c r="A45" s="163" t="s">
        <v>1907</v>
      </c>
      <c r="B45" s="100">
        <v>0</v>
      </c>
      <c r="C45" s="100">
        <v>0</v>
      </c>
      <c r="D45" s="100">
        <v>0</v>
      </c>
      <c r="E45" s="100">
        <v>7.94</v>
      </c>
      <c r="F45" s="100">
        <v>0.66</v>
      </c>
      <c r="G45" s="100">
        <v>87.6</v>
      </c>
      <c r="H45" s="100">
        <v>21.28</v>
      </c>
      <c r="I45" s="100">
        <v>0</v>
      </c>
      <c r="J45" s="100">
        <v>1.1000000000000001</v>
      </c>
      <c r="K45" s="100">
        <v>54.91</v>
      </c>
      <c r="L45" s="100">
        <v>18.91</v>
      </c>
      <c r="M45" s="100">
        <v>54.15</v>
      </c>
      <c r="N45" s="100">
        <v>217.6</v>
      </c>
      <c r="O45" s="100">
        <v>0</v>
      </c>
      <c r="P45" s="100">
        <v>0.78</v>
      </c>
      <c r="Q45" s="100">
        <v>11.24</v>
      </c>
      <c r="R45" s="6"/>
      <c r="S45" s="6"/>
      <c r="T45" s="156"/>
      <c r="U45" s="6"/>
    </row>
    <row r="46" spans="1:21" customFormat="1">
      <c r="A46" s="163" t="s">
        <v>1908</v>
      </c>
      <c r="B46" s="100">
        <v>35.450000000000003</v>
      </c>
      <c r="C46" s="100">
        <v>27.91</v>
      </c>
      <c r="D46" s="100">
        <v>44.36</v>
      </c>
      <c r="E46" s="100">
        <v>1.91</v>
      </c>
      <c r="F46" s="100">
        <v>0.81</v>
      </c>
      <c r="G46" s="100">
        <v>96.99</v>
      </c>
      <c r="H46" s="100">
        <v>16.940000000000001</v>
      </c>
      <c r="I46" s="100">
        <v>1.97</v>
      </c>
      <c r="J46" s="100">
        <v>1.21</v>
      </c>
      <c r="K46" s="100">
        <v>53.91</v>
      </c>
      <c r="L46" s="100">
        <v>19.68</v>
      </c>
      <c r="M46" s="100">
        <v>51.69</v>
      </c>
      <c r="N46" s="100">
        <v>231.8</v>
      </c>
      <c r="O46" s="100">
        <v>0</v>
      </c>
      <c r="P46" s="100">
        <v>0.79</v>
      </c>
      <c r="Q46" s="100">
        <v>11.24</v>
      </c>
      <c r="R46" s="6"/>
      <c r="S46" s="6"/>
      <c r="T46" s="156"/>
      <c r="U46" s="6"/>
    </row>
    <row r="47" spans="1:21" customFormat="1">
      <c r="A47" s="163" t="s">
        <v>1909</v>
      </c>
      <c r="B47" s="100">
        <v>33.78</v>
      </c>
      <c r="C47" s="100">
        <v>28.5</v>
      </c>
      <c r="D47" s="100">
        <v>43.33</v>
      </c>
      <c r="E47" s="100">
        <v>-10.01</v>
      </c>
      <c r="F47" s="100">
        <v>0.48</v>
      </c>
      <c r="G47" s="100">
        <v>102.03</v>
      </c>
      <c r="H47" s="100">
        <v>15.99</v>
      </c>
      <c r="I47" s="100">
        <v>11.08</v>
      </c>
      <c r="J47" s="100">
        <v>0.99</v>
      </c>
      <c r="K47" s="100">
        <v>55.96</v>
      </c>
      <c r="L47" s="100">
        <v>20.43</v>
      </c>
      <c r="M47" s="100">
        <v>49.84</v>
      </c>
      <c r="N47" s="100">
        <v>237.8</v>
      </c>
      <c r="O47" s="100">
        <v>0</v>
      </c>
      <c r="P47" s="100">
        <v>0.77</v>
      </c>
      <c r="Q47" s="100">
        <v>11.24</v>
      </c>
      <c r="R47" s="6"/>
      <c r="S47" s="6"/>
      <c r="T47" s="156"/>
      <c r="U47" s="6"/>
    </row>
    <row r="48" spans="1:21" customFormat="1">
      <c r="A48" s="163" t="s">
        <v>1910</v>
      </c>
      <c r="B48" s="100">
        <v>32.08</v>
      </c>
      <c r="C48" s="100">
        <v>28.15</v>
      </c>
      <c r="D48" s="100">
        <v>41.79</v>
      </c>
      <c r="E48" s="100">
        <v>-13.84</v>
      </c>
      <c r="F48" s="100">
        <v>0.75</v>
      </c>
      <c r="G48" s="100">
        <v>102.03</v>
      </c>
      <c r="H48" s="100">
        <v>15.99</v>
      </c>
      <c r="I48" s="100">
        <v>11.23</v>
      </c>
      <c r="J48" s="100">
        <v>1.06</v>
      </c>
      <c r="K48" s="100">
        <v>49.13</v>
      </c>
      <c r="L48" s="100">
        <v>21.13</v>
      </c>
      <c r="M48" s="100">
        <v>48.49</v>
      </c>
      <c r="N48" s="100">
        <v>265.3</v>
      </c>
      <c r="O48" s="100">
        <v>0</v>
      </c>
      <c r="P48" s="100">
        <v>0.75</v>
      </c>
      <c r="Q48" s="100">
        <v>11.24</v>
      </c>
      <c r="R48" s="6"/>
      <c r="S48" s="6"/>
      <c r="T48" s="156"/>
      <c r="U48" s="6"/>
    </row>
    <row r="49" spans="1:21" customFormat="1">
      <c r="A49" s="163" t="s">
        <v>1911</v>
      </c>
      <c r="B49" s="100">
        <v>31.12</v>
      </c>
      <c r="C49" s="100">
        <v>27.88</v>
      </c>
      <c r="D49" s="100">
        <v>40.869999999999997</v>
      </c>
      <c r="E49" s="100">
        <v>9.41</v>
      </c>
      <c r="F49" s="100">
        <v>1.1499999999999999</v>
      </c>
      <c r="G49" s="100">
        <v>102.03</v>
      </c>
      <c r="H49" s="100">
        <v>15.99</v>
      </c>
      <c r="I49" s="100">
        <v>11.27</v>
      </c>
      <c r="J49" s="100">
        <v>0.95</v>
      </c>
      <c r="K49" s="100">
        <v>53.54</v>
      </c>
      <c r="L49" s="100">
        <v>21.68</v>
      </c>
      <c r="M49" s="100">
        <v>47.51</v>
      </c>
      <c r="N49" s="100">
        <v>281.89999999999998</v>
      </c>
      <c r="O49" s="100">
        <v>0</v>
      </c>
      <c r="P49" s="100">
        <v>0.75</v>
      </c>
      <c r="Q49" s="100">
        <v>11.24</v>
      </c>
      <c r="R49" s="6"/>
      <c r="S49" s="6"/>
      <c r="T49" s="156"/>
      <c r="U49" s="6"/>
    </row>
    <row r="50" spans="1:21" customFormat="1">
      <c r="A50" s="163" t="s">
        <v>1912</v>
      </c>
      <c r="B50" s="100">
        <v>30.15</v>
      </c>
      <c r="C50" s="100">
        <v>27.65</v>
      </c>
      <c r="D50" s="100">
        <v>39.979999999999997</v>
      </c>
      <c r="E50" s="100">
        <v>9.7200000000000006</v>
      </c>
      <c r="F50" s="100">
        <v>0.08</v>
      </c>
      <c r="G50" s="100">
        <v>103.16</v>
      </c>
      <c r="H50" s="100">
        <v>30.38</v>
      </c>
      <c r="I50" s="100">
        <v>11.31</v>
      </c>
      <c r="J50" s="100">
        <v>0.73</v>
      </c>
      <c r="K50" s="100">
        <v>41.88</v>
      </c>
      <c r="L50" s="100">
        <v>22.46</v>
      </c>
      <c r="M50" s="100">
        <v>45.6</v>
      </c>
      <c r="N50" s="100">
        <v>334.2</v>
      </c>
      <c r="O50" s="100">
        <v>0</v>
      </c>
      <c r="P50" s="100">
        <v>0.75</v>
      </c>
      <c r="Q50" s="100">
        <v>11.24</v>
      </c>
      <c r="R50" s="6"/>
      <c r="S50" s="6"/>
      <c r="T50" s="156"/>
      <c r="U50" s="6"/>
    </row>
    <row r="51" spans="1:21" customFormat="1">
      <c r="A51" s="163" t="s">
        <v>1913</v>
      </c>
      <c r="B51" s="100">
        <v>29.27</v>
      </c>
      <c r="C51" s="100">
        <v>27.61</v>
      </c>
      <c r="D51" s="100">
        <v>39.25</v>
      </c>
      <c r="E51" s="100">
        <v>9.33</v>
      </c>
      <c r="F51" s="100">
        <v>1.01</v>
      </c>
      <c r="G51" s="100">
        <v>103.85</v>
      </c>
      <c r="H51" s="100">
        <v>33.25</v>
      </c>
      <c r="I51" s="100">
        <v>11.32</v>
      </c>
      <c r="J51" s="100">
        <v>0.77</v>
      </c>
      <c r="K51" s="100">
        <v>65.16</v>
      </c>
      <c r="L51" s="100">
        <v>23.5</v>
      </c>
      <c r="M51" s="100">
        <v>42.38</v>
      </c>
      <c r="N51" s="100">
        <v>354</v>
      </c>
      <c r="O51" s="100">
        <v>0</v>
      </c>
      <c r="P51" s="100">
        <v>0.75</v>
      </c>
      <c r="Q51" s="100">
        <v>11.24</v>
      </c>
      <c r="R51" s="6"/>
      <c r="S51" s="6"/>
      <c r="T51" s="156"/>
      <c r="U51" s="6"/>
    </row>
    <row r="52" spans="1:21" customFormat="1">
      <c r="A52" s="163" t="s">
        <v>1914</v>
      </c>
      <c r="B52" s="100">
        <v>27.93</v>
      </c>
      <c r="C52" s="100">
        <v>27.64</v>
      </c>
      <c r="D52" s="100">
        <v>38.19</v>
      </c>
      <c r="E52" s="100">
        <v>8.9600000000000009</v>
      </c>
      <c r="F52" s="100">
        <v>0.11</v>
      </c>
      <c r="G52" s="100">
        <v>103.85</v>
      </c>
      <c r="H52" s="100">
        <v>33.25</v>
      </c>
      <c r="I52" s="100">
        <v>11.37</v>
      </c>
      <c r="J52" s="100">
        <v>0.97</v>
      </c>
      <c r="K52" s="100">
        <v>54.64</v>
      </c>
      <c r="L52" s="100">
        <v>23.82</v>
      </c>
      <c r="M52" s="100">
        <v>40.409999999999997</v>
      </c>
      <c r="N52" s="100">
        <v>370.8</v>
      </c>
      <c r="O52" s="100">
        <v>0</v>
      </c>
      <c r="P52" s="100">
        <v>0.75</v>
      </c>
      <c r="Q52" s="100">
        <v>11.24</v>
      </c>
      <c r="R52" s="6"/>
      <c r="S52" s="6"/>
      <c r="T52" s="156"/>
      <c r="U52" s="6"/>
    </row>
    <row r="53" spans="1:21" customFormat="1">
      <c r="A53" s="163" t="s">
        <v>1915</v>
      </c>
      <c r="B53" s="100">
        <v>26.33</v>
      </c>
      <c r="C53" s="100">
        <v>27.77</v>
      </c>
      <c r="D53" s="100">
        <v>36.97</v>
      </c>
      <c r="E53" s="100">
        <v>8.43</v>
      </c>
      <c r="F53" s="100">
        <v>0.51</v>
      </c>
      <c r="G53" s="100">
        <v>103.85</v>
      </c>
      <c r="H53" s="100">
        <v>33.25</v>
      </c>
      <c r="I53" s="100">
        <v>11.39</v>
      </c>
      <c r="J53" s="100">
        <v>0.79</v>
      </c>
      <c r="K53" s="100">
        <v>41.05</v>
      </c>
      <c r="L53" s="100">
        <v>24.49</v>
      </c>
      <c r="M53" s="100">
        <v>38.119999999999997</v>
      </c>
      <c r="N53" s="100">
        <v>365</v>
      </c>
      <c r="O53" s="100">
        <v>0</v>
      </c>
      <c r="P53" s="100">
        <v>0.74</v>
      </c>
      <c r="Q53" s="100">
        <v>11.24</v>
      </c>
      <c r="R53" s="6"/>
      <c r="S53" s="6"/>
      <c r="T53" s="156"/>
      <c r="U53" s="6"/>
    </row>
    <row r="54" spans="1:21" customFormat="1">
      <c r="A54" s="163" t="s">
        <v>1916</v>
      </c>
      <c r="B54" s="100">
        <v>24.72</v>
      </c>
      <c r="C54" s="100">
        <v>28.03</v>
      </c>
      <c r="D54" s="100">
        <v>35.82</v>
      </c>
      <c r="E54" s="100">
        <v>8.26</v>
      </c>
      <c r="F54" s="100">
        <v>0.97</v>
      </c>
      <c r="G54" s="100">
        <v>101.01</v>
      </c>
      <c r="H54" s="100">
        <v>40.28</v>
      </c>
      <c r="I54" s="100">
        <v>11.33</v>
      </c>
      <c r="J54" s="100">
        <v>0.89</v>
      </c>
      <c r="K54" s="100">
        <v>39.43</v>
      </c>
      <c r="L54" s="100">
        <v>25.23</v>
      </c>
      <c r="M54" s="100">
        <v>36.090000000000003</v>
      </c>
      <c r="N54" s="100">
        <v>303.2</v>
      </c>
      <c r="O54" s="100">
        <v>0</v>
      </c>
      <c r="P54" s="100">
        <v>0.75</v>
      </c>
      <c r="Q54" s="100">
        <v>11.24</v>
      </c>
      <c r="R54" s="6"/>
      <c r="S54" s="6"/>
      <c r="T54" s="156"/>
      <c r="U54" s="6"/>
    </row>
    <row r="55" spans="1:21" customFormat="1">
      <c r="A55" s="163" t="s">
        <v>1917</v>
      </c>
      <c r="B55" s="100">
        <v>23.05</v>
      </c>
      <c r="C55" s="100">
        <v>28.15</v>
      </c>
      <c r="D55" s="100">
        <v>34.54</v>
      </c>
      <c r="E55" s="100">
        <v>7.46</v>
      </c>
      <c r="F55" s="100">
        <v>0.83</v>
      </c>
      <c r="G55" s="100">
        <v>99.29</v>
      </c>
      <c r="H55" s="100">
        <v>41.81</v>
      </c>
      <c r="I55" s="100">
        <v>11.29</v>
      </c>
      <c r="J55" s="100">
        <v>0.51</v>
      </c>
      <c r="K55" s="100">
        <v>66.459999999999994</v>
      </c>
      <c r="L55" s="100">
        <v>26.01</v>
      </c>
      <c r="M55" s="100">
        <v>33.54</v>
      </c>
      <c r="N55" s="100">
        <v>402.3</v>
      </c>
      <c r="O55" s="100">
        <v>0</v>
      </c>
      <c r="P55" s="100">
        <v>0.73</v>
      </c>
      <c r="Q55" s="100">
        <v>11.24</v>
      </c>
      <c r="R55" s="6"/>
      <c r="S55" s="6"/>
      <c r="T55" s="156"/>
      <c r="U55" s="6"/>
    </row>
    <row r="56" spans="1:21" customFormat="1">
      <c r="A56" s="163" t="s">
        <v>1918</v>
      </c>
      <c r="B56" s="100">
        <v>21.25</v>
      </c>
      <c r="C56" s="100">
        <v>28.1</v>
      </c>
      <c r="D56" s="100">
        <v>33.07</v>
      </c>
      <c r="E56" s="100">
        <v>7.69</v>
      </c>
      <c r="F56" s="100">
        <v>0.34</v>
      </c>
      <c r="G56" s="100">
        <v>99.29</v>
      </c>
      <c r="H56" s="100">
        <v>41.81</v>
      </c>
      <c r="I56" s="100">
        <v>11.24</v>
      </c>
      <c r="J56" s="100">
        <v>0.78</v>
      </c>
      <c r="K56" s="100">
        <v>51.18</v>
      </c>
      <c r="L56" s="100">
        <v>26.33</v>
      </c>
      <c r="M56" s="100">
        <v>32.700000000000003</v>
      </c>
      <c r="N56" s="100">
        <v>406.1</v>
      </c>
      <c r="O56" s="100">
        <v>0</v>
      </c>
      <c r="P56" s="100">
        <v>0.72</v>
      </c>
      <c r="Q56" s="100">
        <v>11.24</v>
      </c>
      <c r="R56" s="6"/>
      <c r="S56" s="6"/>
      <c r="T56" s="156"/>
      <c r="U56" s="6"/>
    </row>
    <row r="57" spans="1:21" customFormat="1">
      <c r="A57" s="163" t="s">
        <v>1919</v>
      </c>
      <c r="B57" s="100">
        <v>19.559999999999999</v>
      </c>
      <c r="C57" s="100">
        <v>28.24</v>
      </c>
      <c r="D57" s="100">
        <v>31.79</v>
      </c>
      <c r="E57" s="100">
        <v>7.67</v>
      </c>
      <c r="F57" s="100">
        <v>1.44</v>
      </c>
      <c r="G57" s="100">
        <v>99.29</v>
      </c>
      <c r="H57" s="100">
        <v>41.81</v>
      </c>
      <c r="I57" s="100">
        <v>11.15</v>
      </c>
      <c r="J57" s="100">
        <v>1.04</v>
      </c>
      <c r="K57" s="100">
        <v>48.02</v>
      </c>
      <c r="L57" s="100">
        <v>26.35</v>
      </c>
      <c r="M57" s="100">
        <v>31.88</v>
      </c>
      <c r="N57" s="100">
        <v>408.9</v>
      </c>
      <c r="O57" s="100">
        <v>0</v>
      </c>
      <c r="P57" s="100">
        <v>0.71</v>
      </c>
      <c r="Q57" s="100">
        <v>11.24</v>
      </c>
      <c r="R57" s="6"/>
      <c r="S57" s="6"/>
      <c r="T57" s="156"/>
      <c r="U57" s="6"/>
    </row>
    <row r="58" spans="1:21" customFormat="1">
      <c r="A58" s="163" t="s">
        <v>1920</v>
      </c>
      <c r="B58" s="100">
        <v>17.97</v>
      </c>
      <c r="C58" s="100">
        <v>28.47</v>
      </c>
      <c r="D58" s="100">
        <v>30.64</v>
      </c>
      <c r="E58" s="100">
        <v>9.0399999999999991</v>
      </c>
      <c r="F58" s="100">
        <v>0.9</v>
      </c>
      <c r="G58" s="100">
        <v>92.47</v>
      </c>
      <c r="H58" s="100">
        <v>43.49</v>
      </c>
      <c r="I58" s="100">
        <v>11.02</v>
      </c>
      <c r="J58" s="100">
        <v>0.78</v>
      </c>
      <c r="K58" s="100">
        <v>24.64</v>
      </c>
      <c r="L58" s="100">
        <v>26.94</v>
      </c>
      <c r="M58" s="100">
        <v>30.04</v>
      </c>
      <c r="N58" s="100">
        <v>355.9</v>
      </c>
      <c r="O58" s="100">
        <v>0</v>
      </c>
      <c r="P58" s="100">
        <v>0.71</v>
      </c>
      <c r="Q58" s="100">
        <v>11.24</v>
      </c>
      <c r="R58" s="6"/>
      <c r="S58" s="6"/>
      <c r="T58" s="156"/>
      <c r="U58" s="6"/>
    </row>
    <row r="59" spans="1:21" customFormat="1">
      <c r="A59" s="163" t="s">
        <v>1921</v>
      </c>
      <c r="B59" s="100">
        <v>17.3</v>
      </c>
      <c r="C59" s="100">
        <v>29.02</v>
      </c>
      <c r="D59" s="100">
        <v>30.39</v>
      </c>
      <c r="E59" s="100">
        <v>13.92</v>
      </c>
      <c r="F59" s="100">
        <v>1.22</v>
      </c>
      <c r="G59" s="100">
        <v>88.13</v>
      </c>
      <c r="H59" s="100">
        <v>43.85</v>
      </c>
      <c r="I59" s="100">
        <v>10.95</v>
      </c>
      <c r="J59" s="100">
        <v>0.73</v>
      </c>
      <c r="K59" s="100">
        <v>58.33</v>
      </c>
      <c r="L59" s="100">
        <v>27.14</v>
      </c>
      <c r="M59" s="100">
        <v>30.11</v>
      </c>
      <c r="N59" s="100">
        <v>367.5</v>
      </c>
      <c r="O59" s="100">
        <v>0</v>
      </c>
      <c r="P59" s="100">
        <v>0.7</v>
      </c>
      <c r="Q59" s="100">
        <v>11.24</v>
      </c>
      <c r="R59" s="6"/>
      <c r="S59" s="6"/>
      <c r="T59" s="156"/>
      <c r="U59" s="6"/>
    </row>
    <row r="60" spans="1:21" customFormat="1">
      <c r="A60" s="163" t="s">
        <v>1922</v>
      </c>
      <c r="B60" s="100">
        <v>16.39</v>
      </c>
      <c r="C60" s="100">
        <v>29.41</v>
      </c>
      <c r="D60" s="100">
        <v>29.86</v>
      </c>
      <c r="E60" s="100">
        <v>9.3699999999999992</v>
      </c>
      <c r="F60" s="100">
        <v>1.36</v>
      </c>
      <c r="G60" s="100">
        <v>88.13</v>
      </c>
      <c r="H60" s="100">
        <v>43.85</v>
      </c>
      <c r="I60" s="100">
        <v>10.77</v>
      </c>
      <c r="J60" s="100">
        <v>0.79</v>
      </c>
      <c r="K60" s="100">
        <v>64.78</v>
      </c>
      <c r="L60" s="100">
        <v>27.45</v>
      </c>
      <c r="M60" s="100">
        <v>29.88</v>
      </c>
      <c r="N60" s="100">
        <v>408.3</v>
      </c>
      <c r="O60" s="100">
        <v>0</v>
      </c>
      <c r="P60" s="100">
        <v>0.68</v>
      </c>
      <c r="Q60" s="100">
        <v>11.24</v>
      </c>
      <c r="R60" s="6"/>
      <c r="S60" s="6"/>
      <c r="T60" s="156"/>
      <c r="U60" s="6"/>
    </row>
    <row r="61" spans="1:21" customFormat="1">
      <c r="A61" s="163" t="s">
        <v>1923</v>
      </c>
      <c r="B61" s="100">
        <v>15.3</v>
      </c>
      <c r="C61" s="100">
        <v>29.65</v>
      </c>
      <c r="D61" s="100">
        <v>29.11</v>
      </c>
      <c r="E61" s="100">
        <v>9.83</v>
      </c>
      <c r="F61" s="100">
        <v>2.0299999999999998</v>
      </c>
      <c r="G61" s="100">
        <v>88.13</v>
      </c>
      <c r="H61" s="100">
        <v>43.85</v>
      </c>
      <c r="I61" s="100">
        <v>10.73</v>
      </c>
      <c r="J61" s="100">
        <v>0.89</v>
      </c>
      <c r="K61" s="100">
        <v>52.58</v>
      </c>
      <c r="L61" s="100">
        <v>27.53</v>
      </c>
      <c r="M61" s="100">
        <v>29.72</v>
      </c>
      <c r="N61" s="100">
        <v>393.3</v>
      </c>
      <c r="O61" s="100">
        <v>0</v>
      </c>
      <c r="P61" s="100">
        <v>0.67</v>
      </c>
      <c r="Q61" s="100">
        <v>11.24</v>
      </c>
      <c r="R61" s="6"/>
      <c r="S61" s="6"/>
      <c r="T61" s="156"/>
      <c r="U61" s="6"/>
    </row>
    <row r="62" spans="1:21" customFormat="1">
      <c r="A62" s="163" t="s">
        <v>1924</v>
      </c>
      <c r="B62" s="100">
        <v>14.47</v>
      </c>
      <c r="C62" s="100">
        <v>29.52</v>
      </c>
      <c r="D62" s="100">
        <v>28.37</v>
      </c>
      <c r="E62" s="100">
        <v>11.68</v>
      </c>
      <c r="F62" s="100">
        <v>1.51</v>
      </c>
      <c r="G62" s="100">
        <v>84.8</v>
      </c>
      <c r="H62" s="100">
        <v>44.3</v>
      </c>
      <c r="I62" s="100">
        <v>10.63</v>
      </c>
      <c r="J62" s="100">
        <v>0.87</v>
      </c>
      <c r="K62" s="100">
        <v>37.17</v>
      </c>
      <c r="L62" s="100">
        <v>27.5</v>
      </c>
      <c r="M62" s="100">
        <v>29.07</v>
      </c>
      <c r="N62" s="100">
        <v>365.7</v>
      </c>
      <c r="O62" s="100">
        <v>0</v>
      </c>
      <c r="P62" s="100">
        <v>0.66</v>
      </c>
      <c r="Q62" s="100">
        <v>11.24</v>
      </c>
      <c r="R62" s="6"/>
      <c r="S62" s="6"/>
      <c r="T62" s="156"/>
      <c r="U62" s="6"/>
    </row>
    <row r="63" spans="1:21" customFormat="1">
      <c r="A63" s="163" t="s">
        <v>1925</v>
      </c>
      <c r="B63" s="100">
        <v>13.54</v>
      </c>
      <c r="C63" s="100">
        <v>29.56</v>
      </c>
      <c r="D63" s="100">
        <v>27.66</v>
      </c>
      <c r="E63" s="100">
        <v>8.64</v>
      </c>
      <c r="F63" s="100">
        <v>1.21</v>
      </c>
      <c r="G63" s="100">
        <v>82.78</v>
      </c>
      <c r="H63" s="100">
        <v>44.39</v>
      </c>
      <c r="I63" s="100">
        <v>10.47</v>
      </c>
      <c r="J63" s="100">
        <v>0.87</v>
      </c>
      <c r="K63" s="100">
        <v>57.71</v>
      </c>
      <c r="L63" s="100">
        <v>27.71</v>
      </c>
      <c r="M63" s="100">
        <v>28.93</v>
      </c>
      <c r="N63" s="100">
        <v>380</v>
      </c>
      <c r="O63" s="100">
        <v>0</v>
      </c>
      <c r="P63" s="100">
        <v>0.65</v>
      </c>
      <c r="Q63" s="100">
        <v>11.24</v>
      </c>
      <c r="R63" s="6"/>
      <c r="S63" s="6"/>
      <c r="T63" s="156"/>
      <c r="U63" s="6"/>
    </row>
    <row r="64" spans="1:21" customFormat="1">
      <c r="A64" s="163" t="s">
        <v>1926</v>
      </c>
      <c r="B64" s="100">
        <v>12.62</v>
      </c>
      <c r="C64" s="100">
        <v>29.83</v>
      </c>
      <c r="D64" s="100">
        <v>27.06</v>
      </c>
      <c r="E64" s="100">
        <v>9.4700000000000006</v>
      </c>
      <c r="F64" s="100">
        <v>1.02</v>
      </c>
      <c r="G64" s="100">
        <v>82.78</v>
      </c>
      <c r="H64" s="100">
        <v>44.39</v>
      </c>
      <c r="I64" s="100">
        <v>10.51</v>
      </c>
      <c r="J64" s="100">
        <v>0.59</v>
      </c>
      <c r="K64" s="100">
        <v>45.37</v>
      </c>
      <c r="L64" s="100">
        <v>28.01</v>
      </c>
      <c r="M64" s="100">
        <v>28.3</v>
      </c>
      <c r="N64" s="100">
        <v>373.2</v>
      </c>
      <c r="O64" s="100">
        <v>0</v>
      </c>
      <c r="P64" s="100">
        <v>0.64</v>
      </c>
      <c r="Q64" s="100">
        <v>11.24</v>
      </c>
      <c r="R64" s="6"/>
      <c r="S64" s="6"/>
      <c r="T64" s="156"/>
      <c r="U64" s="6"/>
    </row>
    <row r="65" spans="1:21" customFormat="1">
      <c r="A65" s="163" t="s">
        <v>1927</v>
      </c>
      <c r="B65" s="100">
        <v>11.41</v>
      </c>
      <c r="C65" s="100">
        <v>30.97</v>
      </c>
      <c r="D65" s="100">
        <v>26.68</v>
      </c>
      <c r="E65" s="100">
        <v>8.1999999999999993</v>
      </c>
      <c r="F65" s="100">
        <v>2.13</v>
      </c>
      <c r="G65" s="100">
        <v>82.78</v>
      </c>
      <c r="H65" s="100">
        <v>44.39</v>
      </c>
      <c r="I65" s="100">
        <v>10.32</v>
      </c>
      <c r="J65" s="100">
        <v>0.69</v>
      </c>
      <c r="K65" s="100">
        <v>60.05</v>
      </c>
      <c r="L65" s="100">
        <v>28.16</v>
      </c>
      <c r="M65" s="100">
        <v>27.83</v>
      </c>
      <c r="N65" s="100">
        <v>336.5</v>
      </c>
      <c r="O65" s="100">
        <v>0</v>
      </c>
      <c r="P65" s="100">
        <v>0.73</v>
      </c>
      <c r="Q65" s="100">
        <v>11.24</v>
      </c>
      <c r="R65" s="6"/>
      <c r="S65" s="6"/>
      <c r="T65" s="156"/>
      <c r="U65" s="6"/>
    </row>
    <row r="66" spans="1:21" customFormat="1">
      <c r="A66" s="163" t="s">
        <v>1928</v>
      </c>
      <c r="B66" s="100">
        <v>10.38</v>
      </c>
      <c r="C66" s="100">
        <v>31.93</v>
      </c>
      <c r="D66" s="100">
        <v>26.36</v>
      </c>
      <c r="E66" s="100">
        <v>12.73</v>
      </c>
      <c r="F66" s="100">
        <v>0.39</v>
      </c>
      <c r="G66" s="100">
        <v>80.31</v>
      </c>
      <c r="H66" s="100">
        <v>43.37</v>
      </c>
      <c r="I66" s="100">
        <v>10.08</v>
      </c>
      <c r="J66" s="100">
        <v>0.67</v>
      </c>
      <c r="K66" s="100">
        <v>64.849999999999994</v>
      </c>
      <c r="L66" s="100">
        <v>28.08</v>
      </c>
      <c r="M66" s="100">
        <v>28.07</v>
      </c>
      <c r="N66" s="100">
        <v>128.80000000000001</v>
      </c>
      <c r="O66" s="100">
        <v>0</v>
      </c>
      <c r="P66" s="100">
        <v>0.77</v>
      </c>
      <c r="Q66" s="100">
        <v>11.24</v>
      </c>
      <c r="R66" s="6"/>
      <c r="S66" s="6"/>
      <c r="T66" s="156"/>
      <c r="U66" s="6"/>
    </row>
    <row r="67" spans="1:21" customFormat="1">
      <c r="A67" s="163" t="s">
        <v>1929</v>
      </c>
      <c r="B67" s="100">
        <v>9.9499999999999993</v>
      </c>
      <c r="C67" s="100">
        <v>32.71</v>
      </c>
      <c r="D67" s="100">
        <v>26.42</v>
      </c>
      <c r="E67" s="100">
        <v>8.93</v>
      </c>
      <c r="F67" s="100">
        <v>0.09</v>
      </c>
      <c r="G67" s="100">
        <v>78.81</v>
      </c>
      <c r="H67" s="100">
        <v>42.97</v>
      </c>
      <c r="I67" s="100">
        <v>9.86</v>
      </c>
      <c r="J67" s="100">
        <v>0.93</v>
      </c>
      <c r="K67" s="100">
        <v>59.18</v>
      </c>
      <c r="L67" s="100">
        <v>27.7</v>
      </c>
      <c r="M67" s="100">
        <v>28.2</v>
      </c>
      <c r="N67" s="100">
        <v>92.3</v>
      </c>
      <c r="O67" s="100">
        <v>0</v>
      </c>
      <c r="P67" s="100">
        <v>0.75</v>
      </c>
      <c r="Q67" s="100">
        <v>11.24</v>
      </c>
      <c r="R67" s="6"/>
      <c r="S67" s="6"/>
      <c r="T67" s="156"/>
      <c r="U67" s="6"/>
    </row>
    <row r="68" spans="1:21" customFormat="1">
      <c r="A68" s="163" t="s">
        <v>1930</v>
      </c>
      <c r="B68" s="100">
        <v>9.93</v>
      </c>
      <c r="C68" s="100">
        <v>33.56</v>
      </c>
      <c r="D68" s="100">
        <v>26.85</v>
      </c>
      <c r="E68" s="100">
        <v>15.52</v>
      </c>
      <c r="F68" s="100">
        <v>0.9</v>
      </c>
      <c r="G68" s="100">
        <v>78.81</v>
      </c>
      <c r="H68" s="100">
        <v>42.97</v>
      </c>
      <c r="I68" s="100">
        <v>9.64</v>
      </c>
      <c r="J68" s="100">
        <v>0.83</v>
      </c>
      <c r="K68" s="100">
        <v>40.08</v>
      </c>
      <c r="L68" s="100">
        <v>27.44</v>
      </c>
      <c r="M68" s="100">
        <v>28.36</v>
      </c>
      <c r="N68" s="100">
        <v>74.599999999999994</v>
      </c>
      <c r="O68" s="100">
        <v>0</v>
      </c>
      <c r="P68" s="100">
        <v>0.74</v>
      </c>
      <c r="Q68" s="100">
        <v>11.24</v>
      </c>
      <c r="R68" s="6"/>
      <c r="S68" s="6"/>
      <c r="T68" s="156"/>
      <c r="U68" s="6"/>
    </row>
    <row r="69" spans="1:21" customFormat="1">
      <c r="A69" s="163" t="s">
        <v>1931</v>
      </c>
      <c r="B69" s="100">
        <v>9.4</v>
      </c>
      <c r="C69" s="100">
        <v>34.49</v>
      </c>
      <c r="D69" s="100">
        <v>26.91</v>
      </c>
      <c r="E69" s="100">
        <v>14.51</v>
      </c>
      <c r="F69" s="100">
        <v>0.71</v>
      </c>
      <c r="G69" s="100">
        <v>78.81</v>
      </c>
      <c r="H69" s="100">
        <v>42.97</v>
      </c>
      <c r="I69" s="100">
        <v>9.6199999999999992</v>
      </c>
      <c r="J69" s="100">
        <v>0.79</v>
      </c>
      <c r="K69" s="100">
        <v>40</v>
      </c>
      <c r="L69" s="100">
        <v>27.51</v>
      </c>
      <c r="M69" s="100">
        <v>28.45</v>
      </c>
      <c r="N69" s="100">
        <v>62.8</v>
      </c>
      <c r="O69" s="100">
        <v>0</v>
      </c>
      <c r="P69" s="100">
        <v>0.74</v>
      </c>
      <c r="Q69" s="100">
        <v>11.24</v>
      </c>
      <c r="R69" s="6"/>
      <c r="S69" s="6"/>
      <c r="T69" s="156"/>
      <c r="U69" s="6"/>
    </row>
    <row r="70" spans="1:21" customFormat="1">
      <c r="A70" s="163" t="s">
        <v>1932</v>
      </c>
      <c r="B70" s="100">
        <v>8.56</v>
      </c>
      <c r="C70" s="100">
        <v>35.17</v>
      </c>
      <c r="D70" s="100">
        <v>26.59</v>
      </c>
      <c r="E70" s="100">
        <v>14.84</v>
      </c>
      <c r="F70" s="100">
        <v>0.22</v>
      </c>
      <c r="G70" s="100">
        <v>73.5</v>
      </c>
      <c r="H70" s="100">
        <v>42.69</v>
      </c>
      <c r="I70" s="100">
        <v>9.52</v>
      </c>
      <c r="J70" s="100">
        <v>0.92</v>
      </c>
      <c r="K70" s="100">
        <v>46.77</v>
      </c>
      <c r="L70" s="100">
        <v>27.46</v>
      </c>
      <c r="M70" s="100">
        <v>28.62</v>
      </c>
      <c r="N70" s="100">
        <v>56.2</v>
      </c>
      <c r="O70" s="100">
        <v>0</v>
      </c>
      <c r="P70" s="100">
        <v>0.74</v>
      </c>
      <c r="Q70" s="100">
        <v>11.24</v>
      </c>
      <c r="R70" s="6"/>
      <c r="S70" s="6"/>
      <c r="T70" s="156"/>
      <c r="U70" s="6"/>
    </row>
    <row r="71" spans="1:21" customFormat="1">
      <c r="A71" s="163" t="s">
        <v>1933</v>
      </c>
      <c r="B71" s="100">
        <v>7.81</v>
      </c>
      <c r="C71" s="100">
        <v>35.9</v>
      </c>
      <c r="D71" s="100">
        <v>26.37</v>
      </c>
      <c r="E71" s="100">
        <v>11.79</v>
      </c>
      <c r="F71" s="100">
        <v>1.25</v>
      </c>
      <c r="G71" s="100">
        <v>70.27</v>
      </c>
      <c r="H71" s="100">
        <v>42.63</v>
      </c>
      <c r="I71" s="100">
        <v>9.1999999999999993</v>
      </c>
      <c r="J71" s="100">
        <v>0.65</v>
      </c>
      <c r="K71" s="100">
        <v>50.64</v>
      </c>
      <c r="L71" s="100">
        <v>27.3</v>
      </c>
      <c r="M71" s="100">
        <v>28.65</v>
      </c>
      <c r="N71" s="100">
        <v>54</v>
      </c>
      <c r="O71" s="100">
        <v>0</v>
      </c>
      <c r="P71" s="100">
        <v>0.73</v>
      </c>
      <c r="Q71" s="100">
        <v>11.24</v>
      </c>
      <c r="R71" s="6"/>
      <c r="S71" s="6"/>
      <c r="T71" s="156"/>
      <c r="U71" s="6"/>
    </row>
    <row r="72" spans="1:21" customFormat="1">
      <c r="A72" s="163" t="s">
        <v>1934</v>
      </c>
      <c r="B72" s="100">
        <v>7.04</v>
      </c>
      <c r="C72" s="100">
        <v>36.04</v>
      </c>
      <c r="D72" s="100">
        <v>25.82</v>
      </c>
      <c r="E72" s="100">
        <v>15.38</v>
      </c>
      <c r="F72" s="100">
        <v>0.13</v>
      </c>
      <c r="G72" s="100">
        <v>70.27</v>
      </c>
      <c r="H72" s="100">
        <v>42.63</v>
      </c>
      <c r="I72" s="100">
        <v>9</v>
      </c>
      <c r="J72" s="100">
        <v>1.03</v>
      </c>
      <c r="K72" s="100">
        <v>46.35</v>
      </c>
      <c r="L72" s="100">
        <v>27.35</v>
      </c>
      <c r="M72" s="100">
        <v>28.06</v>
      </c>
      <c r="N72" s="100">
        <v>49</v>
      </c>
      <c r="O72" s="100">
        <v>0</v>
      </c>
      <c r="P72" s="100">
        <v>0.72</v>
      </c>
      <c r="Q72" s="100">
        <v>11.24</v>
      </c>
      <c r="R72" s="6"/>
      <c r="S72" s="6"/>
      <c r="T72" s="156"/>
      <c r="U72" s="6"/>
    </row>
    <row r="73" spans="1:21" customFormat="1">
      <c r="A73" s="163" t="s">
        <v>1935</v>
      </c>
      <c r="B73" s="100">
        <v>6.39</v>
      </c>
      <c r="C73" s="100">
        <v>36.42</v>
      </c>
      <c r="D73" s="100">
        <v>25.51</v>
      </c>
      <c r="E73" s="100">
        <v>16.62</v>
      </c>
      <c r="F73" s="100">
        <v>0.31</v>
      </c>
      <c r="G73" s="100">
        <v>70.27</v>
      </c>
      <c r="H73" s="100">
        <v>42.63</v>
      </c>
      <c r="I73" s="100">
        <v>8.99</v>
      </c>
      <c r="J73" s="100">
        <v>0.87</v>
      </c>
      <c r="K73" s="100">
        <v>52.25</v>
      </c>
      <c r="L73" s="100">
        <v>27.14</v>
      </c>
      <c r="M73" s="100">
        <v>28.91</v>
      </c>
      <c r="N73" s="100">
        <v>40.6</v>
      </c>
      <c r="O73" s="100">
        <v>0</v>
      </c>
      <c r="P73" s="100">
        <v>0.73</v>
      </c>
      <c r="Q73" s="100">
        <v>11.24</v>
      </c>
      <c r="R73" s="6"/>
      <c r="S73" s="6"/>
      <c r="T73" s="156"/>
      <c r="U73" s="6"/>
    </row>
    <row r="74" spans="1:21" customFormat="1">
      <c r="A74" s="163" t="s">
        <v>1936</v>
      </c>
      <c r="B74" s="100">
        <v>5.99</v>
      </c>
      <c r="C74" s="100">
        <v>36.67</v>
      </c>
      <c r="D74" s="100">
        <v>25.31</v>
      </c>
      <c r="E74" s="100">
        <v>14.43</v>
      </c>
      <c r="F74" s="100">
        <v>1.02</v>
      </c>
      <c r="G74" s="100">
        <v>69.05</v>
      </c>
      <c r="H74" s="100">
        <v>42.32</v>
      </c>
      <c r="I74" s="100">
        <v>8.8699999999999992</v>
      </c>
      <c r="J74" s="100">
        <v>0.81</v>
      </c>
      <c r="K74" s="100">
        <v>53.96</v>
      </c>
      <c r="L74" s="100">
        <v>26.97</v>
      </c>
      <c r="M74" s="100">
        <v>29.26</v>
      </c>
      <c r="N74" s="100">
        <v>33</v>
      </c>
      <c r="O74" s="100">
        <v>0</v>
      </c>
      <c r="P74" s="100">
        <v>0.72</v>
      </c>
      <c r="Q74" s="100">
        <v>11.24</v>
      </c>
      <c r="R74" s="6"/>
      <c r="S74" s="6"/>
      <c r="T74" s="156"/>
      <c r="U74" s="6"/>
    </row>
    <row r="75" spans="1:21" customFormat="1">
      <c r="A75" s="163" t="s">
        <v>1937</v>
      </c>
      <c r="B75" s="100">
        <v>5.8</v>
      </c>
      <c r="C75" s="100">
        <v>36.950000000000003</v>
      </c>
      <c r="D75" s="100">
        <v>25.3</v>
      </c>
      <c r="E75" s="100">
        <v>14.19</v>
      </c>
      <c r="F75" s="100">
        <v>0.31</v>
      </c>
      <c r="G75" s="100">
        <v>68.31</v>
      </c>
      <c r="H75" s="100">
        <v>42.26</v>
      </c>
      <c r="I75" s="100">
        <v>8.59</v>
      </c>
      <c r="J75" s="100">
        <v>0.69</v>
      </c>
      <c r="K75" s="100">
        <v>50.91</v>
      </c>
      <c r="L75" s="100">
        <v>26.81</v>
      </c>
      <c r="M75" s="100">
        <v>29.85</v>
      </c>
      <c r="N75" s="100">
        <v>26.6</v>
      </c>
      <c r="O75" s="100">
        <v>0</v>
      </c>
      <c r="P75" s="100">
        <v>0.71</v>
      </c>
      <c r="Q75" s="100">
        <v>11.24</v>
      </c>
      <c r="R75" s="6"/>
      <c r="S75" s="6"/>
      <c r="T75" s="156"/>
      <c r="U75" s="6"/>
    </row>
    <row r="76" spans="1:21" customFormat="1">
      <c r="A76" s="163" t="s">
        <v>1938</v>
      </c>
      <c r="B76" s="100">
        <v>5.88</v>
      </c>
      <c r="C76" s="100">
        <v>37.29</v>
      </c>
      <c r="D76" s="100">
        <v>25.55</v>
      </c>
      <c r="E76" s="100">
        <v>10.96</v>
      </c>
      <c r="F76" s="100">
        <v>0.62</v>
      </c>
      <c r="G76" s="100">
        <v>68.31</v>
      </c>
      <c r="H76" s="100">
        <v>42.26</v>
      </c>
      <c r="I76" s="100">
        <v>8.57</v>
      </c>
      <c r="J76" s="100">
        <v>0.54</v>
      </c>
      <c r="K76" s="100">
        <v>57.91</v>
      </c>
      <c r="L76" s="100">
        <v>26.56</v>
      </c>
      <c r="M76" s="100">
        <v>31.08</v>
      </c>
      <c r="N76" s="100">
        <v>21.6</v>
      </c>
      <c r="O76" s="100">
        <v>0</v>
      </c>
      <c r="P76" s="100">
        <v>0.7</v>
      </c>
      <c r="Q76" s="100">
        <v>11.24</v>
      </c>
      <c r="R76" s="6"/>
      <c r="S76" s="6"/>
      <c r="T76" s="156"/>
      <c r="U76" s="6"/>
    </row>
    <row r="77" spans="1:21" customFormat="1">
      <c r="A77" s="163" t="s">
        <v>1939</v>
      </c>
      <c r="B77" s="100">
        <v>6.04</v>
      </c>
      <c r="C77" s="100">
        <v>37.36</v>
      </c>
      <c r="D77" s="100">
        <v>25.72</v>
      </c>
      <c r="E77" s="100">
        <v>9.64</v>
      </c>
      <c r="F77" s="100">
        <v>1.43</v>
      </c>
      <c r="G77" s="100">
        <v>68.31</v>
      </c>
      <c r="H77" s="100">
        <v>42.26</v>
      </c>
      <c r="I77" s="100">
        <v>8.41</v>
      </c>
      <c r="J77" s="100">
        <v>0.44</v>
      </c>
      <c r="K77" s="100">
        <v>52.24</v>
      </c>
      <c r="L77" s="100">
        <v>26.15</v>
      </c>
      <c r="M77" s="100">
        <v>32.380000000000003</v>
      </c>
      <c r="N77" s="100">
        <v>14.3</v>
      </c>
      <c r="O77" s="100">
        <v>0</v>
      </c>
      <c r="P77" s="100">
        <v>0.72</v>
      </c>
      <c r="Q77" s="100">
        <v>11.24</v>
      </c>
      <c r="R77" s="6"/>
      <c r="S77" s="6"/>
      <c r="T77" s="156"/>
      <c r="U77" s="6"/>
    </row>
    <row r="78" spans="1:21" customFormat="1">
      <c r="A78" s="163" t="s">
        <v>1940</v>
      </c>
      <c r="B78" s="100">
        <v>6.47</v>
      </c>
      <c r="C78" s="100">
        <v>37.299999999999997</v>
      </c>
      <c r="D78" s="100">
        <v>26.03</v>
      </c>
      <c r="E78" s="100">
        <v>10.25</v>
      </c>
      <c r="F78" s="100">
        <v>0.99</v>
      </c>
      <c r="G78" s="100">
        <v>71.89</v>
      </c>
      <c r="H78" s="100">
        <v>41.01</v>
      </c>
      <c r="I78" s="100">
        <v>8.2799999999999994</v>
      </c>
      <c r="J78" s="100">
        <v>0.48</v>
      </c>
      <c r="K78" s="100">
        <v>35.78</v>
      </c>
      <c r="L78" s="100">
        <v>25.57</v>
      </c>
      <c r="M78" s="100">
        <v>33.54</v>
      </c>
      <c r="N78" s="100">
        <v>8</v>
      </c>
      <c r="O78" s="100">
        <v>0</v>
      </c>
      <c r="P78" s="100">
        <v>0.73</v>
      </c>
      <c r="Q78" s="100">
        <v>11.24</v>
      </c>
      <c r="R78" s="6"/>
      <c r="S78" s="6"/>
      <c r="T78" s="156"/>
      <c r="U78" s="6"/>
    </row>
    <row r="79" spans="1:21" customFormat="1">
      <c r="A79" s="163" t="s">
        <v>1941</v>
      </c>
      <c r="B79" s="100">
        <v>7.4</v>
      </c>
      <c r="C79" s="100">
        <v>37.43</v>
      </c>
      <c r="D79" s="100">
        <v>26.84</v>
      </c>
      <c r="E79" s="100">
        <v>7.83</v>
      </c>
      <c r="F79" s="100">
        <v>0.79</v>
      </c>
      <c r="G79" s="100">
        <v>74.06</v>
      </c>
      <c r="H79" s="100">
        <v>40.75</v>
      </c>
      <c r="I79" s="100">
        <v>8.26</v>
      </c>
      <c r="J79" s="100">
        <v>0.51</v>
      </c>
      <c r="K79" s="100">
        <v>57.26</v>
      </c>
      <c r="L79" s="100">
        <v>24.88</v>
      </c>
      <c r="M79" s="100">
        <v>35.35</v>
      </c>
      <c r="N79" s="100">
        <v>3.4</v>
      </c>
      <c r="O79" s="100">
        <v>0</v>
      </c>
      <c r="P79" s="100">
        <v>0.74</v>
      </c>
      <c r="Q79" s="100">
        <v>11.24</v>
      </c>
      <c r="R79" s="6"/>
      <c r="S79" s="6"/>
      <c r="T79" s="156"/>
      <c r="U79" s="6"/>
    </row>
    <row r="80" spans="1:21" customFormat="1">
      <c r="A80" s="163" t="s">
        <v>1942</v>
      </c>
      <c r="B80" s="100">
        <v>8.16</v>
      </c>
      <c r="C80" s="100">
        <v>37.71</v>
      </c>
      <c r="D80" s="100">
        <v>27.6</v>
      </c>
      <c r="E80" s="100">
        <v>5.94</v>
      </c>
      <c r="F80" s="100">
        <v>0.71</v>
      </c>
      <c r="G80" s="100">
        <v>74.06</v>
      </c>
      <c r="H80" s="100">
        <v>40.75</v>
      </c>
      <c r="I80" s="100">
        <v>8.41</v>
      </c>
      <c r="J80" s="100">
        <v>0.24</v>
      </c>
      <c r="K80" s="100">
        <v>99.81</v>
      </c>
      <c r="L80" s="100">
        <v>24.17</v>
      </c>
      <c r="M80" s="100">
        <v>40.840000000000003</v>
      </c>
      <c r="N80" s="100">
        <v>2.2000000000000002</v>
      </c>
      <c r="O80" s="100">
        <v>0</v>
      </c>
      <c r="P80" s="100">
        <v>0.76</v>
      </c>
      <c r="Q80" s="100">
        <v>11.24</v>
      </c>
      <c r="R80" s="6"/>
      <c r="S80" s="6"/>
      <c r="T80" s="156"/>
      <c r="U80" s="6"/>
    </row>
    <row r="81" spans="1:21" customFormat="1">
      <c r="A81" s="163" t="s">
        <v>1943</v>
      </c>
      <c r="B81" s="100">
        <v>8.5399999999999991</v>
      </c>
      <c r="C81" s="100">
        <v>37.33</v>
      </c>
      <c r="D81" s="100">
        <v>27.71</v>
      </c>
      <c r="E81" s="100">
        <v>8.61</v>
      </c>
      <c r="F81" s="100">
        <v>0.82</v>
      </c>
      <c r="G81" s="100">
        <v>74.06</v>
      </c>
      <c r="H81" s="100">
        <v>40.75</v>
      </c>
      <c r="I81" s="100">
        <v>8.5399999999999991</v>
      </c>
      <c r="J81" s="100">
        <v>0.15</v>
      </c>
      <c r="K81" s="100">
        <v>115.84</v>
      </c>
      <c r="L81" s="100">
        <v>23.04</v>
      </c>
      <c r="M81" s="100">
        <v>44.36</v>
      </c>
      <c r="N81" s="100">
        <v>1.8</v>
      </c>
      <c r="O81" s="100">
        <v>0</v>
      </c>
      <c r="P81" s="100">
        <v>0.76</v>
      </c>
      <c r="Q81" s="100">
        <v>11.24</v>
      </c>
      <c r="R81" s="6"/>
      <c r="S81" s="6"/>
      <c r="T81" s="156"/>
      <c r="U81" s="6"/>
    </row>
    <row r="82" spans="1:21" customFormat="1">
      <c r="A82" s="163" t="s">
        <v>1944</v>
      </c>
      <c r="B82" s="100">
        <v>8.9</v>
      </c>
      <c r="C82" s="100">
        <v>36.93</v>
      </c>
      <c r="D82" s="100">
        <v>27.78</v>
      </c>
      <c r="E82" s="100">
        <v>10.1</v>
      </c>
      <c r="F82" s="100">
        <v>0.31</v>
      </c>
      <c r="G82" s="100">
        <v>81.86</v>
      </c>
      <c r="H82" s="100">
        <v>42.2</v>
      </c>
      <c r="I82" s="100">
        <v>8.61</v>
      </c>
      <c r="J82" s="100">
        <v>0.31</v>
      </c>
      <c r="K82" s="100">
        <v>164.87</v>
      </c>
      <c r="L82" s="100">
        <v>22.08</v>
      </c>
      <c r="M82" s="100">
        <v>52.15</v>
      </c>
      <c r="N82" s="100">
        <v>2</v>
      </c>
      <c r="O82" s="100">
        <v>0</v>
      </c>
      <c r="P82" s="100">
        <v>0.78</v>
      </c>
      <c r="Q82" s="100">
        <v>11.24</v>
      </c>
      <c r="R82" s="6"/>
      <c r="S82" s="6"/>
      <c r="T82" s="156"/>
      <c r="U82" s="6"/>
    </row>
    <row r="83" spans="1:21" customFormat="1">
      <c r="A83" s="163" t="s">
        <v>1945</v>
      </c>
      <c r="B83" s="100">
        <v>9.27</v>
      </c>
      <c r="C83" s="100">
        <v>36.5</v>
      </c>
      <c r="D83" s="100">
        <v>27.86</v>
      </c>
      <c r="E83" s="100">
        <v>10.7</v>
      </c>
      <c r="F83" s="100">
        <v>0.5</v>
      </c>
      <c r="G83" s="100">
        <v>86.6</v>
      </c>
      <c r="H83" s="100">
        <v>42.49</v>
      </c>
      <c r="I83" s="100">
        <v>8.68</v>
      </c>
      <c r="J83" s="100">
        <v>0.26</v>
      </c>
      <c r="K83" s="100">
        <v>164.54</v>
      </c>
      <c r="L83" s="100">
        <v>21.26</v>
      </c>
      <c r="M83" s="100">
        <v>55.85</v>
      </c>
      <c r="N83" s="100">
        <v>1.7</v>
      </c>
      <c r="O83" s="100">
        <v>0</v>
      </c>
      <c r="P83" s="100">
        <v>0.79</v>
      </c>
      <c r="Q83" s="100">
        <v>11.24</v>
      </c>
      <c r="R83" s="6"/>
      <c r="S83" s="6"/>
      <c r="T83" s="156"/>
      <c r="U83" s="6"/>
    </row>
    <row r="84" spans="1:21" customFormat="1">
      <c r="A84" s="163" t="s">
        <v>1946</v>
      </c>
      <c r="B84" s="100">
        <v>10.210000000000001</v>
      </c>
      <c r="C84" s="100">
        <v>36.21</v>
      </c>
      <c r="D84" s="100">
        <v>28.46</v>
      </c>
      <c r="E84" s="100">
        <v>10.47</v>
      </c>
      <c r="F84" s="100">
        <v>0.28000000000000003</v>
      </c>
      <c r="G84" s="100">
        <v>86.6</v>
      </c>
      <c r="H84" s="100">
        <v>42.49</v>
      </c>
      <c r="I84" s="100">
        <v>8.84</v>
      </c>
      <c r="J84" s="100">
        <v>0.26</v>
      </c>
      <c r="K84" s="100">
        <v>165.23</v>
      </c>
      <c r="L84" s="100">
        <v>20.73</v>
      </c>
      <c r="M84" s="100">
        <v>58.97</v>
      </c>
      <c r="N84" s="100">
        <v>1.4</v>
      </c>
      <c r="O84" s="100">
        <v>0</v>
      </c>
      <c r="P84" s="100">
        <v>0.82</v>
      </c>
      <c r="Q84" s="100">
        <v>11.24</v>
      </c>
      <c r="R84" s="6"/>
      <c r="S84" s="6"/>
      <c r="T84" s="156"/>
      <c r="U84" s="6"/>
    </row>
    <row r="85" spans="1:21" customFormat="1">
      <c r="A85" s="163" t="s">
        <v>1947</v>
      </c>
      <c r="B85" s="100">
        <v>11.58</v>
      </c>
      <c r="C85" s="100">
        <v>35.79</v>
      </c>
      <c r="D85" s="100">
        <v>29.33</v>
      </c>
      <c r="E85" s="100">
        <v>10.11</v>
      </c>
      <c r="F85" s="100">
        <v>0.37</v>
      </c>
      <c r="G85" s="100">
        <v>86.6</v>
      </c>
      <c r="H85" s="100">
        <v>42.49</v>
      </c>
      <c r="I85" s="100">
        <v>9.32</v>
      </c>
      <c r="J85" s="100">
        <v>0.23</v>
      </c>
      <c r="K85" s="100">
        <v>173.2</v>
      </c>
      <c r="L85" s="100">
        <v>19.89</v>
      </c>
      <c r="M85" s="100">
        <v>64.84</v>
      </c>
      <c r="N85" s="100">
        <v>1.9</v>
      </c>
      <c r="O85" s="100">
        <v>0</v>
      </c>
      <c r="P85" s="100">
        <v>0.84</v>
      </c>
      <c r="Q85" s="100">
        <v>11.24</v>
      </c>
      <c r="R85" s="6"/>
      <c r="S85" s="6"/>
      <c r="T85" s="156"/>
      <c r="U85" s="6"/>
    </row>
    <row r="86" spans="1:21" customFormat="1">
      <c r="A86" s="163" t="s">
        <v>1948</v>
      </c>
      <c r="B86" s="100">
        <v>12.47</v>
      </c>
      <c r="C86" s="100">
        <v>34.93</v>
      </c>
      <c r="D86" s="100">
        <v>29.6</v>
      </c>
      <c r="E86" s="100">
        <v>9.8699999999999992</v>
      </c>
      <c r="F86" s="100">
        <v>0.76</v>
      </c>
      <c r="G86" s="100">
        <v>102</v>
      </c>
      <c r="H86" s="100">
        <v>44.2</v>
      </c>
      <c r="I86" s="100">
        <v>9.4600000000000009</v>
      </c>
      <c r="J86" s="100">
        <v>0.22</v>
      </c>
      <c r="K86" s="100">
        <v>147.29</v>
      </c>
      <c r="L86" s="100">
        <v>19.3</v>
      </c>
      <c r="M86" s="100">
        <v>64.12</v>
      </c>
      <c r="N86" s="100">
        <v>1.4</v>
      </c>
      <c r="O86" s="100">
        <v>0</v>
      </c>
      <c r="P86" s="100">
        <v>0.85</v>
      </c>
      <c r="Q86" s="100">
        <v>11.24</v>
      </c>
      <c r="R86" s="6"/>
      <c r="S86" s="6"/>
      <c r="T86" s="156"/>
      <c r="U86" s="6"/>
    </row>
    <row r="87" spans="1:21" customFormat="1">
      <c r="A87" s="163" t="s">
        <v>1949</v>
      </c>
      <c r="B87" s="100">
        <v>13.76</v>
      </c>
      <c r="C87" s="100">
        <v>34.42</v>
      </c>
      <c r="D87" s="100">
        <v>30.37</v>
      </c>
      <c r="E87" s="100">
        <v>10.01</v>
      </c>
      <c r="F87" s="100">
        <v>0.61</v>
      </c>
      <c r="G87" s="100">
        <v>111.35</v>
      </c>
      <c r="H87" s="100">
        <v>44.55</v>
      </c>
      <c r="I87" s="100">
        <v>9.9499999999999993</v>
      </c>
      <c r="J87" s="100">
        <v>0.16</v>
      </c>
      <c r="K87" s="100">
        <v>151.19999999999999</v>
      </c>
      <c r="L87" s="100">
        <v>19.52</v>
      </c>
      <c r="M87" s="100">
        <v>59.88</v>
      </c>
      <c r="N87" s="100">
        <v>0.8</v>
      </c>
      <c r="O87" s="100">
        <v>0</v>
      </c>
      <c r="P87" s="100">
        <v>0.89</v>
      </c>
      <c r="Q87" s="100">
        <v>11.24</v>
      </c>
      <c r="R87" s="6"/>
      <c r="S87" s="6"/>
      <c r="T87" s="156"/>
      <c r="U87" s="6"/>
    </row>
    <row r="88" spans="1:21" customFormat="1">
      <c r="A88" s="163" t="s">
        <v>1950</v>
      </c>
      <c r="B88" s="100">
        <v>15.9</v>
      </c>
      <c r="C88" s="100">
        <v>34.119999999999997</v>
      </c>
      <c r="D88" s="100">
        <v>31.93</v>
      </c>
      <c r="E88" s="100">
        <v>9.8699999999999992</v>
      </c>
      <c r="F88" s="100">
        <v>0.2</v>
      </c>
      <c r="G88" s="100">
        <v>111.35</v>
      </c>
      <c r="H88" s="100">
        <v>44.55</v>
      </c>
      <c r="I88" s="100">
        <v>10.35</v>
      </c>
      <c r="J88" s="100">
        <v>0.24</v>
      </c>
      <c r="K88" s="100">
        <v>165.45</v>
      </c>
      <c r="L88" s="100">
        <v>19.32</v>
      </c>
      <c r="M88" s="100">
        <v>65.86</v>
      </c>
      <c r="N88" s="100">
        <v>1.4</v>
      </c>
      <c r="O88" s="100">
        <v>0</v>
      </c>
      <c r="P88" s="100">
        <v>0.93</v>
      </c>
      <c r="Q88" s="100">
        <v>11.24</v>
      </c>
      <c r="R88" s="6"/>
      <c r="S88" s="6"/>
      <c r="T88" s="156"/>
      <c r="U88" s="6"/>
    </row>
    <row r="89" spans="1:21" customFormat="1">
      <c r="A89" s="163" t="s">
        <v>1951</v>
      </c>
      <c r="B89" s="100">
        <v>17.36</v>
      </c>
      <c r="C89" s="100">
        <v>33.71</v>
      </c>
      <c r="D89" s="100">
        <v>32.880000000000003</v>
      </c>
      <c r="E89" s="100">
        <v>10.220000000000001</v>
      </c>
      <c r="F89" s="100">
        <v>0.09</v>
      </c>
      <c r="G89" s="100">
        <v>111.35</v>
      </c>
      <c r="H89" s="100">
        <v>44.55</v>
      </c>
      <c r="I89" s="100">
        <v>10.66</v>
      </c>
      <c r="J89" s="100">
        <v>0.19</v>
      </c>
      <c r="K89" s="100">
        <v>162.78</v>
      </c>
      <c r="L89" s="100">
        <v>18.75</v>
      </c>
      <c r="M89" s="100">
        <v>70.430000000000007</v>
      </c>
      <c r="N89" s="100">
        <v>1.4</v>
      </c>
      <c r="O89" s="100">
        <v>0</v>
      </c>
      <c r="P89" s="100">
        <v>0.95</v>
      </c>
      <c r="Q89" s="100">
        <v>11.24</v>
      </c>
      <c r="R89" s="6"/>
      <c r="S89" s="6"/>
      <c r="T89" s="156"/>
      <c r="U89" s="6"/>
    </row>
    <row r="90" spans="1:21" customFormat="1">
      <c r="A90" s="163" t="s">
        <v>1952</v>
      </c>
      <c r="B90" s="100">
        <v>19.079999999999998</v>
      </c>
      <c r="C90" s="100">
        <v>33.19</v>
      </c>
      <c r="D90" s="100">
        <v>33.99</v>
      </c>
      <c r="E90" s="100">
        <v>10.32</v>
      </c>
      <c r="F90" s="100">
        <v>0.49</v>
      </c>
      <c r="G90" s="100">
        <v>123.9</v>
      </c>
      <c r="H90" s="100">
        <v>43.1</v>
      </c>
      <c r="I90" s="100">
        <v>10.96</v>
      </c>
      <c r="J90" s="100">
        <v>0.23</v>
      </c>
      <c r="K90" s="100">
        <v>166.31</v>
      </c>
      <c r="L90" s="100">
        <v>18.75</v>
      </c>
      <c r="M90" s="100">
        <v>70.42</v>
      </c>
      <c r="N90" s="100">
        <v>1.2</v>
      </c>
      <c r="O90" s="100">
        <v>0</v>
      </c>
      <c r="P90" s="100">
        <v>0.99</v>
      </c>
      <c r="Q90" s="100">
        <v>11.24</v>
      </c>
      <c r="R90" s="6"/>
      <c r="S90" s="6"/>
      <c r="T90" s="156"/>
      <c r="U90" s="6"/>
    </row>
    <row r="91" spans="1:21" customFormat="1">
      <c r="A91" s="163" t="s">
        <v>1953</v>
      </c>
      <c r="B91" s="100">
        <v>20.64</v>
      </c>
      <c r="C91" s="100">
        <v>32.75</v>
      </c>
      <c r="D91" s="100">
        <v>35.01</v>
      </c>
      <c r="E91" s="100">
        <v>10.34</v>
      </c>
      <c r="F91" s="100">
        <v>0.27</v>
      </c>
      <c r="G91" s="100">
        <v>131.52000000000001</v>
      </c>
      <c r="H91" s="100">
        <v>42.59</v>
      </c>
      <c r="I91" s="100">
        <v>11.24</v>
      </c>
      <c r="J91" s="100">
        <v>0.25</v>
      </c>
      <c r="K91" s="100">
        <v>168.09</v>
      </c>
      <c r="L91" s="100">
        <v>18.32</v>
      </c>
      <c r="M91" s="100">
        <v>73.069999999999993</v>
      </c>
      <c r="N91" s="100">
        <v>1.3</v>
      </c>
      <c r="O91" s="100">
        <v>0</v>
      </c>
      <c r="P91" s="100">
        <v>1.01</v>
      </c>
      <c r="Q91" s="100">
        <v>11.24</v>
      </c>
      <c r="R91" s="6"/>
      <c r="S91" s="6"/>
      <c r="T91" s="156"/>
      <c r="U91" s="6"/>
    </row>
    <row r="92" spans="1:21" customFormat="1">
      <c r="A92" s="163" t="s">
        <v>1954</v>
      </c>
      <c r="B92" s="100">
        <v>21.77</v>
      </c>
      <c r="C92" s="100">
        <v>32.549999999999997</v>
      </c>
      <c r="D92" s="100">
        <v>35.82</v>
      </c>
      <c r="E92" s="100">
        <v>9.9499999999999993</v>
      </c>
      <c r="F92" s="100">
        <v>0.06</v>
      </c>
      <c r="G92" s="100">
        <v>131.52000000000001</v>
      </c>
      <c r="H92" s="100">
        <v>42.59</v>
      </c>
      <c r="I92" s="100">
        <v>11.5</v>
      </c>
      <c r="J92" s="100">
        <v>0.22</v>
      </c>
      <c r="K92" s="100">
        <v>177.65</v>
      </c>
      <c r="L92" s="100">
        <v>17.71</v>
      </c>
      <c r="M92" s="100">
        <v>74.03</v>
      </c>
      <c r="N92" s="100">
        <v>1.5</v>
      </c>
      <c r="O92" s="100">
        <v>0</v>
      </c>
      <c r="P92" s="100">
        <v>1.04</v>
      </c>
      <c r="Q92" s="100">
        <v>11.24</v>
      </c>
      <c r="R92" s="6"/>
      <c r="S92" s="6"/>
      <c r="T92" s="156"/>
      <c r="U92" s="6"/>
    </row>
    <row r="93" spans="1:21" customFormat="1">
      <c r="A93" s="163" t="s">
        <v>1955</v>
      </c>
      <c r="B93" s="100">
        <v>22.56</v>
      </c>
      <c r="C93" s="100">
        <v>32.35</v>
      </c>
      <c r="D93" s="100">
        <v>36.35</v>
      </c>
      <c r="E93" s="100">
        <v>10.01</v>
      </c>
      <c r="F93" s="100">
        <v>0.77</v>
      </c>
      <c r="G93" s="100">
        <v>131.52000000000001</v>
      </c>
      <c r="H93" s="100">
        <v>42.59</v>
      </c>
      <c r="I93" s="100">
        <v>11.73</v>
      </c>
      <c r="J93" s="100">
        <v>0.35</v>
      </c>
      <c r="K93" s="100">
        <v>173.21</v>
      </c>
      <c r="L93" s="100">
        <v>17.420000000000002</v>
      </c>
      <c r="M93" s="100">
        <v>73.55</v>
      </c>
      <c r="N93" s="100">
        <v>1.4</v>
      </c>
      <c r="O93" s="100">
        <v>0</v>
      </c>
      <c r="P93" s="100">
        <v>1.07</v>
      </c>
      <c r="Q93" s="100">
        <v>11.24</v>
      </c>
      <c r="R93" s="6"/>
      <c r="S93" s="6"/>
      <c r="T93" s="156"/>
      <c r="U93" s="6"/>
    </row>
    <row r="94" spans="1:21" customFormat="1">
      <c r="A94" s="163" t="s">
        <v>1956</v>
      </c>
      <c r="B94" s="100">
        <v>22.61</v>
      </c>
      <c r="C94" s="100">
        <v>32.130000000000003</v>
      </c>
      <c r="D94" s="100">
        <v>36.270000000000003</v>
      </c>
      <c r="E94" s="100">
        <v>10.6</v>
      </c>
      <c r="F94" s="100">
        <v>1.1299999999999999</v>
      </c>
      <c r="G94" s="100">
        <v>126.58</v>
      </c>
      <c r="H94" s="100">
        <v>39.33</v>
      </c>
      <c r="I94" s="100">
        <v>12.03</v>
      </c>
      <c r="J94" s="100">
        <v>0.15</v>
      </c>
      <c r="K94" s="100">
        <v>206.5</v>
      </c>
      <c r="L94" s="100">
        <v>17.23</v>
      </c>
      <c r="M94" s="100">
        <v>73.11</v>
      </c>
      <c r="N94" s="100">
        <v>1.2</v>
      </c>
      <c r="O94" s="100">
        <v>0</v>
      </c>
      <c r="P94" s="100">
        <v>1.08</v>
      </c>
      <c r="Q94" s="100">
        <v>11.24</v>
      </c>
      <c r="R94" s="6"/>
      <c r="S94" s="6"/>
      <c r="T94" s="156"/>
      <c r="U94" s="6"/>
    </row>
    <row r="95" spans="1:21" customFormat="1">
      <c r="A95" s="163" t="s">
        <v>1957</v>
      </c>
      <c r="B95" s="100">
        <v>22.24</v>
      </c>
      <c r="C95" s="100">
        <v>31.57</v>
      </c>
      <c r="D95" s="100">
        <v>35.68</v>
      </c>
      <c r="E95" s="100">
        <v>9.82</v>
      </c>
      <c r="F95" s="100">
        <v>2.12</v>
      </c>
      <c r="G95" s="100">
        <v>123.57</v>
      </c>
      <c r="H95" s="100">
        <v>38.67</v>
      </c>
      <c r="I95" s="100">
        <v>12.27</v>
      </c>
      <c r="J95" s="100">
        <v>0.22</v>
      </c>
      <c r="K95" s="100">
        <v>176.64</v>
      </c>
      <c r="L95" s="100">
        <v>17.100000000000001</v>
      </c>
      <c r="M95" s="100">
        <v>74.510000000000005</v>
      </c>
      <c r="N95" s="100">
        <v>1.2</v>
      </c>
      <c r="O95" s="100">
        <v>0</v>
      </c>
      <c r="P95" s="100">
        <v>1.07</v>
      </c>
      <c r="Q95" s="100">
        <v>11.24</v>
      </c>
      <c r="R95" s="6"/>
      <c r="S95" s="6"/>
      <c r="T95" s="156"/>
      <c r="U95" s="6"/>
    </row>
    <row r="96" spans="1:21" customFormat="1">
      <c r="A96" s="163" t="s">
        <v>1958</v>
      </c>
      <c r="B96" s="100">
        <v>21.63</v>
      </c>
      <c r="C96" s="100">
        <v>31.07</v>
      </c>
      <c r="D96" s="100">
        <v>34.93</v>
      </c>
      <c r="E96" s="100">
        <v>10.11</v>
      </c>
      <c r="F96" s="100">
        <v>0.43</v>
      </c>
      <c r="G96" s="100">
        <v>123.57</v>
      </c>
      <c r="H96" s="100">
        <v>38.67</v>
      </c>
      <c r="I96" s="100">
        <v>12.34</v>
      </c>
      <c r="J96" s="100">
        <v>0.19</v>
      </c>
      <c r="K96" s="100">
        <v>177.42</v>
      </c>
      <c r="L96" s="100">
        <v>16.86</v>
      </c>
      <c r="M96" s="100">
        <v>75.8</v>
      </c>
      <c r="N96" s="100">
        <v>1.2</v>
      </c>
      <c r="O96" s="100">
        <v>0</v>
      </c>
      <c r="P96" s="100">
        <v>1.08</v>
      </c>
      <c r="Q96" s="100">
        <v>11.24</v>
      </c>
      <c r="R96" s="6"/>
      <c r="S96" s="6"/>
      <c r="T96" s="156"/>
      <c r="U96" s="6"/>
    </row>
    <row r="97" spans="1:28" customFormat="1">
      <c r="A97" s="163" t="s">
        <v>1959</v>
      </c>
      <c r="B97" s="100">
        <v>21.01</v>
      </c>
      <c r="C97" s="100">
        <v>30.93</v>
      </c>
      <c r="D97" s="100">
        <v>34.36</v>
      </c>
      <c r="E97" s="100">
        <v>9.9600000000000009</v>
      </c>
      <c r="F97" s="100">
        <v>1.1000000000000001</v>
      </c>
      <c r="G97" s="100">
        <v>123.57</v>
      </c>
      <c r="H97" s="100">
        <v>38.67</v>
      </c>
      <c r="I97" s="100">
        <v>12.37</v>
      </c>
      <c r="J97" s="100">
        <v>0.16</v>
      </c>
      <c r="K97" s="100">
        <v>203.34</v>
      </c>
      <c r="L97" s="100">
        <v>16.75</v>
      </c>
      <c r="M97" s="100">
        <v>73.16</v>
      </c>
      <c r="N97" s="100">
        <v>1.1000000000000001</v>
      </c>
      <c r="O97" s="100">
        <v>0</v>
      </c>
      <c r="P97" s="100">
        <v>1.07</v>
      </c>
      <c r="Q97" s="100">
        <v>11.24</v>
      </c>
      <c r="R97" s="6"/>
      <c r="S97" s="6"/>
      <c r="T97" s="156"/>
      <c r="U97" s="6"/>
    </row>
    <row r="98" spans="1:28" customFormat="1">
      <c r="A98" s="163" t="s">
        <v>1960</v>
      </c>
      <c r="B98" s="100">
        <v>20.51</v>
      </c>
      <c r="C98" s="100">
        <v>30.88</v>
      </c>
      <c r="D98" s="100">
        <v>33.93</v>
      </c>
      <c r="E98" s="100">
        <v>10.1</v>
      </c>
      <c r="F98" s="100">
        <v>0.37</v>
      </c>
      <c r="G98" s="100">
        <v>134.01</v>
      </c>
      <c r="H98" s="100">
        <v>36.869999999999997</v>
      </c>
      <c r="I98" s="100">
        <v>12.37</v>
      </c>
      <c r="J98" s="100">
        <v>0.2</v>
      </c>
      <c r="K98" s="100">
        <v>189.33</v>
      </c>
      <c r="L98" s="100">
        <v>16.7</v>
      </c>
      <c r="M98" s="100">
        <v>74.430000000000007</v>
      </c>
      <c r="N98" s="100">
        <v>1.1000000000000001</v>
      </c>
      <c r="O98" s="100">
        <v>0</v>
      </c>
      <c r="P98" s="100">
        <v>1.07</v>
      </c>
      <c r="Q98" s="100">
        <v>11.24</v>
      </c>
      <c r="R98" s="6"/>
      <c r="S98" s="6"/>
      <c r="T98" s="156"/>
      <c r="U98" s="6"/>
    </row>
    <row r="99" spans="1:28" customFormat="1">
      <c r="A99" s="163" t="s">
        <v>1961</v>
      </c>
      <c r="B99" s="100">
        <v>20.25</v>
      </c>
      <c r="C99" s="100">
        <v>30.9</v>
      </c>
      <c r="D99" s="100">
        <v>33.74</v>
      </c>
      <c r="E99" s="100">
        <v>9.9499999999999993</v>
      </c>
      <c r="F99" s="100">
        <v>0.33</v>
      </c>
      <c r="G99" s="100">
        <v>140.34</v>
      </c>
      <c r="H99" s="100">
        <v>36.51</v>
      </c>
      <c r="I99" s="100">
        <v>12.44</v>
      </c>
      <c r="J99" s="100">
        <v>0.12</v>
      </c>
      <c r="K99" s="100">
        <v>197.6</v>
      </c>
      <c r="L99" s="100">
        <v>16.510000000000002</v>
      </c>
      <c r="M99" s="100">
        <v>74.41</v>
      </c>
      <c r="N99" s="100">
        <v>1.1000000000000001</v>
      </c>
      <c r="O99" s="100">
        <v>0</v>
      </c>
      <c r="P99" s="100">
        <v>1.08</v>
      </c>
      <c r="Q99" s="100">
        <v>11.24</v>
      </c>
      <c r="R99" s="6"/>
      <c r="S99" s="6"/>
      <c r="T99" s="156"/>
      <c r="U99" s="6"/>
    </row>
    <row r="100" spans="1:28" customFormat="1">
      <c r="A100" s="163" t="s">
        <v>1962</v>
      </c>
      <c r="B100" s="100">
        <v>19.899999999999999</v>
      </c>
      <c r="C100" s="100">
        <v>31.08</v>
      </c>
      <c r="D100" s="100">
        <v>33.549999999999997</v>
      </c>
      <c r="E100" s="100">
        <v>9.6</v>
      </c>
      <c r="F100" s="100">
        <v>0.81</v>
      </c>
      <c r="G100" s="100">
        <v>140.34</v>
      </c>
      <c r="H100" s="100">
        <v>36.51</v>
      </c>
      <c r="I100" s="100">
        <v>12.52</v>
      </c>
      <c r="J100" s="100">
        <v>0.16</v>
      </c>
      <c r="K100" s="100">
        <v>225.33</v>
      </c>
      <c r="L100" s="100">
        <v>16.37</v>
      </c>
      <c r="M100" s="100">
        <v>75.099999999999994</v>
      </c>
      <c r="N100" s="100">
        <v>1.1000000000000001</v>
      </c>
      <c r="O100" s="100">
        <v>0</v>
      </c>
      <c r="P100" s="100">
        <v>1.08</v>
      </c>
      <c r="Q100" s="100">
        <v>11.24</v>
      </c>
      <c r="R100" s="6"/>
      <c r="S100" s="6"/>
      <c r="T100" s="156"/>
      <c r="U100" s="6"/>
      <c r="AB100" s="161"/>
    </row>
    <row r="101" spans="1:28" customFormat="1">
      <c r="A101" s="163" t="s">
        <v>1963</v>
      </c>
      <c r="B101" s="100">
        <v>19.47</v>
      </c>
      <c r="C101" s="100">
        <v>31.32</v>
      </c>
      <c r="D101" s="100">
        <v>33.33</v>
      </c>
      <c r="E101" s="100">
        <v>9.26</v>
      </c>
      <c r="F101" s="100">
        <v>1.28</v>
      </c>
      <c r="G101" s="100">
        <v>140.34</v>
      </c>
      <c r="H101" s="100">
        <v>36.51</v>
      </c>
      <c r="I101" s="100">
        <v>12.61</v>
      </c>
      <c r="J101" s="100">
        <v>0.14000000000000001</v>
      </c>
      <c r="K101" s="100">
        <v>232.91</v>
      </c>
      <c r="L101" s="100">
        <v>16.05</v>
      </c>
      <c r="M101" s="100">
        <v>76.06</v>
      </c>
      <c r="N101" s="100">
        <v>1.1000000000000001</v>
      </c>
      <c r="O101" s="100">
        <v>0</v>
      </c>
      <c r="P101" s="100">
        <v>1.0900000000000001</v>
      </c>
      <c r="Q101" s="100">
        <v>11.24</v>
      </c>
      <c r="R101" s="6"/>
      <c r="S101" s="6"/>
      <c r="T101" s="156"/>
      <c r="U101" s="6"/>
    </row>
    <row r="102" spans="1:28" customFormat="1">
      <c r="A102" s="163" t="s">
        <v>1964</v>
      </c>
      <c r="B102" s="100">
        <v>19.260000000000002</v>
      </c>
      <c r="C102" s="100">
        <v>31.19</v>
      </c>
      <c r="D102" s="100">
        <v>33.090000000000003</v>
      </c>
      <c r="E102" s="100">
        <v>9.7899999999999991</v>
      </c>
      <c r="F102" s="100">
        <v>1.06</v>
      </c>
      <c r="G102" s="100">
        <v>148.12</v>
      </c>
      <c r="H102" s="100">
        <v>37.380000000000003</v>
      </c>
      <c r="I102" s="100">
        <v>12.67</v>
      </c>
      <c r="J102" s="100">
        <v>0.15</v>
      </c>
      <c r="K102" s="100">
        <v>175.75</v>
      </c>
      <c r="L102" s="100">
        <v>15.94</v>
      </c>
      <c r="M102" s="100">
        <v>77.099999999999994</v>
      </c>
      <c r="N102" s="100">
        <v>1</v>
      </c>
      <c r="O102" s="100">
        <v>0</v>
      </c>
      <c r="P102" s="100">
        <v>1.0900000000000001</v>
      </c>
      <c r="Q102" s="100">
        <v>11.24</v>
      </c>
      <c r="R102" s="6"/>
      <c r="S102" s="6"/>
      <c r="T102" s="156"/>
      <c r="U102" s="6"/>
    </row>
    <row r="103" spans="1:28" customFormat="1">
      <c r="A103" s="163" t="s">
        <v>1965</v>
      </c>
      <c r="B103" s="100">
        <v>19.28</v>
      </c>
      <c r="C103" s="100">
        <v>31.22</v>
      </c>
      <c r="D103" s="100">
        <v>33.119999999999997</v>
      </c>
      <c r="E103" s="100">
        <v>9.4600000000000009</v>
      </c>
      <c r="F103" s="100">
        <v>0.28999999999999998</v>
      </c>
      <c r="G103" s="100">
        <v>152.84</v>
      </c>
      <c r="H103" s="100">
        <v>37.549999999999997</v>
      </c>
      <c r="I103" s="100">
        <v>12.74</v>
      </c>
      <c r="J103" s="100">
        <v>0.22</v>
      </c>
      <c r="K103" s="100">
        <v>164.34</v>
      </c>
      <c r="L103" s="100">
        <v>15.93</v>
      </c>
      <c r="M103" s="100">
        <v>79.64</v>
      </c>
      <c r="N103" s="100">
        <v>1</v>
      </c>
      <c r="O103" s="100">
        <v>0</v>
      </c>
      <c r="P103" s="100">
        <v>1.1000000000000001</v>
      </c>
      <c r="Q103" s="100">
        <v>11.24</v>
      </c>
      <c r="R103" s="6"/>
      <c r="S103" s="6"/>
      <c r="T103" s="156"/>
      <c r="U103" s="6"/>
    </row>
    <row r="104" spans="1:28" customFormat="1">
      <c r="A104" s="163" t="s">
        <v>1966</v>
      </c>
      <c r="B104" s="100">
        <v>20.74</v>
      </c>
      <c r="C104" s="100">
        <v>31.34</v>
      </c>
      <c r="D104" s="100">
        <v>34.35</v>
      </c>
      <c r="E104" s="100">
        <v>9.52</v>
      </c>
      <c r="F104" s="100">
        <v>0.24</v>
      </c>
      <c r="G104" s="100">
        <v>152.84</v>
      </c>
      <c r="H104" s="100">
        <v>37.549999999999997</v>
      </c>
      <c r="I104" s="100">
        <v>12.8</v>
      </c>
      <c r="J104" s="100">
        <v>0.23</v>
      </c>
      <c r="K104" s="100">
        <v>160.63999999999999</v>
      </c>
      <c r="L104" s="100">
        <v>16.079999999999998</v>
      </c>
      <c r="M104" s="100">
        <v>80.69</v>
      </c>
      <c r="N104" s="100">
        <v>1</v>
      </c>
      <c r="O104" s="100">
        <v>0</v>
      </c>
      <c r="P104" s="100">
        <v>1.1299999999999999</v>
      </c>
      <c r="Q104" s="100">
        <v>11.24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</v>
      </c>
      <c r="C106" s="158">
        <f>MIN(C9:C104)</f>
        <v>0</v>
      </c>
      <c r="D106" s="158">
        <f t="shared" ref="D106:Q106" si="0">MIN(D9:D104)</f>
        <v>0</v>
      </c>
      <c r="E106" s="158">
        <f t="shared" si="0"/>
        <v>-13.84</v>
      </c>
      <c r="F106" s="158">
        <f t="shared" si="0"/>
        <v>0</v>
      </c>
      <c r="G106" s="158">
        <f t="shared" si="0"/>
        <v>0</v>
      </c>
      <c r="H106" s="158">
        <f t="shared" si="0"/>
        <v>0</v>
      </c>
      <c r="I106" s="158">
        <f t="shared" si="0"/>
        <v>0</v>
      </c>
      <c r="J106" s="158">
        <f t="shared" si="0"/>
        <v>0</v>
      </c>
      <c r="K106" s="158">
        <f t="shared" si="0"/>
        <v>0</v>
      </c>
      <c r="L106" s="158">
        <f t="shared" si="0"/>
        <v>0</v>
      </c>
      <c r="M106" s="158">
        <f t="shared" si="0"/>
        <v>0</v>
      </c>
      <c r="N106" s="158">
        <f t="shared" si="0"/>
        <v>0</v>
      </c>
      <c r="O106" s="158">
        <f t="shared" si="0"/>
        <v>0</v>
      </c>
      <c r="P106" s="158">
        <f t="shared" si="0"/>
        <v>0</v>
      </c>
      <c r="Q106" s="158">
        <f t="shared" si="0"/>
        <v>11.24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39.04</v>
      </c>
      <c r="C107" s="157">
        <f t="shared" ref="C107:Q107" si="1">MAX(C9:C104)</f>
        <v>37.71</v>
      </c>
      <c r="D107" s="157">
        <f t="shared" si="1"/>
        <v>46.68</v>
      </c>
      <c r="E107" s="157">
        <f t="shared" si="1"/>
        <v>16.62</v>
      </c>
      <c r="F107" s="157">
        <f t="shared" si="1"/>
        <v>6.82</v>
      </c>
      <c r="G107" s="157">
        <f t="shared" si="1"/>
        <v>152.84</v>
      </c>
      <c r="H107" s="157">
        <f t="shared" si="1"/>
        <v>44.55</v>
      </c>
      <c r="I107" s="157">
        <f t="shared" si="1"/>
        <v>12.8</v>
      </c>
      <c r="J107" s="157">
        <f t="shared" si="1"/>
        <v>1.58</v>
      </c>
      <c r="K107" s="157">
        <f t="shared" si="1"/>
        <v>232.91</v>
      </c>
      <c r="L107" s="157">
        <f t="shared" si="1"/>
        <v>28.16</v>
      </c>
      <c r="M107" s="157">
        <f t="shared" si="1"/>
        <v>80.69</v>
      </c>
      <c r="N107" s="157">
        <f t="shared" si="1"/>
        <v>408.9</v>
      </c>
      <c r="O107" s="157">
        <f t="shared" si="1"/>
        <v>0</v>
      </c>
      <c r="P107" s="157">
        <f t="shared" si="1"/>
        <v>1.1299999999999999</v>
      </c>
      <c r="Q107" s="157">
        <f t="shared" si="1"/>
        <v>11.24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20.678229166666668</v>
      </c>
      <c r="C108" s="158">
        <f t="shared" ref="C108:Q108" si="2">AVERAGE(C9:C104)</f>
        <v>28.728437500000013</v>
      </c>
      <c r="D108" s="158">
        <f t="shared" si="2"/>
        <v>32.873020833333335</v>
      </c>
      <c r="E108" s="158">
        <f t="shared" si="2"/>
        <v>9.5134375000000073</v>
      </c>
      <c r="F108" s="158">
        <f t="shared" si="2"/>
        <v>0.96739583333333323</v>
      </c>
      <c r="G108" s="158">
        <f t="shared" si="2"/>
        <v>89.546875000000071</v>
      </c>
      <c r="H108" s="158">
        <f t="shared" si="2"/>
        <v>32.568125000000016</v>
      </c>
      <c r="I108" s="158">
        <f t="shared" si="2"/>
        <v>9.4008333333333347</v>
      </c>
      <c r="J108" s="158">
        <f t="shared" si="2"/>
        <v>0.46052083333333299</v>
      </c>
      <c r="K108" s="158">
        <f t="shared" si="2"/>
        <v>83.813541666666666</v>
      </c>
      <c r="L108" s="158">
        <f t="shared" si="2"/>
        <v>19.742604166666666</v>
      </c>
      <c r="M108" s="158">
        <f t="shared" si="2"/>
        <v>52.745000000000026</v>
      </c>
      <c r="N108" s="158">
        <f t="shared" si="2"/>
        <v>85.302083333333343</v>
      </c>
      <c r="O108" s="158">
        <f t="shared" si="2"/>
        <v>0</v>
      </c>
      <c r="P108" s="158">
        <f t="shared" si="2"/>
        <v>0.77479166666666632</v>
      </c>
      <c r="Q108" s="158">
        <f t="shared" si="2"/>
        <v>11.240000000000007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10.55207218310489</v>
      </c>
      <c r="C109" s="158">
        <f t="shared" ref="C109:Q109" si="3">STDEV(C9:C104)</f>
        <v>7.7118381081670959</v>
      </c>
      <c r="D109" s="158">
        <f t="shared" si="3"/>
        <v>9.7092073631483498</v>
      </c>
      <c r="E109" s="158">
        <f t="shared" si="3"/>
        <v>4.2501880647244556</v>
      </c>
      <c r="F109" s="158">
        <f t="shared" si="3"/>
        <v>1.0195016788831766</v>
      </c>
      <c r="G109" s="158">
        <f t="shared" si="3"/>
        <v>26.836490017276041</v>
      </c>
      <c r="H109" s="158">
        <f t="shared" si="3"/>
        <v>11.024342282565298</v>
      </c>
      <c r="I109" s="158">
        <f t="shared" si="3"/>
        <v>2.6917463189561563</v>
      </c>
      <c r="J109" s="158">
        <f t="shared" si="3"/>
        <v>0.32868276111798245</v>
      </c>
      <c r="K109" s="158">
        <f t="shared" si="3"/>
        <v>60.672934605475874</v>
      </c>
      <c r="L109" s="158">
        <f t="shared" si="3"/>
        <v>5.8278428336991386</v>
      </c>
      <c r="M109" s="158">
        <f t="shared" si="3"/>
        <v>19.760995500173863</v>
      </c>
      <c r="N109" s="158">
        <f t="shared" si="3"/>
        <v>141.35832928685852</v>
      </c>
      <c r="O109" s="158">
        <f t="shared" si="3"/>
        <v>0</v>
      </c>
      <c r="P109" s="158">
        <f t="shared" si="3"/>
        <v>0.2003417037104718</v>
      </c>
      <c r="Q109" s="158">
        <f t="shared" si="3"/>
        <v>7.1427264451533946E-15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Q9" sqref="Q9:Q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19/01/2025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1967</v>
      </c>
      <c r="B9" s="100">
        <v>27.17</v>
      </c>
      <c r="C9" s="100">
        <v>31.79</v>
      </c>
      <c r="D9" s="100">
        <v>39.75</v>
      </c>
      <c r="E9" s="100">
        <v>9.7200000000000006</v>
      </c>
      <c r="F9" s="100">
        <v>0.11</v>
      </c>
      <c r="G9" s="100">
        <v>152.84</v>
      </c>
      <c r="H9" s="100">
        <v>37.549999999999997</v>
      </c>
      <c r="I9" s="100">
        <v>12.86</v>
      </c>
      <c r="J9" s="100">
        <v>0.21</v>
      </c>
      <c r="K9" s="100">
        <v>166.28</v>
      </c>
      <c r="L9" s="100">
        <v>15.88</v>
      </c>
      <c r="M9" s="100">
        <v>82.71</v>
      </c>
      <c r="N9" s="100">
        <v>1.1000000000000001</v>
      </c>
      <c r="O9" s="100">
        <v>0</v>
      </c>
      <c r="P9" s="100">
        <v>1.1499999999999999</v>
      </c>
      <c r="Q9" s="100">
        <v>12.54</v>
      </c>
      <c r="R9" s="6"/>
      <c r="S9" s="6"/>
      <c r="T9" s="156"/>
      <c r="U9" s="6"/>
    </row>
    <row r="10" spans="1:21" customFormat="1">
      <c r="A10" s="163" t="s">
        <v>1968</v>
      </c>
      <c r="B10" s="100">
        <v>29.73</v>
      </c>
      <c r="C10" s="100">
        <v>32.24</v>
      </c>
      <c r="D10" s="100">
        <v>42.04</v>
      </c>
      <c r="E10" s="100">
        <v>9.5399999999999991</v>
      </c>
      <c r="F10" s="100">
        <v>0.35</v>
      </c>
      <c r="G10" s="100">
        <v>157.94999999999999</v>
      </c>
      <c r="H10" s="100">
        <v>38.36</v>
      </c>
      <c r="I10" s="100">
        <v>13.02</v>
      </c>
      <c r="J10" s="100">
        <v>0.11</v>
      </c>
      <c r="K10" s="100">
        <v>209.21</v>
      </c>
      <c r="L10" s="100">
        <v>15.81</v>
      </c>
      <c r="M10" s="100">
        <v>80.05</v>
      </c>
      <c r="N10" s="100">
        <v>1</v>
      </c>
      <c r="O10" s="100">
        <v>0</v>
      </c>
      <c r="P10" s="100">
        <v>1.1599999999999999</v>
      </c>
      <c r="Q10" s="100">
        <v>12.54</v>
      </c>
      <c r="R10" s="6"/>
      <c r="S10" s="6"/>
      <c r="T10" s="156"/>
      <c r="U10" s="6"/>
    </row>
    <row r="11" spans="1:21" customFormat="1">
      <c r="A11" s="163" t="s">
        <v>1969</v>
      </c>
      <c r="B11" s="100">
        <v>32.869999999999997</v>
      </c>
      <c r="C11" s="100">
        <v>32.619999999999997</v>
      </c>
      <c r="D11" s="100">
        <v>44.75</v>
      </c>
      <c r="E11" s="100">
        <v>9.7100000000000009</v>
      </c>
      <c r="F11" s="100">
        <v>0.81</v>
      </c>
      <c r="G11" s="100">
        <v>161.05000000000001</v>
      </c>
      <c r="H11" s="100">
        <v>38.520000000000003</v>
      </c>
      <c r="I11" s="100">
        <v>13.14</v>
      </c>
      <c r="J11" s="100">
        <v>0.16</v>
      </c>
      <c r="K11" s="100">
        <v>159.58000000000001</v>
      </c>
      <c r="L11" s="100">
        <v>15.88</v>
      </c>
      <c r="M11" s="100">
        <v>76.81</v>
      </c>
      <c r="N11" s="100">
        <v>1</v>
      </c>
      <c r="O11" s="100">
        <v>0</v>
      </c>
      <c r="P11" s="100">
        <v>1.1599999999999999</v>
      </c>
      <c r="Q11" s="100">
        <v>12.54</v>
      </c>
      <c r="R11" s="6"/>
      <c r="S11" s="6"/>
      <c r="T11" s="156"/>
      <c r="U11" s="6"/>
    </row>
    <row r="12" spans="1:21" customFormat="1">
      <c r="A12" s="163" t="s">
        <v>1970</v>
      </c>
      <c r="B12" s="100">
        <v>35.08</v>
      </c>
      <c r="C12" s="100">
        <v>33.130000000000003</v>
      </c>
      <c r="D12" s="100">
        <v>46.79</v>
      </c>
      <c r="E12" s="100">
        <v>9.5299999999999994</v>
      </c>
      <c r="F12" s="100">
        <v>0.28999999999999998</v>
      </c>
      <c r="G12" s="100">
        <v>161.05000000000001</v>
      </c>
      <c r="H12" s="100">
        <v>38.520000000000003</v>
      </c>
      <c r="I12" s="100">
        <v>13.34</v>
      </c>
      <c r="J12" s="100">
        <v>0.3</v>
      </c>
      <c r="K12" s="100">
        <v>34.17</v>
      </c>
      <c r="L12" s="100">
        <v>16.18</v>
      </c>
      <c r="M12" s="100">
        <v>74.760000000000005</v>
      </c>
      <c r="N12" s="100">
        <v>0.5</v>
      </c>
      <c r="O12" s="100">
        <v>0</v>
      </c>
      <c r="P12" s="100">
        <v>1.17</v>
      </c>
      <c r="Q12" s="100">
        <v>12.54</v>
      </c>
      <c r="R12" s="6"/>
      <c r="S12" s="6"/>
      <c r="T12" s="156"/>
      <c r="U12" s="6"/>
    </row>
    <row r="13" spans="1:21" customFormat="1">
      <c r="A13" s="163" t="s">
        <v>1971</v>
      </c>
      <c r="B13" s="100">
        <v>36.19</v>
      </c>
      <c r="C13" s="100">
        <v>33.56</v>
      </c>
      <c r="D13" s="100">
        <v>47.9</v>
      </c>
      <c r="E13" s="100">
        <v>9.99</v>
      </c>
      <c r="F13" s="100">
        <v>2.12</v>
      </c>
      <c r="G13" s="100">
        <v>161.05000000000001</v>
      </c>
      <c r="H13" s="100">
        <v>38.520000000000003</v>
      </c>
      <c r="I13" s="100">
        <v>13.42</v>
      </c>
      <c r="J13" s="100">
        <v>0.28999999999999998</v>
      </c>
      <c r="K13" s="100">
        <v>49.57</v>
      </c>
      <c r="L13" s="100">
        <v>16.66</v>
      </c>
      <c r="M13" s="100">
        <v>70.180000000000007</v>
      </c>
      <c r="N13" s="100">
        <v>0.7</v>
      </c>
      <c r="O13" s="100">
        <v>0</v>
      </c>
      <c r="P13" s="100">
        <v>1.2</v>
      </c>
      <c r="Q13" s="100">
        <v>12.54</v>
      </c>
      <c r="R13" s="6"/>
      <c r="S13" s="6"/>
      <c r="T13" s="156"/>
      <c r="U13" s="6"/>
    </row>
    <row r="14" spans="1:21" customFormat="1">
      <c r="A14" s="163" t="s">
        <v>1972</v>
      </c>
      <c r="B14" s="100">
        <v>35.71</v>
      </c>
      <c r="C14" s="100">
        <v>33.74</v>
      </c>
      <c r="D14" s="100">
        <v>47.61</v>
      </c>
      <c r="E14" s="100">
        <v>9.6300000000000008</v>
      </c>
      <c r="F14" s="100">
        <v>0.05</v>
      </c>
      <c r="G14" s="100">
        <v>158.25</v>
      </c>
      <c r="H14" s="100">
        <v>40.75</v>
      </c>
      <c r="I14" s="100">
        <v>13.52</v>
      </c>
      <c r="J14" s="100">
        <v>0.19</v>
      </c>
      <c r="K14" s="100">
        <v>58.05</v>
      </c>
      <c r="L14" s="100">
        <v>16.5</v>
      </c>
      <c r="M14" s="100">
        <v>71.56</v>
      </c>
      <c r="N14" s="100">
        <v>1.2</v>
      </c>
      <c r="O14" s="100">
        <v>0</v>
      </c>
      <c r="P14" s="100">
        <v>1.22</v>
      </c>
      <c r="Q14" s="100">
        <v>12.54</v>
      </c>
      <c r="R14" s="6"/>
      <c r="S14" s="6"/>
      <c r="T14" s="156"/>
      <c r="U14" s="6"/>
    </row>
    <row r="15" spans="1:21" customFormat="1">
      <c r="A15" s="163" t="s">
        <v>1973</v>
      </c>
      <c r="B15" s="100">
        <v>34.880000000000003</v>
      </c>
      <c r="C15" s="100">
        <v>33.43</v>
      </c>
      <c r="D15" s="100">
        <v>46.79</v>
      </c>
      <c r="E15" s="100">
        <v>9.61</v>
      </c>
      <c r="F15" s="100">
        <v>0.76</v>
      </c>
      <c r="G15" s="100">
        <v>156.55000000000001</v>
      </c>
      <c r="H15" s="100">
        <v>41.24</v>
      </c>
      <c r="I15" s="100">
        <v>13.68</v>
      </c>
      <c r="J15" s="100">
        <v>0.08</v>
      </c>
      <c r="K15" s="100">
        <v>182.71</v>
      </c>
      <c r="L15" s="100">
        <v>16.16</v>
      </c>
      <c r="M15" s="100">
        <v>74.3</v>
      </c>
      <c r="N15" s="100">
        <v>1.3</v>
      </c>
      <c r="O15" s="100">
        <v>0</v>
      </c>
      <c r="P15" s="100">
        <v>1.26</v>
      </c>
      <c r="Q15" s="100">
        <v>12.54</v>
      </c>
      <c r="R15" s="6"/>
      <c r="S15" s="6"/>
      <c r="T15" s="156"/>
      <c r="U15" s="6"/>
    </row>
    <row r="16" spans="1:21" customFormat="1">
      <c r="A16" s="163" t="s">
        <v>1974</v>
      </c>
      <c r="B16" s="100">
        <v>34.43</v>
      </c>
      <c r="C16" s="100">
        <v>33.24</v>
      </c>
      <c r="D16" s="100">
        <v>46.33</v>
      </c>
      <c r="E16" s="100">
        <v>9.3699999999999992</v>
      </c>
      <c r="F16" s="100">
        <v>0.18</v>
      </c>
      <c r="G16" s="100">
        <v>156.55000000000001</v>
      </c>
      <c r="H16" s="100">
        <v>41.24</v>
      </c>
      <c r="I16" s="100">
        <v>14.03</v>
      </c>
      <c r="J16" s="100">
        <v>0.22</v>
      </c>
      <c r="K16" s="100">
        <v>165.91</v>
      </c>
      <c r="L16" s="100">
        <v>15.85</v>
      </c>
      <c r="M16" s="100">
        <v>78.45</v>
      </c>
      <c r="N16" s="100">
        <v>1.4</v>
      </c>
      <c r="O16" s="100">
        <v>0</v>
      </c>
      <c r="P16" s="100">
        <v>1.29</v>
      </c>
      <c r="Q16" s="100">
        <v>12.54</v>
      </c>
      <c r="R16" s="6"/>
      <c r="S16" s="6"/>
      <c r="T16" s="156"/>
      <c r="U16" s="6"/>
    </row>
    <row r="17" spans="1:21" customFormat="1">
      <c r="A17" s="163" t="s">
        <v>1975</v>
      </c>
      <c r="B17" s="100">
        <v>33.700000000000003</v>
      </c>
      <c r="C17" s="100">
        <v>32.93</v>
      </c>
      <c r="D17" s="100">
        <v>45.58</v>
      </c>
      <c r="E17" s="100">
        <v>8.5399999999999991</v>
      </c>
      <c r="F17" s="100">
        <v>1.04</v>
      </c>
      <c r="G17" s="100">
        <v>156.55000000000001</v>
      </c>
      <c r="H17" s="100">
        <v>41.24</v>
      </c>
      <c r="I17" s="100">
        <v>14.39</v>
      </c>
      <c r="J17" s="100">
        <v>0.24</v>
      </c>
      <c r="K17" s="100">
        <v>171.25</v>
      </c>
      <c r="L17" s="100">
        <v>15.27</v>
      </c>
      <c r="M17" s="100">
        <v>85.87</v>
      </c>
      <c r="N17" s="100">
        <v>1.5</v>
      </c>
      <c r="O17" s="100">
        <v>0</v>
      </c>
      <c r="P17" s="100">
        <v>1.32</v>
      </c>
      <c r="Q17" s="100">
        <v>12.54</v>
      </c>
      <c r="R17" s="6"/>
      <c r="S17" s="6"/>
      <c r="T17" s="156"/>
      <c r="U17" s="6"/>
    </row>
    <row r="18" spans="1:21" customFormat="1">
      <c r="A18" s="163" t="s">
        <v>1976</v>
      </c>
      <c r="B18" s="100">
        <v>32.9</v>
      </c>
      <c r="C18" s="100">
        <v>32.35</v>
      </c>
      <c r="D18" s="100">
        <v>44.63</v>
      </c>
      <c r="E18" s="100">
        <v>10.199999999999999</v>
      </c>
      <c r="F18" s="100">
        <v>0.41</v>
      </c>
      <c r="G18" s="100">
        <v>162.11000000000001</v>
      </c>
      <c r="H18" s="100">
        <v>43.44</v>
      </c>
      <c r="I18" s="100">
        <v>14.78</v>
      </c>
      <c r="J18" s="100">
        <v>0.23</v>
      </c>
      <c r="K18" s="100">
        <v>179.46</v>
      </c>
      <c r="L18" s="100">
        <v>14.87</v>
      </c>
      <c r="M18" s="100">
        <v>84.95</v>
      </c>
      <c r="N18" s="100">
        <v>1.5</v>
      </c>
      <c r="O18" s="100">
        <v>0</v>
      </c>
      <c r="P18" s="100">
        <v>1.35</v>
      </c>
      <c r="Q18" s="100">
        <v>12.54</v>
      </c>
      <c r="R18" s="6"/>
      <c r="S18" s="6"/>
      <c r="T18" s="156"/>
      <c r="U18" s="6"/>
    </row>
    <row r="19" spans="1:21" customFormat="1">
      <c r="A19" s="163" t="s">
        <v>1977</v>
      </c>
      <c r="B19" s="100">
        <v>31.9</v>
      </c>
      <c r="C19" s="100">
        <v>31.89</v>
      </c>
      <c r="D19" s="100">
        <v>43.6</v>
      </c>
      <c r="E19" s="100">
        <v>10.39</v>
      </c>
      <c r="F19" s="100">
        <v>0.12</v>
      </c>
      <c r="G19" s="100">
        <v>165.48</v>
      </c>
      <c r="H19" s="100">
        <v>44.36</v>
      </c>
      <c r="I19" s="100">
        <v>15.08</v>
      </c>
      <c r="J19" s="100">
        <v>0.15</v>
      </c>
      <c r="K19" s="100">
        <v>200.21</v>
      </c>
      <c r="L19" s="100">
        <v>14.46</v>
      </c>
      <c r="M19" s="100">
        <v>87.69</v>
      </c>
      <c r="N19" s="100">
        <v>1.4</v>
      </c>
      <c r="O19" s="100">
        <v>0</v>
      </c>
      <c r="P19" s="100">
        <v>1.36</v>
      </c>
      <c r="Q19" s="100">
        <v>12.54</v>
      </c>
      <c r="R19" s="6"/>
      <c r="S19" s="6"/>
      <c r="T19" s="156"/>
      <c r="U19" s="6"/>
    </row>
    <row r="20" spans="1:21" customFormat="1">
      <c r="A20" s="163" t="s">
        <v>1978</v>
      </c>
      <c r="B20" s="100">
        <v>30.9</v>
      </c>
      <c r="C20" s="100">
        <v>31.44</v>
      </c>
      <c r="D20" s="100">
        <v>42.56</v>
      </c>
      <c r="E20" s="100">
        <v>10.199999999999999</v>
      </c>
      <c r="F20" s="100">
        <v>0.74</v>
      </c>
      <c r="G20" s="100">
        <v>165.48</v>
      </c>
      <c r="H20" s="100">
        <v>44.36</v>
      </c>
      <c r="I20" s="100">
        <v>15.43</v>
      </c>
      <c r="J20" s="100">
        <v>0.14000000000000001</v>
      </c>
      <c r="K20" s="100">
        <v>208.5</v>
      </c>
      <c r="L20" s="100">
        <v>14.19</v>
      </c>
      <c r="M20" s="100">
        <v>89.88</v>
      </c>
      <c r="N20" s="100">
        <v>1.3</v>
      </c>
      <c r="O20" s="100">
        <v>0</v>
      </c>
      <c r="P20" s="100">
        <v>1.38</v>
      </c>
      <c r="Q20" s="100">
        <v>12.54</v>
      </c>
      <c r="R20" s="6"/>
      <c r="S20" s="6"/>
      <c r="T20" s="156"/>
      <c r="U20" s="6"/>
    </row>
    <row r="21" spans="1:21" customFormat="1">
      <c r="A21" s="163" t="s">
        <v>1979</v>
      </c>
      <c r="B21" s="100">
        <v>29.79</v>
      </c>
      <c r="C21" s="100">
        <v>30.84</v>
      </c>
      <c r="D21" s="100">
        <v>41.35</v>
      </c>
      <c r="E21" s="100">
        <v>10.39</v>
      </c>
      <c r="F21" s="100">
        <v>0.35</v>
      </c>
      <c r="G21" s="100">
        <v>165.48</v>
      </c>
      <c r="H21" s="100">
        <v>44.36</v>
      </c>
      <c r="I21" s="100">
        <v>15.67</v>
      </c>
      <c r="J21" s="100">
        <v>0.1</v>
      </c>
      <c r="K21" s="100">
        <v>180.86</v>
      </c>
      <c r="L21" s="100">
        <v>14.04</v>
      </c>
      <c r="M21" s="100">
        <v>90.34</v>
      </c>
      <c r="N21" s="100">
        <v>1.2</v>
      </c>
      <c r="O21" s="100">
        <v>0</v>
      </c>
      <c r="P21" s="100">
        <v>1.38</v>
      </c>
      <c r="Q21" s="100">
        <v>12.54</v>
      </c>
      <c r="R21" s="6"/>
      <c r="S21" s="6"/>
      <c r="T21" s="156"/>
      <c r="U21" s="6"/>
    </row>
    <row r="22" spans="1:21" customFormat="1">
      <c r="A22" s="163" t="s">
        <v>1980</v>
      </c>
      <c r="B22" s="100">
        <v>28.6</v>
      </c>
      <c r="C22" s="100">
        <v>30.32</v>
      </c>
      <c r="D22" s="100">
        <v>40.130000000000003</v>
      </c>
      <c r="E22" s="100">
        <v>9.75</v>
      </c>
      <c r="F22" s="100">
        <v>0.68</v>
      </c>
      <c r="G22" s="100">
        <v>159.47</v>
      </c>
      <c r="H22" s="100">
        <v>41.82</v>
      </c>
      <c r="I22" s="100">
        <v>15.85</v>
      </c>
      <c r="J22" s="100">
        <v>0.16</v>
      </c>
      <c r="K22" s="100">
        <v>193.8</v>
      </c>
      <c r="L22" s="100">
        <v>14.03</v>
      </c>
      <c r="M22" s="100">
        <v>90.18</v>
      </c>
      <c r="N22" s="100">
        <v>1</v>
      </c>
      <c r="O22" s="100">
        <v>0</v>
      </c>
      <c r="P22" s="100">
        <v>1.38</v>
      </c>
      <c r="Q22" s="100">
        <v>12.54</v>
      </c>
      <c r="R22" s="6"/>
      <c r="S22" s="6"/>
      <c r="T22" s="156"/>
      <c r="U22" s="6"/>
    </row>
    <row r="23" spans="1:21" customFormat="1">
      <c r="A23" s="163" t="s">
        <v>1981</v>
      </c>
      <c r="B23" s="100">
        <v>27.48</v>
      </c>
      <c r="C23" s="100">
        <v>29.98</v>
      </c>
      <c r="D23" s="100">
        <v>39.049999999999997</v>
      </c>
      <c r="E23" s="100">
        <v>9.94</v>
      </c>
      <c r="F23" s="100">
        <v>0.96</v>
      </c>
      <c r="G23" s="100">
        <v>155.82</v>
      </c>
      <c r="H23" s="100">
        <v>41.27</v>
      </c>
      <c r="I23" s="100">
        <v>15.93</v>
      </c>
      <c r="J23" s="100">
        <v>0.15</v>
      </c>
      <c r="K23" s="100">
        <v>181.8</v>
      </c>
      <c r="L23" s="100">
        <v>13.83</v>
      </c>
      <c r="M23" s="100">
        <v>91.29</v>
      </c>
      <c r="N23" s="100">
        <v>1.3</v>
      </c>
      <c r="O23" s="100">
        <v>0</v>
      </c>
      <c r="P23" s="100">
        <v>1.37</v>
      </c>
      <c r="Q23" s="100">
        <v>12.54</v>
      </c>
      <c r="R23" s="6"/>
      <c r="S23" s="6"/>
      <c r="T23" s="156"/>
      <c r="U23" s="6"/>
    </row>
    <row r="24" spans="1:21" customFormat="1">
      <c r="A24" s="163" t="s">
        <v>1982</v>
      </c>
      <c r="B24" s="100">
        <v>26.38</v>
      </c>
      <c r="C24" s="100">
        <v>29.55</v>
      </c>
      <c r="D24" s="100">
        <v>37.94</v>
      </c>
      <c r="E24" s="100">
        <v>9.6999999999999993</v>
      </c>
      <c r="F24" s="100">
        <v>0.48</v>
      </c>
      <c r="G24" s="100">
        <v>155.82</v>
      </c>
      <c r="H24" s="100">
        <v>41.27</v>
      </c>
      <c r="I24" s="100">
        <v>15.97</v>
      </c>
      <c r="J24" s="100">
        <v>0.12</v>
      </c>
      <c r="K24" s="100">
        <v>191.63</v>
      </c>
      <c r="L24" s="100">
        <v>13.62</v>
      </c>
      <c r="M24" s="100">
        <v>92.71</v>
      </c>
      <c r="N24" s="100">
        <v>1.2</v>
      </c>
      <c r="O24" s="100">
        <v>0</v>
      </c>
      <c r="P24" s="100">
        <v>1.36</v>
      </c>
      <c r="Q24" s="100">
        <v>12.54</v>
      </c>
      <c r="R24" s="6"/>
      <c r="S24" s="6"/>
      <c r="T24" s="156"/>
      <c r="U24" s="6"/>
    </row>
    <row r="25" spans="1:21" customFormat="1">
      <c r="A25" s="163" t="s">
        <v>1983</v>
      </c>
      <c r="B25" s="100">
        <v>25.28</v>
      </c>
      <c r="C25" s="100">
        <v>29.09</v>
      </c>
      <c r="D25" s="100">
        <v>36.82</v>
      </c>
      <c r="E25" s="100">
        <v>9.1199999999999992</v>
      </c>
      <c r="F25" s="100">
        <v>0.83</v>
      </c>
      <c r="G25" s="100">
        <v>155.82</v>
      </c>
      <c r="H25" s="100">
        <v>41.27</v>
      </c>
      <c r="I25" s="100">
        <v>16</v>
      </c>
      <c r="J25" s="100">
        <v>0.1</v>
      </c>
      <c r="K25" s="100">
        <v>160.13</v>
      </c>
      <c r="L25" s="100">
        <v>13.5</v>
      </c>
      <c r="M25" s="100">
        <v>91.84</v>
      </c>
      <c r="N25" s="100">
        <v>1</v>
      </c>
      <c r="O25" s="100">
        <v>0</v>
      </c>
      <c r="P25" s="100">
        <v>1.35</v>
      </c>
      <c r="Q25" s="100">
        <v>12.54</v>
      </c>
      <c r="R25" s="6"/>
      <c r="S25" s="6"/>
      <c r="T25" s="156"/>
      <c r="U25" s="6"/>
    </row>
    <row r="26" spans="1:21" customFormat="1">
      <c r="A26" s="163" t="s">
        <v>1984</v>
      </c>
      <c r="B26" s="100">
        <v>24.41</v>
      </c>
      <c r="C26" s="100">
        <v>28.9</v>
      </c>
      <c r="D26" s="100">
        <v>36.020000000000003</v>
      </c>
      <c r="E26" s="100">
        <v>9.39</v>
      </c>
      <c r="F26" s="100">
        <v>0.13</v>
      </c>
      <c r="G26" s="100">
        <v>149.46</v>
      </c>
      <c r="H26" s="100">
        <v>40.08</v>
      </c>
      <c r="I26" s="100">
        <v>15.95</v>
      </c>
      <c r="J26" s="100">
        <v>0.16</v>
      </c>
      <c r="K26" s="100">
        <v>163.06</v>
      </c>
      <c r="L26" s="100">
        <v>13.68</v>
      </c>
      <c r="M26" s="100">
        <v>91.36</v>
      </c>
      <c r="N26" s="100">
        <v>1</v>
      </c>
      <c r="O26" s="100">
        <v>0</v>
      </c>
      <c r="P26" s="100">
        <v>1.35</v>
      </c>
      <c r="Q26" s="100">
        <v>12.54</v>
      </c>
      <c r="R26" s="6"/>
      <c r="S26" s="6"/>
      <c r="T26" s="156"/>
      <c r="U26" s="6"/>
    </row>
    <row r="27" spans="1:21" customFormat="1">
      <c r="A27" s="163" t="s">
        <v>1985</v>
      </c>
      <c r="B27" s="100">
        <v>25.63</v>
      </c>
      <c r="C27" s="100">
        <v>28.85</v>
      </c>
      <c r="D27" s="100">
        <v>36.979999999999997</v>
      </c>
      <c r="E27" s="100">
        <v>9.56</v>
      </c>
      <c r="F27" s="100">
        <v>2.2000000000000002</v>
      </c>
      <c r="G27" s="100">
        <v>145.61000000000001</v>
      </c>
      <c r="H27" s="100">
        <v>39.82</v>
      </c>
      <c r="I27" s="100">
        <v>15.87</v>
      </c>
      <c r="J27" s="100">
        <v>0.17</v>
      </c>
      <c r="K27" s="100">
        <v>167.85</v>
      </c>
      <c r="L27" s="100">
        <v>13.75</v>
      </c>
      <c r="M27" s="100">
        <v>91.01</v>
      </c>
      <c r="N27" s="100">
        <v>0.9</v>
      </c>
      <c r="O27" s="100">
        <v>0</v>
      </c>
      <c r="P27" s="100">
        <v>1.34</v>
      </c>
      <c r="Q27" s="100">
        <v>12.54</v>
      </c>
      <c r="R27" s="6"/>
      <c r="S27" s="6"/>
      <c r="T27" s="156"/>
      <c r="U27" s="6"/>
    </row>
    <row r="28" spans="1:21" customFormat="1">
      <c r="A28" s="163" t="s">
        <v>1986</v>
      </c>
      <c r="B28" s="100">
        <v>28.09</v>
      </c>
      <c r="C28" s="100">
        <v>29.25</v>
      </c>
      <c r="D28" s="100">
        <v>39.159999999999997</v>
      </c>
      <c r="E28" s="100">
        <v>9.5399999999999991</v>
      </c>
      <c r="F28" s="100">
        <v>1.21</v>
      </c>
      <c r="G28" s="100">
        <v>145.61000000000001</v>
      </c>
      <c r="H28" s="100">
        <v>39.82</v>
      </c>
      <c r="I28" s="100">
        <v>15.87</v>
      </c>
      <c r="J28" s="100">
        <v>0.18</v>
      </c>
      <c r="K28" s="100">
        <v>163.80000000000001</v>
      </c>
      <c r="L28" s="100">
        <v>13.52</v>
      </c>
      <c r="M28" s="100">
        <v>98.96</v>
      </c>
      <c r="N28" s="100">
        <v>1.1000000000000001</v>
      </c>
      <c r="O28" s="100">
        <v>0</v>
      </c>
      <c r="P28" s="100">
        <v>1.35</v>
      </c>
      <c r="Q28" s="100">
        <v>12.54</v>
      </c>
      <c r="R28" s="6"/>
      <c r="S28" s="6"/>
      <c r="T28" s="156"/>
      <c r="U28" s="6"/>
    </row>
    <row r="29" spans="1:21" customFormat="1">
      <c r="A29" s="163" t="s">
        <v>1987</v>
      </c>
      <c r="B29" s="100">
        <v>29.79</v>
      </c>
      <c r="C29" s="100">
        <v>29.08</v>
      </c>
      <c r="D29" s="100">
        <v>40.43</v>
      </c>
      <c r="E29" s="100">
        <v>9.6300000000000008</v>
      </c>
      <c r="F29" s="100">
        <v>2.34</v>
      </c>
      <c r="G29" s="100">
        <v>145.61000000000001</v>
      </c>
      <c r="H29" s="100">
        <v>39.82</v>
      </c>
      <c r="I29" s="100">
        <v>15.95</v>
      </c>
      <c r="J29" s="100">
        <v>0.15</v>
      </c>
      <c r="K29" s="100">
        <v>138.6</v>
      </c>
      <c r="L29" s="100">
        <v>13.57</v>
      </c>
      <c r="M29" s="100">
        <v>91.2</v>
      </c>
      <c r="N29" s="100">
        <v>1</v>
      </c>
      <c r="O29" s="100">
        <v>0</v>
      </c>
      <c r="P29" s="100">
        <v>1.33</v>
      </c>
      <c r="Q29" s="100">
        <v>12.54</v>
      </c>
      <c r="R29" s="6"/>
      <c r="S29" s="6"/>
      <c r="T29" s="156"/>
      <c r="U29" s="6"/>
    </row>
    <row r="30" spans="1:21" customFormat="1">
      <c r="A30" s="163" t="s">
        <v>1988</v>
      </c>
      <c r="B30" s="100">
        <v>32.520000000000003</v>
      </c>
      <c r="C30" s="100">
        <v>29.03</v>
      </c>
      <c r="D30" s="100">
        <v>42.6</v>
      </c>
      <c r="E30" s="100">
        <v>9.06</v>
      </c>
      <c r="F30" s="100">
        <v>0.04</v>
      </c>
      <c r="G30" s="100">
        <v>149.02000000000001</v>
      </c>
      <c r="H30" s="100">
        <v>39.06</v>
      </c>
      <c r="I30" s="100">
        <v>15.93</v>
      </c>
      <c r="J30" s="100">
        <v>0.11</v>
      </c>
      <c r="K30" s="100">
        <v>179.75</v>
      </c>
      <c r="L30" s="100">
        <v>13.55</v>
      </c>
      <c r="M30" s="100">
        <v>88.69</v>
      </c>
      <c r="N30" s="100">
        <v>1</v>
      </c>
      <c r="O30" s="100">
        <v>0</v>
      </c>
      <c r="P30" s="100">
        <v>1.33</v>
      </c>
      <c r="Q30" s="100">
        <v>12.54</v>
      </c>
      <c r="R30" s="6"/>
      <c r="S30" s="6"/>
      <c r="T30" s="156"/>
      <c r="U30" s="6"/>
    </row>
    <row r="31" spans="1:21" customFormat="1">
      <c r="A31" s="163" t="s">
        <v>1989</v>
      </c>
      <c r="B31" s="100">
        <v>35.24</v>
      </c>
      <c r="C31" s="100">
        <v>28.96</v>
      </c>
      <c r="D31" s="100">
        <v>44.74</v>
      </c>
      <c r="E31" s="100">
        <v>9.76</v>
      </c>
      <c r="F31" s="100">
        <v>0.13</v>
      </c>
      <c r="G31" s="100">
        <v>151.1</v>
      </c>
      <c r="H31" s="100">
        <v>38.89</v>
      </c>
      <c r="I31" s="100">
        <v>15.89</v>
      </c>
      <c r="J31" s="100">
        <v>0.2</v>
      </c>
      <c r="K31" s="100">
        <v>160.91</v>
      </c>
      <c r="L31" s="100">
        <v>13.59</v>
      </c>
      <c r="M31" s="100">
        <v>90.84</v>
      </c>
      <c r="N31" s="100">
        <v>1.1000000000000001</v>
      </c>
      <c r="O31" s="100">
        <v>0</v>
      </c>
      <c r="P31" s="100">
        <v>1.33</v>
      </c>
      <c r="Q31" s="100">
        <v>12.54</v>
      </c>
      <c r="R31" s="6"/>
      <c r="S31" s="6"/>
      <c r="T31" s="156"/>
      <c r="U31" s="6"/>
    </row>
    <row r="32" spans="1:21" customFormat="1">
      <c r="A32" s="163" t="s">
        <v>1990</v>
      </c>
      <c r="B32" s="100">
        <v>36.54</v>
      </c>
      <c r="C32" s="100">
        <v>28.57</v>
      </c>
      <c r="D32" s="100">
        <v>45.58</v>
      </c>
      <c r="E32" s="100">
        <v>9.67</v>
      </c>
      <c r="F32" s="100">
        <v>0.27</v>
      </c>
      <c r="G32" s="100">
        <v>151.1</v>
      </c>
      <c r="H32" s="100">
        <v>38.89</v>
      </c>
      <c r="I32" s="100">
        <v>15.98</v>
      </c>
      <c r="J32" s="100">
        <v>0.17</v>
      </c>
      <c r="K32" s="100">
        <v>161.19999999999999</v>
      </c>
      <c r="L32" s="100">
        <v>13.18</v>
      </c>
      <c r="M32" s="100">
        <v>92.59</v>
      </c>
      <c r="N32" s="100">
        <v>1.3</v>
      </c>
      <c r="O32" s="100">
        <v>0</v>
      </c>
      <c r="P32" s="100">
        <v>1.33</v>
      </c>
      <c r="Q32" s="100">
        <v>12.54</v>
      </c>
      <c r="R32" s="6"/>
      <c r="S32" s="6"/>
      <c r="T32" s="156"/>
      <c r="U32" s="6"/>
    </row>
    <row r="33" spans="1:21" customFormat="1">
      <c r="A33" s="163" t="s">
        <v>1991</v>
      </c>
      <c r="B33" s="100">
        <v>37.979999999999997</v>
      </c>
      <c r="C33" s="100">
        <v>28.4</v>
      </c>
      <c r="D33" s="100">
        <v>46.65</v>
      </c>
      <c r="E33" s="100">
        <v>9.68</v>
      </c>
      <c r="F33" s="100">
        <v>1.05</v>
      </c>
      <c r="G33" s="100">
        <v>151.1</v>
      </c>
      <c r="H33" s="100">
        <v>38.89</v>
      </c>
      <c r="I33" s="100">
        <v>16.100000000000001</v>
      </c>
      <c r="J33" s="100">
        <v>0.15</v>
      </c>
      <c r="K33" s="100">
        <v>44.31</v>
      </c>
      <c r="L33" s="100">
        <v>13.26</v>
      </c>
      <c r="M33" s="100">
        <v>91.63</v>
      </c>
      <c r="N33" s="100">
        <v>0.8</v>
      </c>
      <c r="O33" s="100">
        <v>0</v>
      </c>
      <c r="P33" s="100">
        <v>1.33</v>
      </c>
      <c r="Q33" s="100">
        <v>12.54</v>
      </c>
      <c r="R33" s="6"/>
      <c r="S33" s="6"/>
      <c r="T33" s="156"/>
      <c r="U33" s="6"/>
    </row>
    <row r="34" spans="1:21" customFormat="1">
      <c r="A34" s="163" t="s">
        <v>1992</v>
      </c>
      <c r="B34" s="100">
        <v>39.14</v>
      </c>
      <c r="C34" s="100">
        <v>28.58</v>
      </c>
      <c r="D34" s="100">
        <v>47.67</v>
      </c>
      <c r="E34" s="100">
        <v>9.48</v>
      </c>
      <c r="F34" s="100">
        <v>0.38</v>
      </c>
      <c r="G34" s="100">
        <v>148.52000000000001</v>
      </c>
      <c r="H34" s="100">
        <v>40.18</v>
      </c>
      <c r="I34" s="100">
        <v>16.100000000000001</v>
      </c>
      <c r="J34" s="100">
        <v>0.18</v>
      </c>
      <c r="K34" s="100">
        <v>169.07</v>
      </c>
      <c r="L34" s="100">
        <v>13.41</v>
      </c>
      <c r="M34" s="100">
        <v>90.41</v>
      </c>
      <c r="N34" s="100">
        <v>1.4</v>
      </c>
      <c r="O34" s="100">
        <v>0</v>
      </c>
      <c r="P34" s="100">
        <v>1.33</v>
      </c>
      <c r="Q34" s="100">
        <v>12.54</v>
      </c>
      <c r="R34" s="6"/>
      <c r="S34" s="6"/>
      <c r="T34" s="156"/>
      <c r="U34" s="6"/>
    </row>
    <row r="35" spans="1:21" customFormat="1">
      <c r="A35" s="163" t="s">
        <v>1993</v>
      </c>
      <c r="B35" s="100">
        <v>39.340000000000003</v>
      </c>
      <c r="C35" s="100">
        <v>28.18</v>
      </c>
      <c r="D35" s="100">
        <v>47.62</v>
      </c>
      <c r="E35" s="100">
        <v>9.59</v>
      </c>
      <c r="F35" s="100">
        <v>0.76</v>
      </c>
      <c r="G35" s="100">
        <v>146.96</v>
      </c>
      <c r="H35" s="100">
        <v>40.46</v>
      </c>
      <c r="I35" s="100">
        <v>16.09</v>
      </c>
      <c r="J35" s="100">
        <v>0.18</v>
      </c>
      <c r="K35" s="100">
        <v>170.57</v>
      </c>
      <c r="L35" s="100">
        <v>12.97</v>
      </c>
      <c r="M35" s="100">
        <v>94.6</v>
      </c>
      <c r="N35" s="100">
        <v>2.9</v>
      </c>
      <c r="O35" s="100">
        <v>0</v>
      </c>
      <c r="P35" s="100">
        <v>1.32</v>
      </c>
      <c r="Q35" s="100">
        <v>12.54</v>
      </c>
      <c r="R35" s="6"/>
      <c r="S35" s="6"/>
      <c r="T35" s="156"/>
      <c r="U35" s="6"/>
    </row>
    <row r="36" spans="1:21" customFormat="1">
      <c r="A36" s="163" t="s">
        <v>1994</v>
      </c>
      <c r="B36" s="100">
        <v>39.57</v>
      </c>
      <c r="C36" s="100">
        <v>27.91</v>
      </c>
      <c r="D36" s="100">
        <v>47.67</v>
      </c>
      <c r="E36" s="100">
        <v>9.8800000000000008</v>
      </c>
      <c r="F36" s="100">
        <v>0.12</v>
      </c>
      <c r="G36" s="100">
        <v>146.96</v>
      </c>
      <c r="H36" s="100">
        <v>40.46</v>
      </c>
      <c r="I36" s="100">
        <v>16.079999999999998</v>
      </c>
      <c r="J36" s="100">
        <v>0.13</v>
      </c>
      <c r="K36" s="100">
        <v>157.56</v>
      </c>
      <c r="L36" s="100">
        <v>13.1</v>
      </c>
      <c r="M36" s="100">
        <v>93.9</v>
      </c>
      <c r="N36" s="100">
        <v>6.7</v>
      </c>
      <c r="O36" s="100">
        <v>0</v>
      </c>
      <c r="P36" s="100">
        <v>1.31</v>
      </c>
      <c r="Q36" s="100">
        <v>12.54</v>
      </c>
      <c r="R36" s="6"/>
      <c r="S36" s="6"/>
      <c r="T36" s="156"/>
      <c r="U36" s="6"/>
    </row>
    <row r="37" spans="1:21" customFormat="1">
      <c r="A37" s="163" t="s">
        <v>1995</v>
      </c>
      <c r="B37" s="100">
        <v>40.020000000000003</v>
      </c>
      <c r="C37" s="100">
        <v>27.69</v>
      </c>
      <c r="D37" s="100">
        <v>47.91</v>
      </c>
      <c r="E37" s="100">
        <v>9.3800000000000008</v>
      </c>
      <c r="F37" s="100">
        <v>0.13</v>
      </c>
      <c r="G37" s="100">
        <v>146.96</v>
      </c>
      <c r="H37" s="100">
        <v>40.46</v>
      </c>
      <c r="I37" s="100">
        <v>16.04</v>
      </c>
      <c r="J37" s="100">
        <v>0.14000000000000001</v>
      </c>
      <c r="K37" s="100">
        <v>185.14</v>
      </c>
      <c r="L37" s="100">
        <v>13.21</v>
      </c>
      <c r="M37" s="100">
        <v>93.7</v>
      </c>
      <c r="N37" s="100">
        <v>13.4</v>
      </c>
      <c r="O37" s="100">
        <v>0</v>
      </c>
      <c r="P37" s="100">
        <v>1.31</v>
      </c>
      <c r="Q37" s="100">
        <v>12.54</v>
      </c>
      <c r="R37" s="6"/>
      <c r="S37" s="6"/>
      <c r="T37" s="156"/>
      <c r="U37" s="6"/>
    </row>
    <row r="38" spans="1:21" customFormat="1">
      <c r="A38" s="163" t="s">
        <v>1996</v>
      </c>
      <c r="B38" s="100">
        <v>40.15</v>
      </c>
      <c r="C38" s="100">
        <v>27.46</v>
      </c>
      <c r="D38" s="100">
        <v>47.89</v>
      </c>
      <c r="E38" s="100">
        <v>9.44</v>
      </c>
      <c r="F38" s="100">
        <v>0.41</v>
      </c>
      <c r="G38" s="100">
        <v>137.05000000000001</v>
      </c>
      <c r="H38" s="100">
        <v>39.64</v>
      </c>
      <c r="I38" s="100">
        <v>16.010000000000002</v>
      </c>
      <c r="J38" s="100">
        <v>0.1</v>
      </c>
      <c r="K38" s="100">
        <v>174.74</v>
      </c>
      <c r="L38" s="100">
        <v>13.58</v>
      </c>
      <c r="M38" s="100">
        <v>93.09</v>
      </c>
      <c r="N38" s="100">
        <v>21.5</v>
      </c>
      <c r="O38" s="100">
        <v>0</v>
      </c>
      <c r="P38" s="100">
        <v>1.3</v>
      </c>
      <c r="Q38" s="100">
        <v>12.54</v>
      </c>
      <c r="R38" s="6"/>
      <c r="S38" s="6"/>
      <c r="T38" s="156"/>
      <c r="U38" s="6"/>
    </row>
    <row r="39" spans="1:21" customFormat="1">
      <c r="A39" s="163" t="s">
        <v>1997</v>
      </c>
      <c r="B39" s="100">
        <v>40.270000000000003</v>
      </c>
      <c r="C39" s="100">
        <v>27.32</v>
      </c>
      <c r="D39" s="100">
        <v>47.92</v>
      </c>
      <c r="E39" s="100">
        <v>9.49</v>
      </c>
      <c r="F39" s="100">
        <v>0.48</v>
      </c>
      <c r="G39" s="100">
        <v>131.03</v>
      </c>
      <c r="H39" s="100">
        <v>39.47</v>
      </c>
      <c r="I39" s="100">
        <v>16</v>
      </c>
      <c r="J39" s="100">
        <v>0.11</v>
      </c>
      <c r="K39" s="100">
        <v>61.72</v>
      </c>
      <c r="L39" s="100">
        <v>14.35</v>
      </c>
      <c r="M39" s="100">
        <v>90.38</v>
      </c>
      <c r="N39" s="100">
        <v>30.2</v>
      </c>
      <c r="O39" s="100">
        <v>0</v>
      </c>
      <c r="P39" s="100">
        <v>1.3</v>
      </c>
      <c r="Q39" s="100">
        <v>12.54</v>
      </c>
      <c r="R39" s="6"/>
      <c r="S39" s="6"/>
      <c r="T39" s="156"/>
      <c r="U39" s="6"/>
    </row>
    <row r="40" spans="1:21" customFormat="1">
      <c r="A40" s="163" t="s">
        <v>1998</v>
      </c>
      <c r="B40" s="100">
        <v>39.99</v>
      </c>
      <c r="C40" s="100">
        <v>27.34</v>
      </c>
      <c r="D40" s="100">
        <v>47.71</v>
      </c>
      <c r="E40" s="100">
        <v>9.58</v>
      </c>
      <c r="F40" s="100">
        <v>0.28999999999999998</v>
      </c>
      <c r="G40" s="100">
        <v>131.03</v>
      </c>
      <c r="H40" s="100">
        <v>39.47</v>
      </c>
      <c r="I40" s="100">
        <v>16.02</v>
      </c>
      <c r="J40" s="100">
        <v>0.24</v>
      </c>
      <c r="K40" s="100">
        <v>48.92</v>
      </c>
      <c r="L40" s="100">
        <v>15.57</v>
      </c>
      <c r="M40" s="100">
        <v>76.11</v>
      </c>
      <c r="N40" s="100">
        <v>38.700000000000003</v>
      </c>
      <c r="O40" s="100">
        <v>0</v>
      </c>
      <c r="P40" s="100">
        <v>1.3</v>
      </c>
      <c r="Q40" s="100">
        <v>12.54</v>
      </c>
      <c r="R40" s="6"/>
      <c r="S40" s="6"/>
      <c r="T40" s="156"/>
      <c r="U40" s="6"/>
    </row>
    <row r="41" spans="1:21" customFormat="1">
      <c r="A41" s="163" t="s">
        <v>1999</v>
      </c>
      <c r="B41" s="100">
        <v>39.22</v>
      </c>
      <c r="C41" s="100">
        <v>27.57</v>
      </c>
      <c r="D41" s="100">
        <v>47.21</v>
      </c>
      <c r="E41" s="100">
        <v>9.56</v>
      </c>
      <c r="F41" s="100">
        <v>0.16</v>
      </c>
      <c r="G41" s="100">
        <v>131.03</v>
      </c>
      <c r="H41" s="100">
        <v>39.47</v>
      </c>
      <c r="I41" s="100">
        <v>16.05</v>
      </c>
      <c r="J41" s="100">
        <v>0.42</v>
      </c>
      <c r="K41" s="100">
        <v>69.599999999999994</v>
      </c>
      <c r="L41" s="100">
        <v>16.55</v>
      </c>
      <c r="M41" s="100">
        <v>69.209999999999994</v>
      </c>
      <c r="N41" s="100">
        <v>67.900000000000006</v>
      </c>
      <c r="O41" s="100">
        <v>0</v>
      </c>
      <c r="P41" s="100">
        <v>1.3</v>
      </c>
      <c r="Q41" s="100">
        <v>12.54</v>
      </c>
      <c r="R41" s="6"/>
      <c r="S41" s="6"/>
      <c r="T41" s="156"/>
      <c r="U41" s="6"/>
    </row>
    <row r="42" spans="1:21" customFormat="1">
      <c r="A42" s="163" t="s">
        <v>2000</v>
      </c>
      <c r="B42" s="100">
        <v>37.89</v>
      </c>
      <c r="C42" s="100">
        <v>28</v>
      </c>
      <c r="D42" s="100">
        <v>46.36</v>
      </c>
      <c r="E42" s="100">
        <v>9.76</v>
      </c>
      <c r="F42" s="100">
        <v>0.42</v>
      </c>
      <c r="G42" s="100">
        <v>131.66999999999999</v>
      </c>
      <c r="H42" s="100">
        <v>42.98</v>
      </c>
      <c r="I42" s="100">
        <v>16.079999999999998</v>
      </c>
      <c r="J42" s="100">
        <v>0.42</v>
      </c>
      <c r="K42" s="100">
        <v>68.97</v>
      </c>
      <c r="L42" s="100">
        <v>17.43</v>
      </c>
      <c r="M42" s="100">
        <v>65.040000000000006</v>
      </c>
      <c r="N42" s="100">
        <v>170.8</v>
      </c>
      <c r="O42" s="100">
        <v>0</v>
      </c>
      <c r="P42" s="100">
        <v>1.32</v>
      </c>
      <c r="Q42" s="100">
        <v>12.54</v>
      </c>
      <c r="R42" s="6"/>
      <c r="S42" s="6"/>
      <c r="T42" s="156"/>
      <c r="U42" s="6"/>
    </row>
    <row r="43" spans="1:21" customFormat="1">
      <c r="A43" s="163" t="s">
        <v>2001</v>
      </c>
      <c r="B43" s="100">
        <v>36.590000000000003</v>
      </c>
      <c r="C43" s="100">
        <v>28.81</v>
      </c>
      <c r="D43" s="100">
        <v>45.74</v>
      </c>
      <c r="E43" s="100">
        <v>9.85</v>
      </c>
      <c r="F43" s="100">
        <v>0.23</v>
      </c>
      <c r="G43" s="100">
        <v>132.06</v>
      </c>
      <c r="H43" s="100">
        <v>44.34</v>
      </c>
      <c r="I43" s="100">
        <v>16.12</v>
      </c>
      <c r="J43" s="100">
        <v>0.64</v>
      </c>
      <c r="K43" s="100">
        <v>63.27</v>
      </c>
      <c r="L43" s="100">
        <v>18.29</v>
      </c>
      <c r="M43" s="100">
        <v>61.12</v>
      </c>
      <c r="N43" s="100">
        <v>200.9</v>
      </c>
      <c r="O43" s="100">
        <v>0</v>
      </c>
      <c r="P43" s="100">
        <v>1.38</v>
      </c>
      <c r="Q43" s="100">
        <v>12.54</v>
      </c>
      <c r="R43" s="6"/>
      <c r="S43" s="6"/>
      <c r="T43" s="156"/>
      <c r="U43" s="6"/>
    </row>
    <row r="44" spans="1:21" customFormat="1">
      <c r="A44" s="163" t="s">
        <v>2002</v>
      </c>
      <c r="B44" s="100">
        <v>35.28</v>
      </c>
      <c r="C44" s="100">
        <v>29.59</v>
      </c>
      <c r="D44" s="100">
        <v>45.1</v>
      </c>
      <c r="E44" s="100">
        <v>9.59</v>
      </c>
      <c r="F44" s="100">
        <v>0.11</v>
      </c>
      <c r="G44" s="100">
        <v>132.06</v>
      </c>
      <c r="H44" s="100">
        <v>44.34</v>
      </c>
      <c r="I44" s="100">
        <v>16.309999999999999</v>
      </c>
      <c r="J44" s="100">
        <v>0.65</v>
      </c>
      <c r="K44" s="100">
        <v>50.69</v>
      </c>
      <c r="L44" s="100">
        <v>19.13</v>
      </c>
      <c r="M44" s="100">
        <v>57.66</v>
      </c>
      <c r="N44" s="100">
        <v>179.4</v>
      </c>
      <c r="O44" s="100">
        <v>0</v>
      </c>
      <c r="P44" s="100">
        <v>1.41</v>
      </c>
      <c r="Q44" s="100">
        <v>12.54</v>
      </c>
      <c r="R44" s="6"/>
      <c r="S44" s="6"/>
      <c r="T44" s="156"/>
      <c r="U44" s="6"/>
    </row>
    <row r="45" spans="1:21" customFormat="1">
      <c r="A45" s="163" t="s">
        <v>2003</v>
      </c>
      <c r="B45" s="100">
        <v>34.020000000000003</v>
      </c>
      <c r="C45" s="100">
        <v>30.25</v>
      </c>
      <c r="D45" s="100">
        <v>44.44</v>
      </c>
      <c r="E45" s="100">
        <v>10.27</v>
      </c>
      <c r="F45" s="100">
        <v>0.96</v>
      </c>
      <c r="G45" s="100">
        <v>132.06</v>
      </c>
      <c r="H45" s="100">
        <v>44.34</v>
      </c>
      <c r="I45" s="100">
        <v>16.89</v>
      </c>
      <c r="J45" s="100">
        <v>0.71</v>
      </c>
      <c r="K45" s="100">
        <v>57.97</v>
      </c>
      <c r="L45" s="100">
        <v>20.28</v>
      </c>
      <c r="M45" s="100">
        <v>51.97</v>
      </c>
      <c r="N45" s="100">
        <v>262.3</v>
      </c>
      <c r="O45" s="100">
        <v>0</v>
      </c>
      <c r="P45" s="100">
        <v>1.42</v>
      </c>
      <c r="Q45" s="100">
        <v>12.54</v>
      </c>
      <c r="R45" s="6"/>
      <c r="S45" s="6"/>
      <c r="T45" s="156"/>
      <c r="U45" s="6"/>
    </row>
    <row r="46" spans="1:21" customFormat="1">
      <c r="A46" s="163" t="s">
        <v>2004</v>
      </c>
      <c r="B46" s="100">
        <v>32.92</v>
      </c>
      <c r="C46" s="100">
        <v>30.31</v>
      </c>
      <c r="D46" s="100">
        <v>43.59</v>
      </c>
      <c r="E46" s="100">
        <v>9.94</v>
      </c>
      <c r="F46" s="100">
        <v>0.93</v>
      </c>
      <c r="G46" s="100">
        <v>132.72</v>
      </c>
      <c r="H46" s="100">
        <v>53.72</v>
      </c>
      <c r="I46" s="100">
        <v>17.13</v>
      </c>
      <c r="J46" s="100">
        <v>0.6</v>
      </c>
      <c r="K46" s="100">
        <v>57.5</v>
      </c>
      <c r="L46" s="100">
        <v>21.2</v>
      </c>
      <c r="M46" s="100">
        <v>49.52</v>
      </c>
      <c r="N46" s="100">
        <v>275.89999999999998</v>
      </c>
      <c r="O46" s="100">
        <v>0</v>
      </c>
      <c r="P46" s="100">
        <v>1.45</v>
      </c>
      <c r="Q46" s="100">
        <v>12.54</v>
      </c>
      <c r="R46" s="6"/>
      <c r="S46" s="6"/>
      <c r="T46" s="156"/>
      <c r="U46" s="6"/>
    </row>
    <row r="47" spans="1:21" customFormat="1">
      <c r="A47" s="163" t="s">
        <v>2005</v>
      </c>
      <c r="B47" s="100">
        <v>31.97</v>
      </c>
      <c r="C47" s="100">
        <v>30.33</v>
      </c>
      <c r="D47" s="100">
        <v>42.83</v>
      </c>
      <c r="E47" s="100">
        <v>10.74</v>
      </c>
      <c r="F47" s="100">
        <v>0.4</v>
      </c>
      <c r="G47" s="100">
        <v>133.12</v>
      </c>
      <c r="H47" s="100">
        <v>55.77</v>
      </c>
      <c r="I47" s="100">
        <v>17.12</v>
      </c>
      <c r="J47" s="100">
        <v>0.52</v>
      </c>
      <c r="K47" s="100">
        <v>65.69</v>
      </c>
      <c r="L47" s="100">
        <v>22.3</v>
      </c>
      <c r="M47" s="100">
        <v>46.07</v>
      </c>
      <c r="N47" s="100">
        <v>280.3</v>
      </c>
      <c r="O47" s="100">
        <v>0</v>
      </c>
      <c r="P47" s="100">
        <v>1.45</v>
      </c>
      <c r="Q47" s="100">
        <v>12.54</v>
      </c>
      <c r="R47" s="6"/>
      <c r="S47" s="6"/>
      <c r="T47" s="156"/>
      <c r="U47" s="6"/>
    </row>
    <row r="48" spans="1:21" customFormat="1">
      <c r="A48" s="163" t="s">
        <v>2006</v>
      </c>
      <c r="B48" s="100">
        <v>30.8</v>
      </c>
      <c r="C48" s="100">
        <v>30.66</v>
      </c>
      <c r="D48" s="100">
        <v>42.07</v>
      </c>
      <c r="E48" s="100">
        <v>11.45</v>
      </c>
      <c r="F48" s="100">
        <v>0.34</v>
      </c>
      <c r="G48" s="100">
        <v>133.12</v>
      </c>
      <c r="H48" s="100">
        <v>55.77</v>
      </c>
      <c r="I48" s="100">
        <v>17.149999999999999</v>
      </c>
      <c r="J48" s="100">
        <v>0.66</v>
      </c>
      <c r="K48" s="100">
        <v>61.35</v>
      </c>
      <c r="L48" s="100">
        <v>23.12</v>
      </c>
      <c r="M48" s="100">
        <v>43.62</v>
      </c>
      <c r="N48" s="100">
        <v>302.2</v>
      </c>
      <c r="O48" s="100">
        <v>0</v>
      </c>
      <c r="P48" s="100">
        <v>1.46</v>
      </c>
      <c r="Q48" s="100">
        <v>12.54</v>
      </c>
      <c r="R48" s="6"/>
      <c r="S48" s="6"/>
      <c r="T48" s="156"/>
      <c r="U48" s="6"/>
    </row>
    <row r="49" spans="1:21" customFormat="1">
      <c r="A49" s="163" t="s">
        <v>2007</v>
      </c>
      <c r="B49" s="100">
        <v>29.3</v>
      </c>
      <c r="C49" s="100">
        <v>31.09</v>
      </c>
      <c r="D49" s="100">
        <v>41.09</v>
      </c>
      <c r="E49" s="100">
        <v>10.35</v>
      </c>
      <c r="F49" s="100">
        <v>0.78</v>
      </c>
      <c r="G49" s="100">
        <v>133.12</v>
      </c>
      <c r="H49" s="100">
        <v>55.77</v>
      </c>
      <c r="I49" s="100">
        <v>16.93</v>
      </c>
      <c r="J49" s="100">
        <v>0.43</v>
      </c>
      <c r="K49" s="100">
        <v>63.08</v>
      </c>
      <c r="L49" s="100">
        <v>23.81</v>
      </c>
      <c r="M49" s="100">
        <v>42.09</v>
      </c>
      <c r="N49" s="100">
        <v>310.8</v>
      </c>
      <c r="O49" s="100">
        <v>0</v>
      </c>
      <c r="P49" s="100">
        <v>1.46</v>
      </c>
      <c r="Q49" s="100">
        <v>12.54</v>
      </c>
      <c r="R49" s="6"/>
      <c r="S49" s="6"/>
      <c r="T49" s="156"/>
      <c r="U49" s="6"/>
    </row>
    <row r="50" spans="1:21" customFormat="1">
      <c r="A50" s="163" t="s">
        <v>2008</v>
      </c>
      <c r="B50" s="100">
        <v>27.38</v>
      </c>
      <c r="C50" s="100">
        <v>31.46</v>
      </c>
      <c r="D50" s="100">
        <v>39.75</v>
      </c>
      <c r="E50" s="100">
        <v>12.2</v>
      </c>
      <c r="F50" s="100">
        <v>0.36</v>
      </c>
      <c r="G50" s="100">
        <v>127.58</v>
      </c>
      <c r="H50" s="100">
        <v>64.569999999999993</v>
      </c>
      <c r="I50" s="100">
        <v>16.79</v>
      </c>
      <c r="J50" s="100">
        <v>0.34</v>
      </c>
      <c r="K50" s="100">
        <v>135.9</v>
      </c>
      <c r="L50" s="100">
        <v>24.67</v>
      </c>
      <c r="M50" s="100">
        <v>40.22</v>
      </c>
      <c r="N50" s="100">
        <v>377.2</v>
      </c>
      <c r="O50" s="100">
        <v>0</v>
      </c>
      <c r="P50" s="100">
        <v>1.43</v>
      </c>
      <c r="Q50" s="100">
        <v>12.54</v>
      </c>
      <c r="R50" s="6"/>
      <c r="S50" s="6"/>
      <c r="T50" s="156"/>
      <c r="U50" s="6"/>
    </row>
    <row r="51" spans="1:21" customFormat="1">
      <c r="A51" s="163" t="s">
        <v>2009</v>
      </c>
      <c r="B51" s="100">
        <v>25.2</v>
      </c>
      <c r="C51" s="100">
        <v>31.9</v>
      </c>
      <c r="D51" s="100">
        <v>38.229999999999997</v>
      </c>
      <c r="E51" s="100">
        <v>12.1</v>
      </c>
      <c r="F51" s="100">
        <v>1.64</v>
      </c>
      <c r="G51" s="100">
        <v>124.21</v>
      </c>
      <c r="H51" s="100">
        <v>66.34</v>
      </c>
      <c r="I51" s="100">
        <v>16.690000000000001</v>
      </c>
      <c r="J51" s="100">
        <v>0.54</v>
      </c>
      <c r="K51" s="100">
        <v>67.63</v>
      </c>
      <c r="L51" s="100">
        <v>24.92</v>
      </c>
      <c r="M51" s="100">
        <v>39.36</v>
      </c>
      <c r="N51" s="100">
        <v>382.9</v>
      </c>
      <c r="O51" s="100">
        <v>0</v>
      </c>
      <c r="P51" s="100">
        <v>1.41</v>
      </c>
      <c r="Q51" s="100">
        <v>12.54</v>
      </c>
      <c r="R51" s="6"/>
      <c r="S51" s="6"/>
      <c r="T51" s="156"/>
      <c r="U51" s="6"/>
    </row>
    <row r="52" spans="1:21" customFormat="1">
      <c r="A52" s="163" t="s">
        <v>2010</v>
      </c>
      <c r="B52" s="100">
        <v>23</v>
      </c>
      <c r="C52" s="100">
        <v>32.700000000000003</v>
      </c>
      <c r="D52" s="100">
        <v>36.880000000000003</v>
      </c>
      <c r="E52" s="100">
        <v>12.51</v>
      </c>
      <c r="F52" s="100">
        <v>0.8</v>
      </c>
      <c r="G52" s="100">
        <v>124.21</v>
      </c>
      <c r="H52" s="100">
        <v>66.34</v>
      </c>
      <c r="I52" s="100">
        <v>16.47</v>
      </c>
      <c r="J52" s="100">
        <v>0.67</v>
      </c>
      <c r="K52" s="100">
        <v>45.76</v>
      </c>
      <c r="L52" s="100">
        <v>25.4</v>
      </c>
      <c r="M52" s="100">
        <v>36.6</v>
      </c>
      <c r="N52" s="100">
        <v>392.3</v>
      </c>
      <c r="O52" s="100">
        <v>0</v>
      </c>
      <c r="P52" s="100">
        <v>1.39</v>
      </c>
      <c r="Q52" s="100">
        <v>12.54</v>
      </c>
      <c r="R52" s="6"/>
      <c r="S52" s="6"/>
      <c r="T52" s="156"/>
      <c r="U52" s="6"/>
    </row>
    <row r="53" spans="1:21" customFormat="1">
      <c r="A53" s="163" t="s">
        <v>2011</v>
      </c>
      <c r="B53" s="100">
        <v>20.9</v>
      </c>
      <c r="C53" s="100">
        <v>33.590000000000003</v>
      </c>
      <c r="D53" s="100">
        <v>35.659999999999997</v>
      </c>
      <c r="E53" s="100">
        <v>13.51</v>
      </c>
      <c r="F53" s="100">
        <v>0.8</v>
      </c>
      <c r="G53" s="100">
        <v>124.21</v>
      </c>
      <c r="H53" s="100">
        <v>66.34</v>
      </c>
      <c r="I53" s="100">
        <v>16.25</v>
      </c>
      <c r="J53" s="100">
        <v>0.33</v>
      </c>
      <c r="K53" s="100">
        <v>72.77</v>
      </c>
      <c r="L53" s="100">
        <v>25.84</v>
      </c>
      <c r="M53" s="100">
        <v>35.65</v>
      </c>
      <c r="N53" s="100">
        <v>393.7</v>
      </c>
      <c r="O53" s="100">
        <v>0</v>
      </c>
      <c r="P53" s="100">
        <v>1.37</v>
      </c>
      <c r="Q53" s="100">
        <v>12.54</v>
      </c>
      <c r="R53" s="6"/>
      <c r="S53" s="6"/>
      <c r="T53" s="156"/>
      <c r="U53" s="6"/>
    </row>
    <row r="54" spans="1:21" customFormat="1">
      <c r="A54" s="163" t="s">
        <v>2012</v>
      </c>
      <c r="B54" s="100">
        <v>18.329999999999998</v>
      </c>
      <c r="C54" s="100">
        <v>34.130000000000003</v>
      </c>
      <c r="D54" s="100">
        <v>33.880000000000003</v>
      </c>
      <c r="E54" s="100">
        <v>13.01</v>
      </c>
      <c r="F54" s="100">
        <v>1.52</v>
      </c>
      <c r="G54" s="100">
        <v>117.31</v>
      </c>
      <c r="H54" s="100">
        <v>67.33</v>
      </c>
      <c r="I54" s="100">
        <v>16</v>
      </c>
      <c r="J54" s="100">
        <v>0.12</v>
      </c>
      <c r="K54" s="100">
        <v>45.74</v>
      </c>
      <c r="L54" s="100">
        <v>26.44</v>
      </c>
      <c r="M54" s="100">
        <v>33.06</v>
      </c>
      <c r="N54" s="100">
        <v>332.5</v>
      </c>
      <c r="O54" s="100">
        <v>0</v>
      </c>
      <c r="P54" s="100">
        <v>1.35</v>
      </c>
      <c r="Q54" s="100">
        <v>12.54</v>
      </c>
      <c r="R54" s="6"/>
      <c r="S54" s="6"/>
      <c r="T54" s="156"/>
      <c r="U54" s="6"/>
    </row>
    <row r="55" spans="1:21" customFormat="1">
      <c r="A55" s="163" t="s">
        <v>2013</v>
      </c>
      <c r="B55" s="100">
        <v>15.39</v>
      </c>
      <c r="C55" s="100">
        <v>34.53</v>
      </c>
      <c r="D55" s="100">
        <v>31.73</v>
      </c>
      <c r="E55" s="100">
        <v>12.14</v>
      </c>
      <c r="F55" s="100">
        <v>0.14000000000000001</v>
      </c>
      <c r="G55" s="100">
        <v>113.11</v>
      </c>
      <c r="H55" s="100">
        <v>67.53</v>
      </c>
      <c r="I55" s="100">
        <v>15.76</v>
      </c>
      <c r="J55" s="100">
        <v>0.15</v>
      </c>
      <c r="K55" s="100">
        <v>334.1</v>
      </c>
      <c r="L55" s="100">
        <v>27.27</v>
      </c>
      <c r="M55" s="100">
        <v>30.19</v>
      </c>
      <c r="N55" s="100">
        <v>432.5</v>
      </c>
      <c r="O55" s="100">
        <v>0</v>
      </c>
      <c r="P55" s="100">
        <v>1.31</v>
      </c>
      <c r="Q55" s="100">
        <v>12.54</v>
      </c>
      <c r="R55" s="6"/>
      <c r="S55" s="6"/>
      <c r="T55" s="156"/>
      <c r="U55" s="6"/>
    </row>
    <row r="56" spans="1:21" customFormat="1">
      <c r="A56" s="163" t="s">
        <v>2014</v>
      </c>
      <c r="B56" s="100">
        <v>12.8</v>
      </c>
      <c r="C56" s="100">
        <v>34.83</v>
      </c>
      <c r="D56" s="100">
        <v>29.81</v>
      </c>
      <c r="E56" s="100">
        <v>11.92</v>
      </c>
      <c r="F56" s="100">
        <v>0.16</v>
      </c>
      <c r="G56" s="100">
        <v>113.11</v>
      </c>
      <c r="H56" s="100">
        <v>67.53</v>
      </c>
      <c r="I56" s="100">
        <v>15.38</v>
      </c>
      <c r="J56" s="100">
        <v>0.66</v>
      </c>
      <c r="K56" s="100">
        <v>43.9</v>
      </c>
      <c r="L56" s="100">
        <v>27.24</v>
      </c>
      <c r="M56" s="100">
        <v>29.26</v>
      </c>
      <c r="N56" s="100">
        <v>437.4</v>
      </c>
      <c r="O56" s="100">
        <v>0</v>
      </c>
      <c r="P56" s="100">
        <v>1.28</v>
      </c>
      <c r="Q56" s="100">
        <v>12.54</v>
      </c>
      <c r="R56" s="6"/>
      <c r="S56" s="6"/>
      <c r="T56" s="156"/>
      <c r="U56" s="6"/>
    </row>
    <row r="57" spans="1:21" customFormat="1">
      <c r="A57" s="163" t="s">
        <v>2015</v>
      </c>
      <c r="B57" s="100">
        <v>10.7</v>
      </c>
      <c r="C57" s="100">
        <v>34.9</v>
      </c>
      <c r="D57" s="100">
        <v>28.16</v>
      </c>
      <c r="E57" s="100">
        <v>11.38</v>
      </c>
      <c r="F57" s="100">
        <v>0.77</v>
      </c>
      <c r="G57" s="100">
        <v>113.11</v>
      </c>
      <c r="H57" s="100">
        <v>67.53</v>
      </c>
      <c r="I57" s="100">
        <v>14.87</v>
      </c>
      <c r="J57" s="100">
        <v>0.52</v>
      </c>
      <c r="K57" s="100">
        <v>320.86</v>
      </c>
      <c r="L57" s="100">
        <v>26.92</v>
      </c>
      <c r="M57" s="100">
        <v>28.3</v>
      </c>
      <c r="N57" s="100">
        <v>447.3</v>
      </c>
      <c r="O57" s="100">
        <v>0</v>
      </c>
      <c r="P57" s="100">
        <v>1.24</v>
      </c>
      <c r="Q57" s="100">
        <v>12.54</v>
      </c>
      <c r="R57" s="6"/>
      <c r="S57" s="6"/>
      <c r="T57" s="156"/>
      <c r="U57" s="6"/>
    </row>
    <row r="58" spans="1:21" customFormat="1">
      <c r="A58" s="163" t="s">
        <v>2016</v>
      </c>
      <c r="B58" s="100">
        <v>8.81</v>
      </c>
      <c r="C58" s="100">
        <v>34.47</v>
      </c>
      <c r="D58" s="100">
        <v>26.42</v>
      </c>
      <c r="E58" s="100">
        <v>11.45</v>
      </c>
      <c r="F58" s="100">
        <v>1.82</v>
      </c>
      <c r="G58" s="100">
        <v>95.56</v>
      </c>
      <c r="H58" s="100">
        <v>55.59</v>
      </c>
      <c r="I58" s="100">
        <v>14.49</v>
      </c>
      <c r="J58" s="100">
        <v>0.55000000000000004</v>
      </c>
      <c r="K58" s="100">
        <v>6.15</v>
      </c>
      <c r="L58" s="100">
        <v>27.15</v>
      </c>
      <c r="M58" s="100">
        <v>27.54</v>
      </c>
      <c r="N58" s="100">
        <v>394.4</v>
      </c>
      <c r="O58" s="100">
        <v>0</v>
      </c>
      <c r="P58" s="100">
        <v>1.1599999999999999</v>
      </c>
      <c r="Q58" s="100">
        <v>12.54</v>
      </c>
      <c r="R58" s="6"/>
      <c r="S58" s="6"/>
      <c r="T58" s="156"/>
      <c r="U58" s="6"/>
    </row>
    <row r="59" spans="1:21" customFormat="1">
      <c r="A59" s="163" t="s">
        <v>2017</v>
      </c>
      <c r="B59" s="100">
        <v>7.41</v>
      </c>
      <c r="C59" s="100">
        <v>34.270000000000003</v>
      </c>
      <c r="D59" s="100">
        <v>25.2</v>
      </c>
      <c r="E59" s="100">
        <v>11.87</v>
      </c>
      <c r="F59" s="100">
        <v>0.54</v>
      </c>
      <c r="G59" s="100">
        <v>84.91</v>
      </c>
      <c r="H59" s="100">
        <v>53.2</v>
      </c>
      <c r="I59" s="100">
        <v>13.97</v>
      </c>
      <c r="J59" s="100">
        <v>0.41</v>
      </c>
      <c r="K59" s="100">
        <v>29.27</v>
      </c>
      <c r="L59" s="100">
        <v>27.97</v>
      </c>
      <c r="M59" s="100">
        <v>25.9</v>
      </c>
      <c r="N59" s="100">
        <v>383.2</v>
      </c>
      <c r="O59" s="100">
        <v>0</v>
      </c>
      <c r="P59" s="100">
        <v>1.1399999999999999</v>
      </c>
      <c r="Q59" s="100">
        <v>12.54</v>
      </c>
      <c r="R59" s="6"/>
      <c r="S59" s="6"/>
      <c r="T59" s="156"/>
      <c r="U59" s="6"/>
    </row>
    <row r="60" spans="1:21" customFormat="1">
      <c r="A60" s="163" t="s">
        <v>2018</v>
      </c>
      <c r="B60" s="100">
        <v>6.49</v>
      </c>
      <c r="C60" s="100">
        <v>33.74</v>
      </c>
      <c r="D60" s="100">
        <v>24.19</v>
      </c>
      <c r="E60" s="100">
        <v>11.52</v>
      </c>
      <c r="F60" s="100">
        <v>0.59</v>
      </c>
      <c r="G60" s="100">
        <v>84.91</v>
      </c>
      <c r="H60" s="100">
        <v>53.2</v>
      </c>
      <c r="I60" s="100">
        <v>13.48</v>
      </c>
      <c r="J60" s="100">
        <v>0.66</v>
      </c>
      <c r="K60" s="100">
        <v>344.98</v>
      </c>
      <c r="L60" s="100">
        <v>28.1</v>
      </c>
      <c r="M60" s="100">
        <v>24.93</v>
      </c>
      <c r="N60" s="100">
        <v>452.1</v>
      </c>
      <c r="O60" s="100">
        <v>0</v>
      </c>
      <c r="P60" s="100">
        <v>1.1000000000000001</v>
      </c>
      <c r="Q60" s="100">
        <v>12.54</v>
      </c>
      <c r="R60" s="6"/>
      <c r="S60" s="6"/>
      <c r="T60" s="156"/>
      <c r="U60" s="6"/>
    </row>
    <row r="61" spans="1:21" customFormat="1">
      <c r="A61" s="163" t="s">
        <v>2019</v>
      </c>
      <c r="B61" s="100">
        <v>5.77</v>
      </c>
      <c r="C61" s="100">
        <v>33.200000000000003</v>
      </c>
      <c r="D61" s="100">
        <v>23.32</v>
      </c>
      <c r="E61" s="100">
        <v>11.04</v>
      </c>
      <c r="F61" s="100">
        <v>1</v>
      </c>
      <c r="G61" s="100">
        <v>84.91</v>
      </c>
      <c r="H61" s="100">
        <v>53.2</v>
      </c>
      <c r="I61" s="100">
        <v>13.1</v>
      </c>
      <c r="J61" s="100">
        <v>0.23</v>
      </c>
      <c r="K61" s="100">
        <v>136.99</v>
      </c>
      <c r="L61" s="100">
        <v>28.55</v>
      </c>
      <c r="M61" s="100">
        <v>25.05</v>
      </c>
      <c r="N61" s="100">
        <v>431.4</v>
      </c>
      <c r="O61" s="100">
        <v>0</v>
      </c>
      <c r="P61" s="100">
        <v>1.06</v>
      </c>
      <c r="Q61" s="100">
        <v>12.54</v>
      </c>
      <c r="R61" s="6"/>
      <c r="S61" s="6"/>
      <c r="T61" s="156"/>
      <c r="U61" s="6"/>
    </row>
    <row r="62" spans="1:21" customFormat="1">
      <c r="A62" s="163" t="s">
        <v>2020</v>
      </c>
      <c r="B62" s="100">
        <v>5.1100000000000003</v>
      </c>
      <c r="C62" s="100">
        <v>32.26</v>
      </c>
      <c r="D62" s="100">
        <v>22.3</v>
      </c>
      <c r="E62" s="100">
        <v>11.38</v>
      </c>
      <c r="F62" s="100">
        <v>3.41</v>
      </c>
      <c r="G62" s="100">
        <v>75.42</v>
      </c>
      <c r="H62" s="100">
        <v>48.79</v>
      </c>
      <c r="I62" s="100">
        <v>12.72</v>
      </c>
      <c r="J62" s="100">
        <v>0.43</v>
      </c>
      <c r="K62" s="100">
        <v>50.25</v>
      </c>
      <c r="L62" s="100">
        <v>29.15</v>
      </c>
      <c r="M62" s="100">
        <v>24.06</v>
      </c>
      <c r="N62" s="100">
        <v>400.6</v>
      </c>
      <c r="O62" s="100">
        <v>0</v>
      </c>
      <c r="P62" s="100">
        <v>1.03</v>
      </c>
      <c r="Q62" s="100">
        <v>12.54</v>
      </c>
      <c r="R62" s="6"/>
      <c r="S62" s="6"/>
      <c r="T62" s="156"/>
      <c r="U62" s="6"/>
    </row>
    <row r="63" spans="1:21" customFormat="1">
      <c r="A63" s="163" t="s">
        <v>2021</v>
      </c>
      <c r="B63" s="100">
        <v>4.7300000000000004</v>
      </c>
      <c r="C63" s="100">
        <v>31.4</v>
      </c>
      <c r="D63" s="100">
        <v>21.54</v>
      </c>
      <c r="E63" s="100">
        <v>11.54</v>
      </c>
      <c r="F63" s="100">
        <v>1.23</v>
      </c>
      <c r="G63" s="100">
        <v>69.66</v>
      </c>
      <c r="H63" s="100">
        <v>47.91</v>
      </c>
      <c r="I63" s="100">
        <v>12.22</v>
      </c>
      <c r="J63" s="100">
        <v>0.51</v>
      </c>
      <c r="K63" s="100">
        <v>128.61000000000001</v>
      </c>
      <c r="L63" s="100">
        <v>28.78</v>
      </c>
      <c r="M63" s="100">
        <v>24.55</v>
      </c>
      <c r="N63" s="100">
        <v>419.1</v>
      </c>
      <c r="O63" s="100">
        <v>0</v>
      </c>
      <c r="P63" s="100">
        <v>0.98</v>
      </c>
      <c r="Q63" s="100">
        <v>12.54</v>
      </c>
      <c r="R63" s="6"/>
      <c r="S63" s="6"/>
      <c r="T63" s="156"/>
      <c r="U63" s="6"/>
    </row>
    <row r="64" spans="1:21" customFormat="1">
      <c r="A64" s="163" t="s">
        <v>2022</v>
      </c>
      <c r="B64" s="100">
        <v>4.41</v>
      </c>
      <c r="C64" s="100">
        <v>30.33</v>
      </c>
      <c r="D64" s="100">
        <v>20.73</v>
      </c>
      <c r="E64" s="100">
        <v>11.19</v>
      </c>
      <c r="F64" s="100">
        <v>1.1399999999999999</v>
      </c>
      <c r="G64" s="100">
        <v>69.66</v>
      </c>
      <c r="H64" s="100">
        <v>47.91</v>
      </c>
      <c r="I64" s="100">
        <v>11.88</v>
      </c>
      <c r="J64" s="100">
        <v>0.4</v>
      </c>
      <c r="K64" s="100">
        <v>96.41</v>
      </c>
      <c r="L64" s="100">
        <v>28.65</v>
      </c>
      <c r="M64" s="100">
        <v>24.76</v>
      </c>
      <c r="N64" s="100">
        <v>401.8</v>
      </c>
      <c r="O64" s="100">
        <v>0</v>
      </c>
      <c r="P64" s="100">
        <v>0.95</v>
      </c>
      <c r="Q64" s="100">
        <v>12.54</v>
      </c>
      <c r="R64" s="6"/>
      <c r="S64" s="6"/>
      <c r="T64" s="156"/>
      <c r="U64" s="6"/>
    </row>
    <row r="65" spans="1:21" customFormat="1">
      <c r="A65" s="163" t="s">
        <v>2023</v>
      </c>
      <c r="B65" s="100">
        <v>4.2699999999999996</v>
      </c>
      <c r="C65" s="100">
        <v>29.43</v>
      </c>
      <c r="D65" s="100">
        <v>20.149999999999999</v>
      </c>
      <c r="E65" s="100">
        <v>11.52</v>
      </c>
      <c r="F65" s="100">
        <v>0.82</v>
      </c>
      <c r="G65" s="100">
        <v>69.66</v>
      </c>
      <c r="H65" s="100">
        <v>47.91</v>
      </c>
      <c r="I65" s="100">
        <v>11.58</v>
      </c>
      <c r="J65" s="100">
        <v>0.47</v>
      </c>
      <c r="K65" s="100">
        <v>109.4</v>
      </c>
      <c r="L65" s="100">
        <v>28.7</v>
      </c>
      <c r="M65" s="100">
        <v>24.31</v>
      </c>
      <c r="N65" s="100">
        <v>378.5</v>
      </c>
      <c r="O65" s="100">
        <v>0</v>
      </c>
      <c r="P65" s="100">
        <v>0.85</v>
      </c>
      <c r="Q65" s="100">
        <v>12.54</v>
      </c>
      <c r="R65" s="6"/>
      <c r="S65" s="6"/>
      <c r="T65" s="156"/>
      <c r="U65" s="6"/>
    </row>
    <row r="66" spans="1:21" customFormat="1">
      <c r="A66" s="163" t="s">
        <v>2024</v>
      </c>
      <c r="B66" s="100">
        <v>4.16</v>
      </c>
      <c r="C66" s="100">
        <v>28.54</v>
      </c>
      <c r="D66" s="100">
        <v>19.600000000000001</v>
      </c>
      <c r="E66" s="100">
        <v>12.08</v>
      </c>
      <c r="F66" s="100">
        <v>1.1399999999999999</v>
      </c>
      <c r="G66" s="100">
        <v>67.260000000000005</v>
      </c>
      <c r="H66" s="100">
        <v>42.7</v>
      </c>
      <c r="I66" s="100">
        <v>11.25</v>
      </c>
      <c r="J66" s="100">
        <v>0.36</v>
      </c>
      <c r="K66" s="100">
        <v>137.99</v>
      </c>
      <c r="L66" s="100">
        <v>28.97</v>
      </c>
      <c r="M66" s="100">
        <v>23.78</v>
      </c>
      <c r="N66" s="100">
        <v>131.1</v>
      </c>
      <c r="O66" s="100">
        <v>0</v>
      </c>
      <c r="P66" s="100">
        <v>0.85</v>
      </c>
      <c r="Q66" s="100">
        <v>12.54</v>
      </c>
      <c r="R66" s="6"/>
      <c r="S66" s="6"/>
      <c r="T66" s="156"/>
      <c r="U66" s="6"/>
    </row>
    <row r="67" spans="1:21" customFormat="1">
      <c r="A67" s="163" t="s">
        <v>2025</v>
      </c>
      <c r="B67" s="100">
        <v>4.13</v>
      </c>
      <c r="C67" s="100">
        <v>27.74</v>
      </c>
      <c r="D67" s="100">
        <v>19.16</v>
      </c>
      <c r="E67" s="100">
        <v>14.18</v>
      </c>
      <c r="F67" s="100">
        <v>1.62</v>
      </c>
      <c r="G67" s="100">
        <v>65.790000000000006</v>
      </c>
      <c r="H67" s="100">
        <v>40.909999999999997</v>
      </c>
      <c r="I67" s="100">
        <v>10.94</v>
      </c>
      <c r="J67" s="100">
        <v>0.35</v>
      </c>
      <c r="K67" s="100">
        <v>49.3</v>
      </c>
      <c r="L67" s="100">
        <v>28.29</v>
      </c>
      <c r="M67" s="100">
        <v>24.89</v>
      </c>
      <c r="N67" s="100">
        <v>86.7</v>
      </c>
      <c r="O67" s="100">
        <v>0</v>
      </c>
      <c r="P67" s="100">
        <v>0.82</v>
      </c>
      <c r="Q67" s="100">
        <v>12.54</v>
      </c>
      <c r="R67" s="6"/>
      <c r="S67" s="6"/>
      <c r="T67" s="156"/>
      <c r="U67" s="6"/>
    </row>
    <row r="68" spans="1:21" customFormat="1">
      <c r="A68" s="163" t="s">
        <v>2026</v>
      </c>
      <c r="B68" s="100">
        <v>4.42</v>
      </c>
      <c r="C68" s="100">
        <v>27.46</v>
      </c>
      <c r="D68" s="100">
        <v>19.239999999999998</v>
      </c>
      <c r="E68" s="100">
        <v>16.059999999999999</v>
      </c>
      <c r="F68" s="100">
        <v>1.27</v>
      </c>
      <c r="G68" s="100">
        <v>65.790000000000006</v>
      </c>
      <c r="H68" s="100">
        <v>40.909999999999997</v>
      </c>
      <c r="I68" s="100">
        <v>10.5</v>
      </c>
      <c r="J68" s="100">
        <v>0.52</v>
      </c>
      <c r="K68" s="100">
        <v>54.42</v>
      </c>
      <c r="L68" s="100">
        <v>28.09</v>
      </c>
      <c r="M68" s="100">
        <v>25.19</v>
      </c>
      <c r="N68" s="100">
        <v>70.5</v>
      </c>
      <c r="O68" s="100">
        <v>0</v>
      </c>
      <c r="P68" s="100">
        <v>0.81</v>
      </c>
      <c r="Q68" s="100">
        <v>12.54</v>
      </c>
      <c r="R68" s="6"/>
      <c r="S68" s="6"/>
      <c r="T68" s="156"/>
      <c r="U68" s="6"/>
    </row>
    <row r="69" spans="1:21" customFormat="1">
      <c r="A69" s="163" t="s">
        <v>2027</v>
      </c>
      <c r="B69" s="100">
        <v>4.74</v>
      </c>
      <c r="C69" s="100">
        <v>27.06</v>
      </c>
      <c r="D69" s="100">
        <v>19.29</v>
      </c>
      <c r="E69" s="100">
        <v>20.91</v>
      </c>
      <c r="F69" s="100">
        <v>1.21</v>
      </c>
      <c r="G69" s="100">
        <v>65.790000000000006</v>
      </c>
      <c r="H69" s="100">
        <v>40.909999999999997</v>
      </c>
      <c r="I69" s="100">
        <v>10.26</v>
      </c>
      <c r="J69" s="100">
        <v>0.39</v>
      </c>
      <c r="K69" s="100">
        <v>54.36</v>
      </c>
      <c r="L69" s="100">
        <v>27.89</v>
      </c>
      <c r="M69" s="100">
        <v>25.21</v>
      </c>
      <c r="N69" s="100">
        <v>55.7</v>
      </c>
      <c r="O69" s="100">
        <v>0</v>
      </c>
      <c r="P69" s="100">
        <v>0.78</v>
      </c>
      <c r="Q69" s="100">
        <v>12.54</v>
      </c>
      <c r="R69" s="6"/>
      <c r="S69" s="6"/>
      <c r="T69" s="156"/>
      <c r="U69" s="6"/>
    </row>
    <row r="70" spans="1:21" customFormat="1">
      <c r="A70" s="163" t="s">
        <v>2028</v>
      </c>
      <c r="B70" s="100">
        <v>4.97</v>
      </c>
      <c r="C70" s="100">
        <v>26.59</v>
      </c>
      <c r="D70" s="100">
        <v>19.23</v>
      </c>
      <c r="E70" s="100">
        <v>21.68</v>
      </c>
      <c r="F70" s="100">
        <v>1.4</v>
      </c>
      <c r="G70" s="100">
        <v>62.26</v>
      </c>
      <c r="H70" s="100">
        <v>38.28</v>
      </c>
      <c r="I70" s="100">
        <v>10.199999999999999</v>
      </c>
      <c r="J70" s="100">
        <v>0.48</v>
      </c>
      <c r="K70" s="100">
        <v>12.33</v>
      </c>
      <c r="L70" s="100">
        <v>27.84</v>
      </c>
      <c r="M70" s="100">
        <v>24.57</v>
      </c>
      <c r="N70" s="100">
        <v>49.7</v>
      </c>
      <c r="O70" s="100">
        <v>0</v>
      </c>
      <c r="P70" s="100">
        <v>0.77</v>
      </c>
      <c r="Q70" s="100">
        <v>12.54</v>
      </c>
      <c r="R70" s="6"/>
      <c r="S70" s="6"/>
      <c r="T70" s="156"/>
      <c r="U70" s="6"/>
    </row>
    <row r="71" spans="1:21" customFormat="1">
      <c r="A71" s="163" t="s">
        <v>2029</v>
      </c>
      <c r="B71" s="100">
        <v>5.1100000000000003</v>
      </c>
      <c r="C71" s="100">
        <v>26.3</v>
      </c>
      <c r="D71" s="100">
        <v>19.190000000000001</v>
      </c>
      <c r="E71" s="100">
        <v>27.8</v>
      </c>
      <c r="F71" s="100">
        <v>0.95</v>
      </c>
      <c r="G71" s="100">
        <v>60.11</v>
      </c>
      <c r="H71" s="100">
        <v>37.75</v>
      </c>
      <c r="I71" s="100">
        <v>10.08</v>
      </c>
      <c r="J71" s="100">
        <v>0.59</v>
      </c>
      <c r="K71" s="100">
        <v>328.82</v>
      </c>
      <c r="L71" s="100">
        <v>27.79</v>
      </c>
      <c r="M71" s="100">
        <v>23.88</v>
      </c>
      <c r="N71" s="100">
        <v>45.2</v>
      </c>
      <c r="O71" s="100">
        <v>0</v>
      </c>
      <c r="P71" s="100">
        <v>0.78</v>
      </c>
      <c r="Q71" s="100">
        <v>12.54</v>
      </c>
      <c r="R71" s="6"/>
      <c r="S71" s="6"/>
      <c r="T71" s="156"/>
      <c r="U71" s="6"/>
    </row>
    <row r="72" spans="1:21" customFormat="1">
      <c r="A72" s="163" t="s">
        <v>2030</v>
      </c>
      <c r="B72" s="100">
        <v>5.24</v>
      </c>
      <c r="C72" s="100">
        <v>25.85</v>
      </c>
      <c r="D72" s="100">
        <v>19.059999999999999</v>
      </c>
      <c r="E72" s="100">
        <v>23.97</v>
      </c>
      <c r="F72" s="100">
        <v>1.01</v>
      </c>
      <c r="G72" s="100">
        <v>60.11</v>
      </c>
      <c r="H72" s="100">
        <v>37.75</v>
      </c>
      <c r="I72" s="100">
        <v>9.9600000000000009</v>
      </c>
      <c r="J72" s="100">
        <v>0.73</v>
      </c>
      <c r="K72" s="100">
        <v>25.98</v>
      </c>
      <c r="L72" s="100">
        <v>27.83</v>
      </c>
      <c r="M72" s="100">
        <v>23.43</v>
      </c>
      <c r="N72" s="100">
        <v>42.1</v>
      </c>
      <c r="O72" s="100">
        <v>0</v>
      </c>
      <c r="P72" s="100">
        <v>0.77</v>
      </c>
      <c r="Q72" s="100">
        <v>12.54</v>
      </c>
      <c r="R72" s="6"/>
      <c r="S72" s="6"/>
      <c r="T72" s="156"/>
      <c r="U72" s="6"/>
    </row>
    <row r="73" spans="1:21" customFormat="1">
      <c r="A73" s="163" t="s">
        <v>2031</v>
      </c>
      <c r="B73" s="100">
        <v>5.32</v>
      </c>
      <c r="C73" s="100">
        <v>25.67</v>
      </c>
      <c r="D73" s="100">
        <v>19.03</v>
      </c>
      <c r="E73" s="100">
        <v>19.579999999999998</v>
      </c>
      <c r="F73" s="100">
        <v>1.4</v>
      </c>
      <c r="G73" s="100">
        <v>60.11</v>
      </c>
      <c r="H73" s="100">
        <v>37.75</v>
      </c>
      <c r="I73" s="100">
        <v>9.9499999999999993</v>
      </c>
      <c r="J73" s="100">
        <v>0.71</v>
      </c>
      <c r="K73" s="100">
        <v>19.63</v>
      </c>
      <c r="L73" s="100">
        <v>27.53</v>
      </c>
      <c r="M73" s="100">
        <v>23.08</v>
      </c>
      <c r="N73" s="100">
        <v>36.299999999999997</v>
      </c>
      <c r="O73" s="100">
        <v>0</v>
      </c>
      <c r="P73" s="100">
        <v>0.77</v>
      </c>
      <c r="Q73" s="100">
        <v>12.54</v>
      </c>
      <c r="R73" s="6"/>
      <c r="S73" s="6"/>
      <c r="T73" s="156"/>
      <c r="U73" s="6"/>
    </row>
    <row r="74" spans="1:21" customFormat="1">
      <c r="A74" s="163" t="s">
        <v>2032</v>
      </c>
      <c r="B74" s="100">
        <v>5.44</v>
      </c>
      <c r="C74" s="100">
        <v>25.49</v>
      </c>
      <c r="D74" s="100">
        <v>19.03</v>
      </c>
      <c r="E74" s="100">
        <v>25.92</v>
      </c>
      <c r="F74" s="100">
        <v>0.77</v>
      </c>
      <c r="G74" s="100">
        <v>65.67</v>
      </c>
      <c r="H74" s="100">
        <v>36.44</v>
      </c>
      <c r="I74" s="100">
        <v>9.89</v>
      </c>
      <c r="J74" s="100">
        <v>0.56000000000000005</v>
      </c>
      <c r="K74" s="100">
        <v>35.57</v>
      </c>
      <c r="L74" s="100">
        <v>27.38</v>
      </c>
      <c r="M74" s="100">
        <v>22.95</v>
      </c>
      <c r="N74" s="100">
        <v>28.9</v>
      </c>
      <c r="O74" s="100">
        <v>0</v>
      </c>
      <c r="P74" s="100">
        <v>0.77</v>
      </c>
      <c r="Q74" s="100">
        <v>12.54</v>
      </c>
      <c r="R74" s="6"/>
      <c r="S74" s="6"/>
      <c r="T74" s="156"/>
      <c r="U74" s="6"/>
    </row>
    <row r="75" spans="1:21" customFormat="1">
      <c r="A75" s="163" t="s">
        <v>2033</v>
      </c>
      <c r="B75" s="100">
        <v>5.57</v>
      </c>
      <c r="C75" s="100">
        <v>25.53</v>
      </c>
      <c r="D75" s="100">
        <v>19.16</v>
      </c>
      <c r="E75" s="100">
        <v>17.77</v>
      </c>
      <c r="F75" s="100">
        <v>0.86</v>
      </c>
      <c r="G75" s="100">
        <v>69.05</v>
      </c>
      <c r="H75" s="100">
        <v>36.17</v>
      </c>
      <c r="I75" s="100">
        <v>9.56</v>
      </c>
      <c r="J75" s="100">
        <v>0.68</v>
      </c>
      <c r="K75" s="100">
        <v>36.46</v>
      </c>
      <c r="L75" s="100">
        <v>27.13</v>
      </c>
      <c r="M75" s="100">
        <v>23.92</v>
      </c>
      <c r="N75" s="100">
        <v>23.9</v>
      </c>
      <c r="O75" s="100">
        <v>0</v>
      </c>
      <c r="P75" s="100">
        <v>0.77</v>
      </c>
      <c r="Q75" s="100">
        <v>12.54</v>
      </c>
      <c r="R75" s="6"/>
      <c r="S75" s="6"/>
      <c r="T75" s="156"/>
      <c r="U75" s="6"/>
    </row>
    <row r="76" spans="1:21" customFormat="1">
      <c r="A76" s="163" t="s">
        <v>2034</v>
      </c>
      <c r="B76" s="100">
        <v>5.83</v>
      </c>
      <c r="C76" s="100">
        <v>25.79</v>
      </c>
      <c r="D76" s="100">
        <v>19.5</v>
      </c>
      <c r="E76" s="100">
        <v>17.670000000000002</v>
      </c>
      <c r="F76" s="100">
        <v>1.9</v>
      </c>
      <c r="G76" s="100">
        <v>69.05</v>
      </c>
      <c r="H76" s="100">
        <v>36.17</v>
      </c>
      <c r="I76" s="100">
        <v>9.49</v>
      </c>
      <c r="J76" s="100">
        <v>0.41</v>
      </c>
      <c r="K76" s="100">
        <v>39.08</v>
      </c>
      <c r="L76" s="100">
        <v>26.76</v>
      </c>
      <c r="M76" s="100">
        <v>24.92</v>
      </c>
      <c r="N76" s="100">
        <v>20.9</v>
      </c>
      <c r="O76" s="100">
        <v>0</v>
      </c>
      <c r="P76" s="100">
        <v>0.77</v>
      </c>
      <c r="Q76" s="100">
        <v>12.54</v>
      </c>
      <c r="R76" s="6"/>
      <c r="S76" s="6"/>
      <c r="T76" s="156"/>
      <c r="U76" s="6"/>
    </row>
    <row r="77" spans="1:21" customFormat="1">
      <c r="A77" s="163" t="s">
        <v>2035</v>
      </c>
      <c r="B77" s="100">
        <v>6.2</v>
      </c>
      <c r="C77" s="100">
        <v>25.94</v>
      </c>
      <c r="D77" s="100">
        <v>19.88</v>
      </c>
      <c r="E77" s="100">
        <v>13.46</v>
      </c>
      <c r="F77" s="100">
        <v>1.62</v>
      </c>
      <c r="G77" s="100">
        <v>69.05</v>
      </c>
      <c r="H77" s="100">
        <v>36.17</v>
      </c>
      <c r="I77" s="100">
        <v>9.6</v>
      </c>
      <c r="J77" s="100">
        <v>0.17</v>
      </c>
      <c r="K77" s="100">
        <v>21.97</v>
      </c>
      <c r="L77" s="100">
        <v>26.13</v>
      </c>
      <c r="M77" s="100">
        <v>25.44</v>
      </c>
      <c r="N77" s="100">
        <v>13.6</v>
      </c>
      <c r="O77" s="100">
        <v>0</v>
      </c>
      <c r="P77" s="100">
        <v>0.78</v>
      </c>
      <c r="Q77" s="100">
        <v>12.54</v>
      </c>
      <c r="R77" s="6"/>
      <c r="S77" s="6"/>
      <c r="T77" s="156"/>
      <c r="U77" s="6"/>
    </row>
    <row r="78" spans="1:21" customFormat="1">
      <c r="A78" s="163" t="s">
        <v>2036</v>
      </c>
      <c r="B78" s="100">
        <v>6.59</v>
      </c>
      <c r="C78" s="100">
        <v>25.99</v>
      </c>
      <c r="D78" s="100">
        <v>20.21</v>
      </c>
      <c r="E78" s="100">
        <v>12.85</v>
      </c>
      <c r="F78" s="100">
        <v>0.31</v>
      </c>
      <c r="G78" s="100">
        <v>69.38</v>
      </c>
      <c r="H78" s="100">
        <v>36.200000000000003</v>
      </c>
      <c r="I78" s="100">
        <v>9.44</v>
      </c>
      <c r="J78" s="100">
        <v>0.11</v>
      </c>
      <c r="K78" s="100">
        <v>61.92</v>
      </c>
      <c r="L78" s="100">
        <v>25.21</v>
      </c>
      <c r="M78" s="100">
        <v>27.13</v>
      </c>
      <c r="N78" s="100">
        <v>7.9</v>
      </c>
      <c r="O78" s="100">
        <v>0</v>
      </c>
      <c r="P78" s="100">
        <v>0.78</v>
      </c>
      <c r="Q78" s="100">
        <v>12.54</v>
      </c>
      <c r="R78" s="6"/>
      <c r="S78" s="6"/>
      <c r="T78" s="156"/>
      <c r="U78" s="6"/>
    </row>
    <row r="79" spans="1:21" customFormat="1">
      <c r="A79" s="163" t="s">
        <v>2037</v>
      </c>
      <c r="B79" s="100">
        <v>7.25</v>
      </c>
      <c r="C79" s="100">
        <v>26.09</v>
      </c>
      <c r="D79" s="100">
        <v>20.8</v>
      </c>
      <c r="E79" s="100">
        <v>12.12</v>
      </c>
      <c r="F79" s="100">
        <v>0.65</v>
      </c>
      <c r="G79" s="100">
        <v>69.59</v>
      </c>
      <c r="H79" s="100">
        <v>36.21</v>
      </c>
      <c r="I79" s="100">
        <v>9.41</v>
      </c>
      <c r="J79" s="100">
        <v>0.05</v>
      </c>
      <c r="K79" s="100">
        <v>114.88</v>
      </c>
      <c r="L79" s="100">
        <v>24.21</v>
      </c>
      <c r="M79" s="100">
        <v>28.44</v>
      </c>
      <c r="N79" s="100">
        <v>3.9</v>
      </c>
      <c r="O79" s="100">
        <v>0</v>
      </c>
      <c r="P79" s="100">
        <v>0.8</v>
      </c>
      <c r="Q79" s="100">
        <v>12.54</v>
      </c>
      <c r="R79" s="6"/>
      <c r="S79" s="6"/>
      <c r="T79" s="156"/>
      <c r="U79" s="6"/>
    </row>
    <row r="80" spans="1:21" customFormat="1">
      <c r="A80" s="163" t="s">
        <v>2038</v>
      </c>
      <c r="B80" s="100">
        <v>8.15</v>
      </c>
      <c r="C80" s="100">
        <v>26.51</v>
      </c>
      <c r="D80" s="100">
        <v>21.74</v>
      </c>
      <c r="E80" s="100">
        <v>11.72</v>
      </c>
      <c r="F80" s="100">
        <v>1.58</v>
      </c>
      <c r="G80" s="100">
        <v>69.59</v>
      </c>
      <c r="H80" s="100">
        <v>36.21</v>
      </c>
      <c r="I80" s="100">
        <v>9.43</v>
      </c>
      <c r="J80" s="100">
        <v>0.19</v>
      </c>
      <c r="K80" s="100">
        <v>81.17</v>
      </c>
      <c r="L80" s="100">
        <v>23.58</v>
      </c>
      <c r="M80" s="100">
        <v>29.49</v>
      </c>
      <c r="N80" s="100">
        <v>2</v>
      </c>
      <c r="O80" s="100">
        <v>0</v>
      </c>
      <c r="P80" s="100">
        <v>0.79</v>
      </c>
      <c r="Q80" s="100">
        <v>12.54</v>
      </c>
      <c r="R80" s="6"/>
      <c r="S80" s="6"/>
      <c r="T80" s="156"/>
      <c r="U80" s="6"/>
    </row>
    <row r="81" spans="1:21" customFormat="1">
      <c r="A81" s="163" t="s">
        <v>2039</v>
      </c>
      <c r="B81" s="100">
        <v>9.06</v>
      </c>
      <c r="C81" s="100">
        <v>26.78</v>
      </c>
      <c r="D81" s="100">
        <v>22.61</v>
      </c>
      <c r="E81" s="100">
        <v>8.1</v>
      </c>
      <c r="F81" s="100">
        <v>1.19</v>
      </c>
      <c r="G81" s="100">
        <v>69.59</v>
      </c>
      <c r="H81" s="100">
        <v>36.21</v>
      </c>
      <c r="I81" s="100">
        <v>9.42</v>
      </c>
      <c r="J81" s="100">
        <v>0.24</v>
      </c>
      <c r="K81" s="100">
        <v>159.91999999999999</v>
      </c>
      <c r="L81" s="100">
        <v>22.26</v>
      </c>
      <c r="M81" s="100">
        <v>39.69</v>
      </c>
      <c r="N81" s="100">
        <v>2</v>
      </c>
      <c r="O81" s="100">
        <v>0</v>
      </c>
      <c r="P81" s="100">
        <v>0.8</v>
      </c>
      <c r="Q81" s="100">
        <v>12.54</v>
      </c>
      <c r="R81" s="6"/>
      <c r="S81" s="6"/>
      <c r="T81" s="156"/>
      <c r="U81" s="6"/>
    </row>
    <row r="82" spans="1:21" customFormat="1">
      <c r="A82" s="163" t="s">
        <v>2040</v>
      </c>
      <c r="B82" s="100">
        <v>9.8699999999999992</v>
      </c>
      <c r="C82" s="100">
        <v>26.94</v>
      </c>
      <c r="D82" s="100">
        <v>23.34</v>
      </c>
      <c r="E82" s="100">
        <v>9.5500000000000007</v>
      </c>
      <c r="F82" s="100">
        <v>0.97</v>
      </c>
      <c r="G82" s="100">
        <v>77.63</v>
      </c>
      <c r="H82" s="100">
        <v>36.33</v>
      </c>
      <c r="I82" s="100">
        <v>9.4600000000000009</v>
      </c>
      <c r="J82" s="100">
        <v>0.17</v>
      </c>
      <c r="K82" s="100">
        <v>89.06</v>
      </c>
      <c r="L82" s="100">
        <v>21.74</v>
      </c>
      <c r="M82" s="100">
        <v>40.61</v>
      </c>
      <c r="N82" s="100">
        <v>1.4</v>
      </c>
      <c r="O82" s="100">
        <v>0</v>
      </c>
      <c r="P82" s="100">
        <v>0.83</v>
      </c>
      <c r="Q82" s="100">
        <v>12.54</v>
      </c>
      <c r="R82" s="6"/>
      <c r="S82" s="6"/>
      <c r="T82" s="156"/>
      <c r="U82" s="6"/>
    </row>
    <row r="83" spans="1:21" customFormat="1">
      <c r="A83" s="163" t="s">
        <v>2041</v>
      </c>
      <c r="B83" s="100">
        <v>10.63</v>
      </c>
      <c r="C83" s="100">
        <v>27.1</v>
      </c>
      <c r="D83" s="100">
        <v>24.04</v>
      </c>
      <c r="E83" s="100">
        <v>9.6199999999999992</v>
      </c>
      <c r="F83" s="100">
        <v>1.08</v>
      </c>
      <c r="G83" s="100">
        <v>82.52</v>
      </c>
      <c r="H83" s="100">
        <v>36.36</v>
      </c>
      <c r="I83" s="100">
        <v>9.51</v>
      </c>
      <c r="J83" s="100">
        <v>0.32</v>
      </c>
      <c r="K83" s="100">
        <v>168.88</v>
      </c>
      <c r="L83" s="100">
        <v>20.73</v>
      </c>
      <c r="M83" s="100">
        <v>47.38</v>
      </c>
      <c r="N83" s="100">
        <v>1.9</v>
      </c>
      <c r="O83" s="100">
        <v>0</v>
      </c>
      <c r="P83" s="100">
        <v>0.84</v>
      </c>
      <c r="Q83" s="100">
        <v>12.54</v>
      </c>
      <c r="R83" s="6"/>
      <c r="S83" s="6"/>
      <c r="T83" s="156"/>
      <c r="U83" s="6"/>
    </row>
    <row r="84" spans="1:21" customFormat="1">
      <c r="A84" s="163" t="s">
        <v>2042</v>
      </c>
      <c r="B84" s="100">
        <v>11.13</v>
      </c>
      <c r="C84" s="100">
        <v>27.39</v>
      </c>
      <c r="D84" s="100">
        <v>24.59</v>
      </c>
      <c r="E84" s="100">
        <v>9.81</v>
      </c>
      <c r="F84" s="100">
        <v>0.28000000000000003</v>
      </c>
      <c r="G84" s="100">
        <v>82.52</v>
      </c>
      <c r="H84" s="100">
        <v>36.36</v>
      </c>
      <c r="I84" s="100">
        <v>9.6199999999999992</v>
      </c>
      <c r="J84" s="100">
        <v>0.2</v>
      </c>
      <c r="K84" s="100">
        <v>178.24</v>
      </c>
      <c r="L84" s="100">
        <v>19.989999999999998</v>
      </c>
      <c r="M84" s="100">
        <v>48.02</v>
      </c>
      <c r="N84" s="100">
        <v>1.7</v>
      </c>
      <c r="O84" s="100">
        <v>0</v>
      </c>
      <c r="P84" s="100">
        <v>0.85</v>
      </c>
      <c r="Q84" s="100">
        <v>12.54</v>
      </c>
      <c r="R84" s="6"/>
      <c r="S84" s="6"/>
      <c r="T84" s="156"/>
      <c r="U84" s="6"/>
    </row>
    <row r="85" spans="1:21" customFormat="1">
      <c r="A85" s="163" t="s">
        <v>2043</v>
      </c>
      <c r="B85" s="100">
        <v>11.46</v>
      </c>
      <c r="C85" s="100">
        <v>27.84</v>
      </c>
      <c r="D85" s="100">
        <v>25.09</v>
      </c>
      <c r="E85" s="100">
        <v>9.64</v>
      </c>
      <c r="F85" s="100">
        <v>0.55000000000000004</v>
      </c>
      <c r="G85" s="100">
        <v>82.52</v>
      </c>
      <c r="H85" s="100">
        <v>36.36</v>
      </c>
      <c r="I85" s="100">
        <v>9.9700000000000006</v>
      </c>
      <c r="J85" s="100">
        <v>0.2</v>
      </c>
      <c r="K85" s="100">
        <v>179.79</v>
      </c>
      <c r="L85" s="100">
        <v>19.16</v>
      </c>
      <c r="M85" s="100">
        <v>56</v>
      </c>
      <c r="N85" s="100">
        <v>1.7</v>
      </c>
      <c r="O85" s="100">
        <v>0</v>
      </c>
      <c r="P85" s="100">
        <v>0.86</v>
      </c>
      <c r="Q85" s="100">
        <v>12.54</v>
      </c>
      <c r="R85" s="6"/>
      <c r="S85" s="6"/>
      <c r="T85" s="156"/>
      <c r="U85" s="6"/>
    </row>
    <row r="86" spans="1:21" customFormat="1">
      <c r="A86" s="163" t="s">
        <v>2044</v>
      </c>
      <c r="B86" s="100">
        <v>11.66</v>
      </c>
      <c r="C86" s="100">
        <v>28</v>
      </c>
      <c r="D86" s="100">
        <v>25.33</v>
      </c>
      <c r="E86" s="100">
        <v>9.51</v>
      </c>
      <c r="F86" s="100">
        <v>0.19</v>
      </c>
      <c r="G86" s="100">
        <v>96.31</v>
      </c>
      <c r="H86" s="100">
        <v>36.42</v>
      </c>
      <c r="I86" s="100">
        <v>10.1</v>
      </c>
      <c r="J86" s="100">
        <v>0.21</v>
      </c>
      <c r="K86" s="100">
        <v>177.38</v>
      </c>
      <c r="L86" s="100">
        <v>18.43</v>
      </c>
      <c r="M86" s="100">
        <v>59.33</v>
      </c>
      <c r="N86" s="100">
        <v>1.4</v>
      </c>
      <c r="O86" s="100">
        <v>0</v>
      </c>
      <c r="P86" s="100">
        <v>0.87</v>
      </c>
      <c r="Q86" s="100">
        <v>12.54</v>
      </c>
      <c r="R86" s="6"/>
      <c r="S86" s="6"/>
      <c r="T86" s="156"/>
      <c r="U86" s="6"/>
    </row>
    <row r="87" spans="1:21" customFormat="1">
      <c r="A87" s="163" t="s">
        <v>2045</v>
      </c>
      <c r="B87" s="100">
        <v>11.63</v>
      </c>
      <c r="C87" s="100">
        <v>27.94</v>
      </c>
      <c r="D87" s="100">
        <v>25.27</v>
      </c>
      <c r="E87" s="100">
        <v>9.24</v>
      </c>
      <c r="F87" s="100">
        <v>0.74</v>
      </c>
      <c r="G87" s="100">
        <v>104.68</v>
      </c>
      <c r="H87" s="100">
        <v>36.43</v>
      </c>
      <c r="I87" s="100">
        <v>10.17</v>
      </c>
      <c r="J87" s="100">
        <v>0.2</v>
      </c>
      <c r="K87" s="100">
        <v>177.04</v>
      </c>
      <c r="L87" s="100">
        <v>18.100000000000001</v>
      </c>
      <c r="M87" s="100">
        <v>63.51</v>
      </c>
      <c r="N87" s="100">
        <v>1.2</v>
      </c>
      <c r="O87" s="100">
        <v>0</v>
      </c>
      <c r="P87" s="100">
        <v>0.89</v>
      </c>
      <c r="Q87" s="100">
        <v>12.54</v>
      </c>
      <c r="R87" s="6"/>
      <c r="S87" s="6"/>
      <c r="T87" s="156"/>
      <c r="U87" s="6"/>
    </row>
    <row r="88" spans="1:21" customFormat="1">
      <c r="A88" s="163" t="s">
        <v>2046</v>
      </c>
      <c r="B88" s="100">
        <v>11.47</v>
      </c>
      <c r="C88" s="100">
        <v>27.75</v>
      </c>
      <c r="D88" s="100">
        <v>25.04</v>
      </c>
      <c r="E88" s="100">
        <v>8.93</v>
      </c>
      <c r="F88" s="100">
        <v>0.47</v>
      </c>
      <c r="G88" s="100">
        <v>104.68</v>
      </c>
      <c r="H88" s="100">
        <v>36.43</v>
      </c>
      <c r="I88" s="100">
        <v>10.220000000000001</v>
      </c>
      <c r="J88" s="100">
        <v>0.24</v>
      </c>
      <c r="K88" s="100">
        <v>166.26</v>
      </c>
      <c r="L88" s="100">
        <v>17.899999999999999</v>
      </c>
      <c r="M88" s="100">
        <v>65.16</v>
      </c>
      <c r="N88" s="100">
        <v>1.1000000000000001</v>
      </c>
      <c r="O88" s="100">
        <v>0</v>
      </c>
      <c r="P88" s="100">
        <v>0.9</v>
      </c>
      <c r="Q88" s="100">
        <v>12.54</v>
      </c>
      <c r="R88" s="6"/>
      <c r="S88" s="6"/>
      <c r="T88" s="156"/>
      <c r="U88" s="6"/>
    </row>
    <row r="89" spans="1:21" customFormat="1">
      <c r="A89" s="163" t="s">
        <v>2047</v>
      </c>
      <c r="B89" s="100">
        <v>11.39</v>
      </c>
      <c r="C89" s="100">
        <v>27.73</v>
      </c>
      <c r="D89" s="100">
        <v>24.98</v>
      </c>
      <c r="E89" s="100">
        <v>8.76</v>
      </c>
      <c r="F89" s="100">
        <v>0.75</v>
      </c>
      <c r="G89" s="100">
        <v>104.68</v>
      </c>
      <c r="H89" s="100">
        <v>36.43</v>
      </c>
      <c r="I89" s="100">
        <v>10.25</v>
      </c>
      <c r="J89" s="100">
        <v>0.16</v>
      </c>
      <c r="K89" s="100">
        <v>169.31</v>
      </c>
      <c r="L89" s="100">
        <v>17.489999999999998</v>
      </c>
      <c r="M89" s="100">
        <v>68.37</v>
      </c>
      <c r="N89" s="100">
        <v>1</v>
      </c>
      <c r="O89" s="100">
        <v>0</v>
      </c>
      <c r="P89" s="100">
        <v>0.91</v>
      </c>
      <c r="Q89" s="100">
        <v>12.54</v>
      </c>
      <c r="R89" s="6"/>
      <c r="S89" s="6"/>
      <c r="T89" s="156"/>
      <c r="U89" s="6"/>
    </row>
    <row r="90" spans="1:21" customFormat="1">
      <c r="A90" s="163" t="s">
        <v>2048</v>
      </c>
      <c r="B90" s="100">
        <v>11.3</v>
      </c>
      <c r="C90" s="100">
        <v>27.72</v>
      </c>
      <c r="D90" s="100">
        <v>24.9</v>
      </c>
      <c r="E90" s="100">
        <v>8.68</v>
      </c>
      <c r="F90" s="100">
        <v>0.88</v>
      </c>
      <c r="G90" s="100">
        <v>101.77</v>
      </c>
      <c r="H90" s="100">
        <v>36.19</v>
      </c>
      <c r="I90" s="100">
        <v>10.33</v>
      </c>
      <c r="J90" s="100">
        <v>0.15</v>
      </c>
      <c r="K90" s="100">
        <v>182.07</v>
      </c>
      <c r="L90" s="100">
        <v>17.27</v>
      </c>
      <c r="M90" s="100">
        <v>64.86</v>
      </c>
      <c r="N90" s="100">
        <v>0.9</v>
      </c>
      <c r="O90" s="100">
        <v>0</v>
      </c>
      <c r="P90" s="100">
        <v>0.93</v>
      </c>
      <c r="Q90" s="100">
        <v>12.54</v>
      </c>
      <c r="R90" s="6"/>
      <c r="S90" s="6"/>
      <c r="T90" s="156"/>
      <c r="U90" s="6"/>
    </row>
    <row r="91" spans="1:21" customFormat="1">
      <c r="A91" s="163" t="s">
        <v>2049</v>
      </c>
      <c r="B91" s="100">
        <v>11.22</v>
      </c>
      <c r="C91" s="100">
        <v>27.62</v>
      </c>
      <c r="D91" s="100">
        <v>24.78</v>
      </c>
      <c r="E91" s="100">
        <v>8.77</v>
      </c>
      <c r="F91" s="100">
        <v>0.63</v>
      </c>
      <c r="G91" s="100">
        <v>100</v>
      </c>
      <c r="H91" s="100">
        <v>36.11</v>
      </c>
      <c r="I91" s="100">
        <v>10.52</v>
      </c>
      <c r="J91" s="100">
        <v>0.2</v>
      </c>
      <c r="K91" s="100">
        <v>176.57</v>
      </c>
      <c r="L91" s="100">
        <v>17.09</v>
      </c>
      <c r="M91" s="100">
        <v>69.23</v>
      </c>
      <c r="N91" s="100">
        <v>1.1000000000000001</v>
      </c>
      <c r="O91" s="100">
        <v>0</v>
      </c>
      <c r="P91" s="100">
        <v>0.94</v>
      </c>
      <c r="Q91" s="100">
        <v>12.54</v>
      </c>
      <c r="R91" s="6"/>
      <c r="S91" s="6"/>
      <c r="T91" s="156"/>
      <c r="U91" s="6"/>
    </row>
    <row r="92" spans="1:21" customFormat="1">
      <c r="A92" s="163" t="s">
        <v>2050</v>
      </c>
      <c r="B92" s="100">
        <v>11.28</v>
      </c>
      <c r="C92" s="100">
        <v>27.45</v>
      </c>
      <c r="D92" s="100">
        <v>24.74</v>
      </c>
      <c r="E92" s="100">
        <v>8.81</v>
      </c>
      <c r="F92" s="100">
        <v>0.89</v>
      </c>
      <c r="G92" s="100">
        <v>100</v>
      </c>
      <c r="H92" s="100">
        <v>36.11</v>
      </c>
      <c r="I92" s="100">
        <v>10.8</v>
      </c>
      <c r="J92" s="100">
        <v>0.19</v>
      </c>
      <c r="K92" s="100">
        <v>183.73</v>
      </c>
      <c r="L92" s="100">
        <v>16.78</v>
      </c>
      <c r="M92" s="100">
        <v>70.12</v>
      </c>
      <c r="N92" s="100">
        <v>1</v>
      </c>
      <c r="O92" s="100">
        <v>0</v>
      </c>
      <c r="P92" s="100">
        <v>0.98</v>
      </c>
      <c r="Q92" s="100">
        <v>12.54</v>
      </c>
      <c r="R92" s="6"/>
      <c r="S92" s="6"/>
      <c r="T92" s="156"/>
      <c r="U92" s="6"/>
    </row>
    <row r="93" spans="1:21" customFormat="1">
      <c r="A93" s="163" t="s">
        <v>2051</v>
      </c>
      <c r="B93" s="100">
        <v>11.23</v>
      </c>
      <c r="C93" s="100">
        <v>27.17</v>
      </c>
      <c r="D93" s="100">
        <v>24.55</v>
      </c>
      <c r="E93" s="100">
        <v>8.8000000000000007</v>
      </c>
      <c r="F93" s="100">
        <v>0.23</v>
      </c>
      <c r="G93" s="100">
        <v>100</v>
      </c>
      <c r="H93" s="100">
        <v>36.11</v>
      </c>
      <c r="I93" s="100">
        <v>11.15</v>
      </c>
      <c r="J93" s="100">
        <v>0.15</v>
      </c>
      <c r="K93" s="100">
        <v>185.43</v>
      </c>
      <c r="L93" s="100">
        <v>16.57</v>
      </c>
      <c r="M93" s="100">
        <v>68.680000000000007</v>
      </c>
      <c r="N93" s="100">
        <v>1</v>
      </c>
      <c r="O93" s="100">
        <v>0</v>
      </c>
      <c r="P93" s="100">
        <v>1</v>
      </c>
      <c r="Q93" s="100">
        <v>12.54</v>
      </c>
      <c r="R93" s="6"/>
      <c r="S93" s="6"/>
      <c r="T93" s="156"/>
      <c r="U93" s="6"/>
    </row>
    <row r="94" spans="1:21" customFormat="1">
      <c r="A94" s="163" t="s">
        <v>2052</v>
      </c>
      <c r="B94" s="100">
        <v>11.05</v>
      </c>
      <c r="C94" s="100">
        <v>26.93</v>
      </c>
      <c r="D94" s="100">
        <v>24.28</v>
      </c>
      <c r="E94" s="100">
        <v>8.3000000000000007</v>
      </c>
      <c r="F94" s="100">
        <v>0.92</v>
      </c>
      <c r="G94" s="100">
        <v>102.07</v>
      </c>
      <c r="H94" s="100">
        <v>33.700000000000003</v>
      </c>
      <c r="I94" s="100">
        <v>11.49</v>
      </c>
      <c r="J94" s="100">
        <v>0.21</v>
      </c>
      <c r="K94" s="100">
        <v>188.56</v>
      </c>
      <c r="L94" s="100">
        <v>16.36</v>
      </c>
      <c r="M94" s="100">
        <v>72.53</v>
      </c>
      <c r="N94" s="100">
        <v>1.1000000000000001</v>
      </c>
      <c r="O94" s="100">
        <v>0</v>
      </c>
      <c r="P94" s="100">
        <v>1</v>
      </c>
      <c r="Q94" s="100">
        <v>12.54</v>
      </c>
      <c r="R94" s="6"/>
      <c r="S94" s="6"/>
      <c r="T94" s="156"/>
      <c r="U94" s="6"/>
    </row>
    <row r="95" spans="1:21" customFormat="1">
      <c r="A95" s="163" t="s">
        <v>2053</v>
      </c>
      <c r="B95" s="100">
        <v>10.89</v>
      </c>
      <c r="C95" s="100">
        <v>26.63</v>
      </c>
      <c r="D95" s="100">
        <v>23.99</v>
      </c>
      <c r="E95" s="100">
        <v>8.8000000000000007</v>
      </c>
      <c r="F95" s="100">
        <v>0.8</v>
      </c>
      <c r="G95" s="100">
        <v>103.32</v>
      </c>
      <c r="H95" s="100">
        <v>33.22</v>
      </c>
      <c r="I95" s="100">
        <v>11.71</v>
      </c>
      <c r="J95" s="100">
        <v>0.19</v>
      </c>
      <c r="K95" s="100">
        <v>204.34</v>
      </c>
      <c r="L95" s="100">
        <v>16.07</v>
      </c>
      <c r="M95" s="100">
        <v>75.739999999999995</v>
      </c>
      <c r="N95" s="100">
        <v>1</v>
      </c>
      <c r="O95" s="100">
        <v>0</v>
      </c>
      <c r="P95" s="100">
        <v>1</v>
      </c>
      <c r="Q95" s="100">
        <v>12.54</v>
      </c>
      <c r="R95" s="6"/>
      <c r="S95" s="6"/>
      <c r="T95" s="156"/>
      <c r="U95" s="6"/>
    </row>
    <row r="96" spans="1:21" customFormat="1">
      <c r="A96" s="163" t="s">
        <v>2054</v>
      </c>
      <c r="B96" s="100">
        <v>10.85</v>
      </c>
      <c r="C96" s="100">
        <v>26.29</v>
      </c>
      <c r="D96" s="100">
        <v>23.78</v>
      </c>
      <c r="E96" s="100">
        <v>8.42</v>
      </c>
      <c r="F96" s="100">
        <v>1.06</v>
      </c>
      <c r="G96" s="100">
        <v>103.32</v>
      </c>
      <c r="H96" s="100">
        <v>33.22</v>
      </c>
      <c r="I96" s="100">
        <v>11.88</v>
      </c>
      <c r="J96" s="100">
        <v>0.18</v>
      </c>
      <c r="K96" s="100">
        <v>203.5</v>
      </c>
      <c r="L96" s="100">
        <v>15.76</v>
      </c>
      <c r="M96" s="100">
        <v>75.61</v>
      </c>
      <c r="N96" s="100">
        <v>1.2</v>
      </c>
      <c r="O96" s="100">
        <v>0</v>
      </c>
      <c r="P96" s="100">
        <v>1.02</v>
      </c>
      <c r="Q96" s="100">
        <v>12.54</v>
      </c>
      <c r="R96" s="6"/>
      <c r="S96" s="6"/>
      <c r="T96" s="156"/>
      <c r="U96" s="6"/>
    </row>
    <row r="97" spans="1:28" customFormat="1">
      <c r="A97" s="163" t="s">
        <v>2055</v>
      </c>
      <c r="B97" s="100">
        <v>10.81</v>
      </c>
      <c r="C97" s="100">
        <v>26.03</v>
      </c>
      <c r="D97" s="100">
        <v>23.62</v>
      </c>
      <c r="E97" s="100">
        <v>9.0299999999999994</v>
      </c>
      <c r="F97" s="100">
        <v>0.09</v>
      </c>
      <c r="G97" s="100">
        <v>103.32</v>
      </c>
      <c r="H97" s="100">
        <v>33.22</v>
      </c>
      <c r="I97" s="100">
        <v>12.02</v>
      </c>
      <c r="J97" s="100">
        <v>0.13</v>
      </c>
      <c r="K97" s="100">
        <v>211.16</v>
      </c>
      <c r="L97" s="100">
        <v>15.64</v>
      </c>
      <c r="M97" s="100">
        <v>75.069999999999993</v>
      </c>
      <c r="N97" s="100">
        <v>1</v>
      </c>
      <c r="O97" s="100">
        <v>0</v>
      </c>
      <c r="P97" s="100">
        <v>1.03</v>
      </c>
      <c r="Q97" s="100">
        <v>12.54</v>
      </c>
      <c r="R97" s="6"/>
      <c r="S97" s="6"/>
      <c r="T97" s="156"/>
      <c r="U97" s="6"/>
    </row>
    <row r="98" spans="1:28" customFormat="1">
      <c r="A98" s="163" t="s">
        <v>2056</v>
      </c>
      <c r="B98" s="100">
        <v>10.77</v>
      </c>
      <c r="C98" s="100">
        <v>25.89</v>
      </c>
      <c r="D98" s="100">
        <v>23.52</v>
      </c>
      <c r="E98" s="100">
        <v>9.06</v>
      </c>
      <c r="F98" s="100">
        <v>0.98</v>
      </c>
      <c r="G98" s="100">
        <v>101.35</v>
      </c>
      <c r="H98" s="100">
        <v>33.15</v>
      </c>
      <c r="I98" s="100">
        <v>12.12</v>
      </c>
      <c r="J98" s="100">
        <v>0.16</v>
      </c>
      <c r="K98" s="100">
        <v>188.85</v>
      </c>
      <c r="L98" s="100">
        <v>15.58</v>
      </c>
      <c r="M98" s="100">
        <v>77.84</v>
      </c>
      <c r="N98" s="100">
        <v>0.9</v>
      </c>
      <c r="O98" s="100">
        <v>0</v>
      </c>
      <c r="P98" s="100">
        <v>1.03</v>
      </c>
      <c r="Q98" s="100">
        <v>12.54</v>
      </c>
      <c r="R98" s="6"/>
      <c r="S98" s="6"/>
      <c r="T98" s="156"/>
      <c r="U98" s="6"/>
    </row>
    <row r="99" spans="1:28" customFormat="1">
      <c r="A99" s="163" t="s">
        <v>2057</v>
      </c>
      <c r="B99" s="100">
        <v>10.88</v>
      </c>
      <c r="C99" s="100">
        <v>25.67</v>
      </c>
      <c r="D99" s="100">
        <v>23.49</v>
      </c>
      <c r="E99" s="100">
        <v>8.36</v>
      </c>
      <c r="F99" s="100">
        <v>1.79</v>
      </c>
      <c r="G99" s="100">
        <v>100.15</v>
      </c>
      <c r="H99" s="100">
        <v>33.14</v>
      </c>
      <c r="I99" s="100">
        <v>12.16</v>
      </c>
      <c r="J99" s="100">
        <v>0.17</v>
      </c>
      <c r="K99" s="100">
        <v>174.35</v>
      </c>
      <c r="L99" s="100">
        <v>15.39</v>
      </c>
      <c r="M99" s="100">
        <v>77.83</v>
      </c>
      <c r="N99" s="100">
        <v>1</v>
      </c>
      <c r="O99" s="100">
        <v>0</v>
      </c>
      <c r="P99" s="100">
        <v>1.05</v>
      </c>
      <c r="Q99" s="100">
        <v>12.54</v>
      </c>
      <c r="R99" s="6"/>
      <c r="S99" s="6"/>
      <c r="T99" s="156"/>
      <c r="U99" s="6"/>
    </row>
    <row r="100" spans="1:28" customFormat="1">
      <c r="A100" s="163" t="s">
        <v>2058</v>
      </c>
      <c r="B100" s="100">
        <v>11.18</v>
      </c>
      <c r="C100" s="100">
        <v>25.79</v>
      </c>
      <c r="D100" s="100">
        <v>23.8</v>
      </c>
      <c r="E100" s="100">
        <v>7.99</v>
      </c>
      <c r="F100" s="100">
        <v>1.1299999999999999</v>
      </c>
      <c r="G100" s="100">
        <v>100.15</v>
      </c>
      <c r="H100" s="100">
        <v>33.14</v>
      </c>
      <c r="I100" s="100">
        <v>12.35</v>
      </c>
      <c r="J100" s="100">
        <v>0.21</v>
      </c>
      <c r="K100" s="100">
        <v>167.71</v>
      </c>
      <c r="L100" s="100">
        <v>15.46</v>
      </c>
      <c r="M100" s="100">
        <v>76.88</v>
      </c>
      <c r="N100" s="100">
        <v>0.9</v>
      </c>
      <c r="O100" s="100">
        <v>0</v>
      </c>
      <c r="P100" s="100">
        <v>1.07</v>
      </c>
      <c r="Q100" s="100">
        <v>12.54</v>
      </c>
      <c r="R100" s="6"/>
      <c r="S100" s="6"/>
      <c r="T100" s="156"/>
      <c r="U100" s="6"/>
      <c r="AB100" s="161"/>
    </row>
    <row r="101" spans="1:28" customFormat="1">
      <c r="A101" s="163" t="s">
        <v>2059</v>
      </c>
      <c r="B101" s="100">
        <v>11.73</v>
      </c>
      <c r="C101" s="100">
        <v>25.93</v>
      </c>
      <c r="D101" s="100">
        <v>24.31</v>
      </c>
      <c r="E101" s="100">
        <v>8.6</v>
      </c>
      <c r="F101" s="100">
        <v>1.65</v>
      </c>
      <c r="G101" s="100">
        <v>100.15</v>
      </c>
      <c r="H101" s="100">
        <v>33.14</v>
      </c>
      <c r="I101" s="100">
        <v>12.56</v>
      </c>
      <c r="J101" s="100">
        <v>0.18</v>
      </c>
      <c r="K101" s="100">
        <v>181.61</v>
      </c>
      <c r="L101" s="100">
        <v>15.24</v>
      </c>
      <c r="M101" s="100">
        <v>77.209999999999994</v>
      </c>
      <c r="N101" s="100">
        <v>1</v>
      </c>
      <c r="O101" s="100">
        <v>0</v>
      </c>
      <c r="P101" s="100">
        <v>1.1000000000000001</v>
      </c>
      <c r="Q101" s="100">
        <v>12.54</v>
      </c>
      <c r="R101" s="6"/>
      <c r="S101" s="6"/>
      <c r="T101" s="156"/>
      <c r="U101" s="6"/>
    </row>
    <row r="102" spans="1:28" customFormat="1">
      <c r="A102" s="163" t="s">
        <v>2060</v>
      </c>
      <c r="B102" s="100">
        <v>12.46</v>
      </c>
      <c r="C102" s="100">
        <v>25.9</v>
      </c>
      <c r="D102" s="100">
        <v>24.88</v>
      </c>
      <c r="E102" s="100">
        <v>8.48</v>
      </c>
      <c r="F102" s="100">
        <v>0.36</v>
      </c>
      <c r="G102" s="100">
        <v>101.69</v>
      </c>
      <c r="H102" s="100">
        <v>33.53</v>
      </c>
      <c r="I102" s="100">
        <v>12.78</v>
      </c>
      <c r="J102" s="100">
        <v>0.17</v>
      </c>
      <c r="K102" s="100">
        <v>175.08</v>
      </c>
      <c r="L102" s="100">
        <v>15.17</v>
      </c>
      <c r="M102" s="100">
        <v>76.45</v>
      </c>
      <c r="N102" s="100">
        <v>1.1000000000000001</v>
      </c>
      <c r="O102" s="100">
        <v>0</v>
      </c>
      <c r="P102" s="100">
        <v>1.1100000000000001</v>
      </c>
      <c r="Q102" s="100">
        <v>12.54</v>
      </c>
      <c r="R102" s="6"/>
      <c r="S102" s="6"/>
      <c r="T102" s="156"/>
      <c r="U102" s="6"/>
    </row>
    <row r="103" spans="1:28" customFormat="1">
      <c r="A103" s="163" t="s">
        <v>2061</v>
      </c>
      <c r="B103" s="100">
        <v>12.96</v>
      </c>
      <c r="C103" s="100">
        <v>25.9</v>
      </c>
      <c r="D103" s="100">
        <v>25.28</v>
      </c>
      <c r="E103" s="100">
        <v>8.9499999999999993</v>
      </c>
      <c r="F103" s="100">
        <v>0.46</v>
      </c>
      <c r="G103" s="100">
        <v>102.62</v>
      </c>
      <c r="H103" s="100">
        <v>33.61</v>
      </c>
      <c r="I103" s="100">
        <v>13</v>
      </c>
      <c r="J103" s="100">
        <v>0.2</v>
      </c>
      <c r="K103" s="100">
        <v>179.69</v>
      </c>
      <c r="L103" s="100">
        <v>14.98</v>
      </c>
      <c r="M103" s="100">
        <v>78.5</v>
      </c>
      <c r="N103" s="100">
        <v>1.1000000000000001</v>
      </c>
      <c r="O103" s="100">
        <v>0</v>
      </c>
      <c r="P103" s="100">
        <v>1.1200000000000001</v>
      </c>
      <c r="Q103" s="100">
        <v>12.54</v>
      </c>
      <c r="R103" s="6"/>
      <c r="S103" s="6"/>
      <c r="T103" s="156"/>
      <c r="U103" s="6"/>
    </row>
    <row r="104" spans="1:28" customFormat="1">
      <c r="A104" s="163" t="s">
        <v>2062</v>
      </c>
      <c r="B104" s="100">
        <v>13.32</v>
      </c>
      <c r="C104" s="100">
        <v>25.67</v>
      </c>
      <c r="D104" s="100">
        <v>25.44</v>
      </c>
      <c r="E104" s="100">
        <v>8.5299999999999994</v>
      </c>
      <c r="F104" s="100">
        <v>2.2599999999999998</v>
      </c>
      <c r="G104" s="100">
        <v>102.62</v>
      </c>
      <c r="H104" s="100">
        <v>33.61</v>
      </c>
      <c r="I104" s="100">
        <v>13.21</v>
      </c>
      <c r="J104" s="100">
        <v>0.15</v>
      </c>
      <c r="K104" s="100">
        <v>163.29</v>
      </c>
      <c r="L104" s="100">
        <v>14.9</v>
      </c>
      <c r="M104" s="100">
        <v>79.09</v>
      </c>
      <c r="N104" s="100">
        <v>1</v>
      </c>
      <c r="O104" s="100">
        <v>0</v>
      </c>
      <c r="P104" s="100">
        <v>1.1299999999999999</v>
      </c>
      <c r="Q104" s="100">
        <v>12.54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4.13</v>
      </c>
      <c r="C106" s="158">
        <f>MIN(C9:C104)</f>
        <v>25.49</v>
      </c>
      <c r="D106" s="158">
        <f t="shared" ref="D106:Q106" si="0">MIN(D9:D104)</f>
        <v>19.03</v>
      </c>
      <c r="E106" s="158">
        <f t="shared" si="0"/>
        <v>7.99</v>
      </c>
      <c r="F106" s="158">
        <f t="shared" si="0"/>
        <v>0.04</v>
      </c>
      <c r="G106" s="158">
        <f t="shared" si="0"/>
        <v>60.11</v>
      </c>
      <c r="H106" s="158">
        <f t="shared" si="0"/>
        <v>33.14</v>
      </c>
      <c r="I106" s="158">
        <f t="shared" si="0"/>
        <v>9.41</v>
      </c>
      <c r="J106" s="158">
        <f t="shared" si="0"/>
        <v>0.05</v>
      </c>
      <c r="K106" s="158">
        <f t="shared" si="0"/>
        <v>6.15</v>
      </c>
      <c r="L106" s="158">
        <f t="shared" si="0"/>
        <v>12.97</v>
      </c>
      <c r="M106" s="158">
        <f t="shared" si="0"/>
        <v>22.95</v>
      </c>
      <c r="N106" s="158">
        <f t="shared" si="0"/>
        <v>0.5</v>
      </c>
      <c r="O106" s="158">
        <f t="shared" si="0"/>
        <v>0</v>
      </c>
      <c r="P106" s="158">
        <f t="shared" si="0"/>
        <v>0.77</v>
      </c>
      <c r="Q106" s="158">
        <f t="shared" si="0"/>
        <v>12.54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40.270000000000003</v>
      </c>
      <c r="C107" s="157">
        <f t="shared" ref="C107:Q107" si="1">MAX(C9:C104)</f>
        <v>34.9</v>
      </c>
      <c r="D107" s="157">
        <f t="shared" si="1"/>
        <v>47.92</v>
      </c>
      <c r="E107" s="157">
        <f t="shared" si="1"/>
        <v>27.8</v>
      </c>
      <c r="F107" s="157">
        <f t="shared" si="1"/>
        <v>3.41</v>
      </c>
      <c r="G107" s="157">
        <f t="shared" si="1"/>
        <v>165.48</v>
      </c>
      <c r="H107" s="157">
        <f t="shared" si="1"/>
        <v>67.53</v>
      </c>
      <c r="I107" s="157">
        <f t="shared" si="1"/>
        <v>17.149999999999999</v>
      </c>
      <c r="J107" s="157">
        <f t="shared" si="1"/>
        <v>0.73</v>
      </c>
      <c r="K107" s="157">
        <f t="shared" si="1"/>
        <v>344.98</v>
      </c>
      <c r="L107" s="157">
        <f t="shared" si="1"/>
        <v>29.15</v>
      </c>
      <c r="M107" s="157">
        <f t="shared" si="1"/>
        <v>98.96</v>
      </c>
      <c r="N107" s="157">
        <f t="shared" si="1"/>
        <v>452.1</v>
      </c>
      <c r="O107" s="157">
        <f t="shared" si="1"/>
        <v>0</v>
      </c>
      <c r="P107" s="157">
        <f t="shared" si="1"/>
        <v>1.46</v>
      </c>
      <c r="Q107" s="157">
        <f t="shared" si="1"/>
        <v>12.54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20.038645833333341</v>
      </c>
      <c r="C108" s="158">
        <f t="shared" ref="C108:Q108" si="2">AVERAGE(C9:C104)</f>
        <v>29.187708333333337</v>
      </c>
      <c r="D108" s="158">
        <f t="shared" si="2"/>
        <v>32.670000000000016</v>
      </c>
      <c r="E108" s="158">
        <f t="shared" si="2"/>
        <v>11.15374999999999</v>
      </c>
      <c r="F108" s="158">
        <f t="shared" si="2"/>
        <v>0.82635416666666683</v>
      </c>
      <c r="G108" s="158">
        <f t="shared" si="2"/>
        <v>114.4083333333333</v>
      </c>
      <c r="H108" s="158">
        <f t="shared" si="2"/>
        <v>42.502916666666657</v>
      </c>
      <c r="I108" s="158">
        <f t="shared" si="2"/>
        <v>13.376875</v>
      </c>
      <c r="J108" s="158">
        <f t="shared" si="2"/>
        <v>0.29416666666666669</v>
      </c>
      <c r="K108" s="158">
        <f t="shared" si="2"/>
        <v>132.00895833333331</v>
      </c>
      <c r="L108" s="158">
        <f t="shared" si="2"/>
        <v>19.76635416666667</v>
      </c>
      <c r="M108" s="158">
        <f t="shared" si="2"/>
        <v>59.605312499999997</v>
      </c>
      <c r="N108" s="158">
        <f t="shared" si="2"/>
        <v>96.844791666666708</v>
      </c>
      <c r="O108" s="158">
        <f t="shared" si="2"/>
        <v>0</v>
      </c>
      <c r="P108" s="158">
        <f t="shared" si="2"/>
        <v>1.1301041666666662</v>
      </c>
      <c r="Q108" s="158">
        <f t="shared" si="2"/>
        <v>12.539999999999983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12.609773788178551</v>
      </c>
      <c r="C109" s="158">
        <f t="shared" ref="C109:Q109" si="3">STDEV(C9:C104)</f>
        <v>2.7725851433622344</v>
      </c>
      <c r="D109" s="158">
        <f t="shared" si="3"/>
        <v>10.65829728674473</v>
      </c>
      <c r="E109" s="158">
        <f t="shared" si="3"/>
        <v>3.7028743458363258</v>
      </c>
      <c r="F109" s="158">
        <f t="shared" si="3"/>
        <v>0.61460491338859569</v>
      </c>
      <c r="G109" s="158">
        <f t="shared" si="3"/>
        <v>33.732627143984836</v>
      </c>
      <c r="H109" s="158">
        <f t="shared" si="3"/>
        <v>9.1961399129332975</v>
      </c>
      <c r="I109" s="158">
        <f t="shared" si="3"/>
        <v>2.6042125034562584</v>
      </c>
      <c r="J109" s="158">
        <f t="shared" si="3"/>
        <v>0.18706411322362271</v>
      </c>
      <c r="K109" s="158">
        <f t="shared" si="3"/>
        <v>74.605044467221845</v>
      </c>
      <c r="L109" s="158">
        <f t="shared" si="3"/>
        <v>5.63026242630262</v>
      </c>
      <c r="M109" s="158">
        <f t="shared" si="3"/>
        <v>26.000761363472868</v>
      </c>
      <c r="N109" s="158">
        <f t="shared" si="3"/>
        <v>155.04003752497485</v>
      </c>
      <c r="O109" s="158">
        <f t="shared" si="3"/>
        <v>0</v>
      </c>
      <c r="P109" s="158">
        <f t="shared" si="3"/>
        <v>0.22955102536389591</v>
      </c>
      <c r="Q109" s="158">
        <f t="shared" si="3"/>
        <v>1.6071134501595139E-14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17"/>
  <sheetViews>
    <sheetView zoomScale="85" zoomScaleNormal="85" workbookViewId="0">
      <pane xSplit="1" ySplit="8" topLeftCell="B15" activePane="bottomRight" state="frozen"/>
      <selection pane="topRight"/>
      <selection pane="bottomLeft"/>
      <selection pane="bottomRight" activeCell="R12" sqref="R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20/01/2025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2063</v>
      </c>
      <c r="B9" s="100">
        <v>13.87</v>
      </c>
      <c r="C9" s="100">
        <v>25.23</v>
      </c>
      <c r="D9" s="100">
        <v>25.65</v>
      </c>
      <c r="E9" s="100">
        <v>8.35</v>
      </c>
      <c r="F9" s="100">
        <v>1.81</v>
      </c>
      <c r="G9" s="100">
        <v>102.62</v>
      </c>
      <c r="H9" s="100">
        <v>33.61</v>
      </c>
      <c r="I9" s="100">
        <v>13.42</v>
      </c>
      <c r="J9" s="100">
        <v>0.15</v>
      </c>
      <c r="K9" s="100">
        <v>170.96</v>
      </c>
      <c r="L9" s="100">
        <v>14.95</v>
      </c>
      <c r="M9" s="100">
        <v>75.959999999999994</v>
      </c>
      <c r="N9" s="100">
        <v>0.9</v>
      </c>
      <c r="O9" s="100">
        <v>0</v>
      </c>
      <c r="P9" s="100">
        <v>1.1499999999999999</v>
      </c>
      <c r="Q9" s="100">
        <v>12.57</v>
      </c>
      <c r="R9" s="6"/>
      <c r="S9" s="6"/>
      <c r="T9" s="156"/>
      <c r="U9" s="6"/>
    </row>
    <row r="10" spans="1:21" customFormat="1">
      <c r="A10" s="163" t="s">
        <v>2064</v>
      </c>
      <c r="B10" s="100">
        <v>15.2</v>
      </c>
      <c r="C10" s="100">
        <v>25.72</v>
      </c>
      <c r="D10" s="100">
        <v>26.98</v>
      </c>
      <c r="E10" s="100">
        <v>8.6300000000000008</v>
      </c>
      <c r="F10" s="100">
        <v>1.02</v>
      </c>
      <c r="G10" s="100">
        <v>105.12</v>
      </c>
      <c r="H10" s="100">
        <v>36.24</v>
      </c>
      <c r="I10" s="100">
        <v>13.63</v>
      </c>
      <c r="J10" s="100">
        <v>0.16</v>
      </c>
      <c r="K10" s="100">
        <v>123.24</v>
      </c>
      <c r="L10" s="100">
        <v>15.15</v>
      </c>
      <c r="M10" s="100">
        <v>72.8</v>
      </c>
      <c r="N10" s="100">
        <v>0.9</v>
      </c>
      <c r="O10" s="100">
        <v>0</v>
      </c>
      <c r="P10" s="100">
        <v>1.1599999999999999</v>
      </c>
      <c r="Q10" s="100">
        <v>12.57</v>
      </c>
      <c r="R10" s="6"/>
      <c r="S10" s="6"/>
      <c r="T10" s="156"/>
      <c r="U10" s="6"/>
    </row>
    <row r="11" spans="1:21" customFormat="1">
      <c r="A11" s="163" t="s">
        <v>2065</v>
      </c>
      <c r="B11" s="100">
        <v>18.39</v>
      </c>
      <c r="C11" s="100">
        <v>26.65</v>
      </c>
      <c r="D11" s="100">
        <v>30.02</v>
      </c>
      <c r="E11" s="100">
        <v>8.58</v>
      </c>
      <c r="F11" s="100">
        <v>0.97</v>
      </c>
      <c r="G11" s="100">
        <v>106.64</v>
      </c>
      <c r="H11" s="100">
        <v>36.770000000000003</v>
      </c>
      <c r="I11" s="100">
        <v>13.76</v>
      </c>
      <c r="J11" s="100">
        <v>0.08</v>
      </c>
      <c r="K11" s="100">
        <v>126.06</v>
      </c>
      <c r="L11" s="100">
        <v>15.2</v>
      </c>
      <c r="M11" s="100">
        <v>70.73</v>
      </c>
      <c r="N11" s="100">
        <v>0.8</v>
      </c>
      <c r="O11" s="100">
        <v>0</v>
      </c>
      <c r="P11" s="100">
        <v>1.17</v>
      </c>
      <c r="Q11" s="100">
        <v>12.57</v>
      </c>
      <c r="R11" s="6"/>
      <c r="S11" s="6"/>
      <c r="T11" s="156"/>
      <c r="U11" s="6"/>
    </row>
    <row r="12" spans="1:21" customFormat="1">
      <c r="A12" s="163" t="s">
        <v>2066</v>
      </c>
      <c r="B12" s="100">
        <v>22.65</v>
      </c>
      <c r="C12" s="100">
        <v>27.66</v>
      </c>
      <c r="D12" s="100">
        <v>33.97</v>
      </c>
      <c r="E12" s="100">
        <v>8.33</v>
      </c>
      <c r="F12" s="100">
        <v>2.06</v>
      </c>
      <c r="G12" s="100">
        <v>106.64</v>
      </c>
      <c r="H12" s="100">
        <v>36.770000000000003</v>
      </c>
      <c r="I12" s="100">
        <v>13.97</v>
      </c>
      <c r="J12" s="100">
        <v>0.6</v>
      </c>
      <c r="K12" s="100">
        <v>62.27</v>
      </c>
      <c r="L12" s="100">
        <v>15.38</v>
      </c>
      <c r="M12" s="100">
        <v>69.2</v>
      </c>
      <c r="N12" s="100">
        <v>0.6</v>
      </c>
      <c r="O12" s="100">
        <v>0</v>
      </c>
      <c r="P12" s="100">
        <v>1.2</v>
      </c>
      <c r="Q12" s="100">
        <v>12.57</v>
      </c>
      <c r="R12" s="6"/>
      <c r="S12" s="6"/>
      <c r="T12" s="156"/>
      <c r="U12" s="6"/>
    </row>
    <row r="13" spans="1:21" customFormat="1">
      <c r="A13" s="163" t="s">
        <v>2067</v>
      </c>
      <c r="B13" s="100">
        <v>26</v>
      </c>
      <c r="C13" s="100">
        <v>28.45</v>
      </c>
      <c r="D13" s="100">
        <v>37.06</v>
      </c>
      <c r="E13" s="100">
        <v>8.9</v>
      </c>
      <c r="F13" s="100">
        <v>1.84</v>
      </c>
      <c r="G13" s="100">
        <v>106.64</v>
      </c>
      <c r="H13" s="100">
        <v>36.770000000000003</v>
      </c>
      <c r="I13" s="100">
        <v>14.2</v>
      </c>
      <c r="J13" s="100">
        <v>0.28999999999999998</v>
      </c>
      <c r="K13" s="100">
        <v>64.69</v>
      </c>
      <c r="L13" s="100">
        <v>15.86</v>
      </c>
      <c r="M13" s="100">
        <v>66.05</v>
      </c>
      <c r="N13" s="100">
        <v>0.8</v>
      </c>
      <c r="O13" s="100">
        <v>0</v>
      </c>
      <c r="P13" s="100">
        <v>1.21</v>
      </c>
      <c r="Q13" s="100">
        <v>12.57</v>
      </c>
      <c r="R13" s="6"/>
      <c r="S13" s="6"/>
      <c r="T13" s="156"/>
      <c r="U13" s="6"/>
    </row>
    <row r="14" spans="1:21" customFormat="1">
      <c r="A14" s="163" t="s">
        <v>2068</v>
      </c>
      <c r="B14" s="100">
        <v>28.57</v>
      </c>
      <c r="C14" s="100">
        <v>29.26</v>
      </c>
      <c r="D14" s="100">
        <v>39.549999999999997</v>
      </c>
      <c r="E14" s="100">
        <v>8.6300000000000008</v>
      </c>
      <c r="F14" s="100">
        <v>1.86</v>
      </c>
      <c r="G14" s="100">
        <v>119.51</v>
      </c>
      <c r="H14" s="100">
        <v>37.270000000000003</v>
      </c>
      <c r="I14" s="100">
        <v>14.47</v>
      </c>
      <c r="J14" s="100">
        <v>0.17</v>
      </c>
      <c r="K14" s="100">
        <v>213.02</v>
      </c>
      <c r="L14" s="100">
        <v>15.43</v>
      </c>
      <c r="M14" s="100">
        <v>69.95</v>
      </c>
      <c r="N14" s="100">
        <v>1.4</v>
      </c>
      <c r="O14" s="100">
        <v>0</v>
      </c>
      <c r="P14" s="100">
        <v>1.24</v>
      </c>
      <c r="Q14" s="100">
        <v>12.57</v>
      </c>
      <c r="R14" s="6"/>
      <c r="S14" s="6"/>
      <c r="T14" s="156"/>
      <c r="U14" s="6"/>
    </row>
    <row r="15" spans="1:21" customFormat="1">
      <c r="A15" s="163" t="s">
        <v>2069</v>
      </c>
      <c r="B15" s="100">
        <v>30.93</v>
      </c>
      <c r="C15" s="100">
        <v>29.78</v>
      </c>
      <c r="D15" s="100">
        <v>41.72</v>
      </c>
      <c r="E15" s="100">
        <v>8.51</v>
      </c>
      <c r="F15" s="100">
        <v>3.77</v>
      </c>
      <c r="G15" s="100">
        <v>127.32</v>
      </c>
      <c r="H15" s="100">
        <v>37.380000000000003</v>
      </c>
      <c r="I15" s="100">
        <v>14.63</v>
      </c>
      <c r="J15" s="100">
        <v>0.12</v>
      </c>
      <c r="K15" s="100">
        <v>212.52</v>
      </c>
      <c r="L15" s="100">
        <v>14.73</v>
      </c>
      <c r="M15" s="100">
        <v>74.650000000000006</v>
      </c>
      <c r="N15" s="100">
        <v>1.6</v>
      </c>
      <c r="O15" s="100">
        <v>0</v>
      </c>
      <c r="P15" s="100">
        <v>1.28</v>
      </c>
      <c r="Q15" s="100">
        <v>12.57</v>
      </c>
      <c r="R15" s="6"/>
      <c r="S15" s="6"/>
      <c r="T15" s="156"/>
      <c r="U15" s="6"/>
    </row>
    <row r="16" spans="1:21" customFormat="1">
      <c r="A16" s="163" t="s">
        <v>2070</v>
      </c>
      <c r="B16" s="100">
        <v>32.6</v>
      </c>
      <c r="C16" s="100">
        <v>29.94</v>
      </c>
      <c r="D16" s="100">
        <v>43.13</v>
      </c>
      <c r="E16" s="100">
        <v>8.52</v>
      </c>
      <c r="F16" s="100">
        <v>1.02</v>
      </c>
      <c r="G16" s="100">
        <v>127.32</v>
      </c>
      <c r="H16" s="100">
        <v>37.380000000000003</v>
      </c>
      <c r="I16" s="100">
        <v>14.93</v>
      </c>
      <c r="J16" s="100">
        <v>0.19</v>
      </c>
      <c r="K16" s="100">
        <v>171.16</v>
      </c>
      <c r="L16" s="100">
        <v>14.37</v>
      </c>
      <c r="M16" s="100">
        <v>80.489999999999995</v>
      </c>
      <c r="N16" s="100">
        <v>1.3</v>
      </c>
      <c r="O16" s="100">
        <v>0</v>
      </c>
      <c r="P16" s="100">
        <v>1.31</v>
      </c>
      <c r="Q16" s="100">
        <v>12.57</v>
      </c>
      <c r="R16" s="6"/>
      <c r="S16" s="6"/>
      <c r="T16" s="156"/>
      <c r="U16" s="6"/>
    </row>
    <row r="17" spans="1:21" customFormat="1">
      <c r="A17" s="163" t="s">
        <v>2071</v>
      </c>
      <c r="B17" s="100">
        <v>34</v>
      </c>
      <c r="C17" s="100">
        <v>29.62</v>
      </c>
      <c r="D17" s="100">
        <v>44.09</v>
      </c>
      <c r="E17" s="100">
        <v>7.78</v>
      </c>
      <c r="F17" s="100">
        <v>2.79</v>
      </c>
      <c r="G17" s="100">
        <v>127.32</v>
      </c>
      <c r="H17" s="100">
        <v>37.380000000000003</v>
      </c>
      <c r="I17" s="100">
        <v>15.24</v>
      </c>
      <c r="J17" s="100">
        <v>0.16</v>
      </c>
      <c r="K17" s="100">
        <v>164.27</v>
      </c>
      <c r="L17" s="100">
        <v>14.27</v>
      </c>
      <c r="M17" s="100">
        <v>82.67</v>
      </c>
      <c r="N17" s="100">
        <v>1.3</v>
      </c>
      <c r="O17" s="100">
        <v>0</v>
      </c>
      <c r="P17" s="100">
        <v>1.33</v>
      </c>
      <c r="Q17" s="100">
        <v>12.57</v>
      </c>
      <c r="R17" s="6"/>
      <c r="S17" s="6"/>
      <c r="T17" s="156"/>
      <c r="U17" s="6"/>
    </row>
    <row r="18" spans="1:21" customFormat="1">
      <c r="A18" s="163" t="s">
        <v>2072</v>
      </c>
      <c r="B18" s="100">
        <v>35.4</v>
      </c>
      <c r="C18" s="100">
        <v>29.41</v>
      </c>
      <c r="D18" s="100">
        <v>45.1</v>
      </c>
      <c r="E18" s="100">
        <v>9.27</v>
      </c>
      <c r="F18" s="100">
        <v>0.41</v>
      </c>
      <c r="G18" s="100">
        <v>130.25</v>
      </c>
      <c r="H18" s="100">
        <v>38.81</v>
      </c>
      <c r="I18" s="100">
        <v>15.6</v>
      </c>
      <c r="J18" s="100">
        <v>0.15</v>
      </c>
      <c r="K18" s="100">
        <v>173.35</v>
      </c>
      <c r="L18" s="100">
        <v>14.03</v>
      </c>
      <c r="M18" s="100">
        <v>84.95</v>
      </c>
      <c r="N18" s="100">
        <v>1.2</v>
      </c>
      <c r="O18" s="100">
        <v>0</v>
      </c>
      <c r="P18" s="100">
        <v>1.36</v>
      </c>
      <c r="Q18" s="100">
        <v>12.57</v>
      </c>
      <c r="R18" s="6"/>
      <c r="S18" s="6"/>
      <c r="T18" s="156"/>
      <c r="U18" s="6"/>
    </row>
    <row r="19" spans="1:21" customFormat="1">
      <c r="A19" s="163" t="s">
        <v>2073</v>
      </c>
      <c r="B19" s="100">
        <v>36.69</v>
      </c>
      <c r="C19" s="100">
        <v>29.13</v>
      </c>
      <c r="D19" s="100">
        <v>45.99</v>
      </c>
      <c r="E19" s="100">
        <v>9.16</v>
      </c>
      <c r="F19" s="100">
        <v>0.75</v>
      </c>
      <c r="G19" s="100">
        <v>132.03</v>
      </c>
      <c r="H19" s="100">
        <v>39.369999999999997</v>
      </c>
      <c r="I19" s="100">
        <v>15.89</v>
      </c>
      <c r="J19" s="100">
        <v>0.17</v>
      </c>
      <c r="K19" s="100">
        <v>164.31</v>
      </c>
      <c r="L19" s="100">
        <v>13.77</v>
      </c>
      <c r="M19" s="100">
        <v>86.85</v>
      </c>
      <c r="N19" s="100">
        <v>1.2</v>
      </c>
      <c r="O19" s="100">
        <v>0</v>
      </c>
      <c r="P19" s="100">
        <v>1.38</v>
      </c>
      <c r="Q19" s="100">
        <v>12.57</v>
      </c>
      <c r="R19" s="6"/>
      <c r="S19" s="6"/>
      <c r="T19" s="156"/>
      <c r="U19" s="6"/>
    </row>
    <row r="20" spans="1:21" customFormat="1">
      <c r="A20" s="163" t="s">
        <v>2074</v>
      </c>
      <c r="B20" s="100">
        <v>37.82</v>
      </c>
      <c r="C20" s="100">
        <v>28.9</v>
      </c>
      <c r="D20" s="100">
        <v>46.78</v>
      </c>
      <c r="E20" s="100">
        <v>9.23</v>
      </c>
      <c r="F20" s="100">
        <v>0.32</v>
      </c>
      <c r="G20" s="100">
        <v>132.03</v>
      </c>
      <c r="H20" s="100">
        <v>39.369999999999997</v>
      </c>
      <c r="I20" s="100">
        <v>16.13</v>
      </c>
      <c r="J20" s="100">
        <v>0.19</v>
      </c>
      <c r="K20" s="100">
        <v>162.02000000000001</v>
      </c>
      <c r="L20" s="100">
        <v>13.53</v>
      </c>
      <c r="M20" s="100">
        <v>89.86</v>
      </c>
      <c r="N20" s="100">
        <v>1.3</v>
      </c>
      <c r="O20" s="100">
        <v>0</v>
      </c>
      <c r="P20" s="100">
        <v>1.41</v>
      </c>
      <c r="Q20" s="100">
        <v>12.57</v>
      </c>
      <c r="R20" s="6"/>
      <c r="S20" s="6"/>
      <c r="T20" s="156"/>
      <c r="U20" s="6"/>
    </row>
    <row r="21" spans="1:21" customFormat="1">
      <c r="A21" s="163" t="s">
        <v>2075</v>
      </c>
      <c r="B21" s="100">
        <v>38.69</v>
      </c>
      <c r="C21" s="100">
        <v>28.38</v>
      </c>
      <c r="D21" s="100">
        <v>47.2</v>
      </c>
      <c r="E21" s="100">
        <v>9</v>
      </c>
      <c r="F21" s="100">
        <v>1.73</v>
      </c>
      <c r="G21" s="100">
        <v>132.03</v>
      </c>
      <c r="H21" s="100">
        <v>39.369999999999997</v>
      </c>
      <c r="I21" s="100">
        <v>16.39</v>
      </c>
      <c r="J21" s="100">
        <v>0.19</v>
      </c>
      <c r="K21" s="100">
        <v>179.81</v>
      </c>
      <c r="L21" s="100">
        <v>13.33</v>
      </c>
      <c r="M21" s="100">
        <v>89.55</v>
      </c>
      <c r="N21" s="100">
        <v>1.1000000000000001</v>
      </c>
      <c r="O21" s="100">
        <v>0</v>
      </c>
      <c r="P21" s="100">
        <v>1.44</v>
      </c>
      <c r="Q21" s="100">
        <v>12.57</v>
      </c>
      <c r="R21" s="6"/>
      <c r="S21" s="6"/>
      <c r="T21" s="156"/>
      <c r="U21" s="6"/>
    </row>
    <row r="22" spans="1:21" customFormat="1">
      <c r="A22" s="163" t="s">
        <v>2076</v>
      </c>
      <c r="B22" s="100">
        <v>39.479999999999997</v>
      </c>
      <c r="C22" s="100">
        <v>27.94</v>
      </c>
      <c r="D22" s="100">
        <v>47.61</v>
      </c>
      <c r="E22" s="100">
        <v>8.75</v>
      </c>
      <c r="F22" s="100">
        <v>0.95</v>
      </c>
      <c r="G22" s="100">
        <v>132.4</v>
      </c>
      <c r="H22" s="100">
        <v>42.22</v>
      </c>
      <c r="I22" s="100">
        <v>16.73</v>
      </c>
      <c r="J22" s="100">
        <v>0.15</v>
      </c>
      <c r="K22" s="100">
        <v>164.77</v>
      </c>
      <c r="L22" s="100">
        <v>13.07</v>
      </c>
      <c r="M22" s="100">
        <v>90.31</v>
      </c>
      <c r="N22" s="100">
        <v>1.3</v>
      </c>
      <c r="O22" s="100">
        <v>0</v>
      </c>
      <c r="P22" s="100">
        <v>1.46</v>
      </c>
      <c r="Q22" s="100">
        <v>12.57</v>
      </c>
      <c r="R22" s="6"/>
      <c r="S22" s="6"/>
      <c r="T22" s="156"/>
      <c r="U22" s="6"/>
    </row>
    <row r="23" spans="1:21" customFormat="1">
      <c r="A23" s="163" t="s">
        <v>2077</v>
      </c>
      <c r="B23" s="100">
        <v>40.14</v>
      </c>
      <c r="C23" s="100">
        <v>27.66</v>
      </c>
      <c r="D23" s="100">
        <v>47.99</v>
      </c>
      <c r="E23" s="100">
        <v>8.69</v>
      </c>
      <c r="F23" s="100">
        <v>0.2</v>
      </c>
      <c r="G23" s="100">
        <v>132.62</v>
      </c>
      <c r="H23" s="100">
        <v>42.84</v>
      </c>
      <c r="I23" s="100">
        <v>17.010000000000002</v>
      </c>
      <c r="J23" s="100">
        <v>0.18</v>
      </c>
      <c r="K23" s="100">
        <v>150.44999999999999</v>
      </c>
      <c r="L23" s="100">
        <v>12.92</v>
      </c>
      <c r="M23" s="100">
        <v>91.59</v>
      </c>
      <c r="N23" s="100">
        <v>1</v>
      </c>
      <c r="O23" s="100">
        <v>0</v>
      </c>
      <c r="P23" s="100">
        <v>1.47</v>
      </c>
      <c r="Q23" s="100">
        <v>12.57</v>
      </c>
      <c r="R23" s="6"/>
      <c r="S23" s="6"/>
      <c r="T23" s="156"/>
      <c r="U23" s="6"/>
    </row>
    <row r="24" spans="1:21" customFormat="1">
      <c r="A24" s="163" t="s">
        <v>2078</v>
      </c>
      <c r="B24" s="100">
        <v>40.76</v>
      </c>
      <c r="C24" s="100">
        <v>27.3</v>
      </c>
      <c r="D24" s="100">
        <v>48.3</v>
      </c>
      <c r="E24" s="100">
        <v>8.4700000000000006</v>
      </c>
      <c r="F24" s="100">
        <v>0.13</v>
      </c>
      <c r="G24" s="100">
        <v>132.62</v>
      </c>
      <c r="H24" s="100">
        <v>42.84</v>
      </c>
      <c r="I24" s="100">
        <v>17.21</v>
      </c>
      <c r="J24" s="100">
        <v>0.23</v>
      </c>
      <c r="K24" s="100">
        <v>158.22999999999999</v>
      </c>
      <c r="L24" s="100">
        <v>13.09</v>
      </c>
      <c r="M24" s="100">
        <v>90.7</v>
      </c>
      <c r="N24" s="100">
        <v>0.9</v>
      </c>
      <c r="O24" s="100">
        <v>0</v>
      </c>
      <c r="P24" s="100">
        <v>1.48</v>
      </c>
      <c r="Q24" s="100">
        <v>12.57</v>
      </c>
      <c r="R24" s="6"/>
      <c r="S24" s="6"/>
      <c r="T24" s="156"/>
      <c r="U24" s="6"/>
    </row>
    <row r="25" spans="1:21" customFormat="1">
      <c r="A25" s="163" t="s">
        <v>2079</v>
      </c>
      <c r="B25" s="100">
        <v>41.61</v>
      </c>
      <c r="C25" s="100">
        <v>27.09</v>
      </c>
      <c r="D25" s="100">
        <v>48.87</v>
      </c>
      <c r="E25" s="100">
        <v>8.3699999999999992</v>
      </c>
      <c r="F25" s="100">
        <v>0.23</v>
      </c>
      <c r="G25" s="100">
        <v>132.62</v>
      </c>
      <c r="H25" s="100">
        <v>42.84</v>
      </c>
      <c r="I25" s="100">
        <v>17.350000000000001</v>
      </c>
      <c r="J25" s="100">
        <v>0.21</v>
      </c>
      <c r="K25" s="100">
        <v>166.71</v>
      </c>
      <c r="L25" s="100">
        <v>12.98</v>
      </c>
      <c r="M25" s="100">
        <v>92.2</v>
      </c>
      <c r="N25" s="100">
        <v>1</v>
      </c>
      <c r="O25" s="100">
        <v>0</v>
      </c>
      <c r="P25" s="100">
        <v>1.49</v>
      </c>
      <c r="Q25" s="100">
        <v>12.57</v>
      </c>
      <c r="R25" s="6"/>
      <c r="S25" s="6"/>
      <c r="T25" s="156"/>
      <c r="U25" s="6"/>
    </row>
    <row r="26" spans="1:21" customFormat="1">
      <c r="A26" s="163" t="s">
        <v>2080</v>
      </c>
      <c r="B26" s="100">
        <v>42.34</v>
      </c>
      <c r="C26" s="100">
        <v>26.74</v>
      </c>
      <c r="D26" s="100">
        <v>49.28</v>
      </c>
      <c r="E26" s="100">
        <v>8.3699999999999992</v>
      </c>
      <c r="F26" s="100">
        <v>0.66</v>
      </c>
      <c r="G26" s="100">
        <v>138.84</v>
      </c>
      <c r="H26" s="100">
        <v>40.25</v>
      </c>
      <c r="I26" s="100">
        <v>17.420000000000002</v>
      </c>
      <c r="J26" s="100">
        <v>0.15</v>
      </c>
      <c r="K26" s="100">
        <v>198.82</v>
      </c>
      <c r="L26" s="100">
        <v>12.79</v>
      </c>
      <c r="M26" s="100">
        <v>95.1</v>
      </c>
      <c r="N26" s="100">
        <v>1</v>
      </c>
      <c r="O26" s="100">
        <v>0</v>
      </c>
      <c r="P26" s="100">
        <v>1.5</v>
      </c>
      <c r="Q26" s="100">
        <v>12.57</v>
      </c>
      <c r="R26" s="6"/>
      <c r="S26" s="6"/>
      <c r="T26" s="156"/>
      <c r="U26" s="6"/>
    </row>
    <row r="27" spans="1:21" customFormat="1">
      <c r="A27" s="163" t="s">
        <v>2081</v>
      </c>
      <c r="B27" s="100">
        <v>43.1</v>
      </c>
      <c r="C27" s="100">
        <v>26.54</v>
      </c>
      <c r="D27" s="100">
        <v>49.78</v>
      </c>
      <c r="E27" s="100">
        <v>8.6999999999999993</v>
      </c>
      <c r="F27" s="100">
        <v>0.82</v>
      </c>
      <c r="G27" s="100">
        <v>142.62</v>
      </c>
      <c r="H27" s="100">
        <v>39.68</v>
      </c>
      <c r="I27" s="100">
        <v>17.53</v>
      </c>
      <c r="J27" s="100">
        <v>0.17</v>
      </c>
      <c r="K27" s="100">
        <v>226.86</v>
      </c>
      <c r="L27" s="100">
        <v>12.56</v>
      </c>
      <c r="M27" s="100">
        <v>99.72</v>
      </c>
      <c r="N27" s="100">
        <v>1.1000000000000001</v>
      </c>
      <c r="O27" s="100">
        <v>0</v>
      </c>
      <c r="P27" s="100">
        <v>1.5</v>
      </c>
      <c r="Q27" s="100">
        <v>12.57</v>
      </c>
      <c r="R27" s="6"/>
      <c r="S27" s="6"/>
      <c r="T27" s="156"/>
      <c r="U27" s="6"/>
    </row>
    <row r="28" spans="1:21" customFormat="1">
      <c r="A28" s="163" t="s">
        <v>2082</v>
      </c>
      <c r="B28" s="100">
        <v>43.68</v>
      </c>
      <c r="C28" s="100">
        <v>26.42</v>
      </c>
      <c r="D28" s="100">
        <v>50.18</v>
      </c>
      <c r="E28" s="100">
        <v>8.41</v>
      </c>
      <c r="F28" s="100">
        <v>1.2</v>
      </c>
      <c r="G28" s="100">
        <v>142.62</v>
      </c>
      <c r="H28" s="100">
        <v>39.68</v>
      </c>
      <c r="I28" s="100">
        <v>17.66</v>
      </c>
      <c r="J28" s="100">
        <v>0.13</v>
      </c>
      <c r="K28" s="100">
        <v>171.45</v>
      </c>
      <c r="L28" s="100">
        <v>12.25</v>
      </c>
      <c r="M28" s="100">
        <v>99.08</v>
      </c>
      <c r="N28" s="100">
        <v>1.2</v>
      </c>
      <c r="O28" s="100">
        <v>0</v>
      </c>
      <c r="P28" s="100">
        <v>1.51</v>
      </c>
      <c r="Q28" s="100">
        <v>12.57</v>
      </c>
      <c r="R28" s="6"/>
      <c r="S28" s="6"/>
      <c r="T28" s="156"/>
      <c r="U28" s="6"/>
    </row>
    <row r="29" spans="1:21" customFormat="1">
      <c r="A29" s="163" t="s">
        <v>2083</v>
      </c>
      <c r="B29" s="100">
        <v>43.95</v>
      </c>
      <c r="C29" s="100">
        <v>26.07</v>
      </c>
      <c r="D29" s="100">
        <v>50.21</v>
      </c>
      <c r="E29" s="100">
        <v>8.7899999999999991</v>
      </c>
      <c r="F29" s="100">
        <v>1.19</v>
      </c>
      <c r="G29" s="100">
        <v>142.62</v>
      </c>
      <c r="H29" s="100">
        <v>39.68</v>
      </c>
      <c r="I29" s="100">
        <v>17.760000000000002</v>
      </c>
      <c r="J29" s="100">
        <v>0.16</v>
      </c>
      <c r="K29" s="100">
        <v>165.68</v>
      </c>
      <c r="L29" s="100">
        <v>12.13</v>
      </c>
      <c r="M29" s="100">
        <v>96.89</v>
      </c>
      <c r="N29" s="100">
        <v>1</v>
      </c>
      <c r="O29" s="100">
        <v>0</v>
      </c>
      <c r="P29" s="100">
        <v>1.5</v>
      </c>
      <c r="Q29" s="100">
        <v>12.57</v>
      </c>
      <c r="R29" s="6"/>
      <c r="S29" s="6"/>
      <c r="T29" s="156"/>
      <c r="U29" s="6"/>
    </row>
    <row r="30" spans="1:21" customFormat="1">
      <c r="A30" s="163" t="s">
        <v>2084</v>
      </c>
      <c r="B30" s="100">
        <v>43.52</v>
      </c>
      <c r="C30" s="100">
        <v>25.69</v>
      </c>
      <c r="D30" s="100">
        <v>49.67</v>
      </c>
      <c r="E30" s="100">
        <v>8.94</v>
      </c>
      <c r="F30" s="100">
        <v>1.07</v>
      </c>
      <c r="G30" s="100">
        <v>139.12</v>
      </c>
      <c r="H30" s="100">
        <v>36.72</v>
      </c>
      <c r="I30" s="100">
        <v>17.79</v>
      </c>
      <c r="J30" s="100">
        <v>0.2</v>
      </c>
      <c r="K30" s="100">
        <v>153.87</v>
      </c>
      <c r="L30" s="100">
        <v>12.12</v>
      </c>
      <c r="M30" s="100">
        <v>91.39</v>
      </c>
      <c r="N30" s="100">
        <v>1</v>
      </c>
      <c r="O30" s="100">
        <v>0</v>
      </c>
      <c r="P30" s="100">
        <v>1.49</v>
      </c>
      <c r="Q30" s="100">
        <v>12.57</v>
      </c>
      <c r="R30" s="6"/>
      <c r="S30" s="6"/>
      <c r="T30" s="156"/>
      <c r="U30" s="6"/>
    </row>
    <row r="31" spans="1:21" customFormat="1">
      <c r="A31" s="163" t="s">
        <v>2085</v>
      </c>
      <c r="B31" s="100">
        <v>42.57</v>
      </c>
      <c r="C31" s="100">
        <v>25.1</v>
      </c>
      <c r="D31" s="100">
        <v>48.6</v>
      </c>
      <c r="E31" s="100">
        <v>8.26</v>
      </c>
      <c r="F31" s="100">
        <v>0.36</v>
      </c>
      <c r="G31" s="100">
        <v>136.9</v>
      </c>
      <c r="H31" s="100">
        <v>36.07</v>
      </c>
      <c r="I31" s="100">
        <v>17.72</v>
      </c>
      <c r="J31" s="100">
        <v>0.17</v>
      </c>
      <c r="K31" s="100">
        <v>171.33</v>
      </c>
      <c r="L31" s="100">
        <v>12.04</v>
      </c>
      <c r="M31" s="100">
        <v>91.91</v>
      </c>
      <c r="N31" s="100">
        <v>1</v>
      </c>
      <c r="O31" s="100">
        <v>0</v>
      </c>
      <c r="P31" s="100">
        <v>1.48</v>
      </c>
      <c r="Q31" s="100">
        <v>12.57</v>
      </c>
      <c r="R31" s="6"/>
      <c r="S31" s="6"/>
      <c r="T31" s="156"/>
      <c r="U31" s="6"/>
    </row>
    <row r="32" spans="1:21" customFormat="1">
      <c r="A32" s="163" t="s">
        <v>2086</v>
      </c>
      <c r="B32" s="100">
        <v>42.01</v>
      </c>
      <c r="C32" s="100">
        <v>24.55</v>
      </c>
      <c r="D32" s="100">
        <v>47.86</v>
      </c>
      <c r="E32" s="100">
        <v>8.7200000000000006</v>
      </c>
      <c r="F32" s="100">
        <v>0.41</v>
      </c>
      <c r="G32" s="100">
        <v>136.9</v>
      </c>
      <c r="H32" s="100">
        <v>36.07</v>
      </c>
      <c r="I32" s="100">
        <v>17.73</v>
      </c>
      <c r="J32" s="100">
        <v>0.16</v>
      </c>
      <c r="K32" s="100">
        <v>183.81</v>
      </c>
      <c r="L32" s="100">
        <v>11.89</v>
      </c>
      <c r="M32" s="100">
        <v>92.57</v>
      </c>
      <c r="N32" s="100">
        <v>1</v>
      </c>
      <c r="O32" s="100">
        <v>0</v>
      </c>
      <c r="P32" s="100">
        <v>1.48</v>
      </c>
      <c r="Q32" s="100">
        <v>12.57</v>
      </c>
      <c r="R32" s="6"/>
      <c r="S32" s="6"/>
      <c r="T32" s="156"/>
      <c r="U32" s="6"/>
    </row>
    <row r="33" spans="1:21" customFormat="1">
      <c r="A33" s="163" t="s">
        <v>2087</v>
      </c>
      <c r="B33" s="100">
        <v>41.63</v>
      </c>
      <c r="C33" s="100">
        <v>24.33</v>
      </c>
      <c r="D33" s="100">
        <v>47.45</v>
      </c>
      <c r="E33" s="100">
        <v>8.6999999999999993</v>
      </c>
      <c r="F33" s="100">
        <v>1.1399999999999999</v>
      </c>
      <c r="G33" s="100">
        <v>136.9</v>
      </c>
      <c r="H33" s="100">
        <v>36.07</v>
      </c>
      <c r="I33" s="100">
        <v>17.649999999999999</v>
      </c>
      <c r="J33" s="100">
        <v>0.17</v>
      </c>
      <c r="K33" s="100">
        <v>200.78</v>
      </c>
      <c r="L33" s="100">
        <v>11.72</v>
      </c>
      <c r="M33" s="100">
        <v>92.57</v>
      </c>
      <c r="N33" s="100">
        <v>1</v>
      </c>
      <c r="O33" s="100">
        <v>0</v>
      </c>
      <c r="P33" s="100">
        <v>1.46</v>
      </c>
      <c r="Q33" s="100">
        <v>12.57</v>
      </c>
      <c r="R33" s="6"/>
      <c r="S33" s="6"/>
      <c r="T33" s="156"/>
      <c r="U33" s="6"/>
    </row>
    <row r="34" spans="1:21" customFormat="1">
      <c r="A34" s="163" t="s">
        <v>2088</v>
      </c>
      <c r="B34" s="100">
        <v>41.31</v>
      </c>
      <c r="C34" s="100">
        <v>24.02</v>
      </c>
      <c r="D34" s="100">
        <v>47.03</v>
      </c>
      <c r="E34" s="100">
        <v>8.3800000000000008</v>
      </c>
      <c r="F34" s="100">
        <v>0.42</v>
      </c>
      <c r="G34" s="100">
        <v>138.25</v>
      </c>
      <c r="H34" s="100">
        <v>36.409999999999997</v>
      </c>
      <c r="I34" s="100">
        <v>17.579999999999998</v>
      </c>
      <c r="J34" s="100">
        <v>0.12</v>
      </c>
      <c r="K34" s="100">
        <v>216.14</v>
      </c>
      <c r="L34" s="100">
        <v>11.53</v>
      </c>
      <c r="M34" s="100">
        <v>92.77</v>
      </c>
      <c r="N34" s="100">
        <v>1.2</v>
      </c>
      <c r="O34" s="100">
        <v>0</v>
      </c>
      <c r="P34" s="100">
        <v>1.45</v>
      </c>
      <c r="Q34" s="100">
        <v>12.57</v>
      </c>
      <c r="R34" s="6"/>
      <c r="S34" s="6"/>
      <c r="T34" s="156"/>
      <c r="U34" s="6"/>
    </row>
    <row r="35" spans="1:21" customFormat="1">
      <c r="A35" s="163" t="s">
        <v>2089</v>
      </c>
      <c r="B35" s="100">
        <v>40.94</v>
      </c>
      <c r="C35" s="100">
        <v>23.79</v>
      </c>
      <c r="D35" s="100">
        <v>46.61</v>
      </c>
      <c r="E35" s="100">
        <v>8.98</v>
      </c>
      <c r="F35" s="100">
        <v>0.97</v>
      </c>
      <c r="G35" s="100">
        <v>139.07</v>
      </c>
      <c r="H35" s="100">
        <v>36.49</v>
      </c>
      <c r="I35" s="100">
        <v>17.54</v>
      </c>
      <c r="J35" s="100">
        <v>0.16</v>
      </c>
      <c r="K35" s="100">
        <v>221.17</v>
      </c>
      <c r="L35" s="100">
        <v>11.54</v>
      </c>
      <c r="M35" s="100">
        <v>93.6</v>
      </c>
      <c r="N35" s="100">
        <v>2.5</v>
      </c>
      <c r="O35" s="100">
        <v>0</v>
      </c>
      <c r="P35" s="100">
        <v>1.45</v>
      </c>
      <c r="Q35" s="100">
        <v>12.57</v>
      </c>
      <c r="R35" s="6"/>
      <c r="S35" s="6"/>
      <c r="T35" s="156"/>
      <c r="U35" s="6"/>
    </row>
    <row r="36" spans="1:21" customFormat="1">
      <c r="A36" s="163" t="s">
        <v>2090</v>
      </c>
      <c r="B36" s="100">
        <v>40.44</v>
      </c>
      <c r="C36" s="100">
        <v>23.41</v>
      </c>
      <c r="D36" s="100">
        <v>46.01</v>
      </c>
      <c r="E36" s="100">
        <v>8.67</v>
      </c>
      <c r="F36" s="100">
        <v>0.89</v>
      </c>
      <c r="G36" s="100">
        <v>139.07</v>
      </c>
      <c r="H36" s="100">
        <v>36.49</v>
      </c>
      <c r="I36" s="100">
        <v>17.559999999999999</v>
      </c>
      <c r="J36" s="100">
        <v>0.2</v>
      </c>
      <c r="K36" s="100">
        <v>221.82</v>
      </c>
      <c r="L36" s="100">
        <v>11.36</v>
      </c>
      <c r="M36" s="100">
        <v>94.46</v>
      </c>
      <c r="N36" s="100">
        <v>6.5</v>
      </c>
      <c r="O36" s="100">
        <v>0</v>
      </c>
      <c r="P36" s="100">
        <v>1.44</v>
      </c>
      <c r="Q36" s="100">
        <v>12.57</v>
      </c>
      <c r="R36" s="6"/>
      <c r="S36" s="6"/>
      <c r="T36" s="156"/>
      <c r="U36" s="6"/>
    </row>
    <row r="37" spans="1:21" customFormat="1">
      <c r="A37" s="163" t="s">
        <v>2091</v>
      </c>
      <c r="B37" s="100">
        <v>39.78</v>
      </c>
      <c r="C37" s="100">
        <v>23.26</v>
      </c>
      <c r="D37" s="100">
        <v>45.4</v>
      </c>
      <c r="E37" s="100">
        <v>8.3699999999999992</v>
      </c>
      <c r="F37" s="100">
        <v>0.75</v>
      </c>
      <c r="G37" s="100">
        <v>139.07</v>
      </c>
      <c r="H37" s="100">
        <v>36.49</v>
      </c>
      <c r="I37" s="100">
        <v>17.47</v>
      </c>
      <c r="J37" s="100">
        <v>0.09</v>
      </c>
      <c r="K37" s="100">
        <v>219.08</v>
      </c>
      <c r="L37" s="100">
        <v>11.46</v>
      </c>
      <c r="M37" s="100">
        <v>94.47</v>
      </c>
      <c r="N37" s="100">
        <v>11.7</v>
      </c>
      <c r="O37" s="100">
        <v>0</v>
      </c>
      <c r="P37" s="100">
        <v>1.42</v>
      </c>
      <c r="Q37" s="100">
        <v>12.57</v>
      </c>
      <c r="R37" s="6"/>
      <c r="S37" s="6"/>
      <c r="T37" s="156"/>
      <c r="U37" s="6"/>
    </row>
    <row r="38" spans="1:21" customFormat="1">
      <c r="A38" s="163" t="s">
        <v>2092</v>
      </c>
      <c r="B38" s="100">
        <v>39.1</v>
      </c>
      <c r="C38" s="100">
        <v>23.14</v>
      </c>
      <c r="D38" s="100">
        <v>44.79</v>
      </c>
      <c r="E38" s="100">
        <v>7.95</v>
      </c>
      <c r="F38" s="100">
        <v>0.67</v>
      </c>
      <c r="G38" s="100">
        <v>133.56</v>
      </c>
      <c r="H38" s="100">
        <v>34.020000000000003</v>
      </c>
      <c r="I38" s="100">
        <v>17.37</v>
      </c>
      <c r="J38" s="100">
        <v>0.11</v>
      </c>
      <c r="K38" s="100">
        <v>179.59</v>
      </c>
      <c r="L38" s="100">
        <v>12.01</v>
      </c>
      <c r="M38" s="100">
        <v>94.61</v>
      </c>
      <c r="N38" s="100">
        <v>19</v>
      </c>
      <c r="O38" s="100">
        <v>0</v>
      </c>
      <c r="P38" s="100">
        <v>1.42</v>
      </c>
      <c r="Q38" s="100">
        <v>12.57</v>
      </c>
      <c r="R38" s="6"/>
      <c r="S38" s="6"/>
      <c r="T38" s="156"/>
      <c r="U38" s="6"/>
    </row>
    <row r="39" spans="1:21" customFormat="1">
      <c r="A39" s="163" t="s">
        <v>2093</v>
      </c>
      <c r="B39" s="100">
        <v>38.380000000000003</v>
      </c>
      <c r="C39" s="100">
        <v>23.04</v>
      </c>
      <c r="D39" s="100">
        <v>44.17</v>
      </c>
      <c r="E39" s="100">
        <v>8.1</v>
      </c>
      <c r="F39" s="100">
        <v>0.4</v>
      </c>
      <c r="G39" s="100">
        <v>130.22</v>
      </c>
      <c r="H39" s="100">
        <v>33.49</v>
      </c>
      <c r="I39" s="100">
        <v>17.22</v>
      </c>
      <c r="J39" s="100">
        <v>0.14000000000000001</v>
      </c>
      <c r="K39" s="100">
        <v>150.91999999999999</v>
      </c>
      <c r="L39" s="100">
        <v>12.61</v>
      </c>
      <c r="M39" s="100">
        <v>92.8</v>
      </c>
      <c r="N39" s="100">
        <v>26.8</v>
      </c>
      <c r="O39" s="100">
        <v>0</v>
      </c>
      <c r="P39" s="100">
        <v>1.41</v>
      </c>
      <c r="Q39" s="100">
        <v>12.57</v>
      </c>
      <c r="R39" s="6"/>
      <c r="S39" s="6"/>
      <c r="T39" s="156"/>
      <c r="U39" s="6"/>
    </row>
    <row r="40" spans="1:21" customFormat="1">
      <c r="A40" s="163" t="s">
        <v>2094</v>
      </c>
      <c r="B40" s="100">
        <v>37.49</v>
      </c>
      <c r="C40" s="100">
        <v>23.31</v>
      </c>
      <c r="D40" s="100">
        <v>43.59</v>
      </c>
      <c r="E40" s="100">
        <v>8.17</v>
      </c>
      <c r="F40" s="100">
        <v>1.44</v>
      </c>
      <c r="G40" s="100">
        <v>130.22</v>
      </c>
      <c r="H40" s="100">
        <v>33.49</v>
      </c>
      <c r="I40" s="100">
        <v>17.190000000000001</v>
      </c>
      <c r="J40" s="100">
        <v>0.13</v>
      </c>
      <c r="K40" s="100">
        <v>157.08000000000001</v>
      </c>
      <c r="L40" s="100">
        <v>13.45</v>
      </c>
      <c r="M40" s="100">
        <v>87.84</v>
      </c>
      <c r="N40" s="100">
        <v>34.200000000000003</v>
      </c>
      <c r="O40" s="100">
        <v>0</v>
      </c>
      <c r="P40" s="100">
        <v>1.42</v>
      </c>
      <c r="Q40" s="100">
        <v>12.57</v>
      </c>
      <c r="R40" s="6"/>
      <c r="S40" s="6"/>
      <c r="T40" s="156"/>
      <c r="U40" s="6"/>
    </row>
    <row r="41" spans="1:21" customFormat="1">
      <c r="A41" s="163" t="s">
        <v>2095</v>
      </c>
      <c r="B41" s="100">
        <v>36.25</v>
      </c>
      <c r="C41" s="100">
        <v>23.89</v>
      </c>
      <c r="D41" s="100">
        <v>42.9</v>
      </c>
      <c r="E41" s="100">
        <v>8.5</v>
      </c>
      <c r="F41" s="100">
        <v>0.21</v>
      </c>
      <c r="G41" s="100">
        <v>130.22</v>
      </c>
      <c r="H41" s="100">
        <v>33.49</v>
      </c>
      <c r="I41" s="100">
        <v>17.2</v>
      </c>
      <c r="J41" s="100">
        <v>0.06</v>
      </c>
      <c r="K41" s="100">
        <v>119.13</v>
      </c>
      <c r="L41" s="100">
        <v>15.02</v>
      </c>
      <c r="M41" s="100">
        <v>76.069999999999993</v>
      </c>
      <c r="N41" s="100">
        <v>70.099999999999994</v>
      </c>
      <c r="O41" s="100">
        <v>0</v>
      </c>
      <c r="P41" s="100">
        <v>1.42</v>
      </c>
      <c r="Q41" s="100">
        <v>12.57</v>
      </c>
      <c r="R41" s="6"/>
      <c r="S41" s="6"/>
      <c r="T41" s="156"/>
      <c r="U41" s="6"/>
    </row>
    <row r="42" spans="1:21" customFormat="1">
      <c r="A42" s="163" t="s">
        <v>2096</v>
      </c>
      <c r="B42" s="100">
        <v>34.72</v>
      </c>
      <c r="C42" s="100">
        <v>24.35</v>
      </c>
      <c r="D42" s="100">
        <v>41.92</v>
      </c>
      <c r="E42" s="100">
        <v>8.58</v>
      </c>
      <c r="F42" s="100">
        <v>0.11</v>
      </c>
      <c r="G42" s="100">
        <v>129.05000000000001</v>
      </c>
      <c r="H42" s="100">
        <v>35.090000000000003</v>
      </c>
      <c r="I42" s="100">
        <v>17.329999999999998</v>
      </c>
      <c r="J42" s="100">
        <v>0.05</v>
      </c>
      <c r="K42" s="100">
        <v>249.55</v>
      </c>
      <c r="L42" s="100">
        <v>16.989999999999998</v>
      </c>
      <c r="M42" s="100">
        <v>61.09</v>
      </c>
      <c r="N42" s="100">
        <v>204.3</v>
      </c>
      <c r="O42" s="100">
        <v>0</v>
      </c>
      <c r="P42" s="100">
        <v>1.41</v>
      </c>
      <c r="Q42" s="100">
        <v>12.57</v>
      </c>
      <c r="R42" s="6"/>
      <c r="S42" s="6"/>
      <c r="T42" s="156"/>
      <c r="U42" s="6"/>
    </row>
    <row r="43" spans="1:21" customFormat="1">
      <c r="A43" s="163" t="s">
        <v>2097</v>
      </c>
      <c r="B43" s="100">
        <v>32.92</v>
      </c>
      <c r="C43" s="100">
        <v>24.93</v>
      </c>
      <c r="D43" s="100">
        <v>40.78</v>
      </c>
      <c r="E43" s="100">
        <v>8.9499999999999993</v>
      </c>
      <c r="F43" s="100">
        <v>0.99</v>
      </c>
      <c r="G43" s="100">
        <v>128.31</v>
      </c>
      <c r="H43" s="100">
        <v>35.71</v>
      </c>
      <c r="I43" s="100">
        <v>17.37</v>
      </c>
      <c r="J43" s="100">
        <v>0.04</v>
      </c>
      <c r="K43" s="100">
        <v>220.11</v>
      </c>
      <c r="L43" s="100">
        <v>19.11</v>
      </c>
      <c r="M43" s="100">
        <v>50.02</v>
      </c>
      <c r="N43" s="100">
        <v>236.3</v>
      </c>
      <c r="O43" s="100">
        <v>0</v>
      </c>
      <c r="P43" s="100">
        <v>1.38</v>
      </c>
      <c r="Q43" s="100">
        <v>12.57</v>
      </c>
      <c r="R43" s="6"/>
      <c r="S43" s="6"/>
      <c r="T43" s="156"/>
      <c r="U43" s="6"/>
    </row>
    <row r="44" spans="1:21" customFormat="1">
      <c r="A44" s="163" t="s">
        <v>2098</v>
      </c>
      <c r="B44" s="100">
        <v>30.79</v>
      </c>
      <c r="C44" s="100">
        <v>25.93</v>
      </c>
      <c r="D44" s="100">
        <v>39.590000000000003</v>
      </c>
      <c r="E44" s="100">
        <v>8.44</v>
      </c>
      <c r="F44" s="100">
        <v>0.64</v>
      </c>
      <c r="G44" s="100">
        <v>128.31</v>
      </c>
      <c r="H44" s="100">
        <v>35.71</v>
      </c>
      <c r="I44" s="100">
        <v>17.25</v>
      </c>
      <c r="J44" s="100">
        <v>0.19</v>
      </c>
      <c r="K44" s="100">
        <v>26.76</v>
      </c>
      <c r="L44" s="100">
        <v>20.18</v>
      </c>
      <c r="M44" s="100">
        <v>45.37</v>
      </c>
      <c r="N44" s="100">
        <v>195.9</v>
      </c>
      <c r="O44" s="100">
        <v>0</v>
      </c>
      <c r="P44" s="100">
        <v>1.35</v>
      </c>
      <c r="Q44" s="100">
        <v>12.57</v>
      </c>
      <c r="R44" s="6"/>
      <c r="S44" s="6"/>
      <c r="T44" s="156"/>
      <c r="U44" s="6"/>
    </row>
    <row r="45" spans="1:21" customFormat="1">
      <c r="A45" s="163" t="s">
        <v>2099</v>
      </c>
      <c r="B45" s="100">
        <v>28.6</v>
      </c>
      <c r="C45" s="100">
        <v>26.66</v>
      </c>
      <c r="D45" s="100">
        <v>38.22</v>
      </c>
      <c r="E45" s="100">
        <v>8.75</v>
      </c>
      <c r="F45" s="100">
        <v>2.2400000000000002</v>
      </c>
      <c r="G45" s="100">
        <v>128.31</v>
      </c>
      <c r="H45" s="100">
        <v>35.71</v>
      </c>
      <c r="I45" s="100">
        <v>16.95</v>
      </c>
      <c r="J45" s="100">
        <v>0.69</v>
      </c>
      <c r="K45" s="100">
        <v>53.15</v>
      </c>
      <c r="L45" s="100">
        <v>21.23</v>
      </c>
      <c r="M45" s="100">
        <v>39.28</v>
      </c>
      <c r="N45" s="100">
        <v>292.8</v>
      </c>
      <c r="O45" s="100">
        <v>0</v>
      </c>
      <c r="P45" s="100">
        <v>1.32</v>
      </c>
      <c r="Q45" s="100">
        <v>12.57</v>
      </c>
      <c r="R45" s="6"/>
      <c r="S45" s="6"/>
      <c r="T45" s="156"/>
      <c r="U45" s="6"/>
    </row>
    <row r="46" spans="1:21" customFormat="1">
      <c r="A46" s="163" t="s">
        <v>2100</v>
      </c>
      <c r="B46" s="100">
        <v>26.83</v>
      </c>
      <c r="C46" s="100">
        <v>27.65</v>
      </c>
      <c r="D46" s="100">
        <v>37.32</v>
      </c>
      <c r="E46" s="100">
        <v>9.1300000000000008</v>
      </c>
      <c r="F46" s="100">
        <v>0.54</v>
      </c>
      <c r="G46" s="100">
        <v>114.76</v>
      </c>
      <c r="H46" s="100">
        <v>37.15</v>
      </c>
      <c r="I46" s="100">
        <v>16.63</v>
      </c>
      <c r="J46" s="100">
        <v>0.75</v>
      </c>
      <c r="K46" s="100">
        <v>56.48</v>
      </c>
      <c r="L46" s="100">
        <v>22.1</v>
      </c>
      <c r="M46" s="100">
        <v>38.93</v>
      </c>
      <c r="N46" s="100">
        <v>307.2</v>
      </c>
      <c r="O46" s="100">
        <v>0</v>
      </c>
      <c r="P46" s="100">
        <v>1.29</v>
      </c>
      <c r="Q46" s="100">
        <v>12.57</v>
      </c>
      <c r="R46" s="6"/>
      <c r="S46" s="6"/>
      <c r="T46" s="156"/>
      <c r="U46" s="6"/>
    </row>
    <row r="47" spans="1:21" customFormat="1">
      <c r="A47" s="163" t="s">
        <v>2101</v>
      </c>
      <c r="B47" s="100">
        <v>25.14</v>
      </c>
      <c r="C47" s="100">
        <v>28.59</v>
      </c>
      <c r="D47" s="100">
        <v>36.450000000000003</v>
      </c>
      <c r="E47" s="100">
        <v>8.75</v>
      </c>
      <c r="F47" s="100">
        <v>0.35</v>
      </c>
      <c r="G47" s="100">
        <v>106.53</v>
      </c>
      <c r="H47" s="100">
        <v>37.44</v>
      </c>
      <c r="I47" s="100">
        <v>16.2</v>
      </c>
      <c r="J47" s="100">
        <v>0.68</v>
      </c>
      <c r="K47" s="100">
        <v>39.17</v>
      </c>
      <c r="L47" s="100">
        <v>22.52</v>
      </c>
      <c r="M47" s="100">
        <v>37.5</v>
      </c>
      <c r="N47" s="100">
        <v>319.8</v>
      </c>
      <c r="O47" s="100">
        <v>0</v>
      </c>
      <c r="P47" s="100">
        <v>1.26</v>
      </c>
      <c r="Q47" s="100">
        <v>12.57</v>
      </c>
      <c r="R47" s="6"/>
      <c r="S47" s="6"/>
      <c r="T47" s="156"/>
      <c r="U47" s="6"/>
    </row>
    <row r="48" spans="1:21" customFormat="1">
      <c r="A48" s="163" t="s">
        <v>2102</v>
      </c>
      <c r="B48" s="100">
        <v>23.29</v>
      </c>
      <c r="C48" s="100">
        <v>29.61</v>
      </c>
      <c r="D48" s="100">
        <v>35.5</v>
      </c>
      <c r="E48" s="100">
        <v>8.7899999999999991</v>
      </c>
      <c r="F48" s="100">
        <v>0.73</v>
      </c>
      <c r="G48" s="100">
        <v>106.53</v>
      </c>
      <c r="H48" s="100">
        <v>37.44</v>
      </c>
      <c r="I48" s="100">
        <v>15.86</v>
      </c>
      <c r="J48" s="100">
        <v>0.7</v>
      </c>
      <c r="K48" s="100">
        <v>58.79</v>
      </c>
      <c r="L48" s="100">
        <v>23.48</v>
      </c>
      <c r="M48" s="100">
        <v>35.74</v>
      </c>
      <c r="N48" s="100">
        <v>334.4</v>
      </c>
      <c r="O48" s="100">
        <v>0</v>
      </c>
      <c r="P48" s="100">
        <v>1.24</v>
      </c>
      <c r="Q48" s="100">
        <v>12.57</v>
      </c>
      <c r="R48" s="6"/>
      <c r="S48" s="6"/>
      <c r="T48" s="156"/>
      <c r="U48" s="6"/>
    </row>
    <row r="49" spans="1:21" customFormat="1">
      <c r="A49" s="163" t="s">
        <v>2103</v>
      </c>
      <c r="B49" s="100">
        <v>21.45</v>
      </c>
      <c r="C49" s="100">
        <v>29.99</v>
      </c>
      <c r="D49" s="100">
        <v>34.22</v>
      </c>
      <c r="E49" s="100">
        <v>8</v>
      </c>
      <c r="F49" s="100">
        <v>0.36</v>
      </c>
      <c r="G49" s="100">
        <v>106.53</v>
      </c>
      <c r="H49" s="100">
        <v>37.44</v>
      </c>
      <c r="I49" s="100">
        <v>15.52</v>
      </c>
      <c r="J49" s="100">
        <v>0.67</v>
      </c>
      <c r="K49" s="100">
        <v>61.37</v>
      </c>
      <c r="L49" s="100">
        <v>24.33</v>
      </c>
      <c r="M49" s="100">
        <v>34.57</v>
      </c>
      <c r="N49" s="100">
        <v>321.39999999999998</v>
      </c>
      <c r="O49" s="100">
        <v>0</v>
      </c>
      <c r="P49" s="100">
        <v>1.2</v>
      </c>
      <c r="Q49" s="100">
        <v>12.57</v>
      </c>
      <c r="R49" s="6"/>
      <c r="S49" s="6"/>
      <c r="T49" s="156"/>
      <c r="U49" s="6"/>
    </row>
    <row r="50" spans="1:21" customFormat="1">
      <c r="A50" s="163" t="s">
        <v>2104</v>
      </c>
      <c r="B50" s="100">
        <v>19.68</v>
      </c>
      <c r="C50" s="100">
        <v>29.96</v>
      </c>
      <c r="D50" s="100">
        <v>32.78</v>
      </c>
      <c r="E50" s="100">
        <v>9.41</v>
      </c>
      <c r="F50" s="100">
        <v>0.32</v>
      </c>
      <c r="G50" s="100">
        <v>96.28</v>
      </c>
      <c r="H50" s="100">
        <v>36.68</v>
      </c>
      <c r="I50" s="100">
        <v>15.09</v>
      </c>
      <c r="J50" s="100">
        <v>0.73</v>
      </c>
      <c r="K50" s="100">
        <v>61.45</v>
      </c>
      <c r="L50" s="100">
        <v>24.63</v>
      </c>
      <c r="M50" s="100">
        <v>34.53</v>
      </c>
      <c r="N50" s="100">
        <v>401.2</v>
      </c>
      <c r="O50" s="100">
        <v>0</v>
      </c>
      <c r="P50" s="100">
        <v>1.1599999999999999</v>
      </c>
      <c r="Q50" s="100">
        <v>12.57</v>
      </c>
      <c r="R50" s="6"/>
      <c r="S50" s="6"/>
      <c r="T50" s="156"/>
      <c r="U50" s="6"/>
    </row>
    <row r="51" spans="1:21" customFormat="1">
      <c r="A51" s="163" t="s">
        <v>2105</v>
      </c>
      <c r="B51" s="100">
        <v>18.510000000000002</v>
      </c>
      <c r="C51" s="100">
        <v>29.91</v>
      </c>
      <c r="D51" s="100">
        <v>31.82</v>
      </c>
      <c r="E51" s="100">
        <v>8.85</v>
      </c>
      <c r="F51" s="100">
        <v>0.66</v>
      </c>
      <c r="G51" s="100">
        <v>90.05</v>
      </c>
      <c r="H51" s="100">
        <v>36.53</v>
      </c>
      <c r="I51" s="100">
        <v>14.61</v>
      </c>
      <c r="J51" s="100">
        <v>0.62</v>
      </c>
      <c r="K51" s="100">
        <v>76.73</v>
      </c>
      <c r="L51" s="100">
        <v>25.46</v>
      </c>
      <c r="M51" s="100">
        <v>33.43</v>
      </c>
      <c r="N51" s="100">
        <v>416.3</v>
      </c>
      <c r="O51" s="100">
        <v>0</v>
      </c>
      <c r="P51" s="100">
        <v>1.1299999999999999</v>
      </c>
      <c r="Q51" s="100">
        <v>12.57</v>
      </c>
      <c r="R51" s="6"/>
      <c r="S51" s="6"/>
      <c r="T51" s="156"/>
      <c r="U51" s="6"/>
    </row>
    <row r="52" spans="1:21" customFormat="1">
      <c r="A52" s="163" t="s">
        <v>2106</v>
      </c>
      <c r="B52" s="100">
        <v>17.47</v>
      </c>
      <c r="C52" s="100">
        <v>29.15</v>
      </c>
      <c r="D52" s="100">
        <v>30.59</v>
      </c>
      <c r="E52" s="100">
        <v>9.35</v>
      </c>
      <c r="F52" s="100">
        <v>0.64</v>
      </c>
      <c r="G52" s="100">
        <v>90.05</v>
      </c>
      <c r="H52" s="100">
        <v>36.53</v>
      </c>
      <c r="I52" s="100">
        <v>14.27</v>
      </c>
      <c r="J52" s="100">
        <v>0.47</v>
      </c>
      <c r="K52" s="100">
        <v>94.03</v>
      </c>
      <c r="L52" s="100">
        <v>25.85</v>
      </c>
      <c r="M52" s="100">
        <v>32.65</v>
      </c>
      <c r="N52" s="100">
        <v>427.6</v>
      </c>
      <c r="O52" s="100">
        <v>0</v>
      </c>
      <c r="P52" s="100">
        <v>1.0900000000000001</v>
      </c>
      <c r="Q52" s="100">
        <v>12.57</v>
      </c>
      <c r="R52" s="6"/>
      <c r="S52" s="6"/>
      <c r="T52" s="156"/>
      <c r="U52" s="6"/>
    </row>
    <row r="53" spans="1:21" customFormat="1">
      <c r="A53" s="163" t="s">
        <v>2107</v>
      </c>
      <c r="B53" s="100">
        <v>16.239999999999998</v>
      </c>
      <c r="C53" s="100">
        <v>28.42</v>
      </c>
      <c r="D53" s="100">
        <v>29.22</v>
      </c>
      <c r="E53" s="100">
        <v>8.85</v>
      </c>
      <c r="F53" s="100">
        <v>0.82</v>
      </c>
      <c r="G53" s="100">
        <v>90.05</v>
      </c>
      <c r="H53" s="100">
        <v>36.53</v>
      </c>
      <c r="I53" s="100">
        <v>13.98</v>
      </c>
      <c r="J53" s="100">
        <v>0.62</v>
      </c>
      <c r="K53" s="100">
        <v>68.010000000000005</v>
      </c>
      <c r="L53" s="100">
        <v>26.15</v>
      </c>
      <c r="M53" s="100">
        <v>32.119999999999997</v>
      </c>
      <c r="N53" s="100">
        <v>422.5</v>
      </c>
      <c r="O53" s="100">
        <v>0</v>
      </c>
      <c r="P53" s="100">
        <v>1.05</v>
      </c>
      <c r="Q53" s="100">
        <v>12.57</v>
      </c>
      <c r="R53" s="6"/>
      <c r="S53" s="6"/>
      <c r="T53" s="156"/>
      <c r="U53" s="6"/>
    </row>
    <row r="54" spans="1:21" customFormat="1">
      <c r="A54" s="163" t="s">
        <v>2108</v>
      </c>
      <c r="B54" s="100">
        <v>15.21</v>
      </c>
      <c r="C54" s="100">
        <v>28</v>
      </c>
      <c r="D54" s="100">
        <v>28.18</v>
      </c>
      <c r="E54" s="100">
        <v>8.99</v>
      </c>
      <c r="F54" s="100">
        <v>0.08</v>
      </c>
      <c r="G54" s="100">
        <v>81.89</v>
      </c>
      <c r="H54" s="100">
        <v>34.47</v>
      </c>
      <c r="I54" s="100">
        <v>13.65</v>
      </c>
      <c r="J54" s="100">
        <v>0.54</v>
      </c>
      <c r="K54" s="100">
        <v>64.63</v>
      </c>
      <c r="L54" s="100">
        <v>26.48</v>
      </c>
      <c r="M54" s="100">
        <v>31.7</v>
      </c>
      <c r="N54" s="100">
        <v>333.1</v>
      </c>
      <c r="O54" s="100">
        <v>0</v>
      </c>
      <c r="P54" s="100">
        <v>1.03</v>
      </c>
      <c r="Q54" s="100">
        <v>12.57</v>
      </c>
      <c r="R54" s="6"/>
      <c r="S54" s="6"/>
      <c r="T54" s="156"/>
      <c r="U54" s="6"/>
    </row>
    <row r="55" spans="1:21" customFormat="1">
      <c r="A55" s="163" t="s">
        <v>2109</v>
      </c>
      <c r="B55" s="100">
        <v>14.14</v>
      </c>
      <c r="C55" s="100">
        <v>27.68</v>
      </c>
      <c r="D55" s="100">
        <v>27.15</v>
      </c>
      <c r="E55" s="100">
        <v>9.44</v>
      </c>
      <c r="F55" s="100">
        <v>0.53</v>
      </c>
      <c r="G55" s="100">
        <v>76.94</v>
      </c>
      <c r="H55" s="100">
        <v>34.06</v>
      </c>
      <c r="I55" s="100">
        <v>13.37</v>
      </c>
      <c r="J55" s="100">
        <v>0.53</v>
      </c>
      <c r="K55" s="100">
        <v>19.809999999999999</v>
      </c>
      <c r="L55" s="100">
        <v>26.76</v>
      </c>
      <c r="M55" s="100">
        <v>30.36</v>
      </c>
      <c r="N55" s="100">
        <v>438.1</v>
      </c>
      <c r="O55" s="100">
        <v>0</v>
      </c>
      <c r="P55" s="100">
        <v>1</v>
      </c>
      <c r="Q55" s="100">
        <v>12.57</v>
      </c>
      <c r="R55" s="6"/>
      <c r="S55" s="6"/>
      <c r="T55" s="156"/>
      <c r="U55" s="6"/>
    </row>
    <row r="56" spans="1:21" customFormat="1">
      <c r="A56" s="163" t="s">
        <v>2110</v>
      </c>
      <c r="B56" s="100">
        <v>13.15</v>
      </c>
      <c r="C56" s="100">
        <v>27.34</v>
      </c>
      <c r="D56" s="100">
        <v>26.18</v>
      </c>
      <c r="E56" s="100">
        <v>9</v>
      </c>
      <c r="F56" s="100">
        <v>0.55000000000000004</v>
      </c>
      <c r="G56" s="100">
        <v>76.94</v>
      </c>
      <c r="H56" s="100">
        <v>34.06</v>
      </c>
      <c r="I56" s="100">
        <v>13.1</v>
      </c>
      <c r="J56" s="100">
        <v>0.41</v>
      </c>
      <c r="K56" s="100">
        <v>333.23</v>
      </c>
      <c r="L56" s="100">
        <v>27.22</v>
      </c>
      <c r="M56" s="100">
        <v>28.22</v>
      </c>
      <c r="N56" s="100">
        <v>446</v>
      </c>
      <c r="O56" s="100">
        <v>0</v>
      </c>
      <c r="P56" s="100">
        <v>0.98</v>
      </c>
      <c r="Q56" s="100">
        <v>12.57</v>
      </c>
      <c r="R56" s="6"/>
      <c r="S56" s="6"/>
      <c r="T56" s="156"/>
      <c r="U56" s="6"/>
    </row>
    <row r="57" spans="1:21" customFormat="1">
      <c r="A57" s="163" t="s">
        <v>2111</v>
      </c>
      <c r="B57" s="100">
        <v>12.16</v>
      </c>
      <c r="C57" s="100">
        <v>27.27</v>
      </c>
      <c r="D57" s="100">
        <v>25.35</v>
      </c>
      <c r="E57" s="100">
        <v>9.64</v>
      </c>
      <c r="F57" s="100">
        <v>0.53</v>
      </c>
      <c r="G57" s="100">
        <v>76.94</v>
      </c>
      <c r="H57" s="100">
        <v>34.06</v>
      </c>
      <c r="I57" s="100">
        <v>12.81</v>
      </c>
      <c r="J57" s="100">
        <v>0.61</v>
      </c>
      <c r="K57" s="100">
        <v>44.92</v>
      </c>
      <c r="L57" s="100">
        <v>27.83</v>
      </c>
      <c r="M57" s="100">
        <v>26.97</v>
      </c>
      <c r="N57" s="100">
        <v>445.7</v>
      </c>
      <c r="O57" s="100">
        <v>0</v>
      </c>
      <c r="P57" s="100">
        <v>0.95</v>
      </c>
      <c r="Q57" s="100">
        <v>12.57</v>
      </c>
      <c r="R57" s="6"/>
      <c r="S57" s="6"/>
      <c r="T57" s="156"/>
      <c r="U57" s="6"/>
    </row>
    <row r="58" spans="1:21" customFormat="1">
      <c r="A58" s="163" t="s">
        <v>2112</v>
      </c>
      <c r="B58" s="100">
        <v>11.15</v>
      </c>
      <c r="C58" s="100">
        <v>27.2</v>
      </c>
      <c r="D58" s="100">
        <v>24.51</v>
      </c>
      <c r="E58" s="100">
        <v>9.2899999999999991</v>
      </c>
      <c r="F58" s="100">
        <v>0.1</v>
      </c>
      <c r="G58" s="100">
        <v>68.94</v>
      </c>
      <c r="H58" s="100">
        <v>32.770000000000003</v>
      </c>
      <c r="I58" s="100">
        <v>12.57</v>
      </c>
      <c r="J58" s="100">
        <v>0.61</v>
      </c>
      <c r="K58" s="100">
        <v>16.48</v>
      </c>
      <c r="L58" s="100">
        <v>27.68</v>
      </c>
      <c r="M58" s="100">
        <v>27.5</v>
      </c>
      <c r="N58" s="100">
        <v>387.1</v>
      </c>
      <c r="O58" s="100">
        <v>0</v>
      </c>
      <c r="P58" s="100">
        <v>0.94</v>
      </c>
      <c r="Q58" s="100">
        <v>12.57</v>
      </c>
      <c r="R58" s="6"/>
      <c r="S58" s="6"/>
      <c r="T58" s="156"/>
      <c r="U58" s="6"/>
    </row>
    <row r="59" spans="1:21" customFormat="1">
      <c r="A59" s="163" t="s">
        <v>2113</v>
      </c>
      <c r="B59" s="100">
        <v>10.08</v>
      </c>
      <c r="C59" s="100">
        <v>26.93</v>
      </c>
      <c r="D59" s="100">
        <v>23.5</v>
      </c>
      <c r="E59" s="100">
        <v>8.7899999999999991</v>
      </c>
      <c r="F59" s="100">
        <v>0.53</v>
      </c>
      <c r="G59" s="100">
        <v>64.09</v>
      </c>
      <c r="H59" s="100">
        <v>32.51</v>
      </c>
      <c r="I59" s="100">
        <v>12.24</v>
      </c>
      <c r="J59" s="100">
        <v>0.39</v>
      </c>
      <c r="K59" s="100">
        <v>58.31</v>
      </c>
      <c r="L59" s="100">
        <v>28.26</v>
      </c>
      <c r="M59" s="100">
        <v>26.74</v>
      </c>
      <c r="N59" s="100">
        <v>388.3</v>
      </c>
      <c r="O59" s="100">
        <v>0</v>
      </c>
      <c r="P59" s="100">
        <v>0.91</v>
      </c>
      <c r="Q59" s="100">
        <v>12.57</v>
      </c>
      <c r="R59" s="6"/>
      <c r="S59" s="6"/>
      <c r="T59" s="156"/>
      <c r="U59" s="6"/>
    </row>
    <row r="60" spans="1:21" customFormat="1">
      <c r="A60" s="163" t="s">
        <v>2114</v>
      </c>
      <c r="B60" s="100">
        <v>9.19</v>
      </c>
      <c r="C60" s="100">
        <v>26.57</v>
      </c>
      <c r="D60" s="100">
        <v>22.6</v>
      </c>
      <c r="E60" s="100">
        <v>9.14</v>
      </c>
      <c r="F60" s="100">
        <v>1.1399999999999999</v>
      </c>
      <c r="G60" s="100">
        <v>64.09</v>
      </c>
      <c r="H60" s="100">
        <v>32.51</v>
      </c>
      <c r="I60" s="100">
        <v>12</v>
      </c>
      <c r="J60" s="100">
        <v>0.89</v>
      </c>
      <c r="K60" s="100">
        <v>48.67</v>
      </c>
      <c r="L60" s="100">
        <v>28.23</v>
      </c>
      <c r="M60" s="100">
        <v>25.79</v>
      </c>
      <c r="N60" s="100">
        <v>464.9</v>
      </c>
      <c r="O60" s="100">
        <v>0</v>
      </c>
      <c r="P60" s="100">
        <v>0.88</v>
      </c>
      <c r="Q60" s="100">
        <v>12.57</v>
      </c>
      <c r="R60" s="6"/>
      <c r="S60" s="6"/>
      <c r="T60" s="156"/>
      <c r="U60" s="6"/>
    </row>
    <row r="61" spans="1:21" customFormat="1">
      <c r="A61" s="163" t="s">
        <v>2115</v>
      </c>
      <c r="B61" s="100">
        <v>8.3800000000000008</v>
      </c>
      <c r="C61" s="100">
        <v>26.34</v>
      </c>
      <c r="D61" s="100">
        <v>21.83</v>
      </c>
      <c r="E61" s="100">
        <v>9.3699999999999992</v>
      </c>
      <c r="F61" s="100">
        <v>0.54</v>
      </c>
      <c r="G61" s="100">
        <v>64.09</v>
      </c>
      <c r="H61" s="100">
        <v>32.51</v>
      </c>
      <c r="I61" s="100">
        <v>11.81</v>
      </c>
      <c r="J61" s="100">
        <v>0.77</v>
      </c>
      <c r="K61" s="100">
        <v>23.24</v>
      </c>
      <c r="L61" s="100">
        <v>28.41</v>
      </c>
      <c r="M61" s="100">
        <v>25.43</v>
      </c>
      <c r="N61" s="100">
        <v>446.9</v>
      </c>
      <c r="O61" s="100">
        <v>0</v>
      </c>
      <c r="P61" s="100">
        <v>0.86</v>
      </c>
      <c r="Q61" s="100">
        <v>12.57</v>
      </c>
      <c r="R61" s="6"/>
      <c r="S61" s="6"/>
      <c r="T61" s="156"/>
      <c r="U61" s="6"/>
    </row>
    <row r="62" spans="1:21" customFormat="1">
      <c r="A62" s="163" t="s">
        <v>2116</v>
      </c>
      <c r="B62" s="100">
        <v>7.72</v>
      </c>
      <c r="C62" s="100">
        <v>25.9</v>
      </c>
      <c r="D62" s="100">
        <v>21.07</v>
      </c>
      <c r="E62" s="100">
        <v>9.1999999999999993</v>
      </c>
      <c r="F62" s="100">
        <v>0.67</v>
      </c>
      <c r="G62" s="100">
        <v>57.04</v>
      </c>
      <c r="H62" s="100">
        <v>32.49</v>
      </c>
      <c r="I62" s="100">
        <v>11.55</v>
      </c>
      <c r="J62" s="100">
        <v>0.35</v>
      </c>
      <c r="K62" s="100">
        <v>83.71</v>
      </c>
      <c r="L62" s="100">
        <v>28.81</v>
      </c>
      <c r="M62" s="100">
        <v>24.15</v>
      </c>
      <c r="N62" s="100">
        <v>420</v>
      </c>
      <c r="O62" s="100">
        <v>0</v>
      </c>
      <c r="P62" s="100">
        <v>0.83</v>
      </c>
      <c r="Q62" s="100">
        <v>12.57</v>
      </c>
      <c r="R62" s="6"/>
      <c r="S62" s="6"/>
      <c r="T62" s="156"/>
      <c r="U62" s="6"/>
    </row>
    <row r="63" spans="1:21" customFormat="1">
      <c r="A63" s="163" t="s">
        <v>2117</v>
      </c>
      <c r="B63" s="100">
        <v>7.14</v>
      </c>
      <c r="C63" s="100">
        <v>25.54</v>
      </c>
      <c r="D63" s="100">
        <v>20.420000000000002</v>
      </c>
      <c r="E63" s="100">
        <v>9.52</v>
      </c>
      <c r="F63" s="100">
        <v>1.71</v>
      </c>
      <c r="G63" s="100">
        <v>52.76</v>
      </c>
      <c r="H63" s="100">
        <v>32.49</v>
      </c>
      <c r="I63" s="100">
        <v>11.25</v>
      </c>
      <c r="J63" s="100">
        <v>0.48</v>
      </c>
      <c r="K63" s="100">
        <v>357.36</v>
      </c>
      <c r="L63" s="100">
        <v>28.64</v>
      </c>
      <c r="M63" s="100">
        <v>23.68</v>
      </c>
      <c r="N63" s="100">
        <v>453</v>
      </c>
      <c r="O63" s="100">
        <v>0</v>
      </c>
      <c r="P63" s="100">
        <v>0.82</v>
      </c>
      <c r="Q63" s="100">
        <v>12.57</v>
      </c>
      <c r="R63" s="6"/>
      <c r="S63" s="6"/>
      <c r="T63" s="156"/>
      <c r="U63" s="6"/>
    </row>
    <row r="64" spans="1:21" customFormat="1">
      <c r="A64" s="163" t="s">
        <v>2118</v>
      </c>
      <c r="B64" s="100">
        <v>6.65</v>
      </c>
      <c r="C64" s="100">
        <v>24.98</v>
      </c>
      <c r="D64" s="100">
        <v>19.73</v>
      </c>
      <c r="E64" s="100">
        <v>9.5</v>
      </c>
      <c r="F64" s="100">
        <v>0.33</v>
      </c>
      <c r="G64" s="100">
        <v>52.76</v>
      </c>
      <c r="H64" s="100">
        <v>32.49</v>
      </c>
      <c r="I64" s="100">
        <v>10.96</v>
      </c>
      <c r="J64" s="100">
        <v>0.54</v>
      </c>
      <c r="K64" s="100">
        <v>351.39</v>
      </c>
      <c r="L64" s="100">
        <v>28.76</v>
      </c>
      <c r="M64" s="100">
        <v>23.47</v>
      </c>
      <c r="N64" s="100">
        <v>437.1</v>
      </c>
      <c r="O64" s="100">
        <v>0</v>
      </c>
      <c r="P64" s="100">
        <v>0.78</v>
      </c>
      <c r="Q64" s="100">
        <v>12.57</v>
      </c>
      <c r="R64" s="6"/>
      <c r="S64" s="6"/>
      <c r="T64" s="156"/>
      <c r="U64" s="6"/>
    </row>
    <row r="65" spans="1:21" customFormat="1">
      <c r="A65" s="163" t="s">
        <v>2119</v>
      </c>
      <c r="B65" s="100">
        <v>6.31</v>
      </c>
      <c r="C65" s="100">
        <v>24.78</v>
      </c>
      <c r="D65" s="100">
        <v>19.36</v>
      </c>
      <c r="E65" s="100">
        <v>10.01</v>
      </c>
      <c r="F65" s="100">
        <v>1.37</v>
      </c>
      <c r="G65" s="100">
        <v>52.76</v>
      </c>
      <c r="H65" s="100">
        <v>32.49</v>
      </c>
      <c r="I65" s="100">
        <v>10.75</v>
      </c>
      <c r="J65" s="100">
        <v>0.3</v>
      </c>
      <c r="K65" s="100">
        <v>321.77</v>
      </c>
      <c r="L65" s="100">
        <v>29.32</v>
      </c>
      <c r="M65" s="100">
        <v>23.16</v>
      </c>
      <c r="N65" s="100">
        <v>366.2</v>
      </c>
      <c r="O65" s="100">
        <v>0</v>
      </c>
      <c r="P65" s="100">
        <v>0.75</v>
      </c>
      <c r="Q65" s="100">
        <v>12.57</v>
      </c>
      <c r="R65" s="6"/>
      <c r="S65" s="6"/>
      <c r="T65" s="156"/>
      <c r="U65" s="6"/>
    </row>
    <row r="66" spans="1:21" customFormat="1">
      <c r="A66" s="163" t="s">
        <v>2120</v>
      </c>
      <c r="B66" s="100">
        <v>6.06</v>
      </c>
      <c r="C66" s="100">
        <v>24.48</v>
      </c>
      <c r="D66" s="100">
        <v>19</v>
      </c>
      <c r="E66" s="100">
        <v>11.57</v>
      </c>
      <c r="F66" s="100">
        <v>1.52</v>
      </c>
      <c r="G66" s="100">
        <v>49.46</v>
      </c>
      <c r="H66" s="100">
        <v>29.36</v>
      </c>
      <c r="I66" s="100">
        <v>10.39</v>
      </c>
      <c r="J66" s="100">
        <v>0.39</v>
      </c>
      <c r="K66" s="100">
        <v>315.12</v>
      </c>
      <c r="L66" s="100">
        <v>28.84</v>
      </c>
      <c r="M66" s="100">
        <v>24.26</v>
      </c>
      <c r="N66" s="100">
        <v>89.3</v>
      </c>
      <c r="O66" s="100">
        <v>0</v>
      </c>
      <c r="P66" s="100">
        <v>0.75</v>
      </c>
      <c r="Q66" s="100">
        <v>12.57</v>
      </c>
      <c r="R66" s="6"/>
      <c r="S66" s="6"/>
      <c r="T66" s="156"/>
      <c r="U66" s="6"/>
    </row>
    <row r="67" spans="1:21" customFormat="1">
      <c r="A67" s="163" t="s">
        <v>2121</v>
      </c>
      <c r="B67" s="100">
        <v>5.87</v>
      </c>
      <c r="C67" s="100">
        <v>24.15</v>
      </c>
      <c r="D67" s="100">
        <v>18.670000000000002</v>
      </c>
      <c r="E67" s="100">
        <v>11.06</v>
      </c>
      <c r="F67" s="100">
        <v>0.77</v>
      </c>
      <c r="G67" s="100">
        <v>47.45</v>
      </c>
      <c r="H67" s="100">
        <v>28.25</v>
      </c>
      <c r="I67" s="100">
        <v>10.23</v>
      </c>
      <c r="J67" s="100">
        <v>0.16</v>
      </c>
      <c r="K67" s="100">
        <v>244.16</v>
      </c>
      <c r="L67" s="100">
        <v>28.5</v>
      </c>
      <c r="M67" s="100">
        <v>25.02</v>
      </c>
      <c r="N67" s="100">
        <v>92.7</v>
      </c>
      <c r="O67" s="100">
        <v>0</v>
      </c>
      <c r="P67" s="100">
        <v>0.75</v>
      </c>
      <c r="Q67" s="100">
        <v>12.57</v>
      </c>
      <c r="R67" s="6"/>
      <c r="S67" s="6"/>
      <c r="T67" s="156"/>
      <c r="U67" s="6"/>
    </row>
    <row r="68" spans="1:21" customFormat="1">
      <c r="A68" s="163" t="s">
        <v>2122</v>
      </c>
      <c r="B68" s="100">
        <v>5.69</v>
      </c>
      <c r="C68" s="100">
        <v>23.84</v>
      </c>
      <c r="D68" s="100">
        <v>18.37</v>
      </c>
      <c r="E68" s="100">
        <v>12.78</v>
      </c>
      <c r="F68" s="100">
        <v>0.43</v>
      </c>
      <c r="G68" s="100">
        <v>47.45</v>
      </c>
      <c r="H68" s="100">
        <v>28.25</v>
      </c>
      <c r="I68" s="100">
        <v>9.99</v>
      </c>
      <c r="J68" s="100">
        <v>0.74</v>
      </c>
      <c r="K68" s="100">
        <v>310.64999999999998</v>
      </c>
      <c r="L68" s="100">
        <v>28.46</v>
      </c>
      <c r="M68" s="100">
        <v>24.95</v>
      </c>
      <c r="N68" s="100">
        <v>64.7</v>
      </c>
      <c r="O68" s="100">
        <v>0</v>
      </c>
      <c r="P68" s="100">
        <v>0.74</v>
      </c>
      <c r="Q68" s="100">
        <v>12.57</v>
      </c>
      <c r="R68" s="6"/>
      <c r="S68" s="6"/>
      <c r="T68" s="156"/>
      <c r="U68" s="6"/>
    </row>
    <row r="69" spans="1:21" customFormat="1">
      <c r="A69" s="163" t="s">
        <v>2123</v>
      </c>
      <c r="B69" s="100">
        <v>5.5</v>
      </c>
      <c r="C69" s="100">
        <v>23.94</v>
      </c>
      <c r="D69" s="100">
        <v>18.27</v>
      </c>
      <c r="E69" s="100">
        <v>13.29</v>
      </c>
      <c r="F69" s="100">
        <v>0.36</v>
      </c>
      <c r="G69" s="100">
        <v>47.45</v>
      </c>
      <c r="H69" s="100">
        <v>28.25</v>
      </c>
      <c r="I69" s="100">
        <v>9.89</v>
      </c>
      <c r="J69" s="100">
        <v>0.44</v>
      </c>
      <c r="K69" s="100">
        <v>348.68</v>
      </c>
      <c r="L69" s="100">
        <v>28.34</v>
      </c>
      <c r="M69" s="100">
        <v>25.09</v>
      </c>
      <c r="N69" s="100">
        <v>47.9</v>
      </c>
      <c r="O69" s="100">
        <v>0</v>
      </c>
      <c r="P69" s="100">
        <v>0.74</v>
      </c>
      <c r="Q69" s="100">
        <v>12.57</v>
      </c>
      <c r="R69" s="6"/>
      <c r="S69" s="6"/>
      <c r="T69" s="156"/>
      <c r="U69" s="6"/>
    </row>
    <row r="70" spans="1:21" customFormat="1">
      <c r="A70" s="163" t="s">
        <v>2124</v>
      </c>
      <c r="B70" s="100">
        <v>5.05</v>
      </c>
      <c r="C70" s="100">
        <v>24.6</v>
      </c>
      <c r="D70" s="100">
        <v>18.25</v>
      </c>
      <c r="E70" s="100">
        <v>20.329999999999998</v>
      </c>
      <c r="F70" s="100">
        <v>1.04</v>
      </c>
      <c r="G70" s="100">
        <v>48.29</v>
      </c>
      <c r="H70" s="100">
        <v>27.21</v>
      </c>
      <c r="I70" s="100">
        <v>9.68</v>
      </c>
      <c r="J70" s="100">
        <v>0.44</v>
      </c>
      <c r="K70" s="100">
        <v>334.78</v>
      </c>
      <c r="L70" s="100">
        <v>28.47</v>
      </c>
      <c r="M70" s="100">
        <v>24.57</v>
      </c>
      <c r="N70" s="100">
        <v>43.1</v>
      </c>
      <c r="O70" s="100">
        <v>0</v>
      </c>
      <c r="P70" s="100">
        <v>0.75</v>
      </c>
      <c r="Q70" s="100">
        <v>12.57</v>
      </c>
      <c r="R70" s="6"/>
      <c r="S70" s="6"/>
      <c r="T70" s="156"/>
      <c r="U70" s="6"/>
    </row>
    <row r="71" spans="1:21" customFormat="1">
      <c r="A71" s="163" t="s">
        <v>2125</v>
      </c>
      <c r="B71" s="100">
        <v>4.72</v>
      </c>
      <c r="C71" s="100">
        <v>25.33</v>
      </c>
      <c r="D71" s="100">
        <v>18.37</v>
      </c>
      <c r="E71" s="100">
        <v>19.13</v>
      </c>
      <c r="F71" s="100">
        <v>0.88</v>
      </c>
      <c r="G71" s="100">
        <v>48.8</v>
      </c>
      <c r="H71" s="100">
        <v>27.01</v>
      </c>
      <c r="I71" s="100">
        <v>9.4700000000000006</v>
      </c>
      <c r="J71" s="100">
        <v>0.43</v>
      </c>
      <c r="K71" s="100">
        <v>336.45</v>
      </c>
      <c r="L71" s="100">
        <v>28.5</v>
      </c>
      <c r="M71" s="100">
        <v>24.29</v>
      </c>
      <c r="N71" s="100">
        <v>39.700000000000003</v>
      </c>
      <c r="O71" s="100">
        <v>0</v>
      </c>
      <c r="P71" s="100">
        <v>0.76</v>
      </c>
      <c r="Q71" s="100">
        <v>12.57</v>
      </c>
      <c r="R71" s="6"/>
      <c r="S71" s="6"/>
      <c r="T71" s="156"/>
      <c r="U71" s="6"/>
    </row>
    <row r="72" spans="1:21" customFormat="1">
      <c r="A72" s="163" t="s">
        <v>2126</v>
      </c>
      <c r="B72" s="100">
        <v>4.5</v>
      </c>
      <c r="C72" s="100">
        <v>25.8</v>
      </c>
      <c r="D72" s="100">
        <v>18.440000000000001</v>
      </c>
      <c r="E72" s="100">
        <v>19.43</v>
      </c>
      <c r="F72" s="100">
        <v>0.17</v>
      </c>
      <c r="G72" s="100">
        <v>48.8</v>
      </c>
      <c r="H72" s="100">
        <v>27.01</v>
      </c>
      <c r="I72" s="100">
        <v>9.2200000000000006</v>
      </c>
      <c r="J72" s="100">
        <v>0.28000000000000003</v>
      </c>
      <c r="K72" s="100">
        <v>334.12</v>
      </c>
      <c r="L72" s="100">
        <v>28.56</v>
      </c>
      <c r="M72" s="100">
        <v>24.76</v>
      </c>
      <c r="N72" s="100">
        <v>37.200000000000003</v>
      </c>
      <c r="O72" s="100">
        <v>0</v>
      </c>
      <c r="P72" s="100">
        <v>0.76</v>
      </c>
      <c r="Q72" s="100">
        <v>12.57</v>
      </c>
      <c r="R72" s="6"/>
      <c r="S72" s="6"/>
      <c r="T72" s="156"/>
      <c r="U72" s="6"/>
    </row>
    <row r="73" spans="1:21" customFormat="1">
      <c r="A73" s="163" t="s">
        <v>2127</v>
      </c>
      <c r="B73" s="100">
        <v>4.3899999999999997</v>
      </c>
      <c r="C73" s="100">
        <v>26.39</v>
      </c>
      <c r="D73" s="100">
        <v>18.66</v>
      </c>
      <c r="E73" s="100">
        <v>18.47</v>
      </c>
      <c r="F73" s="100">
        <v>0.55000000000000004</v>
      </c>
      <c r="G73" s="100">
        <v>48.8</v>
      </c>
      <c r="H73" s="100">
        <v>27.01</v>
      </c>
      <c r="I73" s="100">
        <v>9.0299999999999994</v>
      </c>
      <c r="J73" s="100">
        <v>0.55000000000000004</v>
      </c>
      <c r="K73" s="100">
        <v>27.46</v>
      </c>
      <c r="L73" s="100">
        <v>28.51</v>
      </c>
      <c r="M73" s="100">
        <v>24.46</v>
      </c>
      <c r="N73" s="100">
        <v>35.299999999999997</v>
      </c>
      <c r="O73" s="100">
        <v>0</v>
      </c>
      <c r="P73" s="100">
        <v>0.77</v>
      </c>
      <c r="Q73" s="100">
        <v>12.57</v>
      </c>
      <c r="R73" s="6"/>
      <c r="S73" s="6"/>
      <c r="T73" s="156"/>
      <c r="U73" s="6"/>
    </row>
    <row r="74" spans="1:21" customFormat="1">
      <c r="A74" s="163" t="s">
        <v>2128</v>
      </c>
      <c r="B74" s="100">
        <v>4.42</v>
      </c>
      <c r="C74" s="100">
        <v>27.17</v>
      </c>
      <c r="D74" s="100">
        <v>19.09</v>
      </c>
      <c r="E74" s="100">
        <v>20.36</v>
      </c>
      <c r="F74" s="100">
        <v>0.69</v>
      </c>
      <c r="G74" s="100">
        <v>56.33</v>
      </c>
      <c r="H74" s="100">
        <v>33.369999999999997</v>
      </c>
      <c r="I74" s="100">
        <v>8.9700000000000006</v>
      </c>
      <c r="J74" s="100">
        <v>0.5</v>
      </c>
      <c r="K74" s="100">
        <v>30.34</v>
      </c>
      <c r="L74" s="100">
        <v>28.19</v>
      </c>
      <c r="M74" s="100">
        <v>24.1</v>
      </c>
      <c r="N74" s="100">
        <v>28.1</v>
      </c>
      <c r="O74" s="100">
        <v>0</v>
      </c>
      <c r="P74" s="100">
        <v>0.78</v>
      </c>
      <c r="Q74" s="100">
        <v>12.57</v>
      </c>
      <c r="R74" s="6"/>
      <c r="S74" s="6"/>
      <c r="T74" s="156"/>
      <c r="U74" s="6"/>
    </row>
    <row r="75" spans="1:21" customFormat="1">
      <c r="A75" s="163" t="s">
        <v>2129</v>
      </c>
      <c r="B75" s="100">
        <v>4.66</v>
      </c>
      <c r="C75" s="100">
        <v>27.9</v>
      </c>
      <c r="D75" s="100">
        <v>19.66</v>
      </c>
      <c r="E75" s="100">
        <v>17.16</v>
      </c>
      <c r="F75" s="100">
        <v>0.38</v>
      </c>
      <c r="G75" s="100">
        <v>60.9</v>
      </c>
      <c r="H75" s="100">
        <v>34.65</v>
      </c>
      <c r="I75" s="100">
        <v>8.89</v>
      </c>
      <c r="J75" s="100">
        <v>0.83</v>
      </c>
      <c r="K75" s="100">
        <v>44.19</v>
      </c>
      <c r="L75" s="100">
        <v>27.92</v>
      </c>
      <c r="M75" s="100">
        <v>24.48</v>
      </c>
      <c r="N75" s="100">
        <v>23.1</v>
      </c>
      <c r="O75" s="100">
        <v>0</v>
      </c>
      <c r="P75" s="100">
        <v>0.79</v>
      </c>
      <c r="Q75" s="100">
        <v>12.57</v>
      </c>
      <c r="R75" s="6"/>
      <c r="S75" s="6"/>
      <c r="T75" s="156"/>
      <c r="U75" s="6"/>
    </row>
    <row r="76" spans="1:21" customFormat="1">
      <c r="A76" s="163" t="s">
        <v>2130</v>
      </c>
      <c r="B76" s="100">
        <v>4.84</v>
      </c>
      <c r="C76" s="100">
        <v>28.49</v>
      </c>
      <c r="D76" s="100">
        <v>20.12</v>
      </c>
      <c r="E76" s="100">
        <v>16.59</v>
      </c>
      <c r="F76" s="100">
        <v>0.27</v>
      </c>
      <c r="G76" s="100">
        <v>60.9</v>
      </c>
      <c r="H76" s="100">
        <v>34.65</v>
      </c>
      <c r="I76" s="100">
        <v>8.94</v>
      </c>
      <c r="J76" s="100">
        <v>0.66</v>
      </c>
      <c r="K76" s="100">
        <v>37.450000000000003</v>
      </c>
      <c r="L76" s="100">
        <v>27.39</v>
      </c>
      <c r="M76" s="100">
        <v>26.53</v>
      </c>
      <c r="N76" s="100">
        <v>19.8</v>
      </c>
      <c r="O76" s="100">
        <v>0</v>
      </c>
      <c r="P76" s="100">
        <v>0.78</v>
      </c>
      <c r="Q76" s="100">
        <v>12.57</v>
      </c>
      <c r="R76" s="6"/>
      <c r="S76" s="6"/>
      <c r="T76" s="156"/>
      <c r="U76" s="6"/>
    </row>
    <row r="77" spans="1:21" customFormat="1">
      <c r="A77" s="163" t="s">
        <v>2131</v>
      </c>
      <c r="B77" s="100">
        <v>5.23</v>
      </c>
      <c r="C77" s="100">
        <v>29.37</v>
      </c>
      <c r="D77" s="100">
        <v>20.89</v>
      </c>
      <c r="E77" s="100">
        <v>18.3</v>
      </c>
      <c r="F77" s="100">
        <v>1.04</v>
      </c>
      <c r="G77" s="100">
        <v>60.9</v>
      </c>
      <c r="H77" s="100">
        <v>34.65</v>
      </c>
      <c r="I77" s="100">
        <v>8.8800000000000008</v>
      </c>
      <c r="J77" s="100">
        <v>0.49</v>
      </c>
      <c r="K77" s="100">
        <v>38.68</v>
      </c>
      <c r="L77" s="100">
        <v>26.89</v>
      </c>
      <c r="M77" s="100">
        <v>26.98</v>
      </c>
      <c r="N77" s="100">
        <v>13.3</v>
      </c>
      <c r="O77" s="100">
        <v>0</v>
      </c>
      <c r="P77" s="100">
        <v>0.78</v>
      </c>
      <c r="Q77" s="100">
        <v>12.57</v>
      </c>
      <c r="R77" s="6"/>
      <c r="S77" s="6"/>
      <c r="T77" s="156"/>
      <c r="U77" s="6"/>
    </row>
    <row r="78" spans="1:21" customFormat="1">
      <c r="A78" s="163" t="s">
        <v>2132</v>
      </c>
      <c r="B78" s="100">
        <v>5.84</v>
      </c>
      <c r="C78" s="100">
        <v>30.54</v>
      </c>
      <c r="D78" s="100">
        <v>21.99</v>
      </c>
      <c r="E78" s="100">
        <v>13.76</v>
      </c>
      <c r="F78" s="100">
        <v>1.87</v>
      </c>
      <c r="G78" s="100">
        <v>69.14</v>
      </c>
      <c r="H78" s="100">
        <v>31.6</v>
      </c>
      <c r="I78" s="100">
        <v>8.7799999999999994</v>
      </c>
      <c r="J78" s="100">
        <v>0.46</v>
      </c>
      <c r="K78" s="100">
        <v>45.1</v>
      </c>
      <c r="L78" s="100">
        <v>26.25</v>
      </c>
      <c r="M78" s="100">
        <v>28.2</v>
      </c>
      <c r="N78" s="100">
        <v>7.8</v>
      </c>
      <c r="O78" s="100">
        <v>0</v>
      </c>
      <c r="P78" s="100">
        <v>0.79</v>
      </c>
      <c r="Q78" s="100">
        <v>12.57</v>
      </c>
      <c r="R78" s="6"/>
      <c r="S78" s="6"/>
      <c r="T78" s="156"/>
      <c r="U78" s="6"/>
    </row>
    <row r="79" spans="1:21" customFormat="1">
      <c r="A79" s="163" t="s">
        <v>2133</v>
      </c>
      <c r="B79" s="100">
        <v>6.64</v>
      </c>
      <c r="C79" s="100">
        <v>31.42</v>
      </c>
      <c r="D79" s="100">
        <v>23.09</v>
      </c>
      <c r="E79" s="100">
        <v>11.87</v>
      </c>
      <c r="F79" s="100">
        <v>3.07</v>
      </c>
      <c r="G79" s="100">
        <v>74.150000000000006</v>
      </c>
      <c r="H79" s="100">
        <v>31</v>
      </c>
      <c r="I79" s="100">
        <v>8.61</v>
      </c>
      <c r="J79" s="100">
        <v>0.23</v>
      </c>
      <c r="K79" s="100">
        <v>150.47</v>
      </c>
      <c r="L79" s="100">
        <v>25.13</v>
      </c>
      <c r="M79" s="100">
        <v>33.92</v>
      </c>
      <c r="N79" s="100">
        <v>4.4000000000000004</v>
      </c>
      <c r="O79" s="100">
        <v>0</v>
      </c>
      <c r="P79" s="100">
        <v>0.8</v>
      </c>
      <c r="Q79" s="100">
        <v>12.57</v>
      </c>
      <c r="R79" s="6"/>
      <c r="S79" s="6"/>
      <c r="T79" s="156"/>
      <c r="U79" s="6"/>
    </row>
    <row r="80" spans="1:21" customFormat="1">
      <c r="A80" s="163" t="s">
        <v>2134</v>
      </c>
      <c r="B80" s="100">
        <v>7.04</v>
      </c>
      <c r="C80" s="100">
        <v>31.92</v>
      </c>
      <c r="D80" s="100">
        <v>23.68</v>
      </c>
      <c r="E80" s="100">
        <v>10.23</v>
      </c>
      <c r="F80" s="100">
        <v>2</v>
      </c>
      <c r="G80" s="100">
        <v>74.150000000000006</v>
      </c>
      <c r="H80" s="100">
        <v>31</v>
      </c>
      <c r="I80" s="100">
        <v>8.7100000000000009</v>
      </c>
      <c r="J80" s="100">
        <v>0.35</v>
      </c>
      <c r="K80" s="100">
        <v>164.39</v>
      </c>
      <c r="L80" s="100">
        <v>23.6</v>
      </c>
      <c r="M80" s="100">
        <v>40.07</v>
      </c>
      <c r="N80" s="100">
        <v>2.6</v>
      </c>
      <c r="O80" s="100">
        <v>0</v>
      </c>
      <c r="P80" s="100">
        <v>0.8</v>
      </c>
      <c r="Q80" s="100">
        <v>12.57</v>
      </c>
      <c r="R80" s="6"/>
      <c r="S80" s="6"/>
      <c r="T80" s="156"/>
      <c r="U80" s="6"/>
    </row>
    <row r="81" spans="1:21" customFormat="1">
      <c r="A81" s="163" t="s">
        <v>2135</v>
      </c>
      <c r="B81" s="100">
        <v>7.46</v>
      </c>
      <c r="C81" s="100">
        <v>31.96</v>
      </c>
      <c r="D81" s="100">
        <v>24.03</v>
      </c>
      <c r="E81" s="100">
        <v>8.17</v>
      </c>
      <c r="F81" s="100">
        <v>1.53</v>
      </c>
      <c r="G81" s="100">
        <v>74.150000000000006</v>
      </c>
      <c r="H81" s="100">
        <v>31</v>
      </c>
      <c r="I81" s="100">
        <v>8.8000000000000007</v>
      </c>
      <c r="J81" s="100">
        <v>0.27</v>
      </c>
      <c r="K81" s="100">
        <v>166.88</v>
      </c>
      <c r="L81" s="100">
        <v>22.64</v>
      </c>
      <c r="M81" s="100">
        <v>46.24</v>
      </c>
      <c r="N81" s="100">
        <v>1.9</v>
      </c>
      <c r="O81" s="100">
        <v>0</v>
      </c>
      <c r="P81" s="100">
        <v>0.8</v>
      </c>
      <c r="Q81" s="100">
        <v>12.57</v>
      </c>
      <c r="R81" s="6"/>
      <c r="S81" s="6"/>
      <c r="T81" s="156"/>
      <c r="U81" s="6"/>
    </row>
    <row r="82" spans="1:21" customFormat="1">
      <c r="A82" s="163" t="s">
        <v>2136</v>
      </c>
      <c r="B82" s="100">
        <v>7.93</v>
      </c>
      <c r="C82" s="100">
        <v>32.26</v>
      </c>
      <c r="D82" s="100">
        <v>24.56</v>
      </c>
      <c r="E82" s="100">
        <v>9.25</v>
      </c>
      <c r="F82" s="100">
        <v>1.5</v>
      </c>
      <c r="G82" s="100">
        <v>82.75</v>
      </c>
      <c r="H82" s="100">
        <v>32.49</v>
      </c>
      <c r="I82" s="100">
        <v>8.82</v>
      </c>
      <c r="J82" s="100">
        <v>0.24</v>
      </c>
      <c r="K82" s="100">
        <v>170.43</v>
      </c>
      <c r="L82" s="100">
        <v>21.83</v>
      </c>
      <c r="M82" s="100">
        <v>51.37</v>
      </c>
      <c r="N82" s="100">
        <v>1.9</v>
      </c>
      <c r="O82" s="100">
        <v>0</v>
      </c>
      <c r="P82" s="100">
        <v>0.8</v>
      </c>
      <c r="Q82" s="100">
        <v>12.57</v>
      </c>
      <c r="R82" s="6"/>
      <c r="S82" s="6"/>
      <c r="T82" s="156"/>
      <c r="U82" s="6"/>
    </row>
    <row r="83" spans="1:21" customFormat="1">
      <c r="A83" s="163" t="s">
        <v>2137</v>
      </c>
      <c r="B83" s="100">
        <v>8.48</v>
      </c>
      <c r="C83" s="100">
        <v>32.01</v>
      </c>
      <c r="D83" s="100">
        <v>24.87</v>
      </c>
      <c r="E83" s="100">
        <v>9.6999999999999993</v>
      </c>
      <c r="F83" s="100">
        <v>1.53</v>
      </c>
      <c r="G83" s="100">
        <v>87.97</v>
      </c>
      <c r="H83" s="100">
        <v>32.78</v>
      </c>
      <c r="I83" s="100">
        <v>8.85</v>
      </c>
      <c r="J83" s="100">
        <v>0.22</v>
      </c>
      <c r="K83" s="100">
        <v>180.86</v>
      </c>
      <c r="L83" s="100">
        <v>20.87</v>
      </c>
      <c r="M83" s="100">
        <v>56.82</v>
      </c>
      <c r="N83" s="100">
        <v>1.7</v>
      </c>
      <c r="O83" s="100">
        <v>0</v>
      </c>
      <c r="P83" s="100">
        <v>0.81</v>
      </c>
      <c r="Q83" s="100">
        <v>12.57</v>
      </c>
      <c r="R83" s="6"/>
      <c r="S83" s="6"/>
      <c r="T83" s="156"/>
      <c r="U83" s="6"/>
    </row>
    <row r="84" spans="1:21" customFormat="1">
      <c r="A84" s="163" t="s">
        <v>2138</v>
      </c>
      <c r="B84" s="100">
        <v>8.64</v>
      </c>
      <c r="C84" s="100">
        <v>31.68</v>
      </c>
      <c r="D84" s="100">
        <v>24.83</v>
      </c>
      <c r="E84" s="100">
        <v>9.2799999999999994</v>
      </c>
      <c r="F84" s="100">
        <v>2.52</v>
      </c>
      <c r="G84" s="100">
        <v>87.97</v>
      </c>
      <c r="H84" s="100">
        <v>32.78</v>
      </c>
      <c r="I84" s="100">
        <v>8.94</v>
      </c>
      <c r="J84" s="100">
        <v>0.19</v>
      </c>
      <c r="K84" s="100">
        <v>175.09</v>
      </c>
      <c r="L84" s="100">
        <v>20.170000000000002</v>
      </c>
      <c r="M84" s="100">
        <v>57.76</v>
      </c>
      <c r="N84" s="100">
        <v>1.6</v>
      </c>
      <c r="O84" s="100">
        <v>0</v>
      </c>
      <c r="P84" s="100">
        <v>0.82</v>
      </c>
      <c r="Q84" s="100">
        <v>12.57</v>
      </c>
      <c r="R84" s="6"/>
      <c r="S84" s="6"/>
      <c r="T84" s="156"/>
      <c r="U84" s="6"/>
    </row>
    <row r="85" spans="1:21" customFormat="1">
      <c r="A85" s="163" t="s">
        <v>2139</v>
      </c>
      <c r="B85" s="100">
        <v>8.6300000000000008</v>
      </c>
      <c r="C85" s="100">
        <v>31.51</v>
      </c>
      <c r="D85" s="100">
        <v>24.74</v>
      </c>
      <c r="E85" s="100">
        <v>9.42</v>
      </c>
      <c r="F85" s="100">
        <v>1.1399999999999999</v>
      </c>
      <c r="G85" s="100">
        <v>87.97</v>
      </c>
      <c r="H85" s="100">
        <v>32.78</v>
      </c>
      <c r="I85" s="100">
        <v>9.18</v>
      </c>
      <c r="J85" s="100">
        <v>0.18</v>
      </c>
      <c r="K85" s="100">
        <v>182.98</v>
      </c>
      <c r="L85" s="100">
        <v>19.760000000000002</v>
      </c>
      <c r="M85" s="100">
        <v>57.92</v>
      </c>
      <c r="N85" s="100">
        <v>1.4</v>
      </c>
      <c r="O85" s="100">
        <v>0</v>
      </c>
      <c r="P85" s="100">
        <v>0.83</v>
      </c>
      <c r="Q85" s="100">
        <v>12.57</v>
      </c>
      <c r="R85" s="6"/>
      <c r="S85" s="6"/>
      <c r="T85" s="156"/>
      <c r="U85" s="6"/>
    </row>
    <row r="86" spans="1:21" customFormat="1">
      <c r="A86" s="163" t="s">
        <v>2140</v>
      </c>
      <c r="B86" s="100">
        <v>8.61</v>
      </c>
      <c r="C86" s="100">
        <v>30.82</v>
      </c>
      <c r="D86" s="100">
        <v>24.35</v>
      </c>
      <c r="E86" s="100">
        <v>8.65</v>
      </c>
      <c r="F86" s="100">
        <v>1.02</v>
      </c>
      <c r="G86" s="100">
        <v>89.27</v>
      </c>
      <c r="H86" s="100">
        <v>28.71</v>
      </c>
      <c r="I86" s="100">
        <v>9.41</v>
      </c>
      <c r="J86" s="100">
        <v>0.27</v>
      </c>
      <c r="K86" s="100">
        <v>163.16999999999999</v>
      </c>
      <c r="L86" s="100">
        <v>19.510000000000002</v>
      </c>
      <c r="M86" s="100">
        <v>60.17</v>
      </c>
      <c r="N86" s="100">
        <v>1.3</v>
      </c>
      <c r="O86" s="100">
        <v>0</v>
      </c>
      <c r="P86" s="100">
        <v>0.83</v>
      </c>
      <c r="Q86" s="100">
        <v>12.57</v>
      </c>
      <c r="R86" s="6"/>
      <c r="S86" s="6"/>
      <c r="T86" s="156"/>
      <c r="U86" s="6"/>
    </row>
    <row r="87" spans="1:21" customFormat="1">
      <c r="A87" s="163" t="s">
        <v>2141</v>
      </c>
      <c r="B87" s="100">
        <v>8.5299999999999994</v>
      </c>
      <c r="C87" s="100">
        <v>30</v>
      </c>
      <c r="D87" s="100">
        <v>23.87</v>
      </c>
      <c r="E87" s="100">
        <v>9.15</v>
      </c>
      <c r="F87" s="100">
        <v>0.89</v>
      </c>
      <c r="G87" s="100">
        <v>90.05</v>
      </c>
      <c r="H87" s="100">
        <v>27.89</v>
      </c>
      <c r="I87" s="100">
        <v>9.56</v>
      </c>
      <c r="J87" s="100">
        <v>0.24</v>
      </c>
      <c r="K87" s="100">
        <v>162.44</v>
      </c>
      <c r="L87" s="100">
        <v>19.100000000000001</v>
      </c>
      <c r="M87" s="100">
        <v>65.39</v>
      </c>
      <c r="N87" s="100">
        <v>1.4</v>
      </c>
      <c r="O87" s="100">
        <v>0</v>
      </c>
      <c r="P87" s="100">
        <v>0.84</v>
      </c>
      <c r="Q87" s="100">
        <v>12.57</v>
      </c>
      <c r="R87" s="6"/>
      <c r="S87" s="6"/>
      <c r="T87" s="156"/>
      <c r="U87" s="6"/>
    </row>
    <row r="88" spans="1:21" customFormat="1">
      <c r="A88" s="163" t="s">
        <v>2142</v>
      </c>
      <c r="B88" s="100">
        <v>8.49</v>
      </c>
      <c r="C88" s="100">
        <v>29.58</v>
      </c>
      <c r="D88" s="100">
        <v>23.62</v>
      </c>
      <c r="E88" s="100">
        <v>8.8699999999999992</v>
      </c>
      <c r="F88" s="100">
        <v>1.7</v>
      </c>
      <c r="G88" s="100">
        <v>90.05</v>
      </c>
      <c r="H88" s="100">
        <v>27.89</v>
      </c>
      <c r="I88" s="100">
        <v>9.68</v>
      </c>
      <c r="J88" s="100">
        <v>0.24</v>
      </c>
      <c r="K88" s="100">
        <v>176.26</v>
      </c>
      <c r="L88" s="100">
        <v>18.82</v>
      </c>
      <c r="M88" s="100">
        <v>66.19</v>
      </c>
      <c r="N88" s="100">
        <v>1.1000000000000001</v>
      </c>
      <c r="O88" s="100">
        <v>0</v>
      </c>
      <c r="P88" s="100">
        <v>0.85</v>
      </c>
      <c r="Q88" s="100">
        <v>12.57</v>
      </c>
      <c r="R88" s="6"/>
      <c r="S88" s="6"/>
      <c r="T88" s="156"/>
      <c r="U88" s="6"/>
    </row>
    <row r="89" spans="1:21" customFormat="1">
      <c r="A89" s="163" t="s">
        <v>2143</v>
      </c>
      <c r="B89" s="100">
        <v>8.5500000000000007</v>
      </c>
      <c r="C89" s="100">
        <v>29.24</v>
      </c>
      <c r="D89" s="100">
        <v>23.48</v>
      </c>
      <c r="E89" s="100">
        <v>9.09</v>
      </c>
      <c r="F89" s="100">
        <v>0.57999999999999996</v>
      </c>
      <c r="G89" s="100">
        <v>90.05</v>
      </c>
      <c r="H89" s="100">
        <v>27.89</v>
      </c>
      <c r="I89" s="100">
        <v>9.83</v>
      </c>
      <c r="J89" s="100">
        <v>0.15</v>
      </c>
      <c r="K89" s="100">
        <v>217.33</v>
      </c>
      <c r="L89" s="100">
        <v>18.559999999999999</v>
      </c>
      <c r="M89" s="100">
        <v>61.9</v>
      </c>
      <c r="N89" s="100">
        <v>1.3</v>
      </c>
      <c r="O89" s="100">
        <v>0</v>
      </c>
      <c r="P89" s="100">
        <v>0.85</v>
      </c>
      <c r="Q89" s="100">
        <v>12.57</v>
      </c>
      <c r="R89" s="6"/>
      <c r="S89" s="6"/>
      <c r="T89" s="156"/>
      <c r="U89" s="6"/>
    </row>
    <row r="90" spans="1:21" customFormat="1">
      <c r="A90" s="163" t="s">
        <v>2144</v>
      </c>
      <c r="B90" s="100">
        <v>8.68</v>
      </c>
      <c r="C90" s="100">
        <v>29.14</v>
      </c>
      <c r="D90" s="100">
        <v>23.53</v>
      </c>
      <c r="E90" s="100">
        <v>8.7899999999999991</v>
      </c>
      <c r="F90" s="100">
        <v>0.95</v>
      </c>
      <c r="G90" s="100">
        <v>82.22</v>
      </c>
      <c r="H90" s="100">
        <v>27</v>
      </c>
      <c r="I90" s="100">
        <v>9.92</v>
      </c>
      <c r="J90" s="100">
        <v>0.28999999999999998</v>
      </c>
      <c r="K90" s="100">
        <v>162.21</v>
      </c>
      <c r="L90" s="100">
        <v>18.32</v>
      </c>
      <c r="M90" s="100">
        <v>64.959999999999994</v>
      </c>
      <c r="N90" s="100">
        <v>1.4</v>
      </c>
      <c r="O90" s="100">
        <v>0</v>
      </c>
      <c r="P90" s="100">
        <v>0.85</v>
      </c>
      <c r="Q90" s="100">
        <v>12.57</v>
      </c>
      <c r="R90" s="6"/>
      <c r="S90" s="6"/>
      <c r="T90" s="156"/>
      <c r="U90" s="6"/>
    </row>
    <row r="91" spans="1:21" customFormat="1">
      <c r="A91" s="163" t="s">
        <v>2145</v>
      </c>
      <c r="B91" s="100">
        <v>8.93</v>
      </c>
      <c r="C91" s="100">
        <v>28.7</v>
      </c>
      <c r="D91" s="100">
        <v>23.51</v>
      </c>
      <c r="E91" s="100">
        <v>9.1</v>
      </c>
      <c r="F91" s="100">
        <v>1.0900000000000001</v>
      </c>
      <c r="G91" s="100">
        <v>77.47</v>
      </c>
      <c r="H91" s="100">
        <v>26.7</v>
      </c>
      <c r="I91" s="100">
        <v>10.050000000000001</v>
      </c>
      <c r="J91" s="100">
        <v>0.23</v>
      </c>
      <c r="K91" s="100">
        <v>164.34</v>
      </c>
      <c r="L91" s="100">
        <v>18.02</v>
      </c>
      <c r="M91" s="100">
        <v>67.61</v>
      </c>
      <c r="N91" s="100">
        <v>1.3</v>
      </c>
      <c r="O91" s="100">
        <v>0</v>
      </c>
      <c r="P91" s="100">
        <v>0.85</v>
      </c>
      <c r="Q91" s="100">
        <v>12.57</v>
      </c>
      <c r="R91" s="6"/>
      <c r="S91" s="6"/>
      <c r="T91" s="156"/>
      <c r="U91" s="6"/>
    </row>
    <row r="92" spans="1:21" customFormat="1">
      <c r="A92" s="163" t="s">
        <v>2146</v>
      </c>
      <c r="B92" s="100">
        <v>9.2100000000000009</v>
      </c>
      <c r="C92" s="100">
        <v>28.19</v>
      </c>
      <c r="D92" s="100">
        <v>23.47</v>
      </c>
      <c r="E92" s="100">
        <v>9.32</v>
      </c>
      <c r="F92" s="100">
        <v>1.71</v>
      </c>
      <c r="G92" s="100">
        <v>77.47</v>
      </c>
      <c r="H92" s="100">
        <v>26.7</v>
      </c>
      <c r="I92" s="100">
        <v>10.220000000000001</v>
      </c>
      <c r="J92" s="100">
        <v>0.2</v>
      </c>
      <c r="K92" s="100">
        <v>165.14</v>
      </c>
      <c r="L92" s="100">
        <v>17.77</v>
      </c>
      <c r="M92" s="100">
        <v>70.75</v>
      </c>
      <c r="N92" s="100">
        <v>1.3</v>
      </c>
      <c r="O92" s="100">
        <v>0</v>
      </c>
      <c r="P92" s="100">
        <v>0.86</v>
      </c>
      <c r="Q92" s="100">
        <v>12.57</v>
      </c>
      <c r="R92" s="6"/>
      <c r="S92" s="6"/>
      <c r="T92" s="156"/>
      <c r="U92" s="6"/>
    </row>
    <row r="93" spans="1:21" customFormat="1">
      <c r="A93" s="163" t="s">
        <v>2147</v>
      </c>
      <c r="B93" s="100">
        <v>9.4499999999999993</v>
      </c>
      <c r="C93" s="100">
        <v>27.9</v>
      </c>
      <c r="D93" s="100">
        <v>23.51</v>
      </c>
      <c r="E93" s="100">
        <v>8.4700000000000006</v>
      </c>
      <c r="F93" s="100">
        <v>0.34</v>
      </c>
      <c r="G93" s="100">
        <v>77.47</v>
      </c>
      <c r="H93" s="100">
        <v>26.7</v>
      </c>
      <c r="I93" s="100">
        <v>10.4</v>
      </c>
      <c r="J93" s="100">
        <v>0.21</v>
      </c>
      <c r="K93" s="100">
        <v>157.37</v>
      </c>
      <c r="L93" s="100">
        <v>17.54</v>
      </c>
      <c r="M93" s="100">
        <v>72.75</v>
      </c>
      <c r="N93" s="100">
        <v>1.3</v>
      </c>
      <c r="O93" s="100">
        <v>0</v>
      </c>
      <c r="P93" s="100">
        <v>0.86</v>
      </c>
      <c r="Q93" s="100">
        <v>12.57</v>
      </c>
      <c r="R93" s="6"/>
      <c r="S93" s="6"/>
      <c r="T93" s="156"/>
      <c r="U93" s="6"/>
    </row>
    <row r="94" spans="1:21" customFormat="1">
      <c r="A94" s="163" t="s">
        <v>2148</v>
      </c>
      <c r="B94" s="100">
        <v>9.7899999999999991</v>
      </c>
      <c r="C94" s="100">
        <v>27.54</v>
      </c>
      <c r="D94" s="100">
        <v>23.59</v>
      </c>
      <c r="E94" s="100">
        <v>8.77</v>
      </c>
      <c r="F94" s="100">
        <v>0.8</v>
      </c>
      <c r="G94" s="100">
        <v>77.91</v>
      </c>
      <c r="H94" s="100">
        <v>25.67</v>
      </c>
      <c r="I94" s="100">
        <v>10.59</v>
      </c>
      <c r="J94" s="100">
        <v>0.11</v>
      </c>
      <c r="K94" s="100">
        <v>194.03</v>
      </c>
      <c r="L94" s="100">
        <v>17.53</v>
      </c>
      <c r="M94" s="100">
        <v>72.709999999999994</v>
      </c>
      <c r="N94" s="100">
        <v>1</v>
      </c>
      <c r="O94" s="100">
        <v>0</v>
      </c>
      <c r="P94" s="100">
        <v>0.87</v>
      </c>
      <c r="Q94" s="100">
        <v>12.57</v>
      </c>
      <c r="R94" s="6"/>
      <c r="S94" s="6"/>
      <c r="T94" s="156"/>
      <c r="U94" s="6"/>
    </row>
    <row r="95" spans="1:21" customFormat="1">
      <c r="A95" s="163" t="s">
        <v>2149</v>
      </c>
      <c r="B95" s="100">
        <v>10.07</v>
      </c>
      <c r="C95" s="100">
        <v>27.31</v>
      </c>
      <c r="D95" s="100">
        <v>23.7</v>
      </c>
      <c r="E95" s="100">
        <v>9.5</v>
      </c>
      <c r="F95" s="100">
        <v>0.49</v>
      </c>
      <c r="G95" s="100">
        <v>78.180000000000007</v>
      </c>
      <c r="H95" s="100">
        <v>25.47</v>
      </c>
      <c r="I95" s="100">
        <v>10.74</v>
      </c>
      <c r="J95" s="100">
        <v>0.24</v>
      </c>
      <c r="K95" s="100">
        <v>212.57</v>
      </c>
      <c r="L95" s="100">
        <v>17.37</v>
      </c>
      <c r="M95" s="100">
        <v>71.180000000000007</v>
      </c>
      <c r="N95" s="100">
        <v>1.2</v>
      </c>
      <c r="O95" s="100">
        <v>0</v>
      </c>
      <c r="P95" s="100">
        <v>0.88</v>
      </c>
      <c r="Q95" s="100">
        <v>12.57</v>
      </c>
      <c r="R95" s="6"/>
      <c r="S95" s="6"/>
      <c r="T95" s="156"/>
      <c r="U95" s="6"/>
    </row>
    <row r="96" spans="1:21" customFormat="1">
      <c r="A96" s="163" t="s">
        <v>2150</v>
      </c>
      <c r="B96" s="100">
        <v>10.37</v>
      </c>
      <c r="C96" s="100">
        <v>27.37</v>
      </c>
      <c r="D96" s="100">
        <v>23.97</v>
      </c>
      <c r="E96" s="100">
        <v>9.39</v>
      </c>
      <c r="F96" s="100">
        <v>1.07</v>
      </c>
      <c r="G96" s="100">
        <v>78.180000000000007</v>
      </c>
      <c r="H96" s="100">
        <v>25.47</v>
      </c>
      <c r="I96" s="100">
        <v>10.89</v>
      </c>
      <c r="J96" s="100">
        <v>0.22</v>
      </c>
      <c r="K96" s="100">
        <v>224.18</v>
      </c>
      <c r="L96" s="100">
        <v>17.059999999999999</v>
      </c>
      <c r="M96" s="100">
        <v>67.97</v>
      </c>
      <c r="N96" s="100">
        <v>1.4</v>
      </c>
      <c r="O96" s="100">
        <v>0</v>
      </c>
      <c r="P96" s="100">
        <v>0.88</v>
      </c>
      <c r="Q96" s="100">
        <v>12.57</v>
      </c>
      <c r="R96" s="6"/>
      <c r="S96" s="6"/>
      <c r="T96" s="156"/>
      <c r="U96" s="6"/>
    </row>
    <row r="97" spans="1:28" customFormat="1">
      <c r="A97" s="163" t="s">
        <v>2151</v>
      </c>
      <c r="B97" s="100">
        <v>10.64</v>
      </c>
      <c r="C97" s="100">
        <v>27.33</v>
      </c>
      <c r="D97" s="100">
        <v>24.16</v>
      </c>
      <c r="E97" s="100">
        <v>9.26</v>
      </c>
      <c r="F97" s="100">
        <v>1.92</v>
      </c>
      <c r="G97" s="100">
        <v>78.180000000000007</v>
      </c>
      <c r="H97" s="100">
        <v>25.47</v>
      </c>
      <c r="I97" s="100">
        <v>10.95</v>
      </c>
      <c r="J97" s="100">
        <v>0.13</v>
      </c>
      <c r="K97" s="100">
        <v>180.39</v>
      </c>
      <c r="L97" s="100">
        <v>16.87</v>
      </c>
      <c r="M97" s="100">
        <v>71.760000000000005</v>
      </c>
      <c r="N97" s="100">
        <v>1.2</v>
      </c>
      <c r="O97" s="100">
        <v>0</v>
      </c>
      <c r="P97" s="100">
        <v>0.9</v>
      </c>
      <c r="Q97" s="100">
        <v>12.57</v>
      </c>
      <c r="R97" s="6"/>
      <c r="S97" s="6"/>
      <c r="T97" s="156"/>
      <c r="U97" s="6"/>
    </row>
    <row r="98" spans="1:28" customFormat="1">
      <c r="A98" s="163" t="s">
        <v>2152</v>
      </c>
      <c r="B98" s="100">
        <v>10.97</v>
      </c>
      <c r="C98" s="100">
        <v>27.11</v>
      </c>
      <c r="D98" s="100">
        <v>24.31</v>
      </c>
      <c r="E98" s="100">
        <v>9.32</v>
      </c>
      <c r="F98" s="100">
        <v>1.27</v>
      </c>
      <c r="G98" s="100">
        <v>83.52</v>
      </c>
      <c r="H98" s="100">
        <v>24.17</v>
      </c>
      <c r="I98" s="100">
        <v>11.02</v>
      </c>
      <c r="J98" s="100">
        <v>0.18</v>
      </c>
      <c r="K98" s="100">
        <v>177.28</v>
      </c>
      <c r="L98" s="100">
        <v>16.760000000000002</v>
      </c>
      <c r="M98" s="100">
        <v>75.349999999999994</v>
      </c>
      <c r="N98" s="100">
        <v>1.3</v>
      </c>
      <c r="O98" s="100">
        <v>0</v>
      </c>
      <c r="P98" s="100">
        <v>0.91</v>
      </c>
      <c r="Q98" s="100">
        <v>12.57</v>
      </c>
      <c r="R98" s="6"/>
      <c r="S98" s="6"/>
      <c r="T98" s="156"/>
      <c r="U98" s="6"/>
    </row>
    <row r="99" spans="1:28" customFormat="1">
      <c r="A99" s="163" t="s">
        <v>2153</v>
      </c>
      <c r="B99" s="100">
        <v>11.68</v>
      </c>
      <c r="C99" s="100">
        <v>27.04</v>
      </c>
      <c r="D99" s="100">
        <v>24.84</v>
      </c>
      <c r="E99" s="100">
        <v>8.83</v>
      </c>
      <c r="F99" s="100">
        <v>0.26</v>
      </c>
      <c r="G99" s="100">
        <v>86.77</v>
      </c>
      <c r="H99" s="100">
        <v>23.92</v>
      </c>
      <c r="I99" s="100">
        <v>11.15</v>
      </c>
      <c r="J99" s="100">
        <v>0.18</v>
      </c>
      <c r="K99" s="100">
        <v>169.85</v>
      </c>
      <c r="L99" s="100">
        <v>16.66</v>
      </c>
      <c r="M99" s="100">
        <v>75.39</v>
      </c>
      <c r="N99" s="100">
        <v>1.1000000000000001</v>
      </c>
      <c r="O99" s="100">
        <v>0</v>
      </c>
      <c r="P99" s="100">
        <v>0.94</v>
      </c>
      <c r="Q99" s="100">
        <v>12.57</v>
      </c>
      <c r="R99" s="6"/>
      <c r="S99" s="6"/>
      <c r="T99" s="156"/>
      <c r="U99" s="6"/>
    </row>
    <row r="100" spans="1:28" customFormat="1">
      <c r="A100" s="163" t="s">
        <v>2154</v>
      </c>
      <c r="B100" s="100">
        <v>12.79</v>
      </c>
      <c r="C100" s="100">
        <v>27.27</v>
      </c>
      <c r="D100" s="100">
        <v>25.85</v>
      </c>
      <c r="E100" s="100">
        <v>9.16</v>
      </c>
      <c r="F100" s="100">
        <v>0.78</v>
      </c>
      <c r="G100" s="100">
        <v>86.77</v>
      </c>
      <c r="H100" s="100">
        <v>23.92</v>
      </c>
      <c r="I100" s="100">
        <v>11.39</v>
      </c>
      <c r="J100" s="100">
        <v>0.18</v>
      </c>
      <c r="K100" s="100">
        <v>198.69</v>
      </c>
      <c r="L100" s="100">
        <v>16.54</v>
      </c>
      <c r="M100" s="100">
        <v>76.91</v>
      </c>
      <c r="N100" s="100">
        <v>1.2</v>
      </c>
      <c r="O100" s="100">
        <v>0</v>
      </c>
      <c r="P100" s="100">
        <v>0.98</v>
      </c>
      <c r="Q100" s="100">
        <v>12.57</v>
      </c>
      <c r="R100" s="6"/>
      <c r="S100" s="6"/>
      <c r="T100" s="156"/>
      <c r="U100" s="6"/>
      <c r="AB100" s="161"/>
    </row>
    <row r="101" spans="1:28" customFormat="1">
      <c r="A101" s="163" t="s">
        <v>2155</v>
      </c>
      <c r="B101" s="100">
        <v>14.05</v>
      </c>
      <c r="C101" s="100">
        <v>27.44</v>
      </c>
      <c r="D101" s="100">
        <v>26.95</v>
      </c>
      <c r="E101" s="100">
        <v>8.93</v>
      </c>
      <c r="F101" s="100">
        <v>1.25</v>
      </c>
      <c r="G101" s="100">
        <v>86.77</v>
      </c>
      <c r="H101" s="100">
        <v>23.92</v>
      </c>
      <c r="I101" s="100">
        <v>11.81</v>
      </c>
      <c r="J101" s="100">
        <v>0.14000000000000001</v>
      </c>
      <c r="K101" s="100">
        <v>187.44</v>
      </c>
      <c r="L101" s="100">
        <v>16.34</v>
      </c>
      <c r="M101" s="100">
        <v>76.849999999999994</v>
      </c>
      <c r="N101" s="100">
        <v>1.3</v>
      </c>
      <c r="O101" s="100">
        <v>0</v>
      </c>
      <c r="P101" s="100">
        <v>1.02</v>
      </c>
      <c r="Q101" s="100">
        <v>12.57</v>
      </c>
      <c r="R101" s="6"/>
      <c r="S101" s="6"/>
      <c r="T101" s="156"/>
      <c r="U101" s="6"/>
    </row>
    <row r="102" spans="1:28" customFormat="1">
      <c r="A102" s="163" t="s">
        <v>2156</v>
      </c>
      <c r="B102" s="100">
        <v>15.25</v>
      </c>
      <c r="C102" s="100">
        <v>27.37</v>
      </c>
      <c r="D102" s="100">
        <v>27.88</v>
      </c>
      <c r="E102" s="100">
        <v>9.1300000000000008</v>
      </c>
      <c r="F102" s="100">
        <v>0.26</v>
      </c>
      <c r="G102" s="100">
        <v>93.81</v>
      </c>
      <c r="H102" s="100">
        <v>27.73</v>
      </c>
      <c r="I102" s="100">
        <v>12.29</v>
      </c>
      <c r="J102" s="100">
        <v>0.16</v>
      </c>
      <c r="K102" s="100">
        <v>198.48</v>
      </c>
      <c r="L102" s="100">
        <v>16.11</v>
      </c>
      <c r="M102" s="100">
        <v>79.540000000000006</v>
      </c>
      <c r="N102" s="100">
        <v>1.3</v>
      </c>
      <c r="O102" s="100">
        <v>0</v>
      </c>
      <c r="P102" s="100">
        <v>1.05</v>
      </c>
      <c r="Q102" s="100">
        <v>12.57</v>
      </c>
      <c r="R102" s="6"/>
      <c r="S102" s="6"/>
      <c r="T102" s="156"/>
      <c r="U102" s="6"/>
    </row>
    <row r="103" spans="1:28" customFormat="1">
      <c r="A103" s="163" t="s">
        <v>2157</v>
      </c>
      <c r="B103" s="100">
        <v>15.96</v>
      </c>
      <c r="C103" s="100">
        <v>27.41</v>
      </c>
      <c r="D103" s="100">
        <v>28.47</v>
      </c>
      <c r="E103" s="100">
        <v>9.16</v>
      </c>
      <c r="F103" s="100">
        <v>0.51</v>
      </c>
      <c r="G103" s="100">
        <v>98.08</v>
      </c>
      <c r="H103" s="100">
        <v>28.48</v>
      </c>
      <c r="I103" s="100">
        <v>12.75</v>
      </c>
      <c r="J103" s="100">
        <v>0.17</v>
      </c>
      <c r="K103" s="100">
        <v>158.51</v>
      </c>
      <c r="L103" s="100">
        <v>16.079999999999998</v>
      </c>
      <c r="M103" s="100">
        <v>76.209999999999994</v>
      </c>
      <c r="N103" s="100">
        <v>1.2</v>
      </c>
      <c r="O103" s="100">
        <v>0</v>
      </c>
      <c r="P103" s="100">
        <v>1.06</v>
      </c>
      <c r="Q103" s="100">
        <v>12.57</v>
      </c>
      <c r="R103" s="6"/>
      <c r="S103" s="6"/>
      <c r="T103" s="156"/>
      <c r="U103" s="6"/>
    </row>
    <row r="104" spans="1:28" customFormat="1">
      <c r="A104" s="163" t="s">
        <v>2158</v>
      </c>
      <c r="B104" s="100">
        <v>16.32</v>
      </c>
      <c r="C104" s="100">
        <v>27.29</v>
      </c>
      <c r="D104" s="100">
        <v>28.69</v>
      </c>
      <c r="E104" s="100">
        <v>8.83</v>
      </c>
      <c r="F104" s="100">
        <v>0.97</v>
      </c>
      <c r="G104" s="100">
        <v>98.08</v>
      </c>
      <c r="H104" s="100">
        <v>28.48</v>
      </c>
      <c r="I104" s="100">
        <v>13.1</v>
      </c>
      <c r="J104" s="100">
        <v>0.24</v>
      </c>
      <c r="K104" s="100">
        <v>160.76</v>
      </c>
      <c r="L104" s="100">
        <v>16.010000000000002</v>
      </c>
      <c r="M104" s="100">
        <v>76.989999999999995</v>
      </c>
      <c r="N104" s="100">
        <v>1.2</v>
      </c>
      <c r="O104" s="100">
        <v>0</v>
      </c>
      <c r="P104" s="100">
        <v>1.08</v>
      </c>
      <c r="Q104" s="100">
        <v>12.57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4.3899999999999997</v>
      </c>
      <c r="C106" s="158">
        <f>MIN(C9:C104)</f>
        <v>23.04</v>
      </c>
      <c r="D106" s="158">
        <f t="shared" ref="D106:Q106" si="0">MIN(D9:D104)</f>
        <v>18.25</v>
      </c>
      <c r="E106" s="158">
        <f t="shared" si="0"/>
        <v>7.78</v>
      </c>
      <c r="F106" s="158">
        <f t="shared" si="0"/>
        <v>0.08</v>
      </c>
      <c r="G106" s="158">
        <f t="shared" si="0"/>
        <v>47.45</v>
      </c>
      <c r="H106" s="158">
        <f t="shared" si="0"/>
        <v>23.92</v>
      </c>
      <c r="I106" s="158">
        <f t="shared" si="0"/>
        <v>8.61</v>
      </c>
      <c r="J106" s="158">
        <f t="shared" si="0"/>
        <v>0.04</v>
      </c>
      <c r="K106" s="158">
        <f t="shared" si="0"/>
        <v>16.48</v>
      </c>
      <c r="L106" s="158">
        <f t="shared" si="0"/>
        <v>11.36</v>
      </c>
      <c r="M106" s="158">
        <f t="shared" si="0"/>
        <v>23.16</v>
      </c>
      <c r="N106" s="158">
        <f t="shared" si="0"/>
        <v>0.6</v>
      </c>
      <c r="O106" s="158">
        <f t="shared" si="0"/>
        <v>0</v>
      </c>
      <c r="P106" s="158">
        <f t="shared" si="0"/>
        <v>0.74</v>
      </c>
      <c r="Q106" s="158">
        <f t="shared" si="0"/>
        <v>12.57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43.95</v>
      </c>
      <c r="C107" s="157">
        <f t="shared" ref="C107:Q107" si="1">MAX(C9:C104)</f>
        <v>32.26</v>
      </c>
      <c r="D107" s="157">
        <f t="shared" si="1"/>
        <v>50.21</v>
      </c>
      <c r="E107" s="157">
        <f t="shared" si="1"/>
        <v>20.36</v>
      </c>
      <c r="F107" s="157">
        <f t="shared" si="1"/>
        <v>3.77</v>
      </c>
      <c r="G107" s="157">
        <f t="shared" si="1"/>
        <v>142.62</v>
      </c>
      <c r="H107" s="157">
        <f t="shared" si="1"/>
        <v>42.84</v>
      </c>
      <c r="I107" s="157">
        <f t="shared" si="1"/>
        <v>17.79</v>
      </c>
      <c r="J107" s="157">
        <f t="shared" si="1"/>
        <v>0.89</v>
      </c>
      <c r="K107" s="157">
        <f t="shared" si="1"/>
        <v>357.36</v>
      </c>
      <c r="L107" s="157">
        <f t="shared" si="1"/>
        <v>29.32</v>
      </c>
      <c r="M107" s="157">
        <f t="shared" si="1"/>
        <v>99.72</v>
      </c>
      <c r="N107" s="157">
        <f t="shared" si="1"/>
        <v>464.9</v>
      </c>
      <c r="O107" s="157">
        <f t="shared" si="1"/>
        <v>0</v>
      </c>
      <c r="P107" s="157">
        <f t="shared" si="1"/>
        <v>1.51</v>
      </c>
      <c r="Q107" s="157">
        <f t="shared" si="1"/>
        <v>12.57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20.168125000000014</v>
      </c>
      <c r="C108" s="158">
        <f t="shared" ref="C108:Q108" si="2">AVERAGE(C9:C104)</f>
        <v>27.332395833333326</v>
      </c>
      <c r="D108" s="158">
        <f t="shared" si="2"/>
        <v>31.80374999999999</v>
      </c>
      <c r="E108" s="158">
        <f t="shared" si="2"/>
        <v>9.9248958333333324</v>
      </c>
      <c r="F108" s="158">
        <f t="shared" si="2"/>
        <v>0.95895833333333325</v>
      </c>
      <c r="G108" s="158">
        <f t="shared" si="2"/>
        <v>96.562604166666688</v>
      </c>
      <c r="H108" s="158">
        <f t="shared" si="2"/>
        <v>33.270520833333336</v>
      </c>
      <c r="I108" s="158">
        <f t="shared" si="2"/>
        <v>13.20927083333334</v>
      </c>
      <c r="J108" s="158">
        <f t="shared" si="2"/>
        <v>0.31427083333333322</v>
      </c>
      <c r="K108" s="158">
        <f t="shared" si="2"/>
        <v>160.86677083333339</v>
      </c>
      <c r="L108" s="158">
        <f t="shared" si="2"/>
        <v>19.757916666666659</v>
      </c>
      <c r="M108" s="158">
        <f t="shared" si="2"/>
        <v>59.15760416666668</v>
      </c>
      <c r="N108" s="158">
        <f t="shared" si="2"/>
        <v>100.89895833333333</v>
      </c>
      <c r="O108" s="158">
        <f t="shared" si="2"/>
        <v>0</v>
      </c>
      <c r="P108" s="158">
        <f t="shared" si="2"/>
        <v>1.0881249999999996</v>
      </c>
      <c r="Q108" s="158">
        <f t="shared" si="2"/>
        <v>12.570000000000009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13.851037606011955</v>
      </c>
      <c r="C109" s="158">
        <f t="shared" ref="C109:Q109" si="3">STDEV(C9:C104)</f>
        <v>2.3104557512553168</v>
      </c>
      <c r="D109" s="158">
        <f t="shared" si="3"/>
        <v>10.792469036079641</v>
      </c>
      <c r="E109" s="158">
        <f t="shared" si="3"/>
        <v>2.8653516344482206</v>
      </c>
      <c r="F109" s="158">
        <f t="shared" si="3"/>
        <v>0.68653896146834625</v>
      </c>
      <c r="G109" s="158">
        <f t="shared" si="3"/>
        <v>30.459314995400351</v>
      </c>
      <c r="H109" s="158">
        <f t="shared" si="3"/>
        <v>4.8200262872817667</v>
      </c>
      <c r="I109" s="158">
        <f t="shared" si="3"/>
        <v>3.2174030864369367</v>
      </c>
      <c r="J109" s="158">
        <f t="shared" si="3"/>
        <v>0.21119083309286016</v>
      </c>
      <c r="K109" s="158">
        <f t="shared" si="3"/>
        <v>85.811102538869577</v>
      </c>
      <c r="L109" s="158">
        <f t="shared" si="3"/>
        <v>6.1121235721640783</v>
      </c>
      <c r="M109" s="158">
        <f t="shared" si="3"/>
        <v>26.352436409673288</v>
      </c>
      <c r="N109" s="158">
        <f t="shared" si="3"/>
        <v>162.67298646431522</v>
      </c>
      <c r="O109" s="158">
        <f t="shared" si="3"/>
        <v>0</v>
      </c>
      <c r="P109" s="158">
        <f t="shared" si="3"/>
        <v>0.27140303105005897</v>
      </c>
      <c r="Q109" s="158">
        <f t="shared" si="3"/>
        <v>8.9284080564417425E-15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7"/>
  <sheetViews>
    <sheetView zoomScale="92" zoomScaleNormal="92" workbookViewId="0">
      <pane xSplit="1" ySplit="8" topLeftCell="B102" activePane="bottomRight" state="frozen"/>
      <selection pane="topRight"/>
      <selection pane="bottomLeft"/>
      <selection pane="bottomRight" activeCell="D101" sqref="D10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21/01/2025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2159</v>
      </c>
      <c r="B9" s="100">
        <v>15.91</v>
      </c>
      <c r="C9" s="100">
        <v>27.25</v>
      </c>
      <c r="D9" s="100">
        <v>28.34</v>
      </c>
      <c r="E9" s="100">
        <v>9.0399999999999991</v>
      </c>
      <c r="F9" s="100">
        <v>0.99</v>
      </c>
      <c r="G9" s="100">
        <v>98.08</v>
      </c>
      <c r="H9" s="100">
        <v>28.48</v>
      </c>
      <c r="I9" s="100">
        <v>13.29</v>
      </c>
      <c r="J9" s="100">
        <v>0.2</v>
      </c>
      <c r="K9" s="100">
        <v>161.11000000000001</v>
      </c>
      <c r="L9" s="100">
        <v>15.88</v>
      </c>
      <c r="M9" s="100">
        <v>79.11</v>
      </c>
      <c r="N9" s="100">
        <v>1.2</v>
      </c>
      <c r="O9" s="100">
        <v>0</v>
      </c>
      <c r="P9" s="100">
        <v>1.0900000000000001</v>
      </c>
      <c r="Q9" s="100">
        <v>11.25</v>
      </c>
      <c r="R9" s="6"/>
      <c r="S9" s="6"/>
      <c r="T9" s="156"/>
      <c r="U9" s="6"/>
    </row>
    <row r="10" spans="1:21" customFormat="1">
      <c r="A10" s="163" t="s">
        <v>2160</v>
      </c>
      <c r="B10" s="100">
        <v>15.87</v>
      </c>
      <c r="C10" s="100">
        <v>27.07</v>
      </c>
      <c r="D10" s="100">
        <v>28.22</v>
      </c>
      <c r="E10" s="100">
        <v>9.18</v>
      </c>
      <c r="F10" s="100">
        <v>0.63</v>
      </c>
      <c r="G10" s="100">
        <v>95.18</v>
      </c>
      <c r="H10" s="100">
        <v>28.19</v>
      </c>
      <c r="I10" s="100">
        <v>13.47</v>
      </c>
      <c r="J10" s="100">
        <v>0.24</v>
      </c>
      <c r="K10" s="100">
        <v>160.72</v>
      </c>
      <c r="L10" s="100">
        <v>15.84</v>
      </c>
      <c r="M10" s="100">
        <v>79.5</v>
      </c>
      <c r="N10" s="100">
        <v>1.1000000000000001</v>
      </c>
      <c r="O10" s="100">
        <v>0</v>
      </c>
      <c r="P10" s="100">
        <v>1.1000000000000001</v>
      </c>
      <c r="Q10" s="100">
        <v>11.25</v>
      </c>
      <c r="R10" s="6"/>
      <c r="S10" s="6"/>
      <c r="T10" s="156"/>
      <c r="U10" s="6"/>
    </row>
    <row r="11" spans="1:21" customFormat="1">
      <c r="A11" s="163" t="s">
        <v>2161</v>
      </c>
      <c r="B11" s="100">
        <v>15.81</v>
      </c>
      <c r="C11" s="100">
        <v>26.9</v>
      </c>
      <c r="D11" s="100">
        <v>28.08</v>
      </c>
      <c r="E11" s="100">
        <v>8.9600000000000009</v>
      </c>
      <c r="F11" s="100">
        <v>0.28999999999999998</v>
      </c>
      <c r="G11" s="100">
        <v>93.41</v>
      </c>
      <c r="H11" s="100">
        <v>28.14</v>
      </c>
      <c r="I11" s="100">
        <v>13.63</v>
      </c>
      <c r="J11" s="100">
        <v>0.17</v>
      </c>
      <c r="K11" s="100">
        <v>161.1</v>
      </c>
      <c r="L11" s="100">
        <v>15.71</v>
      </c>
      <c r="M11" s="100">
        <v>79.569999999999993</v>
      </c>
      <c r="N11" s="100">
        <v>1.3</v>
      </c>
      <c r="O11" s="100">
        <v>0</v>
      </c>
      <c r="P11" s="100">
        <v>1.1100000000000001</v>
      </c>
      <c r="Q11" s="100">
        <v>11.25</v>
      </c>
      <c r="R11" s="6"/>
      <c r="S11" s="6"/>
      <c r="T11" s="156"/>
      <c r="U11" s="6"/>
    </row>
    <row r="12" spans="1:21" customFormat="1">
      <c r="A12" s="163" t="s">
        <v>2162</v>
      </c>
      <c r="B12" s="100">
        <v>15.64</v>
      </c>
      <c r="C12" s="100">
        <v>26.78</v>
      </c>
      <c r="D12" s="100">
        <v>27.89</v>
      </c>
      <c r="E12" s="100">
        <v>8.83</v>
      </c>
      <c r="F12" s="100">
        <v>0.57999999999999996</v>
      </c>
      <c r="G12" s="100">
        <v>93.41</v>
      </c>
      <c r="H12" s="100">
        <v>28.14</v>
      </c>
      <c r="I12" s="100">
        <v>13.79</v>
      </c>
      <c r="J12" s="100">
        <v>0.19</v>
      </c>
      <c r="K12" s="100">
        <v>170.19</v>
      </c>
      <c r="L12" s="100">
        <v>15.68</v>
      </c>
      <c r="M12" s="100">
        <v>80.92</v>
      </c>
      <c r="N12" s="100">
        <v>1.1000000000000001</v>
      </c>
      <c r="O12" s="100">
        <v>0</v>
      </c>
      <c r="P12" s="100">
        <v>1.1100000000000001</v>
      </c>
      <c r="Q12" s="100">
        <v>11.25</v>
      </c>
      <c r="R12" s="6"/>
      <c r="S12" s="6"/>
      <c r="T12" s="156"/>
      <c r="U12" s="6"/>
    </row>
    <row r="13" spans="1:21" customFormat="1">
      <c r="A13" s="163" t="s">
        <v>2163</v>
      </c>
      <c r="B13" s="100">
        <v>15.34</v>
      </c>
      <c r="C13" s="100">
        <v>26.61</v>
      </c>
      <c r="D13" s="100">
        <v>27.56</v>
      </c>
      <c r="E13" s="100">
        <v>8.74</v>
      </c>
      <c r="F13" s="100">
        <v>0.38</v>
      </c>
      <c r="G13" s="100">
        <v>93.41</v>
      </c>
      <c r="H13" s="100">
        <v>28.14</v>
      </c>
      <c r="I13" s="100">
        <v>13.88</v>
      </c>
      <c r="J13" s="100">
        <v>0.18</v>
      </c>
      <c r="K13" s="100">
        <v>156.46</v>
      </c>
      <c r="L13" s="100">
        <v>15.55</v>
      </c>
      <c r="M13" s="100">
        <v>79.64</v>
      </c>
      <c r="N13" s="100">
        <v>1.3</v>
      </c>
      <c r="O13" s="100">
        <v>0</v>
      </c>
      <c r="P13" s="100">
        <v>1.1200000000000001</v>
      </c>
      <c r="Q13" s="100">
        <v>11.25</v>
      </c>
      <c r="R13" s="6"/>
      <c r="S13" s="6"/>
      <c r="T13" s="156"/>
      <c r="U13" s="6"/>
    </row>
    <row r="14" spans="1:21" customFormat="1">
      <c r="A14" s="163" t="s">
        <v>2164</v>
      </c>
      <c r="B14" s="100">
        <v>15.45</v>
      </c>
      <c r="C14" s="100">
        <v>26.36</v>
      </c>
      <c r="D14" s="100">
        <v>27.51</v>
      </c>
      <c r="E14" s="100">
        <v>8.56</v>
      </c>
      <c r="F14" s="100">
        <v>0.23</v>
      </c>
      <c r="G14" s="100">
        <v>90.79</v>
      </c>
      <c r="H14" s="100">
        <v>27.74</v>
      </c>
      <c r="I14" s="100">
        <v>14.01</v>
      </c>
      <c r="J14" s="100">
        <v>0.16</v>
      </c>
      <c r="K14" s="100">
        <v>164.07</v>
      </c>
      <c r="L14" s="100">
        <v>15.54</v>
      </c>
      <c r="M14" s="100">
        <v>79.78</v>
      </c>
      <c r="N14" s="100">
        <v>1.1000000000000001</v>
      </c>
      <c r="O14" s="100">
        <v>0</v>
      </c>
      <c r="P14" s="100">
        <v>1.1200000000000001</v>
      </c>
      <c r="Q14" s="100">
        <v>11.25</v>
      </c>
      <c r="R14" s="6"/>
      <c r="S14" s="6"/>
      <c r="T14" s="156"/>
      <c r="U14" s="6"/>
    </row>
    <row r="15" spans="1:21" customFormat="1">
      <c r="A15" s="163" t="s">
        <v>2165</v>
      </c>
      <c r="B15" s="100">
        <v>17.2</v>
      </c>
      <c r="C15" s="100">
        <v>26.44</v>
      </c>
      <c r="D15" s="100">
        <v>28.96</v>
      </c>
      <c r="E15" s="100">
        <v>9.16</v>
      </c>
      <c r="F15" s="100">
        <v>1.34</v>
      </c>
      <c r="G15" s="100">
        <v>89.19</v>
      </c>
      <c r="H15" s="100">
        <v>27.65</v>
      </c>
      <c r="I15" s="100">
        <v>14.07</v>
      </c>
      <c r="J15" s="100">
        <v>0.22</v>
      </c>
      <c r="K15" s="100">
        <v>202.63</v>
      </c>
      <c r="L15" s="100">
        <v>15.37</v>
      </c>
      <c r="M15" s="100">
        <v>82.49</v>
      </c>
      <c r="N15" s="100">
        <v>1.2</v>
      </c>
      <c r="O15" s="100">
        <v>0</v>
      </c>
      <c r="P15" s="100">
        <v>1.1399999999999999</v>
      </c>
      <c r="Q15" s="100">
        <v>11.25</v>
      </c>
      <c r="R15" s="6"/>
      <c r="S15" s="6"/>
      <c r="T15" s="156"/>
      <c r="U15" s="6"/>
    </row>
    <row r="16" spans="1:21" customFormat="1">
      <c r="A16" s="163" t="s">
        <v>2166</v>
      </c>
      <c r="B16" s="100">
        <v>18.25</v>
      </c>
      <c r="C16" s="100">
        <v>26.29</v>
      </c>
      <c r="D16" s="100">
        <v>29.72</v>
      </c>
      <c r="E16" s="100">
        <v>8.9499999999999993</v>
      </c>
      <c r="F16" s="100">
        <v>0.79</v>
      </c>
      <c r="G16" s="100">
        <v>89.19</v>
      </c>
      <c r="H16" s="100">
        <v>27.65</v>
      </c>
      <c r="I16" s="100">
        <v>14.18</v>
      </c>
      <c r="J16" s="100">
        <v>0.08</v>
      </c>
      <c r="K16" s="100">
        <v>136.97</v>
      </c>
      <c r="L16" s="100">
        <v>14.84</v>
      </c>
      <c r="M16" s="100">
        <v>85.48</v>
      </c>
      <c r="N16" s="100">
        <v>1.5</v>
      </c>
      <c r="O16" s="100">
        <v>0</v>
      </c>
      <c r="P16" s="100">
        <v>1.1399999999999999</v>
      </c>
      <c r="Q16" s="100">
        <v>11.25</v>
      </c>
      <c r="R16" s="6"/>
      <c r="S16" s="6"/>
      <c r="T16" s="156"/>
      <c r="U16" s="6"/>
    </row>
    <row r="17" spans="1:21" customFormat="1">
      <c r="A17" s="163" t="s">
        <v>2167</v>
      </c>
      <c r="B17" s="100">
        <v>19.440000000000001</v>
      </c>
      <c r="C17" s="100">
        <v>26.35</v>
      </c>
      <c r="D17" s="100">
        <v>30.71</v>
      </c>
      <c r="E17" s="100">
        <v>7.26</v>
      </c>
      <c r="F17" s="100">
        <v>0.84</v>
      </c>
      <c r="G17" s="100">
        <v>89.19</v>
      </c>
      <c r="H17" s="100">
        <v>27.65</v>
      </c>
      <c r="I17" s="100">
        <v>14.3</v>
      </c>
      <c r="J17" s="100">
        <v>0.12</v>
      </c>
      <c r="K17" s="100">
        <v>163.76</v>
      </c>
      <c r="L17" s="100">
        <v>14.87</v>
      </c>
      <c r="M17" s="100">
        <v>81.569999999999993</v>
      </c>
      <c r="N17" s="100">
        <v>1.1000000000000001</v>
      </c>
      <c r="O17" s="100">
        <v>0</v>
      </c>
      <c r="P17" s="100">
        <v>1.1499999999999999</v>
      </c>
      <c r="Q17" s="100">
        <v>11.25</v>
      </c>
      <c r="R17" s="6"/>
      <c r="S17" s="6"/>
      <c r="T17" s="156"/>
      <c r="U17" s="6"/>
    </row>
    <row r="18" spans="1:21" customFormat="1">
      <c r="A18" s="163" t="s">
        <v>2168</v>
      </c>
      <c r="B18" s="100">
        <v>21.68</v>
      </c>
      <c r="C18" s="100">
        <v>26.55</v>
      </c>
      <c r="D18" s="100">
        <v>32.61</v>
      </c>
      <c r="E18" s="100">
        <v>8.68</v>
      </c>
      <c r="F18" s="100">
        <v>0.82</v>
      </c>
      <c r="G18" s="100">
        <v>88.03</v>
      </c>
      <c r="H18" s="100">
        <v>28.25</v>
      </c>
      <c r="I18" s="100">
        <v>14.34</v>
      </c>
      <c r="J18" s="100">
        <v>0.26</v>
      </c>
      <c r="K18" s="100">
        <v>159.9</v>
      </c>
      <c r="L18" s="100">
        <v>14.92</v>
      </c>
      <c r="M18" s="100">
        <v>83.4</v>
      </c>
      <c r="N18" s="100">
        <v>1.2</v>
      </c>
      <c r="O18" s="100">
        <v>0</v>
      </c>
      <c r="P18" s="100">
        <v>1.1499999999999999</v>
      </c>
      <c r="Q18" s="100">
        <v>11.25</v>
      </c>
      <c r="R18" s="6"/>
      <c r="S18" s="6"/>
      <c r="T18" s="156"/>
      <c r="U18" s="6"/>
    </row>
    <row r="19" spans="1:21" customFormat="1">
      <c r="A19" s="163" t="s">
        <v>2169</v>
      </c>
      <c r="B19" s="100">
        <v>23.62</v>
      </c>
      <c r="C19" s="100">
        <v>26.55</v>
      </c>
      <c r="D19" s="100">
        <v>34.159999999999997</v>
      </c>
      <c r="E19" s="100">
        <v>8.68</v>
      </c>
      <c r="F19" s="100">
        <v>0.34</v>
      </c>
      <c r="G19" s="100">
        <v>87.33</v>
      </c>
      <c r="H19" s="100">
        <v>28.48</v>
      </c>
      <c r="I19" s="100">
        <v>14.39</v>
      </c>
      <c r="J19" s="100">
        <v>0.22</v>
      </c>
      <c r="K19" s="100">
        <v>207.06</v>
      </c>
      <c r="L19" s="100">
        <v>14.5</v>
      </c>
      <c r="M19" s="100">
        <v>86.74</v>
      </c>
      <c r="N19" s="100">
        <v>1.4</v>
      </c>
      <c r="O19" s="100">
        <v>0</v>
      </c>
      <c r="P19" s="100">
        <v>1.1499999999999999</v>
      </c>
      <c r="Q19" s="100">
        <v>11.25</v>
      </c>
      <c r="R19" s="6"/>
      <c r="S19" s="6"/>
      <c r="T19" s="156"/>
      <c r="U19" s="6"/>
    </row>
    <row r="20" spans="1:21" customFormat="1">
      <c r="A20" s="163" t="s">
        <v>2170</v>
      </c>
      <c r="B20" s="100">
        <v>24.91</v>
      </c>
      <c r="C20" s="100">
        <v>26.41</v>
      </c>
      <c r="D20" s="100">
        <v>35.130000000000003</v>
      </c>
      <c r="E20" s="100">
        <v>8.75</v>
      </c>
      <c r="F20" s="100">
        <v>0.67</v>
      </c>
      <c r="G20" s="100">
        <v>87.33</v>
      </c>
      <c r="H20" s="100">
        <v>28.48</v>
      </c>
      <c r="I20" s="100">
        <v>14.48</v>
      </c>
      <c r="J20" s="100">
        <v>0.12</v>
      </c>
      <c r="K20" s="100">
        <v>199.07</v>
      </c>
      <c r="L20" s="100">
        <v>14.18</v>
      </c>
      <c r="M20" s="100">
        <v>87.8</v>
      </c>
      <c r="N20" s="100">
        <v>1.4</v>
      </c>
      <c r="O20" s="100">
        <v>0</v>
      </c>
      <c r="P20" s="100">
        <v>1.1599999999999999</v>
      </c>
      <c r="Q20" s="100">
        <v>11.25</v>
      </c>
      <c r="R20" s="6"/>
      <c r="S20" s="6"/>
      <c r="T20" s="156"/>
      <c r="U20" s="6"/>
    </row>
    <row r="21" spans="1:21" customFormat="1">
      <c r="A21" s="163" t="s">
        <v>2171</v>
      </c>
      <c r="B21" s="100">
        <v>25.66</v>
      </c>
      <c r="C21" s="100">
        <v>26.14</v>
      </c>
      <c r="D21" s="100">
        <v>35.590000000000003</v>
      </c>
      <c r="E21" s="100">
        <v>8.42</v>
      </c>
      <c r="F21" s="100">
        <v>0.57999999999999996</v>
      </c>
      <c r="G21" s="100">
        <v>87.33</v>
      </c>
      <c r="H21" s="100">
        <v>28.48</v>
      </c>
      <c r="I21" s="100">
        <v>14.56</v>
      </c>
      <c r="J21" s="100">
        <v>0.13</v>
      </c>
      <c r="K21" s="100">
        <v>207.12</v>
      </c>
      <c r="L21" s="100">
        <v>14.03</v>
      </c>
      <c r="M21" s="100">
        <v>86.71</v>
      </c>
      <c r="N21" s="100">
        <v>1.2</v>
      </c>
      <c r="O21" s="100">
        <v>0</v>
      </c>
      <c r="P21" s="100">
        <v>1.1599999999999999</v>
      </c>
      <c r="Q21" s="100">
        <v>11.25</v>
      </c>
      <c r="R21" s="6"/>
      <c r="S21" s="6"/>
      <c r="T21" s="156"/>
      <c r="U21" s="6"/>
    </row>
    <row r="22" spans="1:21" customFormat="1">
      <c r="A22" s="163" t="s">
        <v>2172</v>
      </c>
      <c r="B22" s="100">
        <v>25.61</v>
      </c>
      <c r="C22" s="100">
        <v>26.01</v>
      </c>
      <c r="D22" s="100">
        <v>35.479999999999997</v>
      </c>
      <c r="E22" s="100">
        <v>8.73</v>
      </c>
      <c r="F22" s="100">
        <v>0.19</v>
      </c>
      <c r="G22" s="100">
        <v>86.15</v>
      </c>
      <c r="H22" s="100">
        <v>27.39</v>
      </c>
      <c r="I22" s="100">
        <v>14.59</v>
      </c>
      <c r="J22" s="100">
        <v>0.13</v>
      </c>
      <c r="K22" s="100">
        <v>214.57</v>
      </c>
      <c r="L22" s="100">
        <v>14.07</v>
      </c>
      <c r="M22" s="100">
        <v>86.39</v>
      </c>
      <c r="N22" s="100">
        <v>1</v>
      </c>
      <c r="O22" s="100">
        <v>0</v>
      </c>
      <c r="P22" s="100">
        <v>1.1499999999999999</v>
      </c>
      <c r="Q22" s="100">
        <v>11.25</v>
      </c>
      <c r="R22" s="6"/>
      <c r="S22" s="6"/>
      <c r="T22" s="156"/>
      <c r="U22" s="6"/>
    </row>
    <row r="23" spans="1:21" customFormat="1">
      <c r="A23" s="163" t="s">
        <v>2173</v>
      </c>
      <c r="B23" s="100">
        <v>25.24</v>
      </c>
      <c r="C23" s="100">
        <v>25.76</v>
      </c>
      <c r="D23" s="100">
        <v>35.049999999999997</v>
      </c>
      <c r="E23" s="100">
        <v>8.3699999999999992</v>
      </c>
      <c r="F23" s="100">
        <v>0.65</v>
      </c>
      <c r="G23" s="100">
        <v>85.43</v>
      </c>
      <c r="H23" s="100">
        <v>27.15</v>
      </c>
      <c r="I23" s="100">
        <v>14.55</v>
      </c>
      <c r="J23" s="100">
        <v>0.12</v>
      </c>
      <c r="K23" s="100">
        <v>149.13</v>
      </c>
      <c r="L23" s="100">
        <v>13.95</v>
      </c>
      <c r="M23" s="100">
        <v>87.24</v>
      </c>
      <c r="N23" s="100">
        <v>1.2</v>
      </c>
      <c r="O23" s="100">
        <v>0</v>
      </c>
      <c r="P23" s="100">
        <v>1.1399999999999999</v>
      </c>
      <c r="Q23" s="100">
        <v>11.25</v>
      </c>
      <c r="R23" s="6"/>
      <c r="S23" s="6"/>
      <c r="T23" s="156"/>
      <c r="U23" s="6"/>
    </row>
    <row r="24" spans="1:21" customFormat="1">
      <c r="A24" s="163" t="s">
        <v>2174</v>
      </c>
      <c r="B24" s="100">
        <v>24.67</v>
      </c>
      <c r="C24" s="100">
        <v>25.54</v>
      </c>
      <c r="D24" s="100">
        <v>34.479999999999997</v>
      </c>
      <c r="E24" s="100">
        <v>8.81</v>
      </c>
      <c r="F24" s="100">
        <v>0.42</v>
      </c>
      <c r="G24" s="100">
        <v>85.43</v>
      </c>
      <c r="H24" s="100">
        <v>27.15</v>
      </c>
      <c r="I24" s="100">
        <v>14.49</v>
      </c>
      <c r="J24" s="100">
        <v>0.19</v>
      </c>
      <c r="K24" s="100">
        <v>200.4</v>
      </c>
      <c r="L24" s="100">
        <v>13.92</v>
      </c>
      <c r="M24" s="100">
        <v>86.87</v>
      </c>
      <c r="N24" s="100">
        <v>1</v>
      </c>
      <c r="O24" s="100">
        <v>0</v>
      </c>
      <c r="P24" s="100">
        <v>1.1299999999999999</v>
      </c>
      <c r="Q24" s="100">
        <v>11.25</v>
      </c>
      <c r="R24" s="6"/>
      <c r="S24" s="6"/>
      <c r="T24" s="156"/>
      <c r="U24" s="6"/>
    </row>
    <row r="25" spans="1:21" customFormat="1">
      <c r="A25" s="163" t="s">
        <v>2175</v>
      </c>
      <c r="B25" s="100">
        <v>23.93</v>
      </c>
      <c r="C25" s="100">
        <v>25.35</v>
      </c>
      <c r="D25" s="100">
        <v>33.79</v>
      </c>
      <c r="E25" s="100">
        <v>8.64</v>
      </c>
      <c r="F25" s="100">
        <v>1.67</v>
      </c>
      <c r="G25" s="100">
        <v>85.43</v>
      </c>
      <c r="H25" s="100">
        <v>27.15</v>
      </c>
      <c r="I25" s="100">
        <v>14.38</v>
      </c>
      <c r="J25" s="100">
        <v>0.19</v>
      </c>
      <c r="K25" s="100">
        <v>205.43</v>
      </c>
      <c r="L25" s="100">
        <v>13.59</v>
      </c>
      <c r="M25" s="100">
        <v>88.23</v>
      </c>
      <c r="N25" s="100">
        <v>1.4</v>
      </c>
      <c r="O25" s="100">
        <v>0</v>
      </c>
      <c r="P25" s="100">
        <v>1.1100000000000001</v>
      </c>
      <c r="Q25" s="100">
        <v>11.25</v>
      </c>
      <c r="R25" s="6"/>
      <c r="S25" s="6"/>
      <c r="T25" s="156"/>
      <c r="U25" s="6"/>
    </row>
    <row r="26" spans="1:21" customFormat="1">
      <c r="A26" s="163" t="s">
        <v>2176</v>
      </c>
      <c r="B26" s="100">
        <v>23.23</v>
      </c>
      <c r="C26" s="100">
        <v>24.96</v>
      </c>
      <c r="D26" s="100">
        <v>33.020000000000003</v>
      </c>
      <c r="E26" s="100">
        <v>8.7799999999999994</v>
      </c>
      <c r="F26" s="100">
        <v>0.84</v>
      </c>
      <c r="G26" s="100">
        <v>77.7</v>
      </c>
      <c r="H26" s="100">
        <v>23.99</v>
      </c>
      <c r="I26" s="100">
        <v>14.25</v>
      </c>
      <c r="J26" s="100">
        <v>0.12</v>
      </c>
      <c r="K26" s="100">
        <v>202.05</v>
      </c>
      <c r="L26" s="100">
        <v>13.3</v>
      </c>
      <c r="M26" s="100">
        <v>89.05</v>
      </c>
      <c r="N26" s="100">
        <v>1.3</v>
      </c>
      <c r="O26" s="100">
        <v>0</v>
      </c>
      <c r="P26" s="100">
        <v>1.1000000000000001</v>
      </c>
      <c r="Q26" s="100">
        <v>11.25</v>
      </c>
      <c r="R26" s="6"/>
      <c r="S26" s="6"/>
      <c r="T26" s="156"/>
      <c r="U26" s="6"/>
    </row>
    <row r="27" spans="1:21" customFormat="1">
      <c r="A27" s="163" t="s">
        <v>2177</v>
      </c>
      <c r="B27" s="100">
        <v>22.43</v>
      </c>
      <c r="C27" s="100">
        <v>24.63</v>
      </c>
      <c r="D27" s="100">
        <v>32.21</v>
      </c>
      <c r="E27" s="100">
        <v>8.6199999999999992</v>
      </c>
      <c r="F27" s="100">
        <v>0.39</v>
      </c>
      <c r="G27" s="100">
        <v>73</v>
      </c>
      <c r="H27" s="100">
        <v>23.3</v>
      </c>
      <c r="I27" s="100">
        <v>14.11</v>
      </c>
      <c r="J27" s="100">
        <v>0.1</v>
      </c>
      <c r="K27" s="100">
        <v>162.69</v>
      </c>
      <c r="L27" s="100">
        <v>13.22</v>
      </c>
      <c r="M27" s="100">
        <v>89.69</v>
      </c>
      <c r="N27" s="100">
        <v>1.1000000000000001</v>
      </c>
      <c r="O27" s="100">
        <v>0</v>
      </c>
      <c r="P27" s="100">
        <v>1.1000000000000001</v>
      </c>
      <c r="Q27" s="100">
        <v>11.25</v>
      </c>
      <c r="R27" s="6"/>
      <c r="S27" s="6"/>
      <c r="T27" s="156"/>
      <c r="U27" s="6"/>
    </row>
    <row r="28" spans="1:21" customFormat="1">
      <c r="A28" s="163" t="s">
        <v>2178</v>
      </c>
      <c r="B28" s="100">
        <v>21.83</v>
      </c>
      <c r="C28" s="100">
        <v>24.44</v>
      </c>
      <c r="D28" s="100">
        <v>31.63</v>
      </c>
      <c r="E28" s="100">
        <v>8.36</v>
      </c>
      <c r="F28" s="100">
        <v>1.1100000000000001</v>
      </c>
      <c r="G28" s="100">
        <v>73</v>
      </c>
      <c r="H28" s="100">
        <v>23.3</v>
      </c>
      <c r="I28" s="100">
        <v>14.05</v>
      </c>
      <c r="J28" s="100">
        <v>0.19</v>
      </c>
      <c r="K28" s="100">
        <v>151.13999999999999</v>
      </c>
      <c r="L28" s="100">
        <v>13.42</v>
      </c>
      <c r="M28" s="100">
        <v>87.05</v>
      </c>
      <c r="N28" s="100">
        <v>1</v>
      </c>
      <c r="O28" s="100">
        <v>0</v>
      </c>
      <c r="P28" s="100">
        <v>1.0900000000000001</v>
      </c>
      <c r="Q28" s="100">
        <v>11.25</v>
      </c>
      <c r="R28" s="6"/>
      <c r="S28" s="6"/>
      <c r="T28" s="156"/>
      <c r="U28" s="6"/>
    </row>
    <row r="29" spans="1:21" customFormat="1">
      <c r="A29" s="163" t="s">
        <v>2179</v>
      </c>
      <c r="B29" s="100">
        <v>22.51</v>
      </c>
      <c r="C29" s="100">
        <v>24.52</v>
      </c>
      <c r="D29" s="100">
        <v>32.22</v>
      </c>
      <c r="E29" s="100">
        <v>8.84</v>
      </c>
      <c r="F29" s="100">
        <v>1.08</v>
      </c>
      <c r="G29" s="100">
        <v>73</v>
      </c>
      <c r="H29" s="100">
        <v>23.3</v>
      </c>
      <c r="I29" s="100">
        <v>13.91</v>
      </c>
      <c r="J29" s="100">
        <v>0.23</v>
      </c>
      <c r="K29" s="100">
        <v>156.33000000000001</v>
      </c>
      <c r="L29" s="100">
        <v>13.6</v>
      </c>
      <c r="M29" s="100">
        <v>87.17</v>
      </c>
      <c r="N29" s="100">
        <v>1</v>
      </c>
      <c r="O29" s="100">
        <v>0</v>
      </c>
      <c r="P29" s="100">
        <v>1.08</v>
      </c>
      <c r="Q29" s="100">
        <v>11.25</v>
      </c>
      <c r="R29" s="6"/>
      <c r="S29" s="6"/>
      <c r="T29" s="156"/>
      <c r="U29" s="6"/>
    </row>
    <row r="30" spans="1:21" customFormat="1">
      <c r="A30" s="163" t="s">
        <v>2180</v>
      </c>
      <c r="B30" s="100">
        <v>22.63</v>
      </c>
      <c r="C30" s="100">
        <v>24.5</v>
      </c>
      <c r="D30" s="100">
        <v>32.299999999999997</v>
      </c>
      <c r="E30" s="100">
        <v>8.26</v>
      </c>
      <c r="F30" s="100">
        <v>1.02</v>
      </c>
      <c r="G30" s="100">
        <v>74.37</v>
      </c>
      <c r="H30" s="100">
        <v>25.8</v>
      </c>
      <c r="I30" s="100">
        <v>13.84</v>
      </c>
      <c r="J30" s="100">
        <v>0.19</v>
      </c>
      <c r="K30" s="100">
        <v>205.24</v>
      </c>
      <c r="L30" s="100">
        <v>13.43</v>
      </c>
      <c r="M30" s="100">
        <v>95.38</v>
      </c>
      <c r="N30" s="100">
        <v>1.2</v>
      </c>
      <c r="O30" s="100">
        <v>0</v>
      </c>
      <c r="P30" s="100">
        <v>1.07</v>
      </c>
      <c r="Q30" s="100">
        <v>11.25</v>
      </c>
      <c r="R30" s="6"/>
      <c r="S30" s="6"/>
      <c r="T30" s="156"/>
      <c r="U30" s="6"/>
    </row>
    <row r="31" spans="1:21" customFormat="1">
      <c r="A31" s="163" t="s">
        <v>2181</v>
      </c>
      <c r="B31" s="100">
        <v>22.02</v>
      </c>
      <c r="C31" s="100">
        <v>24.37</v>
      </c>
      <c r="D31" s="100">
        <v>31.74</v>
      </c>
      <c r="E31" s="100">
        <v>8.5299999999999994</v>
      </c>
      <c r="F31" s="100">
        <v>0.49</v>
      </c>
      <c r="G31" s="100">
        <v>75.2</v>
      </c>
      <c r="H31" s="100">
        <v>26.35</v>
      </c>
      <c r="I31" s="100">
        <v>13.76</v>
      </c>
      <c r="J31" s="100">
        <v>0.15</v>
      </c>
      <c r="K31" s="100">
        <v>212.29</v>
      </c>
      <c r="L31" s="100">
        <v>13.04</v>
      </c>
      <c r="M31" s="100">
        <v>101.17</v>
      </c>
      <c r="N31" s="100">
        <v>1.4</v>
      </c>
      <c r="O31" s="100">
        <v>0</v>
      </c>
      <c r="P31" s="100">
        <v>1.06</v>
      </c>
      <c r="Q31" s="100">
        <v>11.25</v>
      </c>
      <c r="R31" s="6"/>
      <c r="S31" s="6"/>
      <c r="T31" s="156"/>
      <c r="U31" s="6"/>
    </row>
    <row r="32" spans="1:21" customFormat="1">
      <c r="A32" s="163" t="s">
        <v>2182</v>
      </c>
      <c r="B32" s="100">
        <v>21.17</v>
      </c>
      <c r="C32" s="100">
        <v>23.97</v>
      </c>
      <c r="D32" s="100">
        <v>30.85</v>
      </c>
      <c r="E32" s="100">
        <v>8.18</v>
      </c>
      <c r="F32" s="100">
        <v>1.91</v>
      </c>
      <c r="G32" s="100">
        <v>75.2</v>
      </c>
      <c r="H32" s="100">
        <v>26.35</v>
      </c>
      <c r="I32" s="100">
        <v>13.69</v>
      </c>
      <c r="J32" s="100">
        <v>0.14000000000000001</v>
      </c>
      <c r="K32" s="100">
        <v>199.91</v>
      </c>
      <c r="L32" s="100">
        <v>12.91</v>
      </c>
      <c r="M32" s="100">
        <v>102.18</v>
      </c>
      <c r="N32" s="100">
        <v>1.3</v>
      </c>
      <c r="O32" s="100">
        <v>0</v>
      </c>
      <c r="P32" s="100">
        <v>1.05</v>
      </c>
      <c r="Q32" s="100">
        <v>11.25</v>
      </c>
      <c r="R32" s="6"/>
      <c r="S32" s="6"/>
      <c r="T32" s="156"/>
      <c r="U32" s="6"/>
    </row>
    <row r="33" spans="1:21" customFormat="1">
      <c r="A33" s="163" t="s">
        <v>2183</v>
      </c>
      <c r="B33" s="100">
        <v>20.34</v>
      </c>
      <c r="C33" s="100">
        <v>23.87</v>
      </c>
      <c r="D33" s="100">
        <v>30.13</v>
      </c>
      <c r="E33" s="100">
        <v>8.17</v>
      </c>
      <c r="F33" s="100">
        <v>0.3</v>
      </c>
      <c r="G33" s="100">
        <v>75.2</v>
      </c>
      <c r="H33" s="100">
        <v>26.35</v>
      </c>
      <c r="I33" s="100">
        <v>13.61</v>
      </c>
      <c r="J33" s="100">
        <v>0.14000000000000001</v>
      </c>
      <c r="K33" s="100">
        <v>160.35</v>
      </c>
      <c r="L33" s="100">
        <v>12.78</v>
      </c>
      <c r="M33" s="100">
        <v>101.81</v>
      </c>
      <c r="N33" s="100">
        <v>1.1000000000000001</v>
      </c>
      <c r="O33" s="100">
        <v>0</v>
      </c>
      <c r="P33" s="100">
        <v>1.05</v>
      </c>
      <c r="Q33" s="100">
        <v>11.25</v>
      </c>
      <c r="R33" s="6"/>
      <c r="S33" s="6"/>
      <c r="T33" s="156"/>
      <c r="U33" s="6"/>
    </row>
    <row r="34" spans="1:21" customFormat="1">
      <c r="A34" s="163" t="s">
        <v>2184</v>
      </c>
      <c r="B34" s="100">
        <v>19.43</v>
      </c>
      <c r="C34" s="100">
        <v>24.03</v>
      </c>
      <c r="D34" s="100">
        <v>29.49</v>
      </c>
      <c r="E34" s="100">
        <v>8.34</v>
      </c>
      <c r="F34" s="100">
        <v>0.56999999999999995</v>
      </c>
      <c r="G34" s="100">
        <v>76.52</v>
      </c>
      <c r="H34" s="100">
        <v>25.86</v>
      </c>
      <c r="I34" s="100">
        <v>13.55</v>
      </c>
      <c r="J34" s="100">
        <v>0.11</v>
      </c>
      <c r="K34" s="100">
        <v>182.37</v>
      </c>
      <c r="L34" s="100">
        <v>12.86</v>
      </c>
      <c r="M34" s="100">
        <v>102.62</v>
      </c>
      <c r="N34" s="100">
        <v>1.2</v>
      </c>
      <c r="O34" s="100">
        <v>0</v>
      </c>
      <c r="P34" s="100">
        <v>1.04</v>
      </c>
      <c r="Q34" s="100">
        <v>11.25</v>
      </c>
      <c r="R34" s="6"/>
      <c r="S34" s="6"/>
      <c r="T34" s="156"/>
      <c r="U34" s="6"/>
    </row>
    <row r="35" spans="1:21" customFormat="1">
      <c r="A35" s="163" t="s">
        <v>2185</v>
      </c>
      <c r="B35" s="100">
        <v>18.649999999999999</v>
      </c>
      <c r="C35" s="100">
        <v>23.93</v>
      </c>
      <c r="D35" s="100">
        <v>28.81</v>
      </c>
      <c r="E35" s="100">
        <v>8.18</v>
      </c>
      <c r="F35" s="100">
        <v>1.3</v>
      </c>
      <c r="G35" s="100">
        <v>77.319999999999993</v>
      </c>
      <c r="H35" s="100">
        <v>25.75</v>
      </c>
      <c r="I35" s="100">
        <v>13.53</v>
      </c>
      <c r="J35" s="100">
        <v>0.19</v>
      </c>
      <c r="K35" s="100">
        <v>149.06</v>
      </c>
      <c r="L35" s="100">
        <v>12.98</v>
      </c>
      <c r="M35" s="100">
        <v>100.85</v>
      </c>
      <c r="N35" s="100">
        <v>2.7</v>
      </c>
      <c r="O35" s="100">
        <v>0</v>
      </c>
      <c r="P35" s="100">
        <v>1.03</v>
      </c>
      <c r="Q35" s="100">
        <v>11.25</v>
      </c>
      <c r="R35" s="6"/>
      <c r="S35" s="6"/>
      <c r="T35" s="156"/>
      <c r="U35" s="6"/>
    </row>
    <row r="36" spans="1:21" customFormat="1">
      <c r="A36" s="163" t="s">
        <v>2186</v>
      </c>
      <c r="B36" s="100">
        <v>18.32</v>
      </c>
      <c r="C36" s="100">
        <v>23.75</v>
      </c>
      <c r="D36" s="100">
        <v>28.45</v>
      </c>
      <c r="E36" s="100">
        <v>8.11</v>
      </c>
      <c r="F36" s="100">
        <v>1.42</v>
      </c>
      <c r="G36" s="100">
        <v>77.319999999999993</v>
      </c>
      <c r="H36" s="100">
        <v>25.75</v>
      </c>
      <c r="I36" s="100">
        <v>13.51</v>
      </c>
      <c r="J36" s="100">
        <v>0.25</v>
      </c>
      <c r="K36" s="100">
        <v>172.15</v>
      </c>
      <c r="L36" s="100">
        <v>12.96</v>
      </c>
      <c r="M36" s="100">
        <v>100.21</v>
      </c>
      <c r="N36" s="100">
        <v>6.7</v>
      </c>
      <c r="O36" s="100">
        <v>0</v>
      </c>
      <c r="P36" s="100">
        <v>1.04</v>
      </c>
      <c r="Q36" s="100">
        <v>11.25</v>
      </c>
      <c r="R36" s="6"/>
      <c r="S36" s="6"/>
      <c r="T36" s="156"/>
      <c r="U36" s="6"/>
    </row>
    <row r="37" spans="1:21" customFormat="1">
      <c r="A37" s="163" t="s">
        <v>2187</v>
      </c>
      <c r="B37" s="100">
        <v>18.2</v>
      </c>
      <c r="C37" s="100">
        <v>23.83</v>
      </c>
      <c r="D37" s="100">
        <v>28.4</v>
      </c>
      <c r="E37" s="100">
        <v>8.36</v>
      </c>
      <c r="F37" s="100">
        <v>0.77</v>
      </c>
      <c r="G37" s="100">
        <v>77.319999999999993</v>
      </c>
      <c r="H37" s="100">
        <v>25.75</v>
      </c>
      <c r="I37" s="100">
        <v>13.45</v>
      </c>
      <c r="J37" s="100">
        <v>0.15</v>
      </c>
      <c r="K37" s="100">
        <v>172.56</v>
      </c>
      <c r="L37" s="100">
        <v>13.07</v>
      </c>
      <c r="M37" s="100">
        <v>90.36</v>
      </c>
      <c r="N37" s="100">
        <v>13</v>
      </c>
      <c r="O37" s="100">
        <v>0</v>
      </c>
      <c r="P37" s="100">
        <v>1.04</v>
      </c>
      <c r="Q37" s="100">
        <v>11.25</v>
      </c>
      <c r="R37" s="6"/>
      <c r="S37" s="6"/>
      <c r="T37" s="156"/>
      <c r="U37" s="6"/>
    </row>
    <row r="38" spans="1:21" customFormat="1">
      <c r="A38" s="163" t="s">
        <v>2188</v>
      </c>
      <c r="B38" s="100">
        <v>18.05</v>
      </c>
      <c r="C38" s="100">
        <v>23.66</v>
      </c>
      <c r="D38" s="100">
        <v>28.19</v>
      </c>
      <c r="E38" s="100">
        <v>8.01</v>
      </c>
      <c r="F38" s="100">
        <v>1.67</v>
      </c>
      <c r="G38" s="100">
        <v>79.900000000000006</v>
      </c>
      <c r="H38" s="100">
        <v>24.73</v>
      </c>
      <c r="I38" s="100">
        <v>13.49</v>
      </c>
      <c r="J38" s="100">
        <v>0.08</v>
      </c>
      <c r="K38" s="100">
        <v>191.6</v>
      </c>
      <c r="L38" s="100">
        <v>13.36</v>
      </c>
      <c r="M38" s="100">
        <v>88.93</v>
      </c>
      <c r="N38" s="100">
        <v>21.1</v>
      </c>
      <c r="O38" s="100">
        <v>0</v>
      </c>
      <c r="P38" s="100">
        <v>1.04</v>
      </c>
      <c r="Q38" s="100">
        <v>11.25</v>
      </c>
      <c r="R38" s="6"/>
      <c r="S38" s="6"/>
      <c r="T38" s="156"/>
      <c r="U38" s="6"/>
    </row>
    <row r="39" spans="1:21" customFormat="1">
      <c r="A39" s="163" t="s">
        <v>2189</v>
      </c>
      <c r="B39" s="100">
        <v>17.63</v>
      </c>
      <c r="C39" s="100">
        <v>23.79</v>
      </c>
      <c r="D39" s="100">
        <v>27.92</v>
      </c>
      <c r="E39" s="100">
        <v>8.19</v>
      </c>
      <c r="F39" s="100">
        <v>1.27</v>
      </c>
      <c r="G39" s="100">
        <v>81.47</v>
      </c>
      <c r="H39" s="100">
        <v>24.53</v>
      </c>
      <c r="I39" s="100">
        <v>13.5</v>
      </c>
      <c r="J39" s="100">
        <v>0.11</v>
      </c>
      <c r="K39" s="100">
        <v>208.32</v>
      </c>
      <c r="L39" s="100">
        <v>14.04</v>
      </c>
      <c r="M39" s="100">
        <v>87.01</v>
      </c>
      <c r="N39" s="100">
        <v>29.4</v>
      </c>
      <c r="O39" s="100">
        <v>0</v>
      </c>
      <c r="P39" s="100">
        <v>1.05</v>
      </c>
      <c r="Q39" s="100">
        <v>11.25</v>
      </c>
      <c r="R39" s="6"/>
      <c r="S39" s="6"/>
      <c r="T39" s="156"/>
      <c r="U39" s="6"/>
    </row>
    <row r="40" spans="1:21" customFormat="1">
      <c r="A40" s="163" t="s">
        <v>2190</v>
      </c>
      <c r="B40" s="100">
        <v>17.239999999999998</v>
      </c>
      <c r="C40" s="100">
        <v>23.91</v>
      </c>
      <c r="D40" s="100">
        <v>27.67</v>
      </c>
      <c r="E40" s="100">
        <v>8.18</v>
      </c>
      <c r="F40" s="100">
        <v>0.72</v>
      </c>
      <c r="G40" s="100">
        <v>81.47</v>
      </c>
      <c r="H40" s="100">
        <v>24.53</v>
      </c>
      <c r="I40" s="100">
        <v>13.57</v>
      </c>
      <c r="J40" s="100">
        <v>0.06</v>
      </c>
      <c r="K40" s="100">
        <v>147.57</v>
      </c>
      <c r="L40" s="100">
        <v>14.96</v>
      </c>
      <c r="M40" s="100">
        <v>83.16</v>
      </c>
      <c r="N40" s="100">
        <v>37.5</v>
      </c>
      <c r="O40" s="100">
        <v>0</v>
      </c>
      <c r="P40" s="100">
        <v>1.06</v>
      </c>
      <c r="Q40" s="100">
        <v>11.25</v>
      </c>
      <c r="R40" s="6"/>
      <c r="S40" s="6"/>
      <c r="T40" s="156"/>
      <c r="U40" s="6"/>
    </row>
    <row r="41" spans="1:21" customFormat="1">
      <c r="A41" s="163" t="s">
        <v>2191</v>
      </c>
      <c r="B41" s="100">
        <v>16.77</v>
      </c>
      <c r="C41" s="100">
        <v>24.31</v>
      </c>
      <c r="D41" s="100">
        <v>27.5</v>
      </c>
      <c r="E41" s="100">
        <v>8.5</v>
      </c>
      <c r="F41" s="100">
        <v>1.37</v>
      </c>
      <c r="G41" s="100">
        <v>81.47</v>
      </c>
      <c r="H41" s="100">
        <v>24.53</v>
      </c>
      <c r="I41" s="100">
        <v>13.69</v>
      </c>
      <c r="J41" s="100">
        <v>0.06</v>
      </c>
      <c r="K41" s="100">
        <v>209.97</v>
      </c>
      <c r="L41" s="100">
        <v>16.079999999999998</v>
      </c>
      <c r="M41" s="100">
        <v>77.680000000000007</v>
      </c>
      <c r="N41" s="100">
        <v>69</v>
      </c>
      <c r="O41" s="100">
        <v>0</v>
      </c>
      <c r="P41" s="100">
        <v>1.07</v>
      </c>
      <c r="Q41" s="100">
        <v>11.25</v>
      </c>
      <c r="R41" s="6"/>
      <c r="S41" s="6"/>
      <c r="T41" s="156"/>
      <c r="U41" s="6"/>
    </row>
    <row r="42" spans="1:21" customFormat="1">
      <c r="A42" s="163" t="s">
        <v>2192</v>
      </c>
      <c r="B42" s="100">
        <v>16.260000000000002</v>
      </c>
      <c r="C42" s="100">
        <v>25.19</v>
      </c>
      <c r="D42" s="100">
        <v>27.56</v>
      </c>
      <c r="E42" s="100">
        <v>8.56</v>
      </c>
      <c r="F42" s="100">
        <v>1.32</v>
      </c>
      <c r="G42" s="100">
        <v>90.89</v>
      </c>
      <c r="H42" s="100">
        <v>27.49</v>
      </c>
      <c r="I42" s="100">
        <v>13.83</v>
      </c>
      <c r="J42" s="100">
        <v>0.08</v>
      </c>
      <c r="K42" s="100">
        <v>168.96</v>
      </c>
      <c r="L42" s="100">
        <v>17.87</v>
      </c>
      <c r="M42" s="100">
        <v>69.739999999999995</v>
      </c>
      <c r="N42" s="100">
        <v>177.9</v>
      </c>
      <c r="O42" s="100">
        <v>0</v>
      </c>
      <c r="P42" s="100">
        <v>1.0900000000000001</v>
      </c>
      <c r="Q42" s="100">
        <v>11.25</v>
      </c>
      <c r="R42" s="6"/>
      <c r="S42" s="6"/>
      <c r="T42" s="156"/>
      <c r="U42" s="6"/>
    </row>
    <row r="43" spans="1:21" customFormat="1">
      <c r="A43" s="163" t="s">
        <v>2193</v>
      </c>
      <c r="B43" s="100">
        <v>15.68</v>
      </c>
      <c r="C43" s="100">
        <v>26.51</v>
      </c>
      <c r="D43" s="100">
        <v>27.78</v>
      </c>
      <c r="E43" s="100">
        <v>8.59</v>
      </c>
      <c r="F43" s="100">
        <v>0.49</v>
      </c>
      <c r="G43" s="100">
        <v>96.61</v>
      </c>
      <c r="H43" s="100">
        <v>28.63</v>
      </c>
      <c r="I43" s="100">
        <v>13.95</v>
      </c>
      <c r="J43" s="100">
        <v>0.36</v>
      </c>
      <c r="K43" s="100">
        <v>68.180000000000007</v>
      </c>
      <c r="L43" s="100">
        <v>19.739999999999998</v>
      </c>
      <c r="M43" s="100">
        <v>59.86</v>
      </c>
      <c r="N43" s="100">
        <v>204.6</v>
      </c>
      <c r="O43" s="100">
        <v>0</v>
      </c>
      <c r="P43" s="100">
        <v>1.1100000000000001</v>
      </c>
      <c r="Q43" s="100">
        <v>11.25</v>
      </c>
      <c r="R43" s="6"/>
      <c r="S43" s="6"/>
      <c r="T43" s="156"/>
      <c r="U43" s="6"/>
    </row>
    <row r="44" spans="1:21" customFormat="1">
      <c r="A44" s="163" t="s">
        <v>2194</v>
      </c>
      <c r="B44" s="100">
        <v>15.2</v>
      </c>
      <c r="C44" s="100">
        <v>28.06</v>
      </c>
      <c r="D44" s="100">
        <v>28.2</v>
      </c>
      <c r="E44" s="100">
        <v>8.52</v>
      </c>
      <c r="F44" s="100">
        <v>0.38</v>
      </c>
      <c r="G44" s="100">
        <v>96.61</v>
      </c>
      <c r="H44" s="100">
        <v>28.63</v>
      </c>
      <c r="I44" s="100">
        <v>14.08</v>
      </c>
      <c r="J44" s="100">
        <v>0.54</v>
      </c>
      <c r="K44" s="100">
        <v>64.05</v>
      </c>
      <c r="L44" s="100">
        <v>21.14</v>
      </c>
      <c r="M44" s="100">
        <v>56.99</v>
      </c>
      <c r="N44" s="100">
        <v>180.9</v>
      </c>
      <c r="O44" s="100">
        <v>0</v>
      </c>
      <c r="P44" s="100">
        <v>1.1299999999999999</v>
      </c>
      <c r="Q44" s="100">
        <v>11.25</v>
      </c>
      <c r="R44" s="6"/>
      <c r="S44" s="6"/>
      <c r="T44" s="156"/>
      <c r="U44" s="6"/>
    </row>
    <row r="45" spans="1:21" customFormat="1">
      <c r="A45" s="163" t="s">
        <v>2195</v>
      </c>
      <c r="B45" s="100">
        <v>14.63</v>
      </c>
      <c r="C45" s="100">
        <v>29.34</v>
      </c>
      <c r="D45" s="100">
        <v>28.42</v>
      </c>
      <c r="E45" s="100">
        <v>8.7100000000000009</v>
      </c>
      <c r="F45" s="100">
        <v>0.46</v>
      </c>
      <c r="G45" s="100">
        <v>96.61</v>
      </c>
      <c r="H45" s="100">
        <v>28.63</v>
      </c>
      <c r="I45" s="100">
        <v>14.27</v>
      </c>
      <c r="J45" s="100">
        <v>1.08</v>
      </c>
      <c r="K45" s="100">
        <v>61.55</v>
      </c>
      <c r="L45" s="100">
        <v>22.13</v>
      </c>
      <c r="M45" s="100">
        <v>54</v>
      </c>
      <c r="N45" s="100">
        <v>269.10000000000002</v>
      </c>
      <c r="O45" s="100">
        <v>0</v>
      </c>
      <c r="P45" s="100">
        <v>1.1200000000000001</v>
      </c>
      <c r="Q45" s="100">
        <v>11.25</v>
      </c>
      <c r="R45" s="6"/>
      <c r="S45" s="6"/>
      <c r="T45" s="156"/>
      <c r="U45" s="6"/>
    </row>
    <row r="46" spans="1:21" customFormat="1">
      <c r="A46" s="163" t="s">
        <v>2196</v>
      </c>
      <c r="B46" s="100">
        <v>14.23</v>
      </c>
      <c r="C46" s="100">
        <v>29.8</v>
      </c>
      <c r="D46" s="100">
        <v>28.33</v>
      </c>
      <c r="E46" s="100">
        <v>8.74</v>
      </c>
      <c r="F46" s="100">
        <v>0.15</v>
      </c>
      <c r="G46" s="100">
        <v>103.65</v>
      </c>
      <c r="H46" s="100">
        <v>35.200000000000003</v>
      </c>
      <c r="I46" s="100">
        <v>14.35</v>
      </c>
      <c r="J46" s="100">
        <v>1.6</v>
      </c>
      <c r="K46" s="100">
        <v>53.63</v>
      </c>
      <c r="L46" s="100">
        <v>22.58</v>
      </c>
      <c r="M46" s="100">
        <v>52.26</v>
      </c>
      <c r="N46" s="100">
        <v>297.8</v>
      </c>
      <c r="O46" s="100">
        <v>0</v>
      </c>
      <c r="P46" s="100">
        <v>1.1100000000000001</v>
      </c>
      <c r="Q46" s="100">
        <v>11.25</v>
      </c>
      <c r="R46" s="6"/>
      <c r="S46" s="6"/>
      <c r="T46" s="156"/>
      <c r="U46" s="6"/>
    </row>
    <row r="47" spans="1:21" customFormat="1">
      <c r="A47" s="163" t="s">
        <v>2197</v>
      </c>
      <c r="B47" s="100">
        <v>13.71</v>
      </c>
      <c r="C47" s="100">
        <v>29.76</v>
      </c>
      <c r="D47" s="100">
        <v>27.89</v>
      </c>
      <c r="E47" s="100">
        <v>9.2200000000000006</v>
      </c>
      <c r="F47" s="100">
        <v>1.02</v>
      </c>
      <c r="G47" s="100">
        <v>107.92</v>
      </c>
      <c r="H47" s="100">
        <v>36.64</v>
      </c>
      <c r="I47" s="100">
        <v>14.22</v>
      </c>
      <c r="J47" s="100">
        <v>1.3</v>
      </c>
      <c r="K47" s="100">
        <v>51.37</v>
      </c>
      <c r="L47" s="100">
        <v>22.9</v>
      </c>
      <c r="M47" s="100">
        <v>51.48</v>
      </c>
      <c r="N47" s="100">
        <v>315.7</v>
      </c>
      <c r="O47" s="100">
        <v>0</v>
      </c>
      <c r="P47" s="100">
        <v>1.0900000000000001</v>
      </c>
      <c r="Q47" s="100">
        <v>11.25</v>
      </c>
      <c r="R47" s="6"/>
      <c r="S47" s="6"/>
      <c r="T47" s="156"/>
      <c r="U47" s="6"/>
    </row>
    <row r="48" spans="1:21" customFormat="1">
      <c r="A48" s="163" t="s">
        <v>2198</v>
      </c>
      <c r="B48" s="100">
        <v>13.27</v>
      </c>
      <c r="C48" s="100">
        <v>29.88</v>
      </c>
      <c r="D48" s="100">
        <v>27.61</v>
      </c>
      <c r="E48" s="100">
        <v>9.4600000000000009</v>
      </c>
      <c r="F48" s="100">
        <v>0.84</v>
      </c>
      <c r="G48" s="100">
        <v>107.92</v>
      </c>
      <c r="H48" s="100">
        <v>36.64</v>
      </c>
      <c r="I48" s="100">
        <v>14.03</v>
      </c>
      <c r="J48" s="100">
        <v>0.93</v>
      </c>
      <c r="K48" s="100">
        <v>53.88</v>
      </c>
      <c r="L48" s="100">
        <v>23.66</v>
      </c>
      <c r="M48" s="100">
        <v>49.51</v>
      </c>
      <c r="N48" s="100">
        <v>327</v>
      </c>
      <c r="O48" s="100">
        <v>0</v>
      </c>
      <c r="P48" s="100">
        <v>1.07</v>
      </c>
      <c r="Q48" s="100">
        <v>11.25</v>
      </c>
      <c r="R48" s="6"/>
      <c r="S48" s="6"/>
      <c r="T48" s="156"/>
      <c r="U48" s="6"/>
    </row>
    <row r="49" spans="1:21" customFormat="1">
      <c r="A49" s="163" t="s">
        <v>2199</v>
      </c>
      <c r="B49" s="100">
        <v>12.9</v>
      </c>
      <c r="C49" s="100">
        <v>29.73</v>
      </c>
      <c r="D49" s="100">
        <v>27.22</v>
      </c>
      <c r="E49" s="100">
        <v>8.43</v>
      </c>
      <c r="F49" s="100">
        <v>1.39</v>
      </c>
      <c r="G49" s="100">
        <v>107.92</v>
      </c>
      <c r="H49" s="100">
        <v>36.64</v>
      </c>
      <c r="I49" s="100">
        <v>13.81</v>
      </c>
      <c r="J49" s="100">
        <v>1.1100000000000001</v>
      </c>
      <c r="K49" s="100">
        <v>45.7</v>
      </c>
      <c r="L49" s="100">
        <v>24.17</v>
      </c>
      <c r="M49" s="100">
        <v>47.92</v>
      </c>
      <c r="N49" s="100">
        <v>298.89999999999998</v>
      </c>
      <c r="O49" s="100">
        <v>0</v>
      </c>
      <c r="P49" s="100">
        <v>1.06</v>
      </c>
      <c r="Q49" s="100">
        <v>11.25</v>
      </c>
      <c r="R49" s="6"/>
      <c r="S49" s="6"/>
      <c r="T49" s="156"/>
      <c r="U49" s="6"/>
    </row>
    <row r="50" spans="1:21" customFormat="1">
      <c r="A50" s="163" t="s">
        <v>2200</v>
      </c>
      <c r="B50" s="100">
        <v>12.68</v>
      </c>
      <c r="C50" s="100">
        <v>29.73</v>
      </c>
      <c r="D50" s="100">
        <v>27.05</v>
      </c>
      <c r="E50" s="100">
        <v>10.15</v>
      </c>
      <c r="F50" s="100">
        <v>0.83</v>
      </c>
      <c r="G50" s="100">
        <v>98.86</v>
      </c>
      <c r="H50" s="100">
        <v>33.090000000000003</v>
      </c>
      <c r="I50" s="100">
        <v>13.55</v>
      </c>
      <c r="J50" s="100">
        <v>0.89</v>
      </c>
      <c r="K50" s="100">
        <v>52.06</v>
      </c>
      <c r="L50" s="100">
        <v>24.64</v>
      </c>
      <c r="M50" s="100">
        <v>47.2</v>
      </c>
      <c r="N50" s="100">
        <v>371.9</v>
      </c>
      <c r="O50" s="100">
        <v>0</v>
      </c>
      <c r="P50" s="100">
        <v>1.05</v>
      </c>
      <c r="Q50" s="100">
        <v>11.25</v>
      </c>
      <c r="R50" s="6"/>
      <c r="S50" s="6"/>
      <c r="T50" s="156"/>
      <c r="U50" s="6"/>
    </row>
    <row r="51" spans="1:21" customFormat="1">
      <c r="A51" s="163" t="s">
        <v>2201</v>
      </c>
      <c r="B51" s="100">
        <v>12.76</v>
      </c>
      <c r="C51" s="100">
        <v>29.84</v>
      </c>
      <c r="D51" s="100">
        <v>27.18</v>
      </c>
      <c r="E51" s="100">
        <v>10.7</v>
      </c>
      <c r="F51" s="100">
        <v>0.63</v>
      </c>
      <c r="G51" s="100">
        <v>93.36</v>
      </c>
      <c r="H51" s="100">
        <v>32.31</v>
      </c>
      <c r="I51" s="100">
        <v>13.32</v>
      </c>
      <c r="J51" s="100">
        <v>0.92</v>
      </c>
      <c r="K51" s="100">
        <v>52.72</v>
      </c>
      <c r="L51" s="100">
        <v>25.29</v>
      </c>
      <c r="M51" s="100">
        <v>45.06</v>
      </c>
      <c r="N51" s="100">
        <v>384.4</v>
      </c>
      <c r="O51" s="100">
        <v>0</v>
      </c>
      <c r="P51" s="100">
        <v>1.03</v>
      </c>
      <c r="Q51" s="100">
        <v>11.25</v>
      </c>
      <c r="R51" s="6"/>
      <c r="S51" s="6"/>
      <c r="T51" s="156"/>
      <c r="U51" s="6"/>
    </row>
    <row r="52" spans="1:21" customFormat="1">
      <c r="A52" s="163" t="s">
        <v>2202</v>
      </c>
      <c r="B52" s="100">
        <v>13.09</v>
      </c>
      <c r="C52" s="100">
        <v>30.32</v>
      </c>
      <c r="D52" s="100">
        <v>27.69</v>
      </c>
      <c r="E52" s="100">
        <v>12.51</v>
      </c>
      <c r="F52" s="100">
        <v>0.48</v>
      </c>
      <c r="G52" s="100">
        <v>93.36</v>
      </c>
      <c r="H52" s="100">
        <v>32.31</v>
      </c>
      <c r="I52" s="100">
        <v>13.15</v>
      </c>
      <c r="J52" s="100">
        <v>0.89</v>
      </c>
      <c r="K52" s="100">
        <v>42.27</v>
      </c>
      <c r="L52" s="100">
        <v>25.75</v>
      </c>
      <c r="M52" s="100">
        <v>42.2</v>
      </c>
      <c r="N52" s="100">
        <v>402.6</v>
      </c>
      <c r="O52" s="100">
        <v>0</v>
      </c>
      <c r="P52" s="100">
        <v>1.01</v>
      </c>
      <c r="Q52" s="100">
        <v>11.25</v>
      </c>
      <c r="R52" s="6"/>
      <c r="S52" s="6"/>
      <c r="T52" s="156"/>
      <c r="U52" s="6"/>
    </row>
    <row r="53" spans="1:21" customFormat="1">
      <c r="A53" s="163" t="s">
        <v>2203</v>
      </c>
      <c r="B53" s="100">
        <v>13.08</v>
      </c>
      <c r="C53" s="100">
        <v>31.36</v>
      </c>
      <c r="D53" s="100">
        <v>28.22</v>
      </c>
      <c r="E53" s="100">
        <v>12.73</v>
      </c>
      <c r="F53" s="100">
        <v>1.1499999999999999</v>
      </c>
      <c r="G53" s="100">
        <v>93.36</v>
      </c>
      <c r="H53" s="100">
        <v>32.31</v>
      </c>
      <c r="I53" s="100">
        <v>13</v>
      </c>
      <c r="J53" s="100">
        <v>0.86</v>
      </c>
      <c r="K53" s="100">
        <v>41.22</v>
      </c>
      <c r="L53" s="100">
        <v>26.04</v>
      </c>
      <c r="M53" s="100">
        <v>40.130000000000003</v>
      </c>
      <c r="N53" s="100">
        <v>410</v>
      </c>
      <c r="O53" s="100">
        <v>0</v>
      </c>
      <c r="P53" s="100">
        <v>0.99</v>
      </c>
      <c r="Q53" s="100">
        <v>11.25</v>
      </c>
      <c r="R53" s="6"/>
      <c r="S53" s="6"/>
      <c r="T53" s="156"/>
      <c r="U53" s="6"/>
    </row>
    <row r="54" spans="1:21" customFormat="1">
      <c r="A54" s="163" t="s">
        <v>2204</v>
      </c>
      <c r="B54" s="100">
        <v>12.67</v>
      </c>
      <c r="C54" s="100">
        <v>32.159999999999997</v>
      </c>
      <c r="D54" s="100">
        <v>28.31</v>
      </c>
      <c r="E54" s="100">
        <v>14</v>
      </c>
      <c r="F54" s="100">
        <v>1.88</v>
      </c>
      <c r="G54" s="100">
        <v>82.01</v>
      </c>
      <c r="H54" s="100">
        <v>30.62</v>
      </c>
      <c r="I54" s="100">
        <v>12.68</v>
      </c>
      <c r="J54" s="100">
        <v>0.75</v>
      </c>
      <c r="K54" s="100">
        <v>28.45</v>
      </c>
      <c r="L54" s="100">
        <v>26.69</v>
      </c>
      <c r="M54" s="100">
        <v>38.22</v>
      </c>
      <c r="N54" s="100">
        <v>358.9</v>
      </c>
      <c r="O54" s="100">
        <v>0</v>
      </c>
      <c r="P54" s="100">
        <v>0.95</v>
      </c>
      <c r="Q54" s="100">
        <v>11.25</v>
      </c>
      <c r="R54" s="6"/>
      <c r="S54" s="6"/>
      <c r="T54" s="156"/>
      <c r="U54" s="6"/>
    </row>
    <row r="55" spans="1:21" customFormat="1">
      <c r="A55" s="163" t="s">
        <v>2205</v>
      </c>
      <c r="B55" s="100">
        <v>12.06</v>
      </c>
      <c r="C55" s="100">
        <v>32.78</v>
      </c>
      <c r="D55" s="100">
        <v>28.15</v>
      </c>
      <c r="E55" s="100">
        <v>12.69</v>
      </c>
      <c r="F55" s="100">
        <v>0.67</v>
      </c>
      <c r="G55" s="100">
        <v>75.12</v>
      </c>
      <c r="H55" s="100">
        <v>30.25</v>
      </c>
      <c r="I55" s="100">
        <v>12.28</v>
      </c>
      <c r="J55" s="100">
        <v>0.69</v>
      </c>
      <c r="K55" s="100">
        <v>50.5</v>
      </c>
      <c r="L55" s="100">
        <v>27.18</v>
      </c>
      <c r="M55" s="100">
        <v>37.020000000000003</v>
      </c>
      <c r="N55" s="100">
        <v>429.3</v>
      </c>
      <c r="O55" s="100">
        <v>0</v>
      </c>
      <c r="P55" s="100">
        <v>0.93</v>
      </c>
      <c r="Q55" s="100">
        <v>11.25</v>
      </c>
      <c r="R55" s="6"/>
      <c r="S55" s="6"/>
      <c r="T55" s="156"/>
      <c r="U55" s="6"/>
    </row>
    <row r="56" spans="1:21" customFormat="1">
      <c r="A56" s="163" t="s">
        <v>2206</v>
      </c>
      <c r="B56" s="100">
        <v>11.13</v>
      </c>
      <c r="C56" s="100">
        <v>33.19</v>
      </c>
      <c r="D56" s="100">
        <v>27.62</v>
      </c>
      <c r="E56" s="100">
        <v>11.96</v>
      </c>
      <c r="F56" s="100">
        <v>0.21</v>
      </c>
      <c r="G56" s="100">
        <v>75.12</v>
      </c>
      <c r="H56" s="100">
        <v>30.25</v>
      </c>
      <c r="I56" s="100">
        <v>11.82</v>
      </c>
      <c r="J56" s="100">
        <v>0.47</v>
      </c>
      <c r="K56" s="100">
        <v>51.17</v>
      </c>
      <c r="L56" s="100">
        <v>27.83</v>
      </c>
      <c r="M56" s="100">
        <v>35.72</v>
      </c>
      <c r="N56" s="100">
        <v>430.4</v>
      </c>
      <c r="O56" s="100">
        <v>0</v>
      </c>
      <c r="P56" s="100">
        <v>0.9</v>
      </c>
      <c r="Q56" s="100">
        <v>11.25</v>
      </c>
      <c r="R56" s="6"/>
      <c r="S56" s="6"/>
      <c r="T56" s="156"/>
      <c r="U56" s="6"/>
    </row>
    <row r="57" spans="1:21" customFormat="1">
      <c r="A57" s="163" t="s">
        <v>2207</v>
      </c>
      <c r="B57" s="100">
        <v>9.9700000000000006</v>
      </c>
      <c r="C57" s="100">
        <v>33.39</v>
      </c>
      <c r="D57" s="100">
        <v>26.79</v>
      </c>
      <c r="E57" s="100">
        <v>11.49</v>
      </c>
      <c r="F57" s="100">
        <v>0.93</v>
      </c>
      <c r="G57" s="100">
        <v>75.12</v>
      </c>
      <c r="H57" s="100">
        <v>30.25</v>
      </c>
      <c r="I57" s="100">
        <v>11.57</v>
      </c>
      <c r="J57" s="100">
        <v>0.59</v>
      </c>
      <c r="K57" s="100">
        <v>334.99</v>
      </c>
      <c r="L57" s="100">
        <v>28.24</v>
      </c>
      <c r="M57" s="100">
        <v>34.090000000000003</v>
      </c>
      <c r="N57" s="100">
        <v>441.1</v>
      </c>
      <c r="O57" s="100">
        <v>0</v>
      </c>
      <c r="P57" s="100">
        <v>0.89</v>
      </c>
      <c r="Q57" s="100">
        <v>11.25</v>
      </c>
      <c r="R57" s="6"/>
      <c r="S57" s="6"/>
      <c r="T57" s="156"/>
      <c r="U57" s="6"/>
    </row>
    <row r="58" spans="1:21" customFormat="1">
      <c r="A58" s="163" t="s">
        <v>2208</v>
      </c>
      <c r="B58" s="100">
        <v>8.66</v>
      </c>
      <c r="C58" s="100">
        <v>33.36</v>
      </c>
      <c r="D58" s="100">
        <v>25.73</v>
      </c>
      <c r="E58" s="100">
        <v>11.06</v>
      </c>
      <c r="F58" s="100">
        <v>1.2</v>
      </c>
      <c r="G58" s="100">
        <v>69.61</v>
      </c>
      <c r="H58" s="100">
        <v>28.9</v>
      </c>
      <c r="I58" s="100">
        <v>11.26</v>
      </c>
      <c r="J58" s="100">
        <v>0.34</v>
      </c>
      <c r="K58" s="100">
        <v>5.96</v>
      </c>
      <c r="L58" s="100">
        <v>28.29</v>
      </c>
      <c r="M58" s="100">
        <v>33.79</v>
      </c>
      <c r="N58" s="100">
        <v>382.6</v>
      </c>
      <c r="O58" s="100">
        <v>0</v>
      </c>
      <c r="P58" s="100">
        <v>0.87</v>
      </c>
      <c r="Q58" s="100">
        <v>11.25</v>
      </c>
      <c r="R58" s="6"/>
      <c r="S58" s="6"/>
      <c r="T58" s="156"/>
      <c r="U58" s="6"/>
    </row>
    <row r="59" spans="1:21" customFormat="1">
      <c r="A59" s="163" t="s">
        <v>2209</v>
      </c>
      <c r="B59" s="100">
        <v>7.27</v>
      </c>
      <c r="C59" s="100">
        <v>33.19</v>
      </c>
      <c r="D59" s="100">
        <v>24.52</v>
      </c>
      <c r="E59" s="100">
        <v>10.23</v>
      </c>
      <c r="F59" s="100">
        <v>0.26</v>
      </c>
      <c r="G59" s="100">
        <v>66.260000000000005</v>
      </c>
      <c r="H59" s="100">
        <v>28.6</v>
      </c>
      <c r="I59" s="100">
        <v>10.9</v>
      </c>
      <c r="J59" s="100">
        <v>0.31</v>
      </c>
      <c r="K59" s="100">
        <v>104.23</v>
      </c>
      <c r="L59" s="100">
        <v>29.24</v>
      </c>
      <c r="M59" s="100">
        <v>31.89</v>
      </c>
      <c r="N59" s="100">
        <v>388.4</v>
      </c>
      <c r="O59" s="100">
        <v>0</v>
      </c>
      <c r="P59" s="100">
        <v>0.84</v>
      </c>
      <c r="Q59" s="100">
        <v>11.25</v>
      </c>
      <c r="R59" s="6"/>
      <c r="S59" s="6"/>
      <c r="T59" s="156"/>
      <c r="U59" s="6"/>
    </row>
    <row r="60" spans="1:21" customFormat="1">
      <c r="A60" s="163" t="s">
        <v>2210</v>
      </c>
      <c r="B60" s="100">
        <v>5.87</v>
      </c>
      <c r="C60" s="100">
        <v>32.549999999999997</v>
      </c>
      <c r="D60" s="100">
        <v>23.06</v>
      </c>
      <c r="E60" s="100">
        <v>10.33</v>
      </c>
      <c r="F60" s="100">
        <v>1.28</v>
      </c>
      <c r="G60" s="100">
        <v>66.260000000000005</v>
      </c>
      <c r="H60" s="100">
        <v>28.6</v>
      </c>
      <c r="I60" s="100">
        <v>10.59</v>
      </c>
      <c r="J60" s="100">
        <v>0.22</v>
      </c>
      <c r="K60" s="100">
        <v>39.89</v>
      </c>
      <c r="L60" s="100">
        <v>29.21</v>
      </c>
      <c r="M60" s="100">
        <v>31.94</v>
      </c>
      <c r="N60" s="100">
        <v>450.9</v>
      </c>
      <c r="O60" s="100">
        <v>0</v>
      </c>
      <c r="P60" s="100">
        <v>0.82</v>
      </c>
      <c r="Q60" s="100">
        <v>11.25</v>
      </c>
      <c r="R60" s="6"/>
      <c r="S60" s="6"/>
      <c r="T60" s="156"/>
      <c r="U60" s="6"/>
    </row>
    <row r="61" spans="1:21" customFormat="1">
      <c r="A61" s="163" t="s">
        <v>2211</v>
      </c>
      <c r="B61" s="100">
        <v>5</v>
      </c>
      <c r="C61" s="100">
        <v>32.17</v>
      </c>
      <c r="D61" s="100">
        <v>22.17</v>
      </c>
      <c r="E61" s="100">
        <v>11.24</v>
      </c>
      <c r="F61" s="100">
        <v>0.49</v>
      </c>
      <c r="G61" s="100">
        <v>66.260000000000005</v>
      </c>
      <c r="H61" s="100">
        <v>28.6</v>
      </c>
      <c r="I61" s="100">
        <v>10.4</v>
      </c>
      <c r="J61" s="100">
        <v>0.72</v>
      </c>
      <c r="K61" s="100">
        <v>39.479999999999997</v>
      </c>
      <c r="L61" s="100">
        <v>29.12</v>
      </c>
      <c r="M61" s="100">
        <v>29.84</v>
      </c>
      <c r="N61" s="100">
        <v>432.7</v>
      </c>
      <c r="O61" s="100">
        <v>0</v>
      </c>
      <c r="P61" s="100">
        <v>0.79</v>
      </c>
      <c r="Q61" s="100">
        <v>11.25</v>
      </c>
      <c r="R61" s="6"/>
      <c r="S61" s="6"/>
      <c r="T61" s="156"/>
      <c r="U61" s="6"/>
    </row>
    <row r="62" spans="1:21" customFormat="1">
      <c r="A62" s="163" t="s">
        <v>2212</v>
      </c>
      <c r="B62" s="100">
        <v>4.45</v>
      </c>
      <c r="C62" s="100">
        <v>31.67</v>
      </c>
      <c r="D62" s="100">
        <v>21.47</v>
      </c>
      <c r="E62" s="100">
        <v>11.11</v>
      </c>
      <c r="F62" s="100">
        <v>1.1399999999999999</v>
      </c>
      <c r="G62" s="100">
        <v>61.51</v>
      </c>
      <c r="H62" s="100">
        <v>28.79</v>
      </c>
      <c r="I62" s="100">
        <v>10.07</v>
      </c>
      <c r="J62" s="100">
        <v>0.36</v>
      </c>
      <c r="K62" s="100">
        <v>26.99</v>
      </c>
      <c r="L62" s="100">
        <v>29.26</v>
      </c>
      <c r="M62" s="100">
        <v>27.75</v>
      </c>
      <c r="N62" s="100">
        <v>406.2</v>
      </c>
      <c r="O62" s="100">
        <v>0</v>
      </c>
      <c r="P62" s="100">
        <v>0.77</v>
      </c>
      <c r="Q62" s="100">
        <v>11.25</v>
      </c>
      <c r="R62" s="6"/>
      <c r="S62" s="6"/>
      <c r="T62" s="156"/>
      <c r="U62" s="6"/>
    </row>
    <row r="63" spans="1:21" customFormat="1">
      <c r="A63" s="163" t="s">
        <v>2213</v>
      </c>
      <c r="B63" s="100">
        <v>3.97</v>
      </c>
      <c r="C63" s="100">
        <v>30.82</v>
      </c>
      <c r="D63" s="100">
        <v>20.64</v>
      </c>
      <c r="E63" s="100">
        <v>10.74</v>
      </c>
      <c r="F63" s="100">
        <v>0.3</v>
      </c>
      <c r="G63" s="100">
        <v>58.62</v>
      </c>
      <c r="H63" s="100">
        <v>28.84</v>
      </c>
      <c r="I63" s="100">
        <v>9.7100000000000009</v>
      </c>
      <c r="J63" s="100">
        <v>0.09</v>
      </c>
      <c r="K63" s="100">
        <v>307.12</v>
      </c>
      <c r="L63" s="100">
        <v>29.43</v>
      </c>
      <c r="M63" s="100">
        <v>28.36</v>
      </c>
      <c r="N63" s="100">
        <v>430.2</v>
      </c>
      <c r="O63" s="100">
        <v>0</v>
      </c>
      <c r="P63" s="100">
        <v>0.76</v>
      </c>
      <c r="Q63" s="100">
        <v>11.25</v>
      </c>
      <c r="R63" s="6"/>
      <c r="S63" s="6"/>
      <c r="T63" s="156"/>
      <c r="U63" s="6"/>
    </row>
    <row r="64" spans="1:21" customFormat="1">
      <c r="A64" s="163" t="s">
        <v>2214</v>
      </c>
      <c r="B64" s="100">
        <v>3.74</v>
      </c>
      <c r="C64" s="100">
        <v>29.7</v>
      </c>
      <c r="D64" s="100">
        <v>19.87</v>
      </c>
      <c r="E64" s="100">
        <v>10.55</v>
      </c>
      <c r="F64" s="100">
        <v>1.47</v>
      </c>
      <c r="G64" s="100">
        <v>58.62</v>
      </c>
      <c r="H64" s="100">
        <v>28.84</v>
      </c>
      <c r="I64" s="100">
        <v>9.35</v>
      </c>
      <c r="J64" s="100">
        <v>0.37</v>
      </c>
      <c r="K64" s="100">
        <v>86.97</v>
      </c>
      <c r="L64" s="100">
        <v>29.63</v>
      </c>
      <c r="M64" s="100">
        <v>26</v>
      </c>
      <c r="N64" s="100">
        <v>408.5</v>
      </c>
      <c r="O64" s="100">
        <v>0</v>
      </c>
      <c r="P64" s="100">
        <v>0.74</v>
      </c>
      <c r="Q64" s="100">
        <v>11.25</v>
      </c>
      <c r="R64" s="6"/>
      <c r="S64" s="6"/>
      <c r="T64" s="156"/>
      <c r="U64" s="6"/>
    </row>
    <row r="65" spans="1:21" customFormat="1">
      <c r="A65" s="163" t="s">
        <v>2215</v>
      </c>
      <c r="B65" s="100">
        <v>3.67</v>
      </c>
      <c r="C65" s="100">
        <v>28.75</v>
      </c>
      <c r="D65" s="100">
        <v>19.32</v>
      </c>
      <c r="E65" s="100">
        <v>12.06</v>
      </c>
      <c r="F65" s="100">
        <v>0.74</v>
      </c>
      <c r="G65" s="100">
        <v>58.62</v>
      </c>
      <c r="H65" s="100">
        <v>28.84</v>
      </c>
      <c r="I65" s="100">
        <v>9.2200000000000006</v>
      </c>
      <c r="J65" s="100">
        <v>0.36</v>
      </c>
      <c r="K65" s="100">
        <v>16.18</v>
      </c>
      <c r="L65" s="100">
        <v>30.05</v>
      </c>
      <c r="M65" s="100">
        <v>27.1</v>
      </c>
      <c r="N65" s="100">
        <v>350.7</v>
      </c>
      <c r="O65" s="100">
        <v>0</v>
      </c>
      <c r="P65" s="100">
        <v>0.71</v>
      </c>
      <c r="Q65" s="100">
        <v>11.25</v>
      </c>
      <c r="R65" s="6"/>
      <c r="S65" s="6"/>
      <c r="T65" s="156"/>
      <c r="U65" s="6"/>
    </row>
    <row r="66" spans="1:21" customFormat="1">
      <c r="A66" s="163" t="s">
        <v>2216</v>
      </c>
      <c r="B66" s="100">
        <v>3.6</v>
      </c>
      <c r="C66" s="100">
        <v>28.11</v>
      </c>
      <c r="D66" s="100">
        <v>18.93</v>
      </c>
      <c r="E66" s="100">
        <v>14.46</v>
      </c>
      <c r="F66" s="100">
        <v>0.99</v>
      </c>
      <c r="G66" s="100">
        <v>56.3</v>
      </c>
      <c r="H66" s="100">
        <v>27.92</v>
      </c>
      <c r="I66" s="100">
        <v>9.0500000000000007</v>
      </c>
      <c r="J66" s="100">
        <v>0.44</v>
      </c>
      <c r="K66" s="100">
        <v>45.73</v>
      </c>
      <c r="L66" s="100">
        <v>30.2</v>
      </c>
      <c r="M66" s="100">
        <v>26.8</v>
      </c>
      <c r="N66" s="100">
        <v>98.5</v>
      </c>
      <c r="O66" s="100">
        <v>0</v>
      </c>
      <c r="P66" s="100">
        <v>0.71</v>
      </c>
      <c r="Q66" s="100">
        <v>11.25</v>
      </c>
      <c r="R66" s="6"/>
      <c r="S66" s="6"/>
      <c r="T66" s="156"/>
      <c r="U66" s="6"/>
    </row>
    <row r="67" spans="1:21" customFormat="1">
      <c r="A67" s="163" t="s">
        <v>2217</v>
      </c>
      <c r="B67" s="100">
        <v>3.55</v>
      </c>
      <c r="C67" s="100">
        <v>27.84</v>
      </c>
      <c r="D67" s="100">
        <v>18.739999999999998</v>
      </c>
      <c r="E67" s="100">
        <v>19.260000000000002</v>
      </c>
      <c r="F67" s="100">
        <v>1.1499999999999999</v>
      </c>
      <c r="G67" s="100">
        <v>54.9</v>
      </c>
      <c r="H67" s="100">
        <v>27.57</v>
      </c>
      <c r="I67" s="100">
        <v>8.7799999999999994</v>
      </c>
      <c r="J67" s="100">
        <v>0.32</v>
      </c>
      <c r="K67" s="100">
        <v>20.9</v>
      </c>
      <c r="L67" s="100">
        <v>29.41</v>
      </c>
      <c r="M67" s="100">
        <v>29.58</v>
      </c>
      <c r="N67" s="100">
        <v>103.2</v>
      </c>
      <c r="O67" s="100">
        <v>0</v>
      </c>
      <c r="P67" s="100">
        <v>0.71</v>
      </c>
      <c r="Q67" s="100">
        <v>11.25</v>
      </c>
      <c r="R67" s="6"/>
      <c r="S67" s="6"/>
      <c r="T67" s="156"/>
      <c r="U67" s="6"/>
    </row>
    <row r="68" spans="1:21" customFormat="1">
      <c r="A68" s="163" t="s">
        <v>2218</v>
      </c>
      <c r="B68" s="100">
        <v>3.54</v>
      </c>
      <c r="C68" s="100">
        <v>27.7</v>
      </c>
      <c r="D68" s="100">
        <v>18.66</v>
      </c>
      <c r="E68" s="100">
        <v>21.28</v>
      </c>
      <c r="F68" s="100">
        <v>1.1100000000000001</v>
      </c>
      <c r="G68" s="100">
        <v>54.9</v>
      </c>
      <c r="H68" s="100">
        <v>27.57</v>
      </c>
      <c r="I68" s="100">
        <v>8.3800000000000008</v>
      </c>
      <c r="J68" s="100">
        <v>0.33</v>
      </c>
      <c r="K68" s="100">
        <v>23.55</v>
      </c>
      <c r="L68" s="100">
        <v>29.16</v>
      </c>
      <c r="M68" s="100">
        <v>30.61</v>
      </c>
      <c r="N68" s="100">
        <v>70.5</v>
      </c>
      <c r="O68" s="100">
        <v>0</v>
      </c>
      <c r="P68" s="100">
        <v>0.72</v>
      </c>
      <c r="Q68" s="100">
        <v>11.25</v>
      </c>
      <c r="R68" s="6"/>
      <c r="S68" s="6"/>
      <c r="T68" s="156"/>
      <c r="U68" s="6"/>
    </row>
    <row r="69" spans="1:21" customFormat="1">
      <c r="A69" s="163" t="s">
        <v>2219</v>
      </c>
      <c r="B69" s="100">
        <v>3.55</v>
      </c>
      <c r="C69" s="100">
        <v>27.86</v>
      </c>
      <c r="D69" s="100">
        <v>18.760000000000002</v>
      </c>
      <c r="E69" s="100">
        <v>28.33</v>
      </c>
      <c r="F69" s="100">
        <v>2.76</v>
      </c>
      <c r="G69" s="100">
        <v>54.9</v>
      </c>
      <c r="H69" s="100">
        <v>27.57</v>
      </c>
      <c r="I69" s="100">
        <v>8.42</v>
      </c>
      <c r="J69" s="100">
        <v>0.41</v>
      </c>
      <c r="K69" s="100">
        <v>3.08</v>
      </c>
      <c r="L69" s="100">
        <v>29.29</v>
      </c>
      <c r="M69" s="100">
        <v>30.58</v>
      </c>
      <c r="N69" s="100">
        <v>56.5</v>
      </c>
      <c r="O69" s="100">
        <v>0</v>
      </c>
      <c r="P69" s="100">
        <v>0.74</v>
      </c>
      <c r="Q69" s="100">
        <v>11.25</v>
      </c>
      <c r="R69" s="6"/>
      <c r="S69" s="6"/>
      <c r="T69" s="156"/>
      <c r="U69" s="6"/>
    </row>
    <row r="70" spans="1:21" customFormat="1">
      <c r="A70" s="163" t="s">
        <v>2220</v>
      </c>
      <c r="B70" s="100">
        <v>3.54</v>
      </c>
      <c r="C70" s="100">
        <v>28.3</v>
      </c>
      <c r="D70" s="100">
        <v>18.98</v>
      </c>
      <c r="E70" s="100">
        <v>28.11</v>
      </c>
      <c r="F70" s="100">
        <v>1.23</v>
      </c>
      <c r="G70" s="100">
        <v>60.48</v>
      </c>
      <c r="H70" s="100">
        <v>27.67</v>
      </c>
      <c r="I70" s="100">
        <v>8.56</v>
      </c>
      <c r="J70" s="100">
        <v>0.67</v>
      </c>
      <c r="K70" s="100">
        <v>24.35</v>
      </c>
      <c r="L70" s="100">
        <v>29.16</v>
      </c>
      <c r="M70" s="100">
        <v>29.83</v>
      </c>
      <c r="N70" s="100">
        <v>50.6</v>
      </c>
      <c r="O70" s="100">
        <v>0</v>
      </c>
      <c r="P70" s="100">
        <v>0.76</v>
      </c>
      <c r="Q70" s="100">
        <v>11.25</v>
      </c>
      <c r="R70" s="6"/>
      <c r="S70" s="6"/>
      <c r="T70" s="156"/>
      <c r="U70" s="6"/>
    </row>
    <row r="71" spans="1:21" customFormat="1">
      <c r="A71" s="163" t="s">
        <v>2221</v>
      </c>
      <c r="B71" s="100">
        <v>3.67</v>
      </c>
      <c r="C71" s="100">
        <v>29.07</v>
      </c>
      <c r="D71" s="100">
        <v>19.489999999999998</v>
      </c>
      <c r="E71" s="100">
        <v>32</v>
      </c>
      <c r="F71" s="100">
        <v>1.48</v>
      </c>
      <c r="G71" s="100">
        <v>63.87</v>
      </c>
      <c r="H71" s="100">
        <v>27.69</v>
      </c>
      <c r="I71" s="100">
        <v>8.75</v>
      </c>
      <c r="J71" s="100">
        <v>0.65</v>
      </c>
      <c r="K71" s="100">
        <v>31.65</v>
      </c>
      <c r="L71" s="100">
        <v>29.12</v>
      </c>
      <c r="M71" s="100">
        <v>29.7</v>
      </c>
      <c r="N71" s="100">
        <v>45</v>
      </c>
      <c r="O71" s="100">
        <v>0</v>
      </c>
      <c r="P71" s="100">
        <v>0.77</v>
      </c>
      <c r="Q71" s="100">
        <v>11.25</v>
      </c>
      <c r="R71" s="6"/>
      <c r="S71" s="6"/>
      <c r="T71" s="156"/>
      <c r="U71" s="6"/>
    </row>
    <row r="72" spans="1:21" customFormat="1">
      <c r="A72" s="163" t="s">
        <v>2222</v>
      </c>
      <c r="B72" s="100">
        <v>3.81</v>
      </c>
      <c r="C72" s="100">
        <v>29.85</v>
      </c>
      <c r="D72" s="100">
        <v>20.010000000000002</v>
      </c>
      <c r="E72" s="100">
        <v>25.75</v>
      </c>
      <c r="F72" s="100">
        <v>1</v>
      </c>
      <c r="G72" s="100">
        <v>63.87</v>
      </c>
      <c r="H72" s="100">
        <v>27.69</v>
      </c>
      <c r="I72" s="100">
        <v>9.08</v>
      </c>
      <c r="J72" s="100">
        <v>0.81</v>
      </c>
      <c r="K72" s="100">
        <v>48.17</v>
      </c>
      <c r="L72" s="100">
        <v>29.03</v>
      </c>
      <c r="M72" s="100">
        <v>29.44</v>
      </c>
      <c r="N72" s="100">
        <v>40.299999999999997</v>
      </c>
      <c r="O72" s="100">
        <v>0</v>
      </c>
      <c r="P72" s="100">
        <v>0.78</v>
      </c>
      <c r="Q72" s="100">
        <v>11.25</v>
      </c>
      <c r="R72" s="6"/>
      <c r="S72" s="6"/>
      <c r="T72" s="156"/>
      <c r="U72" s="6"/>
    </row>
    <row r="73" spans="1:21" customFormat="1">
      <c r="A73" s="163" t="s">
        <v>2223</v>
      </c>
      <c r="B73" s="100">
        <v>3.99</v>
      </c>
      <c r="C73" s="100">
        <v>30.43</v>
      </c>
      <c r="D73" s="100">
        <v>20.45</v>
      </c>
      <c r="E73" s="100">
        <v>38.65</v>
      </c>
      <c r="F73" s="100">
        <v>0.67</v>
      </c>
      <c r="G73" s="100">
        <v>63.87</v>
      </c>
      <c r="H73" s="100">
        <v>27.69</v>
      </c>
      <c r="I73" s="100">
        <v>9.23</v>
      </c>
      <c r="J73" s="100">
        <v>0.67</v>
      </c>
      <c r="K73" s="100">
        <v>23.44</v>
      </c>
      <c r="L73" s="100">
        <v>28.87</v>
      </c>
      <c r="M73" s="100">
        <v>29.39</v>
      </c>
      <c r="N73" s="100">
        <v>37.9</v>
      </c>
      <c r="O73" s="100">
        <v>0</v>
      </c>
      <c r="P73" s="100">
        <v>0.79</v>
      </c>
      <c r="Q73" s="100">
        <v>11.25</v>
      </c>
      <c r="R73" s="6"/>
      <c r="S73" s="6"/>
      <c r="T73" s="156"/>
      <c r="U73" s="6"/>
    </row>
    <row r="74" spans="1:21" customFormat="1">
      <c r="A74" s="163" t="s">
        <v>2224</v>
      </c>
      <c r="B74" s="100">
        <v>4.32</v>
      </c>
      <c r="C74" s="100">
        <v>30.29</v>
      </c>
      <c r="D74" s="100">
        <v>20.64</v>
      </c>
      <c r="E74" s="100">
        <v>48.85</v>
      </c>
      <c r="F74" s="100">
        <v>3.53</v>
      </c>
      <c r="G74" s="100">
        <v>74.5</v>
      </c>
      <c r="H74" s="100">
        <v>28.18</v>
      </c>
      <c r="I74" s="100">
        <v>9.4</v>
      </c>
      <c r="J74" s="100">
        <v>0.54</v>
      </c>
      <c r="K74" s="100">
        <v>38.409999999999997</v>
      </c>
      <c r="L74" s="100">
        <v>28.67</v>
      </c>
      <c r="M74" s="100">
        <v>29.91</v>
      </c>
      <c r="N74" s="100">
        <v>31.2</v>
      </c>
      <c r="O74" s="100">
        <v>0</v>
      </c>
      <c r="P74" s="100">
        <v>0.79</v>
      </c>
      <c r="Q74" s="100">
        <v>11.25</v>
      </c>
      <c r="R74" s="6"/>
      <c r="S74" s="6"/>
      <c r="T74" s="156"/>
      <c r="U74" s="6"/>
    </row>
    <row r="75" spans="1:21" customFormat="1">
      <c r="A75" s="163" t="s">
        <v>2225</v>
      </c>
      <c r="B75" s="100">
        <v>4.79</v>
      </c>
      <c r="C75" s="100">
        <v>30.37</v>
      </c>
      <c r="D75" s="100">
        <v>21.06</v>
      </c>
      <c r="E75" s="100">
        <v>35.229999999999997</v>
      </c>
      <c r="F75" s="100">
        <v>1.2</v>
      </c>
      <c r="G75" s="100">
        <v>80.95</v>
      </c>
      <c r="H75" s="100">
        <v>28.28</v>
      </c>
      <c r="I75" s="100">
        <v>9.49</v>
      </c>
      <c r="J75" s="100">
        <v>0.47</v>
      </c>
      <c r="K75" s="100">
        <v>31.99</v>
      </c>
      <c r="L75" s="100">
        <v>28.53</v>
      </c>
      <c r="M75" s="100">
        <v>30.05</v>
      </c>
      <c r="N75" s="100">
        <v>25.2</v>
      </c>
      <c r="O75" s="100">
        <v>0</v>
      </c>
      <c r="P75" s="100">
        <v>0.81</v>
      </c>
      <c r="Q75" s="100">
        <v>11.25</v>
      </c>
      <c r="R75" s="6"/>
      <c r="S75" s="6"/>
      <c r="T75" s="156"/>
      <c r="U75" s="6"/>
    </row>
    <row r="76" spans="1:21" customFormat="1">
      <c r="A76" s="163" t="s">
        <v>2226</v>
      </c>
      <c r="B76" s="100">
        <v>5.19</v>
      </c>
      <c r="C76" s="100">
        <v>30.57</v>
      </c>
      <c r="D76" s="100">
        <v>21.48</v>
      </c>
      <c r="E76" s="100">
        <v>30.14</v>
      </c>
      <c r="F76" s="100">
        <v>1.99</v>
      </c>
      <c r="G76" s="100">
        <v>80.95</v>
      </c>
      <c r="H76" s="100">
        <v>28.28</v>
      </c>
      <c r="I76" s="100">
        <v>9.67</v>
      </c>
      <c r="J76" s="100">
        <v>0.43</v>
      </c>
      <c r="K76" s="100">
        <v>34.71</v>
      </c>
      <c r="L76" s="100">
        <v>28.14</v>
      </c>
      <c r="M76" s="100">
        <v>31.12</v>
      </c>
      <c r="N76" s="100">
        <v>20.2</v>
      </c>
      <c r="O76" s="100">
        <v>0</v>
      </c>
      <c r="P76" s="100">
        <v>0.81</v>
      </c>
      <c r="Q76" s="100">
        <v>11.25</v>
      </c>
      <c r="R76" s="6"/>
      <c r="S76" s="6"/>
      <c r="T76" s="156"/>
      <c r="U76" s="6"/>
    </row>
    <row r="77" spans="1:21" customFormat="1">
      <c r="A77" s="163" t="s">
        <v>2227</v>
      </c>
      <c r="B77" s="100">
        <v>5.71</v>
      </c>
      <c r="C77" s="100">
        <v>30.96</v>
      </c>
      <c r="D77" s="100">
        <v>22.1</v>
      </c>
      <c r="E77" s="100">
        <v>28.91</v>
      </c>
      <c r="F77" s="100">
        <v>1.85</v>
      </c>
      <c r="G77" s="100">
        <v>80.95</v>
      </c>
      <c r="H77" s="100">
        <v>28.28</v>
      </c>
      <c r="I77" s="100">
        <v>9.76</v>
      </c>
      <c r="J77" s="100">
        <v>0.51</v>
      </c>
      <c r="K77" s="100">
        <v>40.159999999999997</v>
      </c>
      <c r="L77" s="100">
        <v>27.79</v>
      </c>
      <c r="M77" s="100">
        <v>32.33</v>
      </c>
      <c r="N77" s="100">
        <v>14.3</v>
      </c>
      <c r="O77" s="100">
        <v>0</v>
      </c>
      <c r="P77" s="100">
        <v>0.87</v>
      </c>
      <c r="Q77" s="100">
        <v>11.25</v>
      </c>
      <c r="R77" s="6"/>
      <c r="S77" s="6"/>
      <c r="T77" s="156"/>
      <c r="U77" s="6"/>
    </row>
    <row r="78" spans="1:21" customFormat="1">
      <c r="A78" s="163" t="s">
        <v>2228</v>
      </c>
      <c r="B78" s="100">
        <v>6.6</v>
      </c>
      <c r="C78" s="100">
        <v>31.05</v>
      </c>
      <c r="D78" s="100">
        <v>22.86</v>
      </c>
      <c r="E78" s="100">
        <v>24.55</v>
      </c>
      <c r="F78" s="100">
        <v>1.67</v>
      </c>
      <c r="G78" s="100">
        <v>98.84</v>
      </c>
      <c r="H78" s="100">
        <v>32</v>
      </c>
      <c r="I78" s="100">
        <v>10.06</v>
      </c>
      <c r="J78" s="100">
        <v>0.46</v>
      </c>
      <c r="K78" s="100">
        <v>53.05</v>
      </c>
      <c r="L78" s="100">
        <v>27.12</v>
      </c>
      <c r="M78" s="100">
        <v>33.58</v>
      </c>
      <c r="N78" s="100">
        <v>8.6</v>
      </c>
      <c r="O78" s="100">
        <v>0</v>
      </c>
      <c r="P78" s="100">
        <v>0.86</v>
      </c>
      <c r="Q78" s="100">
        <v>11.25</v>
      </c>
      <c r="R78" s="6"/>
      <c r="S78" s="6"/>
      <c r="T78" s="156"/>
      <c r="U78" s="6"/>
    </row>
    <row r="79" spans="1:21" customFormat="1">
      <c r="A79" s="163" t="s">
        <v>2229</v>
      </c>
      <c r="B79" s="100">
        <v>7.36</v>
      </c>
      <c r="C79" s="100">
        <v>31.32</v>
      </c>
      <c r="D79" s="100">
        <v>23.62</v>
      </c>
      <c r="E79" s="100">
        <v>13.97</v>
      </c>
      <c r="F79" s="100">
        <v>1.92</v>
      </c>
      <c r="G79" s="100">
        <v>109.71</v>
      </c>
      <c r="H79" s="100">
        <v>32.74</v>
      </c>
      <c r="I79" s="100">
        <v>10.23</v>
      </c>
      <c r="J79" s="100">
        <v>0.44</v>
      </c>
      <c r="K79" s="100">
        <v>56.59</v>
      </c>
      <c r="L79" s="100">
        <v>26.41</v>
      </c>
      <c r="M79" s="100">
        <v>34.97</v>
      </c>
      <c r="N79" s="100">
        <v>4.0999999999999996</v>
      </c>
      <c r="O79" s="100">
        <v>0</v>
      </c>
      <c r="P79" s="100">
        <v>0.86</v>
      </c>
      <c r="Q79" s="100">
        <v>11.25</v>
      </c>
      <c r="R79" s="6"/>
      <c r="S79" s="6"/>
      <c r="T79" s="156"/>
      <c r="U79" s="6"/>
    </row>
    <row r="80" spans="1:21" customFormat="1">
      <c r="A80" s="163" t="s">
        <v>2230</v>
      </c>
      <c r="B80" s="100">
        <v>8.0500000000000007</v>
      </c>
      <c r="C80" s="100">
        <v>31.41</v>
      </c>
      <c r="D80" s="100">
        <v>24.22</v>
      </c>
      <c r="E80" s="100">
        <v>12.53</v>
      </c>
      <c r="F80" s="100">
        <v>0.45</v>
      </c>
      <c r="G80" s="100">
        <v>109.71</v>
      </c>
      <c r="H80" s="100">
        <v>32.74</v>
      </c>
      <c r="I80" s="100">
        <v>10.039999999999999</v>
      </c>
      <c r="J80" s="100">
        <v>0.45</v>
      </c>
      <c r="K80" s="100">
        <v>63.79</v>
      </c>
      <c r="L80" s="100">
        <v>25.75</v>
      </c>
      <c r="M80" s="100">
        <v>37.950000000000003</v>
      </c>
      <c r="N80" s="100">
        <v>2.2999999999999998</v>
      </c>
      <c r="O80" s="100">
        <v>0</v>
      </c>
      <c r="P80" s="100">
        <v>0.88</v>
      </c>
      <c r="Q80" s="100">
        <v>11.25</v>
      </c>
      <c r="R80" s="6"/>
      <c r="S80" s="6"/>
      <c r="T80" s="156"/>
      <c r="U80" s="6"/>
    </row>
    <row r="81" spans="1:21" customFormat="1">
      <c r="A81" s="163" t="s">
        <v>2231</v>
      </c>
      <c r="B81" s="100">
        <v>8.8699999999999992</v>
      </c>
      <c r="C81" s="100">
        <v>31.46</v>
      </c>
      <c r="D81" s="100">
        <v>24.91</v>
      </c>
      <c r="E81" s="100">
        <v>10.68</v>
      </c>
      <c r="F81" s="100">
        <v>1.74</v>
      </c>
      <c r="G81" s="100">
        <v>109.71</v>
      </c>
      <c r="H81" s="100">
        <v>32.74</v>
      </c>
      <c r="I81" s="100">
        <v>10.24</v>
      </c>
      <c r="J81" s="100">
        <v>0.17</v>
      </c>
      <c r="K81" s="100">
        <v>72.989999999999995</v>
      </c>
      <c r="L81" s="100">
        <v>24.52</v>
      </c>
      <c r="M81" s="100">
        <v>45.61</v>
      </c>
      <c r="N81" s="100">
        <v>2.2999999999999998</v>
      </c>
      <c r="O81" s="100">
        <v>0</v>
      </c>
      <c r="P81" s="100">
        <v>0.89</v>
      </c>
      <c r="Q81" s="100">
        <v>11.25</v>
      </c>
      <c r="R81" s="6"/>
      <c r="S81" s="6"/>
      <c r="T81" s="156"/>
      <c r="U81" s="6"/>
    </row>
    <row r="82" spans="1:21" customFormat="1">
      <c r="A82" s="163" t="s">
        <v>2232</v>
      </c>
      <c r="B82" s="100">
        <v>9.66</v>
      </c>
      <c r="C82" s="100">
        <v>31.33</v>
      </c>
      <c r="D82" s="100">
        <v>25.47</v>
      </c>
      <c r="E82" s="100">
        <v>11.6</v>
      </c>
      <c r="F82" s="100">
        <v>0.33</v>
      </c>
      <c r="G82" s="100">
        <v>114.02</v>
      </c>
      <c r="H82" s="100">
        <v>30.13</v>
      </c>
      <c r="I82" s="100">
        <v>10.39</v>
      </c>
      <c r="J82" s="100">
        <v>0.13</v>
      </c>
      <c r="K82" s="100">
        <v>45.62</v>
      </c>
      <c r="L82" s="100">
        <v>23.98</v>
      </c>
      <c r="M82" s="100">
        <v>43.17</v>
      </c>
      <c r="N82" s="100">
        <v>1.4</v>
      </c>
      <c r="O82" s="100">
        <v>0</v>
      </c>
      <c r="P82" s="100">
        <v>0.92</v>
      </c>
      <c r="Q82" s="100">
        <v>11.25</v>
      </c>
      <c r="R82" s="6"/>
      <c r="S82" s="6"/>
      <c r="T82" s="156"/>
      <c r="U82" s="6"/>
    </row>
    <row r="83" spans="1:21" customFormat="1">
      <c r="A83" s="163" t="s">
        <v>2233</v>
      </c>
      <c r="B83" s="100">
        <v>10.66</v>
      </c>
      <c r="C83" s="100">
        <v>31.16</v>
      </c>
      <c r="D83" s="100">
        <v>26.18</v>
      </c>
      <c r="E83" s="100">
        <v>11.8</v>
      </c>
      <c r="F83" s="100">
        <v>0.96</v>
      </c>
      <c r="G83" s="100">
        <v>116.64</v>
      </c>
      <c r="H83" s="100">
        <v>29.61</v>
      </c>
      <c r="I83" s="100">
        <v>10.47</v>
      </c>
      <c r="J83" s="100">
        <v>0.24</v>
      </c>
      <c r="K83" s="100">
        <v>140</v>
      </c>
      <c r="L83" s="100">
        <v>23.43</v>
      </c>
      <c r="M83" s="100">
        <v>48.86</v>
      </c>
      <c r="N83" s="100">
        <v>2</v>
      </c>
      <c r="O83" s="100">
        <v>0</v>
      </c>
      <c r="P83" s="100">
        <v>0.92</v>
      </c>
      <c r="Q83" s="100">
        <v>11.25</v>
      </c>
      <c r="R83" s="6"/>
      <c r="S83" s="6"/>
      <c r="T83" s="156"/>
      <c r="U83" s="6"/>
    </row>
    <row r="84" spans="1:21" customFormat="1">
      <c r="A84" s="163" t="s">
        <v>2234</v>
      </c>
      <c r="B84" s="100">
        <v>11.28</v>
      </c>
      <c r="C84" s="100">
        <v>31.18</v>
      </c>
      <c r="D84" s="100">
        <v>26.69</v>
      </c>
      <c r="E84" s="100">
        <v>11.65</v>
      </c>
      <c r="F84" s="100">
        <v>0.27</v>
      </c>
      <c r="G84" s="100">
        <v>116.64</v>
      </c>
      <c r="H84" s="100">
        <v>29.61</v>
      </c>
      <c r="I84" s="100">
        <v>10.68</v>
      </c>
      <c r="J84" s="100">
        <v>0.28999999999999998</v>
      </c>
      <c r="K84" s="100">
        <v>160.31</v>
      </c>
      <c r="L84" s="100">
        <v>22.38</v>
      </c>
      <c r="M84" s="100">
        <v>53.21</v>
      </c>
      <c r="N84" s="100">
        <v>2</v>
      </c>
      <c r="O84" s="100">
        <v>0</v>
      </c>
      <c r="P84" s="100">
        <v>0.93</v>
      </c>
      <c r="Q84" s="100">
        <v>11.25</v>
      </c>
      <c r="R84" s="6"/>
      <c r="S84" s="6"/>
      <c r="T84" s="156"/>
      <c r="U84" s="6"/>
    </row>
    <row r="85" spans="1:21" customFormat="1">
      <c r="A85" s="163" t="s">
        <v>2235</v>
      </c>
      <c r="B85" s="100">
        <v>11.6</v>
      </c>
      <c r="C85" s="100">
        <v>31.07</v>
      </c>
      <c r="D85" s="100">
        <v>26.89</v>
      </c>
      <c r="E85" s="100">
        <v>11.63</v>
      </c>
      <c r="F85" s="100">
        <v>0.05</v>
      </c>
      <c r="G85" s="100">
        <v>116.64</v>
      </c>
      <c r="H85" s="100">
        <v>29.61</v>
      </c>
      <c r="I85" s="100">
        <v>10.81</v>
      </c>
      <c r="J85" s="100">
        <v>0.28000000000000003</v>
      </c>
      <c r="K85" s="100">
        <v>174.42</v>
      </c>
      <c r="L85" s="100">
        <v>21.6</v>
      </c>
      <c r="M85" s="100">
        <v>60.98</v>
      </c>
      <c r="N85" s="100">
        <v>2.1</v>
      </c>
      <c r="O85" s="100">
        <v>0</v>
      </c>
      <c r="P85" s="100">
        <v>0.95</v>
      </c>
      <c r="Q85" s="100">
        <v>11.25</v>
      </c>
      <c r="R85" s="6"/>
      <c r="S85" s="6"/>
      <c r="T85" s="156"/>
      <c r="U85" s="6"/>
    </row>
    <row r="86" spans="1:21" customFormat="1">
      <c r="A86" s="163" t="s">
        <v>2236</v>
      </c>
      <c r="B86" s="100">
        <v>11.73</v>
      </c>
      <c r="C86" s="100">
        <v>30.74</v>
      </c>
      <c r="D86" s="100">
        <v>26.82</v>
      </c>
      <c r="E86" s="100">
        <v>11.35</v>
      </c>
      <c r="F86" s="100">
        <v>1.1000000000000001</v>
      </c>
      <c r="G86" s="100">
        <v>123.48</v>
      </c>
      <c r="H86" s="100">
        <v>34.869999999999997</v>
      </c>
      <c r="I86" s="100">
        <v>10.9</v>
      </c>
      <c r="J86" s="100">
        <v>0.19</v>
      </c>
      <c r="K86" s="100">
        <v>181.88</v>
      </c>
      <c r="L86" s="100">
        <v>20.65</v>
      </c>
      <c r="M86" s="100">
        <v>63.48</v>
      </c>
      <c r="N86" s="100">
        <v>1.9</v>
      </c>
      <c r="O86" s="100">
        <v>0</v>
      </c>
      <c r="P86" s="100">
        <v>0.97</v>
      </c>
      <c r="Q86" s="100">
        <v>11.25</v>
      </c>
      <c r="R86" s="6"/>
      <c r="S86" s="6"/>
      <c r="T86" s="156"/>
      <c r="U86" s="6"/>
    </row>
    <row r="87" spans="1:21" customFormat="1">
      <c r="A87" s="163" t="s">
        <v>2237</v>
      </c>
      <c r="B87" s="100">
        <v>11.9</v>
      </c>
      <c r="C87" s="100">
        <v>30.6</v>
      </c>
      <c r="D87" s="100">
        <v>26.88</v>
      </c>
      <c r="E87" s="100">
        <v>11.3</v>
      </c>
      <c r="F87" s="100">
        <v>0.92</v>
      </c>
      <c r="G87" s="100">
        <v>127.63</v>
      </c>
      <c r="H87" s="100">
        <v>35.92</v>
      </c>
      <c r="I87" s="100">
        <v>11.11</v>
      </c>
      <c r="J87" s="100">
        <v>0.18</v>
      </c>
      <c r="K87" s="100">
        <v>200.58</v>
      </c>
      <c r="L87" s="100">
        <v>20.45</v>
      </c>
      <c r="M87" s="100">
        <v>60.19</v>
      </c>
      <c r="N87" s="100">
        <v>1.4</v>
      </c>
      <c r="O87" s="100">
        <v>0</v>
      </c>
      <c r="P87" s="100">
        <v>0.98</v>
      </c>
      <c r="Q87" s="100">
        <v>11.25</v>
      </c>
      <c r="R87" s="6"/>
      <c r="S87" s="6"/>
      <c r="T87" s="156"/>
      <c r="U87" s="6"/>
    </row>
    <row r="88" spans="1:21" customFormat="1">
      <c r="A88" s="163" t="s">
        <v>2238</v>
      </c>
      <c r="B88" s="100">
        <v>12.33</v>
      </c>
      <c r="C88" s="100">
        <v>30.74</v>
      </c>
      <c r="D88" s="100">
        <v>27.3</v>
      </c>
      <c r="E88" s="100">
        <v>10.86</v>
      </c>
      <c r="F88" s="100">
        <v>0.82</v>
      </c>
      <c r="G88" s="100">
        <v>127.63</v>
      </c>
      <c r="H88" s="100">
        <v>35.92</v>
      </c>
      <c r="I88" s="100">
        <v>11.33</v>
      </c>
      <c r="J88" s="100">
        <v>0.23</v>
      </c>
      <c r="K88" s="100">
        <v>196.54</v>
      </c>
      <c r="L88" s="100">
        <v>19.89</v>
      </c>
      <c r="M88" s="100">
        <v>64.08</v>
      </c>
      <c r="N88" s="100">
        <v>1.8</v>
      </c>
      <c r="O88" s="100">
        <v>0</v>
      </c>
      <c r="P88" s="100">
        <v>1.01</v>
      </c>
      <c r="Q88" s="100">
        <v>11.25</v>
      </c>
      <c r="R88" s="6"/>
      <c r="S88" s="6"/>
      <c r="T88" s="156"/>
      <c r="U88" s="6"/>
    </row>
    <row r="89" spans="1:21" customFormat="1">
      <c r="A89" s="163" t="s">
        <v>2239</v>
      </c>
      <c r="B89" s="100">
        <v>12.52</v>
      </c>
      <c r="C89" s="100">
        <v>30.57</v>
      </c>
      <c r="D89" s="100">
        <v>27.36</v>
      </c>
      <c r="E89" s="100">
        <v>10.88</v>
      </c>
      <c r="F89" s="100">
        <v>1.02</v>
      </c>
      <c r="G89" s="100">
        <v>127.63</v>
      </c>
      <c r="H89" s="100">
        <v>35.92</v>
      </c>
      <c r="I89" s="100">
        <v>11.57</v>
      </c>
      <c r="J89" s="100">
        <v>0.13</v>
      </c>
      <c r="K89" s="100">
        <v>201.64</v>
      </c>
      <c r="L89" s="100">
        <v>19.28</v>
      </c>
      <c r="M89" s="100">
        <v>68.39</v>
      </c>
      <c r="N89" s="100">
        <v>1.5</v>
      </c>
      <c r="O89" s="100">
        <v>0</v>
      </c>
      <c r="P89" s="100">
        <v>1.03</v>
      </c>
      <c r="Q89" s="100">
        <v>11.25</v>
      </c>
      <c r="R89" s="6"/>
      <c r="S89" s="6"/>
      <c r="T89" s="156"/>
      <c r="U89" s="6"/>
    </row>
    <row r="90" spans="1:21" customFormat="1">
      <c r="A90" s="163" t="s">
        <v>2240</v>
      </c>
      <c r="B90" s="100">
        <v>12.57</v>
      </c>
      <c r="C90" s="100">
        <v>30.25</v>
      </c>
      <c r="D90" s="100">
        <v>27.24</v>
      </c>
      <c r="E90" s="100">
        <v>10.6</v>
      </c>
      <c r="F90" s="100">
        <v>0.38</v>
      </c>
      <c r="G90" s="100">
        <v>123.89</v>
      </c>
      <c r="H90" s="100">
        <v>28.82</v>
      </c>
      <c r="I90" s="100">
        <v>11.74</v>
      </c>
      <c r="J90" s="100">
        <v>0.11</v>
      </c>
      <c r="K90" s="100">
        <v>231.17</v>
      </c>
      <c r="L90" s="100">
        <v>18.88</v>
      </c>
      <c r="M90" s="100">
        <v>69.38</v>
      </c>
      <c r="N90" s="100">
        <v>1.3</v>
      </c>
      <c r="O90" s="100">
        <v>0</v>
      </c>
      <c r="P90" s="100">
        <v>1.04</v>
      </c>
      <c r="Q90" s="100">
        <v>11.25</v>
      </c>
      <c r="R90" s="6"/>
      <c r="S90" s="6"/>
      <c r="T90" s="156"/>
      <c r="U90" s="6"/>
    </row>
    <row r="91" spans="1:21" customFormat="1">
      <c r="A91" s="163" t="s">
        <v>2241</v>
      </c>
      <c r="B91" s="100">
        <v>12.54</v>
      </c>
      <c r="C91" s="100">
        <v>29.72</v>
      </c>
      <c r="D91" s="100">
        <v>26.93</v>
      </c>
      <c r="E91" s="100">
        <v>10.81</v>
      </c>
      <c r="F91" s="100">
        <v>0.56000000000000005</v>
      </c>
      <c r="G91" s="100">
        <v>121.61</v>
      </c>
      <c r="H91" s="100">
        <v>26.38</v>
      </c>
      <c r="I91" s="100">
        <v>11.92</v>
      </c>
      <c r="J91" s="100">
        <v>0.22</v>
      </c>
      <c r="K91" s="100">
        <v>173.17</v>
      </c>
      <c r="L91" s="100">
        <v>18.920000000000002</v>
      </c>
      <c r="M91" s="100">
        <v>69.53</v>
      </c>
      <c r="N91" s="100">
        <v>1</v>
      </c>
      <c r="O91" s="100">
        <v>0</v>
      </c>
      <c r="P91" s="100">
        <v>1.05</v>
      </c>
      <c r="Q91" s="100">
        <v>11.25</v>
      </c>
      <c r="R91" s="6"/>
      <c r="S91" s="6"/>
      <c r="T91" s="156"/>
      <c r="U91" s="6"/>
    </row>
    <row r="92" spans="1:21" customFormat="1">
      <c r="A92" s="163" t="s">
        <v>2242</v>
      </c>
      <c r="B92" s="100">
        <v>12.33</v>
      </c>
      <c r="C92" s="100">
        <v>29.01</v>
      </c>
      <c r="D92" s="100">
        <v>26.4</v>
      </c>
      <c r="E92" s="100">
        <v>10.97</v>
      </c>
      <c r="F92" s="100">
        <v>1.56</v>
      </c>
      <c r="G92" s="100">
        <v>121.61</v>
      </c>
      <c r="H92" s="100">
        <v>26.38</v>
      </c>
      <c r="I92" s="100">
        <v>12.07</v>
      </c>
      <c r="J92" s="100">
        <v>0.16</v>
      </c>
      <c r="K92" s="100">
        <v>172.23</v>
      </c>
      <c r="L92" s="100">
        <v>18.71</v>
      </c>
      <c r="M92" s="100">
        <v>72.92</v>
      </c>
      <c r="N92" s="100">
        <v>1.2</v>
      </c>
      <c r="O92" s="100">
        <v>0</v>
      </c>
      <c r="P92" s="100">
        <v>1.07</v>
      </c>
      <c r="Q92" s="100">
        <v>11.25</v>
      </c>
      <c r="R92" s="6"/>
      <c r="S92" s="6"/>
      <c r="T92" s="156"/>
      <c r="U92" s="6"/>
    </row>
    <row r="93" spans="1:21" customFormat="1">
      <c r="A93" s="163" t="s">
        <v>2243</v>
      </c>
      <c r="B93" s="100">
        <v>11.95</v>
      </c>
      <c r="C93" s="100">
        <v>28.61</v>
      </c>
      <c r="D93" s="100">
        <v>25.88</v>
      </c>
      <c r="E93" s="100">
        <v>10.42</v>
      </c>
      <c r="F93" s="100">
        <v>0.86</v>
      </c>
      <c r="G93" s="100">
        <v>121.61</v>
      </c>
      <c r="H93" s="100">
        <v>26.38</v>
      </c>
      <c r="I93" s="100">
        <v>12.21</v>
      </c>
      <c r="J93" s="100">
        <v>0.14000000000000001</v>
      </c>
      <c r="K93" s="100">
        <v>183.58</v>
      </c>
      <c r="L93" s="100">
        <v>18.75</v>
      </c>
      <c r="M93" s="100">
        <v>68.25</v>
      </c>
      <c r="N93" s="100">
        <v>0.9</v>
      </c>
      <c r="O93" s="100">
        <v>0</v>
      </c>
      <c r="P93" s="100">
        <v>1.0900000000000001</v>
      </c>
      <c r="Q93" s="100">
        <v>11.25</v>
      </c>
      <c r="R93" s="6"/>
      <c r="S93" s="6"/>
      <c r="T93" s="156"/>
      <c r="U93" s="6"/>
    </row>
    <row r="94" spans="1:21" customFormat="1">
      <c r="A94" s="163" t="s">
        <v>2244</v>
      </c>
      <c r="B94" s="100">
        <v>11.64</v>
      </c>
      <c r="C94" s="100">
        <v>28.45</v>
      </c>
      <c r="D94" s="100">
        <v>25.55</v>
      </c>
      <c r="E94" s="100">
        <v>10.31</v>
      </c>
      <c r="F94" s="100">
        <v>0.54</v>
      </c>
      <c r="G94" s="100">
        <v>119.13</v>
      </c>
      <c r="H94" s="100">
        <v>25.36</v>
      </c>
      <c r="I94" s="100">
        <v>12.34</v>
      </c>
      <c r="J94" s="100">
        <v>0.2</v>
      </c>
      <c r="K94" s="100">
        <v>170.18</v>
      </c>
      <c r="L94" s="100">
        <v>18.68</v>
      </c>
      <c r="M94" s="100">
        <v>71.16</v>
      </c>
      <c r="N94" s="100">
        <v>1</v>
      </c>
      <c r="O94" s="100">
        <v>0</v>
      </c>
      <c r="P94" s="100">
        <v>1.1000000000000001</v>
      </c>
      <c r="Q94" s="100">
        <v>11.25</v>
      </c>
      <c r="R94" s="6"/>
      <c r="S94" s="6"/>
      <c r="T94" s="156"/>
      <c r="U94" s="6"/>
    </row>
    <row r="95" spans="1:21" customFormat="1">
      <c r="A95" s="163" t="s">
        <v>2245</v>
      </c>
      <c r="B95" s="100">
        <v>12.04</v>
      </c>
      <c r="C95" s="100">
        <v>28.53</v>
      </c>
      <c r="D95" s="100">
        <v>25.91</v>
      </c>
      <c r="E95" s="100">
        <v>10.47</v>
      </c>
      <c r="F95" s="100">
        <v>0.13</v>
      </c>
      <c r="G95" s="100">
        <v>117.62</v>
      </c>
      <c r="H95" s="100">
        <v>25.16</v>
      </c>
      <c r="I95" s="100">
        <v>12.45</v>
      </c>
      <c r="J95" s="100">
        <v>0.27</v>
      </c>
      <c r="K95" s="100">
        <v>170.23</v>
      </c>
      <c r="L95" s="100">
        <v>18.59</v>
      </c>
      <c r="M95" s="100">
        <v>73.31</v>
      </c>
      <c r="N95" s="100">
        <v>1.2</v>
      </c>
      <c r="O95" s="100">
        <v>0</v>
      </c>
      <c r="P95" s="100">
        <v>1.1200000000000001</v>
      </c>
      <c r="Q95" s="100">
        <v>11.25</v>
      </c>
      <c r="R95" s="6"/>
      <c r="S95" s="6"/>
      <c r="T95" s="156"/>
      <c r="U95" s="6"/>
    </row>
    <row r="96" spans="1:21" customFormat="1">
      <c r="A96" s="163" t="s">
        <v>2246</v>
      </c>
      <c r="B96" s="100">
        <v>11.97</v>
      </c>
      <c r="C96" s="100">
        <v>28.44</v>
      </c>
      <c r="D96" s="100">
        <v>25.8</v>
      </c>
      <c r="E96" s="100">
        <v>10.68</v>
      </c>
      <c r="F96" s="100">
        <v>2.0699999999999998</v>
      </c>
      <c r="G96" s="100">
        <v>117.62</v>
      </c>
      <c r="H96" s="100">
        <v>25.16</v>
      </c>
      <c r="I96" s="100">
        <v>12.64</v>
      </c>
      <c r="J96" s="100">
        <v>0.17</v>
      </c>
      <c r="K96" s="100">
        <v>190.9</v>
      </c>
      <c r="L96" s="100">
        <v>18.239999999999998</v>
      </c>
      <c r="M96" s="100">
        <v>75.09</v>
      </c>
      <c r="N96" s="100">
        <v>1.2</v>
      </c>
      <c r="O96" s="100">
        <v>0</v>
      </c>
      <c r="P96" s="100">
        <v>1.1200000000000001</v>
      </c>
      <c r="Q96" s="100">
        <v>11.25</v>
      </c>
      <c r="R96" s="6"/>
      <c r="S96" s="6"/>
      <c r="T96" s="156"/>
      <c r="U96" s="6"/>
    </row>
    <row r="97" spans="1:28" customFormat="1">
      <c r="A97" s="163" t="s">
        <v>2247</v>
      </c>
      <c r="B97" s="100">
        <v>11.75</v>
      </c>
      <c r="C97" s="100">
        <v>28.26</v>
      </c>
      <c r="D97" s="100">
        <v>25.54</v>
      </c>
      <c r="E97" s="100">
        <v>10.79</v>
      </c>
      <c r="F97" s="100">
        <v>1.32</v>
      </c>
      <c r="G97" s="100">
        <v>117.62</v>
      </c>
      <c r="H97" s="100">
        <v>25.16</v>
      </c>
      <c r="I97" s="100">
        <v>12.78</v>
      </c>
      <c r="J97" s="100">
        <v>0.21</v>
      </c>
      <c r="K97" s="100">
        <v>178.99</v>
      </c>
      <c r="L97" s="100">
        <v>18.09</v>
      </c>
      <c r="M97" s="100">
        <v>74.290000000000006</v>
      </c>
      <c r="N97" s="100">
        <v>1.3</v>
      </c>
      <c r="O97" s="100">
        <v>0</v>
      </c>
      <c r="P97" s="100">
        <v>1.1299999999999999</v>
      </c>
      <c r="Q97" s="100">
        <v>11.25</v>
      </c>
      <c r="R97" s="6"/>
      <c r="S97" s="6"/>
      <c r="T97" s="156"/>
      <c r="U97" s="6"/>
    </row>
    <row r="98" spans="1:28" customFormat="1">
      <c r="A98" s="163" t="s">
        <v>2248</v>
      </c>
      <c r="B98" s="100">
        <v>11.5</v>
      </c>
      <c r="C98" s="100">
        <v>27.95</v>
      </c>
      <c r="D98" s="100">
        <v>25.18</v>
      </c>
      <c r="E98" s="100">
        <v>10.59</v>
      </c>
      <c r="F98" s="100">
        <v>0.5</v>
      </c>
      <c r="G98" s="100">
        <v>120.92</v>
      </c>
      <c r="H98" s="100">
        <v>27.24</v>
      </c>
      <c r="I98" s="100">
        <v>12.86</v>
      </c>
      <c r="J98" s="100">
        <v>0.21</v>
      </c>
      <c r="K98" s="100">
        <v>201.39</v>
      </c>
      <c r="L98" s="100">
        <v>17.600000000000001</v>
      </c>
      <c r="M98" s="100">
        <v>79.28</v>
      </c>
      <c r="N98" s="100">
        <v>1.4</v>
      </c>
      <c r="O98" s="100">
        <v>0</v>
      </c>
      <c r="P98" s="100">
        <v>1.1299999999999999</v>
      </c>
      <c r="Q98" s="100">
        <v>11.25</v>
      </c>
      <c r="R98" s="6"/>
      <c r="S98" s="6"/>
      <c r="T98" s="156"/>
      <c r="U98" s="6"/>
    </row>
    <row r="99" spans="1:28" customFormat="1">
      <c r="A99" s="163" t="s">
        <v>2249</v>
      </c>
      <c r="B99" s="100">
        <v>11.32</v>
      </c>
      <c r="C99" s="100">
        <v>27.74</v>
      </c>
      <c r="D99" s="100">
        <v>24.92</v>
      </c>
      <c r="E99" s="100">
        <v>10.42</v>
      </c>
      <c r="F99" s="100">
        <v>0.84</v>
      </c>
      <c r="G99" s="100">
        <v>122.92</v>
      </c>
      <c r="H99" s="100">
        <v>27.66</v>
      </c>
      <c r="I99" s="100">
        <v>12.92</v>
      </c>
      <c r="J99" s="100">
        <v>0.22</v>
      </c>
      <c r="K99" s="100">
        <v>169.95</v>
      </c>
      <c r="L99" s="100">
        <v>17.350000000000001</v>
      </c>
      <c r="M99" s="100">
        <v>77.42</v>
      </c>
      <c r="N99" s="100">
        <v>1.4</v>
      </c>
      <c r="O99" s="100">
        <v>0</v>
      </c>
      <c r="P99" s="100">
        <v>1.1399999999999999</v>
      </c>
      <c r="Q99" s="100">
        <v>11.25</v>
      </c>
      <c r="R99" s="6"/>
      <c r="S99" s="6"/>
      <c r="T99" s="156"/>
      <c r="U99" s="6"/>
    </row>
    <row r="100" spans="1:28" customFormat="1">
      <c r="A100" s="163" t="s">
        <v>2250</v>
      </c>
      <c r="B100" s="100">
        <v>11.25</v>
      </c>
      <c r="C100" s="100">
        <v>27.56</v>
      </c>
      <c r="D100" s="100">
        <v>24.77</v>
      </c>
      <c r="E100" s="100">
        <v>10.38</v>
      </c>
      <c r="F100" s="100">
        <v>0.54</v>
      </c>
      <c r="G100" s="100">
        <v>122.92</v>
      </c>
      <c r="H100" s="100">
        <v>27.66</v>
      </c>
      <c r="I100" s="100">
        <v>13.03</v>
      </c>
      <c r="J100" s="100">
        <v>0.17</v>
      </c>
      <c r="K100" s="100">
        <v>224.71</v>
      </c>
      <c r="L100" s="100">
        <v>17.11</v>
      </c>
      <c r="M100" s="100">
        <v>77.08</v>
      </c>
      <c r="N100" s="100">
        <v>1.3</v>
      </c>
      <c r="O100" s="100">
        <v>0</v>
      </c>
      <c r="P100" s="100">
        <v>1.1399999999999999</v>
      </c>
      <c r="Q100" s="100">
        <v>11.25</v>
      </c>
      <c r="R100" s="6"/>
      <c r="S100" s="6"/>
      <c r="T100" s="156"/>
      <c r="U100" s="6"/>
      <c r="AB100" s="161"/>
    </row>
    <row r="101" spans="1:28" customFormat="1">
      <c r="A101" s="163" t="s">
        <v>2251</v>
      </c>
      <c r="B101" s="100">
        <v>11.12</v>
      </c>
      <c r="C101" s="100">
        <v>27.47</v>
      </c>
      <c r="D101" s="100">
        <v>24.62</v>
      </c>
      <c r="E101" s="100">
        <v>10.37</v>
      </c>
      <c r="F101" s="100">
        <v>0.19</v>
      </c>
      <c r="G101" s="100">
        <v>122.92</v>
      </c>
      <c r="H101" s="100">
        <v>27.66</v>
      </c>
      <c r="I101" s="100">
        <v>13.16</v>
      </c>
      <c r="J101" s="100">
        <v>0.18</v>
      </c>
      <c r="K101" s="100">
        <v>163.56</v>
      </c>
      <c r="L101" s="100">
        <v>17.16</v>
      </c>
      <c r="M101" s="100">
        <v>79.040000000000006</v>
      </c>
      <c r="N101" s="100">
        <v>1.2</v>
      </c>
      <c r="O101" s="100">
        <v>0</v>
      </c>
      <c r="P101" s="100">
        <v>1.1399999999999999</v>
      </c>
      <c r="Q101" s="100">
        <v>11.25</v>
      </c>
      <c r="R101" s="6"/>
      <c r="S101" s="6"/>
      <c r="T101" s="156"/>
      <c r="U101" s="6"/>
    </row>
    <row r="102" spans="1:28" customFormat="1">
      <c r="A102" s="163" t="s">
        <v>2252</v>
      </c>
      <c r="B102" s="100">
        <v>11.07</v>
      </c>
      <c r="C102" s="100">
        <v>27.26</v>
      </c>
      <c r="D102" s="100">
        <v>24.47</v>
      </c>
      <c r="E102" s="100">
        <v>10.02</v>
      </c>
      <c r="F102" s="100">
        <v>0.9</v>
      </c>
      <c r="G102" s="100">
        <v>120.37</v>
      </c>
      <c r="H102" s="100">
        <v>27.58</v>
      </c>
      <c r="I102" s="100">
        <v>13.18</v>
      </c>
      <c r="J102" s="100">
        <v>0.17</v>
      </c>
      <c r="K102" s="100">
        <v>163.5</v>
      </c>
      <c r="L102" s="100">
        <v>16.84</v>
      </c>
      <c r="M102" s="100">
        <v>81.52</v>
      </c>
      <c r="N102" s="100">
        <v>1.3</v>
      </c>
      <c r="O102" s="100">
        <v>0</v>
      </c>
      <c r="P102" s="100">
        <v>1.1399999999999999</v>
      </c>
      <c r="Q102" s="100">
        <v>11.25</v>
      </c>
      <c r="R102" s="6"/>
      <c r="S102" s="6"/>
      <c r="T102" s="156"/>
      <c r="U102" s="6"/>
    </row>
    <row r="103" spans="1:28" customFormat="1">
      <c r="A103" s="163" t="s">
        <v>2253</v>
      </c>
      <c r="B103" s="100">
        <v>11.1</v>
      </c>
      <c r="C103" s="100">
        <v>27.15</v>
      </c>
      <c r="D103" s="100">
        <v>24.44</v>
      </c>
      <c r="E103" s="100">
        <v>10.45</v>
      </c>
      <c r="F103" s="100">
        <v>2.56</v>
      </c>
      <c r="G103" s="100">
        <v>118.83</v>
      </c>
      <c r="H103" s="100">
        <v>27.56</v>
      </c>
      <c r="I103" s="100">
        <v>13.16</v>
      </c>
      <c r="J103" s="100">
        <v>0.18</v>
      </c>
      <c r="K103" s="100">
        <v>167.95</v>
      </c>
      <c r="L103" s="100">
        <v>16.79</v>
      </c>
      <c r="M103" s="100">
        <v>80.58</v>
      </c>
      <c r="N103" s="100">
        <v>1</v>
      </c>
      <c r="O103" s="100">
        <v>0</v>
      </c>
      <c r="P103" s="100">
        <v>1.1499999999999999</v>
      </c>
      <c r="Q103" s="100">
        <v>11.25</v>
      </c>
      <c r="R103" s="6"/>
      <c r="S103" s="6"/>
      <c r="T103" s="156"/>
      <c r="U103" s="6"/>
    </row>
    <row r="104" spans="1:28" customFormat="1">
      <c r="A104" s="163" t="s">
        <v>2254</v>
      </c>
      <c r="B104" s="100">
        <v>11.22</v>
      </c>
      <c r="C104" s="100">
        <v>26.87</v>
      </c>
      <c r="D104" s="100">
        <v>24.38</v>
      </c>
      <c r="E104" s="100">
        <v>9.76</v>
      </c>
      <c r="F104" s="100">
        <v>4.21</v>
      </c>
      <c r="G104" s="100">
        <v>118.83</v>
      </c>
      <c r="H104" s="100">
        <v>27.56</v>
      </c>
      <c r="I104" s="100">
        <v>13.23</v>
      </c>
      <c r="J104" s="100">
        <v>0.26</v>
      </c>
      <c r="K104" s="100">
        <v>161.11000000000001</v>
      </c>
      <c r="L104" s="100">
        <v>16.79</v>
      </c>
      <c r="M104" s="100">
        <v>82.55</v>
      </c>
      <c r="N104" s="100">
        <v>1</v>
      </c>
      <c r="O104" s="100">
        <v>0</v>
      </c>
      <c r="P104" s="100">
        <v>1.1599999999999999</v>
      </c>
      <c r="Q104" s="100">
        <v>11.25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3.54</v>
      </c>
      <c r="C106" s="158">
        <f>MIN(C9:C104)</f>
        <v>23.66</v>
      </c>
      <c r="D106" s="158">
        <f t="shared" ref="D106:Q106" si="0">MIN(D9:D104)</f>
        <v>18.66</v>
      </c>
      <c r="E106" s="158">
        <f t="shared" si="0"/>
        <v>7.26</v>
      </c>
      <c r="F106" s="158">
        <f t="shared" si="0"/>
        <v>0.05</v>
      </c>
      <c r="G106" s="158">
        <f t="shared" si="0"/>
        <v>54.9</v>
      </c>
      <c r="H106" s="158">
        <f t="shared" si="0"/>
        <v>23.3</v>
      </c>
      <c r="I106" s="158">
        <f t="shared" si="0"/>
        <v>8.3800000000000008</v>
      </c>
      <c r="J106" s="158">
        <f t="shared" si="0"/>
        <v>0.06</v>
      </c>
      <c r="K106" s="158">
        <f t="shared" si="0"/>
        <v>3.08</v>
      </c>
      <c r="L106" s="158">
        <f t="shared" si="0"/>
        <v>12.78</v>
      </c>
      <c r="M106" s="158">
        <f t="shared" si="0"/>
        <v>26</v>
      </c>
      <c r="N106" s="158">
        <f t="shared" si="0"/>
        <v>0.9</v>
      </c>
      <c r="O106" s="158">
        <f t="shared" si="0"/>
        <v>0</v>
      </c>
      <c r="P106" s="158">
        <f t="shared" si="0"/>
        <v>0.71</v>
      </c>
      <c r="Q106" s="158">
        <f t="shared" si="0"/>
        <v>11.25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25.66</v>
      </c>
      <c r="C107" s="157">
        <f t="shared" ref="C107:Q107" si="1">MAX(C9:C104)</f>
        <v>33.39</v>
      </c>
      <c r="D107" s="157">
        <f t="shared" si="1"/>
        <v>35.590000000000003</v>
      </c>
      <c r="E107" s="157">
        <f t="shared" si="1"/>
        <v>48.85</v>
      </c>
      <c r="F107" s="157">
        <f t="shared" si="1"/>
        <v>4.21</v>
      </c>
      <c r="G107" s="157">
        <f t="shared" si="1"/>
        <v>127.63</v>
      </c>
      <c r="H107" s="157">
        <f t="shared" si="1"/>
        <v>36.64</v>
      </c>
      <c r="I107" s="157">
        <f t="shared" si="1"/>
        <v>14.59</v>
      </c>
      <c r="J107" s="157">
        <f t="shared" si="1"/>
        <v>1.6</v>
      </c>
      <c r="K107" s="157">
        <f t="shared" si="1"/>
        <v>334.99</v>
      </c>
      <c r="L107" s="157">
        <f t="shared" si="1"/>
        <v>30.2</v>
      </c>
      <c r="M107" s="157">
        <f t="shared" si="1"/>
        <v>102.62</v>
      </c>
      <c r="N107" s="157">
        <f t="shared" si="1"/>
        <v>450.9</v>
      </c>
      <c r="O107" s="157">
        <f t="shared" si="1"/>
        <v>0</v>
      </c>
      <c r="P107" s="157">
        <f t="shared" si="1"/>
        <v>1.1599999999999999</v>
      </c>
      <c r="Q107" s="157">
        <f t="shared" si="1"/>
        <v>11.25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13.206458333333329</v>
      </c>
      <c r="C108" s="158">
        <f t="shared" ref="C108:Q108" si="2">AVERAGE(C9:C104)</f>
        <v>28.28468749999999</v>
      </c>
      <c r="D108" s="158">
        <f t="shared" si="2"/>
        <v>26.720208333333343</v>
      </c>
      <c r="E108" s="158">
        <f t="shared" si="2"/>
        <v>12.457916666666664</v>
      </c>
      <c r="F108" s="158">
        <f t="shared" si="2"/>
        <v>0.98666666666666625</v>
      </c>
      <c r="G108" s="158">
        <f t="shared" si="2"/>
        <v>91.157395833333339</v>
      </c>
      <c r="H108" s="158">
        <f t="shared" si="2"/>
        <v>28.565624999999994</v>
      </c>
      <c r="I108" s="158">
        <f t="shared" si="2"/>
        <v>12.306354166666667</v>
      </c>
      <c r="J108" s="158">
        <f t="shared" si="2"/>
        <v>0.34718749999999998</v>
      </c>
      <c r="K108" s="158">
        <f t="shared" si="2"/>
        <v>129.03104166666665</v>
      </c>
      <c r="L108" s="158">
        <f t="shared" si="2"/>
        <v>20.623541666666668</v>
      </c>
      <c r="M108" s="158">
        <f t="shared" si="2"/>
        <v>62.594166666666645</v>
      </c>
      <c r="N108" s="158">
        <f t="shared" si="2"/>
        <v>97.957291666666649</v>
      </c>
      <c r="O108" s="158">
        <f t="shared" si="2"/>
        <v>0</v>
      </c>
      <c r="P108" s="158">
        <f t="shared" si="2"/>
        <v>1.0021875000000005</v>
      </c>
      <c r="Q108" s="158">
        <f t="shared" si="2"/>
        <v>11.25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6.2445159062579885</v>
      </c>
      <c r="C109" s="158">
        <f t="shared" ref="C109:Q109" si="3">STDEV(C9:C104)</f>
        <v>2.7256805825624348</v>
      </c>
      <c r="D109" s="158">
        <f t="shared" si="3"/>
        <v>4.1459161844845553</v>
      </c>
      <c r="E109" s="158">
        <f t="shared" si="3"/>
        <v>7.3813848246670224</v>
      </c>
      <c r="F109" s="158">
        <f t="shared" si="3"/>
        <v>0.69522532003231574</v>
      </c>
      <c r="G109" s="158">
        <f t="shared" si="3"/>
        <v>21.184233175930455</v>
      </c>
      <c r="H109" s="158">
        <f t="shared" si="3"/>
        <v>3.0682711787447632</v>
      </c>
      <c r="I109" s="158">
        <f t="shared" si="3"/>
        <v>1.8718058377669267</v>
      </c>
      <c r="J109" s="158">
        <f t="shared" si="3"/>
        <v>0.29617812252622228</v>
      </c>
      <c r="K109" s="158">
        <f t="shared" si="3"/>
        <v>74.799772508508099</v>
      </c>
      <c r="L109" s="158">
        <f t="shared" si="3"/>
        <v>6.004694650927477</v>
      </c>
      <c r="M109" s="158">
        <f t="shared" si="3"/>
        <v>24.230837406154876</v>
      </c>
      <c r="N109" s="158">
        <f t="shared" si="3"/>
        <v>156.44900547684213</v>
      </c>
      <c r="O109" s="158">
        <f t="shared" si="3"/>
        <v>0</v>
      </c>
      <c r="P109" s="158">
        <f t="shared" si="3"/>
        <v>0.13823095186184134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G94" sqref="G9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22/01/2025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2255</v>
      </c>
      <c r="B9" s="100">
        <v>11.94</v>
      </c>
      <c r="C9" s="100">
        <v>27.01</v>
      </c>
      <c r="D9" s="100">
        <v>25.04</v>
      </c>
      <c r="E9" s="100">
        <v>10.24</v>
      </c>
      <c r="F9" s="100">
        <v>0.35</v>
      </c>
      <c r="G9" s="100">
        <v>118.83</v>
      </c>
      <c r="H9" s="100">
        <v>27.56</v>
      </c>
      <c r="I9" s="100">
        <v>13.33</v>
      </c>
      <c r="J9" s="100">
        <v>0.24</v>
      </c>
      <c r="K9" s="100">
        <v>159.61000000000001</v>
      </c>
      <c r="L9" s="100">
        <v>16.72</v>
      </c>
      <c r="M9" s="100">
        <v>82.2</v>
      </c>
      <c r="N9" s="100">
        <v>1.2</v>
      </c>
      <c r="O9" s="100">
        <v>0</v>
      </c>
      <c r="P9" s="100">
        <v>1.17</v>
      </c>
      <c r="Q9" s="100">
        <v>12.24</v>
      </c>
      <c r="R9" s="6"/>
      <c r="S9" s="6"/>
      <c r="T9" s="156"/>
      <c r="U9" s="6"/>
    </row>
    <row r="10" spans="1:21" customFormat="1">
      <c r="A10" s="163" t="s">
        <v>2256</v>
      </c>
      <c r="B10" s="100">
        <v>12.38</v>
      </c>
      <c r="C10" s="100">
        <v>26.76</v>
      </c>
      <c r="D10" s="100">
        <v>25.26</v>
      </c>
      <c r="E10" s="100">
        <v>10.29</v>
      </c>
      <c r="F10" s="100">
        <v>2.57</v>
      </c>
      <c r="G10" s="100">
        <v>112.73</v>
      </c>
      <c r="H10" s="100">
        <v>28.81</v>
      </c>
      <c r="I10" s="100">
        <v>13.47</v>
      </c>
      <c r="J10" s="100">
        <v>0.21</v>
      </c>
      <c r="K10" s="100">
        <v>187.28</v>
      </c>
      <c r="L10" s="100">
        <v>16.46</v>
      </c>
      <c r="M10" s="100">
        <v>83.62</v>
      </c>
      <c r="N10" s="100">
        <v>1.2</v>
      </c>
      <c r="O10" s="100">
        <v>0</v>
      </c>
      <c r="P10" s="100">
        <v>1.18</v>
      </c>
      <c r="Q10" s="100">
        <v>12.24</v>
      </c>
      <c r="R10" s="6"/>
      <c r="S10" s="6"/>
      <c r="T10" s="156"/>
      <c r="U10" s="6"/>
    </row>
    <row r="11" spans="1:21" customFormat="1">
      <c r="A11" s="163" t="s">
        <v>2257</v>
      </c>
      <c r="B11" s="100">
        <v>12.8</v>
      </c>
      <c r="C11" s="100">
        <v>26.66</v>
      </c>
      <c r="D11" s="100">
        <v>25.55</v>
      </c>
      <c r="E11" s="100">
        <v>10.43</v>
      </c>
      <c r="F11" s="100">
        <v>0.91</v>
      </c>
      <c r="G11" s="100">
        <v>109.02</v>
      </c>
      <c r="H11" s="100">
        <v>29.06</v>
      </c>
      <c r="I11" s="100">
        <v>13.67</v>
      </c>
      <c r="J11" s="100">
        <v>0.13</v>
      </c>
      <c r="K11" s="100">
        <v>207.64</v>
      </c>
      <c r="L11" s="100">
        <v>16.11</v>
      </c>
      <c r="M11" s="100">
        <v>85.91</v>
      </c>
      <c r="N11" s="100">
        <v>1.3</v>
      </c>
      <c r="O11" s="100">
        <v>0</v>
      </c>
      <c r="P11" s="100">
        <v>1.19</v>
      </c>
      <c r="Q11" s="100">
        <v>12.24</v>
      </c>
      <c r="R11" s="6"/>
      <c r="S11" s="6"/>
      <c r="T11" s="156"/>
      <c r="U11" s="6"/>
    </row>
    <row r="12" spans="1:21" customFormat="1">
      <c r="A12" s="163" t="s">
        <v>2258</v>
      </c>
      <c r="B12" s="100">
        <v>13.12</v>
      </c>
      <c r="C12" s="100">
        <v>26.33</v>
      </c>
      <c r="D12" s="100">
        <v>25.63</v>
      </c>
      <c r="E12" s="100">
        <v>10.41</v>
      </c>
      <c r="F12" s="100">
        <v>0.99</v>
      </c>
      <c r="G12" s="100">
        <v>109.02</v>
      </c>
      <c r="H12" s="100">
        <v>29.06</v>
      </c>
      <c r="I12" s="100">
        <v>13.97</v>
      </c>
      <c r="J12" s="100">
        <v>0.12</v>
      </c>
      <c r="K12" s="100">
        <v>223.07</v>
      </c>
      <c r="L12" s="100">
        <v>15.81</v>
      </c>
      <c r="M12" s="100">
        <v>86.04</v>
      </c>
      <c r="N12" s="100">
        <v>1.3</v>
      </c>
      <c r="O12" s="100">
        <v>0</v>
      </c>
      <c r="P12" s="100">
        <v>1.2</v>
      </c>
      <c r="Q12" s="100">
        <v>12.24</v>
      </c>
      <c r="R12" s="6"/>
      <c r="S12" s="6"/>
      <c r="T12" s="156"/>
      <c r="U12" s="6"/>
    </row>
    <row r="13" spans="1:21" customFormat="1">
      <c r="A13" s="163" t="s">
        <v>2259</v>
      </c>
      <c r="B13" s="100">
        <v>13.37</v>
      </c>
      <c r="C13" s="100">
        <v>26.17</v>
      </c>
      <c r="D13" s="100">
        <v>25.75</v>
      </c>
      <c r="E13" s="100">
        <v>10.09</v>
      </c>
      <c r="F13" s="100">
        <v>0.62</v>
      </c>
      <c r="G13" s="100">
        <v>109.02</v>
      </c>
      <c r="H13" s="100">
        <v>29.06</v>
      </c>
      <c r="I13" s="100">
        <v>14.14</v>
      </c>
      <c r="J13" s="100">
        <v>0.16</v>
      </c>
      <c r="K13" s="100">
        <v>178.69</v>
      </c>
      <c r="L13" s="100">
        <v>15.87</v>
      </c>
      <c r="M13" s="100">
        <v>92.02</v>
      </c>
      <c r="N13" s="100">
        <v>1.2</v>
      </c>
      <c r="O13" s="100">
        <v>0</v>
      </c>
      <c r="P13" s="100">
        <v>1.21</v>
      </c>
      <c r="Q13" s="100">
        <v>12.24</v>
      </c>
      <c r="R13" s="6"/>
      <c r="S13" s="6"/>
      <c r="T13" s="156"/>
      <c r="U13" s="6"/>
    </row>
    <row r="14" spans="1:21" customFormat="1">
      <c r="A14" s="163" t="s">
        <v>2260</v>
      </c>
      <c r="B14" s="100">
        <v>14.01</v>
      </c>
      <c r="C14" s="100">
        <v>26.07</v>
      </c>
      <c r="D14" s="100">
        <v>26.21</v>
      </c>
      <c r="E14" s="100">
        <v>10.17</v>
      </c>
      <c r="F14" s="100">
        <v>0.97</v>
      </c>
      <c r="G14" s="100">
        <v>102.04</v>
      </c>
      <c r="H14" s="100">
        <v>30.95</v>
      </c>
      <c r="I14" s="100">
        <v>14.24</v>
      </c>
      <c r="J14" s="100">
        <v>0.17</v>
      </c>
      <c r="K14" s="100">
        <v>160.69</v>
      </c>
      <c r="L14" s="100">
        <v>15.95</v>
      </c>
      <c r="M14" s="100">
        <v>93.8</v>
      </c>
      <c r="N14" s="100">
        <v>1</v>
      </c>
      <c r="O14" s="100">
        <v>0</v>
      </c>
      <c r="P14" s="100">
        <v>1.21</v>
      </c>
      <c r="Q14" s="100">
        <v>12.24</v>
      </c>
      <c r="R14" s="6"/>
      <c r="S14" s="6"/>
      <c r="T14" s="156"/>
      <c r="U14" s="6"/>
    </row>
    <row r="15" spans="1:21" customFormat="1">
      <c r="A15" s="163" t="s">
        <v>2261</v>
      </c>
      <c r="B15" s="100">
        <v>17.87</v>
      </c>
      <c r="C15" s="100">
        <v>26.25</v>
      </c>
      <c r="D15" s="100">
        <v>29.4</v>
      </c>
      <c r="E15" s="100">
        <v>10.46</v>
      </c>
      <c r="F15" s="100">
        <v>1.02</v>
      </c>
      <c r="G15" s="100">
        <v>97.81</v>
      </c>
      <c r="H15" s="100">
        <v>31.37</v>
      </c>
      <c r="I15" s="100">
        <v>14.26</v>
      </c>
      <c r="J15" s="100">
        <v>0.13</v>
      </c>
      <c r="K15" s="100">
        <v>70.790000000000006</v>
      </c>
      <c r="L15" s="100">
        <v>16.170000000000002</v>
      </c>
      <c r="M15" s="100">
        <v>83.84</v>
      </c>
      <c r="N15" s="100">
        <v>1</v>
      </c>
      <c r="O15" s="100">
        <v>0</v>
      </c>
      <c r="P15" s="100">
        <v>1.23</v>
      </c>
      <c r="Q15" s="100">
        <v>12.24</v>
      </c>
      <c r="R15" s="6"/>
      <c r="S15" s="6"/>
      <c r="T15" s="156"/>
      <c r="U15" s="6"/>
    </row>
    <row r="16" spans="1:21" customFormat="1">
      <c r="A16" s="163" t="s">
        <v>2262</v>
      </c>
      <c r="B16" s="100">
        <v>22.31</v>
      </c>
      <c r="C16" s="100">
        <v>27.21</v>
      </c>
      <c r="D16" s="100">
        <v>33.46</v>
      </c>
      <c r="E16" s="100">
        <v>10.92</v>
      </c>
      <c r="F16" s="100">
        <v>0.78</v>
      </c>
      <c r="G16" s="100">
        <v>97.81</v>
      </c>
      <c r="H16" s="100">
        <v>31.37</v>
      </c>
      <c r="I16" s="100">
        <v>14.39</v>
      </c>
      <c r="J16" s="100">
        <v>0.3</v>
      </c>
      <c r="K16" s="100">
        <v>53.19</v>
      </c>
      <c r="L16" s="100">
        <v>16.57</v>
      </c>
      <c r="M16" s="100">
        <v>79.680000000000007</v>
      </c>
      <c r="N16" s="100">
        <v>0.6</v>
      </c>
      <c r="O16" s="100">
        <v>0</v>
      </c>
      <c r="P16" s="100">
        <v>1.26</v>
      </c>
      <c r="Q16" s="100">
        <v>12.24</v>
      </c>
      <c r="R16" s="6"/>
      <c r="S16" s="6"/>
      <c r="T16" s="156"/>
      <c r="U16" s="6"/>
    </row>
    <row r="17" spans="1:21" customFormat="1">
      <c r="A17" s="163" t="s">
        <v>2263</v>
      </c>
      <c r="B17" s="100">
        <v>26.93</v>
      </c>
      <c r="C17" s="100">
        <v>28.49</v>
      </c>
      <c r="D17" s="100">
        <v>37.840000000000003</v>
      </c>
      <c r="E17" s="100">
        <v>8.58</v>
      </c>
      <c r="F17" s="100">
        <v>1.27</v>
      </c>
      <c r="G17" s="100">
        <v>97.81</v>
      </c>
      <c r="H17" s="100">
        <v>31.37</v>
      </c>
      <c r="I17" s="100">
        <v>14.56</v>
      </c>
      <c r="J17" s="100">
        <v>0.12</v>
      </c>
      <c r="K17" s="100">
        <v>114.04</v>
      </c>
      <c r="L17" s="100">
        <v>16.77</v>
      </c>
      <c r="M17" s="100">
        <v>89.56</v>
      </c>
      <c r="N17" s="100">
        <v>1.1000000000000001</v>
      </c>
      <c r="O17" s="100">
        <v>0</v>
      </c>
      <c r="P17" s="100">
        <v>1.3</v>
      </c>
      <c r="Q17" s="100">
        <v>12.24</v>
      </c>
      <c r="R17" s="6"/>
      <c r="S17" s="6"/>
      <c r="T17" s="156"/>
      <c r="U17" s="6"/>
    </row>
    <row r="18" spans="1:21" customFormat="1">
      <c r="A18" s="163" t="s">
        <v>2264</v>
      </c>
      <c r="B18" s="100">
        <v>30.63</v>
      </c>
      <c r="C18" s="100">
        <v>29.24</v>
      </c>
      <c r="D18" s="100">
        <v>41.19</v>
      </c>
      <c r="E18" s="100">
        <v>10.09</v>
      </c>
      <c r="F18" s="100">
        <v>1.53</v>
      </c>
      <c r="G18" s="100">
        <v>154.13</v>
      </c>
      <c r="H18" s="100">
        <v>31.49</v>
      </c>
      <c r="I18" s="100">
        <v>14.83</v>
      </c>
      <c r="J18" s="100">
        <v>0.19</v>
      </c>
      <c r="K18" s="100">
        <v>188.87</v>
      </c>
      <c r="L18" s="100">
        <v>16.260000000000002</v>
      </c>
      <c r="M18" s="100">
        <v>94.46</v>
      </c>
      <c r="N18" s="100">
        <v>1.4</v>
      </c>
      <c r="O18" s="100">
        <v>0</v>
      </c>
      <c r="P18" s="100">
        <v>1.34</v>
      </c>
      <c r="Q18" s="100">
        <v>12.24</v>
      </c>
      <c r="R18" s="6"/>
      <c r="S18" s="6"/>
      <c r="T18" s="156"/>
      <c r="U18" s="6"/>
    </row>
    <row r="19" spans="1:21" customFormat="1">
      <c r="A19" s="163" t="s">
        <v>2265</v>
      </c>
      <c r="B19" s="100">
        <v>33.32</v>
      </c>
      <c r="C19" s="100">
        <v>29.48</v>
      </c>
      <c r="D19" s="100">
        <v>43.48</v>
      </c>
      <c r="E19" s="100">
        <v>9.56</v>
      </c>
      <c r="F19" s="100">
        <v>0.65</v>
      </c>
      <c r="G19" s="100">
        <v>188.32</v>
      </c>
      <c r="H19" s="100">
        <v>31.53</v>
      </c>
      <c r="I19" s="100">
        <v>15.27</v>
      </c>
      <c r="J19" s="100">
        <v>0.21</v>
      </c>
      <c r="K19" s="100">
        <v>191.17</v>
      </c>
      <c r="L19" s="100">
        <v>15.77</v>
      </c>
      <c r="M19" s="100">
        <v>98.87</v>
      </c>
      <c r="N19" s="100">
        <v>1.7</v>
      </c>
      <c r="O19" s="100">
        <v>0</v>
      </c>
      <c r="P19" s="100">
        <v>1.36</v>
      </c>
      <c r="Q19" s="100">
        <v>12.24</v>
      </c>
      <c r="R19" s="6"/>
      <c r="S19" s="6"/>
      <c r="T19" s="156"/>
      <c r="U19" s="6"/>
    </row>
    <row r="20" spans="1:21" customFormat="1">
      <c r="A20" s="163" t="s">
        <v>2266</v>
      </c>
      <c r="B20" s="100">
        <v>35.5</v>
      </c>
      <c r="C20" s="100">
        <v>29.32</v>
      </c>
      <c r="D20" s="100">
        <v>45.14</v>
      </c>
      <c r="E20" s="100">
        <v>9.8800000000000008</v>
      </c>
      <c r="F20" s="100">
        <v>1.3</v>
      </c>
      <c r="G20" s="100">
        <v>188.32</v>
      </c>
      <c r="H20" s="100">
        <v>31.53</v>
      </c>
      <c r="I20" s="100">
        <v>15.7</v>
      </c>
      <c r="J20" s="100">
        <v>0.16</v>
      </c>
      <c r="K20" s="100">
        <v>182.7</v>
      </c>
      <c r="L20" s="100">
        <v>15.3</v>
      </c>
      <c r="M20" s="100">
        <v>100.1</v>
      </c>
      <c r="N20" s="100">
        <v>1.7</v>
      </c>
      <c r="O20" s="100">
        <v>0</v>
      </c>
      <c r="P20" s="100">
        <v>1.4</v>
      </c>
      <c r="Q20" s="100">
        <v>12.24</v>
      </c>
      <c r="R20" s="6"/>
      <c r="S20" s="6"/>
      <c r="T20" s="156"/>
      <c r="U20" s="6"/>
    </row>
    <row r="21" spans="1:21" customFormat="1">
      <c r="A21" s="163" t="s">
        <v>2267</v>
      </c>
      <c r="B21" s="100">
        <v>37.020000000000003</v>
      </c>
      <c r="C21" s="100">
        <v>29.22</v>
      </c>
      <c r="D21" s="100">
        <v>46.31</v>
      </c>
      <c r="E21" s="100">
        <v>9.7200000000000006</v>
      </c>
      <c r="F21" s="100">
        <v>1.73</v>
      </c>
      <c r="G21" s="100">
        <v>188.32</v>
      </c>
      <c r="H21" s="100">
        <v>31.53</v>
      </c>
      <c r="I21" s="100">
        <v>16.09</v>
      </c>
      <c r="J21" s="100">
        <v>0.12</v>
      </c>
      <c r="K21" s="100">
        <v>195.21</v>
      </c>
      <c r="L21" s="100">
        <v>15.02</v>
      </c>
      <c r="M21" s="100">
        <v>101.71</v>
      </c>
      <c r="N21" s="100">
        <v>1.4</v>
      </c>
      <c r="O21" s="100">
        <v>0</v>
      </c>
      <c r="P21" s="100">
        <v>1.43</v>
      </c>
      <c r="Q21" s="100">
        <v>12.24</v>
      </c>
      <c r="R21" s="6"/>
      <c r="S21" s="6"/>
      <c r="T21" s="156"/>
      <c r="U21" s="6"/>
    </row>
    <row r="22" spans="1:21" customFormat="1">
      <c r="A22" s="163" t="s">
        <v>2268</v>
      </c>
      <c r="B22" s="100">
        <v>38.229999999999997</v>
      </c>
      <c r="C22" s="100">
        <v>28.56</v>
      </c>
      <c r="D22" s="100">
        <v>46.93</v>
      </c>
      <c r="E22" s="100">
        <v>9.73</v>
      </c>
      <c r="F22" s="100">
        <v>0.79</v>
      </c>
      <c r="G22" s="100">
        <v>168.96</v>
      </c>
      <c r="H22" s="100">
        <v>30.68</v>
      </c>
      <c r="I22" s="100">
        <v>16.41</v>
      </c>
      <c r="J22" s="100">
        <v>0.17</v>
      </c>
      <c r="K22" s="100">
        <v>198.28</v>
      </c>
      <c r="L22" s="100">
        <v>14.79</v>
      </c>
      <c r="M22" s="100">
        <v>98.26</v>
      </c>
      <c r="N22" s="100">
        <v>1.4</v>
      </c>
      <c r="O22" s="100">
        <v>0</v>
      </c>
      <c r="P22" s="100">
        <v>1.44</v>
      </c>
      <c r="Q22" s="100">
        <v>12.24</v>
      </c>
      <c r="R22" s="6"/>
      <c r="S22" s="6"/>
      <c r="T22" s="156"/>
      <c r="U22" s="6"/>
    </row>
    <row r="23" spans="1:21" customFormat="1">
      <c r="A23" s="163" t="s">
        <v>2269</v>
      </c>
      <c r="B23" s="100">
        <v>39.36</v>
      </c>
      <c r="C23" s="100">
        <v>28.26</v>
      </c>
      <c r="D23" s="100">
        <v>47.68</v>
      </c>
      <c r="E23" s="100">
        <v>9.44</v>
      </c>
      <c r="F23" s="100">
        <v>1.45</v>
      </c>
      <c r="G23" s="100">
        <v>157.21</v>
      </c>
      <c r="H23" s="100">
        <v>30.49</v>
      </c>
      <c r="I23" s="100">
        <v>16.64</v>
      </c>
      <c r="J23" s="100">
        <v>0.14000000000000001</v>
      </c>
      <c r="K23" s="100">
        <v>198.39</v>
      </c>
      <c r="L23" s="100">
        <v>14.59</v>
      </c>
      <c r="M23" s="100">
        <v>94.09</v>
      </c>
      <c r="N23" s="100">
        <v>1.2</v>
      </c>
      <c r="O23" s="100">
        <v>0</v>
      </c>
      <c r="P23" s="100">
        <v>1.46</v>
      </c>
      <c r="Q23" s="100">
        <v>12.24</v>
      </c>
      <c r="R23" s="6"/>
      <c r="S23" s="6"/>
      <c r="T23" s="156"/>
      <c r="U23" s="6"/>
    </row>
    <row r="24" spans="1:21" customFormat="1">
      <c r="A24" s="163" t="s">
        <v>2270</v>
      </c>
      <c r="B24" s="100">
        <v>40.65</v>
      </c>
      <c r="C24" s="100">
        <v>27.99</v>
      </c>
      <c r="D24" s="100">
        <v>48.58</v>
      </c>
      <c r="E24" s="100">
        <v>9.74</v>
      </c>
      <c r="F24" s="100">
        <v>1.62</v>
      </c>
      <c r="G24" s="100">
        <v>157.21</v>
      </c>
      <c r="H24" s="100">
        <v>30.49</v>
      </c>
      <c r="I24" s="100">
        <v>16.89</v>
      </c>
      <c r="J24" s="100">
        <v>0.17</v>
      </c>
      <c r="K24" s="100">
        <v>196.01</v>
      </c>
      <c r="L24" s="100">
        <v>14.43</v>
      </c>
      <c r="M24" s="100">
        <v>92.31</v>
      </c>
      <c r="N24" s="100">
        <v>1.3</v>
      </c>
      <c r="O24" s="100">
        <v>0</v>
      </c>
      <c r="P24" s="100">
        <v>1.47</v>
      </c>
      <c r="Q24" s="100">
        <v>12.24</v>
      </c>
      <c r="R24" s="6"/>
      <c r="S24" s="6"/>
      <c r="T24" s="156"/>
      <c r="U24" s="6"/>
    </row>
    <row r="25" spans="1:21" customFormat="1">
      <c r="A25" s="163" t="s">
        <v>2271</v>
      </c>
      <c r="B25" s="100">
        <v>41.71</v>
      </c>
      <c r="C25" s="100">
        <v>27.54</v>
      </c>
      <c r="D25" s="100">
        <v>49.19</v>
      </c>
      <c r="E25" s="100">
        <v>9.44</v>
      </c>
      <c r="F25" s="100">
        <v>3.2</v>
      </c>
      <c r="G25" s="100">
        <v>157.21</v>
      </c>
      <c r="H25" s="100">
        <v>30.49</v>
      </c>
      <c r="I25" s="100">
        <v>17.100000000000001</v>
      </c>
      <c r="J25" s="100">
        <v>0.1</v>
      </c>
      <c r="K25" s="100">
        <v>161.68</v>
      </c>
      <c r="L25" s="100">
        <v>14.26</v>
      </c>
      <c r="M25" s="100">
        <v>92.69</v>
      </c>
      <c r="N25" s="100">
        <v>1.2</v>
      </c>
      <c r="O25" s="100">
        <v>0</v>
      </c>
      <c r="P25" s="100">
        <v>1.49</v>
      </c>
      <c r="Q25" s="100">
        <v>12.24</v>
      </c>
      <c r="R25" s="6"/>
      <c r="S25" s="6"/>
      <c r="T25" s="156"/>
      <c r="U25" s="6"/>
    </row>
    <row r="26" spans="1:21" customFormat="1">
      <c r="A26" s="163" t="s">
        <v>2272</v>
      </c>
      <c r="B26" s="100">
        <v>42.41</v>
      </c>
      <c r="C26" s="100">
        <v>27.25</v>
      </c>
      <c r="D26" s="100">
        <v>49.59</v>
      </c>
      <c r="E26" s="100">
        <v>9.5</v>
      </c>
      <c r="F26" s="100">
        <v>1.7</v>
      </c>
      <c r="G26" s="100">
        <v>145.08000000000001</v>
      </c>
      <c r="H26" s="100">
        <v>31.08</v>
      </c>
      <c r="I26" s="100">
        <v>17.239999999999998</v>
      </c>
      <c r="J26" s="100">
        <v>0.1</v>
      </c>
      <c r="K26" s="100">
        <v>179.76</v>
      </c>
      <c r="L26" s="100">
        <v>14.28</v>
      </c>
      <c r="M26" s="100">
        <v>92.87</v>
      </c>
      <c r="N26" s="100">
        <v>1.1000000000000001</v>
      </c>
      <c r="O26" s="100">
        <v>0</v>
      </c>
      <c r="P26" s="100">
        <v>1.49</v>
      </c>
      <c r="Q26" s="100">
        <v>12.24</v>
      </c>
      <c r="R26" s="6"/>
      <c r="S26" s="6"/>
      <c r="T26" s="156"/>
      <c r="U26" s="6"/>
    </row>
    <row r="27" spans="1:21" customFormat="1">
      <c r="A27" s="163" t="s">
        <v>2273</v>
      </c>
      <c r="B27" s="100">
        <v>42.91</v>
      </c>
      <c r="C27" s="100">
        <v>27.07</v>
      </c>
      <c r="D27" s="100">
        <v>49.91</v>
      </c>
      <c r="E27" s="100">
        <v>9.34</v>
      </c>
      <c r="F27" s="100">
        <v>1.99</v>
      </c>
      <c r="G27" s="100">
        <v>137.71</v>
      </c>
      <c r="H27" s="100">
        <v>31.21</v>
      </c>
      <c r="I27" s="100">
        <v>17.29</v>
      </c>
      <c r="J27" s="100">
        <v>0.13</v>
      </c>
      <c r="K27" s="100">
        <v>183.65</v>
      </c>
      <c r="L27" s="100">
        <v>14.22</v>
      </c>
      <c r="M27" s="100">
        <v>93.21</v>
      </c>
      <c r="N27" s="100">
        <v>1.1000000000000001</v>
      </c>
      <c r="O27" s="100">
        <v>0</v>
      </c>
      <c r="P27" s="100">
        <v>1.51</v>
      </c>
      <c r="Q27" s="100">
        <v>12.24</v>
      </c>
      <c r="R27" s="6"/>
      <c r="S27" s="6"/>
      <c r="T27" s="156"/>
      <c r="U27" s="6"/>
    </row>
    <row r="28" spans="1:21" customFormat="1">
      <c r="A28" s="163" t="s">
        <v>2274</v>
      </c>
      <c r="B28" s="100">
        <v>43.22</v>
      </c>
      <c r="C28" s="100">
        <v>26.85</v>
      </c>
      <c r="D28" s="100">
        <v>50.04</v>
      </c>
      <c r="E28" s="100">
        <v>9.76</v>
      </c>
      <c r="F28" s="100">
        <v>0.53</v>
      </c>
      <c r="G28" s="100">
        <v>137.71</v>
      </c>
      <c r="H28" s="100">
        <v>31.21</v>
      </c>
      <c r="I28" s="100">
        <v>17.399999999999999</v>
      </c>
      <c r="J28" s="100">
        <v>0.13</v>
      </c>
      <c r="K28" s="100">
        <v>163.88</v>
      </c>
      <c r="L28" s="100">
        <v>14.09</v>
      </c>
      <c r="M28" s="100">
        <v>93.17</v>
      </c>
      <c r="N28" s="100">
        <v>1.1000000000000001</v>
      </c>
      <c r="O28" s="100">
        <v>0</v>
      </c>
      <c r="P28" s="100">
        <v>1.51</v>
      </c>
      <c r="Q28" s="100">
        <v>12.24</v>
      </c>
      <c r="R28" s="6"/>
      <c r="S28" s="6"/>
      <c r="T28" s="156"/>
      <c r="U28" s="6"/>
    </row>
    <row r="29" spans="1:21" customFormat="1">
      <c r="A29" s="163" t="s">
        <v>2275</v>
      </c>
      <c r="B29" s="100">
        <v>43.5</v>
      </c>
      <c r="C29" s="100">
        <v>26.53</v>
      </c>
      <c r="D29" s="100">
        <v>50.1</v>
      </c>
      <c r="E29" s="100">
        <v>9.69</v>
      </c>
      <c r="F29" s="100">
        <v>0.83</v>
      </c>
      <c r="G29" s="100">
        <v>137.71</v>
      </c>
      <c r="H29" s="100">
        <v>31.21</v>
      </c>
      <c r="I29" s="100">
        <v>17.48</v>
      </c>
      <c r="J29" s="100">
        <v>0.13</v>
      </c>
      <c r="K29" s="100">
        <v>164.83</v>
      </c>
      <c r="L29" s="100">
        <v>13.93</v>
      </c>
      <c r="M29" s="100">
        <v>93.56</v>
      </c>
      <c r="N29" s="100">
        <v>1.2</v>
      </c>
      <c r="O29" s="100">
        <v>0</v>
      </c>
      <c r="P29" s="100">
        <v>1.53</v>
      </c>
      <c r="Q29" s="100">
        <v>12.24</v>
      </c>
      <c r="R29" s="6"/>
      <c r="S29" s="6"/>
      <c r="T29" s="156"/>
      <c r="U29" s="6"/>
    </row>
    <row r="30" spans="1:21" customFormat="1">
      <c r="A30" s="163" t="s">
        <v>2276</v>
      </c>
      <c r="B30" s="100">
        <v>43.53</v>
      </c>
      <c r="C30" s="100">
        <v>26.26</v>
      </c>
      <c r="D30" s="100">
        <v>49.98</v>
      </c>
      <c r="E30" s="100">
        <v>9.27</v>
      </c>
      <c r="F30" s="100">
        <v>1.83</v>
      </c>
      <c r="G30" s="100">
        <v>130.06</v>
      </c>
      <c r="H30" s="100">
        <v>30.06</v>
      </c>
      <c r="I30" s="100">
        <v>17.54</v>
      </c>
      <c r="J30" s="100">
        <v>0.17</v>
      </c>
      <c r="K30" s="100">
        <v>153.19</v>
      </c>
      <c r="L30" s="100">
        <v>13.99</v>
      </c>
      <c r="M30" s="100">
        <v>93.85</v>
      </c>
      <c r="N30" s="100">
        <v>1.1000000000000001</v>
      </c>
      <c r="O30" s="100">
        <v>0</v>
      </c>
      <c r="P30" s="100">
        <v>1.52</v>
      </c>
      <c r="Q30" s="100">
        <v>12.24</v>
      </c>
      <c r="R30" s="6"/>
      <c r="S30" s="6"/>
      <c r="T30" s="156"/>
      <c r="U30" s="6"/>
    </row>
    <row r="31" spans="1:21" customFormat="1">
      <c r="A31" s="163" t="s">
        <v>2277</v>
      </c>
      <c r="B31" s="100">
        <v>43.64</v>
      </c>
      <c r="C31" s="100">
        <v>26.21</v>
      </c>
      <c r="D31" s="100">
        <v>50.04</v>
      </c>
      <c r="E31" s="100">
        <v>9.3800000000000008</v>
      </c>
      <c r="F31" s="100">
        <v>0.32</v>
      </c>
      <c r="G31" s="100">
        <v>125.42</v>
      </c>
      <c r="H31" s="100">
        <v>29.81</v>
      </c>
      <c r="I31" s="100">
        <v>17.59</v>
      </c>
      <c r="J31" s="100">
        <v>0.19</v>
      </c>
      <c r="K31" s="100">
        <v>171.59</v>
      </c>
      <c r="L31" s="100">
        <v>13.91</v>
      </c>
      <c r="M31" s="100">
        <v>94.25</v>
      </c>
      <c r="N31" s="100">
        <v>1</v>
      </c>
      <c r="O31" s="100">
        <v>0</v>
      </c>
      <c r="P31" s="100">
        <v>1.54</v>
      </c>
      <c r="Q31" s="100">
        <v>12.24</v>
      </c>
      <c r="R31" s="6"/>
      <c r="S31" s="6"/>
      <c r="T31" s="156"/>
      <c r="U31" s="6"/>
    </row>
    <row r="32" spans="1:21" customFormat="1">
      <c r="A32" s="163" t="s">
        <v>2278</v>
      </c>
      <c r="B32" s="100">
        <v>43.77</v>
      </c>
      <c r="C32" s="100">
        <v>26.07</v>
      </c>
      <c r="D32" s="100">
        <v>50.07</v>
      </c>
      <c r="E32" s="100">
        <v>9.1</v>
      </c>
      <c r="F32" s="100">
        <v>1.86</v>
      </c>
      <c r="G32" s="100">
        <v>125.42</v>
      </c>
      <c r="H32" s="100">
        <v>29.81</v>
      </c>
      <c r="I32" s="100">
        <v>17.64</v>
      </c>
      <c r="J32" s="100">
        <v>0.13</v>
      </c>
      <c r="K32" s="100">
        <v>173.16</v>
      </c>
      <c r="L32" s="100">
        <v>13.87</v>
      </c>
      <c r="M32" s="100">
        <v>94.15</v>
      </c>
      <c r="N32" s="100">
        <v>1.1000000000000001</v>
      </c>
      <c r="O32" s="100">
        <v>0</v>
      </c>
      <c r="P32" s="100">
        <v>1.55</v>
      </c>
      <c r="Q32" s="100">
        <v>12.24</v>
      </c>
      <c r="R32" s="6"/>
      <c r="S32" s="6"/>
      <c r="T32" s="156"/>
      <c r="U32" s="6"/>
    </row>
    <row r="33" spans="1:21" customFormat="1">
      <c r="A33" s="163" t="s">
        <v>2279</v>
      </c>
      <c r="B33" s="100">
        <v>43.89</v>
      </c>
      <c r="C33" s="100">
        <v>25.91</v>
      </c>
      <c r="D33" s="100">
        <v>50.09</v>
      </c>
      <c r="E33" s="100">
        <v>9.15</v>
      </c>
      <c r="F33" s="100">
        <v>0.56999999999999995</v>
      </c>
      <c r="G33" s="100">
        <v>125.42</v>
      </c>
      <c r="H33" s="100">
        <v>29.81</v>
      </c>
      <c r="I33" s="100">
        <v>17.760000000000002</v>
      </c>
      <c r="J33" s="100">
        <v>0.21</v>
      </c>
      <c r="K33" s="100">
        <v>189.11</v>
      </c>
      <c r="L33" s="100">
        <v>13.76</v>
      </c>
      <c r="M33" s="100">
        <v>94.68</v>
      </c>
      <c r="N33" s="100">
        <v>1.2</v>
      </c>
      <c r="O33" s="100">
        <v>0</v>
      </c>
      <c r="P33" s="100">
        <v>1.55</v>
      </c>
      <c r="Q33" s="100">
        <v>12.24</v>
      </c>
      <c r="R33" s="6"/>
      <c r="S33" s="6"/>
      <c r="T33" s="156"/>
      <c r="U33" s="6"/>
    </row>
    <row r="34" spans="1:21" customFormat="1">
      <c r="A34" s="163" t="s">
        <v>2280</v>
      </c>
      <c r="B34" s="100">
        <v>43.69</v>
      </c>
      <c r="C34" s="100">
        <v>25.54</v>
      </c>
      <c r="D34" s="100">
        <v>49.73</v>
      </c>
      <c r="E34" s="100">
        <v>8.9</v>
      </c>
      <c r="F34" s="100">
        <v>1.78</v>
      </c>
      <c r="G34" s="100">
        <v>139.87</v>
      </c>
      <c r="H34" s="100">
        <v>34.049999999999997</v>
      </c>
      <c r="I34" s="100">
        <v>17.87</v>
      </c>
      <c r="J34" s="100">
        <v>0.12</v>
      </c>
      <c r="K34" s="100">
        <v>139.37</v>
      </c>
      <c r="L34" s="100">
        <v>13.44</v>
      </c>
      <c r="M34" s="100">
        <v>94.69</v>
      </c>
      <c r="N34" s="100">
        <v>1.5</v>
      </c>
      <c r="O34" s="100">
        <v>0</v>
      </c>
      <c r="P34" s="100">
        <v>1.55</v>
      </c>
      <c r="Q34" s="100">
        <v>12.24</v>
      </c>
      <c r="R34" s="6"/>
      <c r="S34" s="6"/>
      <c r="T34" s="156"/>
      <c r="U34" s="6"/>
    </row>
    <row r="35" spans="1:21" customFormat="1">
      <c r="A35" s="163" t="s">
        <v>2281</v>
      </c>
      <c r="B35" s="100">
        <v>44</v>
      </c>
      <c r="C35" s="100">
        <v>25.21</v>
      </c>
      <c r="D35" s="100">
        <v>49.8</v>
      </c>
      <c r="E35" s="100">
        <v>9.4499999999999993</v>
      </c>
      <c r="F35" s="100">
        <v>0.65</v>
      </c>
      <c r="G35" s="100">
        <v>148.63999999999999</v>
      </c>
      <c r="H35" s="100">
        <v>34.9</v>
      </c>
      <c r="I35" s="100">
        <v>17.97</v>
      </c>
      <c r="J35" s="100">
        <v>0.11</v>
      </c>
      <c r="K35" s="100">
        <v>120.55</v>
      </c>
      <c r="L35" s="100">
        <v>13.82</v>
      </c>
      <c r="M35" s="100">
        <v>92.85</v>
      </c>
      <c r="N35" s="100">
        <v>2.4</v>
      </c>
      <c r="O35" s="100">
        <v>0</v>
      </c>
      <c r="P35" s="100">
        <v>1.57</v>
      </c>
      <c r="Q35" s="100">
        <v>12.24</v>
      </c>
      <c r="R35" s="6"/>
      <c r="S35" s="6"/>
      <c r="T35" s="156"/>
      <c r="U35" s="6"/>
    </row>
    <row r="36" spans="1:21" customFormat="1">
      <c r="A36" s="163" t="s">
        <v>2282</v>
      </c>
      <c r="B36" s="100">
        <v>46.32</v>
      </c>
      <c r="C36" s="100">
        <v>25.3</v>
      </c>
      <c r="D36" s="100">
        <v>51.71</v>
      </c>
      <c r="E36" s="100">
        <v>9.1999999999999993</v>
      </c>
      <c r="F36" s="100">
        <v>2.17</v>
      </c>
      <c r="G36" s="100">
        <v>148.63999999999999</v>
      </c>
      <c r="H36" s="100">
        <v>34.9</v>
      </c>
      <c r="I36" s="100">
        <v>17.97</v>
      </c>
      <c r="J36" s="100">
        <v>0.17</v>
      </c>
      <c r="K36" s="100">
        <v>206.61</v>
      </c>
      <c r="L36" s="100">
        <v>14.05</v>
      </c>
      <c r="M36" s="100">
        <v>91.73</v>
      </c>
      <c r="N36" s="100">
        <v>6.4</v>
      </c>
      <c r="O36" s="100">
        <v>0</v>
      </c>
      <c r="P36" s="100">
        <v>1.6</v>
      </c>
      <c r="Q36" s="100">
        <v>12.24</v>
      </c>
      <c r="R36" s="6"/>
      <c r="S36" s="6"/>
      <c r="T36" s="156"/>
      <c r="U36" s="6"/>
    </row>
    <row r="37" spans="1:21" customFormat="1">
      <c r="A37" s="163" t="s">
        <v>2283</v>
      </c>
      <c r="B37" s="100">
        <v>48.44</v>
      </c>
      <c r="C37" s="100">
        <v>25.38</v>
      </c>
      <c r="D37" s="100">
        <v>53.45</v>
      </c>
      <c r="E37" s="100">
        <v>9.5500000000000007</v>
      </c>
      <c r="F37" s="100">
        <v>1.96</v>
      </c>
      <c r="G37" s="100">
        <v>148.63999999999999</v>
      </c>
      <c r="H37" s="100">
        <v>34.9</v>
      </c>
      <c r="I37" s="100">
        <v>18</v>
      </c>
      <c r="J37" s="100">
        <v>0.25</v>
      </c>
      <c r="K37" s="100">
        <v>158.72</v>
      </c>
      <c r="L37" s="100">
        <v>13.9</v>
      </c>
      <c r="M37" s="100">
        <v>92.89</v>
      </c>
      <c r="N37" s="100">
        <v>12.9</v>
      </c>
      <c r="O37" s="100">
        <v>0</v>
      </c>
      <c r="P37" s="100">
        <v>1.62</v>
      </c>
      <c r="Q37" s="100">
        <v>12.24</v>
      </c>
      <c r="R37" s="6"/>
      <c r="S37" s="6"/>
      <c r="T37" s="156"/>
      <c r="U37" s="6"/>
    </row>
    <row r="38" spans="1:21" customFormat="1">
      <c r="A38" s="163" t="s">
        <v>2284</v>
      </c>
      <c r="B38" s="100">
        <v>48.67</v>
      </c>
      <c r="C38" s="100">
        <v>25.23</v>
      </c>
      <c r="D38" s="100">
        <v>53.56</v>
      </c>
      <c r="E38" s="100">
        <v>9.1300000000000008</v>
      </c>
      <c r="F38" s="100">
        <v>2.06</v>
      </c>
      <c r="G38" s="100">
        <v>159.44999999999999</v>
      </c>
      <c r="H38" s="100">
        <v>35.72</v>
      </c>
      <c r="I38" s="100">
        <v>18.3</v>
      </c>
      <c r="J38" s="100">
        <v>0.12</v>
      </c>
      <c r="K38" s="100">
        <v>97.89</v>
      </c>
      <c r="L38" s="100">
        <v>14.27</v>
      </c>
      <c r="M38" s="100">
        <v>91.55</v>
      </c>
      <c r="N38" s="100">
        <v>20.6</v>
      </c>
      <c r="O38" s="100">
        <v>0</v>
      </c>
      <c r="P38" s="100">
        <v>1.62</v>
      </c>
      <c r="Q38" s="100">
        <v>12.24</v>
      </c>
      <c r="R38" s="6"/>
      <c r="S38" s="6"/>
      <c r="T38" s="156"/>
      <c r="U38" s="6"/>
    </row>
    <row r="39" spans="1:21" customFormat="1">
      <c r="A39" s="163" t="s">
        <v>2285</v>
      </c>
      <c r="B39" s="100">
        <v>50.28</v>
      </c>
      <c r="C39" s="100">
        <v>25.42</v>
      </c>
      <c r="D39" s="100">
        <v>54.96</v>
      </c>
      <c r="E39" s="100">
        <v>9.41</v>
      </c>
      <c r="F39" s="100">
        <v>1.55</v>
      </c>
      <c r="G39" s="100">
        <v>166.02</v>
      </c>
      <c r="H39" s="100">
        <v>35.9</v>
      </c>
      <c r="I39" s="100">
        <v>18.43</v>
      </c>
      <c r="J39" s="100">
        <v>0.19</v>
      </c>
      <c r="K39" s="100">
        <v>173.15</v>
      </c>
      <c r="L39" s="100">
        <v>15.18</v>
      </c>
      <c r="M39" s="100">
        <v>88.9</v>
      </c>
      <c r="N39" s="100">
        <v>28.9</v>
      </c>
      <c r="O39" s="100">
        <v>0</v>
      </c>
      <c r="P39" s="100">
        <v>1.65</v>
      </c>
      <c r="Q39" s="100">
        <v>12.24</v>
      </c>
      <c r="R39" s="6"/>
      <c r="S39" s="6"/>
      <c r="T39" s="156"/>
      <c r="U39" s="6"/>
    </row>
    <row r="40" spans="1:21" customFormat="1">
      <c r="A40" s="163" t="s">
        <v>2286</v>
      </c>
      <c r="B40" s="100">
        <v>52.21</v>
      </c>
      <c r="C40" s="100">
        <v>25.8</v>
      </c>
      <c r="D40" s="100">
        <v>56.7</v>
      </c>
      <c r="E40" s="100">
        <v>9.17</v>
      </c>
      <c r="F40" s="100">
        <v>1.38</v>
      </c>
      <c r="G40" s="100">
        <v>166.02</v>
      </c>
      <c r="H40" s="100">
        <v>35.9</v>
      </c>
      <c r="I40" s="100">
        <v>18.54</v>
      </c>
      <c r="J40" s="100">
        <v>0.22</v>
      </c>
      <c r="K40" s="100">
        <v>168.26</v>
      </c>
      <c r="L40" s="100">
        <v>15.96</v>
      </c>
      <c r="M40" s="100">
        <v>89.47</v>
      </c>
      <c r="N40" s="100">
        <v>37.5</v>
      </c>
      <c r="O40" s="100">
        <v>0</v>
      </c>
      <c r="P40" s="100">
        <v>1.68</v>
      </c>
      <c r="Q40" s="100">
        <v>12.24</v>
      </c>
      <c r="R40" s="6"/>
      <c r="S40" s="6"/>
      <c r="T40" s="156"/>
      <c r="U40" s="6"/>
    </row>
    <row r="41" spans="1:21" customFormat="1">
      <c r="A41" s="163" t="s">
        <v>2287</v>
      </c>
      <c r="B41" s="100">
        <v>53.23</v>
      </c>
      <c r="C41" s="100">
        <v>26.26</v>
      </c>
      <c r="D41" s="100">
        <v>57.76</v>
      </c>
      <c r="E41" s="100">
        <v>9.24</v>
      </c>
      <c r="F41" s="100">
        <v>1.1599999999999999</v>
      </c>
      <c r="G41" s="100">
        <v>166.02</v>
      </c>
      <c r="H41" s="100">
        <v>35.9</v>
      </c>
      <c r="I41" s="100">
        <v>18.87</v>
      </c>
      <c r="J41" s="100">
        <v>0.2</v>
      </c>
      <c r="K41" s="100">
        <v>105.01</v>
      </c>
      <c r="L41" s="100">
        <v>16.96</v>
      </c>
      <c r="M41" s="100">
        <v>83.93</v>
      </c>
      <c r="N41" s="100">
        <v>66.3</v>
      </c>
      <c r="O41" s="100">
        <v>0</v>
      </c>
      <c r="P41" s="100">
        <v>1.7</v>
      </c>
      <c r="Q41" s="100">
        <v>12.24</v>
      </c>
      <c r="R41" s="6"/>
      <c r="S41" s="6"/>
      <c r="T41" s="156"/>
      <c r="U41" s="6"/>
    </row>
    <row r="42" spans="1:21" customFormat="1">
      <c r="A42" s="163" t="s">
        <v>2288</v>
      </c>
      <c r="B42" s="100">
        <v>53.27</v>
      </c>
      <c r="C42" s="100">
        <v>27.21</v>
      </c>
      <c r="D42" s="100">
        <v>58.29</v>
      </c>
      <c r="E42" s="100">
        <v>9.6300000000000008</v>
      </c>
      <c r="F42" s="100">
        <v>1.66</v>
      </c>
      <c r="G42" s="100">
        <v>181.57</v>
      </c>
      <c r="H42" s="100">
        <v>38.6</v>
      </c>
      <c r="I42" s="100">
        <v>19.190000000000001</v>
      </c>
      <c r="J42" s="100">
        <v>0.28000000000000003</v>
      </c>
      <c r="K42" s="100">
        <v>69.16</v>
      </c>
      <c r="L42" s="100">
        <v>18.46</v>
      </c>
      <c r="M42" s="100">
        <v>72.42</v>
      </c>
      <c r="N42" s="100">
        <v>167.9</v>
      </c>
      <c r="O42" s="100">
        <v>0</v>
      </c>
      <c r="P42" s="100">
        <v>1.71</v>
      </c>
      <c r="Q42" s="100">
        <v>12.24</v>
      </c>
      <c r="R42" s="6"/>
      <c r="S42" s="6"/>
      <c r="T42" s="156"/>
      <c r="U42" s="6"/>
    </row>
    <row r="43" spans="1:21" customFormat="1">
      <c r="A43" s="163" t="s">
        <v>2289</v>
      </c>
      <c r="B43" s="100">
        <v>51.72</v>
      </c>
      <c r="C43" s="100">
        <v>28.54</v>
      </c>
      <c r="D43" s="100">
        <v>57.74</v>
      </c>
      <c r="E43" s="100">
        <v>9.6300000000000008</v>
      </c>
      <c r="F43" s="100">
        <v>2.02</v>
      </c>
      <c r="G43" s="100">
        <v>191.01</v>
      </c>
      <c r="H43" s="100">
        <v>39.89</v>
      </c>
      <c r="I43" s="100">
        <v>19.45</v>
      </c>
      <c r="J43" s="100">
        <v>0.59</v>
      </c>
      <c r="K43" s="100">
        <v>61.54</v>
      </c>
      <c r="L43" s="100">
        <v>19.68</v>
      </c>
      <c r="M43" s="100">
        <v>65.209999999999994</v>
      </c>
      <c r="N43" s="100">
        <v>205</v>
      </c>
      <c r="O43" s="100">
        <v>0</v>
      </c>
      <c r="P43" s="100">
        <v>1.71</v>
      </c>
      <c r="Q43" s="100">
        <v>12.24</v>
      </c>
      <c r="R43" s="6"/>
      <c r="S43" s="6"/>
      <c r="T43" s="156"/>
      <c r="U43" s="6"/>
    </row>
    <row r="44" spans="1:21" customFormat="1">
      <c r="A44" s="163" t="s">
        <v>2290</v>
      </c>
      <c r="B44" s="100">
        <v>49.34</v>
      </c>
      <c r="C44" s="100">
        <v>29.55</v>
      </c>
      <c r="D44" s="100">
        <v>56.35</v>
      </c>
      <c r="E44" s="100">
        <v>9.5</v>
      </c>
      <c r="F44" s="100">
        <v>0.89</v>
      </c>
      <c r="G44" s="100">
        <v>191.01</v>
      </c>
      <c r="H44" s="100">
        <v>39.89</v>
      </c>
      <c r="I44" s="100">
        <v>19.690000000000001</v>
      </c>
      <c r="J44" s="100">
        <v>0.8</v>
      </c>
      <c r="K44" s="100">
        <v>46.43</v>
      </c>
      <c r="L44" s="100">
        <v>20.3</v>
      </c>
      <c r="M44" s="100">
        <v>64.31</v>
      </c>
      <c r="N44" s="100">
        <v>180.3</v>
      </c>
      <c r="O44" s="100">
        <v>0</v>
      </c>
      <c r="P44" s="100">
        <v>1.69</v>
      </c>
      <c r="Q44" s="100">
        <v>12.24</v>
      </c>
      <c r="R44" s="6"/>
      <c r="S44" s="6"/>
      <c r="T44" s="156"/>
      <c r="U44" s="6"/>
    </row>
    <row r="45" spans="1:21" customFormat="1">
      <c r="A45" s="163" t="s">
        <v>2291</v>
      </c>
      <c r="B45" s="100">
        <v>46.61</v>
      </c>
      <c r="C45" s="100">
        <v>30.67</v>
      </c>
      <c r="D45" s="100">
        <v>54.75</v>
      </c>
      <c r="E45" s="100">
        <v>9.64</v>
      </c>
      <c r="F45" s="100">
        <v>1.76</v>
      </c>
      <c r="G45" s="100">
        <v>191.01</v>
      </c>
      <c r="H45" s="100">
        <v>39.89</v>
      </c>
      <c r="I45" s="100">
        <v>19.739999999999998</v>
      </c>
      <c r="J45" s="100">
        <v>0.51</v>
      </c>
      <c r="K45" s="100">
        <v>63.63</v>
      </c>
      <c r="L45" s="100">
        <v>21.24</v>
      </c>
      <c r="M45" s="100">
        <v>62.4</v>
      </c>
      <c r="N45" s="100">
        <v>254.4</v>
      </c>
      <c r="O45" s="100">
        <v>0</v>
      </c>
      <c r="P45" s="100">
        <v>1.67</v>
      </c>
      <c r="Q45" s="100">
        <v>12.24</v>
      </c>
      <c r="R45" s="6"/>
      <c r="S45" s="6"/>
      <c r="T45" s="156"/>
      <c r="U45" s="6"/>
    </row>
    <row r="46" spans="1:21" customFormat="1">
      <c r="A46" s="163" t="s">
        <v>2292</v>
      </c>
      <c r="B46" s="100">
        <v>43.52</v>
      </c>
      <c r="C46" s="100">
        <v>31.8</v>
      </c>
      <c r="D46" s="100">
        <v>52.87</v>
      </c>
      <c r="E46" s="100">
        <v>9.57</v>
      </c>
      <c r="F46" s="100">
        <v>2.33</v>
      </c>
      <c r="G46" s="100">
        <v>159.47</v>
      </c>
      <c r="H46" s="100">
        <v>38.979999999999997</v>
      </c>
      <c r="I46" s="100">
        <v>19.489999999999998</v>
      </c>
      <c r="J46" s="100">
        <v>0.5</v>
      </c>
      <c r="K46" s="100">
        <v>57.55</v>
      </c>
      <c r="L46" s="100">
        <v>22.48</v>
      </c>
      <c r="M46" s="100">
        <v>58.7</v>
      </c>
      <c r="N46" s="100">
        <v>281</v>
      </c>
      <c r="O46" s="100">
        <v>0</v>
      </c>
      <c r="P46" s="100">
        <v>1.64</v>
      </c>
      <c r="Q46" s="100">
        <v>12.24</v>
      </c>
      <c r="R46" s="6"/>
      <c r="S46" s="6"/>
      <c r="T46" s="156"/>
      <c r="U46" s="6"/>
    </row>
    <row r="47" spans="1:21" customFormat="1">
      <c r="A47" s="163" t="s">
        <v>2293</v>
      </c>
      <c r="B47" s="100">
        <v>40.659999999999997</v>
      </c>
      <c r="C47" s="100">
        <v>32.79</v>
      </c>
      <c r="D47" s="100">
        <v>51.09</v>
      </c>
      <c r="E47" s="100">
        <v>9.91</v>
      </c>
      <c r="F47" s="100">
        <v>1.99</v>
      </c>
      <c r="G47" s="100">
        <v>140.33000000000001</v>
      </c>
      <c r="H47" s="100">
        <v>38.79</v>
      </c>
      <c r="I47" s="100">
        <v>19.149999999999999</v>
      </c>
      <c r="J47" s="100">
        <v>0.46</v>
      </c>
      <c r="K47" s="100">
        <v>67.39</v>
      </c>
      <c r="L47" s="100">
        <v>23.38</v>
      </c>
      <c r="M47" s="100">
        <v>55.2</v>
      </c>
      <c r="N47" s="100">
        <v>304</v>
      </c>
      <c r="O47" s="100">
        <v>0</v>
      </c>
      <c r="P47" s="100">
        <v>1.61</v>
      </c>
      <c r="Q47" s="100">
        <v>12.24</v>
      </c>
      <c r="R47" s="6"/>
      <c r="S47" s="6"/>
      <c r="T47" s="156"/>
      <c r="U47" s="6"/>
    </row>
    <row r="48" spans="1:21" customFormat="1">
      <c r="A48" s="163" t="s">
        <v>2294</v>
      </c>
      <c r="B48" s="100">
        <v>37.75</v>
      </c>
      <c r="C48" s="100">
        <v>33.729999999999997</v>
      </c>
      <c r="D48" s="100">
        <v>49.24</v>
      </c>
      <c r="E48" s="100">
        <v>9.56</v>
      </c>
      <c r="F48" s="100">
        <v>1.96</v>
      </c>
      <c r="G48" s="100">
        <v>140.33000000000001</v>
      </c>
      <c r="H48" s="100">
        <v>38.79</v>
      </c>
      <c r="I48" s="100">
        <v>18.91</v>
      </c>
      <c r="J48" s="100">
        <v>0.67</v>
      </c>
      <c r="K48" s="100">
        <v>48.44</v>
      </c>
      <c r="L48" s="100">
        <v>24.14</v>
      </c>
      <c r="M48" s="100">
        <v>51.4</v>
      </c>
      <c r="N48" s="100">
        <v>315.3</v>
      </c>
      <c r="O48" s="100">
        <v>0</v>
      </c>
      <c r="P48" s="100">
        <v>1.58</v>
      </c>
      <c r="Q48" s="100">
        <v>12.24</v>
      </c>
      <c r="R48" s="6"/>
      <c r="S48" s="6"/>
      <c r="T48" s="156"/>
      <c r="U48" s="6"/>
    </row>
    <row r="49" spans="1:21" customFormat="1">
      <c r="A49" s="163" t="s">
        <v>2295</v>
      </c>
      <c r="B49" s="100">
        <v>34.82</v>
      </c>
      <c r="C49" s="100">
        <v>34.409999999999997</v>
      </c>
      <c r="D49" s="100">
        <v>47.26</v>
      </c>
      <c r="E49" s="100">
        <v>9.23</v>
      </c>
      <c r="F49" s="100">
        <v>1.71</v>
      </c>
      <c r="G49" s="100">
        <v>140.33000000000001</v>
      </c>
      <c r="H49" s="100">
        <v>38.79</v>
      </c>
      <c r="I49" s="100">
        <v>18.62</v>
      </c>
      <c r="J49" s="100">
        <v>0.69</v>
      </c>
      <c r="K49" s="100">
        <v>41.87</v>
      </c>
      <c r="L49" s="100">
        <v>24.77</v>
      </c>
      <c r="M49" s="100">
        <v>48.45</v>
      </c>
      <c r="N49" s="100">
        <v>290.8</v>
      </c>
      <c r="O49" s="100">
        <v>0</v>
      </c>
      <c r="P49" s="100">
        <v>1.54</v>
      </c>
      <c r="Q49" s="100">
        <v>12.24</v>
      </c>
      <c r="R49" s="6"/>
      <c r="S49" s="6"/>
      <c r="T49" s="156"/>
      <c r="U49" s="6"/>
    </row>
    <row r="50" spans="1:21" customFormat="1">
      <c r="A50" s="163" t="s">
        <v>2296</v>
      </c>
      <c r="B50" s="100">
        <v>31.98</v>
      </c>
      <c r="C50" s="100">
        <v>35.130000000000003</v>
      </c>
      <c r="D50" s="100">
        <v>45.35</v>
      </c>
      <c r="E50" s="100">
        <v>11.01</v>
      </c>
      <c r="F50" s="100">
        <v>1.04</v>
      </c>
      <c r="G50" s="100">
        <v>140.19</v>
      </c>
      <c r="H50" s="100">
        <v>39.71</v>
      </c>
      <c r="I50" s="100">
        <v>18.260000000000002</v>
      </c>
      <c r="J50" s="100">
        <v>0.53</v>
      </c>
      <c r="K50" s="100">
        <v>70.77</v>
      </c>
      <c r="L50" s="100">
        <v>25.97</v>
      </c>
      <c r="M50" s="100">
        <v>43.27</v>
      </c>
      <c r="N50" s="100">
        <v>371.1</v>
      </c>
      <c r="O50" s="100">
        <v>0</v>
      </c>
      <c r="P50" s="100">
        <v>1.5</v>
      </c>
      <c r="Q50" s="100">
        <v>12.24</v>
      </c>
      <c r="R50" s="6"/>
      <c r="S50" s="6"/>
      <c r="T50" s="156"/>
      <c r="U50" s="6"/>
    </row>
    <row r="51" spans="1:21" customFormat="1">
      <c r="A51" s="163" t="s">
        <v>2297</v>
      </c>
      <c r="B51" s="100">
        <v>28.57</v>
      </c>
      <c r="C51" s="100">
        <v>35.64</v>
      </c>
      <c r="D51" s="100">
        <v>42.89</v>
      </c>
      <c r="E51" s="100">
        <v>11.19</v>
      </c>
      <c r="F51" s="100">
        <v>1.24</v>
      </c>
      <c r="G51" s="100">
        <v>140.1</v>
      </c>
      <c r="H51" s="100">
        <v>39.89</v>
      </c>
      <c r="I51" s="100">
        <v>17.88</v>
      </c>
      <c r="J51" s="100">
        <v>0.34</v>
      </c>
      <c r="K51" s="100">
        <v>51.65</v>
      </c>
      <c r="L51" s="100">
        <v>26.63</v>
      </c>
      <c r="M51" s="100">
        <v>39.979999999999997</v>
      </c>
      <c r="N51" s="100">
        <v>382</v>
      </c>
      <c r="O51" s="100">
        <v>0</v>
      </c>
      <c r="P51" s="100">
        <v>1.45</v>
      </c>
      <c r="Q51" s="100">
        <v>12.24</v>
      </c>
      <c r="R51" s="6"/>
      <c r="S51" s="6"/>
      <c r="T51" s="156"/>
      <c r="U51" s="6"/>
    </row>
    <row r="52" spans="1:21" customFormat="1">
      <c r="A52" s="163" t="s">
        <v>2298</v>
      </c>
      <c r="B52" s="100">
        <v>24.9</v>
      </c>
      <c r="C52" s="100">
        <v>36.28</v>
      </c>
      <c r="D52" s="100">
        <v>40.270000000000003</v>
      </c>
      <c r="E52" s="100">
        <v>11.59</v>
      </c>
      <c r="F52" s="100">
        <v>1.27</v>
      </c>
      <c r="G52" s="100">
        <v>140.1</v>
      </c>
      <c r="H52" s="100">
        <v>39.89</v>
      </c>
      <c r="I52" s="100">
        <v>17.54</v>
      </c>
      <c r="J52" s="100">
        <v>0.36</v>
      </c>
      <c r="K52" s="100">
        <v>23.2</v>
      </c>
      <c r="L52" s="100">
        <v>27.04</v>
      </c>
      <c r="M52" s="100">
        <v>39.82</v>
      </c>
      <c r="N52" s="100">
        <v>399.4</v>
      </c>
      <c r="O52" s="100">
        <v>0</v>
      </c>
      <c r="P52" s="100">
        <v>1.41</v>
      </c>
      <c r="Q52" s="100">
        <v>12.24</v>
      </c>
      <c r="R52" s="6"/>
      <c r="S52" s="6"/>
      <c r="T52" s="156"/>
      <c r="U52" s="6"/>
    </row>
    <row r="53" spans="1:21" customFormat="1">
      <c r="A53" s="163" t="s">
        <v>2299</v>
      </c>
      <c r="B53" s="100">
        <v>21.4</v>
      </c>
      <c r="C53" s="100">
        <v>36.75</v>
      </c>
      <c r="D53" s="100">
        <v>37.71</v>
      </c>
      <c r="E53" s="100">
        <v>11.59</v>
      </c>
      <c r="F53" s="100">
        <v>3.13</v>
      </c>
      <c r="G53" s="100">
        <v>140.1</v>
      </c>
      <c r="H53" s="100">
        <v>39.89</v>
      </c>
      <c r="I53" s="100">
        <v>17.09</v>
      </c>
      <c r="J53" s="100">
        <v>0.43</v>
      </c>
      <c r="K53" s="100">
        <v>37.64</v>
      </c>
      <c r="L53" s="100">
        <v>27.5</v>
      </c>
      <c r="M53" s="100">
        <v>37.46</v>
      </c>
      <c r="N53" s="100">
        <v>400.2</v>
      </c>
      <c r="O53" s="100">
        <v>0</v>
      </c>
      <c r="P53" s="100">
        <v>1.36</v>
      </c>
      <c r="Q53" s="100">
        <v>12.24</v>
      </c>
      <c r="R53" s="6"/>
      <c r="S53" s="6"/>
      <c r="T53" s="156"/>
      <c r="U53" s="6"/>
    </row>
    <row r="54" spans="1:21" customFormat="1">
      <c r="A54" s="163" t="s">
        <v>2300</v>
      </c>
      <c r="B54" s="100">
        <v>17.989999999999998</v>
      </c>
      <c r="C54" s="100">
        <v>37.21</v>
      </c>
      <c r="D54" s="100">
        <v>35.22</v>
      </c>
      <c r="E54" s="100">
        <v>11.29</v>
      </c>
      <c r="F54" s="100">
        <v>2.1</v>
      </c>
      <c r="G54" s="100">
        <v>119</v>
      </c>
      <c r="H54" s="100">
        <v>36.26</v>
      </c>
      <c r="I54" s="100">
        <v>16.59</v>
      </c>
      <c r="J54" s="100">
        <v>0.51</v>
      </c>
      <c r="K54" s="100">
        <v>51.5</v>
      </c>
      <c r="L54" s="100">
        <v>28.07</v>
      </c>
      <c r="M54" s="100">
        <v>35.549999999999997</v>
      </c>
      <c r="N54" s="100">
        <v>354</v>
      </c>
      <c r="O54" s="100">
        <v>0</v>
      </c>
      <c r="P54" s="100">
        <v>1.3</v>
      </c>
      <c r="Q54" s="100">
        <v>12.24</v>
      </c>
      <c r="R54" s="6"/>
      <c r="S54" s="6"/>
      <c r="T54" s="156"/>
      <c r="U54" s="6"/>
    </row>
    <row r="55" spans="1:21" customFormat="1">
      <c r="A55" s="163" t="s">
        <v>2301</v>
      </c>
      <c r="B55" s="100">
        <v>14.96</v>
      </c>
      <c r="C55" s="100">
        <v>37.5</v>
      </c>
      <c r="D55" s="100">
        <v>32.94</v>
      </c>
      <c r="E55" s="100">
        <v>11.07</v>
      </c>
      <c r="F55" s="100">
        <v>2.1</v>
      </c>
      <c r="G55" s="100">
        <v>106.19</v>
      </c>
      <c r="H55" s="100">
        <v>35.54</v>
      </c>
      <c r="I55" s="100">
        <v>16.12</v>
      </c>
      <c r="J55" s="100">
        <v>0.44</v>
      </c>
      <c r="K55" s="100">
        <v>328.81</v>
      </c>
      <c r="L55" s="100">
        <v>28.28</v>
      </c>
      <c r="M55" s="100">
        <v>35.08</v>
      </c>
      <c r="N55" s="100">
        <v>421.8</v>
      </c>
      <c r="O55" s="100">
        <v>0</v>
      </c>
      <c r="P55" s="100">
        <v>1.27</v>
      </c>
      <c r="Q55" s="100">
        <v>12.24</v>
      </c>
      <c r="R55" s="6"/>
      <c r="S55" s="6"/>
      <c r="T55" s="156"/>
      <c r="U55" s="6"/>
    </row>
    <row r="56" spans="1:21" customFormat="1">
      <c r="A56" s="163" t="s">
        <v>2302</v>
      </c>
      <c r="B56" s="100">
        <v>12.98</v>
      </c>
      <c r="C56" s="100">
        <v>37.22</v>
      </c>
      <c r="D56" s="100">
        <v>31.21</v>
      </c>
      <c r="E56" s="100">
        <v>12.05</v>
      </c>
      <c r="F56" s="100">
        <v>1.95</v>
      </c>
      <c r="G56" s="100">
        <v>106.19</v>
      </c>
      <c r="H56" s="100">
        <v>35.54</v>
      </c>
      <c r="I56" s="100">
        <v>15.73</v>
      </c>
      <c r="J56" s="100">
        <v>0.61</v>
      </c>
      <c r="K56" s="100">
        <v>29.11</v>
      </c>
      <c r="L56" s="100">
        <v>28.85</v>
      </c>
      <c r="M56" s="100">
        <v>33.299999999999997</v>
      </c>
      <c r="N56" s="100">
        <v>421.4</v>
      </c>
      <c r="O56" s="100">
        <v>0</v>
      </c>
      <c r="P56" s="100">
        <v>1.25</v>
      </c>
      <c r="Q56" s="100">
        <v>12.24</v>
      </c>
      <c r="R56" s="6"/>
      <c r="S56" s="6"/>
      <c r="T56" s="156"/>
      <c r="U56" s="6"/>
    </row>
    <row r="57" spans="1:21" customFormat="1">
      <c r="A57" s="163" t="s">
        <v>2303</v>
      </c>
      <c r="B57" s="100">
        <v>11.48</v>
      </c>
      <c r="C57" s="100">
        <v>36.450000000000003</v>
      </c>
      <c r="D57" s="100">
        <v>29.6</v>
      </c>
      <c r="E57" s="100">
        <v>13.1</v>
      </c>
      <c r="F57" s="100">
        <v>1.8</v>
      </c>
      <c r="G57" s="100">
        <v>106.19</v>
      </c>
      <c r="H57" s="100">
        <v>35.54</v>
      </c>
      <c r="I57" s="100">
        <v>15.34</v>
      </c>
      <c r="J57" s="100">
        <v>0.65</v>
      </c>
      <c r="K57" s="100">
        <v>13.09</v>
      </c>
      <c r="L57" s="100">
        <v>29.05</v>
      </c>
      <c r="M57" s="100">
        <v>32.729999999999997</v>
      </c>
      <c r="N57" s="100">
        <v>422.1</v>
      </c>
      <c r="O57" s="100">
        <v>0</v>
      </c>
      <c r="P57" s="100">
        <v>1.18</v>
      </c>
      <c r="Q57" s="100">
        <v>12.24</v>
      </c>
      <c r="R57" s="6"/>
      <c r="S57" s="6"/>
      <c r="T57" s="156"/>
      <c r="U57" s="6"/>
    </row>
    <row r="58" spans="1:21" customFormat="1">
      <c r="A58" s="163" t="s">
        <v>2304</v>
      </c>
      <c r="B58" s="100">
        <v>10.220000000000001</v>
      </c>
      <c r="C58" s="100">
        <v>35.76</v>
      </c>
      <c r="D58" s="100">
        <v>28.23</v>
      </c>
      <c r="E58" s="100">
        <v>12.86</v>
      </c>
      <c r="F58" s="100">
        <v>0.38</v>
      </c>
      <c r="G58" s="100">
        <v>96.84</v>
      </c>
      <c r="H58" s="100">
        <v>33.64</v>
      </c>
      <c r="I58" s="100">
        <v>15.03</v>
      </c>
      <c r="J58" s="100">
        <v>0.33</v>
      </c>
      <c r="K58" s="100">
        <v>52.08</v>
      </c>
      <c r="L58" s="100">
        <v>29.67</v>
      </c>
      <c r="M58" s="100">
        <v>31.55</v>
      </c>
      <c r="N58" s="100">
        <v>368.9</v>
      </c>
      <c r="O58" s="100">
        <v>0</v>
      </c>
      <c r="P58" s="100">
        <v>1.18</v>
      </c>
      <c r="Q58" s="100">
        <v>12.24</v>
      </c>
      <c r="R58" s="6"/>
      <c r="S58" s="6"/>
      <c r="T58" s="156"/>
      <c r="U58" s="6"/>
    </row>
    <row r="59" spans="1:21" customFormat="1">
      <c r="A59" s="163" t="s">
        <v>2305</v>
      </c>
      <c r="B59" s="100">
        <v>8.9</v>
      </c>
      <c r="C59" s="100">
        <v>34.93</v>
      </c>
      <c r="D59" s="100">
        <v>26.74</v>
      </c>
      <c r="E59" s="100">
        <v>11.91</v>
      </c>
      <c r="F59" s="100">
        <v>1.43</v>
      </c>
      <c r="G59" s="100">
        <v>91.16</v>
      </c>
      <c r="H59" s="100">
        <v>33.22</v>
      </c>
      <c r="I59" s="100">
        <v>14.65</v>
      </c>
      <c r="J59" s="100">
        <v>0.53</v>
      </c>
      <c r="K59" s="100">
        <v>43.39</v>
      </c>
      <c r="L59" s="100">
        <v>30.03</v>
      </c>
      <c r="M59" s="100">
        <v>30.61</v>
      </c>
      <c r="N59" s="100">
        <v>366.9</v>
      </c>
      <c r="O59" s="100">
        <v>0</v>
      </c>
      <c r="P59" s="100">
        <v>1.1399999999999999</v>
      </c>
      <c r="Q59" s="100">
        <v>12.24</v>
      </c>
      <c r="R59" s="6"/>
      <c r="S59" s="6"/>
      <c r="T59" s="156"/>
      <c r="U59" s="6"/>
    </row>
    <row r="60" spans="1:21" customFormat="1">
      <c r="A60" s="163" t="s">
        <v>2306</v>
      </c>
      <c r="B60" s="100">
        <v>7.77</v>
      </c>
      <c r="C60" s="100">
        <v>34.14</v>
      </c>
      <c r="D60" s="100">
        <v>25.42</v>
      </c>
      <c r="E60" s="100">
        <v>12.33</v>
      </c>
      <c r="F60" s="100">
        <v>1.41</v>
      </c>
      <c r="G60" s="100">
        <v>91.16</v>
      </c>
      <c r="H60" s="100">
        <v>33.22</v>
      </c>
      <c r="I60" s="100">
        <v>14.56</v>
      </c>
      <c r="J60" s="100">
        <v>0.57999999999999996</v>
      </c>
      <c r="K60" s="100">
        <v>68.81</v>
      </c>
      <c r="L60" s="100">
        <v>29.96</v>
      </c>
      <c r="M60" s="100">
        <v>29.5</v>
      </c>
      <c r="N60" s="100">
        <v>423.1</v>
      </c>
      <c r="O60" s="100">
        <v>0</v>
      </c>
      <c r="P60" s="100">
        <v>1.1299999999999999</v>
      </c>
      <c r="Q60" s="100">
        <v>12.24</v>
      </c>
      <c r="R60" s="6"/>
      <c r="S60" s="6"/>
      <c r="T60" s="156"/>
      <c r="U60" s="6"/>
    </row>
    <row r="61" spans="1:21" customFormat="1">
      <c r="A61" s="163" t="s">
        <v>2307</v>
      </c>
      <c r="B61" s="100">
        <v>6.77</v>
      </c>
      <c r="C61" s="100">
        <v>33.49</v>
      </c>
      <c r="D61" s="100">
        <v>24.28</v>
      </c>
      <c r="E61" s="100">
        <v>12.09</v>
      </c>
      <c r="F61" s="100">
        <v>3.15</v>
      </c>
      <c r="G61" s="100">
        <v>91.16</v>
      </c>
      <c r="H61" s="100">
        <v>33.22</v>
      </c>
      <c r="I61" s="100">
        <v>14.23</v>
      </c>
      <c r="J61" s="100">
        <v>0.48</v>
      </c>
      <c r="K61" s="100">
        <v>71.5</v>
      </c>
      <c r="L61" s="100">
        <v>30.59</v>
      </c>
      <c r="M61" s="100">
        <v>27.32</v>
      </c>
      <c r="N61" s="100">
        <v>416.4</v>
      </c>
      <c r="O61" s="100">
        <v>0</v>
      </c>
      <c r="P61" s="100">
        <v>1.1100000000000001</v>
      </c>
      <c r="Q61" s="100">
        <v>12.24</v>
      </c>
      <c r="R61" s="6"/>
      <c r="S61" s="6"/>
      <c r="T61" s="156"/>
      <c r="U61" s="6"/>
    </row>
    <row r="62" spans="1:21" customFormat="1">
      <c r="A62" s="163" t="s">
        <v>2308</v>
      </c>
      <c r="B62" s="100">
        <v>6</v>
      </c>
      <c r="C62" s="100">
        <v>32.630000000000003</v>
      </c>
      <c r="D62" s="100">
        <v>23.21</v>
      </c>
      <c r="E62" s="100">
        <v>16.100000000000001</v>
      </c>
      <c r="F62" s="100">
        <v>0.62</v>
      </c>
      <c r="G62" s="100">
        <v>83.24</v>
      </c>
      <c r="H62" s="100">
        <v>30.16</v>
      </c>
      <c r="I62" s="100">
        <v>14.1</v>
      </c>
      <c r="J62" s="100">
        <v>0.47</v>
      </c>
      <c r="K62" s="100">
        <v>329.69</v>
      </c>
      <c r="L62" s="100">
        <v>30.74</v>
      </c>
      <c r="M62" s="100">
        <v>26.33</v>
      </c>
      <c r="N62" s="100">
        <v>380</v>
      </c>
      <c r="O62" s="100">
        <v>0</v>
      </c>
      <c r="P62" s="100">
        <v>1.07</v>
      </c>
      <c r="Q62" s="100">
        <v>12.24</v>
      </c>
      <c r="R62" s="6"/>
      <c r="S62" s="6"/>
      <c r="T62" s="156"/>
      <c r="U62" s="6"/>
    </row>
    <row r="63" spans="1:21" customFormat="1">
      <c r="A63" s="163" t="s">
        <v>2309</v>
      </c>
      <c r="B63" s="100">
        <v>5.44</v>
      </c>
      <c r="C63" s="100">
        <v>31.88</v>
      </c>
      <c r="D63" s="100">
        <v>22.37</v>
      </c>
      <c r="E63" s="100">
        <v>13.04</v>
      </c>
      <c r="F63" s="100">
        <v>3.4</v>
      </c>
      <c r="G63" s="100">
        <v>78.430000000000007</v>
      </c>
      <c r="H63" s="100">
        <v>29.55</v>
      </c>
      <c r="I63" s="100">
        <v>13.85</v>
      </c>
      <c r="J63" s="100">
        <v>0.3</v>
      </c>
      <c r="K63" s="100">
        <v>349.66</v>
      </c>
      <c r="L63" s="100">
        <v>30.38</v>
      </c>
      <c r="M63" s="100">
        <v>26.93</v>
      </c>
      <c r="N63" s="100">
        <v>377.9</v>
      </c>
      <c r="O63" s="100">
        <v>0</v>
      </c>
      <c r="P63" s="100">
        <v>1.06</v>
      </c>
      <c r="Q63" s="100">
        <v>12.24</v>
      </c>
      <c r="R63" s="6"/>
      <c r="S63" s="6"/>
      <c r="T63" s="156"/>
      <c r="U63" s="6"/>
    </row>
    <row r="64" spans="1:21" customFormat="1">
      <c r="A64" s="163" t="s">
        <v>2310</v>
      </c>
      <c r="B64" s="100">
        <v>4.96</v>
      </c>
      <c r="C64" s="100">
        <v>31.2</v>
      </c>
      <c r="D64" s="100">
        <v>21.63</v>
      </c>
      <c r="E64" s="100">
        <v>16.07</v>
      </c>
      <c r="F64" s="100">
        <v>1.1399999999999999</v>
      </c>
      <c r="G64" s="100">
        <v>78.430000000000007</v>
      </c>
      <c r="H64" s="100">
        <v>29.55</v>
      </c>
      <c r="I64" s="100">
        <v>13.57</v>
      </c>
      <c r="J64" s="100">
        <v>0.34</v>
      </c>
      <c r="K64" s="100">
        <v>40.72</v>
      </c>
      <c r="L64" s="100">
        <v>30.8</v>
      </c>
      <c r="M64" s="100">
        <v>27.61</v>
      </c>
      <c r="N64" s="100">
        <v>357.3</v>
      </c>
      <c r="O64" s="100">
        <v>0</v>
      </c>
      <c r="P64" s="100">
        <v>1.05</v>
      </c>
      <c r="Q64" s="100">
        <v>12.24</v>
      </c>
      <c r="R64" s="6"/>
      <c r="S64" s="6"/>
      <c r="T64" s="156"/>
      <c r="U64" s="6"/>
    </row>
    <row r="65" spans="1:21" customFormat="1">
      <c r="A65" s="163" t="s">
        <v>2311</v>
      </c>
      <c r="B65" s="100">
        <v>4.74</v>
      </c>
      <c r="C65" s="100">
        <v>30.47</v>
      </c>
      <c r="D65" s="100">
        <v>21.07</v>
      </c>
      <c r="E65" s="100">
        <v>16.62</v>
      </c>
      <c r="F65" s="100">
        <v>2.39</v>
      </c>
      <c r="G65" s="100">
        <v>78.430000000000007</v>
      </c>
      <c r="H65" s="100">
        <v>29.55</v>
      </c>
      <c r="I65" s="100">
        <v>13.29</v>
      </c>
      <c r="J65" s="100">
        <v>0.7</v>
      </c>
      <c r="K65" s="100">
        <v>31.92</v>
      </c>
      <c r="L65" s="100">
        <v>30.89</v>
      </c>
      <c r="M65" s="100">
        <v>26.94</v>
      </c>
      <c r="N65" s="100">
        <v>285.5</v>
      </c>
      <c r="O65" s="100">
        <v>0</v>
      </c>
      <c r="P65" s="100">
        <v>0.93</v>
      </c>
      <c r="Q65" s="100">
        <v>12.24</v>
      </c>
      <c r="R65" s="6"/>
      <c r="S65" s="6"/>
      <c r="T65" s="156"/>
      <c r="U65" s="6"/>
    </row>
    <row r="66" spans="1:21" customFormat="1">
      <c r="A66" s="163" t="s">
        <v>2312</v>
      </c>
      <c r="B66" s="100">
        <v>4.67</v>
      </c>
      <c r="C66" s="100">
        <v>29.74</v>
      </c>
      <c r="D66" s="100">
        <v>20.63</v>
      </c>
      <c r="E66" s="100">
        <v>37.69</v>
      </c>
      <c r="F66" s="100">
        <v>2.5</v>
      </c>
      <c r="G66" s="100">
        <v>87.13</v>
      </c>
      <c r="H66" s="100">
        <v>29.69</v>
      </c>
      <c r="I66" s="100">
        <v>13.07</v>
      </c>
      <c r="J66" s="100">
        <v>0.21</v>
      </c>
      <c r="K66" s="100">
        <v>3.04</v>
      </c>
      <c r="L66" s="100">
        <v>30.53</v>
      </c>
      <c r="M66" s="100">
        <v>28.38</v>
      </c>
      <c r="N66" s="100">
        <v>107.2</v>
      </c>
      <c r="O66" s="100">
        <v>0</v>
      </c>
      <c r="P66" s="100">
        <v>0.94</v>
      </c>
      <c r="Q66" s="100">
        <v>12.24</v>
      </c>
      <c r="R66" s="6"/>
      <c r="S66" s="6"/>
      <c r="T66" s="156"/>
      <c r="U66" s="6"/>
    </row>
    <row r="67" spans="1:21" customFormat="1">
      <c r="A67" s="163" t="s">
        <v>2313</v>
      </c>
      <c r="B67" s="100">
        <v>4.4800000000000004</v>
      </c>
      <c r="C67" s="100">
        <v>29.37</v>
      </c>
      <c r="D67" s="100">
        <v>20.29</v>
      </c>
      <c r="E67" s="100">
        <v>40.75</v>
      </c>
      <c r="F67" s="100">
        <v>3.98</v>
      </c>
      <c r="G67" s="100">
        <v>92.41</v>
      </c>
      <c r="H67" s="100">
        <v>29.74</v>
      </c>
      <c r="I67" s="100">
        <v>12.82</v>
      </c>
      <c r="J67" s="100">
        <v>0.74</v>
      </c>
      <c r="K67" s="100">
        <v>37.64</v>
      </c>
      <c r="L67" s="100">
        <v>30.55</v>
      </c>
      <c r="M67" s="100">
        <v>28.92</v>
      </c>
      <c r="N67" s="100">
        <v>96.4</v>
      </c>
      <c r="O67" s="100">
        <v>0</v>
      </c>
      <c r="P67" s="100">
        <v>0.94</v>
      </c>
      <c r="Q67" s="100">
        <v>12.24</v>
      </c>
      <c r="R67" s="6"/>
      <c r="S67" s="6"/>
      <c r="T67" s="156"/>
      <c r="U67" s="6"/>
    </row>
    <row r="68" spans="1:21" customFormat="1">
      <c r="A68" s="163" t="s">
        <v>2314</v>
      </c>
      <c r="B68" s="100">
        <v>4.51</v>
      </c>
      <c r="C68" s="100">
        <v>29.4</v>
      </c>
      <c r="D68" s="100">
        <v>20.329999999999998</v>
      </c>
      <c r="E68" s="100">
        <v>33.630000000000003</v>
      </c>
      <c r="F68" s="100">
        <v>2.68</v>
      </c>
      <c r="G68" s="100">
        <v>92.41</v>
      </c>
      <c r="H68" s="100">
        <v>29.74</v>
      </c>
      <c r="I68" s="100">
        <v>12.32</v>
      </c>
      <c r="J68" s="100">
        <v>0.54</v>
      </c>
      <c r="K68" s="100">
        <v>46.62</v>
      </c>
      <c r="L68" s="100">
        <v>30.23</v>
      </c>
      <c r="M68" s="100">
        <v>29.67</v>
      </c>
      <c r="N68" s="100">
        <v>71.599999999999994</v>
      </c>
      <c r="O68" s="100">
        <v>0</v>
      </c>
      <c r="P68" s="100">
        <v>0.93</v>
      </c>
      <c r="Q68" s="100">
        <v>12.24</v>
      </c>
      <c r="R68" s="6"/>
      <c r="S68" s="6"/>
      <c r="T68" s="156"/>
      <c r="U68" s="6"/>
    </row>
    <row r="69" spans="1:21" customFormat="1">
      <c r="A69" s="163" t="s">
        <v>2315</v>
      </c>
      <c r="B69" s="100">
        <v>4.5599999999999996</v>
      </c>
      <c r="C69" s="100">
        <v>29.1</v>
      </c>
      <c r="D69" s="100">
        <v>20.21</v>
      </c>
      <c r="E69" s="100">
        <v>30.97</v>
      </c>
      <c r="F69" s="100">
        <v>5.36</v>
      </c>
      <c r="G69" s="100">
        <v>92.41</v>
      </c>
      <c r="H69" s="100">
        <v>29.74</v>
      </c>
      <c r="I69" s="100">
        <v>12.26</v>
      </c>
      <c r="J69" s="100">
        <v>0.62</v>
      </c>
      <c r="K69" s="100">
        <v>62.37</v>
      </c>
      <c r="L69" s="100">
        <v>30.1</v>
      </c>
      <c r="M69" s="100">
        <v>29.57</v>
      </c>
      <c r="N69" s="100">
        <v>60.6</v>
      </c>
      <c r="O69" s="100">
        <v>0</v>
      </c>
      <c r="P69" s="100">
        <v>0.91</v>
      </c>
      <c r="Q69" s="100">
        <v>12.24</v>
      </c>
      <c r="R69" s="6"/>
      <c r="S69" s="6"/>
      <c r="T69" s="156"/>
      <c r="U69" s="6"/>
    </row>
    <row r="70" spans="1:21" customFormat="1">
      <c r="A70" s="163" t="s">
        <v>2316</v>
      </c>
      <c r="B70" s="100">
        <v>4.49</v>
      </c>
      <c r="C70" s="100">
        <v>28.75</v>
      </c>
      <c r="D70" s="100">
        <v>19.98</v>
      </c>
      <c r="E70" s="100">
        <v>29.91</v>
      </c>
      <c r="F70" s="100">
        <v>2.16</v>
      </c>
      <c r="G70" s="100">
        <v>96.32</v>
      </c>
      <c r="H70" s="100">
        <v>30.44</v>
      </c>
      <c r="I70" s="100">
        <v>12.09</v>
      </c>
      <c r="J70" s="100">
        <v>0.85</v>
      </c>
      <c r="K70" s="100">
        <v>47.16</v>
      </c>
      <c r="L70" s="100">
        <v>30.03</v>
      </c>
      <c r="M70" s="100">
        <v>29.15</v>
      </c>
      <c r="N70" s="100">
        <v>52.1</v>
      </c>
      <c r="O70" s="100">
        <v>0</v>
      </c>
      <c r="P70" s="100">
        <v>0.9</v>
      </c>
      <c r="Q70" s="100">
        <v>12.24</v>
      </c>
      <c r="R70" s="6"/>
      <c r="S70" s="6"/>
      <c r="T70" s="156"/>
      <c r="U70" s="6"/>
    </row>
    <row r="71" spans="1:21" customFormat="1">
      <c r="A71" s="163" t="s">
        <v>2317</v>
      </c>
      <c r="B71" s="100">
        <v>4.5</v>
      </c>
      <c r="C71" s="100">
        <v>28.39</v>
      </c>
      <c r="D71" s="100">
        <v>19.79</v>
      </c>
      <c r="E71" s="100">
        <v>26.14</v>
      </c>
      <c r="F71" s="100">
        <v>4.41</v>
      </c>
      <c r="G71" s="100">
        <v>98.69</v>
      </c>
      <c r="H71" s="100">
        <v>30.58</v>
      </c>
      <c r="I71" s="100">
        <v>11.99</v>
      </c>
      <c r="J71" s="100">
        <v>0.87</v>
      </c>
      <c r="K71" s="100">
        <v>59.84</v>
      </c>
      <c r="L71" s="100">
        <v>29.97</v>
      </c>
      <c r="M71" s="100">
        <v>28.52</v>
      </c>
      <c r="N71" s="100">
        <v>46.3</v>
      </c>
      <c r="O71" s="100">
        <v>0</v>
      </c>
      <c r="P71" s="100">
        <v>0.9</v>
      </c>
      <c r="Q71" s="100">
        <v>12.24</v>
      </c>
      <c r="R71" s="6"/>
      <c r="S71" s="6"/>
      <c r="T71" s="156"/>
      <c r="U71" s="6"/>
    </row>
    <row r="72" spans="1:21" customFormat="1">
      <c r="A72" s="163" t="s">
        <v>2318</v>
      </c>
      <c r="B72" s="100">
        <v>4.47</v>
      </c>
      <c r="C72" s="100">
        <v>28.25</v>
      </c>
      <c r="D72" s="100">
        <v>19.7</v>
      </c>
      <c r="E72" s="100">
        <v>33.76</v>
      </c>
      <c r="F72" s="100">
        <v>3.26</v>
      </c>
      <c r="G72" s="100">
        <v>98.69</v>
      </c>
      <c r="H72" s="100">
        <v>30.58</v>
      </c>
      <c r="I72" s="100">
        <v>11.85</v>
      </c>
      <c r="J72" s="100">
        <v>0.7</v>
      </c>
      <c r="K72" s="100">
        <v>44.99</v>
      </c>
      <c r="L72" s="100">
        <v>29.88</v>
      </c>
      <c r="M72" s="100">
        <v>28.24</v>
      </c>
      <c r="N72" s="100">
        <v>40.1</v>
      </c>
      <c r="O72" s="100">
        <v>0</v>
      </c>
      <c r="P72" s="100">
        <v>0.88</v>
      </c>
      <c r="Q72" s="100">
        <v>12.24</v>
      </c>
      <c r="R72" s="6"/>
      <c r="S72" s="6"/>
      <c r="T72" s="156"/>
      <c r="U72" s="6"/>
    </row>
    <row r="73" spans="1:21" customFormat="1">
      <c r="A73" s="163" t="s">
        <v>2319</v>
      </c>
      <c r="B73" s="100">
        <v>4.47</v>
      </c>
      <c r="C73" s="100">
        <v>28.12</v>
      </c>
      <c r="D73" s="100">
        <v>19.63</v>
      </c>
      <c r="E73" s="100">
        <v>34.049999999999997</v>
      </c>
      <c r="F73" s="100">
        <v>7.64</v>
      </c>
      <c r="G73" s="100">
        <v>98.69</v>
      </c>
      <c r="H73" s="100">
        <v>30.58</v>
      </c>
      <c r="I73" s="100">
        <v>11.77</v>
      </c>
      <c r="J73" s="100">
        <v>0.62</v>
      </c>
      <c r="K73" s="100">
        <v>46.85</v>
      </c>
      <c r="L73" s="100">
        <v>29.82</v>
      </c>
      <c r="M73" s="100">
        <v>28.29</v>
      </c>
      <c r="N73" s="100">
        <v>36.700000000000003</v>
      </c>
      <c r="O73" s="100">
        <v>0</v>
      </c>
      <c r="P73" s="100">
        <v>0.9</v>
      </c>
      <c r="Q73" s="100">
        <v>12.24</v>
      </c>
      <c r="R73" s="6"/>
      <c r="S73" s="6"/>
      <c r="T73" s="156"/>
      <c r="U73" s="6"/>
    </row>
    <row r="74" spans="1:21" customFormat="1">
      <c r="A74" s="163" t="s">
        <v>2320</v>
      </c>
      <c r="B74" s="100">
        <v>4.5199999999999996</v>
      </c>
      <c r="C74" s="100">
        <v>28.18</v>
      </c>
      <c r="D74" s="100">
        <v>19.7</v>
      </c>
      <c r="E74" s="100">
        <v>30.75</v>
      </c>
      <c r="F74" s="100">
        <v>1.49</v>
      </c>
      <c r="G74" s="100">
        <v>96.76</v>
      </c>
      <c r="H74" s="100">
        <v>32.119999999999997</v>
      </c>
      <c r="I74" s="100">
        <v>11.41</v>
      </c>
      <c r="J74" s="100">
        <v>0.53</v>
      </c>
      <c r="K74" s="100">
        <v>55.26</v>
      </c>
      <c r="L74" s="100">
        <v>29.63</v>
      </c>
      <c r="M74" s="100">
        <v>28.4</v>
      </c>
      <c r="N74" s="100">
        <v>34.9</v>
      </c>
      <c r="O74" s="100">
        <v>0</v>
      </c>
      <c r="P74" s="100">
        <v>0.89</v>
      </c>
      <c r="Q74" s="100">
        <v>12.24</v>
      </c>
      <c r="R74" s="6"/>
      <c r="S74" s="6"/>
      <c r="T74" s="156"/>
      <c r="U74" s="6"/>
    </row>
    <row r="75" spans="1:21" customFormat="1">
      <c r="A75" s="163" t="s">
        <v>2321</v>
      </c>
      <c r="B75" s="100">
        <v>4.41</v>
      </c>
      <c r="C75" s="100">
        <v>29.13</v>
      </c>
      <c r="D75" s="100">
        <v>20.100000000000001</v>
      </c>
      <c r="E75" s="100">
        <v>32.409999999999997</v>
      </c>
      <c r="F75" s="100">
        <v>1.88</v>
      </c>
      <c r="G75" s="100">
        <v>95.58</v>
      </c>
      <c r="H75" s="100">
        <v>32.43</v>
      </c>
      <c r="I75" s="100">
        <v>11.44</v>
      </c>
      <c r="J75" s="100">
        <v>0.47</v>
      </c>
      <c r="K75" s="100">
        <v>46.52</v>
      </c>
      <c r="L75" s="100">
        <v>29.45</v>
      </c>
      <c r="M75" s="100">
        <v>29.21</v>
      </c>
      <c r="N75" s="100">
        <v>25.3</v>
      </c>
      <c r="O75" s="100">
        <v>0</v>
      </c>
      <c r="P75" s="100">
        <v>0.92</v>
      </c>
      <c r="Q75" s="100">
        <v>12.24</v>
      </c>
      <c r="R75" s="6"/>
      <c r="S75" s="6"/>
      <c r="T75" s="156"/>
      <c r="U75" s="6"/>
    </row>
    <row r="76" spans="1:21" customFormat="1">
      <c r="A76" s="163" t="s">
        <v>2322</v>
      </c>
      <c r="B76" s="100">
        <v>4.4800000000000004</v>
      </c>
      <c r="C76" s="100">
        <v>30.39</v>
      </c>
      <c r="D76" s="100">
        <v>20.82</v>
      </c>
      <c r="E76" s="100">
        <v>24.78</v>
      </c>
      <c r="F76" s="100">
        <v>1.1200000000000001</v>
      </c>
      <c r="G76" s="100">
        <v>95.58</v>
      </c>
      <c r="H76" s="100">
        <v>32.43</v>
      </c>
      <c r="I76" s="100">
        <v>11.5</v>
      </c>
      <c r="J76" s="100">
        <v>0.45</v>
      </c>
      <c r="K76" s="100">
        <v>48.55</v>
      </c>
      <c r="L76" s="100">
        <v>29.13</v>
      </c>
      <c r="M76" s="100">
        <v>30.56</v>
      </c>
      <c r="N76" s="100">
        <v>19.8</v>
      </c>
      <c r="O76" s="100">
        <v>0</v>
      </c>
      <c r="P76" s="100">
        <v>0.95</v>
      </c>
      <c r="Q76" s="100">
        <v>12.24</v>
      </c>
      <c r="R76" s="6"/>
      <c r="S76" s="6"/>
      <c r="T76" s="156"/>
      <c r="U76" s="6"/>
    </row>
    <row r="77" spans="1:21" customFormat="1">
      <c r="A77" s="163" t="s">
        <v>2323</v>
      </c>
      <c r="B77" s="100">
        <v>4.6399999999999997</v>
      </c>
      <c r="C77" s="100">
        <v>31.79</v>
      </c>
      <c r="D77" s="100">
        <v>21.68</v>
      </c>
      <c r="E77" s="100">
        <v>22.35</v>
      </c>
      <c r="F77" s="100">
        <v>2.56</v>
      </c>
      <c r="G77" s="100">
        <v>95.58</v>
      </c>
      <c r="H77" s="100">
        <v>32.43</v>
      </c>
      <c r="I77" s="100">
        <v>11.37</v>
      </c>
      <c r="J77" s="100">
        <v>0.27</v>
      </c>
      <c r="K77" s="100">
        <v>77.62</v>
      </c>
      <c r="L77" s="100">
        <v>28.44</v>
      </c>
      <c r="M77" s="100">
        <v>34.340000000000003</v>
      </c>
      <c r="N77" s="100">
        <v>14.2</v>
      </c>
      <c r="O77" s="100">
        <v>0</v>
      </c>
      <c r="P77" s="100">
        <v>0.96</v>
      </c>
      <c r="Q77" s="100">
        <v>12.24</v>
      </c>
      <c r="R77" s="6"/>
      <c r="S77" s="6"/>
      <c r="T77" s="156"/>
      <c r="U77" s="6"/>
    </row>
    <row r="78" spans="1:21" customFormat="1">
      <c r="A78" s="163" t="s">
        <v>2324</v>
      </c>
      <c r="B78" s="100">
        <v>4.71</v>
      </c>
      <c r="C78" s="100">
        <v>32.51</v>
      </c>
      <c r="D78" s="100">
        <v>22.11</v>
      </c>
      <c r="E78" s="100">
        <v>20.9</v>
      </c>
      <c r="F78" s="100">
        <v>3</v>
      </c>
      <c r="G78" s="100">
        <v>98.71</v>
      </c>
      <c r="H78" s="100">
        <v>29.64</v>
      </c>
      <c r="I78" s="100">
        <v>11.34</v>
      </c>
      <c r="J78" s="100">
        <v>0.34</v>
      </c>
      <c r="K78" s="100">
        <v>162.16999999999999</v>
      </c>
      <c r="L78" s="100">
        <v>26.85</v>
      </c>
      <c r="M78" s="100">
        <v>41.18</v>
      </c>
      <c r="N78" s="100">
        <v>9.1999999999999993</v>
      </c>
      <c r="O78" s="100">
        <v>0</v>
      </c>
      <c r="P78" s="100">
        <v>0.95</v>
      </c>
      <c r="Q78" s="100">
        <v>12.24</v>
      </c>
      <c r="R78" s="6"/>
      <c r="S78" s="6"/>
      <c r="T78" s="156"/>
      <c r="U78" s="6"/>
    </row>
    <row r="79" spans="1:21" customFormat="1">
      <c r="A79" s="163" t="s">
        <v>2325</v>
      </c>
      <c r="B79" s="100">
        <v>4.79</v>
      </c>
      <c r="C79" s="100">
        <v>32.65</v>
      </c>
      <c r="D79" s="100">
        <v>22.25</v>
      </c>
      <c r="E79" s="100">
        <v>14.33</v>
      </c>
      <c r="F79" s="100">
        <v>4.3600000000000003</v>
      </c>
      <c r="G79" s="100">
        <v>100.61</v>
      </c>
      <c r="H79" s="100">
        <v>29.08</v>
      </c>
      <c r="I79" s="100">
        <v>11.31</v>
      </c>
      <c r="J79" s="100">
        <v>0.36</v>
      </c>
      <c r="K79" s="100">
        <v>162.6</v>
      </c>
      <c r="L79" s="100">
        <v>25.75</v>
      </c>
      <c r="M79" s="100">
        <v>46.08</v>
      </c>
      <c r="N79" s="100">
        <v>4.5999999999999996</v>
      </c>
      <c r="O79" s="100">
        <v>0</v>
      </c>
      <c r="P79" s="100">
        <v>0.96</v>
      </c>
      <c r="Q79" s="100">
        <v>12.24</v>
      </c>
      <c r="R79" s="6"/>
      <c r="S79" s="6"/>
      <c r="T79" s="156"/>
      <c r="U79" s="6"/>
    </row>
    <row r="80" spans="1:21" customFormat="1">
      <c r="A80" s="163" t="s">
        <v>2326</v>
      </c>
      <c r="B80" s="100">
        <v>4.8600000000000003</v>
      </c>
      <c r="C80" s="100">
        <v>32.94</v>
      </c>
      <c r="D80" s="100">
        <v>22.46</v>
      </c>
      <c r="E80" s="100">
        <v>13.05</v>
      </c>
      <c r="F80" s="100">
        <v>2.58</v>
      </c>
      <c r="G80" s="100">
        <v>100.61</v>
      </c>
      <c r="H80" s="100">
        <v>29.08</v>
      </c>
      <c r="I80" s="100">
        <v>11.39</v>
      </c>
      <c r="J80" s="100">
        <v>0.31</v>
      </c>
      <c r="K80" s="100">
        <v>163.26</v>
      </c>
      <c r="L80" s="100">
        <v>24.82</v>
      </c>
      <c r="M80" s="100">
        <v>49.92</v>
      </c>
      <c r="N80" s="100">
        <v>2.6</v>
      </c>
      <c r="O80" s="100">
        <v>0</v>
      </c>
      <c r="P80" s="100">
        <v>0.96</v>
      </c>
      <c r="Q80" s="100">
        <v>12.24</v>
      </c>
      <c r="R80" s="6"/>
      <c r="S80" s="6"/>
      <c r="T80" s="156"/>
      <c r="U80" s="6"/>
    </row>
    <row r="81" spans="1:21" customFormat="1">
      <c r="A81" s="163" t="s">
        <v>2327</v>
      </c>
      <c r="B81" s="100">
        <v>5.18</v>
      </c>
      <c r="C81" s="100">
        <v>33.71</v>
      </c>
      <c r="D81" s="100">
        <v>23.12</v>
      </c>
      <c r="E81" s="100">
        <v>8.33</v>
      </c>
      <c r="F81" s="100">
        <v>1.97</v>
      </c>
      <c r="G81" s="100">
        <v>100.61</v>
      </c>
      <c r="H81" s="100">
        <v>29.08</v>
      </c>
      <c r="I81" s="100">
        <v>11.53</v>
      </c>
      <c r="J81" s="100">
        <v>0.3</v>
      </c>
      <c r="K81" s="100">
        <v>164.09</v>
      </c>
      <c r="L81" s="100">
        <v>24.05</v>
      </c>
      <c r="M81" s="100">
        <v>53.99</v>
      </c>
      <c r="N81" s="100">
        <v>1.9</v>
      </c>
      <c r="O81" s="100">
        <v>0</v>
      </c>
      <c r="P81" s="100">
        <v>0.99</v>
      </c>
      <c r="Q81" s="100">
        <v>12.24</v>
      </c>
      <c r="R81" s="6"/>
      <c r="S81" s="6"/>
      <c r="T81" s="156"/>
      <c r="U81" s="6"/>
    </row>
    <row r="82" spans="1:21" customFormat="1">
      <c r="A82" s="163" t="s">
        <v>2328</v>
      </c>
      <c r="B82" s="100">
        <v>5.91</v>
      </c>
      <c r="C82" s="100">
        <v>34.08</v>
      </c>
      <c r="D82" s="100">
        <v>23.89</v>
      </c>
      <c r="E82" s="100">
        <v>8.84</v>
      </c>
      <c r="F82" s="100">
        <v>2.37</v>
      </c>
      <c r="G82" s="100">
        <v>125.5</v>
      </c>
      <c r="H82" s="100">
        <v>33.31</v>
      </c>
      <c r="I82" s="100">
        <v>11.69</v>
      </c>
      <c r="J82" s="100">
        <v>0.27</v>
      </c>
      <c r="K82" s="100">
        <v>165.29</v>
      </c>
      <c r="L82" s="100">
        <v>23.4</v>
      </c>
      <c r="M82" s="100">
        <v>58.64</v>
      </c>
      <c r="N82" s="100">
        <v>1.7</v>
      </c>
      <c r="O82" s="100">
        <v>0</v>
      </c>
      <c r="P82" s="100">
        <v>1.01</v>
      </c>
      <c r="Q82" s="100">
        <v>12.24</v>
      </c>
      <c r="R82" s="6"/>
      <c r="S82" s="6"/>
      <c r="T82" s="156"/>
      <c r="U82" s="6"/>
    </row>
    <row r="83" spans="1:21" customFormat="1">
      <c r="A83" s="163" t="s">
        <v>2329</v>
      </c>
      <c r="B83" s="100">
        <v>7.35</v>
      </c>
      <c r="C83" s="100">
        <v>34.659999999999997</v>
      </c>
      <c r="D83" s="100">
        <v>25.36</v>
      </c>
      <c r="E83" s="100">
        <v>9.11</v>
      </c>
      <c r="F83" s="100">
        <v>1.88</v>
      </c>
      <c r="G83" s="100">
        <v>140.62</v>
      </c>
      <c r="H83" s="100">
        <v>34.159999999999997</v>
      </c>
      <c r="I83" s="100">
        <v>11.93</v>
      </c>
      <c r="J83" s="100">
        <v>0.25</v>
      </c>
      <c r="K83" s="100">
        <v>167.85</v>
      </c>
      <c r="L83" s="100">
        <v>22.77</v>
      </c>
      <c r="M83" s="100">
        <v>59.94</v>
      </c>
      <c r="N83" s="100">
        <v>1.7</v>
      </c>
      <c r="O83" s="100">
        <v>0</v>
      </c>
      <c r="P83" s="100">
        <v>1.03</v>
      </c>
      <c r="Q83" s="100">
        <v>12.24</v>
      </c>
      <c r="R83" s="6"/>
      <c r="S83" s="6"/>
      <c r="T83" s="156"/>
      <c r="U83" s="6"/>
    </row>
    <row r="84" spans="1:21" customFormat="1">
      <c r="A84" s="163" t="s">
        <v>2330</v>
      </c>
      <c r="B84" s="100">
        <v>9.25</v>
      </c>
      <c r="C84" s="100">
        <v>35.36</v>
      </c>
      <c r="D84" s="100">
        <v>27.24</v>
      </c>
      <c r="E84" s="100">
        <v>8.77</v>
      </c>
      <c r="F84" s="100">
        <v>1.07</v>
      </c>
      <c r="G84" s="100">
        <v>140.62</v>
      </c>
      <c r="H84" s="100">
        <v>34.159999999999997</v>
      </c>
      <c r="I84" s="100">
        <v>12.23</v>
      </c>
      <c r="J84" s="100">
        <v>0.26</v>
      </c>
      <c r="K84" s="100">
        <v>164.18</v>
      </c>
      <c r="L84" s="100">
        <v>22.32</v>
      </c>
      <c r="M84" s="100">
        <v>60.48</v>
      </c>
      <c r="N84" s="100">
        <v>1.5</v>
      </c>
      <c r="O84" s="100">
        <v>0</v>
      </c>
      <c r="P84" s="100">
        <v>1.08</v>
      </c>
      <c r="Q84" s="100">
        <v>12.24</v>
      </c>
      <c r="R84" s="6"/>
      <c r="S84" s="6"/>
      <c r="T84" s="156"/>
      <c r="U84" s="6"/>
    </row>
    <row r="85" spans="1:21" customFormat="1">
      <c r="A85" s="163" t="s">
        <v>2331</v>
      </c>
      <c r="B85" s="100">
        <v>10.84</v>
      </c>
      <c r="C85" s="100">
        <v>36.090000000000003</v>
      </c>
      <c r="D85" s="100">
        <v>28.9</v>
      </c>
      <c r="E85" s="100">
        <v>8.49</v>
      </c>
      <c r="F85" s="100">
        <v>2.13</v>
      </c>
      <c r="G85" s="100">
        <v>140.62</v>
      </c>
      <c r="H85" s="100">
        <v>34.159999999999997</v>
      </c>
      <c r="I85" s="100">
        <v>12.6</v>
      </c>
      <c r="J85" s="100">
        <v>0.23</v>
      </c>
      <c r="K85" s="100">
        <v>198.59</v>
      </c>
      <c r="L85" s="100">
        <v>21.61</v>
      </c>
      <c r="M85" s="100">
        <v>67.3</v>
      </c>
      <c r="N85" s="100">
        <v>1.8</v>
      </c>
      <c r="O85" s="100">
        <v>0</v>
      </c>
      <c r="P85" s="100">
        <v>1.1100000000000001</v>
      </c>
      <c r="Q85" s="100">
        <v>12.24</v>
      </c>
      <c r="R85" s="6"/>
      <c r="S85" s="6"/>
      <c r="T85" s="156"/>
      <c r="U85" s="6"/>
    </row>
    <row r="86" spans="1:21" customFormat="1">
      <c r="A86" s="163" t="s">
        <v>2332</v>
      </c>
      <c r="B86" s="100">
        <v>11.65</v>
      </c>
      <c r="C86" s="100">
        <v>36.31</v>
      </c>
      <c r="D86" s="100">
        <v>29.66</v>
      </c>
      <c r="E86" s="100">
        <v>8.34</v>
      </c>
      <c r="F86" s="100">
        <v>1.41</v>
      </c>
      <c r="G86" s="100">
        <v>152.18</v>
      </c>
      <c r="H86" s="100">
        <v>37.17</v>
      </c>
      <c r="I86" s="100">
        <v>13.1</v>
      </c>
      <c r="J86" s="100">
        <v>0.2</v>
      </c>
      <c r="K86" s="100">
        <v>188.23</v>
      </c>
      <c r="L86" s="100">
        <v>20.91</v>
      </c>
      <c r="M86" s="100">
        <v>64.81</v>
      </c>
      <c r="N86" s="100">
        <v>1.7</v>
      </c>
      <c r="O86" s="100">
        <v>0</v>
      </c>
      <c r="P86" s="100">
        <v>1.1299999999999999</v>
      </c>
      <c r="Q86" s="100">
        <v>12.24</v>
      </c>
      <c r="R86" s="6"/>
      <c r="S86" s="6"/>
      <c r="T86" s="156"/>
      <c r="U86" s="6"/>
    </row>
    <row r="87" spans="1:21" customFormat="1">
      <c r="A87" s="163" t="s">
        <v>2333</v>
      </c>
      <c r="B87" s="100">
        <v>11.62</v>
      </c>
      <c r="C87" s="100">
        <v>36.26</v>
      </c>
      <c r="D87" s="100">
        <v>29.61</v>
      </c>
      <c r="E87" s="100">
        <v>8.39</v>
      </c>
      <c r="F87" s="100">
        <v>0.8</v>
      </c>
      <c r="G87" s="100">
        <v>159.19</v>
      </c>
      <c r="H87" s="100">
        <v>37.78</v>
      </c>
      <c r="I87" s="100">
        <v>13.51</v>
      </c>
      <c r="J87" s="100">
        <v>0.19</v>
      </c>
      <c r="K87" s="100">
        <v>158.37</v>
      </c>
      <c r="L87" s="100">
        <v>20.84</v>
      </c>
      <c r="M87" s="100">
        <v>62.34</v>
      </c>
      <c r="N87" s="100">
        <v>1.1000000000000001</v>
      </c>
      <c r="O87" s="100">
        <v>0</v>
      </c>
      <c r="P87" s="100">
        <v>1.1499999999999999</v>
      </c>
      <c r="Q87" s="100">
        <v>12.24</v>
      </c>
      <c r="R87" s="6"/>
      <c r="S87" s="6"/>
      <c r="T87" s="156"/>
      <c r="U87" s="6"/>
    </row>
    <row r="88" spans="1:21" customFormat="1">
      <c r="A88" s="163" t="s">
        <v>2334</v>
      </c>
      <c r="B88" s="100">
        <v>11.3</v>
      </c>
      <c r="C88" s="100">
        <v>35.67</v>
      </c>
      <c r="D88" s="100">
        <v>29.05</v>
      </c>
      <c r="E88" s="100">
        <v>8.56</v>
      </c>
      <c r="F88" s="100">
        <v>0.96</v>
      </c>
      <c r="G88" s="100">
        <v>159.19</v>
      </c>
      <c r="H88" s="100">
        <v>37.78</v>
      </c>
      <c r="I88" s="100">
        <v>13.7</v>
      </c>
      <c r="J88" s="100">
        <v>0.14000000000000001</v>
      </c>
      <c r="K88" s="100">
        <v>141.37</v>
      </c>
      <c r="L88" s="100">
        <v>20.94</v>
      </c>
      <c r="M88" s="100">
        <v>63.54</v>
      </c>
      <c r="N88" s="100">
        <v>1.2</v>
      </c>
      <c r="O88" s="100">
        <v>0</v>
      </c>
      <c r="P88" s="100">
        <v>1.1399999999999999</v>
      </c>
      <c r="Q88" s="100">
        <v>12.24</v>
      </c>
      <c r="R88" s="6"/>
      <c r="S88" s="6"/>
      <c r="T88" s="156"/>
      <c r="U88" s="6"/>
    </row>
    <row r="89" spans="1:21" customFormat="1">
      <c r="A89" s="163" t="s">
        <v>2335</v>
      </c>
      <c r="B89" s="100">
        <v>11.19</v>
      </c>
      <c r="C89" s="100">
        <v>35.19</v>
      </c>
      <c r="D89" s="100">
        <v>28.71</v>
      </c>
      <c r="E89" s="100">
        <v>8.5399999999999991</v>
      </c>
      <c r="F89" s="100">
        <v>0.51</v>
      </c>
      <c r="G89" s="100">
        <v>159.19</v>
      </c>
      <c r="H89" s="100">
        <v>37.78</v>
      </c>
      <c r="I89" s="100">
        <v>13.71</v>
      </c>
      <c r="J89" s="100">
        <v>0.16</v>
      </c>
      <c r="K89" s="100">
        <v>167.38</v>
      </c>
      <c r="L89" s="100">
        <v>20.91</v>
      </c>
      <c r="M89" s="100">
        <v>60.39</v>
      </c>
      <c r="N89" s="100">
        <v>1.1000000000000001</v>
      </c>
      <c r="O89" s="100">
        <v>0</v>
      </c>
      <c r="P89" s="100">
        <v>1.1399999999999999</v>
      </c>
      <c r="Q89" s="100">
        <v>12.24</v>
      </c>
      <c r="R89" s="6"/>
      <c r="S89" s="6"/>
      <c r="T89" s="156"/>
      <c r="U89" s="6"/>
    </row>
    <row r="90" spans="1:21" customFormat="1">
      <c r="A90" s="163" t="s">
        <v>2336</v>
      </c>
      <c r="B90" s="100">
        <v>11.06</v>
      </c>
      <c r="C90" s="100">
        <v>34.74</v>
      </c>
      <c r="D90" s="100">
        <v>28.37</v>
      </c>
      <c r="E90" s="100">
        <v>8.58</v>
      </c>
      <c r="F90" s="100">
        <v>1.01</v>
      </c>
      <c r="G90" s="100">
        <v>142.91</v>
      </c>
      <c r="H90" s="100">
        <v>34</v>
      </c>
      <c r="I90" s="100">
        <v>13.68</v>
      </c>
      <c r="J90" s="100">
        <v>0.23</v>
      </c>
      <c r="K90" s="100">
        <v>169.39</v>
      </c>
      <c r="L90" s="100">
        <v>20.62</v>
      </c>
      <c r="M90" s="100">
        <v>65.63</v>
      </c>
      <c r="N90" s="100">
        <v>1.3</v>
      </c>
      <c r="O90" s="100">
        <v>0</v>
      </c>
      <c r="P90" s="100">
        <v>1.1200000000000001</v>
      </c>
      <c r="Q90" s="100">
        <v>12.24</v>
      </c>
      <c r="R90" s="6"/>
      <c r="S90" s="6"/>
      <c r="T90" s="156"/>
      <c r="U90" s="6"/>
    </row>
    <row r="91" spans="1:21" customFormat="1">
      <c r="A91" s="163" t="s">
        <v>2337</v>
      </c>
      <c r="B91" s="100">
        <v>10.72</v>
      </c>
      <c r="C91" s="100">
        <v>33.729999999999997</v>
      </c>
      <c r="D91" s="100">
        <v>27.57</v>
      </c>
      <c r="E91" s="100">
        <v>8.5500000000000007</v>
      </c>
      <c r="F91" s="100">
        <v>0.4</v>
      </c>
      <c r="G91" s="100">
        <v>133.02000000000001</v>
      </c>
      <c r="H91" s="100">
        <v>32.659999999999997</v>
      </c>
      <c r="I91" s="100">
        <v>13.62</v>
      </c>
      <c r="J91" s="100">
        <v>0.25</v>
      </c>
      <c r="K91" s="100">
        <v>161.07</v>
      </c>
      <c r="L91" s="100">
        <v>20.18</v>
      </c>
      <c r="M91" s="100">
        <v>69.709999999999994</v>
      </c>
      <c r="N91" s="100">
        <v>1.3</v>
      </c>
      <c r="O91" s="100">
        <v>0</v>
      </c>
      <c r="P91" s="100">
        <v>1.1200000000000001</v>
      </c>
      <c r="Q91" s="100">
        <v>12.24</v>
      </c>
      <c r="R91" s="6"/>
      <c r="S91" s="6"/>
      <c r="T91" s="156"/>
      <c r="U91" s="6"/>
    </row>
    <row r="92" spans="1:21" customFormat="1">
      <c r="A92" s="163" t="s">
        <v>2338</v>
      </c>
      <c r="B92" s="100">
        <v>10.38</v>
      </c>
      <c r="C92" s="100">
        <v>32.81</v>
      </c>
      <c r="D92" s="100">
        <v>26.82</v>
      </c>
      <c r="E92" s="100">
        <v>8.25</v>
      </c>
      <c r="F92" s="100">
        <v>0.6</v>
      </c>
      <c r="G92" s="100">
        <v>133.02000000000001</v>
      </c>
      <c r="H92" s="100">
        <v>32.659999999999997</v>
      </c>
      <c r="I92" s="100">
        <v>13.58</v>
      </c>
      <c r="J92" s="100">
        <v>0.17</v>
      </c>
      <c r="K92" s="100">
        <v>201.55</v>
      </c>
      <c r="L92" s="100">
        <v>19.66</v>
      </c>
      <c r="M92" s="100">
        <v>71.819999999999993</v>
      </c>
      <c r="N92" s="100">
        <v>1.6</v>
      </c>
      <c r="O92" s="100">
        <v>0</v>
      </c>
      <c r="P92" s="100">
        <v>1.1200000000000001</v>
      </c>
      <c r="Q92" s="100">
        <v>12.24</v>
      </c>
      <c r="R92" s="6"/>
      <c r="S92" s="6"/>
      <c r="T92" s="156"/>
      <c r="U92" s="6"/>
    </row>
    <row r="93" spans="1:21" customFormat="1">
      <c r="A93" s="163" t="s">
        <v>2339</v>
      </c>
      <c r="B93" s="100">
        <v>10.08</v>
      </c>
      <c r="C93" s="100">
        <v>32.25</v>
      </c>
      <c r="D93" s="100">
        <v>26.28</v>
      </c>
      <c r="E93" s="100">
        <v>8.39</v>
      </c>
      <c r="F93" s="100">
        <v>0.66</v>
      </c>
      <c r="G93" s="100">
        <v>133.02000000000001</v>
      </c>
      <c r="H93" s="100">
        <v>32.659999999999997</v>
      </c>
      <c r="I93" s="100">
        <v>13.51</v>
      </c>
      <c r="J93" s="100">
        <v>0.16</v>
      </c>
      <c r="K93" s="100">
        <v>182.91</v>
      </c>
      <c r="L93" s="100">
        <v>19.12</v>
      </c>
      <c r="M93" s="100">
        <v>70.400000000000006</v>
      </c>
      <c r="N93" s="100">
        <v>1.4</v>
      </c>
      <c r="O93" s="100">
        <v>0</v>
      </c>
      <c r="P93" s="100">
        <v>1.1100000000000001</v>
      </c>
      <c r="Q93" s="100">
        <v>12.24</v>
      </c>
      <c r="R93" s="6"/>
      <c r="S93" s="6"/>
      <c r="T93" s="156"/>
      <c r="U93" s="6"/>
    </row>
    <row r="94" spans="1:21" customFormat="1">
      <c r="A94" s="163" t="s">
        <v>2340</v>
      </c>
      <c r="B94" s="100">
        <v>10.039999999999999</v>
      </c>
      <c r="C94" s="100">
        <v>31.88</v>
      </c>
      <c r="D94" s="100">
        <v>26.05</v>
      </c>
      <c r="E94" s="100">
        <v>8.35</v>
      </c>
      <c r="F94" s="100">
        <v>0.39</v>
      </c>
      <c r="G94" s="100">
        <v>118.64</v>
      </c>
      <c r="H94" s="100">
        <v>32.14</v>
      </c>
      <c r="I94" s="100">
        <v>13.49</v>
      </c>
      <c r="J94" s="100">
        <v>0.1</v>
      </c>
      <c r="K94" s="100">
        <v>179.26</v>
      </c>
      <c r="L94" s="100">
        <v>19.239999999999998</v>
      </c>
      <c r="M94" s="100">
        <v>68.64</v>
      </c>
      <c r="N94" s="100">
        <v>0.9</v>
      </c>
      <c r="O94" s="100">
        <v>0</v>
      </c>
      <c r="P94" s="100">
        <v>1.1100000000000001</v>
      </c>
      <c r="Q94" s="100">
        <v>12.24</v>
      </c>
      <c r="R94" s="6"/>
      <c r="S94" s="6"/>
      <c r="T94" s="156"/>
      <c r="U94" s="6"/>
    </row>
    <row r="95" spans="1:21" customFormat="1">
      <c r="A95" s="163" t="s">
        <v>2341</v>
      </c>
      <c r="B95" s="100">
        <v>10.82</v>
      </c>
      <c r="C95" s="100">
        <v>32.17</v>
      </c>
      <c r="D95" s="100">
        <v>26.83</v>
      </c>
      <c r="E95" s="100">
        <v>8.61</v>
      </c>
      <c r="F95" s="100">
        <v>0.67</v>
      </c>
      <c r="G95" s="100">
        <v>109.91</v>
      </c>
      <c r="H95" s="100">
        <v>32.04</v>
      </c>
      <c r="I95" s="100">
        <v>13.41</v>
      </c>
      <c r="J95" s="100">
        <v>0.25</v>
      </c>
      <c r="K95" s="100">
        <v>164.58</v>
      </c>
      <c r="L95" s="100">
        <v>19.03</v>
      </c>
      <c r="M95" s="100">
        <v>74.569999999999993</v>
      </c>
      <c r="N95" s="100">
        <v>1.3</v>
      </c>
      <c r="O95" s="100">
        <v>0</v>
      </c>
      <c r="P95" s="100">
        <v>1.1000000000000001</v>
      </c>
      <c r="Q95" s="100">
        <v>12.24</v>
      </c>
      <c r="R95" s="6"/>
      <c r="S95" s="6"/>
      <c r="T95" s="156"/>
      <c r="U95" s="6"/>
    </row>
    <row r="96" spans="1:21" customFormat="1">
      <c r="A96" s="163" t="s">
        <v>2342</v>
      </c>
      <c r="B96" s="100">
        <v>11.34</v>
      </c>
      <c r="C96" s="100">
        <v>31.98</v>
      </c>
      <c r="D96" s="100">
        <v>27.15</v>
      </c>
      <c r="E96" s="100">
        <v>8.44</v>
      </c>
      <c r="F96" s="100">
        <v>1.27</v>
      </c>
      <c r="G96" s="100">
        <v>109.91</v>
      </c>
      <c r="H96" s="100">
        <v>32.04</v>
      </c>
      <c r="I96" s="100">
        <v>13.38</v>
      </c>
      <c r="J96" s="100">
        <v>0.24</v>
      </c>
      <c r="K96" s="100">
        <v>163.34</v>
      </c>
      <c r="L96" s="100">
        <v>18.7</v>
      </c>
      <c r="M96" s="100">
        <v>76.03</v>
      </c>
      <c r="N96" s="100">
        <v>1.4</v>
      </c>
      <c r="O96" s="100">
        <v>0</v>
      </c>
      <c r="P96" s="100">
        <v>1.1000000000000001</v>
      </c>
      <c r="Q96" s="100">
        <v>12.24</v>
      </c>
      <c r="R96" s="6"/>
      <c r="S96" s="6"/>
      <c r="T96" s="156"/>
      <c r="U96" s="6"/>
    </row>
    <row r="97" spans="1:28" customFormat="1">
      <c r="A97" s="163" t="s">
        <v>2343</v>
      </c>
      <c r="B97" s="100">
        <v>11.59</v>
      </c>
      <c r="C97" s="100">
        <v>31.74</v>
      </c>
      <c r="D97" s="100">
        <v>27.23</v>
      </c>
      <c r="E97" s="100">
        <v>8.64</v>
      </c>
      <c r="F97" s="100">
        <v>1.41</v>
      </c>
      <c r="G97" s="100">
        <v>109.91</v>
      </c>
      <c r="H97" s="100">
        <v>32.04</v>
      </c>
      <c r="I97" s="100">
        <v>13.38</v>
      </c>
      <c r="J97" s="100">
        <v>0.17</v>
      </c>
      <c r="K97" s="100">
        <v>175.04</v>
      </c>
      <c r="L97" s="100">
        <v>18.489999999999998</v>
      </c>
      <c r="M97" s="100">
        <v>75.58</v>
      </c>
      <c r="N97" s="100">
        <v>1.3</v>
      </c>
      <c r="O97" s="100">
        <v>0</v>
      </c>
      <c r="P97" s="100">
        <v>1.1000000000000001</v>
      </c>
      <c r="Q97" s="100">
        <v>12.24</v>
      </c>
      <c r="R97" s="6"/>
      <c r="S97" s="6"/>
      <c r="T97" s="156"/>
      <c r="U97" s="6"/>
    </row>
    <row r="98" spans="1:28" customFormat="1">
      <c r="A98" s="163" t="s">
        <v>2344</v>
      </c>
      <c r="B98" s="100">
        <v>11.81</v>
      </c>
      <c r="C98" s="100">
        <v>31.34</v>
      </c>
      <c r="D98" s="100">
        <v>27.19</v>
      </c>
      <c r="E98" s="100">
        <v>8.75</v>
      </c>
      <c r="F98" s="100">
        <v>0.38</v>
      </c>
      <c r="G98" s="100">
        <v>118.44</v>
      </c>
      <c r="H98" s="100">
        <v>31.23</v>
      </c>
      <c r="I98" s="100">
        <v>13.38</v>
      </c>
      <c r="J98" s="100">
        <v>0.11</v>
      </c>
      <c r="K98" s="100">
        <v>190.96</v>
      </c>
      <c r="L98" s="100">
        <v>18.23</v>
      </c>
      <c r="M98" s="100">
        <v>73.84</v>
      </c>
      <c r="N98" s="100">
        <v>1.3</v>
      </c>
      <c r="O98" s="100">
        <v>0</v>
      </c>
      <c r="P98" s="100">
        <v>1.0900000000000001</v>
      </c>
      <c r="Q98" s="100">
        <v>12.24</v>
      </c>
      <c r="R98" s="6"/>
      <c r="S98" s="6"/>
      <c r="T98" s="156"/>
      <c r="U98" s="6"/>
    </row>
    <row r="99" spans="1:28" customFormat="1">
      <c r="A99" s="163" t="s">
        <v>2345</v>
      </c>
      <c r="B99" s="100">
        <v>12</v>
      </c>
      <c r="C99" s="100">
        <v>31.4</v>
      </c>
      <c r="D99" s="100">
        <v>27.38</v>
      </c>
      <c r="E99" s="100">
        <v>8.2899999999999991</v>
      </c>
      <c r="F99" s="100">
        <v>2.59</v>
      </c>
      <c r="G99" s="100">
        <v>123.61</v>
      </c>
      <c r="H99" s="100">
        <v>31.07</v>
      </c>
      <c r="I99" s="100">
        <v>13.37</v>
      </c>
      <c r="J99" s="100">
        <v>0.21</v>
      </c>
      <c r="K99" s="100">
        <v>164.75</v>
      </c>
      <c r="L99" s="100">
        <v>18.22</v>
      </c>
      <c r="M99" s="100">
        <v>75.83</v>
      </c>
      <c r="N99" s="100">
        <v>1.1000000000000001</v>
      </c>
      <c r="O99" s="100">
        <v>0</v>
      </c>
      <c r="P99" s="100">
        <v>1.0900000000000001</v>
      </c>
      <c r="Q99" s="100">
        <v>12.24</v>
      </c>
      <c r="R99" s="6"/>
      <c r="S99" s="6"/>
      <c r="T99" s="156"/>
      <c r="U99" s="6"/>
    </row>
    <row r="100" spans="1:28" customFormat="1">
      <c r="A100" s="163" t="s">
        <v>2346</v>
      </c>
      <c r="B100" s="100">
        <v>12.59</v>
      </c>
      <c r="C100" s="100">
        <v>31.31</v>
      </c>
      <c r="D100" s="100">
        <v>27.81</v>
      </c>
      <c r="E100" s="100">
        <v>8.26</v>
      </c>
      <c r="F100" s="100">
        <v>0.67</v>
      </c>
      <c r="G100" s="100">
        <v>123.61</v>
      </c>
      <c r="H100" s="100">
        <v>31.07</v>
      </c>
      <c r="I100" s="100">
        <v>13.39</v>
      </c>
      <c r="J100" s="100">
        <v>0.24</v>
      </c>
      <c r="K100" s="100">
        <v>164.25</v>
      </c>
      <c r="L100" s="100">
        <v>18.07</v>
      </c>
      <c r="M100" s="100">
        <v>81.16</v>
      </c>
      <c r="N100" s="100">
        <v>1.3</v>
      </c>
      <c r="O100" s="100">
        <v>0</v>
      </c>
      <c r="P100" s="100">
        <v>1.1000000000000001</v>
      </c>
      <c r="Q100" s="100">
        <v>12.24</v>
      </c>
      <c r="R100" s="6"/>
      <c r="S100" s="6"/>
      <c r="T100" s="156"/>
      <c r="U100" s="6"/>
      <c r="AB100" s="161"/>
    </row>
    <row r="101" spans="1:28" customFormat="1">
      <c r="A101" s="163" t="s">
        <v>2347</v>
      </c>
      <c r="B101" s="100">
        <v>13.78</v>
      </c>
      <c r="C101" s="100">
        <v>31.28</v>
      </c>
      <c r="D101" s="100">
        <v>28.74</v>
      </c>
      <c r="E101" s="100">
        <v>8.44</v>
      </c>
      <c r="F101" s="100">
        <v>0.54</v>
      </c>
      <c r="G101" s="100">
        <v>123.61</v>
      </c>
      <c r="H101" s="100">
        <v>31.07</v>
      </c>
      <c r="I101" s="100">
        <v>13.4</v>
      </c>
      <c r="J101" s="100">
        <v>0.15</v>
      </c>
      <c r="K101" s="100">
        <v>177.17</v>
      </c>
      <c r="L101" s="100">
        <v>17.95</v>
      </c>
      <c r="M101" s="100">
        <v>80.86</v>
      </c>
      <c r="N101" s="100">
        <v>1.4</v>
      </c>
      <c r="O101" s="100">
        <v>0</v>
      </c>
      <c r="P101" s="100">
        <v>1.1100000000000001</v>
      </c>
      <c r="Q101" s="100">
        <v>12.24</v>
      </c>
      <c r="R101" s="6"/>
      <c r="S101" s="6"/>
      <c r="T101" s="156"/>
      <c r="U101" s="6"/>
    </row>
    <row r="102" spans="1:28" customFormat="1">
      <c r="A102" s="163" t="s">
        <v>2348</v>
      </c>
      <c r="B102" s="100">
        <v>15.38</v>
      </c>
      <c r="C102" s="100">
        <v>31.21</v>
      </c>
      <c r="D102" s="100">
        <v>29.99</v>
      </c>
      <c r="E102" s="100">
        <v>8.1</v>
      </c>
      <c r="F102" s="100">
        <v>0.37</v>
      </c>
      <c r="G102" s="100">
        <v>127.74</v>
      </c>
      <c r="H102" s="100">
        <v>31.27</v>
      </c>
      <c r="I102" s="100">
        <v>13.37</v>
      </c>
      <c r="J102" s="100">
        <v>0.18</v>
      </c>
      <c r="K102" s="100">
        <v>148.80000000000001</v>
      </c>
      <c r="L102" s="100">
        <v>17.8</v>
      </c>
      <c r="M102" s="100">
        <v>81.709999999999994</v>
      </c>
      <c r="N102" s="100">
        <v>1.2</v>
      </c>
      <c r="O102" s="100">
        <v>0</v>
      </c>
      <c r="P102" s="100">
        <v>1.1100000000000001</v>
      </c>
      <c r="Q102" s="100">
        <v>12.24</v>
      </c>
      <c r="R102" s="6"/>
      <c r="S102" s="6"/>
      <c r="T102" s="156"/>
      <c r="U102" s="6"/>
    </row>
    <row r="103" spans="1:28" customFormat="1">
      <c r="A103" s="163" t="s">
        <v>2349</v>
      </c>
      <c r="B103" s="100">
        <v>17.579999999999998</v>
      </c>
      <c r="C103" s="100">
        <v>31.15</v>
      </c>
      <c r="D103" s="100">
        <v>31.72</v>
      </c>
      <c r="E103" s="100">
        <v>8.0500000000000007</v>
      </c>
      <c r="F103" s="100">
        <v>1.58</v>
      </c>
      <c r="G103" s="100">
        <v>130.25</v>
      </c>
      <c r="H103" s="100">
        <v>31.32</v>
      </c>
      <c r="I103" s="100">
        <v>13.4</v>
      </c>
      <c r="J103" s="100">
        <v>0.21</v>
      </c>
      <c r="K103" s="100">
        <v>168.14</v>
      </c>
      <c r="L103" s="100">
        <v>17.79</v>
      </c>
      <c r="M103" s="100">
        <v>82.27</v>
      </c>
      <c r="N103" s="100">
        <v>1.2</v>
      </c>
      <c r="O103" s="100">
        <v>0</v>
      </c>
      <c r="P103" s="100">
        <v>1.1200000000000001</v>
      </c>
      <c r="Q103" s="100">
        <v>12.24</v>
      </c>
      <c r="R103" s="6"/>
      <c r="S103" s="6"/>
      <c r="T103" s="156"/>
      <c r="U103" s="6"/>
    </row>
    <row r="104" spans="1:28" customFormat="1">
      <c r="A104" s="163" t="s">
        <v>2350</v>
      </c>
      <c r="B104" s="100">
        <v>19.75</v>
      </c>
      <c r="C104" s="100">
        <v>31.04</v>
      </c>
      <c r="D104" s="100">
        <v>33.409999999999997</v>
      </c>
      <c r="E104" s="100">
        <v>8.15</v>
      </c>
      <c r="F104" s="100">
        <v>1.33</v>
      </c>
      <c r="G104" s="100">
        <v>130.25</v>
      </c>
      <c r="H104" s="100">
        <v>31.32</v>
      </c>
      <c r="I104" s="100">
        <v>13.46</v>
      </c>
      <c r="J104" s="100">
        <v>0.15</v>
      </c>
      <c r="K104" s="100">
        <v>176.31</v>
      </c>
      <c r="L104" s="100">
        <v>17.53</v>
      </c>
      <c r="M104" s="100">
        <v>83.92</v>
      </c>
      <c r="N104" s="100">
        <v>1.4</v>
      </c>
      <c r="O104" s="100">
        <v>0</v>
      </c>
      <c r="P104" s="100">
        <v>1.1299999999999999</v>
      </c>
      <c r="Q104" s="100">
        <v>12.24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4.41</v>
      </c>
      <c r="C106" s="158">
        <f>MIN(C9:C104)</f>
        <v>25.21</v>
      </c>
      <c r="D106" s="158">
        <f t="shared" ref="D106:Q106" si="0">MIN(D9:D104)</f>
        <v>19.63</v>
      </c>
      <c r="E106" s="158">
        <f t="shared" si="0"/>
        <v>8.0500000000000007</v>
      </c>
      <c r="F106" s="158">
        <f t="shared" si="0"/>
        <v>0.32</v>
      </c>
      <c r="G106" s="158">
        <f t="shared" si="0"/>
        <v>78.430000000000007</v>
      </c>
      <c r="H106" s="158">
        <f t="shared" si="0"/>
        <v>27.56</v>
      </c>
      <c r="I106" s="158">
        <f t="shared" si="0"/>
        <v>11.31</v>
      </c>
      <c r="J106" s="158">
        <f t="shared" si="0"/>
        <v>0.1</v>
      </c>
      <c r="K106" s="158">
        <f t="shared" si="0"/>
        <v>3.04</v>
      </c>
      <c r="L106" s="158">
        <f t="shared" si="0"/>
        <v>13.44</v>
      </c>
      <c r="M106" s="158">
        <f t="shared" si="0"/>
        <v>26.33</v>
      </c>
      <c r="N106" s="158">
        <f t="shared" si="0"/>
        <v>0.6</v>
      </c>
      <c r="O106" s="158">
        <f t="shared" si="0"/>
        <v>0</v>
      </c>
      <c r="P106" s="158">
        <f t="shared" si="0"/>
        <v>0.88</v>
      </c>
      <c r="Q106" s="158">
        <f t="shared" si="0"/>
        <v>12.24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53.27</v>
      </c>
      <c r="C107" s="157">
        <f t="shared" ref="C107:Q107" si="1">MAX(C9:C104)</f>
        <v>37.5</v>
      </c>
      <c r="D107" s="157">
        <f t="shared" si="1"/>
        <v>58.29</v>
      </c>
      <c r="E107" s="157">
        <f t="shared" si="1"/>
        <v>40.75</v>
      </c>
      <c r="F107" s="157">
        <f t="shared" si="1"/>
        <v>7.64</v>
      </c>
      <c r="G107" s="157">
        <f t="shared" si="1"/>
        <v>191.01</v>
      </c>
      <c r="H107" s="157">
        <f t="shared" si="1"/>
        <v>39.89</v>
      </c>
      <c r="I107" s="157">
        <f t="shared" si="1"/>
        <v>19.739999999999998</v>
      </c>
      <c r="J107" s="157">
        <f t="shared" si="1"/>
        <v>0.87</v>
      </c>
      <c r="K107" s="157">
        <f t="shared" si="1"/>
        <v>349.66</v>
      </c>
      <c r="L107" s="157">
        <f t="shared" si="1"/>
        <v>30.89</v>
      </c>
      <c r="M107" s="157">
        <f t="shared" si="1"/>
        <v>101.71</v>
      </c>
      <c r="N107" s="157">
        <f t="shared" si="1"/>
        <v>423.1</v>
      </c>
      <c r="O107" s="157">
        <f t="shared" si="1"/>
        <v>0</v>
      </c>
      <c r="P107" s="157">
        <f t="shared" si="1"/>
        <v>1.71</v>
      </c>
      <c r="Q107" s="157">
        <f t="shared" si="1"/>
        <v>12.24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21.806041666666662</v>
      </c>
      <c r="C108" s="158">
        <f t="shared" ref="C108:Q108" si="2">AVERAGE(C9:C104)</f>
        <v>30.607291666666683</v>
      </c>
      <c r="D108" s="158">
        <f t="shared" si="2"/>
        <v>34.829374999999999</v>
      </c>
      <c r="E108" s="158">
        <f t="shared" si="2"/>
        <v>12.788541666666665</v>
      </c>
      <c r="F108" s="158">
        <f t="shared" si="2"/>
        <v>1.6969791666666667</v>
      </c>
      <c r="G108" s="158">
        <f t="shared" si="2"/>
        <v>127.38875000000009</v>
      </c>
      <c r="H108" s="158">
        <f t="shared" si="2"/>
        <v>32.952812499999993</v>
      </c>
      <c r="I108" s="158">
        <f t="shared" si="2"/>
        <v>14.965312500000008</v>
      </c>
      <c r="J108" s="158">
        <f t="shared" si="2"/>
        <v>0.31468750000000001</v>
      </c>
      <c r="K108" s="158">
        <f t="shared" si="2"/>
        <v>131.59322916666667</v>
      </c>
      <c r="L108" s="158">
        <f t="shared" si="2"/>
        <v>21.343125000000001</v>
      </c>
      <c r="M108" s="158">
        <f t="shared" si="2"/>
        <v>64.591770833333328</v>
      </c>
      <c r="N108" s="158">
        <f t="shared" si="2"/>
        <v>93.833333333333329</v>
      </c>
      <c r="O108" s="158">
        <f t="shared" si="2"/>
        <v>0</v>
      </c>
      <c r="P108" s="158">
        <f t="shared" si="2"/>
        <v>1.2538541666666665</v>
      </c>
      <c r="Q108" s="158">
        <f t="shared" si="2"/>
        <v>12.240000000000007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16.524262065164844</v>
      </c>
      <c r="C109" s="158">
        <f t="shared" ref="C109:Q109" si="3">STDEV(C9:C104)</f>
        <v>3.5726294250552932</v>
      </c>
      <c r="D109" s="158">
        <f t="shared" si="3"/>
        <v>12.446767478260954</v>
      </c>
      <c r="E109" s="158">
        <f t="shared" si="3"/>
        <v>7.5806661253156928</v>
      </c>
      <c r="F109" s="158">
        <f t="shared" si="3"/>
        <v>1.1546912276190342</v>
      </c>
      <c r="G109" s="158">
        <f t="shared" si="3"/>
        <v>29.467622598013207</v>
      </c>
      <c r="H109" s="158">
        <f t="shared" si="3"/>
        <v>3.3270498084085824</v>
      </c>
      <c r="I109" s="158">
        <f t="shared" si="3"/>
        <v>2.4974542630551535</v>
      </c>
      <c r="J109" s="158">
        <f t="shared" si="3"/>
        <v>0.19921399826634481</v>
      </c>
      <c r="K109" s="158">
        <f t="shared" si="3"/>
        <v>71.729842244424958</v>
      </c>
      <c r="L109" s="158">
        <f t="shared" si="3"/>
        <v>6.0056847302324519</v>
      </c>
      <c r="M109" s="158">
        <f t="shared" si="3"/>
        <v>25.276557310336376</v>
      </c>
      <c r="N109" s="158">
        <f t="shared" si="3"/>
        <v>148.91378407561635</v>
      </c>
      <c r="O109" s="158">
        <f t="shared" si="3"/>
        <v>0</v>
      </c>
      <c r="P109" s="158">
        <f t="shared" si="3"/>
        <v>0.24843243195206072</v>
      </c>
      <c r="Q109" s="158">
        <f t="shared" si="3"/>
        <v>7.1427264451533946E-15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F52" sqref="F52:F5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23/01/2025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2351</v>
      </c>
      <c r="B9" s="100">
        <v>22.78</v>
      </c>
      <c r="C9" s="100">
        <v>30.94</v>
      </c>
      <c r="D9" s="100">
        <v>35.78</v>
      </c>
      <c r="E9" s="100">
        <v>8.07</v>
      </c>
      <c r="F9" s="100">
        <v>1</v>
      </c>
      <c r="G9" s="100">
        <v>130.25</v>
      </c>
      <c r="H9" s="100">
        <v>31.32</v>
      </c>
      <c r="I9" s="100">
        <v>13.53</v>
      </c>
      <c r="J9" s="100">
        <v>0.18</v>
      </c>
      <c r="K9" s="100">
        <v>166.34</v>
      </c>
      <c r="L9" s="100">
        <v>17.36</v>
      </c>
      <c r="M9" s="100">
        <v>82.95</v>
      </c>
      <c r="N9" s="100">
        <v>1.3</v>
      </c>
      <c r="O9" s="100">
        <v>0</v>
      </c>
      <c r="P9" s="100">
        <v>1.1399999999999999</v>
      </c>
      <c r="Q9" s="100">
        <v>12.24</v>
      </c>
      <c r="R9" s="6"/>
      <c r="S9" s="6"/>
      <c r="T9" s="156"/>
      <c r="U9" s="6"/>
    </row>
    <row r="10" spans="1:21" customFormat="1">
      <c r="A10" s="163" t="s">
        <v>2352</v>
      </c>
      <c r="B10" s="100">
        <v>24.41</v>
      </c>
      <c r="C10" s="100">
        <v>31.08</v>
      </c>
      <c r="D10" s="100">
        <v>37.17</v>
      </c>
      <c r="E10" s="100">
        <v>8.33</v>
      </c>
      <c r="F10" s="100">
        <v>0.24</v>
      </c>
      <c r="G10" s="100">
        <v>138.80000000000001</v>
      </c>
      <c r="H10" s="100">
        <v>30.92</v>
      </c>
      <c r="I10" s="100">
        <v>13.58</v>
      </c>
      <c r="J10" s="100">
        <v>0.25</v>
      </c>
      <c r="K10" s="100">
        <v>166.03</v>
      </c>
      <c r="L10" s="100">
        <v>17.399999999999999</v>
      </c>
      <c r="M10" s="100">
        <v>84.5</v>
      </c>
      <c r="N10" s="100">
        <v>1.3</v>
      </c>
      <c r="O10" s="100">
        <v>0</v>
      </c>
      <c r="P10" s="100">
        <v>1.1599999999999999</v>
      </c>
      <c r="Q10" s="100">
        <v>12.24</v>
      </c>
      <c r="R10" s="6"/>
      <c r="S10" s="6"/>
      <c r="T10" s="156"/>
      <c r="U10" s="6"/>
    </row>
    <row r="11" spans="1:21" customFormat="1">
      <c r="A11" s="163" t="s">
        <v>2353</v>
      </c>
      <c r="B11" s="100">
        <v>26.38</v>
      </c>
      <c r="C11" s="100">
        <v>31.11</v>
      </c>
      <c r="D11" s="100">
        <v>38.76</v>
      </c>
      <c r="E11" s="100">
        <v>8.6</v>
      </c>
      <c r="F11" s="100">
        <v>0.13</v>
      </c>
      <c r="G11" s="100">
        <v>144</v>
      </c>
      <c r="H11" s="100">
        <v>30.84</v>
      </c>
      <c r="I11" s="100">
        <v>13.68</v>
      </c>
      <c r="J11" s="100">
        <v>0.13</v>
      </c>
      <c r="K11" s="100">
        <v>181.11</v>
      </c>
      <c r="L11" s="100">
        <v>17.04</v>
      </c>
      <c r="M11" s="100">
        <v>85.01</v>
      </c>
      <c r="N11" s="100">
        <v>1.4</v>
      </c>
      <c r="O11" s="100">
        <v>0</v>
      </c>
      <c r="P11" s="100">
        <v>1.17</v>
      </c>
      <c r="Q11" s="100">
        <v>12.24</v>
      </c>
      <c r="R11" s="6"/>
      <c r="S11" s="6"/>
      <c r="T11" s="156"/>
      <c r="U11" s="6"/>
    </row>
    <row r="12" spans="1:21" customFormat="1">
      <c r="A12" s="163" t="s">
        <v>2354</v>
      </c>
      <c r="B12" s="100">
        <v>28.45</v>
      </c>
      <c r="C12" s="100">
        <v>30.97</v>
      </c>
      <c r="D12" s="100">
        <v>40.35</v>
      </c>
      <c r="E12" s="100">
        <v>8.59</v>
      </c>
      <c r="F12" s="100">
        <v>1.19</v>
      </c>
      <c r="G12" s="100">
        <v>144</v>
      </c>
      <c r="H12" s="100">
        <v>30.84</v>
      </c>
      <c r="I12" s="100">
        <v>13.81</v>
      </c>
      <c r="J12" s="100">
        <v>0.21</v>
      </c>
      <c r="K12" s="100">
        <v>163.19</v>
      </c>
      <c r="L12" s="100">
        <v>17.07</v>
      </c>
      <c r="M12" s="100">
        <v>84.81</v>
      </c>
      <c r="N12" s="100">
        <v>1.3</v>
      </c>
      <c r="O12" s="100">
        <v>0</v>
      </c>
      <c r="P12" s="100">
        <v>1.17</v>
      </c>
      <c r="Q12" s="100">
        <v>12.24</v>
      </c>
      <c r="R12" s="6"/>
      <c r="S12" s="6"/>
      <c r="T12" s="156"/>
      <c r="U12" s="6"/>
    </row>
    <row r="13" spans="1:21" customFormat="1">
      <c r="A13" s="163" t="s">
        <v>2355</v>
      </c>
      <c r="B13" s="100">
        <v>30.31</v>
      </c>
      <c r="C13" s="100">
        <v>30.88</v>
      </c>
      <c r="D13" s="100">
        <v>41.79</v>
      </c>
      <c r="E13" s="100">
        <v>8.35</v>
      </c>
      <c r="F13" s="100">
        <v>3.62</v>
      </c>
      <c r="G13" s="100">
        <v>144</v>
      </c>
      <c r="H13" s="100">
        <v>30.84</v>
      </c>
      <c r="I13" s="100">
        <v>13.91</v>
      </c>
      <c r="J13" s="100">
        <v>0.18</v>
      </c>
      <c r="K13" s="100">
        <v>180.74</v>
      </c>
      <c r="L13" s="100">
        <v>16.79</v>
      </c>
      <c r="M13" s="100">
        <v>86.67</v>
      </c>
      <c r="N13" s="100">
        <v>1.4</v>
      </c>
      <c r="O13" s="100">
        <v>0</v>
      </c>
      <c r="P13" s="100">
        <v>1.18</v>
      </c>
      <c r="Q13" s="100">
        <v>12.24</v>
      </c>
      <c r="R13" s="6"/>
      <c r="S13" s="6"/>
      <c r="T13" s="156"/>
      <c r="U13" s="6"/>
    </row>
    <row r="14" spans="1:21" customFormat="1">
      <c r="A14" s="163" t="s">
        <v>2356</v>
      </c>
      <c r="B14" s="100">
        <v>31.77</v>
      </c>
      <c r="C14" s="100">
        <v>30.64</v>
      </c>
      <c r="D14" s="100">
        <v>42.84</v>
      </c>
      <c r="E14" s="100">
        <v>8.4499999999999993</v>
      </c>
      <c r="F14" s="100">
        <v>2.12</v>
      </c>
      <c r="G14" s="100">
        <v>130.01</v>
      </c>
      <c r="H14" s="100">
        <v>31.28</v>
      </c>
      <c r="I14" s="100">
        <v>14.02</v>
      </c>
      <c r="J14" s="100">
        <v>0.15</v>
      </c>
      <c r="K14" s="100">
        <v>4.7300000000000004</v>
      </c>
      <c r="L14" s="100">
        <v>16.649999999999999</v>
      </c>
      <c r="M14" s="100">
        <v>85.74</v>
      </c>
      <c r="N14" s="100">
        <v>1</v>
      </c>
      <c r="O14" s="100">
        <v>0</v>
      </c>
      <c r="P14" s="100">
        <v>1.2</v>
      </c>
      <c r="Q14" s="100">
        <v>12.24</v>
      </c>
      <c r="R14" s="6"/>
      <c r="S14" s="6"/>
      <c r="T14" s="156"/>
      <c r="U14" s="6"/>
    </row>
    <row r="15" spans="1:21" customFormat="1">
      <c r="A15" s="163" t="s">
        <v>2357</v>
      </c>
      <c r="B15" s="100">
        <v>34.6</v>
      </c>
      <c r="C15" s="100">
        <v>30.86</v>
      </c>
      <c r="D15" s="100">
        <v>45.22</v>
      </c>
      <c r="E15" s="100">
        <v>8.2200000000000006</v>
      </c>
      <c r="F15" s="100">
        <v>1.87</v>
      </c>
      <c r="G15" s="100">
        <v>121.51</v>
      </c>
      <c r="H15" s="100">
        <v>31.38</v>
      </c>
      <c r="I15" s="100">
        <v>14.08</v>
      </c>
      <c r="J15" s="100">
        <v>0.23</v>
      </c>
      <c r="K15" s="100">
        <v>71.63</v>
      </c>
      <c r="L15" s="100">
        <v>17.399999999999999</v>
      </c>
      <c r="M15" s="100">
        <v>77.52</v>
      </c>
      <c r="N15" s="100">
        <v>0.6</v>
      </c>
      <c r="O15" s="100">
        <v>0</v>
      </c>
      <c r="P15" s="100">
        <v>1.22</v>
      </c>
      <c r="Q15" s="100">
        <v>12.24</v>
      </c>
      <c r="R15" s="6"/>
      <c r="S15" s="6"/>
      <c r="T15" s="156"/>
      <c r="U15" s="6"/>
    </row>
    <row r="16" spans="1:21" customFormat="1">
      <c r="A16" s="163" t="s">
        <v>2358</v>
      </c>
      <c r="B16" s="100">
        <v>37.33</v>
      </c>
      <c r="C16" s="100">
        <v>31.14</v>
      </c>
      <c r="D16" s="100">
        <v>47.55</v>
      </c>
      <c r="E16" s="100">
        <v>8.25</v>
      </c>
      <c r="F16" s="100">
        <v>0.77</v>
      </c>
      <c r="G16" s="100">
        <v>121.51</v>
      </c>
      <c r="H16" s="100">
        <v>31.38</v>
      </c>
      <c r="I16" s="100">
        <v>14.2</v>
      </c>
      <c r="J16" s="100">
        <v>0.17</v>
      </c>
      <c r="K16" s="100">
        <v>147.22999999999999</v>
      </c>
      <c r="L16" s="100">
        <v>17.53</v>
      </c>
      <c r="M16" s="100">
        <v>76.48</v>
      </c>
      <c r="N16" s="100">
        <v>1.2</v>
      </c>
      <c r="O16" s="100">
        <v>0</v>
      </c>
      <c r="P16" s="100">
        <v>1.24</v>
      </c>
      <c r="Q16" s="100">
        <v>12.24</v>
      </c>
      <c r="R16" s="6"/>
      <c r="S16" s="6"/>
      <c r="T16" s="156"/>
      <c r="U16" s="6"/>
    </row>
    <row r="17" spans="1:21" customFormat="1">
      <c r="A17" s="163" t="s">
        <v>2359</v>
      </c>
      <c r="B17" s="100">
        <v>38.72</v>
      </c>
      <c r="C17" s="100">
        <v>31.1</v>
      </c>
      <c r="D17" s="100">
        <v>48.65</v>
      </c>
      <c r="E17" s="100">
        <v>8.5</v>
      </c>
      <c r="F17" s="100">
        <v>1.1599999999999999</v>
      </c>
      <c r="G17" s="100">
        <v>121.51</v>
      </c>
      <c r="H17" s="100">
        <v>31.38</v>
      </c>
      <c r="I17" s="100">
        <v>14.55</v>
      </c>
      <c r="J17" s="100">
        <v>0.19</v>
      </c>
      <c r="K17" s="100">
        <v>191.14</v>
      </c>
      <c r="L17" s="100">
        <v>16.940000000000001</v>
      </c>
      <c r="M17" s="100">
        <v>83.07</v>
      </c>
      <c r="N17" s="100">
        <v>1.7</v>
      </c>
      <c r="O17" s="100">
        <v>0</v>
      </c>
      <c r="P17" s="100">
        <v>1.26</v>
      </c>
      <c r="Q17" s="100">
        <v>12.24</v>
      </c>
      <c r="R17" s="6"/>
      <c r="S17" s="6"/>
      <c r="T17" s="156"/>
      <c r="U17" s="6"/>
    </row>
    <row r="18" spans="1:21" customFormat="1">
      <c r="A18" s="163" t="s">
        <v>2360</v>
      </c>
      <c r="B18" s="100">
        <v>39.14</v>
      </c>
      <c r="C18" s="100">
        <v>30.34</v>
      </c>
      <c r="D18" s="100">
        <v>48.59</v>
      </c>
      <c r="E18" s="100">
        <v>10.029999999999999</v>
      </c>
      <c r="F18" s="100">
        <v>1.88</v>
      </c>
      <c r="G18" s="100">
        <v>132</v>
      </c>
      <c r="H18" s="100">
        <v>32.72</v>
      </c>
      <c r="I18" s="100">
        <v>15.01</v>
      </c>
      <c r="J18" s="100">
        <v>0.23</v>
      </c>
      <c r="K18" s="100">
        <v>210.42</v>
      </c>
      <c r="L18" s="100">
        <v>16.54</v>
      </c>
      <c r="M18" s="100">
        <v>85.14</v>
      </c>
      <c r="N18" s="100">
        <v>1.7</v>
      </c>
      <c r="O18" s="100">
        <v>0</v>
      </c>
      <c r="P18" s="100">
        <v>1.29</v>
      </c>
      <c r="Q18" s="100">
        <v>12.24</v>
      </c>
      <c r="R18" s="6"/>
      <c r="S18" s="6"/>
      <c r="T18" s="156"/>
      <c r="U18" s="6"/>
    </row>
    <row r="19" spans="1:21" customFormat="1">
      <c r="A19" s="163" t="s">
        <v>2361</v>
      </c>
      <c r="B19" s="100">
        <v>38.909999999999997</v>
      </c>
      <c r="C19" s="100">
        <v>29.89</v>
      </c>
      <c r="D19" s="100">
        <v>48.16</v>
      </c>
      <c r="E19" s="100">
        <v>10.44</v>
      </c>
      <c r="F19" s="100">
        <v>1.07</v>
      </c>
      <c r="G19" s="100">
        <v>138.38</v>
      </c>
      <c r="H19" s="100">
        <v>33.33</v>
      </c>
      <c r="I19" s="100">
        <v>15.42</v>
      </c>
      <c r="J19" s="100">
        <v>0.12</v>
      </c>
      <c r="K19" s="100">
        <v>236.56</v>
      </c>
      <c r="L19" s="100">
        <v>16.04</v>
      </c>
      <c r="M19" s="100">
        <v>86.93</v>
      </c>
      <c r="N19" s="100">
        <v>1.6</v>
      </c>
      <c r="O19" s="100">
        <v>0</v>
      </c>
      <c r="P19" s="100">
        <v>1.3</v>
      </c>
      <c r="Q19" s="100">
        <v>12.24</v>
      </c>
      <c r="R19" s="6"/>
      <c r="S19" s="6"/>
      <c r="T19" s="156"/>
      <c r="U19" s="6"/>
    </row>
    <row r="20" spans="1:21" customFormat="1">
      <c r="A20" s="163" t="s">
        <v>2362</v>
      </c>
      <c r="B20" s="100">
        <v>39.130000000000003</v>
      </c>
      <c r="C20" s="100">
        <v>29.85</v>
      </c>
      <c r="D20" s="100">
        <v>48.32</v>
      </c>
      <c r="E20" s="100">
        <v>9.92</v>
      </c>
      <c r="F20" s="100">
        <v>1.85</v>
      </c>
      <c r="G20" s="100">
        <v>138.38</v>
      </c>
      <c r="H20" s="100">
        <v>33.33</v>
      </c>
      <c r="I20" s="100">
        <v>15.82</v>
      </c>
      <c r="J20" s="100">
        <v>0.1</v>
      </c>
      <c r="K20" s="100">
        <v>201.3</v>
      </c>
      <c r="L20" s="100">
        <v>16.04</v>
      </c>
      <c r="M20" s="100">
        <v>84.99</v>
      </c>
      <c r="N20" s="100">
        <v>1.3</v>
      </c>
      <c r="O20" s="100">
        <v>0</v>
      </c>
      <c r="P20" s="100">
        <v>1.31</v>
      </c>
      <c r="Q20" s="100">
        <v>12.24</v>
      </c>
      <c r="R20" s="6"/>
      <c r="S20" s="6"/>
      <c r="T20" s="156"/>
      <c r="U20" s="6"/>
    </row>
    <row r="21" spans="1:21" customFormat="1">
      <c r="A21" s="163" t="s">
        <v>2363</v>
      </c>
      <c r="B21" s="100">
        <v>41.15</v>
      </c>
      <c r="C21" s="100">
        <v>29.84</v>
      </c>
      <c r="D21" s="100">
        <v>49.94</v>
      </c>
      <c r="E21" s="100">
        <v>10.14</v>
      </c>
      <c r="F21" s="100">
        <v>1.42</v>
      </c>
      <c r="G21" s="100">
        <v>138.38</v>
      </c>
      <c r="H21" s="100">
        <v>33.33</v>
      </c>
      <c r="I21" s="100">
        <v>16.16</v>
      </c>
      <c r="J21" s="100">
        <v>0.14000000000000001</v>
      </c>
      <c r="K21" s="100">
        <v>159.11000000000001</v>
      </c>
      <c r="L21" s="100">
        <v>16.18</v>
      </c>
      <c r="M21" s="100">
        <v>83.99</v>
      </c>
      <c r="N21" s="100">
        <v>1.1000000000000001</v>
      </c>
      <c r="O21" s="100">
        <v>0</v>
      </c>
      <c r="P21" s="100">
        <v>1.32</v>
      </c>
      <c r="Q21" s="100">
        <v>12.24</v>
      </c>
      <c r="R21" s="6"/>
      <c r="S21" s="6"/>
      <c r="T21" s="156"/>
      <c r="U21" s="6"/>
    </row>
    <row r="22" spans="1:21" customFormat="1">
      <c r="A22" s="163" t="s">
        <v>2364</v>
      </c>
      <c r="B22" s="100">
        <v>43.81</v>
      </c>
      <c r="C22" s="100">
        <v>29.88</v>
      </c>
      <c r="D22" s="100">
        <v>52.09</v>
      </c>
      <c r="E22" s="100">
        <v>9.86</v>
      </c>
      <c r="F22" s="100">
        <v>0.46</v>
      </c>
      <c r="G22" s="100">
        <v>134.97999999999999</v>
      </c>
      <c r="H22" s="100">
        <v>33.18</v>
      </c>
      <c r="I22" s="100">
        <v>16.420000000000002</v>
      </c>
      <c r="J22" s="100">
        <v>0.18</v>
      </c>
      <c r="K22" s="100">
        <v>198.89</v>
      </c>
      <c r="L22" s="100">
        <v>16.190000000000001</v>
      </c>
      <c r="M22" s="100">
        <v>85.85</v>
      </c>
      <c r="N22" s="100">
        <v>1.3</v>
      </c>
      <c r="O22" s="100">
        <v>0</v>
      </c>
      <c r="P22" s="100">
        <v>1.34</v>
      </c>
      <c r="Q22" s="100">
        <v>12.24</v>
      </c>
      <c r="R22" s="6"/>
      <c r="S22" s="6"/>
      <c r="T22" s="156"/>
      <c r="U22" s="6"/>
    </row>
    <row r="23" spans="1:21" customFormat="1">
      <c r="A23" s="163" t="s">
        <v>2365</v>
      </c>
      <c r="B23" s="100">
        <v>45.08</v>
      </c>
      <c r="C23" s="100">
        <v>29.66</v>
      </c>
      <c r="D23" s="100">
        <v>53</v>
      </c>
      <c r="E23" s="100">
        <v>10.42</v>
      </c>
      <c r="F23" s="100">
        <v>1.3</v>
      </c>
      <c r="G23" s="100">
        <v>132.91</v>
      </c>
      <c r="H23" s="100">
        <v>33.15</v>
      </c>
      <c r="I23" s="100">
        <v>16.59</v>
      </c>
      <c r="J23" s="100">
        <v>0.11</v>
      </c>
      <c r="K23" s="100">
        <v>150.88999999999999</v>
      </c>
      <c r="L23" s="100">
        <v>15.93</v>
      </c>
      <c r="M23" s="100">
        <v>88.29</v>
      </c>
      <c r="N23" s="100">
        <v>1.3</v>
      </c>
      <c r="O23" s="100">
        <v>0</v>
      </c>
      <c r="P23" s="100">
        <v>1.33</v>
      </c>
      <c r="Q23" s="100">
        <v>12.24</v>
      </c>
      <c r="R23" s="6"/>
      <c r="S23" s="6"/>
      <c r="T23" s="156"/>
      <c r="U23" s="6"/>
    </row>
    <row r="24" spans="1:21" customFormat="1">
      <c r="A24" s="163" t="s">
        <v>2366</v>
      </c>
      <c r="B24" s="100">
        <v>46.13</v>
      </c>
      <c r="C24" s="100">
        <v>29.24</v>
      </c>
      <c r="D24" s="100">
        <v>53.62</v>
      </c>
      <c r="E24" s="100">
        <v>10.54</v>
      </c>
      <c r="F24" s="100">
        <v>0.84</v>
      </c>
      <c r="G24" s="100">
        <v>132.91</v>
      </c>
      <c r="H24" s="100">
        <v>33.15</v>
      </c>
      <c r="I24" s="100">
        <v>16.829999999999998</v>
      </c>
      <c r="J24" s="100">
        <v>0.19</v>
      </c>
      <c r="K24" s="100">
        <v>88.74</v>
      </c>
      <c r="L24" s="100">
        <v>16.260000000000002</v>
      </c>
      <c r="M24" s="100">
        <v>88.93</v>
      </c>
      <c r="N24" s="100">
        <v>1.1000000000000001</v>
      </c>
      <c r="O24" s="100">
        <v>0</v>
      </c>
      <c r="P24" s="100">
        <v>1.33</v>
      </c>
      <c r="Q24" s="100">
        <v>12.24</v>
      </c>
      <c r="R24" s="6"/>
      <c r="S24" s="6"/>
      <c r="T24" s="156"/>
      <c r="U24" s="6"/>
    </row>
    <row r="25" spans="1:21" customFormat="1">
      <c r="A25" s="163" t="s">
        <v>2367</v>
      </c>
      <c r="B25" s="100">
        <v>48.23</v>
      </c>
      <c r="C25" s="100">
        <v>29.25</v>
      </c>
      <c r="D25" s="100">
        <v>55.31</v>
      </c>
      <c r="E25" s="100">
        <v>10.67</v>
      </c>
      <c r="F25" s="100">
        <v>0.96</v>
      </c>
      <c r="G25" s="100">
        <v>132.91</v>
      </c>
      <c r="H25" s="100">
        <v>33.15</v>
      </c>
      <c r="I25" s="100">
        <v>16.98</v>
      </c>
      <c r="J25" s="100">
        <v>0.11</v>
      </c>
      <c r="K25" s="100">
        <v>110.01</v>
      </c>
      <c r="L25" s="100">
        <v>16.510000000000002</v>
      </c>
      <c r="M25" s="100">
        <v>91.75</v>
      </c>
      <c r="N25" s="100">
        <v>1</v>
      </c>
      <c r="O25" s="100">
        <v>0</v>
      </c>
      <c r="P25" s="100">
        <v>1.34</v>
      </c>
      <c r="Q25" s="100">
        <v>12.24</v>
      </c>
      <c r="R25" s="6"/>
      <c r="S25" s="6"/>
      <c r="T25" s="156"/>
      <c r="U25" s="6"/>
    </row>
    <row r="26" spans="1:21" customFormat="1">
      <c r="A26" s="163" t="s">
        <v>2368</v>
      </c>
      <c r="B26" s="100">
        <v>49.76</v>
      </c>
      <c r="C26" s="100">
        <v>29.35</v>
      </c>
      <c r="D26" s="100">
        <v>56.59</v>
      </c>
      <c r="E26" s="100">
        <v>10.74</v>
      </c>
      <c r="F26" s="100">
        <v>0.73</v>
      </c>
      <c r="G26" s="100">
        <v>125.81</v>
      </c>
      <c r="H26" s="100">
        <v>32.36</v>
      </c>
      <c r="I26" s="100">
        <v>17.16</v>
      </c>
      <c r="J26" s="100">
        <v>0.18</v>
      </c>
      <c r="K26" s="100">
        <v>155.77000000000001</v>
      </c>
      <c r="L26" s="100">
        <v>16.64</v>
      </c>
      <c r="M26" s="100">
        <v>92.39</v>
      </c>
      <c r="N26" s="100">
        <v>1.3</v>
      </c>
      <c r="O26" s="100">
        <v>0</v>
      </c>
      <c r="P26" s="100">
        <v>1.35</v>
      </c>
      <c r="Q26" s="100">
        <v>12.24</v>
      </c>
      <c r="R26" s="6"/>
      <c r="S26" s="6"/>
      <c r="T26" s="156"/>
      <c r="U26" s="6"/>
    </row>
    <row r="27" spans="1:21" customFormat="1">
      <c r="A27" s="163" t="s">
        <v>2369</v>
      </c>
      <c r="B27" s="100">
        <v>49.97</v>
      </c>
      <c r="C27" s="100">
        <v>29.35</v>
      </c>
      <c r="D27" s="100">
        <v>56.76</v>
      </c>
      <c r="E27" s="100">
        <v>10.65</v>
      </c>
      <c r="F27" s="100">
        <v>1.48</v>
      </c>
      <c r="G27" s="100">
        <v>121.49</v>
      </c>
      <c r="H27" s="100">
        <v>32.19</v>
      </c>
      <c r="I27" s="100">
        <v>17.34</v>
      </c>
      <c r="J27" s="100">
        <v>0.25</v>
      </c>
      <c r="K27" s="100">
        <v>176.58</v>
      </c>
      <c r="L27" s="100">
        <v>16.21</v>
      </c>
      <c r="M27" s="100">
        <v>91.01</v>
      </c>
      <c r="N27" s="100">
        <v>1.5</v>
      </c>
      <c r="O27" s="100">
        <v>0</v>
      </c>
      <c r="P27" s="100">
        <v>1.34</v>
      </c>
      <c r="Q27" s="100">
        <v>12.24</v>
      </c>
      <c r="R27" s="6"/>
      <c r="S27" s="6"/>
      <c r="T27" s="156"/>
      <c r="U27" s="6"/>
    </row>
    <row r="28" spans="1:21" customFormat="1">
      <c r="A28" s="163" t="s">
        <v>2370</v>
      </c>
      <c r="B28" s="100">
        <v>49.79</v>
      </c>
      <c r="C28" s="100">
        <v>29.05</v>
      </c>
      <c r="D28" s="100">
        <v>56.46</v>
      </c>
      <c r="E28" s="100">
        <v>10.45</v>
      </c>
      <c r="F28" s="100">
        <v>1.23</v>
      </c>
      <c r="G28" s="100">
        <v>121.49</v>
      </c>
      <c r="H28" s="100">
        <v>32.19</v>
      </c>
      <c r="I28" s="100">
        <v>17.53</v>
      </c>
      <c r="J28" s="100">
        <v>0.19</v>
      </c>
      <c r="K28" s="100">
        <v>194.24</v>
      </c>
      <c r="L28" s="100">
        <v>15.68</v>
      </c>
      <c r="M28" s="100">
        <v>89.16</v>
      </c>
      <c r="N28" s="100">
        <v>1.6</v>
      </c>
      <c r="O28" s="100">
        <v>0</v>
      </c>
      <c r="P28" s="100">
        <v>1.34</v>
      </c>
      <c r="Q28" s="100">
        <v>12.24</v>
      </c>
      <c r="R28" s="6"/>
      <c r="S28" s="6"/>
      <c r="T28" s="156"/>
      <c r="U28" s="6"/>
    </row>
    <row r="29" spans="1:21" customFormat="1">
      <c r="A29" s="163" t="s">
        <v>2371</v>
      </c>
      <c r="B29" s="100">
        <v>49.13</v>
      </c>
      <c r="C29" s="100">
        <v>28.77</v>
      </c>
      <c r="D29" s="100">
        <v>55.78</v>
      </c>
      <c r="E29" s="100">
        <v>10.3</v>
      </c>
      <c r="F29" s="100">
        <v>0.5</v>
      </c>
      <c r="G29" s="100">
        <v>121.49</v>
      </c>
      <c r="H29" s="100">
        <v>32.19</v>
      </c>
      <c r="I29" s="100">
        <v>17.690000000000001</v>
      </c>
      <c r="J29" s="100">
        <v>0.15</v>
      </c>
      <c r="K29" s="100">
        <v>206.04</v>
      </c>
      <c r="L29" s="100">
        <v>15.26</v>
      </c>
      <c r="M29" s="100">
        <v>90.37</v>
      </c>
      <c r="N29" s="100">
        <v>1.6</v>
      </c>
      <c r="O29" s="100">
        <v>0</v>
      </c>
      <c r="P29" s="100">
        <v>1.34</v>
      </c>
      <c r="Q29" s="100">
        <v>12.24</v>
      </c>
      <c r="R29" s="6"/>
      <c r="S29" s="6"/>
      <c r="T29" s="156"/>
      <c r="U29" s="6"/>
    </row>
    <row r="30" spans="1:21" customFormat="1">
      <c r="A30" s="163" t="s">
        <v>2372</v>
      </c>
      <c r="B30" s="100">
        <v>48.33</v>
      </c>
      <c r="C30" s="100">
        <v>28.39</v>
      </c>
      <c r="D30" s="100">
        <v>54.94</v>
      </c>
      <c r="E30" s="100">
        <v>10.18</v>
      </c>
      <c r="F30" s="100">
        <v>2.91</v>
      </c>
      <c r="G30" s="100">
        <v>115.62</v>
      </c>
      <c r="H30" s="100">
        <v>31.37</v>
      </c>
      <c r="I30" s="100">
        <v>17.829999999999998</v>
      </c>
      <c r="J30" s="100">
        <v>0.14000000000000001</v>
      </c>
      <c r="K30" s="100">
        <v>188.31</v>
      </c>
      <c r="L30" s="100">
        <v>15.22</v>
      </c>
      <c r="M30" s="100">
        <v>91.67</v>
      </c>
      <c r="N30" s="100">
        <v>1.3</v>
      </c>
      <c r="O30" s="100">
        <v>0</v>
      </c>
      <c r="P30" s="100">
        <v>1.34</v>
      </c>
      <c r="Q30" s="100">
        <v>12.24</v>
      </c>
      <c r="R30" s="6"/>
      <c r="S30" s="6"/>
      <c r="T30" s="156"/>
      <c r="U30" s="6"/>
    </row>
    <row r="31" spans="1:21" customFormat="1">
      <c r="A31" s="163" t="s">
        <v>2373</v>
      </c>
      <c r="B31" s="100">
        <v>47.54</v>
      </c>
      <c r="C31" s="100">
        <v>27.92</v>
      </c>
      <c r="D31" s="100">
        <v>54.06</v>
      </c>
      <c r="E31" s="100">
        <v>10.23</v>
      </c>
      <c r="F31" s="100">
        <v>2.31</v>
      </c>
      <c r="G31" s="100">
        <v>112.05</v>
      </c>
      <c r="H31" s="100">
        <v>31.2</v>
      </c>
      <c r="I31" s="100">
        <v>17.88</v>
      </c>
      <c r="J31" s="100">
        <v>0.13</v>
      </c>
      <c r="K31" s="100">
        <v>215.42</v>
      </c>
      <c r="L31" s="100">
        <v>15.08</v>
      </c>
      <c r="M31" s="100">
        <v>101.93</v>
      </c>
      <c r="N31" s="100">
        <v>1.3</v>
      </c>
      <c r="O31" s="100">
        <v>0</v>
      </c>
      <c r="P31" s="100">
        <v>1.33</v>
      </c>
      <c r="Q31" s="100">
        <v>12.24</v>
      </c>
      <c r="R31" s="6"/>
      <c r="S31" s="6"/>
      <c r="T31" s="156"/>
      <c r="U31" s="6"/>
    </row>
    <row r="32" spans="1:21" customFormat="1">
      <c r="A32" s="163" t="s">
        <v>2374</v>
      </c>
      <c r="B32" s="100">
        <v>46.8</v>
      </c>
      <c r="C32" s="100">
        <v>27.66</v>
      </c>
      <c r="D32" s="100">
        <v>53.33</v>
      </c>
      <c r="E32" s="100">
        <v>10.1</v>
      </c>
      <c r="F32" s="100">
        <v>3.05</v>
      </c>
      <c r="G32" s="100">
        <v>112.05</v>
      </c>
      <c r="H32" s="100">
        <v>31.2</v>
      </c>
      <c r="I32" s="100">
        <v>17.95</v>
      </c>
      <c r="J32" s="100">
        <v>0.15</v>
      </c>
      <c r="K32" s="100">
        <v>203.58</v>
      </c>
      <c r="L32" s="100">
        <v>14.98</v>
      </c>
      <c r="M32" s="100">
        <v>103</v>
      </c>
      <c r="N32" s="100">
        <v>1.3</v>
      </c>
      <c r="O32" s="100">
        <v>0</v>
      </c>
      <c r="P32" s="100">
        <v>1.33</v>
      </c>
      <c r="Q32" s="100">
        <v>12.24</v>
      </c>
      <c r="R32" s="6"/>
      <c r="S32" s="6"/>
      <c r="T32" s="156"/>
      <c r="U32" s="6"/>
    </row>
    <row r="33" spans="1:21" customFormat="1">
      <c r="A33" s="163" t="s">
        <v>2375</v>
      </c>
      <c r="B33" s="100">
        <v>46.01</v>
      </c>
      <c r="C33" s="100">
        <v>27.41</v>
      </c>
      <c r="D33" s="100">
        <v>52.57</v>
      </c>
      <c r="E33" s="100">
        <v>9.99</v>
      </c>
      <c r="F33" s="100">
        <v>0.27</v>
      </c>
      <c r="G33" s="100">
        <v>112.05</v>
      </c>
      <c r="H33" s="100">
        <v>31.2</v>
      </c>
      <c r="I33" s="100">
        <v>18.03</v>
      </c>
      <c r="J33" s="100">
        <v>0.17</v>
      </c>
      <c r="K33" s="100">
        <v>219.35</v>
      </c>
      <c r="L33" s="100">
        <v>14.81</v>
      </c>
      <c r="M33" s="100">
        <v>92.26</v>
      </c>
      <c r="N33" s="100">
        <v>1.3</v>
      </c>
      <c r="O33" s="100">
        <v>0</v>
      </c>
      <c r="P33" s="100">
        <v>1.32</v>
      </c>
      <c r="Q33" s="100">
        <v>12.24</v>
      </c>
      <c r="R33" s="6"/>
      <c r="S33" s="6"/>
      <c r="T33" s="156"/>
      <c r="U33" s="6"/>
    </row>
    <row r="34" spans="1:21" customFormat="1">
      <c r="A34" s="163" t="s">
        <v>2376</v>
      </c>
      <c r="B34" s="100">
        <v>45.11</v>
      </c>
      <c r="C34" s="100">
        <v>27.1</v>
      </c>
      <c r="D34" s="100">
        <v>51.69</v>
      </c>
      <c r="E34" s="100">
        <v>9.98</v>
      </c>
      <c r="F34" s="100">
        <v>1.66</v>
      </c>
      <c r="G34" s="100">
        <v>112.65</v>
      </c>
      <c r="H34" s="100">
        <v>32.47</v>
      </c>
      <c r="I34" s="100">
        <v>18.03</v>
      </c>
      <c r="J34" s="100">
        <v>0.12</v>
      </c>
      <c r="K34" s="100">
        <v>192.76</v>
      </c>
      <c r="L34" s="100">
        <v>14.61</v>
      </c>
      <c r="M34" s="100">
        <v>97.06</v>
      </c>
      <c r="N34" s="100">
        <v>1.5</v>
      </c>
      <c r="O34" s="100">
        <v>0</v>
      </c>
      <c r="P34" s="100">
        <v>1.32</v>
      </c>
      <c r="Q34" s="100">
        <v>12.24</v>
      </c>
      <c r="R34" s="6"/>
      <c r="S34" s="6"/>
      <c r="T34" s="156"/>
      <c r="U34" s="6"/>
    </row>
    <row r="35" spans="1:21" customFormat="1">
      <c r="A35" s="163" t="s">
        <v>2377</v>
      </c>
      <c r="B35" s="100">
        <v>44.22</v>
      </c>
      <c r="C35" s="100">
        <v>26.92</v>
      </c>
      <c r="D35" s="100">
        <v>50.88</v>
      </c>
      <c r="E35" s="100">
        <v>10.199999999999999</v>
      </c>
      <c r="F35" s="100">
        <v>0.48</v>
      </c>
      <c r="G35" s="100">
        <v>113.02</v>
      </c>
      <c r="H35" s="100">
        <v>32.75</v>
      </c>
      <c r="I35" s="100">
        <v>18</v>
      </c>
      <c r="J35" s="100">
        <v>0.24</v>
      </c>
      <c r="K35" s="100">
        <v>203.27</v>
      </c>
      <c r="L35" s="100">
        <v>14.51</v>
      </c>
      <c r="M35" s="100">
        <v>92.72</v>
      </c>
      <c r="N35" s="100">
        <v>2.9</v>
      </c>
      <c r="O35" s="100">
        <v>0</v>
      </c>
      <c r="P35" s="100">
        <v>1.31</v>
      </c>
      <c r="Q35" s="100">
        <v>12.24</v>
      </c>
      <c r="R35" s="6"/>
      <c r="S35" s="6"/>
      <c r="T35" s="156"/>
      <c r="U35" s="6"/>
    </row>
    <row r="36" spans="1:21" customFormat="1">
      <c r="A36" s="163" t="s">
        <v>2378</v>
      </c>
      <c r="B36" s="100">
        <v>43.55</v>
      </c>
      <c r="C36" s="100">
        <v>26.49</v>
      </c>
      <c r="D36" s="100">
        <v>50.11</v>
      </c>
      <c r="E36" s="100">
        <v>10</v>
      </c>
      <c r="F36" s="100">
        <v>0.46</v>
      </c>
      <c r="G36" s="100">
        <v>113.02</v>
      </c>
      <c r="H36" s="100">
        <v>32.75</v>
      </c>
      <c r="I36" s="100">
        <v>17.989999999999998</v>
      </c>
      <c r="J36" s="100">
        <v>0.13</v>
      </c>
      <c r="K36" s="100">
        <v>184.5</v>
      </c>
      <c r="L36" s="100">
        <v>14.42</v>
      </c>
      <c r="M36" s="100">
        <v>92.55</v>
      </c>
      <c r="N36" s="100">
        <v>7</v>
      </c>
      <c r="O36" s="100">
        <v>0</v>
      </c>
      <c r="P36" s="100">
        <v>1.3</v>
      </c>
      <c r="Q36" s="100">
        <v>12.24</v>
      </c>
      <c r="R36" s="6"/>
      <c r="S36" s="6"/>
      <c r="T36" s="156"/>
      <c r="U36" s="6"/>
    </row>
    <row r="37" spans="1:21" customFormat="1">
      <c r="A37" s="163" t="s">
        <v>2379</v>
      </c>
      <c r="B37" s="100">
        <v>42.66</v>
      </c>
      <c r="C37" s="100">
        <v>26.33</v>
      </c>
      <c r="D37" s="100">
        <v>49.32</v>
      </c>
      <c r="E37" s="100">
        <v>9.93</v>
      </c>
      <c r="F37" s="100">
        <v>2.62</v>
      </c>
      <c r="G37" s="100">
        <v>113.02</v>
      </c>
      <c r="H37" s="100">
        <v>32.75</v>
      </c>
      <c r="I37" s="100">
        <v>17.98</v>
      </c>
      <c r="J37" s="100">
        <v>0.16</v>
      </c>
      <c r="K37" s="100">
        <v>248.02</v>
      </c>
      <c r="L37" s="100">
        <v>14.69</v>
      </c>
      <c r="M37" s="100">
        <v>92.25</v>
      </c>
      <c r="N37" s="100">
        <v>12.8</v>
      </c>
      <c r="O37" s="100">
        <v>0</v>
      </c>
      <c r="P37" s="100">
        <v>1.3</v>
      </c>
      <c r="Q37" s="100">
        <v>12.24</v>
      </c>
      <c r="R37" s="6"/>
      <c r="S37" s="6"/>
      <c r="T37" s="156"/>
      <c r="U37" s="6"/>
    </row>
    <row r="38" spans="1:21" customFormat="1">
      <c r="A38" s="163" t="s">
        <v>2380</v>
      </c>
      <c r="B38" s="100">
        <v>41.84</v>
      </c>
      <c r="C38" s="100">
        <v>26.68</v>
      </c>
      <c r="D38" s="100">
        <v>48.84</v>
      </c>
      <c r="E38" s="100">
        <v>10.36</v>
      </c>
      <c r="F38" s="100">
        <v>1.92</v>
      </c>
      <c r="G38" s="100">
        <v>110.52</v>
      </c>
      <c r="H38" s="100">
        <v>29.64</v>
      </c>
      <c r="I38" s="100">
        <v>17.97</v>
      </c>
      <c r="J38" s="100">
        <v>0.08</v>
      </c>
      <c r="K38" s="100">
        <v>214.54</v>
      </c>
      <c r="L38" s="100">
        <v>15.04</v>
      </c>
      <c r="M38" s="100">
        <v>90.74</v>
      </c>
      <c r="N38" s="100">
        <v>20.5</v>
      </c>
      <c r="O38" s="100">
        <v>0</v>
      </c>
      <c r="P38" s="100">
        <v>1.31</v>
      </c>
      <c r="Q38" s="100">
        <v>12.24</v>
      </c>
      <c r="R38" s="6"/>
      <c r="S38" s="6"/>
      <c r="T38" s="156"/>
      <c r="U38" s="6"/>
    </row>
    <row r="39" spans="1:21" customFormat="1">
      <c r="A39" s="163" t="s">
        <v>2381</v>
      </c>
      <c r="B39" s="100">
        <v>40.85</v>
      </c>
      <c r="C39" s="100">
        <v>26.95</v>
      </c>
      <c r="D39" s="100">
        <v>48.2</v>
      </c>
      <c r="E39" s="100">
        <v>10.41</v>
      </c>
      <c r="F39" s="100">
        <v>2.52</v>
      </c>
      <c r="G39" s="100">
        <v>109</v>
      </c>
      <c r="H39" s="100">
        <v>28.96</v>
      </c>
      <c r="I39" s="100">
        <v>18.05</v>
      </c>
      <c r="J39" s="100">
        <v>0.13</v>
      </c>
      <c r="K39" s="100">
        <v>114.43</v>
      </c>
      <c r="L39" s="100">
        <v>15.91</v>
      </c>
      <c r="M39" s="100">
        <v>86.79</v>
      </c>
      <c r="N39" s="100">
        <v>28.9</v>
      </c>
      <c r="O39" s="100">
        <v>0</v>
      </c>
      <c r="P39" s="100">
        <v>1.29</v>
      </c>
      <c r="Q39" s="100">
        <v>12.24</v>
      </c>
      <c r="R39" s="6"/>
      <c r="S39" s="6"/>
      <c r="T39" s="156"/>
      <c r="U39" s="6"/>
    </row>
    <row r="40" spans="1:21" customFormat="1">
      <c r="A40" s="163" t="s">
        <v>2382</v>
      </c>
      <c r="B40" s="100">
        <v>39.479999999999997</v>
      </c>
      <c r="C40" s="100">
        <v>27.49</v>
      </c>
      <c r="D40" s="100">
        <v>47.38</v>
      </c>
      <c r="E40" s="100">
        <v>10.07</v>
      </c>
      <c r="F40" s="100">
        <v>1.26</v>
      </c>
      <c r="G40" s="100">
        <v>109</v>
      </c>
      <c r="H40" s="100">
        <v>28.96</v>
      </c>
      <c r="I40" s="100">
        <v>18.21</v>
      </c>
      <c r="J40" s="100">
        <v>0.12</v>
      </c>
      <c r="K40" s="100">
        <v>130.72</v>
      </c>
      <c r="L40" s="100">
        <v>16.95</v>
      </c>
      <c r="M40" s="100">
        <v>82.13</v>
      </c>
      <c r="N40" s="100">
        <v>37.200000000000003</v>
      </c>
      <c r="O40" s="100">
        <v>0</v>
      </c>
      <c r="P40" s="100">
        <v>1.28</v>
      </c>
      <c r="Q40" s="100">
        <v>12.24</v>
      </c>
      <c r="R40" s="6"/>
      <c r="S40" s="6"/>
      <c r="T40" s="156"/>
      <c r="U40" s="6"/>
    </row>
    <row r="41" spans="1:21" customFormat="1">
      <c r="A41" s="163" t="s">
        <v>2383</v>
      </c>
      <c r="B41" s="100">
        <v>37.82</v>
      </c>
      <c r="C41" s="100">
        <v>28.12</v>
      </c>
      <c r="D41" s="100">
        <v>46.37</v>
      </c>
      <c r="E41" s="100">
        <v>10.29</v>
      </c>
      <c r="F41" s="100">
        <v>1.79</v>
      </c>
      <c r="G41" s="100">
        <v>109</v>
      </c>
      <c r="H41" s="100">
        <v>28.96</v>
      </c>
      <c r="I41" s="100">
        <v>18.39</v>
      </c>
      <c r="J41" s="100">
        <v>0.3</v>
      </c>
      <c r="K41" s="100">
        <v>146.09</v>
      </c>
      <c r="L41" s="100">
        <v>18.39</v>
      </c>
      <c r="M41" s="100">
        <v>74.17</v>
      </c>
      <c r="N41" s="100">
        <v>66.2</v>
      </c>
      <c r="O41" s="100">
        <v>0</v>
      </c>
      <c r="P41" s="100">
        <v>1.27</v>
      </c>
      <c r="Q41" s="100">
        <v>12.24</v>
      </c>
      <c r="R41" s="6"/>
      <c r="S41" s="6"/>
      <c r="T41" s="156"/>
      <c r="U41" s="6"/>
    </row>
    <row r="42" spans="1:21" customFormat="1">
      <c r="A42" s="163" t="s">
        <v>2384</v>
      </c>
      <c r="B42" s="100">
        <v>35.93</v>
      </c>
      <c r="C42" s="100">
        <v>28.86</v>
      </c>
      <c r="D42" s="100">
        <v>45.24</v>
      </c>
      <c r="E42" s="100">
        <v>10.19</v>
      </c>
      <c r="F42" s="100">
        <v>2.27</v>
      </c>
      <c r="G42" s="100">
        <v>110.4</v>
      </c>
      <c r="H42" s="100">
        <v>32.380000000000003</v>
      </c>
      <c r="I42" s="100">
        <v>18.68</v>
      </c>
      <c r="J42" s="100">
        <v>0.39</v>
      </c>
      <c r="K42" s="100">
        <v>151.47999999999999</v>
      </c>
      <c r="L42" s="100">
        <v>19.809999999999999</v>
      </c>
      <c r="M42" s="100">
        <v>67.05</v>
      </c>
      <c r="N42" s="100">
        <v>168.4</v>
      </c>
      <c r="O42" s="100">
        <v>0</v>
      </c>
      <c r="P42" s="100">
        <v>1.26</v>
      </c>
      <c r="Q42" s="100">
        <v>12.24</v>
      </c>
      <c r="R42" s="6"/>
      <c r="S42" s="6"/>
      <c r="T42" s="156"/>
      <c r="U42" s="6"/>
    </row>
    <row r="43" spans="1:21" customFormat="1">
      <c r="A43" s="163" t="s">
        <v>2385</v>
      </c>
      <c r="B43" s="100">
        <v>33.82</v>
      </c>
      <c r="C43" s="100">
        <v>29.8</v>
      </c>
      <c r="D43" s="100">
        <v>44.04</v>
      </c>
      <c r="E43" s="100">
        <v>10.73</v>
      </c>
      <c r="F43" s="100">
        <v>1.75</v>
      </c>
      <c r="G43" s="100">
        <v>111.25</v>
      </c>
      <c r="H43" s="100">
        <v>33.79</v>
      </c>
      <c r="I43" s="100">
        <v>18.82</v>
      </c>
      <c r="J43" s="100">
        <v>0.17</v>
      </c>
      <c r="K43" s="100">
        <v>145.32</v>
      </c>
      <c r="L43" s="100">
        <v>21.23</v>
      </c>
      <c r="M43" s="100">
        <v>62.92</v>
      </c>
      <c r="N43" s="100">
        <v>200.8</v>
      </c>
      <c r="O43" s="100">
        <v>0</v>
      </c>
      <c r="P43" s="100">
        <v>1.24</v>
      </c>
      <c r="Q43" s="100">
        <v>12.24</v>
      </c>
      <c r="R43" s="6"/>
      <c r="S43" s="6"/>
      <c r="T43" s="156"/>
      <c r="U43" s="6"/>
    </row>
    <row r="44" spans="1:21" customFormat="1">
      <c r="A44" s="163" t="s">
        <v>2386</v>
      </c>
      <c r="B44" s="100">
        <v>31.77</v>
      </c>
      <c r="C44" s="100">
        <v>30.67</v>
      </c>
      <c r="D44" s="100">
        <v>42.85</v>
      </c>
      <c r="E44" s="100">
        <v>10.84</v>
      </c>
      <c r="F44" s="100">
        <v>0.2</v>
      </c>
      <c r="G44" s="100">
        <v>111.25</v>
      </c>
      <c r="H44" s="100">
        <v>33.79</v>
      </c>
      <c r="I44" s="100">
        <v>18.78</v>
      </c>
      <c r="J44" s="100">
        <v>0.05</v>
      </c>
      <c r="K44" s="100">
        <v>217.21</v>
      </c>
      <c r="L44" s="100">
        <v>22.54</v>
      </c>
      <c r="M44" s="100">
        <v>59.15</v>
      </c>
      <c r="N44" s="100">
        <v>178.2</v>
      </c>
      <c r="O44" s="100">
        <v>0</v>
      </c>
      <c r="P44" s="100">
        <v>1.23</v>
      </c>
      <c r="Q44" s="100">
        <v>12.24</v>
      </c>
      <c r="R44" s="6"/>
      <c r="S44" s="6"/>
      <c r="T44" s="156"/>
      <c r="U44" s="6"/>
    </row>
    <row r="45" spans="1:21" customFormat="1">
      <c r="A45" s="163" t="s">
        <v>2387</v>
      </c>
      <c r="B45" s="100">
        <v>29.83</v>
      </c>
      <c r="C45" s="100">
        <v>31</v>
      </c>
      <c r="D45" s="100">
        <v>41.47</v>
      </c>
      <c r="E45" s="100">
        <v>10.64</v>
      </c>
      <c r="F45" s="100">
        <v>1.04</v>
      </c>
      <c r="G45" s="100">
        <v>111.25</v>
      </c>
      <c r="H45" s="100">
        <v>33.79</v>
      </c>
      <c r="I45" s="100">
        <v>18.649999999999999</v>
      </c>
      <c r="J45" s="100">
        <v>0.1</v>
      </c>
      <c r="K45" s="100">
        <v>159.71</v>
      </c>
      <c r="L45" s="100">
        <v>23.66</v>
      </c>
      <c r="M45" s="100">
        <v>54.85</v>
      </c>
      <c r="N45" s="100">
        <v>257.10000000000002</v>
      </c>
      <c r="O45" s="100">
        <v>0</v>
      </c>
      <c r="P45" s="100">
        <v>1.21</v>
      </c>
      <c r="Q45" s="100">
        <v>12.24</v>
      </c>
      <c r="R45" s="6"/>
      <c r="S45" s="6"/>
      <c r="T45" s="156"/>
      <c r="U45" s="6"/>
    </row>
    <row r="46" spans="1:21" customFormat="1">
      <c r="A46" s="163" t="s">
        <v>2388</v>
      </c>
      <c r="B46" s="100">
        <v>27.97</v>
      </c>
      <c r="C46" s="100">
        <v>31.16</v>
      </c>
      <c r="D46" s="100">
        <v>40.06</v>
      </c>
      <c r="E46" s="100">
        <v>10.38</v>
      </c>
      <c r="F46" s="100">
        <v>2.5299999999999998</v>
      </c>
      <c r="G46" s="100">
        <v>102.3</v>
      </c>
      <c r="H46" s="100">
        <v>35.229999999999997</v>
      </c>
      <c r="I46" s="100">
        <v>18.47</v>
      </c>
      <c r="J46" s="100">
        <v>0.12</v>
      </c>
      <c r="K46" s="100">
        <v>208.21</v>
      </c>
      <c r="L46" s="100">
        <v>24.94</v>
      </c>
      <c r="M46" s="100">
        <v>50.58</v>
      </c>
      <c r="N46" s="100">
        <v>286.2</v>
      </c>
      <c r="O46" s="100">
        <v>0</v>
      </c>
      <c r="P46" s="100">
        <v>1.2</v>
      </c>
      <c r="Q46" s="100">
        <v>12.24</v>
      </c>
      <c r="R46" s="6"/>
      <c r="S46" s="6"/>
      <c r="T46" s="156"/>
      <c r="U46" s="6"/>
    </row>
    <row r="47" spans="1:21" customFormat="1">
      <c r="A47" s="163" t="s">
        <v>2389</v>
      </c>
      <c r="B47" s="100">
        <v>26.16</v>
      </c>
      <c r="C47" s="100">
        <v>31.12</v>
      </c>
      <c r="D47" s="100">
        <v>38.590000000000003</v>
      </c>
      <c r="E47" s="100">
        <v>10.55</v>
      </c>
      <c r="F47" s="100">
        <v>1.48</v>
      </c>
      <c r="G47" s="100">
        <v>96.87</v>
      </c>
      <c r="H47" s="100">
        <v>35.520000000000003</v>
      </c>
      <c r="I47" s="100">
        <v>18.23</v>
      </c>
      <c r="J47" s="100">
        <v>0.32</v>
      </c>
      <c r="K47" s="100">
        <v>296.01</v>
      </c>
      <c r="L47" s="100">
        <v>25.39</v>
      </c>
      <c r="M47" s="100">
        <v>49.43</v>
      </c>
      <c r="N47" s="100">
        <v>308.7</v>
      </c>
      <c r="O47" s="100">
        <v>0</v>
      </c>
      <c r="P47" s="100">
        <v>1.19</v>
      </c>
      <c r="Q47" s="100">
        <v>12.24</v>
      </c>
      <c r="R47" s="6"/>
      <c r="S47" s="6"/>
      <c r="T47" s="156"/>
      <c r="U47" s="6"/>
    </row>
    <row r="48" spans="1:21" customFormat="1">
      <c r="A48" s="163" t="s">
        <v>2390</v>
      </c>
      <c r="B48" s="100">
        <v>24.18</v>
      </c>
      <c r="C48" s="100">
        <v>31.16</v>
      </c>
      <c r="D48" s="100">
        <v>37.020000000000003</v>
      </c>
      <c r="E48" s="100">
        <v>10.75</v>
      </c>
      <c r="F48" s="100">
        <v>1.1299999999999999</v>
      </c>
      <c r="G48" s="100">
        <v>96.87</v>
      </c>
      <c r="H48" s="100">
        <v>35.520000000000003</v>
      </c>
      <c r="I48" s="100">
        <v>17.989999999999998</v>
      </c>
      <c r="J48" s="100">
        <v>0.4</v>
      </c>
      <c r="K48" s="100">
        <v>273.14999999999998</v>
      </c>
      <c r="L48" s="100">
        <v>26.24</v>
      </c>
      <c r="M48" s="100">
        <v>45.07</v>
      </c>
      <c r="N48" s="100">
        <v>316.8</v>
      </c>
      <c r="O48" s="100">
        <v>0</v>
      </c>
      <c r="P48" s="100">
        <v>1.1499999999999999</v>
      </c>
      <c r="Q48" s="100">
        <v>12.24</v>
      </c>
      <c r="R48" s="6"/>
      <c r="S48" s="6"/>
      <c r="T48" s="156"/>
      <c r="U48" s="6"/>
    </row>
    <row r="49" spans="1:21" customFormat="1">
      <c r="A49" s="163" t="s">
        <v>2391</v>
      </c>
      <c r="B49" s="100">
        <v>22.01</v>
      </c>
      <c r="C49" s="100">
        <v>30.85</v>
      </c>
      <c r="D49" s="100">
        <v>35.119999999999997</v>
      </c>
      <c r="E49" s="100">
        <v>9.25</v>
      </c>
      <c r="F49" s="100">
        <v>0.96</v>
      </c>
      <c r="G49" s="100">
        <v>96.87</v>
      </c>
      <c r="H49" s="100">
        <v>35.520000000000003</v>
      </c>
      <c r="I49" s="100">
        <v>17.75</v>
      </c>
      <c r="J49" s="100">
        <v>0.47</v>
      </c>
      <c r="K49" s="100">
        <v>261.24</v>
      </c>
      <c r="L49" s="100">
        <v>26.88</v>
      </c>
      <c r="M49" s="100">
        <v>41.63</v>
      </c>
      <c r="N49" s="100">
        <v>281.89999999999998</v>
      </c>
      <c r="O49" s="100">
        <v>0</v>
      </c>
      <c r="P49" s="100">
        <v>1.1100000000000001</v>
      </c>
      <c r="Q49" s="100">
        <v>12.24</v>
      </c>
      <c r="R49" s="6"/>
      <c r="S49" s="6"/>
      <c r="T49" s="156"/>
      <c r="U49" s="6"/>
    </row>
    <row r="50" spans="1:21" customFormat="1">
      <c r="A50" s="163" t="s">
        <v>2392</v>
      </c>
      <c r="B50" s="100">
        <v>19.89</v>
      </c>
      <c r="C50" s="100">
        <v>30.7</v>
      </c>
      <c r="D50" s="100">
        <v>33.340000000000003</v>
      </c>
      <c r="E50" s="100">
        <v>10.85</v>
      </c>
      <c r="F50" s="100">
        <v>0.77</v>
      </c>
      <c r="G50" s="100">
        <v>87.31</v>
      </c>
      <c r="H50" s="100">
        <v>37.840000000000003</v>
      </c>
      <c r="I50" s="100">
        <v>17.38</v>
      </c>
      <c r="J50" s="100">
        <v>0.35</v>
      </c>
      <c r="K50" s="100">
        <v>292.92</v>
      </c>
      <c r="L50" s="100">
        <v>27.6</v>
      </c>
      <c r="M50" s="100">
        <v>40.18</v>
      </c>
      <c r="N50" s="100">
        <v>364</v>
      </c>
      <c r="O50" s="100">
        <v>0</v>
      </c>
      <c r="P50" s="100">
        <v>1.1000000000000001</v>
      </c>
      <c r="Q50" s="100">
        <v>12.24</v>
      </c>
      <c r="R50" s="6"/>
      <c r="S50" s="6"/>
      <c r="T50" s="156"/>
      <c r="U50" s="6"/>
    </row>
    <row r="51" spans="1:21" customFormat="1">
      <c r="A51" s="163" t="s">
        <v>2393</v>
      </c>
      <c r="B51" s="100">
        <v>17.850000000000001</v>
      </c>
      <c r="C51" s="100">
        <v>30.71</v>
      </c>
      <c r="D51" s="100">
        <v>31.71</v>
      </c>
      <c r="E51" s="100">
        <v>10.33</v>
      </c>
      <c r="F51" s="100">
        <v>0.65</v>
      </c>
      <c r="G51" s="100">
        <v>81.5</v>
      </c>
      <c r="H51" s="100">
        <v>38.31</v>
      </c>
      <c r="I51" s="100">
        <v>16.97</v>
      </c>
      <c r="J51" s="100">
        <v>0.28999999999999998</v>
      </c>
      <c r="K51" s="100">
        <v>268.66000000000003</v>
      </c>
      <c r="L51" s="100">
        <v>28.22</v>
      </c>
      <c r="M51" s="100">
        <v>38.33</v>
      </c>
      <c r="N51" s="100">
        <v>378</v>
      </c>
      <c r="O51" s="100">
        <v>0</v>
      </c>
      <c r="P51" s="100">
        <v>1.07</v>
      </c>
      <c r="Q51" s="100">
        <v>12.24</v>
      </c>
      <c r="R51" s="6"/>
      <c r="S51" s="6"/>
      <c r="T51" s="156"/>
      <c r="U51" s="6"/>
    </row>
    <row r="52" spans="1:21" customFormat="1">
      <c r="A52" s="163" t="s">
        <v>2394</v>
      </c>
      <c r="B52" s="100">
        <v>15.84</v>
      </c>
      <c r="C52" s="100">
        <v>30.47</v>
      </c>
      <c r="D52" s="100">
        <v>29.97</v>
      </c>
      <c r="E52" s="100">
        <v>10.4</v>
      </c>
      <c r="F52" s="100">
        <v>0.71</v>
      </c>
      <c r="G52" s="100">
        <v>81.5</v>
      </c>
      <c r="H52" s="100">
        <v>38.31</v>
      </c>
      <c r="I52" s="100">
        <v>16.59</v>
      </c>
      <c r="J52" s="100">
        <v>0.22</v>
      </c>
      <c r="K52" s="100">
        <v>257.01</v>
      </c>
      <c r="L52" s="100">
        <v>28.97</v>
      </c>
      <c r="M52" s="100">
        <v>36.85</v>
      </c>
      <c r="N52" s="100">
        <v>386.8</v>
      </c>
      <c r="O52" s="100">
        <v>0</v>
      </c>
      <c r="P52" s="100">
        <v>1.05</v>
      </c>
      <c r="Q52" s="100">
        <v>12.24</v>
      </c>
      <c r="R52" s="6"/>
      <c r="S52" s="6"/>
      <c r="T52" s="156"/>
      <c r="U52" s="6"/>
    </row>
    <row r="53" spans="1:21" customFormat="1">
      <c r="A53" s="163" t="s">
        <v>2395</v>
      </c>
      <c r="B53" s="100">
        <v>13.92</v>
      </c>
      <c r="C53" s="100">
        <v>30.16</v>
      </c>
      <c r="D53" s="100">
        <v>28.27</v>
      </c>
      <c r="E53" s="100">
        <v>10.44</v>
      </c>
      <c r="F53" s="100">
        <v>0.71</v>
      </c>
      <c r="G53" s="100">
        <v>81.5</v>
      </c>
      <c r="H53" s="100">
        <v>38.31</v>
      </c>
      <c r="I53" s="100">
        <v>16.27</v>
      </c>
      <c r="J53" s="100">
        <v>0.06</v>
      </c>
      <c r="K53" s="100">
        <v>294.24</v>
      </c>
      <c r="L53" s="100">
        <v>29.52</v>
      </c>
      <c r="M53" s="100">
        <v>35.22</v>
      </c>
      <c r="N53" s="100">
        <v>389.5</v>
      </c>
      <c r="O53" s="100">
        <v>0</v>
      </c>
      <c r="P53" s="100">
        <v>1.01</v>
      </c>
      <c r="Q53" s="100">
        <v>12.24</v>
      </c>
      <c r="R53" s="6"/>
      <c r="S53" s="6"/>
      <c r="T53" s="156"/>
      <c r="U53" s="6"/>
    </row>
    <row r="54" spans="1:21" customFormat="1">
      <c r="A54" s="163" t="s">
        <v>2396</v>
      </c>
      <c r="B54" s="100">
        <v>12.23</v>
      </c>
      <c r="C54" s="100">
        <v>29.94</v>
      </c>
      <c r="D54" s="100">
        <v>26.81</v>
      </c>
      <c r="E54" s="100">
        <v>10.34</v>
      </c>
      <c r="F54" s="100">
        <v>0.43</v>
      </c>
      <c r="G54" s="100">
        <v>75.12</v>
      </c>
      <c r="H54" s="100">
        <v>36.69</v>
      </c>
      <c r="I54" s="100">
        <v>15.85</v>
      </c>
      <c r="J54" s="100">
        <v>0.38</v>
      </c>
      <c r="K54" s="100">
        <v>277.08999999999997</v>
      </c>
      <c r="L54" s="100">
        <v>29.56</v>
      </c>
      <c r="M54" s="100">
        <v>34.619999999999997</v>
      </c>
      <c r="N54" s="100">
        <v>346.3</v>
      </c>
      <c r="O54" s="100">
        <v>0</v>
      </c>
      <c r="P54" s="100">
        <v>0.99</v>
      </c>
      <c r="Q54" s="100">
        <v>12.24</v>
      </c>
      <c r="R54" s="6"/>
      <c r="S54" s="6"/>
      <c r="T54" s="156"/>
      <c r="U54" s="6"/>
    </row>
    <row r="55" spans="1:21" customFormat="1">
      <c r="A55" s="163" t="s">
        <v>2397</v>
      </c>
      <c r="B55" s="100">
        <v>10.59</v>
      </c>
      <c r="C55" s="100">
        <v>29.77</v>
      </c>
      <c r="D55" s="100">
        <v>25.4</v>
      </c>
      <c r="E55" s="100">
        <v>10.73</v>
      </c>
      <c r="F55" s="100">
        <v>0.97</v>
      </c>
      <c r="G55" s="100">
        <v>71.239999999999995</v>
      </c>
      <c r="H55" s="100">
        <v>36.369999999999997</v>
      </c>
      <c r="I55" s="100">
        <v>15.45</v>
      </c>
      <c r="J55" s="100">
        <v>0.41</v>
      </c>
      <c r="K55" s="100">
        <v>286.7</v>
      </c>
      <c r="L55" s="100">
        <v>30.11</v>
      </c>
      <c r="M55" s="100">
        <v>33.659999999999997</v>
      </c>
      <c r="N55" s="100">
        <v>414</v>
      </c>
      <c r="O55" s="100">
        <v>0</v>
      </c>
      <c r="P55" s="100">
        <v>0.96</v>
      </c>
      <c r="Q55" s="100">
        <v>12.24</v>
      </c>
      <c r="R55" s="6"/>
      <c r="S55" s="6"/>
      <c r="T55" s="156"/>
      <c r="U55" s="6"/>
    </row>
    <row r="56" spans="1:21" customFormat="1">
      <c r="A56" s="163" t="s">
        <v>2398</v>
      </c>
      <c r="B56" s="100">
        <v>9.17</v>
      </c>
      <c r="C56" s="100">
        <v>29.48</v>
      </c>
      <c r="D56" s="100">
        <v>24.11</v>
      </c>
      <c r="E56" s="100">
        <v>11.52</v>
      </c>
      <c r="F56" s="100">
        <v>0.95</v>
      </c>
      <c r="G56" s="100">
        <v>71.239999999999995</v>
      </c>
      <c r="H56" s="100">
        <v>36.369999999999997</v>
      </c>
      <c r="I56" s="100">
        <v>15.02</v>
      </c>
      <c r="J56" s="100">
        <v>0.16</v>
      </c>
      <c r="K56" s="100">
        <v>251.69</v>
      </c>
      <c r="L56" s="100">
        <v>30.73</v>
      </c>
      <c r="M56" s="100">
        <v>32.08</v>
      </c>
      <c r="N56" s="100">
        <v>415.7</v>
      </c>
      <c r="O56" s="100">
        <v>0</v>
      </c>
      <c r="P56" s="100">
        <v>0.95</v>
      </c>
      <c r="Q56" s="100">
        <v>12.24</v>
      </c>
      <c r="R56" s="6"/>
      <c r="S56" s="6"/>
      <c r="T56" s="156"/>
      <c r="U56" s="6"/>
    </row>
    <row r="57" spans="1:21" customFormat="1">
      <c r="A57" s="163" t="s">
        <v>2399</v>
      </c>
      <c r="B57" s="100">
        <v>7.73</v>
      </c>
      <c r="C57" s="100">
        <v>29.44</v>
      </c>
      <c r="D57" s="100">
        <v>22.93</v>
      </c>
      <c r="E57" s="100">
        <v>11.19</v>
      </c>
      <c r="F57" s="100">
        <v>0.69</v>
      </c>
      <c r="G57" s="100">
        <v>71.239999999999995</v>
      </c>
      <c r="H57" s="100">
        <v>36.369999999999997</v>
      </c>
      <c r="I57" s="100">
        <v>14.67</v>
      </c>
      <c r="J57" s="100">
        <v>0.4</v>
      </c>
      <c r="K57" s="100">
        <v>339.31</v>
      </c>
      <c r="L57" s="100">
        <v>30.4</v>
      </c>
      <c r="M57" s="100">
        <v>32.39</v>
      </c>
      <c r="N57" s="100">
        <v>414.8</v>
      </c>
      <c r="O57" s="100">
        <v>0</v>
      </c>
      <c r="P57" s="100">
        <v>0.94</v>
      </c>
      <c r="Q57" s="100">
        <v>12.24</v>
      </c>
      <c r="R57" s="6"/>
      <c r="S57" s="6"/>
      <c r="T57" s="156"/>
      <c r="U57" s="6"/>
    </row>
    <row r="58" spans="1:21" customFormat="1">
      <c r="A58" s="163" t="s">
        <v>2400</v>
      </c>
      <c r="B58" s="100">
        <v>6.14</v>
      </c>
      <c r="C58" s="100">
        <v>29.63</v>
      </c>
      <c r="D58" s="100">
        <v>21.75</v>
      </c>
      <c r="E58" s="100">
        <v>11.11</v>
      </c>
      <c r="F58" s="100">
        <v>2.5499999999999998</v>
      </c>
      <c r="G58" s="100">
        <v>68.540000000000006</v>
      </c>
      <c r="H58" s="100">
        <v>34.1</v>
      </c>
      <c r="I58" s="100">
        <v>14.4</v>
      </c>
      <c r="J58" s="100">
        <v>0.47</v>
      </c>
      <c r="K58" s="100">
        <v>290.24</v>
      </c>
      <c r="L58" s="100">
        <v>30.89</v>
      </c>
      <c r="M58" s="100">
        <v>31.33</v>
      </c>
      <c r="N58" s="100">
        <v>356.6</v>
      </c>
      <c r="O58" s="100">
        <v>0</v>
      </c>
      <c r="P58" s="100">
        <v>0.92</v>
      </c>
      <c r="Q58" s="100">
        <v>12.24</v>
      </c>
      <c r="R58" s="6"/>
      <c r="S58" s="6"/>
      <c r="T58" s="156"/>
      <c r="U58" s="6"/>
    </row>
    <row r="59" spans="1:21" customFormat="1">
      <c r="A59" s="163" t="s">
        <v>2401</v>
      </c>
      <c r="B59" s="100">
        <v>4.9000000000000004</v>
      </c>
      <c r="C59" s="100">
        <v>29.24</v>
      </c>
      <c r="D59" s="100">
        <v>20.55</v>
      </c>
      <c r="E59" s="100">
        <v>10.85</v>
      </c>
      <c r="F59" s="100">
        <v>0.37</v>
      </c>
      <c r="G59" s="100">
        <v>66.91</v>
      </c>
      <c r="H59" s="100">
        <v>33.64</v>
      </c>
      <c r="I59" s="100">
        <v>13.92</v>
      </c>
      <c r="J59" s="100">
        <v>0.23</v>
      </c>
      <c r="K59" s="100">
        <v>266.73</v>
      </c>
      <c r="L59" s="100">
        <v>31.44</v>
      </c>
      <c r="M59" s="100">
        <v>30.34</v>
      </c>
      <c r="N59" s="100">
        <v>363.7</v>
      </c>
      <c r="O59" s="100">
        <v>0</v>
      </c>
      <c r="P59" s="100">
        <v>0.91</v>
      </c>
      <c r="Q59" s="100">
        <v>12.24</v>
      </c>
      <c r="R59" s="6"/>
      <c r="S59" s="6"/>
      <c r="T59" s="156"/>
      <c r="U59" s="6"/>
    </row>
    <row r="60" spans="1:21" customFormat="1">
      <c r="A60" s="163" t="s">
        <v>2402</v>
      </c>
      <c r="B60" s="100">
        <v>4.16</v>
      </c>
      <c r="C60" s="100">
        <v>28.5</v>
      </c>
      <c r="D60" s="100">
        <v>19.57</v>
      </c>
      <c r="E60" s="100">
        <v>11.01</v>
      </c>
      <c r="F60" s="100">
        <v>1.64</v>
      </c>
      <c r="G60" s="100">
        <v>66.91</v>
      </c>
      <c r="H60" s="100">
        <v>33.64</v>
      </c>
      <c r="I60" s="100">
        <v>13.44</v>
      </c>
      <c r="J60" s="100">
        <v>0.69</v>
      </c>
      <c r="K60" s="100">
        <v>277.93</v>
      </c>
      <c r="L60" s="100">
        <v>31.18</v>
      </c>
      <c r="M60" s="100">
        <v>31.39</v>
      </c>
      <c r="N60" s="100">
        <v>411.6</v>
      </c>
      <c r="O60" s="100">
        <v>0</v>
      </c>
      <c r="P60" s="100">
        <v>0.87</v>
      </c>
      <c r="Q60" s="100">
        <v>12.24</v>
      </c>
      <c r="R60" s="6"/>
      <c r="S60" s="6"/>
      <c r="T60" s="156"/>
      <c r="U60" s="6"/>
    </row>
    <row r="61" spans="1:21" customFormat="1">
      <c r="A61" s="163" t="s">
        <v>2403</v>
      </c>
      <c r="B61" s="100">
        <v>3.78</v>
      </c>
      <c r="C61" s="100">
        <v>27.73</v>
      </c>
      <c r="D61" s="100">
        <v>18.87</v>
      </c>
      <c r="E61" s="100">
        <v>10.68</v>
      </c>
      <c r="F61" s="100">
        <v>1.54</v>
      </c>
      <c r="G61" s="100">
        <v>66.91</v>
      </c>
      <c r="H61" s="100">
        <v>33.64</v>
      </c>
      <c r="I61" s="100">
        <v>13.04</v>
      </c>
      <c r="J61" s="100">
        <v>0.28000000000000003</v>
      </c>
      <c r="K61" s="100">
        <v>321.01</v>
      </c>
      <c r="L61" s="100">
        <v>31.31</v>
      </c>
      <c r="M61" s="100">
        <v>29.76</v>
      </c>
      <c r="N61" s="100">
        <v>400.5</v>
      </c>
      <c r="O61" s="100">
        <v>0</v>
      </c>
      <c r="P61" s="100">
        <v>0.86</v>
      </c>
      <c r="Q61" s="100">
        <v>12.24</v>
      </c>
      <c r="R61" s="6"/>
      <c r="S61" s="6"/>
      <c r="T61" s="156"/>
      <c r="U61" s="6"/>
    </row>
    <row r="62" spans="1:21" customFormat="1">
      <c r="A62" s="163" t="s">
        <v>2404</v>
      </c>
      <c r="B62" s="100">
        <v>3.62</v>
      </c>
      <c r="C62" s="100">
        <v>26.88</v>
      </c>
      <c r="D62" s="100">
        <v>18.3</v>
      </c>
      <c r="E62" s="100">
        <v>10.54</v>
      </c>
      <c r="F62" s="100">
        <v>0.97</v>
      </c>
      <c r="G62" s="100">
        <v>62.65</v>
      </c>
      <c r="H62" s="100">
        <v>32.450000000000003</v>
      </c>
      <c r="I62" s="100">
        <v>12.68</v>
      </c>
      <c r="J62" s="100">
        <v>0.13</v>
      </c>
      <c r="K62" s="100">
        <v>268.57</v>
      </c>
      <c r="L62" s="100">
        <v>32.01</v>
      </c>
      <c r="M62" s="100">
        <v>27.98</v>
      </c>
      <c r="N62" s="100">
        <v>378.4</v>
      </c>
      <c r="O62" s="100">
        <v>0</v>
      </c>
      <c r="P62" s="100">
        <v>0.82</v>
      </c>
      <c r="Q62" s="100">
        <v>12.24</v>
      </c>
      <c r="R62" s="6"/>
      <c r="S62" s="6"/>
      <c r="T62" s="156"/>
      <c r="U62" s="6"/>
    </row>
    <row r="63" spans="1:21" customFormat="1">
      <c r="A63" s="163" t="s">
        <v>2405</v>
      </c>
      <c r="B63" s="100">
        <v>3.6</v>
      </c>
      <c r="C63" s="100">
        <v>26.09</v>
      </c>
      <c r="D63" s="100">
        <v>17.87</v>
      </c>
      <c r="E63" s="100">
        <v>10.44</v>
      </c>
      <c r="F63" s="100">
        <v>1.34</v>
      </c>
      <c r="G63" s="100">
        <v>60.07</v>
      </c>
      <c r="H63" s="100">
        <v>32.21</v>
      </c>
      <c r="I63" s="100">
        <v>12.11</v>
      </c>
      <c r="J63" s="100">
        <v>0.24</v>
      </c>
      <c r="K63" s="100">
        <v>321.2</v>
      </c>
      <c r="L63" s="100">
        <v>32.159999999999997</v>
      </c>
      <c r="M63" s="100">
        <v>28.03</v>
      </c>
      <c r="N63" s="100">
        <v>401.4</v>
      </c>
      <c r="O63" s="100">
        <v>0</v>
      </c>
      <c r="P63" s="100">
        <v>0.81</v>
      </c>
      <c r="Q63" s="100">
        <v>12.24</v>
      </c>
      <c r="R63" s="6"/>
      <c r="S63" s="6"/>
      <c r="T63" s="156"/>
      <c r="U63" s="6"/>
    </row>
    <row r="64" spans="1:21" customFormat="1">
      <c r="A64" s="163" t="s">
        <v>2406</v>
      </c>
      <c r="B64" s="100">
        <v>3.62</v>
      </c>
      <c r="C64" s="100">
        <v>25.47</v>
      </c>
      <c r="D64" s="100">
        <v>17.559999999999999</v>
      </c>
      <c r="E64" s="100">
        <v>10.52</v>
      </c>
      <c r="F64" s="100">
        <v>1.32</v>
      </c>
      <c r="G64" s="100">
        <v>60.07</v>
      </c>
      <c r="H64" s="100">
        <v>32.21</v>
      </c>
      <c r="I64" s="100">
        <v>11.83</v>
      </c>
      <c r="J64" s="100">
        <v>0.94</v>
      </c>
      <c r="K64" s="100">
        <v>328.5</v>
      </c>
      <c r="L64" s="100">
        <v>31.81</v>
      </c>
      <c r="M64" s="100">
        <v>26.96</v>
      </c>
      <c r="N64" s="100">
        <v>397.1</v>
      </c>
      <c r="O64" s="100">
        <v>0</v>
      </c>
      <c r="P64" s="100">
        <v>0.79</v>
      </c>
      <c r="Q64" s="100">
        <v>12.24</v>
      </c>
      <c r="R64" s="6"/>
      <c r="S64" s="6"/>
      <c r="T64" s="156"/>
      <c r="U64" s="6"/>
    </row>
    <row r="65" spans="1:21" customFormat="1">
      <c r="A65" s="163" t="s">
        <v>2407</v>
      </c>
      <c r="B65" s="100">
        <v>3.65</v>
      </c>
      <c r="C65" s="100">
        <v>25.33</v>
      </c>
      <c r="D65" s="100">
        <v>17.510000000000002</v>
      </c>
      <c r="E65" s="100">
        <v>10.79</v>
      </c>
      <c r="F65" s="100">
        <v>0.64</v>
      </c>
      <c r="G65" s="100">
        <v>60.07</v>
      </c>
      <c r="H65" s="100">
        <v>32.21</v>
      </c>
      <c r="I65" s="100">
        <v>11.57</v>
      </c>
      <c r="J65" s="100">
        <v>0.49</v>
      </c>
      <c r="K65" s="100">
        <v>289.27</v>
      </c>
      <c r="L65" s="100">
        <v>31.94</v>
      </c>
      <c r="M65" s="100">
        <v>26.87</v>
      </c>
      <c r="N65" s="100">
        <v>325.60000000000002</v>
      </c>
      <c r="O65" s="100">
        <v>0</v>
      </c>
      <c r="P65" s="100">
        <v>0.73</v>
      </c>
      <c r="Q65" s="100">
        <v>12.24</v>
      </c>
      <c r="R65" s="6"/>
      <c r="S65" s="6"/>
      <c r="T65" s="156"/>
      <c r="U65" s="6"/>
    </row>
    <row r="66" spans="1:21" customFormat="1">
      <c r="A66" s="163" t="s">
        <v>2408</v>
      </c>
      <c r="B66" s="100">
        <v>3.63</v>
      </c>
      <c r="C66" s="100">
        <v>24.82</v>
      </c>
      <c r="D66" s="100">
        <v>17.23</v>
      </c>
      <c r="E66" s="100">
        <v>11.13</v>
      </c>
      <c r="F66" s="100">
        <v>1.77</v>
      </c>
      <c r="G66" s="100">
        <v>60.11</v>
      </c>
      <c r="H66" s="100">
        <v>32.479999999999997</v>
      </c>
      <c r="I66" s="100">
        <v>11.1</v>
      </c>
      <c r="J66" s="100">
        <v>0.21</v>
      </c>
      <c r="K66" s="100">
        <v>207.41</v>
      </c>
      <c r="L66" s="100">
        <v>31.73</v>
      </c>
      <c r="M66" s="100">
        <v>26.78</v>
      </c>
      <c r="N66" s="100">
        <v>110.3</v>
      </c>
      <c r="O66" s="100">
        <v>0</v>
      </c>
      <c r="P66" s="100">
        <v>0.73</v>
      </c>
      <c r="Q66" s="100">
        <v>12.24</v>
      </c>
      <c r="R66" s="6"/>
      <c r="S66" s="6"/>
      <c r="T66" s="156"/>
      <c r="U66" s="6"/>
    </row>
    <row r="67" spans="1:21" customFormat="1">
      <c r="A67" s="163" t="s">
        <v>2409</v>
      </c>
      <c r="B67" s="100">
        <v>3.61</v>
      </c>
      <c r="C67" s="100">
        <v>24.46</v>
      </c>
      <c r="D67" s="100">
        <v>17.03</v>
      </c>
      <c r="E67" s="100">
        <v>11.05</v>
      </c>
      <c r="F67" s="100">
        <v>1.08</v>
      </c>
      <c r="G67" s="100">
        <v>60.14</v>
      </c>
      <c r="H67" s="100">
        <v>32.58</v>
      </c>
      <c r="I67" s="100">
        <v>10.7</v>
      </c>
      <c r="J67" s="100">
        <v>0.22</v>
      </c>
      <c r="K67" s="100">
        <v>330.25</v>
      </c>
      <c r="L67" s="100">
        <v>31.37</v>
      </c>
      <c r="M67" s="100">
        <v>26.03</v>
      </c>
      <c r="N67" s="100">
        <v>86.8</v>
      </c>
      <c r="O67" s="100">
        <v>0</v>
      </c>
      <c r="P67" s="100">
        <v>0.71</v>
      </c>
      <c r="Q67" s="100">
        <v>12.24</v>
      </c>
      <c r="R67" s="6"/>
      <c r="S67" s="6"/>
      <c r="T67" s="156"/>
      <c r="U67" s="6"/>
    </row>
    <row r="68" spans="1:21" customFormat="1">
      <c r="A68" s="163" t="s">
        <v>2410</v>
      </c>
      <c r="B68" s="100">
        <v>3.63</v>
      </c>
      <c r="C68" s="100">
        <v>24.19</v>
      </c>
      <c r="D68" s="100">
        <v>16.899999999999999</v>
      </c>
      <c r="E68" s="100">
        <v>11.36</v>
      </c>
      <c r="F68" s="100">
        <v>1.48</v>
      </c>
      <c r="G68" s="100">
        <v>60.14</v>
      </c>
      <c r="H68" s="100">
        <v>32.58</v>
      </c>
      <c r="I68" s="100">
        <v>10.33</v>
      </c>
      <c r="J68" s="100">
        <v>0.43</v>
      </c>
      <c r="K68" s="100">
        <v>251.17</v>
      </c>
      <c r="L68" s="100">
        <v>31.15</v>
      </c>
      <c r="M68" s="100">
        <v>25.66</v>
      </c>
      <c r="N68" s="100">
        <v>55.4</v>
      </c>
      <c r="O68" s="100">
        <v>0</v>
      </c>
      <c r="P68" s="100">
        <v>0.69</v>
      </c>
      <c r="Q68" s="100">
        <v>12.24</v>
      </c>
      <c r="R68" s="6"/>
      <c r="S68" s="6"/>
      <c r="T68" s="156"/>
      <c r="U68" s="6"/>
    </row>
    <row r="69" spans="1:21" customFormat="1">
      <c r="A69" s="163" t="s">
        <v>2411</v>
      </c>
      <c r="B69" s="100">
        <v>3.59</v>
      </c>
      <c r="C69" s="100">
        <v>23.69</v>
      </c>
      <c r="D69" s="100">
        <v>16.61</v>
      </c>
      <c r="E69" s="100">
        <v>11.26</v>
      </c>
      <c r="F69" s="100">
        <v>2.0499999999999998</v>
      </c>
      <c r="G69" s="100">
        <v>60.14</v>
      </c>
      <c r="H69" s="100">
        <v>32.58</v>
      </c>
      <c r="I69" s="100">
        <v>10.01</v>
      </c>
      <c r="J69" s="100">
        <v>0.18</v>
      </c>
      <c r="K69" s="100">
        <v>225.02</v>
      </c>
      <c r="L69" s="100">
        <v>31.12</v>
      </c>
      <c r="M69" s="100">
        <v>25.25</v>
      </c>
      <c r="N69" s="100">
        <v>55.9</v>
      </c>
      <c r="O69" s="100">
        <v>0</v>
      </c>
      <c r="P69" s="100">
        <v>0.67</v>
      </c>
      <c r="Q69" s="100">
        <v>12.24</v>
      </c>
      <c r="R69" s="6"/>
      <c r="S69" s="6"/>
      <c r="T69" s="156"/>
      <c r="U69" s="6"/>
    </row>
    <row r="70" spans="1:21" customFormat="1">
      <c r="A70" s="163" t="s">
        <v>2412</v>
      </c>
      <c r="B70" s="100">
        <v>3.57</v>
      </c>
      <c r="C70" s="100">
        <v>23.27</v>
      </c>
      <c r="D70" s="100">
        <v>16.37</v>
      </c>
      <c r="E70" s="100">
        <v>12.28</v>
      </c>
      <c r="F70" s="100">
        <v>2.61</v>
      </c>
      <c r="G70" s="100">
        <v>52.7</v>
      </c>
      <c r="H70" s="100">
        <v>31.67</v>
      </c>
      <c r="I70" s="100">
        <v>9.68</v>
      </c>
      <c r="J70" s="100">
        <v>0.25</v>
      </c>
      <c r="K70" s="100">
        <v>333</v>
      </c>
      <c r="L70" s="100">
        <v>31.03</v>
      </c>
      <c r="M70" s="100">
        <v>23.71</v>
      </c>
      <c r="N70" s="100">
        <v>44</v>
      </c>
      <c r="O70" s="100">
        <v>0</v>
      </c>
      <c r="P70" s="100">
        <v>0.65</v>
      </c>
      <c r="Q70" s="100">
        <v>12.24</v>
      </c>
      <c r="R70" s="6"/>
      <c r="S70" s="6"/>
      <c r="T70" s="156"/>
      <c r="U70" s="6"/>
    </row>
    <row r="71" spans="1:21" customFormat="1">
      <c r="A71" s="163" t="s">
        <v>2413</v>
      </c>
      <c r="B71" s="100">
        <v>3.6</v>
      </c>
      <c r="C71" s="100">
        <v>22.91</v>
      </c>
      <c r="D71" s="100">
        <v>16.21</v>
      </c>
      <c r="E71" s="100">
        <v>12.22</v>
      </c>
      <c r="F71" s="100">
        <v>2.11</v>
      </c>
      <c r="G71" s="100">
        <v>48.17</v>
      </c>
      <c r="H71" s="100">
        <v>31.49</v>
      </c>
      <c r="I71" s="100">
        <v>9.27</v>
      </c>
      <c r="J71" s="100">
        <v>0.43</v>
      </c>
      <c r="K71" s="100">
        <v>283.64</v>
      </c>
      <c r="L71" s="100">
        <v>30.91</v>
      </c>
      <c r="M71" s="100">
        <v>22.1</v>
      </c>
      <c r="N71" s="100">
        <v>37.9</v>
      </c>
      <c r="O71" s="100">
        <v>0</v>
      </c>
      <c r="P71" s="100">
        <v>0.63</v>
      </c>
      <c r="Q71" s="100">
        <v>12.24</v>
      </c>
      <c r="R71" s="6"/>
      <c r="S71" s="6"/>
      <c r="T71" s="156"/>
      <c r="U71" s="6"/>
    </row>
    <row r="72" spans="1:21" customFormat="1">
      <c r="A72" s="163" t="s">
        <v>2414</v>
      </c>
      <c r="B72" s="100">
        <v>3.63</v>
      </c>
      <c r="C72" s="100">
        <v>22.32</v>
      </c>
      <c r="D72" s="100">
        <v>15.93</v>
      </c>
      <c r="E72" s="100">
        <v>12.64</v>
      </c>
      <c r="F72" s="100">
        <v>3.12</v>
      </c>
      <c r="G72" s="100">
        <v>48.17</v>
      </c>
      <c r="H72" s="100">
        <v>31.49</v>
      </c>
      <c r="I72" s="100">
        <v>8.9499999999999993</v>
      </c>
      <c r="J72" s="100">
        <v>0.33</v>
      </c>
      <c r="K72" s="100">
        <v>280.06</v>
      </c>
      <c r="L72" s="100">
        <v>30.8</v>
      </c>
      <c r="M72" s="100">
        <v>21.27</v>
      </c>
      <c r="N72" s="100">
        <v>33.4</v>
      </c>
      <c r="O72" s="100">
        <v>0</v>
      </c>
      <c r="P72" s="100">
        <v>0.61</v>
      </c>
      <c r="Q72" s="100">
        <v>12.24</v>
      </c>
      <c r="R72" s="6"/>
      <c r="S72" s="6"/>
      <c r="T72" s="156"/>
      <c r="U72" s="6"/>
    </row>
    <row r="73" spans="1:21" customFormat="1">
      <c r="A73" s="163" t="s">
        <v>2415</v>
      </c>
      <c r="B73" s="100">
        <v>3.62</v>
      </c>
      <c r="C73" s="100">
        <v>21.89</v>
      </c>
      <c r="D73" s="100">
        <v>15.69</v>
      </c>
      <c r="E73" s="100">
        <v>12.61</v>
      </c>
      <c r="F73" s="100">
        <v>3.94</v>
      </c>
      <c r="G73" s="100">
        <v>48.17</v>
      </c>
      <c r="H73" s="100">
        <v>31.49</v>
      </c>
      <c r="I73" s="100">
        <v>8.68</v>
      </c>
      <c r="J73" s="100">
        <v>0.09</v>
      </c>
      <c r="K73" s="100">
        <v>276.94</v>
      </c>
      <c r="L73" s="100">
        <v>30.6</v>
      </c>
      <c r="M73" s="100">
        <v>21.4</v>
      </c>
      <c r="N73" s="100">
        <v>32.6</v>
      </c>
      <c r="O73" s="100">
        <v>0</v>
      </c>
      <c r="P73" s="100">
        <v>0.59</v>
      </c>
      <c r="Q73" s="100">
        <v>12.24</v>
      </c>
      <c r="R73" s="6"/>
      <c r="S73" s="6"/>
      <c r="T73" s="156"/>
      <c r="U73" s="6"/>
    </row>
    <row r="74" spans="1:21" customFormat="1">
      <c r="A74" s="163" t="s">
        <v>2416</v>
      </c>
      <c r="B74" s="100">
        <v>3.57</v>
      </c>
      <c r="C74" s="100">
        <v>21.38</v>
      </c>
      <c r="D74" s="100">
        <v>15.39</v>
      </c>
      <c r="E74" s="100">
        <v>12.22</v>
      </c>
      <c r="F74" s="100">
        <v>1.55</v>
      </c>
      <c r="G74" s="100">
        <v>45.8</v>
      </c>
      <c r="H74" s="100">
        <v>27.32</v>
      </c>
      <c r="I74" s="100">
        <v>8.42</v>
      </c>
      <c r="J74" s="100">
        <v>0.18</v>
      </c>
      <c r="K74" s="100">
        <v>172.2</v>
      </c>
      <c r="L74" s="100">
        <v>30.08</v>
      </c>
      <c r="M74" s="100">
        <v>25.12</v>
      </c>
      <c r="N74" s="100">
        <v>38.4</v>
      </c>
      <c r="O74" s="100">
        <v>0</v>
      </c>
      <c r="P74" s="100">
        <v>0.57999999999999996</v>
      </c>
      <c r="Q74" s="100">
        <v>12.24</v>
      </c>
      <c r="R74" s="6"/>
      <c r="S74" s="6"/>
      <c r="T74" s="156"/>
      <c r="U74" s="6"/>
    </row>
    <row r="75" spans="1:21" customFormat="1">
      <c r="A75" s="163" t="s">
        <v>2417</v>
      </c>
      <c r="B75" s="100">
        <v>3.6</v>
      </c>
      <c r="C75" s="100">
        <v>20.84</v>
      </c>
      <c r="D75" s="100">
        <v>15.13</v>
      </c>
      <c r="E75" s="100">
        <v>12.74</v>
      </c>
      <c r="F75" s="100">
        <v>2.4300000000000002</v>
      </c>
      <c r="G75" s="100">
        <v>44.36</v>
      </c>
      <c r="H75" s="100">
        <v>26.48</v>
      </c>
      <c r="I75" s="100">
        <v>8.2100000000000009</v>
      </c>
      <c r="J75" s="100">
        <v>0.17</v>
      </c>
      <c r="K75" s="100">
        <v>166.01</v>
      </c>
      <c r="L75" s="100">
        <v>29.44</v>
      </c>
      <c r="M75" s="100">
        <v>28.1</v>
      </c>
      <c r="N75" s="100">
        <v>24.6</v>
      </c>
      <c r="O75" s="100">
        <v>0</v>
      </c>
      <c r="P75" s="100">
        <v>0.57999999999999996</v>
      </c>
      <c r="Q75" s="100">
        <v>12.24</v>
      </c>
      <c r="R75" s="6"/>
      <c r="S75" s="6"/>
      <c r="T75" s="156"/>
      <c r="U75" s="6"/>
    </row>
    <row r="76" spans="1:21" customFormat="1">
      <c r="A76" s="163" t="s">
        <v>2418</v>
      </c>
      <c r="B76" s="100">
        <v>3.61</v>
      </c>
      <c r="C76" s="100">
        <v>20.55</v>
      </c>
      <c r="D76" s="100">
        <v>14.98</v>
      </c>
      <c r="E76" s="100">
        <v>12.76</v>
      </c>
      <c r="F76" s="100">
        <v>0.93</v>
      </c>
      <c r="G76" s="100">
        <v>44.36</v>
      </c>
      <c r="H76" s="100">
        <v>26.48</v>
      </c>
      <c r="I76" s="100">
        <v>7.99</v>
      </c>
      <c r="J76" s="100">
        <v>0.18</v>
      </c>
      <c r="K76" s="100">
        <v>175.17</v>
      </c>
      <c r="L76" s="100">
        <v>28.84</v>
      </c>
      <c r="M76" s="100">
        <v>33.22</v>
      </c>
      <c r="N76" s="100">
        <v>20.100000000000001</v>
      </c>
      <c r="O76" s="100">
        <v>0</v>
      </c>
      <c r="P76" s="100">
        <v>0.59</v>
      </c>
      <c r="Q76" s="100">
        <v>12.24</v>
      </c>
      <c r="R76" s="6"/>
      <c r="S76" s="6"/>
      <c r="T76" s="156"/>
      <c r="U76" s="6"/>
    </row>
    <row r="77" spans="1:21" customFormat="1">
      <c r="A77" s="163" t="s">
        <v>2419</v>
      </c>
      <c r="B77" s="100">
        <v>3.68</v>
      </c>
      <c r="C77" s="100">
        <v>20.32</v>
      </c>
      <c r="D77" s="100">
        <v>14.92</v>
      </c>
      <c r="E77" s="100">
        <v>12.39</v>
      </c>
      <c r="F77" s="100">
        <v>0.9</v>
      </c>
      <c r="G77" s="100">
        <v>44.36</v>
      </c>
      <c r="H77" s="100">
        <v>26.48</v>
      </c>
      <c r="I77" s="100">
        <v>7.89</v>
      </c>
      <c r="J77" s="100">
        <v>0.26</v>
      </c>
      <c r="K77" s="100">
        <v>170.88</v>
      </c>
      <c r="L77" s="100">
        <v>28.14</v>
      </c>
      <c r="M77" s="100">
        <v>34.72</v>
      </c>
      <c r="N77" s="100">
        <v>14.7</v>
      </c>
      <c r="O77" s="100">
        <v>0</v>
      </c>
      <c r="P77" s="100">
        <v>0.59</v>
      </c>
      <c r="Q77" s="100">
        <v>12.24</v>
      </c>
      <c r="R77" s="6"/>
      <c r="S77" s="6"/>
      <c r="T77" s="156"/>
      <c r="U77" s="6"/>
    </row>
    <row r="78" spans="1:21" customFormat="1">
      <c r="A78" s="163" t="s">
        <v>2420</v>
      </c>
      <c r="B78" s="100">
        <v>3.82</v>
      </c>
      <c r="C78" s="100">
        <v>20.54</v>
      </c>
      <c r="D78" s="100">
        <v>15.14</v>
      </c>
      <c r="E78" s="100">
        <v>12.27</v>
      </c>
      <c r="F78" s="100">
        <v>1.24</v>
      </c>
      <c r="G78" s="100">
        <v>47.51</v>
      </c>
      <c r="H78" s="100">
        <v>27.84</v>
      </c>
      <c r="I78" s="100">
        <v>7.9</v>
      </c>
      <c r="J78" s="100">
        <v>0.21</v>
      </c>
      <c r="K78" s="100">
        <v>169.83</v>
      </c>
      <c r="L78" s="100">
        <v>27.04</v>
      </c>
      <c r="M78" s="100">
        <v>39.44</v>
      </c>
      <c r="N78" s="100">
        <v>8.9</v>
      </c>
      <c r="O78" s="100">
        <v>0</v>
      </c>
      <c r="P78" s="100">
        <v>0.57999999999999996</v>
      </c>
      <c r="Q78" s="100">
        <v>12.24</v>
      </c>
      <c r="R78" s="6"/>
      <c r="S78" s="6"/>
      <c r="T78" s="156"/>
      <c r="U78" s="6"/>
    </row>
    <row r="79" spans="1:21" customFormat="1">
      <c r="A79" s="163" t="s">
        <v>2421</v>
      </c>
      <c r="B79" s="100">
        <v>4.01</v>
      </c>
      <c r="C79" s="100">
        <v>20.59</v>
      </c>
      <c r="D79" s="100">
        <v>15.32</v>
      </c>
      <c r="E79" s="100">
        <v>11.32</v>
      </c>
      <c r="F79" s="100">
        <v>1.1299999999999999</v>
      </c>
      <c r="G79" s="100">
        <v>49.42</v>
      </c>
      <c r="H79" s="100">
        <v>28.11</v>
      </c>
      <c r="I79" s="100">
        <v>7.81</v>
      </c>
      <c r="J79" s="100">
        <v>0.27</v>
      </c>
      <c r="K79" s="100">
        <v>168.24</v>
      </c>
      <c r="L79" s="100">
        <v>25.99</v>
      </c>
      <c r="M79" s="100">
        <v>44.48</v>
      </c>
      <c r="N79" s="100">
        <v>4.4000000000000004</v>
      </c>
      <c r="O79" s="100">
        <v>0</v>
      </c>
      <c r="P79" s="100">
        <v>0.57999999999999996</v>
      </c>
      <c r="Q79" s="100">
        <v>12.24</v>
      </c>
      <c r="R79" s="6"/>
      <c r="S79" s="6"/>
      <c r="T79" s="156"/>
      <c r="U79" s="6"/>
    </row>
    <row r="80" spans="1:21" customFormat="1">
      <c r="A80" s="163" t="s">
        <v>2422</v>
      </c>
      <c r="B80" s="100">
        <v>4.2300000000000004</v>
      </c>
      <c r="C80" s="100">
        <v>20.54</v>
      </c>
      <c r="D80" s="100">
        <v>15.48</v>
      </c>
      <c r="E80" s="100">
        <v>11.76</v>
      </c>
      <c r="F80" s="100">
        <v>1.34</v>
      </c>
      <c r="G80" s="100">
        <v>49.42</v>
      </c>
      <c r="H80" s="100">
        <v>28.11</v>
      </c>
      <c r="I80" s="100">
        <v>7.97</v>
      </c>
      <c r="J80" s="100">
        <v>0.16</v>
      </c>
      <c r="K80" s="100">
        <v>133.21</v>
      </c>
      <c r="L80" s="100">
        <v>25.14</v>
      </c>
      <c r="M80" s="100">
        <v>45.63</v>
      </c>
      <c r="N80" s="100">
        <v>2.2000000000000002</v>
      </c>
      <c r="O80" s="100">
        <v>0</v>
      </c>
      <c r="P80" s="100">
        <v>0.61</v>
      </c>
      <c r="Q80" s="100">
        <v>12.24</v>
      </c>
      <c r="R80" s="6"/>
      <c r="S80" s="6"/>
      <c r="T80" s="156"/>
      <c r="U80" s="6"/>
    </row>
    <row r="81" spans="1:21" customFormat="1">
      <c r="A81" s="163" t="s">
        <v>2423</v>
      </c>
      <c r="B81" s="100">
        <v>5.33</v>
      </c>
      <c r="C81" s="100">
        <v>21.35</v>
      </c>
      <c r="D81" s="100">
        <v>16.79</v>
      </c>
      <c r="E81" s="100">
        <v>7.94</v>
      </c>
      <c r="F81" s="100">
        <v>0.82</v>
      </c>
      <c r="G81" s="100">
        <v>49.42</v>
      </c>
      <c r="H81" s="100">
        <v>28.11</v>
      </c>
      <c r="I81" s="100">
        <v>8.08</v>
      </c>
      <c r="J81" s="100">
        <v>0.34</v>
      </c>
      <c r="K81" s="100">
        <v>36.94</v>
      </c>
      <c r="L81" s="100">
        <v>25.96</v>
      </c>
      <c r="M81" s="100">
        <v>38.43</v>
      </c>
      <c r="N81" s="100">
        <v>0.6</v>
      </c>
      <c r="O81" s="100">
        <v>0</v>
      </c>
      <c r="P81" s="100">
        <v>0.63</v>
      </c>
      <c r="Q81" s="100">
        <v>12.24</v>
      </c>
      <c r="R81" s="6"/>
      <c r="S81" s="6"/>
      <c r="T81" s="156"/>
      <c r="U81" s="6"/>
    </row>
    <row r="82" spans="1:21" customFormat="1">
      <c r="A82" s="163" t="s">
        <v>2424</v>
      </c>
      <c r="B82" s="100">
        <v>6.27</v>
      </c>
      <c r="C82" s="100">
        <v>22.51</v>
      </c>
      <c r="D82" s="100">
        <v>18.14</v>
      </c>
      <c r="E82" s="100">
        <v>10.44</v>
      </c>
      <c r="F82" s="100">
        <v>0.43</v>
      </c>
      <c r="G82" s="100">
        <v>57.31</v>
      </c>
      <c r="H82" s="100">
        <v>40.299999999999997</v>
      </c>
      <c r="I82" s="100">
        <v>8.2899999999999991</v>
      </c>
      <c r="J82" s="100">
        <v>0.15</v>
      </c>
      <c r="K82" s="100">
        <v>71.47</v>
      </c>
      <c r="L82" s="100">
        <v>25.85</v>
      </c>
      <c r="M82" s="100">
        <v>41.05</v>
      </c>
      <c r="N82" s="100">
        <v>1.4</v>
      </c>
      <c r="O82" s="100">
        <v>0</v>
      </c>
      <c r="P82" s="100">
        <v>0.65</v>
      </c>
      <c r="Q82" s="100">
        <v>12.24</v>
      </c>
      <c r="R82" s="6"/>
      <c r="S82" s="6"/>
      <c r="T82" s="156"/>
      <c r="U82" s="6"/>
    </row>
    <row r="83" spans="1:21" customFormat="1">
      <c r="A83" s="163" t="s">
        <v>2425</v>
      </c>
      <c r="B83" s="100">
        <v>6.82</v>
      </c>
      <c r="C83" s="100">
        <v>23.35</v>
      </c>
      <c r="D83" s="100">
        <v>19.02</v>
      </c>
      <c r="E83" s="100">
        <v>9.77</v>
      </c>
      <c r="F83" s="100">
        <v>0.65</v>
      </c>
      <c r="G83" s="100">
        <v>62.1</v>
      </c>
      <c r="H83" s="100">
        <v>42.74</v>
      </c>
      <c r="I83" s="100">
        <v>8.59</v>
      </c>
      <c r="J83" s="100">
        <v>0.25</v>
      </c>
      <c r="K83" s="100">
        <v>54.28</v>
      </c>
      <c r="L83" s="100">
        <v>25.43</v>
      </c>
      <c r="M83" s="100">
        <v>44.48</v>
      </c>
      <c r="N83" s="100">
        <v>1.3</v>
      </c>
      <c r="O83" s="100">
        <v>0</v>
      </c>
      <c r="P83" s="100">
        <v>0.67</v>
      </c>
      <c r="Q83" s="100">
        <v>12.24</v>
      </c>
      <c r="R83" s="6"/>
      <c r="S83" s="6"/>
      <c r="T83" s="156"/>
      <c r="U83" s="6"/>
    </row>
    <row r="84" spans="1:21" customFormat="1">
      <c r="A84" s="163" t="s">
        <v>2426</v>
      </c>
      <c r="B84" s="100">
        <v>7.46</v>
      </c>
      <c r="C84" s="100">
        <v>24.46</v>
      </c>
      <c r="D84" s="100">
        <v>20.11</v>
      </c>
      <c r="E84" s="100">
        <v>10.15</v>
      </c>
      <c r="F84" s="100">
        <v>0.82</v>
      </c>
      <c r="G84" s="100">
        <v>62.1</v>
      </c>
      <c r="H84" s="100">
        <v>42.74</v>
      </c>
      <c r="I84" s="100">
        <v>8.89</v>
      </c>
      <c r="J84" s="100">
        <v>0.42</v>
      </c>
      <c r="K84" s="100">
        <v>54.36</v>
      </c>
      <c r="L84" s="100">
        <v>25.48</v>
      </c>
      <c r="M84" s="100">
        <v>45.76</v>
      </c>
      <c r="N84" s="100">
        <v>1.2</v>
      </c>
      <c r="O84" s="100">
        <v>0</v>
      </c>
      <c r="P84" s="100">
        <v>0.72</v>
      </c>
      <c r="Q84" s="100">
        <v>12.24</v>
      </c>
      <c r="R84" s="6"/>
      <c r="S84" s="6"/>
      <c r="T84" s="156"/>
      <c r="U84" s="6"/>
    </row>
    <row r="85" spans="1:21" customFormat="1">
      <c r="A85" s="163" t="s">
        <v>2427</v>
      </c>
      <c r="B85" s="100">
        <v>8.1</v>
      </c>
      <c r="C85" s="100">
        <v>25.18</v>
      </c>
      <c r="D85" s="100">
        <v>21</v>
      </c>
      <c r="E85" s="100">
        <v>10.43</v>
      </c>
      <c r="F85" s="100">
        <v>0.74</v>
      </c>
      <c r="G85" s="100">
        <v>62.1</v>
      </c>
      <c r="H85" s="100">
        <v>42.74</v>
      </c>
      <c r="I85" s="100">
        <v>9.23</v>
      </c>
      <c r="J85" s="100">
        <v>0.32</v>
      </c>
      <c r="K85" s="100">
        <v>51.28</v>
      </c>
      <c r="L85" s="100">
        <v>24.96</v>
      </c>
      <c r="M85" s="100">
        <v>49.55</v>
      </c>
      <c r="N85" s="100">
        <v>1.5</v>
      </c>
      <c r="O85" s="100">
        <v>0</v>
      </c>
      <c r="P85" s="100">
        <v>0.76</v>
      </c>
      <c r="Q85" s="100">
        <v>12.24</v>
      </c>
      <c r="R85" s="6"/>
      <c r="S85" s="6"/>
      <c r="T85" s="156"/>
      <c r="U85" s="6"/>
    </row>
    <row r="86" spans="1:21" customFormat="1">
      <c r="A86" s="163" t="s">
        <v>2428</v>
      </c>
      <c r="B86" s="100">
        <v>8.7799999999999994</v>
      </c>
      <c r="C86" s="100">
        <v>25.66</v>
      </c>
      <c r="D86" s="100">
        <v>21.8</v>
      </c>
      <c r="E86" s="100">
        <v>10.220000000000001</v>
      </c>
      <c r="F86" s="100">
        <v>0.99</v>
      </c>
      <c r="G86" s="100">
        <v>135.81</v>
      </c>
      <c r="H86" s="100">
        <v>50.04</v>
      </c>
      <c r="I86" s="100">
        <v>9.52</v>
      </c>
      <c r="J86" s="100">
        <v>0.47</v>
      </c>
      <c r="K86" s="100">
        <v>51.7</v>
      </c>
      <c r="L86" s="100">
        <v>24.98</v>
      </c>
      <c r="M86" s="100">
        <v>48.98</v>
      </c>
      <c r="N86" s="100">
        <v>1</v>
      </c>
      <c r="O86" s="100">
        <v>0</v>
      </c>
      <c r="P86" s="100">
        <v>0.78</v>
      </c>
      <c r="Q86" s="100">
        <v>12.24</v>
      </c>
      <c r="R86" s="6"/>
      <c r="S86" s="6"/>
      <c r="T86" s="156"/>
      <c r="U86" s="6"/>
    </row>
    <row r="87" spans="1:21" customFormat="1">
      <c r="A87" s="163" t="s">
        <v>2429</v>
      </c>
      <c r="B87" s="100">
        <v>9.2200000000000006</v>
      </c>
      <c r="C87" s="100">
        <v>26.17</v>
      </c>
      <c r="D87" s="100">
        <v>22.42</v>
      </c>
      <c r="E87" s="100">
        <v>9.8800000000000008</v>
      </c>
      <c r="F87" s="100">
        <v>1.48</v>
      </c>
      <c r="G87" s="100">
        <v>180.56</v>
      </c>
      <c r="H87" s="100">
        <v>51.5</v>
      </c>
      <c r="I87" s="100">
        <v>9.83</v>
      </c>
      <c r="J87" s="100">
        <v>0.27</v>
      </c>
      <c r="K87" s="100">
        <v>83.1</v>
      </c>
      <c r="L87" s="100">
        <v>24.3</v>
      </c>
      <c r="M87" s="100">
        <v>55.57</v>
      </c>
      <c r="N87" s="100">
        <v>1.9</v>
      </c>
      <c r="O87" s="100">
        <v>0</v>
      </c>
      <c r="P87" s="100">
        <v>0.81</v>
      </c>
      <c r="Q87" s="100">
        <v>12.24</v>
      </c>
      <c r="R87" s="6"/>
      <c r="S87" s="6"/>
      <c r="T87" s="156"/>
      <c r="U87" s="6"/>
    </row>
    <row r="88" spans="1:21" customFormat="1">
      <c r="A88" s="163" t="s">
        <v>2430</v>
      </c>
      <c r="B88" s="100">
        <v>9.48</v>
      </c>
      <c r="C88" s="100">
        <v>26.54</v>
      </c>
      <c r="D88" s="100">
        <v>22.82</v>
      </c>
      <c r="E88" s="100">
        <v>9.6199999999999992</v>
      </c>
      <c r="F88" s="100">
        <v>0.76</v>
      </c>
      <c r="G88" s="100">
        <v>180.56</v>
      </c>
      <c r="H88" s="100">
        <v>51.5</v>
      </c>
      <c r="I88" s="100">
        <v>10.08</v>
      </c>
      <c r="J88" s="100">
        <v>0.14000000000000001</v>
      </c>
      <c r="K88" s="100">
        <v>101.22</v>
      </c>
      <c r="L88" s="100">
        <v>23.11</v>
      </c>
      <c r="M88" s="100">
        <v>61.38</v>
      </c>
      <c r="N88" s="100">
        <v>1.9</v>
      </c>
      <c r="O88" s="100">
        <v>0</v>
      </c>
      <c r="P88" s="100">
        <v>0.83</v>
      </c>
      <c r="Q88" s="100">
        <v>12.24</v>
      </c>
      <c r="R88" s="6"/>
      <c r="S88" s="6"/>
      <c r="T88" s="156"/>
      <c r="U88" s="6"/>
    </row>
    <row r="89" spans="1:21" customFormat="1">
      <c r="A89" s="163" t="s">
        <v>2431</v>
      </c>
      <c r="B89" s="100">
        <v>9.7899999999999991</v>
      </c>
      <c r="C89" s="100">
        <v>26.79</v>
      </c>
      <c r="D89" s="100">
        <v>23.2</v>
      </c>
      <c r="E89" s="100">
        <v>9.99</v>
      </c>
      <c r="F89" s="100">
        <v>1</v>
      </c>
      <c r="G89" s="100">
        <v>180.56</v>
      </c>
      <c r="H89" s="100">
        <v>51.5</v>
      </c>
      <c r="I89" s="100">
        <v>10.36</v>
      </c>
      <c r="J89" s="100">
        <v>0.36</v>
      </c>
      <c r="K89" s="100">
        <v>52.99</v>
      </c>
      <c r="L89" s="100">
        <v>23.65</v>
      </c>
      <c r="M89" s="100">
        <v>55.8</v>
      </c>
      <c r="N89" s="100">
        <v>0.8</v>
      </c>
      <c r="O89" s="100">
        <v>0</v>
      </c>
      <c r="P89" s="100">
        <v>0.87</v>
      </c>
      <c r="Q89" s="100">
        <v>12.24</v>
      </c>
      <c r="R89" s="6"/>
      <c r="S89" s="6"/>
      <c r="T89" s="156"/>
      <c r="U89" s="6"/>
    </row>
    <row r="90" spans="1:21" customFormat="1">
      <c r="A90" s="163" t="s">
        <v>2432</v>
      </c>
      <c r="B90" s="100">
        <v>10.11</v>
      </c>
      <c r="C90" s="100">
        <v>27.03</v>
      </c>
      <c r="D90" s="100">
        <v>23.58</v>
      </c>
      <c r="E90" s="100">
        <v>10.11</v>
      </c>
      <c r="F90" s="100">
        <v>1.1000000000000001</v>
      </c>
      <c r="G90" s="100">
        <v>164.18</v>
      </c>
      <c r="H90" s="100">
        <v>51.21</v>
      </c>
      <c r="I90" s="100">
        <v>10.63</v>
      </c>
      <c r="J90" s="100">
        <v>0.26</v>
      </c>
      <c r="K90" s="100">
        <v>163.71</v>
      </c>
      <c r="L90" s="100">
        <v>22.65</v>
      </c>
      <c r="M90" s="100">
        <v>67.09</v>
      </c>
      <c r="N90" s="100">
        <v>2.2000000000000002</v>
      </c>
      <c r="O90" s="100">
        <v>0</v>
      </c>
      <c r="P90" s="100">
        <v>0.89</v>
      </c>
      <c r="Q90" s="100">
        <v>12.24</v>
      </c>
      <c r="R90" s="6"/>
      <c r="S90" s="6"/>
      <c r="T90" s="156"/>
      <c r="U90" s="6"/>
    </row>
    <row r="91" spans="1:21" customFormat="1">
      <c r="A91" s="163" t="s">
        <v>2433</v>
      </c>
      <c r="B91" s="100">
        <v>10.199999999999999</v>
      </c>
      <c r="C91" s="100">
        <v>27.07</v>
      </c>
      <c r="D91" s="100">
        <v>23.68</v>
      </c>
      <c r="E91" s="100">
        <v>9.41</v>
      </c>
      <c r="F91" s="100">
        <v>2</v>
      </c>
      <c r="G91" s="100">
        <v>154.24</v>
      </c>
      <c r="H91" s="100">
        <v>51.12</v>
      </c>
      <c r="I91" s="100">
        <v>10.89</v>
      </c>
      <c r="J91" s="100">
        <v>0.22</v>
      </c>
      <c r="K91" s="100">
        <v>164.5</v>
      </c>
      <c r="L91" s="100">
        <v>21.71</v>
      </c>
      <c r="M91" s="100">
        <v>70.08</v>
      </c>
      <c r="N91" s="100">
        <v>1.9</v>
      </c>
      <c r="O91" s="100">
        <v>0</v>
      </c>
      <c r="P91" s="100">
        <v>0.91</v>
      </c>
      <c r="Q91" s="100">
        <v>12.24</v>
      </c>
      <c r="R91" s="6"/>
      <c r="S91" s="6"/>
      <c r="T91" s="156"/>
      <c r="U91" s="6"/>
    </row>
    <row r="92" spans="1:21" customFormat="1">
      <c r="A92" s="163" t="s">
        <v>2434</v>
      </c>
      <c r="B92" s="100">
        <v>10.24</v>
      </c>
      <c r="C92" s="100">
        <v>27.23</v>
      </c>
      <c r="D92" s="100">
        <v>23.79</v>
      </c>
      <c r="E92" s="100">
        <v>9.56</v>
      </c>
      <c r="F92" s="100">
        <v>0.47</v>
      </c>
      <c r="G92" s="100">
        <v>154.24</v>
      </c>
      <c r="H92" s="100">
        <v>51.12</v>
      </c>
      <c r="I92" s="100">
        <v>11.13</v>
      </c>
      <c r="J92" s="100">
        <v>0.18</v>
      </c>
      <c r="K92" s="100">
        <v>179.34</v>
      </c>
      <c r="L92" s="100">
        <v>21.4</v>
      </c>
      <c r="M92" s="100">
        <v>70.540000000000006</v>
      </c>
      <c r="N92" s="100">
        <v>1.5</v>
      </c>
      <c r="O92" s="100">
        <v>0</v>
      </c>
      <c r="P92" s="100">
        <v>0.94</v>
      </c>
      <c r="Q92" s="100">
        <v>12.24</v>
      </c>
      <c r="R92" s="6"/>
      <c r="S92" s="6"/>
      <c r="T92" s="156"/>
      <c r="U92" s="6"/>
    </row>
    <row r="93" spans="1:21" customFormat="1">
      <c r="A93" s="163" t="s">
        <v>2435</v>
      </c>
      <c r="B93" s="100">
        <v>10.34</v>
      </c>
      <c r="C93" s="100">
        <v>27.47</v>
      </c>
      <c r="D93" s="100">
        <v>24</v>
      </c>
      <c r="E93" s="100">
        <v>9.75</v>
      </c>
      <c r="F93" s="100">
        <v>0.57999999999999996</v>
      </c>
      <c r="G93" s="100">
        <v>154.24</v>
      </c>
      <c r="H93" s="100">
        <v>51.12</v>
      </c>
      <c r="I93" s="100">
        <v>11.34</v>
      </c>
      <c r="J93" s="100">
        <v>0.21</v>
      </c>
      <c r="K93" s="100">
        <v>177.26</v>
      </c>
      <c r="L93" s="100">
        <v>20.82</v>
      </c>
      <c r="M93" s="100">
        <v>76.760000000000005</v>
      </c>
      <c r="N93" s="100">
        <v>1.9</v>
      </c>
      <c r="O93" s="100">
        <v>0</v>
      </c>
      <c r="P93" s="100">
        <v>0.97</v>
      </c>
      <c r="Q93" s="100">
        <v>12.24</v>
      </c>
      <c r="R93" s="6"/>
      <c r="S93" s="6"/>
      <c r="T93" s="156"/>
      <c r="U93" s="6"/>
    </row>
    <row r="94" spans="1:21" customFormat="1">
      <c r="A94" s="163" t="s">
        <v>2436</v>
      </c>
      <c r="B94" s="100">
        <v>10.3</v>
      </c>
      <c r="C94" s="100">
        <v>27.44</v>
      </c>
      <c r="D94" s="100">
        <v>23.95</v>
      </c>
      <c r="E94" s="100">
        <v>9.82</v>
      </c>
      <c r="F94" s="100">
        <v>0.39</v>
      </c>
      <c r="G94" s="100">
        <v>149.19</v>
      </c>
      <c r="H94" s="100">
        <v>47.44</v>
      </c>
      <c r="I94" s="100">
        <v>11.58</v>
      </c>
      <c r="J94" s="100">
        <v>0.18</v>
      </c>
      <c r="K94" s="100">
        <v>185.98</v>
      </c>
      <c r="L94" s="100">
        <v>20.399999999999999</v>
      </c>
      <c r="M94" s="100">
        <v>76.23</v>
      </c>
      <c r="N94" s="100">
        <v>1.6</v>
      </c>
      <c r="O94" s="100">
        <v>0</v>
      </c>
      <c r="P94" s="100">
        <v>0.99</v>
      </c>
      <c r="Q94" s="100">
        <v>12.24</v>
      </c>
      <c r="R94" s="6"/>
      <c r="S94" s="6"/>
      <c r="T94" s="156"/>
      <c r="U94" s="6"/>
    </row>
    <row r="95" spans="1:21" customFormat="1">
      <c r="A95" s="163" t="s">
        <v>2437</v>
      </c>
      <c r="B95" s="100">
        <v>10.15</v>
      </c>
      <c r="C95" s="100">
        <v>27.22</v>
      </c>
      <c r="D95" s="100">
        <v>23.71</v>
      </c>
      <c r="E95" s="100">
        <v>9.24</v>
      </c>
      <c r="F95" s="100">
        <v>0.32</v>
      </c>
      <c r="G95" s="100">
        <v>146.12</v>
      </c>
      <c r="H95" s="100">
        <v>46.71</v>
      </c>
      <c r="I95" s="100">
        <v>11.81</v>
      </c>
      <c r="J95" s="100">
        <v>0.14000000000000001</v>
      </c>
      <c r="K95" s="100">
        <v>200.1</v>
      </c>
      <c r="L95" s="100">
        <v>20</v>
      </c>
      <c r="M95" s="100">
        <v>77.86</v>
      </c>
      <c r="N95" s="100">
        <v>1.6</v>
      </c>
      <c r="O95" s="100">
        <v>0</v>
      </c>
      <c r="P95" s="100">
        <v>1.01</v>
      </c>
      <c r="Q95" s="100">
        <v>12.24</v>
      </c>
      <c r="R95" s="6"/>
      <c r="S95" s="6"/>
      <c r="T95" s="156"/>
      <c r="U95" s="6"/>
    </row>
    <row r="96" spans="1:21" customFormat="1">
      <c r="A96" s="163" t="s">
        <v>2438</v>
      </c>
      <c r="B96" s="100">
        <v>10</v>
      </c>
      <c r="C96" s="100">
        <v>27.07</v>
      </c>
      <c r="D96" s="100">
        <v>23.51</v>
      </c>
      <c r="E96" s="100">
        <v>9.19</v>
      </c>
      <c r="F96" s="100">
        <v>0.25</v>
      </c>
      <c r="G96" s="100">
        <v>146.12</v>
      </c>
      <c r="H96" s="100">
        <v>46.71</v>
      </c>
      <c r="I96" s="100">
        <v>11.98</v>
      </c>
      <c r="J96" s="100">
        <v>0.21</v>
      </c>
      <c r="K96" s="100">
        <v>210.19</v>
      </c>
      <c r="L96" s="100">
        <v>20.03</v>
      </c>
      <c r="M96" s="100">
        <v>77</v>
      </c>
      <c r="N96" s="100">
        <v>1.4</v>
      </c>
      <c r="O96" s="100">
        <v>0</v>
      </c>
      <c r="P96" s="100">
        <v>1.02</v>
      </c>
      <c r="Q96" s="100">
        <v>12.24</v>
      </c>
      <c r="R96" s="6"/>
      <c r="S96" s="6"/>
      <c r="T96" s="156"/>
      <c r="U96" s="6"/>
    </row>
    <row r="97" spans="1:28" customFormat="1">
      <c r="A97" s="163" t="s">
        <v>2439</v>
      </c>
      <c r="B97" s="100">
        <v>9.61</v>
      </c>
      <c r="C97" s="100">
        <v>26.78</v>
      </c>
      <c r="D97" s="100">
        <v>23.04</v>
      </c>
      <c r="E97" s="100">
        <v>9.51</v>
      </c>
      <c r="F97" s="100">
        <v>0.46</v>
      </c>
      <c r="G97" s="100">
        <v>146.12</v>
      </c>
      <c r="H97" s="100">
        <v>46.71</v>
      </c>
      <c r="I97" s="100">
        <v>12.12</v>
      </c>
      <c r="J97" s="100">
        <v>0.14000000000000001</v>
      </c>
      <c r="K97" s="100">
        <v>216.26</v>
      </c>
      <c r="L97" s="100">
        <v>19.760000000000002</v>
      </c>
      <c r="M97" s="100">
        <v>80.510000000000005</v>
      </c>
      <c r="N97" s="100">
        <v>1.5</v>
      </c>
      <c r="O97" s="100">
        <v>0</v>
      </c>
      <c r="P97" s="100">
        <v>1.04</v>
      </c>
      <c r="Q97" s="100">
        <v>12.24</v>
      </c>
      <c r="R97" s="6"/>
      <c r="S97" s="6"/>
      <c r="T97" s="156"/>
      <c r="U97" s="6"/>
    </row>
    <row r="98" spans="1:28" customFormat="1">
      <c r="A98" s="163" t="s">
        <v>2440</v>
      </c>
      <c r="B98" s="100">
        <v>9.15</v>
      </c>
      <c r="C98" s="100">
        <v>26.73</v>
      </c>
      <c r="D98" s="100">
        <v>22.65</v>
      </c>
      <c r="E98" s="100">
        <v>8.9499999999999993</v>
      </c>
      <c r="F98" s="100">
        <v>0.54</v>
      </c>
      <c r="G98" s="100">
        <v>118.06</v>
      </c>
      <c r="H98" s="100">
        <v>39.42</v>
      </c>
      <c r="I98" s="100">
        <v>12.24</v>
      </c>
      <c r="J98" s="100">
        <v>0.17</v>
      </c>
      <c r="K98" s="100">
        <v>180.91</v>
      </c>
      <c r="L98" s="100">
        <v>19.850000000000001</v>
      </c>
      <c r="M98" s="100">
        <v>89.85</v>
      </c>
      <c r="N98" s="100">
        <v>1.3</v>
      </c>
      <c r="O98" s="100">
        <v>0</v>
      </c>
      <c r="P98" s="100">
        <v>1.06</v>
      </c>
      <c r="Q98" s="100">
        <v>12.24</v>
      </c>
      <c r="R98" s="6"/>
      <c r="S98" s="6"/>
      <c r="T98" s="156"/>
      <c r="U98" s="6"/>
    </row>
    <row r="99" spans="1:28" customFormat="1">
      <c r="A99" s="163" t="s">
        <v>2441</v>
      </c>
      <c r="B99" s="100">
        <v>8.81</v>
      </c>
      <c r="C99" s="100">
        <v>26.63</v>
      </c>
      <c r="D99" s="100">
        <v>22.33</v>
      </c>
      <c r="E99" s="100">
        <v>9.33</v>
      </c>
      <c r="F99" s="100">
        <v>0.31</v>
      </c>
      <c r="G99" s="100">
        <v>101.02</v>
      </c>
      <c r="H99" s="100">
        <v>37.96</v>
      </c>
      <c r="I99" s="100">
        <v>12.33</v>
      </c>
      <c r="J99" s="100">
        <v>0.18</v>
      </c>
      <c r="K99" s="100">
        <v>181.84</v>
      </c>
      <c r="L99" s="100">
        <v>19.68</v>
      </c>
      <c r="M99" s="100">
        <v>82.49</v>
      </c>
      <c r="N99" s="100">
        <v>1.4</v>
      </c>
      <c r="O99" s="100">
        <v>0</v>
      </c>
      <c r="P99" s="100">
        <v>1.0900000000000001</v>
      </c>
      <c r="Q99" s="100">
        <v>12.24</v>
      </c>
      <c r="R99" s="6"/>
      <c r="S99" s="6"/>
      <c r="T99" s="156"/>
      <c r="U99" s="6"/>
    </row>
    <row r="100" spans="1:28" customFormat="1">
      <c r="A100" s="163" t="s">
        <v>2442</v>
      </c>
      <c r="B100" s="100">
        <v>8.5500000000000007</v>
      </c>
      <c r="C100" s="100">
        <v>26.42</v>
      </c>
      <c r="D100" s="100">
        <v>22.01</v>
      </c>
      <c r="E100" s="100">
        <v>8.9600000000000009</v>
      </c>
      <c r="F100" s="100">
        <v>1.07</v>
      </c>
      <c r="G100" s="100">
        <v>101.02</v>
      </c>
      <c r="H100" s="100">
        <v>37.96</v>
      </c>
      <c r="I100" s="100">
        <v>12.58</v>
      </c>
      <c r="J100" s="100">
        <v>0.21</v>
      </c>
      <c r="K100" s="100">
        <v>160.66</v>
      </c>
      <c r="L100" s="100">
        <v>19.52</v>
      </c>
      <c r="M100" s="100">
        <v>81.760000000000005</v>
      </c>
      <c r="N100" s="100">
        <v>1.4</v>
      </c>
      <c r="O100" s="100">
        <v>0</v>
      </c>
      <c r="P100" s="100">
        <v>1.1000000000000001</v>
      </c>
      <c r="Q100" s="100">
        <v>12.24</v>
      </c>
      <c r="R100" s="6"/>
      <c r="S100" s="6"/>
      <c r="T100" s="156"/>
      <c r="U100" s="6"/>
      <c r="AB100" s="161"/>
    </row>
    <row r="101" spans="1:28" customFormat="1">
      <c r="A101" s="163" t="s">
        <v>2443</v>
      </c>
      <c r="B101" s="100">
        <v>8.32</v>
      </c>
      <c r="C101" s="100">
        <v>26.14</v>
      </c>
      <c r="D101" s="100">
        <v>21.68</v>
      </c>
      <c r="E101" s="100">
        <v>8.7799999999999994</v>
      </c>
      <c r="F101" s="100">
        <v>0.31</v>
      </c>
      <c r="G101" s="100">
        <v>101.02</v>
      </c>
      <c r="H101" s="100">
        <v>37.96</v>
      </c>
      <c r="I101" s="100">
        <v>12.88</v>
      </c>
      <c r="J101" s="100">
        <v>0.24</v>
      </c>
      <c r="K101" s="100">
        <v>162.19999999999999</v>
      </c>
      <c r="L101" s="100">
        <v>19.43</v>
      </c>
      <c r="M101" s="100">
        <v>82.17</v>
      </c>
      <c r="N101" s="100">
        <v>1.4</v>
      </c>
      <c r="O101" s="100">
        <v>0</v>
      </c>
      <c r="P101" s="100">
        <v>1.1100000000000001</v>
      </c>
      <c r="Q101" s="100">
        <v>12.24</v>
      </c>
      <c r="R101" s="6"/>
      <c r="S101" s="6"/>
      <c r="T101" s="156"/>
      <c r="U101" s="6"/>
    </row>
    <row r="102" spans="1:28" customFormat="1">
      <c r="A102" s="163" t="s">
        <v>2444</v>
      </c>
      <c r="B102" s="100">
        <v>8.16</v>
      </c>
      <c r="C102" s="100">
        <v>26.02</v>
      </c>
      <c r="D102" s="100">
        <v>21.49</v>
      </c>
      <c r="E102" s="100">
        <v>9.02</v>
      </c>
      <c r="F102" s="100">
        <v>0.04</v>
      </c>
      <c r="G102" s="100">
        <v>112.18</v>
      </c>
      <c r="H102" s="100">
        <v>40.14</v>
      </c>
      <c r="I102" s="100">
        <v>13.18</v>
      </c>
      <c r="J102" s="100">
        <v>0.19</v>
      </c>
      <c r="K102" s="100">
        <v>194.47</v>
      </c>
      <c r="L102" s="100">
        <v>19.2</v>
      </c>
      <c r="M102" s="100">
        <v>81.59</v>
      </c>
      <c r="N102" s="100">
        <v>1.3</v>
      </c>
      <c r="O102" s="100">
        <v>0</v>
      </c>
      <c r="P102" s="100">
        <v>1.1299999999999999</v>
      </c>
      <c r="Q102" s="100">
        <v>12.24</v>
      </c>
      <c r="R102" s="6"/>
      <c r="S102" s="6"/>
      <c r="T102" s="156"/>
      <c r="U102" s="6"/>
    </row>
    <row r="103" spans="1:28" customFormat="1">
      <c r="A103" s="163" t="s">
        <v>2445</v>
      </c>
      <c r="B103" s="100">
        <v>7.99</v>
      </c>
      <c r="C103" s="100">
        <v>25.87</v>
      </c>
      <c r="D103" s="100">
        <v>21.27</v>
      </c>
      <c r="E103" s="100">
        <v>8.99</v>
      </c>
      <c r="F103" s="100">
        <v>0.81</v>
      </c>
      <c r="G103" s="100">
        <v>118.95</v>
      </c>
      <c r="H103" s="100">
        <v>40.58</v>
      </c>
      <c r="I103" s="100">
        <v>13.37</v>
      </c>
      <c r="J103" s="100">
        <v>0.14000000000000001</v>
      </c>
      <c r="K103" s="100">
        <v>199.89</v>
      </c>
      <c r="L103" s="100">
        <v>19.09</v>
      </c>
      <c r="M103" s="100">
        <v>80.209999999999994</v>
      </c>
      <c r="N103" s="100">
        <v>1.4</v>
      </c>
      <c r="O103" s="100">
        <v>0</v>
      </c>
      <c r="P103" s="100">
        <v>1.1299999999999999</v>
      </c>
      <c r="Q103" s="100">
        <v>12.24</v>
      </c>
      <c r="R103" s="6"/>
      <c r="S103" s="6"/>
      <c r="T103" s="156"/>
      <c r="U103" s="6"/>
    </row>
    <row r="104" spans="1:28" customFormat="1">
      <c r="A104" s="163" t="s">
        <v>2446</v>
      </c>
      <c r="B104" s="100">
        <v>7.78</v>
      </c>
      <c r="C104" s="100">
        <v>25.75</v>
      </c>
      <c r="D104" s="100">
        <v>21.04</v>
      </c>
      <c r="E104" s="100">
        <v>8.7100000000000009</v>
      </c>
      <c r="F104" s="100">
        <v>0.95</v>
      </c>
      <c r="G104" s="100">
        <v>118.95</v>
      </c>
      <c r="H104" s="100">
        <v>40.58</v>
      </c>
      <c r="I104" s="100">
        <v>13.57</v>
      </c>
      <c r="J104" s="100">
        <v>0.13</v>
      </c>
      <c r="K104" s="100">
        <v>186.72</v>
      </c>
      <c r="L104" s="100">
        <v>18.989999999999998</v>
      </c>
      <c r="M104" s="100">
        <v>80.78</v>
      </c>
      <c r="N104" s="100">
        <v>1.3</v>
      </c>
      <c r="O104" s="100">
        <v>0</v>
      </c>
      <c r="P104" s="100">
        <v>1.1499999999999999</v>
      </c>
      <c r="Q104" s="100">
        <v>12.24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3.57</v>
      </c>
      <c r="C106" s="158">
        <f>MIN(C9:C104)</f>
        <v>20.32</v>
      </c>
      <c r="D106" s="158">
        <f t="shared" ref="D106:Q106" si="0">MIN(D9:D104)</f>
        <v>14.92</v>
      </c>
      <c r="E106" s="158">
        <f t="shared" si="0"/>
        <v>7.94</v>
      </c>
      <c r="F106" s="158">
        <f t="shared" si="0"/>
        <v>0.04</v>
      </c>
      <c r="G106" s="158">
        <f t="shared" si="0"/>
        <v>44.36</v>
      </c>
      <c r="H106" s="158">
        <f t="shared" si="0"/>
        <v>26.48</v>
      </c>
      <c r="I106" s="158">
        <f t="shared" si="0"/>
        <v>7.81</v>
      </c>
      <c r="J106" s="158">
        <f t="shared" si="0"/>
        <v>0.05</v>
      </c>
      <c r="K106" s="158">
        <f t="shared" si="0"/>
        <v>4.7300000000000004</v>
      </c>
      <c r="L106" s="158">
        <f t="shared" si="0"/>
        <v>14.42</v>
      </c>
      <c r="M106" s="158">
        <f t="shared" si="0"/>
        <v>21.27</v>
      </c>
      <c r="N106" s="158">
        <f t="shared" si="0"/>
        <v>0.6</v>
      </c>
      <c r="O106" s="158">
        <f t="shared" si="0"/>
        <v>0</v>
      </c>
      <c r="P106" s="158">
        <f t="shared" si="0"/>
        <v>0.57999999999999996</v>
      </c>
      <c r="Q106" s="158">
        <f t="shared" si="0"/>
        <v>12.24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49.97</v>
      </c>
      <c r="C107" s="157">
        <f t="shared" ref="C107:Q107" si="1">MAX(C9:C104)</f>
        <v>31.16</v>
      </c>
      <c r="D107" s="157">
        <f t="shared" si="1"/>
        <v>56.76</v>
      </c>
      <c r="E107" s="157">
        <f t="shared" si="1"/>
        <v>12.76</v>
      </c>
      <c r="F107" s="157">
        <f t="shared" si="1"/>
        <v>3.94</v>
      </c>
      <c r="G107" s="157">
        <f t="shared" si="1"/>
        <v>180.56</v>
      </c>
      <c r="H107" s="157">
        <f t="shared" si="1"/>
        <v>51.5</v>
      </c>
      <c r="I107" s="157">
        <f t="shared" si="1"/>
        <v>18.82</v>
      </c>
      <c r="J107" s="157">
        <f t="shared" si="1"/>
        <v>0.94</v>
      </c>
      <c r="K107" s="157">
        <f t="shared" si="1"/>
        <v>339.31</v>
      </c>
      <c r="L107" s="157">
        <f t="shared" si="1"/>
        <v>32.159999999999997</v>
      </c>
      <c r="M107" s="157">
        <f t="shared" si="1"/>
        <v>103</v>
      </c>
      <c r="N107" s="157">
        <f t="shared" si="1"/>
        <v>415.7</v>
      </c>
      <c r="O107" s="157">
        <f t="shared" si="1"/>
        <v>0</v>
      </c>
      <c r="P107" s="157">
        <f t="shared" si="1"/>
        <v>1.35</v>
      </c>
      <c r="Q107" s="157">
        <f t="shared" si="1"/>
        <v>12.24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20.603229166666654</v>
      </c>
      <c r="C108" s="158">
        <f t="shared" ref="C108:Q108" si="2">AVERAGE(C9:C104)</f>
        <v>27.291666666666671</v>
      </c>
      <c r="D108" s="158">
        <f t="shared" si="2"/>
        <v>32.132187500000001</v>
      </c>
      <c r="E108" s="158">
        <f t="shared" si="2"/>
        <v>10.251145833333334</v>
      </c>
      <c r="F108" s="158">
        <f t="shared" si="2"/>
        <v>1.2463541666666669</v>
      </c>
      <c r="G108" s="158">
        <f t="shared" si="2"/>
        <v>102.0489583333334</v>
      </c>
      <c r="H108" s="158">
        <f t="shared" si="2"/>
        <v>35.416249999999998</v>
      </c>
      <c r="I108" s="158">
        <f t="shared" si="2"/>
        <v>13.735312499999997</v>
      </c>
      <c r="J108" s="158">
        <f t="shared" si="2"/>
        <v>0.23291666666666674</v>
      </c>
      <c r="K108" s="158">
        <f t="shared" si="2"/>
        <v>194.05708333333334</v>
      </c>
      <c r="L108" s="158">
        <f t="shared" si="2"/>
        <v>22.712916666666661</v>
      </c>
      <c r="M108" s="158">
        <f t="shared" si="2"/>
        <v>61.544999999999995</v>
      </c>
      <c r="N108" s="158">
        <f t="shared" si="2"/>
        <v>93.293749999999932</v>
      </c>
      <c r="O108" s="158">
        <f t="shared" si="2"/>
        <v>0</v>
      </c>
      <c r="P108" s="158">
        <f t="shared" si="2"/>
        <v>1.0248958333333336</v>
      </c>
      <c r="Q108" s="158">
        <f t="shared" si="2"/>
        <v>12.240000000000007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16.584462512579069</v>
      </c>
      <c r="C109" s="158">
        <f t="shared" ref="C109:Q109" si="3">STDEV(C9:C104)</f>
        <v>3.0734823954411845</v>
      </c>
      <c r="D109" s="158">
        <f t="shared" si="3"/>
        <v>14.273561809983548</v>
      </c>
      <c r="E109" s="158">
        <f t="shared" si="3"/>
        <v>1.0996151190701564</v>
      </c>
      <c r="F109" s="158">
        <f t="shared" si="3"/>
        <v>0.81036199811100196</v>
      </c>
      <c r="G109" s="158">
        <f t="shared" si="3"/>
        <v>36.732564513597573</v>
      </c>
      <c r="H109" s="158">
        <f t="shared" si="3"/>
        <v>6.5103779904816044</v>
      </c>
      <c r="I109" s="158">
        <f t="shared" si="3"/>
        <v>3.4957152579227335</v>
      </c>
      <c r="J109" s="158">
        <f t="shared" si="3"/>
        <v>0.13426538266603227</v>
      </c>
      <c r="K109" s="158">
        <f t="shared" si="3"/>
        <v>73.928370053531722</v>
      </c>
      <c r="L109" s="158">
        <f t="shared" si="3"/>
        <v>6.0173179751476775</v>
      </c>
      <c r="M109" s="158">
        <f t="shared" si="3"/>
        <v>25.572427091858533</v>
      </c>
      <c r="N109" s="158">
        <f t="shared" si="3"/>
        <v>148.66997913959773</v>
      </c>
      <c r="O109" s="158">
        <f t="shared" si="3"/>
        <v>0</v>
      </c>
      <c r="P109" s="158">
        <f t="shared" si="3"/>
        <v>0.25563129201281271</v>
      </c>
      <c r="Q109" s="158">
        <f t="shared" si="3"/>
        <v>7.1427264451533946E-15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R4" sqref="R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24/01/2025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2447</v>
      </c>
      <c r="B9" s="100">
        <v>7.37</v>
      </c>
      <c r="C9" s="100">
        <v>25.71</v>
      </c>
      <c r="D9" s="100">
        <v>20.69</v>
      </c>
      <c r="E9" s="100">
        <v>8.86</v>
      </c>
      <c r="F9" s="100">
        <v>1.24</v>
      </c>
      <c r="G9" s="100">
        <v>118.95</v>
      </c>
      <c r="H9" s="100">
        <v>40.58</v>
      </c>
      <c r="I9" s="100">
        <v>13.72</v>
      </c>
      <c r="J9" s="100">
        <v>0.21</v>
      </c>
      <c r="K9" s="100">
        <v>251.38</v>
      </c>
      <c r="L9" s="100">
        <v>18.739999999999998</v>
      </c>
      <c r="M9" s="100">
        <v>83.6</v>
      </c>
      <c r="N9" s="100">
        <v>1.5</v>
      </c>
      <c r="O9" s="100">
        <v>0</v>
      </c>
      <c r="P9" s="100">
        <v>1.17</v>
      </c>
      <c r="Q9" s="100">
        <v>12.25</v>
      </c>
      <c r="R9" s="6"/>
      <c r="S9" s="6"/>
      <c r="T9" s="156"/>
      <c r="U9" s="6"/>
    </row>
    <row r="10" spans="1:21" customFormat="1">
      <c r="A10" s="163" t="s">
        <v>2448</v>
      </c>
      <c r="B10" s="100">
        <v>7.29</v>
      </c>
      <c r="C10" s="100">
        <v>25.5</v>
      </c>
      <c r="D10" s="100">
        <v>20.52</v>
      </c>
      <c r="E10" s="100">
        <v>8.6300000000000008</v>
      </c>
      <c r="F10" s="100">
        <v>0.78</v>
      </c>
      <c r="G10" s="100">
        <v>117.6</v>
      </c>
      <c r="H10" s="100">
        <v>38.83</v>
      </c>
      <c r="I10" s="100">
        <v>13.81</v>
      </c>
      <c r="J10" s="100">
        <v>0.19</v>
      </c>
      <c r="K10" s="100">
        <v>192.03</v>
      </c>
      <c r="L10" s="100">
        <v>18.88</v>
      </c>
      <c r="M10" s="100">
        <v>79.790000000000006</v>
      </c>
      <c r="N10" s="100">
        <v>1.1000000000000001</v>
      </c>
      <c r="O10" s="100">
        <v>0</v>
      </c>
      <c r="P10" s="100">
        <v>1.18</v>
      </c>
      <c r="Q10" s="100">
        <v>12.25</v>
      </c>
      <c r="R10" s="6"/>
      <c r="S10" s="6"/>
      <c r="T10" s="156"/>
      <c r="U10" s="6"/>
    </row>
    <row r="11" spans="1:21" customFormat="1">
      <c r="A11" s="163" t="s">
        <v>2449</v>
      </c>
      <c r="B11" s="100">
        <v>7.39</v>
      </c>
      <c r="C11" s="100">
        <v>25.59</v>
      </c>
      <c r="D11" s="100">
        <v>20.65</v>
      </c>
      <c r="E11" s="100">
        <v>8.86</v>
      </c>
      <c r="F11" s="100">
        <v>0.21</v>
      </c>
      <c r="G11" s="100">
        <v>116.77</v>
      </c>
      <c r="H11" s="100">
        <v>38.479999999999997</v>
      </c>
      <c r="I11" s="100">
        <v>13.87</v>
      </c>
      <c r="J11" s="100">
        <v>0.23</v>
      </c>
      <c r="K11" s="100">
        <v>162.63</v>
      </c>
      <c r="L11" s="100">
        <v>19.04</v>
      </c>
      <c r="M11" s="100">
        <v>81.28</v>
      </c>
      <c r="N11" s="100">
        <v>1.3</v>
      </c>
      <c r="O11" s="100">
        <v>0</v>
      </c>
      <c r="P11" s="100">
        <v>1.2</v>
      </c>
      <c r="Q11" s="100">
        <v>12.25</v>
      </c>
      <c r="R11" s="6"/>
      <c r="S11" s="6"/>
      <c r="T11" s="156"/>
      <c r="U11" s="6"/>
    </row>
    <row r="12" spans="1:21" customFormat="1">
      <c r="A12" s="163" t="s">
        <v>2450</v>
      </c>
      <c r="B12" s="100">
        <v>7.56</v>
      </c>
      <c r="C12" s="100">
        <v>25.56</v>
      </c>
      <c r="D12" s="100">
        <v>20.77</v>
      </c>
      <c r="E12" s="100">
        <v>8.23</v>
      </c>
      <c r="F12" s="100">
        <v>0.52</v>
      </c>
      <c r="G12" s="100">
        <v>116.77</v>
      </c>
      <c r="H12" s="100">
        <v>38.479999999999997</v>
      </c>
      <c r="I12" s="100">
        <v>14.14</v>
      </c>
      <c r="J12" s="100">
        <v>0.25</v>
      </c>
      <c r="K12" s="100">
        <v>157.22</v>
      </c>
      <c r="L12" s="100">
        <v>18.84</v>
      </c>
      <c r="M12" s="100">
        <v>85.61</v>
      </c>
      <c r="N12" s="100">
        <v>1.3</v>
      </c>
      <c r="O12" s="100">
        <v>0</v>
      </c>
      <c r="P12" s="100">
        <v>1.22</v>
      </c>
      <c r="Q12" s="100">
        <v>12.25</v>
      </c>
      <c r="R12" s="6"/>
      <c r="S12" s="6"/>
      <c r="T12" s="156"/>
      <c r="U12" s="6"/>
    </row>
    <row r="13" spans="1:21" customFormat="1">
      <c r="A13" s="163" t="s">
        <v>2451</v>
      </c>
      <c r="B13" s="100">
        <v>7.69</v>
      </c>
      <c r="C13" s="100">
        <v>25.73</v>
      </c>
      <c r="D13" s="100">
        <v>20.96</v>
      </c>
      <c r="E13" s="100">
        <v>8.74</v>
      </c>
      <c r="F13" s="100">
        <v>0.81</v>
      </c>
      <c r="G13" s="100">
        <v>116.77</v>
      </c>
      <c r="H13" s="100">
        <v>38.479999999999997</v>
      </c>
      <c r="I13" s="100">
        <v>14.44</v>
      </c>
      <c r="J13" s="100">
        <v>0.28000000000000003</v>
      </c>
      <c r="K13" s="100">
        <v>189.18</v>
      </c>
      <c r="L13" s="100">
        <v>18.64</v>
      </c>
      <c r="M13" s="100">
        <v>86.81</v>
      </c>
      <c r="N13" s="100">
        <v>1.4</v>
      </c>
      <c r="O13" s="100">
        <v>0</v>
      </c>
      <c r="P13" s="100">
        <v>1.24</v>
      </c>
      <c r="Q13" s="100">
        <v>12.25</v>
      </c>
      <c r="R13" s="6"/>
      <c r="S13" s="6"/>
      <c r="T13" s="156"/>
      <c r="U13" s="6"/>
    </row>
    <row r="14" spans="1:21" customFormat="1">
      <c r="A14" s="163" t="s">
        <v>2452</v>
      </c>
      <c r="B14" s="100">
        <v>7.85</v>
      </c>
      <c r="C14" s="100">
        <v>26.02</v>
      </c>
      <c r="D14" s="100">
        <v>21.24</v>
      </c>
      <c r="E14" s="100">
        <v>8.6199999999999992</v>
      </c>
      <c r="F14" s="100">
        <v>0.97</v>
      </c>
      <c r="G14" s="100">
        <v>114.47</v>
      </c>
      <c r="H14" s="100">
        <v>39.32</v>
      </c>
      <c r="I14" s="100">
        <v>14.81</v>
      </c>
      <c r="J14" s="100">
        <v>0.27</v>
      </c>
      <c r="K14" s="100">
        <v>169.9</v>
      </c>
      <c r="L14" s="100">
        <v>18.46</v>
      </c>
      <c r="M14" s="100">
        <v>82.34</v>
      </c>
      <c r="N14" s="100">
        <v>1.5</v>
      </c>
      <c r="O14" s="100">
        <v>0</v>
      </c>
      <c r="P14" s="100">
        <v>1.26</v>
      </c>
      <c r="Q14" s="100">
        <v>12.25</v>
      </c>
      <c r="R14" s="6"/>
      <c r="S14" s="6"/>
      <c r="T14" s="156"/>
      <c r="U14" s="6"/>
    </row>
    <row r="15" spans="1:21" customFormat="1">
      <c r="A15" s="163" t="s">
        <v>2453</v>
      </c>
      <c r="B15" s="100">
        <v>7.92</v>
      </c>
      <c r="C15" s="100">
        <v>26.11</v>
      </c>
      <c r="D15" s="100">
        <v>21.34</v>
      </c>
      <c r="E15" s="100">
        <v>8.6199999999999992</v>
      </c>
      <c r="F15" s="100">
        <v>0.81</v>
      </c>
      <c r="G15" s="100">
        <v>113.07</v>
      </c>
      <c r="H15" s="100">
        <v>39.51</v>
      </c>
      <c r="I15" s="100">
        <v>15.1</v>
      </c>
      <c r="J15" s="100">
        <v>0.14000000000000001</v>
      </c>
      <c r="K15" s="100">
        <v>161.88</v>
      </c>
      <c r="L15" s="100">
        <v>18.260000000000002</v>
      </c>
      <c r="M15" s="100">
        <v>83.23</v>
      </c>
      <c r="N15" s="100">
        <v>1.3</v>
      </c>
      <c r="O15" s="100">
        <v>0</v>
      </c>
      <c r="P15" s="100">
        <v>1.26</v>
      </c>
      <c r="Q15" s="100">
        <v>12.25</v>
      </c>
      <c r="R15" s="6"/>
      <c r="S15" s="6"/>
      <c r="T15" s="156"/>
      <c r="U15" s="6"/>
    </row>
    <row r="16" spans="1:21" customFormat="1">
      <c r="A16" s="163" t="s">
        <v>2454</v>
      </c>
      <c r="B16" s="100">
        <v>7.92</v>
      </c>
      <c r="C16" s="100">
        <v>25.92</v>
      </c>
      <c r="D16" s="100">
        <v>21.25</v>
      </c>
      <c r="E16" s="100">
        <v>8.91</v>
      </c>
      <c r="F16" s="100">
        <v>0.21</v>
      </c>
      <c r="G16" s="100">
        <v>113.07</v>
      </c>
      <c r="H16" s="100">
        <v>39.51</v>
      </c>
      <c r="I16" s="100">
        <v>15.34</v>
      </c>
      <c r="J16" s="100">
        <v>0.15</v>
      </c>
      <c r="K16" s="100">
        <v>169.36</v>
      </c>
      <c r="L16" s="100">
        <v>18.149999999999999</v>
      </c>
      <c r="M16" s="100">
        <v>86.42</v>
      </c>
      <c r="N16" s="100">
        <v>1.4</v>
      </c>
      <c r="O16" s="100">
        <v>0</v>
      </c>
      <c r="P16" s="100">
        <v>1.27</v>
      </c>
      <c r="Q16" s="100">
        <v>12.25</v>
      </c>
      <c r="R16" s="6"/>
      <c r="S16" s="6"/>
      <c r="T16" s="156"/>
      <c r="U16" s="6"/>
    </row>
    <row r="17" spans="1:21" customFormat="1">
      <c r="A17" s="163" t="s">
        <v>2455</v>
      </c>
      <c r="B17" s="100">
        <v>7.9</v>
      </c>
      <c r="C17" s="100">
        <v>25.74</v>
      </c>
      <c r="D17" s="100">
        <v>21.14</v>
      </c>
      <c r="E17" s="100">
        <v>6.69</v>
      </c>
      <c r="F17" s="100">
        <v>0.16</v>
      </c>
      <c r="G17" s="100">
        <v>113.07</v>
      </c>
      <c r="H17" s="100">
        <v>39.51</v>
      </c>
      <c r="I17" s="100">
        <v>15.42</v>
      </c>
      <c r="J17" s="100">
        <v>0.12</v>
      </c>
      <c r="K17" s="100">
        <v>199.56</v>
      </c>
      <c r="L17" s="100">
        <v>17.93</v>
      </c>
      <c r="M17" s="100">
        <v>91.26</v>
      </c>
      <c r="N17" s="100">
        <v>1.3</v>
      </c>
      <c r="O17" s="100">
        <v>0</v>
      </c>
      <c r="P17" s="100">
        <v>1.28</v>
      </c>
      <c r="Q17" s="100">
        <v>12.25</v>
      </c>
      <c r="R17" s="6"/>
      <c r="S17" s="6"/>
      <c r="T17" s="156"/>
      <c r="U17" s="6"/>
    </row>
    <row r="18" spans="1:21" customFormat="1">
      <c r="A18" s="163" t="s">
        <v>2456</v>
      </c>
      <c r="B18" s="100">
        <v>8.6999999999999993</v>
      </c>
      <c r="C18" s="100">
        <v>26</v>
      </c>
      <c r="D18" s="100">
        <v>21.91</v>
      </c>
      <c r="E18" s="100">
        <v>8.3699999999999992</v>
      </c>
      <c r="F18" s="100">
        <v>0.7</v>
      </c>
      <c r="G18" s="100">
        <v>112.98</v>
      </c>
      <c r="H18" s="100">
        <v>38.6</v>
      </c>
      <c r="I18" s="100">
        <v>15.55</v>
      </c>
      <c r="J18" s="100">
        <v>0.09</v>
      </c>
      <c r="K18" s="100">
        <v>202.32</v>
      </c>
      <c r="L18" s="100">
        <v>18.04</v>
      </c>
      <c r="M18" s="100">
        <v>85.79</v>
      </c>
      <c r="N18" s="100">
        <v>1.1000000000000001</v>
      </c>
      <c r="O18" s="100">
        <v>0</v>
      </c>
      <c r="P18" s="100">
        <v>1.29</v>
      </c>
      <c r="Q18" s="100">
        <v>12.25</v>
      </c>
      <c r="R18" s="6"/>
      <c r="S18" s="6"/>
      <c r="T18" s="156"/>
      <c r="U18" s="6"/>
    </row>
    <row r="19" spans="1:21" customFormat="1">
      <c r="A19" s="163" t="s">
        <v>2457</v>
      </c>
      <c r="B19" s="100">
        <v>11.06</v>
      </c>
      <c r="C19" s="100">
        <v>26.48</v>
      </c>
      <c r="D19" s="100">
        <v>24.06</v>
      </c>
      <c r="E19" s="100">
        <v>8.02</v>
      </c>
      <c r="F19" s="100">
        <v>0.61</v>
      </c>
      <c r="G19" s="100">
        <v>112.92</v>
      </c>
      <c r="H19" s="100">
        <v>38.07</v>
      </c>
      <c r="I19" s="100">
        <v>15.54</v>
      </c>
      <c r="J19" s="100">
        <v>0.17</v>
      </c>
      <c r="K19" s="100">
        <v>169.31</v>
      </c>
      <c r="L19" s="100">
        <v>18.27</v>
      </c>
      <c r="M19" s="100">
        <v>84.06</v>
      </c>
      <c r="N19" s="100">
        <v>1.2</v>
      </c>
      <c r="O19" s="100">
        <v>0</v>
      </c>
      <c r="P19" s="100">
        <v>1.29</v>
      </c>
      <c r="Q19" s="100">
        <v>12.25</v>
      </c>
      <c r="R19" s="6"/>
      <c r="S19" s="6"/>
      <c r="T19" s="156"/>
      <c r="U19" s="6"/>
    </row>
    <row r="20" spans="1:21" customFormat="1">
      <c r="A20" s="163" t="s">
        <v>2458</v>
      </c>
      <c r="B20" s="100">
        <v>12.96</v>
      </c>
      <c r="C20" s="100">
        <v>26.61</v>
      </c>
      <c r="D20" s="100">
        <v>25.65</v>
      </c>
      <c r="E20" s="100">
        <v>8.2799999999999994</v>
      </c>
      <c r="F20" s="100">
        <v>0.7</v>
      </c>
      <c r="G20" s="100">
        <v>112.92</v>
      </c>
      <c r="H20" s="100">
        <v>38.07</v>
      </c>
      <c r="I20" s="100">
        <v>15.58</v>
      </c>
      <c r="J20" s="100">
        <v>0.2</v>
      </c>
      <c r="K20" s="100">
        <v>156.72</v>
      </c>
      <c r="L20" s="100">
        <v>18.04</v>
      </c>
      <c r="M20" s="100">
        <v>87.23</v>
      </c>
      <c r="N20" s="100">
        <v>1.3</v>
      </c>
      <c r="O20" s="100">
        <v>0</v>
      </c>
      <c r="P20" s="100">
        <v>1.3</v>
      </c>
      <c r="Q20" s="100">
        <v>12.25</v>
      </c>
      <c r="R20" s="6"/>
      <c r="S20" s="6"/>
      <c r="T20" s="156"/>
      <c r="U20" s="6"/>
    </row>
    <row r="21" spans="1:21" customFormat="1">
      <c r="A21" s="163" t="s">
        <v>2459</v>
      </c>
      <c r="B21" s="100">
        <v>14.14</v>
      </c>
      <c r="C21" s="100">
        <v>26.95</v>
      </c>
      <c r="D21" s="100">
        <v>26.77</v>
      </c>
      <c r="E21" s="100">
        <v>7.94</v>
      </c>
      <c r="F21" s="100">
        <v>0.8</v>
      </c>
      <c r="G21" s="100">
        <v>112.92</v>
      </c>
      <c r="H21" s="100">
        <v>38.07</v>
      </c>
      <c r="I21" s="100">
        <v>15.67</v>
      </c>
      <c r="J21" s="100">
        <v>0.14000000000000001</v>
      </c>
      <c r="K21" s="100">
        <v>156.58000000000001</v>
      </c>
      <c r="L21" s="100">
        <v>17.920000000000002</v>
      </c>
      <c r="M21" s="100">
        <v>87.61</v>
      </c>
      <c r="N21" s="100">
        <v>1.3</v>
      </c>
      <c r="O21" s="100">
        <v>0</v>
      </c>
      <c r="P21" s="100">
        <v>1.29</v>
      </c>
      <c r="Q21" s="100">
        <v>12.25</v>
      </c>
      <c r="R21" s="6"/>
      <c r="S21" s="6"/>
      <c r="T21" s="156"/>
      <c r="U21" s="6"/>
    </row>
    <row r="22" spans="1:21" customFormat="1">
      <c r="A22" s="163" t="s">
        <v>2460</v>
      </c>
      <c r="B22" s="100">
        <v>15.61</v>
      </c>
      <c r="C22" s="100">
        <v>27.61</v>
      </c>
      <c r="D22" s="100">
        <v>28.29</v>
      </c>
      <c r="E22" s="100">
        <v>8.2899999999999991</v>
      </c>
      <c r="F22" s="100">
        <v>0.4</v>
      </c>
      <c r="G22" s="100">
        <v>117.15</v>
      </c>
      <c r="H22" s="100">
        <v>37.53</v>
      </c>
      <c r="I22" s="100">
        <v>15.74</v>
      </c>
      <c r="J22" s="100">
        <v>0.19</v>
      </c>
      <c r="K22" s="100">
        <v>143.65</v>
      </c>
      <c r="L22" s="100">
        <v>17.88</v>
      </c>
      <c r="M22" s="100">
        <v>86.59</v>
      </c>
      <c r="N22" s="100">
        <v>1.2</v>
      </c>
      <c r="O22" s="100">
        <v>0</v>
      </c>
      <c r="P22" s="100">
        <v>1.3</v>
      </c>
      <c r="Q22" s="100">
        <v>12.25</v>
      </c>
      <c r="R22" s="6"/>
      <c r="S22" s="6"/>
      <c r="T22" s="156"/>
      <c r="U22" s="6"/>
    </row>
    <row r="23" spans="1:21" customFormat="1">
      <c r="A23" s="163" t="s">
        <v>2461</v>
      </c>
      <c r="B23" s="100">
        <v>17.61</v>
      </c>
      <c r="C23" s="100">
        <v>27.93</v>
      </c>
      <c r="D23" s="100">
        <v>30.07</v>
      </c>
      <c r="E23" s="100">
        <v>8.32</v>
      </c>
      <c r="F23" s="100">
        <v>1.99</v>
      </c>
      <c r="G23" s="100">
        <v>119.72</v>
      </c>
      <c r="H23" s="100">
        <v>37.42</v>
      </c>
      <c r="I23" s="100">
        <v>15.75</v>
      </c>
      <c r="J23" s="100">
        <v>0.14000000000000001</v>
      </c>
      <c r="K23" s="100">
        <v>127.17</v>
      </c>
      <c r="L23" s="100">
        <v>17.829999999999998</v>
      </c>
      <c r="M23" s="100">
        <v>86.33</v>
      </c>
      <c r="N23" s="100">
        <v>1.3</v>
      </c>
      <c r="O23" s="100">
        <v>0</v>
      </c>
      <c r="P23" s="100">
        <v>1.29</v>
      </c>
      <c r="Q23" s="100">
        <v>12.25</v>
      </c>
      <c r="R23" s="6"/>
      <c r="S23" s="6"/>
      <c r="T23" s="156"/>
      <c r="U23" s="6"/>
    </row>
    <row r="24" spans="1:21" customFormat="1">
      <c r="A24" s="163" t="s">
        <v>2462</v>
      </c>
      <c r="B24" s="100">
        <v>19.649999999999999</v>
      </c>
      <c r="C24" s="100">
        <v>28.24</v>
      </c>
      <c r="D24" s="100">
        <v>31.86</v>
      </c>
      <c r="E24" s="100">
        <v>8.48</v>
      </c>
      <c r="F24" s="100">
        <v>0.72</v>
      </c>
      <c r="G24" s="100">
        <v>119.72</v>
      </c>
      <c r="H24" s="100">
        <v>37.42</v>
      </c>
      <c r="I24" s="100">
        <v>15.82</v>
      </c>
      <c r="J24" s="100">
        <v>0.33</v>
      </c>
      <c r="K24" s="100">
        <v>56.97</v>
      </c>
      <c r="L24" s="100">
        <v>18.309999999999999</v>
      </c>
      <c r="M24" s="100">
        <v>82.31</v>
      </c>
      <c r="N24" s="100">
        <v>0.7</v>
      </c>
      <c r="O24" s="100">
        <v>0</v>
      </c>
      <c r="P24" s="100">
        <v>1.29</v>
      </c>
      <c r="Q24" s="100">
        <v>12.25</v>
      </c>
      <c r="R24" s="6"/>
      <c r="S24" s="6"/>
      <c r="T24" s="156"/>
      <c r="U24" s="6"/>
    </row>
    <row r="25" spans="1:21" customFormat="1">
      <c r="A25" s="163" t="s">
        <v>2463</v>
      </c>
      <c r="B25" s="100">
        <v>21.34</v>
      </c>
      <c r="C25" s="100">
        <v>28.78</v>
      </c>
      <c r="D25" s="100">
        <v>33.5</v>
      </c>
      <c r="E25" s="100">
        <v>8.3000000000000007</v>
      </c>
      <c r="F25" s="100">
        <v>1.34</v>
      </c>
      <c r="G25" s="100">
        <v>119.72</v>
      </c>
      <c r="H25" s="100">
        <v>37.42</v>
      </c>
      <c r="I25" s="100">
        <v>15.89</v>
      </c>
      <c r="J25" s="100">
        <v>0.22</v>
      </c>
      <c r="K25" s="100">
        <v>50.61</v>
      </c>
      <c r="L25" s="100">
        <v>18.59</v>
      </c>
      <c r="M25" s="100">
        <v>80.83</v>
      </c>
      <c r="N25" s="100">
        <v>1.1000000000000001</v>
      </c>
      <c r="O25" s="100">
        <v>0</v>
      </c>
      <c r="P25" s="100">
        <v>1.31</v>
      </c>
      <c r="Q25" s="100">
        <v>12.25</v>
      </c>
      <c r="R25" s="6"/>
      <c r="S25" s="6"/>
      <c r="T25" s="156"/>
      <c r="U25" s="6"/>
    </row>
    <row r="26" spans="1:21" customFormat="1">
      <c r="A26" s="163" t="s">
        <v>2464</v>
      </c>
      <c r="B26" s="100">
        <v>22.41</v>
      </c>
      <c r="C26" s="100">
        <v>29.05</v>
      </c>
      <c r="D26" s="100">
        <v>34.5</v>
      </c>
      <c r="E26" s="100">
        <v>8.69</v>
      </c>
      <c r="F26" s="100">
        <v>0.1</v>
      </c>
      <c r="G26" s="100">
        <v>123.15</v>
      </c>
      <c r="H26" s="100">
        <v>37.090000000000003</v>
      </c>
      <c r="I26" s="100">
        <v>15.94</v>
      </c>
      <c r="J26" s="100">
        <v>0.19</v>
      </c>
      <c r="K26" s="100">
        <v>165.27</v>
      </c>
      <c r="L26" s="100">
        <v>18.239999999999998</v>
      </c>
      <c r="M26" s="100">
        <v>84.3</v>
      </c>
      <c r="N26" s="100">
        <v>1.6</v>
      </c>
      <c r="O26" s="100">
        <v>0</v>
      </c>
      <c r="P26" s="100">
        <v>1.32</v>
      </c>
      <c r="Q26" s="100">
        <v>12.25</v>
      </c>
      <c r="R26" s="6"/>
      <c r="S26" s="6"/>
      <c r="T26" s="156"/>
      <c r="U26" s="6"/>
    </row>
    <row r="27" spans="1:21" customFormat="1">
      <c r="A27" s="163" t="s">
        <v>2465</v>
      </c>
      <c r="B27" s="100">
        <v>23.02</v>
      </c>
      <c r="C27" s="100">
        <v>29.01</v>
      </c>
      <c r="D27" s="100">
        <v>34.97</v>
      </c>
      <c r="E27" s="100">
        <v>8.4</v>
      </c>
      <c r="F27" s="100">
        <v>2.99</v>
      </c>
      <c r="G27" s="100">
        <v>125.23</v>
      </c>
      <c r="H27" s="100">
        <v>37.020000000000003</v>
      </c>
      <c r="I27" s="100">
        <v>16.13</v>
      </c>
      <c r="J27" s="100">
        <v>0.19</v>
      </c>
      <c r="K27" s="100">
        <v>170.73</v>
      </c>
      <c r="L27" s="100">
        <v>17.579999999999998</v>
      </c>
      <c r="M27" s="100">
        <v>89.89</v>
      </c>
      <c r="N27" s="100">
        <v>1.7</v>
      </c>
      <c r="O27" s="100">
        <v>0</v>
      </c>
      <c r="P27" s="100">
        <v>1.34</v>
      </c>
      <c r="Q27" s="100">
        <v>12.25</v>
      </c>
      <c r="R27" s="6"/>
      <c r="S27" s="6"/>
      <c r="T27" s="156"/>
      <c r="U27" s="6"/>
    </row>
    <row r="28" spans="1:21" customFormat="1">
      <c r="A28" s="163" t="s">
        <v>2466</v>
      </c>
      <c r="B28" s="100">
        <v>23.28</v>
      </c>
      <c r="C28" s="100">
        <v>28.71</v>
      </c>
      <c r="D28" s="100">
        <v>35.020000000000003</v>
      </c>
      <c r="E28" s="100">
        <v>8.9</v>
      </c>
      <c r="F28" s="100">
        <v>1.1200000000000001</v>
      </c>
      <c r="G28" s="100">
        <v>125.23</v>
      </c>
      <c r="H28" s="100">
        <v>37.020000000000003</v>
      </c>
      <c r="I28" s="100">
        <v>16.34</v>
      </c>
      <c r="J28" s="100">
        <v>0.2</v>
      </c>
      <c r="K28" s="100">
        <v>205.6</v>
      </c>
      <c r="L28" s="100">
        <v>17.09</v>
      </c>
      <c r="M28" s="100">
        <v>92.09</v>
      </c>
      <c r="N28" s="100">
        <v>1.7</v>
      </c>
      <c r="O28" s="100">
        <v>0</v>
      </c>
      <c r="P28" s="100">
        <v>1.34</v>
      </c>
      <c r="Q28" s="100">
        <v>12.25</v>
      </c>
      <c r="R28" s="6"/>
      <c r="S28" s="6"/>
      <c r="T28" s="156"/>
      <c r="U28" s="6"/>
    </row>
    <row r="29" spans="1:21" customFormat="1">
      <c r="A29" s="163" t="s">
        <v>2467</v>
      </c>
      <c r="B29" s="100">
        <v>23.19</v>
      </c>
      <c r="C29" s="100">
        <v>28.13</v>
      </c>
      <c r="D29" s="100">
        <v>34.65</v>
      </c>
      <c r="E29" s="100">
        <v>8.34</v>
      </c>
      <c r="F29" s="100">
        <v>1.99</v>
      </c>
      <c r="G29" s="100">
        <v>125.23</v>
      </c>
      <c r="H29" s="100">
        <v>37.020000000000003</v>
      </c>
      <c r="I29" s="100">
        <v>16.489999999999998</v>
      </c>
      <c r="J29" s="100">
        <v>0.19</v>
      </c>
      <c r="K29" s="100">
        <v>189.39</v>
      </c>
      <c r="L29" s="100">
        <v>16.760000000000002</v>
      </c>
      <c r="M29" s="100">
        <v>93.19</v>
      </c>
      <c r="N29" s="100">
        <v>1.6</v>
      </c>
      <c r="O29" s="100">
        <v>0</v>
      </c>
      <c r="P29" s="100">
        <v>1.36</v>
      </c>
      <c r="Q29" s="100">
        <v>12.25</v>
      </c>
      <c r="R29" s="6"/>
      <c r="S29" s="6"/>
      <c r="T29" s="156"/>
      <c r="U29" s="6"/>
    </row>
    <row r="30" spans="1:21" customFormat="1">
      <c r="A30" s="163" t="s">
        <v>2468</v>
      </c>
      <c r="B30" s="100">
        <v>22.99</v>
      </c>
      <c r="C30" s="100">
        <v>27.94</v>
      </c>
      <c r="D30" s="100">
        <v>34.380000000000003</v>
      </c>
      <c r="E30" s="100">
        <v>8.51</v>
      </c>
      <c r="F30" s="100">
        <v>0.44</v>
      </c>
      <c r="G30" s="100">
        <v>127.35</v>
      </c>
      <c r="H30" s="100">
        <v>37.25</v>
      </c>
      <c r="I30" s="100">
        <v>16.600000000000001</v>
      </c>
      <c r="J30" s="100">
        <v>0.15</v>
      </c>
      <c r="K30" s="100">
        <v>200.61</v>
      </c>
      <c r="L30" s="100">
        <v>16.600000000000001</v>
      </c>
      <c r="M30" s="100">
        <v>92.28</v>
      </c>
      <c r="N30" s="100">
        <v>1.5</v>
      </c>
      <c r="O30" s="100">
        <v>0</v>
      </c>
      <c r="P30" s="100">
        <v>1.37</v>
      </c>
      <c r="Q30" s="100">
        <v>12.25</v>
      </c>
      <c r="R30" s="6"/>
      <c r="S30" s="6"/>
      <c r="T30" s="156"/>
      <c r="U30" s="6"/>
    </row>
    <row r="31" spans="1:21" customFormat="1">
      <c r="A31" s="163" t="s">
        <v>2469</v>
      </c>
      <c r="B31" s="100">
        <v>22.77</v>
      </c>
      <c r="C31" s="100">
        <v>27.5</v>
      </c>
      <c r="D31" s="100">
        <v>33.979999999999997</v>
      </c>
      <c r="E31" s="100">
        <v>8.58</v>
      </c>
      <c r="F31" s="100">
        <v>1.1599999999999999</v>
      </c>
      <c r="G31" s="100">
        <v>128.63</v>
      </c>
      <c r="H31" s="100">
        <v>37.299999999999997</v>
      </c>
      <c r="I31" s="100">
        <v>16.670000000000002</v>
      </c>
      <c r="J31" s="100">
        <v>0.09</v>
      </c>
      <c r="K31" s="100">
        <v>214.98</v>
      </c>
      <c r="L31" s="100">
        <v>16.53</v>
      </c>
      <c r="M31" s="100">
        <v>93.14</v>
      </c>
      <c r="N31" s="100">
        <v>1.3</v>
      </c>
      <c r="O31" s="100">
        <v>0</v>
      </c>
      <c r="P31" s="100">
        <v>1.38</v>
      </c>
      <c r="Q31" s="100">
        <v>12.25</v>
      </c>
      <c r="R31" s="6"/>
      <c r="S31" s="6"/>
      <c r="T31" s="156"/>
      <c r="U31" s="6"/>
    </row>
    <row r="32" spans="1:21" customFormat="1">
      <c r="A32" s="163" t="s">
        <v>2470</v>
      </c>
      <c r="B32" s="100">
        <v>22.77</v>
      </c>
      <c r="C32" s="100">
        <v>27.15</v>
      </c>
      <c r="D32" s="100">
        <v>33.79</v>
      </c>
      <c r="E32" s="100">
        <v>8.3000000000000007</v>
      </c>
      <c r="F32" s="100">
        <v>0.87</v>
      </c>
      <c r="G32" s="100">
        <v>128.63</v>
      </c>
      <c r="H32" s="100">
        <v>37.299999999999997</v>
      </c>
      <c r="I32" s="100">
        <v>16.760000000000002</v>
      </c>
      <c r="J32" s="100">
        <v>0.13</v>
      </c>
      <c r="K32" s="100">
        <v>167.9</v>
      </c>
      <c r="L32" s="100">
        <v>16.52</v>
      </c>
      <c r="M32" s="100">
        <v>93.43</v>
      </c>
      <c r="N32" s="100">
        <v>1.3</v>
      </c>
      <c r="O32" s="100">
        <v>0</v>
      </c>
      <c r="P32" s="100">
        <v>1.38</v>
      </c>
      <c r="Q32" s="100">
        <v>12.25</v>
      </c>
      <c r="R32" s="6"/>
      <c r="S32" s="6"/>
      <c r="T32" s="156"/>
      <c r="U32" s="6"/>
    </row>
    <row r="33" spans="1:21" customFormat="1">
      <c r="A33" s="163" t="s">
        <v>2471</v>
      </c>
      <c r="B33" s="100">
        <v>24.6</v>
      </c>
      <c r="C33" s="100">
        <v>27.46</v>
      </c>
      <c r="D33" s="100">
        <v>35.43</v>
      </c>
      <c r="E33" s="100">
        <v>8.27</v>
      </c>
      <c r="F33" s="100">
        <v>1.34</v>
      </c>
      <c r="G33" s="100">
        <v>128.63</v>
      </c>
      <c r="H33" s="100">
        <v>37.299999999999997</v>
      </c>
      <c r="I33" s="100">
        <v>16.84</v>
      </c>
      <c r="J33" s="100">
        <v>0.14000000000000001</v>
      </c>
      <c r="K33" s="100">
        <v>163.63999999999999</v>
      </c>
      <c r="L33" s="100">
        <v>16.75</v>
      </c>
      <c r="M33" s="100">
        <v>92.25</v>
      </c>
      <c r="N33" s="100">
        <v>1.2</v>
      </c>
      <c r="O33" s="100">
        <v>0</v>
      </c>
      <c r="P33" s="100">
        <v>1.39</v>
      </c>
      <c r="Q33" s="100">
        <v>12.25</v>
      </c>
      <c r="R33" s="6"/>
      <c r="S33" s="6"/>
      <c r="T33" s="156"/>
      <c r="U33" s="6"/>
    </row>
    <row r="34" spans="1:21" customFormat="1">
      <c r="A34" s="163" t="s">
        <v>2472</v>
      </c>
      <c r="B34" s="100">
        <v>29.34</v>
      </c>
      <c r="C34" s="100">
        <v>28.26</v>
      </c>
      <c r="D34" s="100">
        <v>39.65</v>
      </c>
      <c r="E34" s="100">
        <v>8.02</v>
      </c>
      <c r="F34" s="100">
        <v>0.05</v>
      </c>
      <c r="G34" s="100">
        <v>134.41999999999999</v>
      </c>
      <c r="H34" s="100">
        <v>38.46</v>
      </c>
      <c r="I34" s="100">
        <v>16.98</v>
      </c>
      <c r="J34" s="100">
        <v>0.2</v>
      </c>
      <c r="K34" s="100">
        <v>213.62</v>
      </c>
      <c r="L34" s="100">
        <v>16.62</v>
      </c>
      <c r="M34" s="100">
        <v>102.08</v>
      </c>
      <c r="N34" s="100">
        <v>1.6</v>
      </c>
      <c r="O34" s="100">
        <v>0</v>
      </c>
      <c r="P34" s="100">
        <v>1.45</v>
      </c>
      <c r="Q34" s="100">
        <v>12.25</v>
      </c>
      <c r="R34" s="6"/>
      <c r="S34" s="6"/>
      <c r="T34" s="156"/>
      <c r="U34" s="6"/>
    </row>
    <row r="35" spans="1:21" customFormat="1">
      <c r="A35" s="163" t="s">
        <v>2473</v>
      </c>
      <c r="B35" s="100">
        <v>30.88</v>
      </c>
      <c r="C35" s="100">
        <v>28.35</v>
      </c>
      <c r="D35" s="100">
        <v>40.93</v>
      </c>
      <c r="E35" s="100">
        <v>7.75</v>
      </c>
      <c r="F35" s="100">
        <v>1.18</v>
      </c>
      <c r="G35" s="100">
        <v>137.94</v>
      </c>
      <c r="H35" s="100">
        <v>38.71</v>
      </c>
      <c r="I35" s="100">
        <v>17.489999999999998</v>
      </c>
      <c r="J35" s="100">
        <v>0.16</v>
      </c>
      <c r="K35" s="100">
        <v>184.81</v>
      </c>
      <c r="L35" s="100">
        <v>16.21</v>
      </c>
      <c r="M35" s="100">
        <v>93.99</v>
      </c>
      <c r="N35" s="100">
        <v>2.7</v>
      </c>
      <c r="O35" s="100">
        <v>0</v>
      </c>
      <c r="P35" s="100">
        <v>1.46</v>
      </c>
      <c r="Q35" s="100">
        <v>12.25</v>
      </c>
      <c r="R35" s="6"/>
      <c r="S35" s="6"/>
      <c r="T35" s="156"/>
      <c r="U35" s="6"/>
    </row>
    <row r="36" spans="1:21" customFormat="1">
      <c r="A36" s="163" t="s">
        <v>2474</v>
      </c>
      <c r="B36" s="100">
        <v>31.02</v>
      </c>
      <c r="C36" s="100">
        <v>28.14</v>
      </c>
      <c r="D36" s="100">
        <v>40.93</v>
      </c>
      <c r="E36" s="100">
        <v>7.63</v>
      </c>
      <c r="F36" s="100">
        <v>1.93</v>
      </c>
      <c r="G36" s="100">
        <v>137.94</v>
      </c>
      <c r="H36" s="100">
        <v>38.71</v>
      </c>
      <c r="I36" s="100">
        <v>18.11</v>
      </c>
      <c r="J36" s="100">
        <v>0.11</v>
      </c>
      <c r="K36" s="100">
        <v>150.44999999999999</v>
      </c>
      <c r="L36" s="100">
        <v>16.09</v>
      </c>
      <c r="M36" s="100">
        <v>99.52</v>
      </c>
      <c r="N36" s="100">
        <v>6.1</v>
      </c>
      <c r="O36" s="100">
        <v>0</v>
      </c>
      <c r="P36" s="100">
        <v>1.46</v>
      </c>
      <c r="Q36" s="100">
        <v>12.25</v>
      </c>
      <c r="R36" s="6"/>
      <c r="S36" s="6"/>
      <c r="T36" s="156"/>
      <c r="U36" s="6"/>
    </row>
    <row r="37" spans="1:21" customFormat="1">
      <c r="A37" s="163" t="s">
        <v>2475</v>
      </c>
      <c r="B37" s="100">
        <v>31.22</v>
      </c>
      <c r="C37" s="100">
        <v>27.86</v>
      </c>
      <c r="D37" s="100">
        <v>40.950000000000003</v>
      </c>
      <c r="E37" s="100">
        <v>7.53</v>
      </c>
      <c r="F37" s="100">
        <v>0.57999999999999996</v>
      </c>
      <c r="G37" s="100">
        <v>137.94</v>
      </c>
      <c r="H37" s="100">
        <v>38.71</v>
      </c>
      <c r="I37" s="100">
        <v>18.309999999999999</v>
      </c>
      <c r="J37" s="100">
        <v>0.18</v>
      </c>
      <c r="K37" s="100">
        <v>188.19</v>
      </c>
      <c r="L37" s="100">
        <v>16.37</v>
      </c>
      <c r="M37" s="100">
        <v>94.91</v>
      </c>
      <c r="N37" s="100">
        <v>12.1</v>
      </c>
      <c r="O37" s="100">
        <v>0</v>
      </c>
      <c r="P37" s="100">
        <v>1.47</v>
      </c>
      <c r="Q37" s="100">
        <v>12.25</v>
      </c>
      <c r="R37" s="6"/>
      <c r="S37" s="6"/>
      <c r="T37" s="156"/>
      <c r="U37" s="6"/>
    </row>
    <row r="38" spans="1:21" customFormat="1">
      <c r="A38" s="163" t="s">
        <v>2476</v>
      </c>
      <c r="B38" s="100">
        <v>31.26</v>
      </c>
      <c r="C38" s="100">
        <v>27.52</v>
      </c>
      <c r="D38" s="100">
        <v>40.799999999999997</v>
      </c>
      <c r="E38" s="100">
        <v>7.47</v>
      </c>
      <c r="F38" s="100">
        <v>1.67</v>
      </c>
      <c r="G38" s="100">
        <v>133.88</v>
      </c>
      <c r="H38" s="100">
        <v>39.479999999999997</v>
      </c>
      <c r="I38" s="100">
        <v>18.309999999999999</v>
      </c>
      <c r="J38" s="100">
        <v>0.12</v>
      </c>
      <c r="K38" s="100">
        <v>219.15</v>
      </c>
      <c r="L38" s="100">
        <v>16.62</v>
      </c>
      <c r="M38" s="100">
        <v>93.76</v>
      </c>
      <c r="N38" s="100">
        <v>20</v>
      </c>
      <c r="O38" s="100">
        <v>0</v>
      </c>
      <c r="P38" s="100">
        <v>1.46</v>
      </c>
      <c r="Q38" s="100">
        <v>12.25</v>
      </c>
      <c r="R38" s="6"/>
      <c r="S38" s="6"/>
      <c r="T38" s="156"/>
      <c r="U38" s="6"/>
    </row>
    <row r="39" spans="1:21" customFormat="1">
      <c r="A39" s="163" t="s">
        <v>2477</v>
      </c>
      <c r="B39" s="100">
        <v>30.62</v>
      </c>
      <c r="C39" s="100">
        <v>27.16</v>
      </c>
      <c r="D39" s="100">
        <v>40.090000000000003</v>
      </c>
      <c r="E39" s="100">
        <v>7.52</v>
      </c>
      <c r="F39" s="100">
        <v>0.44</v>
      </c>
      <c r="G39" s="100">
        <v>131.41</v>
      </c>
      <c r="H39" s="100">
        <v>39.64</v>
      </c>
      <c r="I39" s="100">
        <v>18.350000000000001</v>
      </c>
      <c r="J39" s="100">
        <v>0.1</v>
      </c>
      <c r="K39" s="100">
        <v>159.04</v>
      </c>
      <c r="L39" s="100">
        <v>17.170000000000002</v>
      </c>
      <c r="M39" s="100">
        <v>92.33</v>
      </c>
      <c r="N39" s="100">
        <v>28.8</v>
      </c>
      <c r="O39" s="100">
        <v>0</v>
      </c>
      <c r="P39" s="100">
        <v>1.47</v>
      </c>
      <c r="Q39" s="100">
        <v>12.25</v>
      </c>
      <c r="R39" s="6"/>
      <c r="S39" s="6"/>
      <c r="T39" s="156"/>
      <c r="U39" s="6"/>
    </row>
    <row r="40" spans="1:21" customFormat="1">
      <c r="A40" s="163" t="s">
        <v>2478</v>
      </c>
      <c r="B40" s="100">
        <v>29.75</v>
      </c>
      <c r="C40" s="100">
        <v>26.79</v>
      </c>
      <c r="D40" s="100">
        <v>39.200000000000003</v>
      </c>
      <c r="E40" s="100">
        <v>7.84</v>
      </c>
      <c r="F40" s="100">
        <v>0.84</v>
      </c>
      <c r="G40" s="100">
        <v>131.41</v>
      </c>
      <c r="H40" s="100">
        <v>39.64</v>
      </c>
      <c r="I40" s="100">
        <v>18.350000000000001</v>
      </c>
      <c r="J40" s="100">
        <v>0.24</v>
      </c>
      <c r="K40" s="100">
        <v>157.11000000000001</v>
      </c>
      <c r="L40" s="100">
        <v>18.03</v>
      </c>
      <c r="M40" s="100">
        <v>88.1</v>
      </c>
      <c r="N40" s="100">
        <v>38</v>
      </c>
      <c r="O40" s="100">
        <v>0</v>
      </c>
      <c r="P40" s="100">
        <v>1.49</v>
      </c>
      <c r="Q40" s="100">
        <v>12.25</v>
      </c>
      <c r="R40" s="6"/>
      <c r="S40" s="6"/>
      <c r="T40" s="156"/>
      <c r="U40" s="6"/>
    </row>
    <row r="41" spans="1:21" customFormat="1">
      <c r="A41" s="163" t="s">
        <v>2479</v>
      </c>
      <c r="B41" s="100">
        <v>28.62</v>
      </c>
      <c r="C41" s="100">
        <v>26.5</v>
      </c>
      <c r="D41" s="100">
        <v>38.15</v>
      </c>
      <c r="E41" s="100">
        <v>8.02</v>
      </c>
      <c r="F41" s="100">
        <v>0.56000000000000005</v>
      </c>
      <c r="G41" s="100">
        <v>131.41</v>
      </c>
      <c r="H41" s="100">
        <v>39.64</v>
      </c>
      <c r="I41" s="100">
        <v>18.420000000000002</v>
      </c>
      <c r="J41" s="100">
        <v>7.0000000000000007E-2</v>
      </c>
      <c r="K41" s="100">
        <v>211.24</v>
      </c>
      <c r="L41" s="100">
        <v>18.88</v>
      </c>
      <c r="M41" s="100">
        <v>83.13</v>
      </c>
      <c r="N41" s="100">
        <v>60.3</v>
      </c>
      <c r="O41" s="100">
        <v>0</v>
      </c>
      <c r="P41" s="100">
        <v>1.52</v>
      </c>
      <c r="Q41" s="100">
        <v>12.25</v>
      </c>
      <c r="R41" s="6"/>
      <c r="S41" s="6"/>
      <c r="T41" s="156"/>
      <c r="U41" s="6"/>
    </row>
    <row r="42" spans="1:21" customFormat="1">
      <c r="A42" s="163" t="s">
        <v>2480</v>
      </c>
      <c r="B42" s="100">
        <v>27.48</v>
      </c>
      <c r="C42" s="100">
        <v>26.9</v>
      </c>
      <c r="D42" s="100">
        <v>37.44</v>
      </c>
      <c r="E42" s="100">
        <v>8.14</v>
      </c>
      <c r="F42" s="100">
        <v>0.2</v>
      </c>
      <c r="G42" s="100">
        <v>146.86000000000001</v>
      </c>
      <c r="H42" s="100">
        <v>42.48</v>
      </c>
      <c r="I42" s="100">
        <v>18.54</v>
      </c>
      <c r="J42" s="100">
        <v>0.25</v>
      </c>
      <c r="K42" s="100">
        <v>151</v>
      </c>
      <c r="L42" s="100">
        <v>20.02</v>
      </c>
      <c r="M42" s="100">
        <v>76.72</v>
      </c>
      <c r="N42" s="100">
        <v>123.2</v>
      </c>
      <c r="O42" s="100">
        <v>0</v>
      </c>
      <c r="P42" s="100">
        <v>1.54</v>
      </c>
      <c r="Q42" s="100">
        <v>12.25</v>
      </c>
      <c r="R42" s="6"/>
      <c r="S42" s="6"/>
      <c r="T42" s="156"/>
      <c r="U42" s="6"/>
    </row>
    <row r="43" spans="1:21" customFormat="1">
      <c r="A43" s="163" t="s">
        <v>2481</v>
      </c>
      <c r="B43" s="100">
        <v>26.21</v>
      </c>
      <c r="C43" s="100">
        <v>27.59</v>
      </c>
      <c r="D43" s="100">
        <v>36.79</v>
      </c>
      <c r="E43" s="100">
        <v>6.98</v>
      </c>
      <c r="F43" s="100">
        <v>0.66</v>
      </c>
      <c r="G43" s="100">
        <v>156.22999999999999</v>
      </c>
      <c r="H43" s="100">
        <v>43.83</v>
      </c>
      <c r="I43" s="100">
        <v>18.86</v>
      </c>
      <c r="J43" s="100">
        <v>0.12</v>
      </c>
      <c r="K43" s="100">
        <v>111.8</v>
      </c>
      <c r="L43" s="100">
        <v>21.49</v>
      </c>
      <c r="M43" s="100">
        <v>69.180000000000007</v>
      </c>
      <c r="N43" s="100">
        <v>141.9</v>
      </c>
      <c r="O43" s="100">
        <v>0</v>
      </c>
      <c r="P43" s="100">
        <v>1.56</v>
      </c>
      <c r="Q43" s="100">
        <v>12.25</v>
      </c>
      <c r="R43" s="6"/>
      <c r="S43" s="6"/>
      <c r="T43" s="156"/>
      <c r="U43" s="6"/>
    </row>
    <row r="44" spans="1:21" customFormat="1">
      <c r="A44" s="163" t="s">
        <v>2482</v>
      </c>
      <c r="B44" s="100">
        <v>24.93</v>
      </c>
      <c r="C44" s="100">
        <v>28.69</v>
      </c>
      <c r="D44" s="100">
        <v>36.33</v>
      </c>
      <c r="E44" s="100">
        <v>7.71</v>
      </c>
      <c r="F44" s="100">
        <v>1.07</v>
      </c>
      <c r="G44" s="100">
        <v>156.22999999999999</v>
      </c>
      <c r="H44" s="100">
        <v>43.83</v>
      </c>
      <c r="I44" s="100">
        <v>19.29</v>
      </c>
      <c r="J44" s="100">
        <v>0.34</v>
      </c>
      <c r="K44" s="100">
        <v>7.34</v>
      </c>
      <c r="L44" s="100">
        <v>22.32</v>
      </c>
      <c r="M44" s="100">
        <v>66.739999999999995</v>
      </c>
      <c r="N44" s="100">
        <v>135</v>
      </c>
      <c r="O44" s="100">
        <v>0</v>
      </c>
      <c r="P44" s="100">
        <v>1.6</v>
      </c>
      <c r="Q44" s="100">
        <v>12.25</v>
      </c>
      <c r="R44" s="6"/>
      <c r="S44" s="6"/>
      <c r="T44" s="156"/>
      <c r="U44" s="6"/>
    </row>
    <row r="45" spans="1:21" customFormat="1">
      <c r="A45" s="163" t="s">
        <v>2483</v>
      </c>
      <c r="B45" s="100">
        <v>23.54</v>
      </c>
      <c r="C45" s="100">
        <v>30.37</v>
      </c>
      <c r="D45" s="100">
        <v>36.090000000000003</v>
      </c>
      <c r="E45" s="100">
        <v>8.27</v>
      </c>
      <c r="F45" s="100">
        <v>0.43</v>
      </c>
      <c r="G45" s="100">
        <v>156.22999999999999</v>
      </c>
      <c r="H45" s="100">
        <v>43.83</v>
      </c>
      <c r="I45" s="100">
        <v>19.670000000000002</v>
      </c>
      <c r="J45" s="100">
        <v>0.44</v>
      </c>
      <c r="K45" s="100">
        <v>332.27</v>
      </c>
      <c r="L45" s="100">
        <v>22.73</v>
      </c>
      <c r="M45" s="100">
        <v>65.8</v>
      </c>
      <c r="N45" s="100">
        <v>167.7</v>
      </c>
      <c r="O45" s="100">
        <v>0</v>
      </c>
      <c r="P45" s="100">
        <v>1.67</v>
      </c>
      <c r="Q45" s="100">
        <v>12.25</v>
      </c>
      <c r="R45" s="6"/>
      <c r="S45" s="6"/>
      <c r="T45" s="156"/>
      <c r="U45" s="6"/>
    </row>
    <row r="46" spans="1:21" customFormat="1">
      <c r="A46" s="163" t="s">
        <v>2484</v>
      </c>
      <c r="B46" s="100">
        <v>21.9</v>
      </c>
      <c r="C46" s="100">
        <v>32.770000000000003</v>
      </c>
      <c r="D46" s="100">
        <v>36.04</v>
      </c>
      <c r="E46" s="100">
        <v>8.27</v>
      </c>
      <c r="F46" s="100">
        <v>0.78</v>
      </c>
      <c r="G46" s="100">
        <v>156.22999999999999</v>
      </c>
      <c r="H46" s="100">
        <v>53.67</v>
      </c>
      <c r="I46" s="100">
        <v>20.18</v>
      </c>
      <c r="J46" s="100">
        <v>0.26</v>
      </c>
      <c r="K46" s="100">
        <v>16.27</v>
      </c>
      <c r="L46" s="100">
        <v>23.73</v>
      </c>
      <c r="M46" s="100">
        <v>61.34</v>
      </c>
      <c r="N46" s="100">
        <v>199.3</v>
      </c>
      <c r="O46" s="100">
        <v>0</v>
      </c>
      <c r="P46" s="100">
        <v>1.76</v>
      </c>
      <c r="Q46" s="100">
        <v>12.25</v>
      </c>
      <c r="R46" s="6"/>
      <c r="S46" s="6"/>
      <c r="T46" s="156"/>
      <c r="U46" s="6"/>
    </row>
    <row r="47" spans="1:21" customFormat="1">
      <c r="A47" s="163" t="s">
        <v>2485</v>
      </c>
      <c r="B47" s="100">
        <v>20.170000000000002</v>
      </c>
      <c r="C47" s="100">
        <v>35.049999999999997</v>
      </c>
      <c r="D47" s="100">
        <v>35.840000000000003</v>
      </c>
      <c r="E47" s="100">
        <v>8.58</v>
      </c>
      <c r="F47" s="100">
        <v>0.88</v>
      </c>
      <c r="G47" s="100">
        <v>259.83999999999997</v>
      </c>
      <c r="H47" s="100">
        <v>55.81</v>
      </c>
      <c r="I47" s="100">
        <v>21.05</v>
      </c>
      <c r="J47" s="100">
        <v>0.51</v>
      </c>
      <c r="K47" s="100">
        <v>35.75</v>
      </c>
      <c r="L47" s="100">
        <v>24.56</v>
      </c>
      <c r="M47" s="100">
        <v>58.14</v>
      </c>
      <c r="N47" s="100">
        <v>205</v>
      </c>
      <c r="O47" s="100">
        <v>0</v>
      </c>
      <c r="P47" s="100">
        <v>1.9</v>
      </c>
      <c r="Q47" s="100">
        <v>12.25</v>
      </c>
      <c r="R47" s="6"/>
      <c r="S47" s="6"/>
      <c r="T47" s="156"/>
      <c r="U47" s="6"/>
    </row>
    <row r="48" spans="1:21" customFormat="1">
      <c r="A48" s="163" t="s">
        <v>2486</v>
      </c>
      <c r="B48" s="100">
        <v>18.38</v>
      </c>
      <c r="C48" s="100">
        <v>37.229999999999997</v>
      </c>
      <c r="D48" s="100">
        <v>35.54</v>
      </c>
      <c r="E48" s="100">
        <v>9.7899999999999991</v>
      </c>
      <c r="F48" s="100">
        <v>0.9</v>
      </c>
      <c r="G48" s="100">
        <v>259.83999999999997</v>
      </c>
      <c r="H48" s="100">
        <v>55.81</v>
      </c>
      <c r="I48" s="100">
        <v>22.02</v>
      </c>
      <c r="J48" s="100">
        <v>0.37</v>
      </c>
      <c r="K48" s="100">
        <v>25.54</v>
      </c>
      <c r="L48" s="100">
        <v>25.28</v>
      </c>
      <c r="M48" s="100">
        <v>54.56</v>
      </c>
      <c r="N48" s="100">
        <v>224</v>
      </c>
      <c r="O48" s="100">
        <v>0</v>
      </c>
      <c r="P48" s="100">
        <v>2.0099999999999998</v>
      </c>
      <c r="Q48" s="100">
        <v>12.25</v>
      </c>
      <c r="R48" s="6"/>
      <c r="S48" s="6"/>
      <c r="T48" s="156"/>
      <c r="U48" s="6"/>
    </row>
    <row r="49" spans="1:21" customFormat="1">
      <c r="A49" s="163" t="s">
        <v>2487</v>
      </c>
      <c r="B49" s="100">
        <v>16.71</v>
      </c>
      <c r="C49" s="100">
        <v>39.01</v>
      </c>
      <c r="D49" s="100">
        <v>35.130000000000003</v>
      </c>
      <c r="E49" s="100">
        <v>9.4600000000000009</v>
      </c>
      <c r="F49" s="100">
        <v>1.33</v>
      </c>
      <c r="G49" s="100">
        <v>259.83999999999997</v>
      </c>
      <c r="H49" s="100">
        <v>55.81</v>
      </c>
      <c r="I49" s="100">
        <v>22.87</v>
      </c>
      <c r="J49" s="100">
        <v>0.43</v>
      </c>
      <c r="K49" s="100">
        <v>21.87</v>
      </c>
      <c r="L49" s="100">
        <v>26.01</v>
      </c>
      <c r="M49" s="100">
        <v>51.61</v>
      </c>
      <c r="N49" s="100">
        <v>218.5</v>
      </c>
      <c r="O49" s="100">
        <v>0</v>
      </c>
      <c r="P49" s="100">
        <v>2.0499999999999998</v>
      </c>
      <c r="Q49" s="100">
        <v>12.25</v>
      </c>
      <c r="R49" s="6"/>
      <c r="S49" s="6"/>
      <c r="T49" s="156"/>
      <c r="U49" s="6"/>
    </row>
    <row r="50" spans="1:21" customFormat="1">
      <c r="A50" s="163" t="s">
        <v>2488</v>
      </c>
      <c r="B50" s="100">
        <v>14.81</v>
      </c>
      <c r="C50" s="100">
        <v>39.99</v>
      </c>
      <c r="D50" s="100">
        <v>34.119999999999997</v>
      </c>
      <c r="E50" s="100">
        <v>11.24</v>
      </c>
      <c r="F50" s="100">
        <v>1.06</v>
      </c>
      <c r="G50" s="100">
        <v>288.62</v>
      </c>
      <c r="H50" s="100">
        <v>65.97</v>
      </c>
      <c r="I50" s="100">
        <v>23.37</v>
      </c>
      <c r="J50" s="100">
        <v>0.44</v>
      </c>
      <c r="K50" s="100">
        <v>51.11</v>
      </c>
      <c r="L50" s="100">
        <v>26.78</v>
      </c>
      <c r="M50" s="100">
        <v>46.79</v>
      </c>
      <c r="N50" s="100">
        <v>280</v>
      </c>
      <c r="O50" s="100">
        <v>0</v>
      </c>
      <c r="P50" s="100">
        <v>2.0299999999999998</v>
      </c>
      <c r="Q50" s="100">
        <v>12.25</v>
      </c>
      <c r="R50" s="6"/>
      <c r="S50" s="6"/>
      <c r="T50" s="156"/>
      <c r="U50" s="6"/>
    </row>
    <row r="51" spans="1:21" customFormat="1">
      <c r="A51" s="163" t="s">
        <v>2489</v>
      </c>
      <c r="B51" s="100">
        <v>12.46</v>
      </c>
      <c r="C51" s="100">
        <v>40.450000000000003</v>
      </c>
      <c r="D51" s="100">
        <v>32.479999999999997</v>
      </c>
      <c r="E51" s="100">
        <v>10.66</v>
      </c>
      <c r="F51" s="100">
        <v>1.38</v>
      </c>
      <c r="G51" s="100">
        <v>306.08999999999997</v>
      </c>
      <c r="H51" s="100">
        <v>68.19</v>
      </c>
      <c r="I51" s="100">
        <v>23.46</v>
      </c>
      <c r="J51" s="100">
        <v>0.26</v>
      </c>
      <c r="K51" s="100">
        <v>23.02</v>
      </c>
      <c r="L51" s="100">
        <v>27.09</v>
      </c>
      <c r="M51" s="100">
        <v>45.84</v>
      </c>
      <c r="N51" s="100">
        <v>293.89999999999998</v>
      </c>
      <c r="O51" s="100">
        <v>0</v>
      </c>
      <c r="P51" s="100">
        <v>1.99</v>
      </c>
      <c r="Q51" s="100">
        <v>12.25</v>
      </c>
      <c r="R51" s="6"/>
      <c r="S51" s="6"/>
      <c r="T51" s="156"/>
      <c r="U51" s="6"/>
    </row>
    <row r="52" spans="1:21" customFormat="1">
      <c r="A52" s="163" t="s">
        <v>2490</v>
      </c>
      <c r="B52" s="100">
        <v>10.199999999999999</v>
      </c>
      <c r="C52" s="100">
        <v>40.659999999999997</v>
      </c>
      <c r="D52" s="100">
        <v>30.77</v>
      </c>
      <c r="E52" s="100">
        <v>11.27</v>
      </c>
      <c r="F52" s="100">
        <v>2.4500000000000002</v>
      </c>
      <c r="G52" s="100">
        <v>306.08999999999997</v>
      </c>
      <c r="H52" s="100">
        <v>68.19</v>
      </c>
      <c r="I52" s="100">
        <v>23.13</v>
      </c>
      <c r="J52" s="100">
        <v>0.31</v>
      </c>
      <c r="K52" s="100">
        <v>326.31</v>
      </c>
      <c r="L52" s="100">
        <v>27.67</v>
      </c>
      <c r="M52" s="100">
        <v>44.58</v>
      </c>
      <c r="N52" s="100">
        <v>307</v>
      </c>
      <c r="O52" s="100">
        <v>0</v>
      </c>
      <c r="P52" s="100">
        <v>1.96</v>
      </c>
      <c r="Q52" s="100">
        <v>12.25</v>
      </c>
      <c r="R52" s="6"/>
      <c r="S52" s="6"/>
      <c r="T52" s="156"/>
      <c r="U52" s="6"/>
    </row>
    <row r="53" spans="1:21" customFormat="1">
      <c r="A53" s="163" t="s">
        <v>2491</v>
      </c>
      <c r="B53" s="100">
        <v>8.26</v>
      </c>
      <c r="C53" s="100">
        <v>40.729999999999997</v>
      </c>
      <c r="D53" s="100">
        <v>29.25</v>
      </c>
      <c r="E53" s="100">
        <v>12.09</v>
      </c>
      <c r="F53" s="100">
        <v>1.23</v>
      </c>
      <c r="G53" s="100">
        <v>306.08999999999997</v>
      </c>
      <c r="H53" s="100">
        <v>68.19</v>
      </c>
      <c r="I53" s="100">
        <v>22.72</v>
      </c>
      <c r="J53" s="100">
        <v>0.34</v>
      </c>
      <c r="K53" s="100">
        <v>310.10000000000002</v>
      </c>
      <c r="L53" s="100">
        <v>28.07</v>
      </c>
      <c r="M53" s="100">
        <v>42.63</v>
      </c>
      <c r="N53" s="100">
        <v>319.8</v>
      </c>
      <c r="O53" s="100">
        <v>0</v>
      </c>
      <c r="P53" s="100">
        <v>1.93</v>
      </c>
      <c r="Q53" s="100">
        <v>12.25</v>
      </c>
      <c r="R53" s="6"/>
      <c r="S53" s="6"/>
      <c r="T53" s="156"/>
      <c r="U53" s="6"/>
    </row>
    <row r="54" spans="1:21" customFormat="1">
      <c r="A54" s="163" t="s">
        <v>2492</v>
      </c>
      <c r="B54" s="100">
        <v>6.65</v>
      </c>
      <c r="C54" s="100">
        <v>40.6</v>
      </c>
      <c r="D54" s="100">
        <v>27.89</v>
      </c>
      <c r="E54" s="100">
        <v>15.5</v>
      </c>
      <c r="F54" s="100">
        <v>2.7</v>
      </c>
      <c r="G54" s="100">
        <v>158.06</v>
      </c>
      <c r="H54" s="100">
        <v>58.92</v>
      </c>
      <c r="I54" s="100">
        <v>22.29</v>
      </c>
      <c r="J54" s="100">
        <v>0.15</v>
      </c>
      <c r="K54" s="100">
        <v>43.86</v>
      </c>
      <c r="L54" s="100">
        <v>29.26</v>
      </c>
      <c r="M54" s="100">
        <v>38.6</v>
      </c>
      <c r="N54" s="100">
        <v>292.89999999999998</v>
      </c>
      <c r="O54" s="100">
        <v>0</v>
      </c>
      <c r="P54" s="100">
        <v>1.9</v>
      </c>
      <c r="Q54" s="100">
        <v>12.25</v>
      </c>
      <c r="R54" s="6"/>
      <c r="S54" s="6"/>
      <c r="T54" s="156"/>
      <c r="U54" s="6"/>
    </row>
    <row r="55" spans="1:21" customFormat="1">
      <c r="A55" s="163" t="s">
        <v>2493</v>
      </c>
      <c r="B55" s="100">
        <v>5.56</v>
      </c>
      <c r="C55" s="100">
        <v>40.049999999999997</v>
      </c>
      <c r="D55" s="100">
        <v>26.73</v>
      </c>
      <c r="E55" s="100">
        <v>12.65</v>
      </c>
      <c r="F55" s="100">
        <v>2.0699999999999998</v>
      </c>
      <c r="G55" s="100">
        <v>158.06</v>
      </c>
      <c r="H55" s="100">
        <v>56.9</v>
      </c>
      <c r="I55" s="100">
        <v>21.79</v>
      </c>
      <c r="J55" s="100">
        <v>0.72</v>
      </c>
      <c r="K55" s="100">
        <v>276.18</v>
      </c>
      <c r="L55" s="100">
        <v>29.18</v>
      </c>
      <c r="M55" s="100">
        <v>38.83</v>
      </c>
      <c r="N55" s="100">
        <v>331.4</v>
      </c>
      <c r="O55" s="100">
        <v>0</v>
      </c>
      <c r="P55" s="100">
        <v>1.85</v>
      </c>
      <c r="Q55" s="100">
        <v>12.25</v>
      </c>
      <c r="R55" s="6"/>
      <c r="S55" s="6"/>
      <c r="T55" s="156"/>
      <c r="U55" s="6"/>
    </row>
    <row r="56" spans="1:21" customFormat="1">
      <c r="A56" s="163" t="s">
        <v>2494</v>
      </c>
      <c r="B56" s="100">
        <v>4.75</v>
      </c>
      <c r="C56" s="100">
        <v>38.840000000000003</v>
      </c>
      <c r="D56" s="100">
        <v>25.45</v>
      </c>
      <c r="E56" s="100">
        <v>12.73</v>
      </c>
      <c r="F56" s="100">
        <v>1.0900000000000001</v>
      </c>
      <c r="G56" s="100">
        <v>158.06</v>
      </c>
      <c r="H56" s="100">
        <v>56.9</v>
      </c>
      <c r="I56" s="100">
        <v>21.45</v>
      </c>
      <c r="J56" s="100">
        <v>0.73</v>
      </c>
      <c r="K56" s="100">
        <v>300.49</v>
      </c>
      <c r="L56" s="100">
        <v>29.32</v>
      </c>
      <c r="M56" s="100">
        <v>37.72</v>
      </c>
      <c r="N56" s="100">
        <v>354.5</v>
      </c>
      <c r="O56" s="100">
        <v>0</v>
      </c>
      <c r="P56" s="100">
        <v>1.79</v>
      </c>
      <c r="Q56" s="100">
        <v>12.25</v>
      </c>
      <c r="R56" s="6"/>
      <c r="S56" s="6"/>
      <c r="T56" s="156"/>
      <c r="U56" s="6"/>
    </row>
    <row r="57" spans="1:21" customFormat="1">
      <c r="A57" s="163" t="s">
        <v>2495</v>
      </c>
      <c r="B57" s="100">
        <v>4.32</v>
      </c>
      <c r="C57" s="100">
        <v>37.979999999999997</v>
      </c>
      <c r="D57" s="100">
        <v>24.65</v>
      </c>
      <c r="E57" s="100">
        <v>13.64</v>
      </c>
      <c r="F57" s="100">
        <v>2.73</v>
      </c>
      <c r="G57" s="100">
        <v>158.06</v>
      </c>
      <c r="H57" s="100">
        <v>56.9</v>
      </c>
      <c r="I57" s="100">
        <v>20.87</v>
      </c>
      <c r="J57" s="100">
        <v>0.67</v>
      </c>
      <c r="K57" s="100">
        <v>317.60000000000002</v>
      </c>
      <c r="L57" s="100">
        <v>29.44</v>
      </c>
      <c r="M57" s="100">
        <v>37.979999999999997</v>
      </c>
      <c r="N57" s="100">
        <v>315.8</v>
      </c>
      <c r="O57" s="100">
        <v>0</v>
      </c>
      <c r="P57" s="100">
        <v>1.73</v>
      </c>
      <c r="Q57" s="100">
        <v>12.25</v>
      </c>
      <c r="R57" s="6"/>
      <c r="S57" s="6"/>
      <c r="T57" s="156"/>
      <c r="U57" s="6"/>
    </row>
    <row r="58" spans="1:21" customFormat="1">
      <c r="A58" s="163" t="s">
        <v>2496</v>
      </c>
      <c r="B58" s="100">
        <v>4.0999999999999996</v>
      </c>
      <c r="C58" s="100">
        <v>37.26</v>
      </c>
      <c r="D58" s="100">
        <v>24.11</v>
      </c>
      <c r="E58" s="100">
        <v>18.11</v>
      </c>
      <c r="F58" s="100">
        <v>3.15</v>
      </c>
      <c r="G58" s="100">
        <v>142.13999999999999</v>
      </c>
      <c r="H58" s="100">
        <v>55.41</v>
      </c>
      <c r="I58" s="100">
        <v>20.32</v>
      </c>
      <c r="J58" s="100">
        <v>0.49</v>
      </c>
      <c r="K58" s="100">
        <v>284.99</v>
      </c>
      <c r="L58" s="100">
        <v>30.05</v>
      </c>
      <c r="M58" s="100">
        <v>36.82</v>
      </c>
      <c r="N58" s="100">
        <v>307.10000000000002</v>
      </c>
      <c r="O58" s="100">
        <v>0</v>
      </c>
      <c r="P58" s="100">
        <v>1.68</v>
      </c>
      <c r="Q58" s="100">
        <v>12.25</v>
      </c>
      <c r="R58" s="6"/>
      <c r="S58" s="6"/>
      <c r="T58" s="156"/>
      <c r="U58" s="6"/>
    </row>
    <row r="59" spans="1:21" customFormat="1">
      <c r="A59" s="163" t="s">
        <v>2497</v>
      </c>
      <c r="B59" s="100">
        <v>3.99</v>
      </c>
      <c r="C59" s="100">
        <v>36.32</v>
      </c>
      <c r="D59" s="100">
        <v>23.52</v>
      </c>
      <c r="E59" s="100">
        <v>13.19</v>
      </c>
      <c r="F59" s="100">
        <v>0.87</v>
      </c>
      <c r="G59" s="100">
        <v>132.47999999999999</v>
      </c>
      <c r="H59" s="100">
        <v>55.11</v>
      </c>
      <c r="I59" s="100">
        <v>19.760000000000002</v>
      </c>
      <c r="J59" s="100">
        <v>0.69</v>
      </c>
      <c r="K59" s="100">
        <v>334.25</v>
      </c>
      <c r="L59" s="100">
        <v>30.19</v>
      </c>
      <c r="M59" s="100">
        <v>35.81</v>
      </c>
      <c r="N59" s="100">
        <v>333.1</v>
      </c>
      <c r="O59" s="100">
        <v>0</v>
      </c>
      <c r="P59" s="100">
        <v>1.63</v>
      </c>
      <c r="Q59" s="100">
        <v>12.25</v>
      </c>
      <c r="R59" s="6"/>
      <c r="S59" s="6"/>
      <c r="T59" s="156"/>
      <c r="U59" s="6"/>
    </row>
    <row r="60" spans="1:21" customFormat="1">
      <c r="A60" s="163" t="s">
        <v>2498</v>
      </c>
      <c r="B60" s="100">
        <v>3.91</v>
      </c>
      <c r="C60" s="100">
        <v>35.450000000000003</v>
      </c>
      <c r="D60" s="100">
        <v>23.01</v>
      </c>
      <c r="E60" s="100">
        <v>12.42</v>
      </c>
      <c r="F60" s="100">
        <v>0.52</v>
      </c>
      <c r="G60" s="100">
        <v>132.47999999999999</v>
      </c>
      <c r="H60" s="100">
        <v>55.11</v>
      </c>
      <c r="I60" s="100">
        <v>19.27</v>
      </c>
      <c r="J60" s="100">
        <v>0.63</v>
      </c>
      <c r="K60" s="100">
        <v>309.76</v>
      </c>
      <c r="L60" s="100">
        <v>30.31</v>
      </c>
      <c r="M60" s="100">
        <v>35.270000000000003</v>
      </c>
      <c r="N60" s="100">
        <v>374.7</v>
      </c>
      <c r="O60" s="100">
        <v>0</v>
      </c>
      <c r="P60" s="100">
        <v>1.57</v>
      </c>
      <c r="Q60" s="100">
        <v>12.25</v>
      </c>
      <c r="R60" s="6"/>
      <c r="S60" s="6"/>
      <c r="T60" s="156"/>
      <c r="U60" s="6"/>
    </row>
    <row r="61" spans="1:21" customFormat="1">
      <c r="A61" s="163" t="s">
        <v>2499</v>
      </c>
      <c r="B61" s="100">
        <v>3.93</v>
      </c>
      <c r="C61" s="100">
        <v>34.44</v>
      </c>
      <c r="D61" s="100">
        <v>22.5</v>
      </c>
      <c r="E61" s="100">
        <v>11.83</v>
      </c>
      <c r="F61" s="100">
        <v>0.96</v>
      </c>
      <c r="G61" s="100">
        <v>132.47999999999999</v>
      </c>
      <c r="H61" s="100">
        <v>55.11</v>
      </c>
      <c r="I61" s="100">
        <v>18.79</v>
      </c>
      <c r="J61" s="100">
        <v>0.55000000000000004</v>
      </c>
      <c r="K61" s="100">
        <v>280.89999999999998</v>
      </c>
      <c r="L61" s="100">
        <v>30.63</v>
      </c>
      <c r="M61" s="100">
        <v>34.07</v>
      </c>
      <c r="N61" s="100">
        <v>377.6</v>
      </c>
      <c r="O61" s="100">
        <v>0</v>
      </c>
      <c r="P61" s="100">
        <v>1.55</v>
      </c>
      <c r="Q61" s="100">
        <v>12.25</v>
      </c>
      <c r="R61" s="6"/>
      <c r="S61" s="6"/>
      <c r="T61" s="156"/>
      <c r="U61" s="6"/>
    </row>
    <row r="62" spans="1:21" customFormat="1">
      <c r="A62" s="163" t="s">
        <v>2500</v>
      </c>
      <c r="B62" s="100">
        <v>4</v>
      </c>
      <c r="C62" s="100">
        <v>32.79</v>
      </c>
      <c r="D62" s="100">
        <v>21.69</v>
      </c>
      <c r="E62" s="100">
        <v>12.76</v>
      </c>
      <c r="F62" s="100">
        <v>1.87</v>
      </c>
      <c r="G62" s="100">
        <v>100.5</v>
      </c>
      <c r="H62" s="100">
        <v>48.81</v>
      </c>
      <c r="I62" s="100">
        <v>18.190000000000001</v>
      </c>
      <c r="J62" s="100">
        <v>0.19</v>
      </c>
      <c r="K62" s="100">
        <v>315.14999999999998</v>
      </c>
      <c r="L62" s="100">
        <v>30.96</v>
      </c>
      <c r="M62" s="100">
        <v>31.59</v>
      </c>
      <c r="N62" s="100">
        <v>350.3</v>
      </c>
      <c r="O62" s="100">
        <v>0</v>
      </c>
      <c r="P62" s="100">
        <v>1.48</v>
      </c>
      <c r="Q62" s="100">
        <v>12.25</v>
      </c>
      <c r="R62" s="6"/>
      <c r="S62" s="6"/>
      <c r="T62" s="156"/>
      <c r="U62" s="6"/>
    </row>
    <row r="63" spans="1:21" customFormat="1">
      <c r="A63" s="163" t="s">
        <v>2501</v>
      </c>
      <c r="B63" s="100">
        <v>4.08</v>
      </c>
      <c r="C63" s="100">
        <v>31.43</v>
      </c>
      <c r="D63" s="100">
        <v>21.04</v>
      </c>
      <c r="E63" s="100">
        <v>13.62</v>
      </c>
      <c r="F63" s="100">
        <v>1.04</v>
      </c>
      <c r="G63" s="100">
        <v>81.09</v>
      </c>
      <c r="H63" s="100">
        <v>47.55</v>
      </c>
      <c r="I63" s="100">
        <v>17.8</v>
      </c>
      <c r="J63" s="100">
        <v>0.67</v>
      </c>
      <c r="K63" s="100">
        <v>346.94</v>
      </c>
      <c r="L63" s="100">
        <v>30.96</v>
      </c>
      <c r="M63" s="100">
        <v>31.81</v>
      </c>
      <c r="N63" s="100">
        <v>348.3</v>
      </c>
      <c r="O63" s="100">
        <v>0</v>
      </c>
      <c r="P63" s="100">
        <v>1.42</v>
      </c>
      <c r="Q63" s="100">
        <v>12.25</v>
      </c>
      <c r="R63" s="6"/>
      <c r="S63" s="6"/>
      <c r="T63" s="156"/>
      <c r="U63" s="6"/>
    </row>
    <row r="64" spans="1:21" customFormat="1">
      <c r="A64" s="163" t="s">
        <v>2502</v>
      </c>
      <c r="B64" s="100">
        <v>4.1100000000000003</v>
      </c>
      <c r="C64" s="100">
        <v>30.38</v>
      </c>
      <c r="D64" s="100">
        <v>20.52</v>
      </c>
      <c r="E64" s="100">
        <v>11.55</v>
      </c>
      <c r="F64" s="100">
        <v>1.5</v>
      </c>
      <c r="G64" s="100">
        <v>81.09</v>
      </c>
      <c r="H64" s="100">
        <v>47.55</v>
      </c>
      <c r="I64" s="100">
        <v>17.22</v>
      </c>
      <c r="J64" s="100">
        <v>0.39</v>
      </c>
      <c r="K64" s="100">
        <v>330.4</v>
      </c>
      <c r="L64" s="100">
        <v>30.88</v>
      </c>
      <c r="M64" s="100">
        <v>32.049999999999997</v>
      </c>
      <c r="N64" s="100">
        <v>353.9</v>
      </c>
      <c r="O64" s="100">
        <v>0</v>
      </c>
      <c r="P64" s="100">
        <v>1.38</v>
      </c>
      <c r="Q64" s="100">
        <v>12.25</v>
      </c>
      <c r="R64" s="6"/>
      <c r="S64" s="6"/>
      <c r="T64" s="156"/>
      <c r="U64" s="6"/>
    </row>
    <row r="65" spans="1:21" customFormat="1">
      <c r="A65" s="163" t="s">
        <v>2503</v>
      </c>
      <c r="B65" s="100">
        <v>4.08</v>
      </c>
      <c r="C65" s="100">
        <v>29.45</v>
      </c>
      <c r="D65" s="100">
        <v>20.010000000000002</v>
      </c>
      <c r="E65" s="100">
        <v>11.74</v>
      </c>
      <c r="F65" s="100">
        <v>2.64</v>
      </c>
      <c r="G65" s="100">
        <v>81.09</v>
      </c>
      <c r="H65" s="100">
        <v>47.55</v>
      </c>
      <c r="I65" s="100">
        <v>16.78</v>
      </c>
      <c r="J65" s="100">
        <v>0.54</v>
      </c>
      <c r="K65" s="100">
        <v>324.52999999999997</v>
      </c>
      <c r="L65" s="100">
        <v>30.79</v>
      </c>
      <c r="M65" s="100">
        <v>32.200000000000003</v>
      </c>
      <c r="N65" s="100">
        <v>264.39999999999998</v>
      </c>
      <c r="O65" s="100">
        <v>0</v>
      </c>
      <c r="P65" s="100">
        <v>1.23</v>
      </c>
      <c r="Q65" s="100">
        <v>12.25</v>
      </c>
      <c r="R65" s="6"/>
      <c r="S65" s="6"/>
      <c r="T65" s="156"/>
      <c r="U65" s="6"/>
    </row>
    <row r="66" spans="1:21" customFormat="1">
      <c r="A66" s="163" t="s">
        <v>2504</v>
      </c>
      <c r="B66" s="100">
        <v>4.08</v>
      </c>
      <c r="C66" s="100">
        <v>28.78</v>
      </c>
      <c r="D66" s="100">
        <v>19.66</v>
      </c>
      <c r="E66" s="100">
        <v>13.28</v>
      </c>
      <c r="F66" s="100">
        <v>1.88</v>
      </c>
      <c r="G66" s="100">
        <v>60.53</v>
      </c>
      <c r="H66" s="100">
        <v>45.96</v>
      </c>
      <c r="I66" s="100">
        <v>16.329999999999998</v>
      </c>
      <c r="J66" s="100">
        <v>0.32</v>
      </c>
      <c r="K66" s="100">
        <v>324.60000000000002</v>
      </c>
      <c r="L66" s="100">
        <v>30.67</v>
      </c>
      <c r="M66" s="100">
        <v>31.71</v>
      </c>
      <c r="N66" s="100">
        <v>120</v>
      </c>
      <c r="O66" s="100">
        <v>0</v>
      </c>
      <c r="P66" s="100">
        <v>1.22</v>
      </c>
      <c r="Q66" s="100">
        <v>12.25</v>
      </c>
      <c r="R66" s="6"/>
      <c r="S66" s="6"/>
      <c r="T66" s="156"/>
      <c r="U66" s="6"/>
    </row>
    <row r="67" spans="1:21" customFormat="1">
      <c r="A67" s="163" t="s">
        <v>2505</v>
      </c>
      <c r="B67" s="100">
        <v>4.08</v>
      </c>
      <c r="C67" s="100">
        <v>28.21</v>
      </c>
      <c r="D67" s="100">
        <v>19.36</v>
      </c>
      <c r="E67" s="100">
        <v>13.08</v>
      </c>
      <c r="F67" s="100">
        <v>1.1599999999999999</v>
      </c>
      <c r="G67" s="100">
        <v>48.04</v>
      </c>
      <c r="H67" s="100">
        <v>45.16</v>
      </c>
      <c r="I67" s="100">
        <v>15.83</v>
      </c>
      <c r="J67" s="100">
        <v>0.42</v>
      </c>
      <c r="K67" s="100">
        <v>281.54000000000002</v>
      </c>
      <c r="L67" s="100">
        <v>30.42</v>
      </c>
      <c r="M67" s="100">
        <v>32.76</v>
      </c>
      <c r="N67" s="100">
        <v>91.4</v>
      </c>
      <c r="O67" s="100">
        <v>0</v>
      </c>
      <c r="P67" s="100">
        <v>1.2</v>
      </c>
      <c r="Q67" s="100">
        <v>12.25</v>
      </c>
      <c r="R67" s="6"/>
      <c r="S67" s="6"/>
      <c r="T67" s="156"/>
      <c r="U67" s="6"/>
    </row>
    <row r="68" spans="1:21" customFormat="1">
      <c r="A68" s="163" t="s">
        <v>2506</v>
      </c>
      <c r="B68" s="100">
        <v>4.04</v>
      </c>
      <c r="C68" s="100">
        <v>27.5</v>
      </c>
      <c r="D68" s="100">
        <v>18.96</v>
      </c>
      <c r="E68" s="100">
        <v>13.49</v>
      </c>
      <c r="F68" s="100">
        <v>1.17</v>
      </c>
      <c r="G68" s="100">
        <v>48.04</v>
      </c>
      <c r="H68" s="100">
        <v>45.16</v>
      </c>
      <c r="I68" s="100">
        <v>15.04</v>
      </c>
      <c r="J68" s="100">
        <v>0.51</v>
      </c>
      <c r="K68" s="100">
        <v>293.99</v>
      </c>
      <c r="L68" s="100">
        <v>30.32</v>
      </c>
      <c r="M68" s="100">
        <v>30.52</v>
      </c>
      <c r="N68" s="100">
        <v>66.900000000000006</v>
      </c>
      <c r="O68" s="100">
        <v>0</v>
      </c>
      <c r="P68" s="100">
        <v>1.1399999999999999</v>
      </c>
      <c r="Q68" s="100">
        <v>12.25</v>
      </c>
      <c r="R68" s="6"/>
      <c r="S68" s="6"/>
      <c r="T68" s="156"/>
      <c r="U68" s="6"/>
    </row>
    <row r="69" spans="1:21" customFormat="1">
      <c r="A69" s="163" t="s">
        <v>2507</v>
      </c>
      <c r="B69" s="100">
        <v>4</v>
      </c>
      <c r="C69" s="100">
        <v>26.88</v>
      </c>
      <c r="D69" s="100">
        <v>18.600000000000001</v>
      </c>
      <c r="E69" s="100">
        <v>13.98</v>
      </c>
      <c r="F69" s="100">
        <v>1.39</v>
      </c>
      <c r="G69" s="100">
        <v>48.04</v>
      </c>
      <c r="H69" s="100">
        <v>45.16</v>
      </c>
      <c r="I69" s="100">
        <v>14.89</v>
      </c>
      <c r="J69" s="100">
        <v>0.53</v>
      </c>
      <c r="K69" s="100">
        <v>301.12</v>
      </c>
      <c r="L69" s="100">
        <v>30.3</v>
      </c>
      <c r="M69" s="100">
        <v>29.95</v>
      </c>
      <c r="N69" s="100">
        <v>62.4</v>
      </c>
      <c r="O69" s="100">
        <v>0</v>
      </c>
      <c r="P69" s="100">
        <v>1.1000000000000001</v>
      </c>
      <c r="Q69" s="100">
        <v>12.25</v>
      </c>
      <c r="R69" s="6"/>
      <c r="S69" s="6"/>
      <c r="T69" s="156"/>
      <c r="U69" s="6"/>
    </row>
    <row r="70" spans="1:21" customFormat="1">
      <c r="A70" s="163" t="s">
        <v>2508</v>
      </c>
      <c r="B70" s="100">
        <v>4.0199999999999996</v>
      </c>
      <c r="C70" s="100">
        <v>26.26</v>
      </c>
      <c r="D70" s="100">
        <v>18.29</v>
      </c>
      <c r="E70" s="100">
        <v>17.03</v>
      </c>
      <c r="F70" s="100">
        <v>0.69</v>
      </c>
      <c r="G70" s="100">
        <v>48.75</v>
      </c>
      <c r="H70" s="100">
        <v>56.15</v>
      </c>
      <c r="I70" s="100">
        <v>14.42</v>
      </c>
      <c r="J70" s="100">
        <v>0.38</v>
      </c>
      <c r="K70" s="100">
        <v>8.7799999999999994</v>
      </c>
      <c r="L70" s="100">
        <v>30.32</v>
      </c>
      <c r="M70" s="100">
        <v>29.84</v>
      </c>
      <c r="N70" s="100">
        <v>58.3</v>
      </c>
      <c r="O70" s="100">
        <v>0</v>
      </c>
      <c r="P70" s="100">
        <v>1</v>
      </c>
      <c r="Q70" s="100">
        <v>12.25</v>
      </c>
      <c r="R70" s="6"/>
      <c r="S70" s="6"/>
      <c r="T70" s="156"/>
      <c r="U70" s="6"/>
    </row>
    <row r="71" spans="1:21" customFormat="1">
      <c r="A71" s="163" t="s">
        <v>2509</v>
      </c>
      <c r="B71" s="100">
        <v>4.03</v>
      </c>
      <c r="C71" s="100">
        <v>25.78</v>
      </c>
      <c r="D71" s="100">
        <v>18.05</v>
      </c>
      <c r="E71" s="100">
        <v>15.34</v>
      </c>
      <c r="F71" s="100">
        <v>1.01</v>
      </c>
      <c r="G71" s="100">
        <v>49.18</v>
      </c>
      <c r="H71" s="100">
        <v>58.35</v>
      </c>
      <c r="I71" s="100">
        <v>13.68</v>
      </c>
      <c r="J71" s="100">
        <v>0.24</v>
      </c>
      <c r="K71" s="100">
        <v>279.27999999999997</v>
      </c>
      <c r="L71" s="100">
        <v>30.1</v>
      </c>
      <c r="M71" s="100">
        <v>30.02</v>
      </c>
      <c r="N71" s="100">
        <v>48.4</v>
      </c>
      <c r="O71" s="100">
        <v>0</v>
      </c>
      <c r="P71" s="100">
        <v>1.03</v>
      </c>
      <c r="Q71" s="100">
        <v>12.25</v>
      </c>
      <c r="R71" s="6"/>
      <c r="S71" s="6"/>
      <c r="T71" s="156"/>
      <c r="U71" s="6"/>
    </row>
    <row r="72" spans="1:21" customFormat="1">
      <c r="A72" s="163" t="s">
        <v>2510</v>
      </c>
      <c r="B72" s="100">
        <v>4.04</v>
      </c>
      <c r="C72" s="100">
        <v>25.35</v>
      </c>
      <c r="D72" s="100">
        <v>17.84</v>
      </c>
      <c r="E72" s="100">
        <v>15.06</v>
      </c>
      <c r="F72" s="100">
        <v>1.21</v>
      </c>
      <c r="G72" s="100">
        <v>49.18</v>
      </c>
      <c r="H72" s="100">
        <v>58.35</v>
      </c>
      <c r="I72" s="100">
        <v>12.96</v>
      </c>
      <c r="J72" s="100">
        <v>0.36</v>
      </c>
      <c r="K72" s="100">
        <v>270.60000000000002</v>
      </c>
      <c r="L72" s="100">
        <v>29.89</v>
      </c>
      <c r="M72" s="100">
        <v>29.15</v>
      </c>
      <c r="N72" s="100">
        <v>43.5</v>
      </c>
      <c r="O72" s="100">
        <v>0</v>
      </c>
      <c r="P72" s="100">
        <v>0.99</v>
      </c>
      <c r="Q72" s="100">
        <v>12.25</v>
      </c>
      <c r="R72" s="6"/>
      <c r="S72" s="6"/>
      <c r="T72" s="156"/>
      <c r="U72" s="6"/>
    </row>
    <row r="73" spans="1:21" customFormat="1">
      <c r="A73" s="163" t="s">
        <v>2511</v>
      </c>
      <c r="B73" s="100">
        <v>4.07</v>
      </c>
      <c r="C73" s="100">
        <v>25.07</v>
      </c>
      <c r="D73" s="100">
        <v>17.71</v>
      </c>
      <c r="E73" s="100">
        <v>15.19</v>
      </c>
      <c r="F73" s="100">
        <v>1.73</v>
      </c>
      <c r="G73" s="100">
        <v>49.18</v>
      </c>
      <c r="H73" s="100">
        <v>58.35</v>
      </c>
      <c r="I73" s="100">
        <v>13.06</v>
      </c>
      <c r="J73" s="100">
        <v>0.1</v>
      </c>
      <c r="K73" s="100">
        <v>260.77</v>
      </c>
      <c r="L73" s="100">
        <v>29.68</v>
      </c>
      <c r="M73" s="100">
        <v>30.37</v>
      </c>
      <c r="N73" s="100">
        <v>40.6</v>
      </c>
      <c r="O73" s="100">
        <v>0</v>
      </c>
      <c r="P73" s="100">
        <v>0.99</v>
      </c>
      <c r="Q73" s="100">
        <v>12.25</v>
      </c>
      <c r="R73" s="6"/>
      <c r="S73" s="6"/>
      <c r="T73" s="156"/>
      <c r="U73" s="6"/>
    </row>
    <row r="74" spans="1:21" customFormat="1">
      <c r="A74" s="163" t="s">
        <v>2512</v>
      </c>
      <c r="B74" s="100">
        <v>4.1500000000000004</v>
      </c>
      <c r="C74" s="100">
        <v>24.75</v>
      </c>
      <c r="D74" s="100">
        <v>17.61</v>
      </c>
      <c r="E74" s="100">
        <v>18.420000000000002</v>
      </c>
      <c r="F74" s="100">
        <v>3.29</v>
      </c>
      <c r="G74" s="100">
        <v>53.42</v>
      </c>
      <c r="H74" s="100">
        <v>63.16</v>
      </c>
      <c r="I74" s="100">
        <v>12.86</v>
      </c>
      <c r="J74" s="100">
        <v>0.21</v>
      </c>
      <c r="K74" s="100">
        <v>0.12</v>
      </c>
      <c r="L74" s="100">
        <v>29.51</v>
      </c>
      <c r="M74" s="100">
        <v>30.15</v>
      </c>
      <c r="N74" s="100">
        <v>37.299999999999997</v>
      </c>
      <c r="O74" s="100">
        <v>0</v>
      </c>
      <c r="P74" s="100">
        <v>0.95</v>
      </c>
      <c r="Q74" s="100">
        <v>12.25</v>
      </c>
      <c r="R74" s="6"/>
      <c r="S74" s="6"/>
      <c r="T74" s="156"/>
      <c r="U74" s="6"/>
    </row>
    <row r="75" spans="1:21" customFormat="1">
      <c r="A75" s="163" t="s">
        <v>2513</v>
      </c>
      <c r="B75" s="100">
        <v>4.26</v>
      </c>
      <c r="C75" s="100">
        <v>24.8</v>
      </c>
      <c r="D75" s="100">
        <v>17.72</v>
      </c>
      <c r="E75" s="100">
        <v>18.489999999999998</v>
      </c>
      <c r="F75" s="100">
        <v>2.17</v>
      </c>
      <c r="G75" s="100">
        <v>56</v>
      </c>
      <c r="H75" s="100">
        <v>64.12</v>
      </c>
      <c r="I75" s="100">
        <v>12.46</v>
      </c>
      <c r="J75" s="100">
        <v>0.03</v>
      </c>
      <c r="K75" s="100">
        <v>260.48</v>
      </c>
      <c r="L75" s="100">
        <v>29.27</v>
      </c>
      <c r="M75" s="100">
        <v>32.729999999999997</v>
      </c>
      <c r="N75" s="100">
        <v>29.1</v>
      </c>
      <c r="O75" s="100">
        <v>0</v>
      </c>
      <c r="P75" s="100">
        <v>0.94</v>
      </c>
      <c r="Q75" s="100">
        <v>12.25</v>
      </c>
      <c r="R75" s="6"/>
      <c r="S75" s="6"/>
      <c r="T75" s="156"/>
      <c r="U75" s="6"/>
    </row>
    <row r="76" spans="1:21" customFormat="1">
      <c r="A76" s="163" t="s">
        <v>2514</v>
      </c>
      <c r="B76" s="100">
        <v>4.3</v>
      </c>
      <c r="C76" s="100">
        <v>24.82</v>
      </c>
      <c r="D76" s="100">
        <v>17.77</v>
      </c>
      <c r="E76" s="100">
        <v>15.32</v>
      </c>
      <c r="F76" s="100">
        <v>1.91</v>
      </c>
      <c r="G76" s="100">
        <v>56</v>
      </c>
      <c r="H76" s="100">
        <v>64.12</v>
      </c>
      <c r="I76" s="100">
        <v>12.41</v>
      </c>
      <c r="J76" s="100">
        <v>0.05</v>
      </c>
      <c r="K76" s="100">
        <v>198.24</v>
      </c>
      <c r="L76" s="100">
        <v>28.59</v>
      </c>
      <c r="M76" s="100">
        <v>35.229999999999997</v>
      </c>
      <c r="N76" s="100">
        <v>24.2</v>
      </c>
      <c r="O76" s="100">
        <v>0</v>
      </c>
      <c r="P76" s="100">
        <v>0.96</v>
      </c>
      <c r="Q76" s="100">
        <v>12.25</v>
      </c>
      <c r="R76" s="6"/>
      <c r="S76" s="6"/>
      <c r="T76" s="156"/>
      <c r="U76" s="6"/>
    </row>
    <row r="77" spans="1:21" customFormat="1">
      <c r="A77" s="163" t="s">
        <v>2515</v>
      </c>
      <c r="B77" s="100">
        <v>4.4000000000000004</v>
      </c>
      <c r="C77" s="100">
        <v>24.99</v>
      </c>
      <c r="D77" s="100">
        <v>17.93</v>
      </c>
      <c r="E77" s="100">
        <v>14.19</v>
      </c>
      <c r="F77" s="100">
        <v>0.95</v>
      </c>
      <c r="G77" s="100">
        <v>56</v>
      </c>
      <c r="H77" s="100">
        <v>64.12</v>
      </c>
      <c r="I77" s="100">
        <v>12.39</v>
      </c>
      <c r="J77" s="100">
        <v>0.02</v>
      </c>
      <c r="K77" s="100">
        <v>242.15</v>
      </c>
      <c r="L77" s="100">
        <v>28.26</v>
      </c>
      <c r="M77" s="100">
        <v>36.47</v>
      </c>
      <c r="N77" s="100">
        <v>16.100000000000001</v>
      </c>
      <c r="O77" s="100">
        <v>0</v>
      </c>
      <c r="P77" s="100">
        <v>1</v>
      </c>
      <c r="Q77" s="100">
        <v>12.25</v>
      </c>
      <c r="R77" s="6"/>
      <c r="S77" s="6"/>
      <c r="T77" s="156"/>
      <c r="U77" s="6"/>
    </row>
    <row r="78" spans="1:21" customFormat="1">
      <c r="A78" s="163" t="s">
        <v>2516</v>
      </c>
      <c r="B78" s="100">
        <v>4.59</v>
      </c>
      <c r="C78" s="100">
        <v>25.54</v>
      </c>
      <c r="D78" s="100">
        <v>18.37</v>
      </c>
      <c r="E78" s="100">
        <v>13.48</v>
      </c>
      <c r="F78" s="100">
        <v>1.79</v>
      </c>
      <c r="G78" s="100">
        <v>64.63</v>
      </c>
      <c r="H78" s="100">
        <v>51.78</v>
      </c>
      <c r="I78" s="100">
        <v>12.5</v>
      </c>
      <c r="J78" s="100">
        <v>0.18</v>
      </c>
      <c r="K78" s="100">
        <v>167.27</v>
      </c>
      <c r="L78" s="100">
        <v>27.47</v>
      </c>
      <c r="M78" s="100">
        <v>39.46</v>
      </c>
      <c r="N78" s="100">
        <v>9.5</v>
      </c>
      <c r="O78" s="100">
        <v>0</v>
      </c>
      <c r="P78" s="100">
        <v>1.01</v>
      </c>
      <c r="Q78" s="100">
        <v>12.25</v>
      </c>
      <c r="R78" s="6"/>
      <c r="S78" s="6"/>
      <c r="T78" s="156"/>
      <c r="U78" s="6"/>
    </row>
    <row r="79" spans="1:21" customFormat="1">
      <c r="A79" s="163" t="s">
        <v>2517</v>
      </c>
      <c r="B79" s="100">
        <v>4.7699999999999996</v>
      </c>
      <c r="C79" s="100">
        <v>25.96</v>
      </c>
      <c r="D79" s="100">
        <v>18.739999999999998</v>
      </c>
      <c r="E79" s="100">
        <v>11.58</v>
      </c>
      <c r="F79" s="100">
        <v>0.91</v>
      </c>
      <c r="G79" s="100">
        <v>70.12</v>
      </c>
      <c r="H79" s="100">
        <v>49.31</v>
      </c>
      <c r="I79" s="100">
        <v>12.73</v>
      </c>
      <c r="J79" s="100">
        <v>0.32</v>
      </c>
      <c r="K79" s="100">
        <v>169.41</v>
      </c>
      <c r="L79" s="100">
        <v>26.35</v>
      </c>
      <c r="M79" s="100">
        <v>47.44</v>
      </c>
      <c r="N79" s="100">
        <v>4.9000000000000004</v>
      </c>
      <c r="O79" s="100">
        <v>0</v>
      </c>
      <c r="P79" s="100">
        <v>1.01</v>
      </c>
      <c r="Q79" s="100">
        <v>12.25</v>
      </c>
      <c r="R79" s="6"/>
      <c r="S79" s="6"/>
      <c r="T79" s="156"/>
      <c r="U79" s="6"/>
    </row>
    <row r="80" spans="1:21" customFormat="1">
      <c r="A80" s="163" t="s">
        <v>2518</v>
      </c>
      <c r="B80" s="100">
        <v>4.8499999999999996</v>
      </c>
      <c r="C80" s="100">
        <v>26.47</v>
      </c>
      <c r="D80" s="100">
        <v>19.07</v>
      </c>
      <c r="E80" s="100">
        <v>10.96</v>
      </c>
      <c r="F80" s="100">
        <v>1.76</v>
      </c>
      <c r="G80" s="100">
        <v>70.12</v>
      </c>
      <c r="H80" s="100">
        <v>49.31</v>
      </c>
      <c r="I80" s="100">
        <v>12.83</v>
      </c>
      <c r="J80" s="100">
        <v>0.32</v>
      </c>
      <c r="K80" s="100">
        <v>161.97999999999999</v>
      </c>
      <c r="L80" s="100">
        <v>25.43</v>
      </c>
      <c r="M80" s="100">
        <v>54.48</v>
      </c>
      <c r="N80" s="100">
        <v>2.7</v>
      </c>
      <c r="O80" s="100">
        <v>0</v>
      </c>
      <c r="P80" s="100">
        <v>1.01</v>
      </c>
      <c r="Q80" s="100">
        <v>12.25</v>
      </c>
      <c r="R80" s="6"/>
      <c r="S80" s="6"/>
      <c r="T80" s="156"/>
      <c r="U80" s="6"/>
    </row>
    <row r="81" spans="1:21" customFormat="1">
      <c r="A81" s="163" t="s">
        <v>2519</v>
      </c>
      <c r="B81" s="100">
        <v>4.91</v>
      </c>
      <c r="C81" s="100">
        <v>27.23</v>
      </c>
      <c r="D81" s="100">
        <v>19.52</v>
      </c>
      <c r="E81" s="100">
        <v>8.64</v>
      </c>
      <c r="F81" s="100">
        <v>0.48</v>
      </c>
      <c r="G81" s="100">
        <v>70.12</v>
      </c>
      <c r="H81" s="100">
        <v>49.31</v>
      </c>
      <c r="I81" s="100">
        <v>12.89</v>
      </c>
      <c r="J81" s="100">
        <v>0.18</v>
      </c>
      <c r="K81" s="100">
        <v>157.22</v>
      </c>
      <c r="L81" s="100">
        <v>24.67</v>
      </c>
      <c r="M81" s="100">
        <v>56.44</v>
      </c>
      <c r="N81" s="100">
        <v>1.9</v>
      </c>
      <c r="O81" s="100">
        <v>0</v>
      </c>
      <c r="P81" s="100">
        <v>1.02</v>
      </c>
      <c r="Q81" s="100">
        <v>12.25</v>
      </c>
      <c r="R81" s="6"/>
      <c r="S81" s="6"/>
      <c r="T81" s="156"/>
      <c r="U81" s="6"/>
    </row>
    <row r="82" spans="1:21" customFormat="1">
      <c r="A82" s="163" t="s">
        <v>2520</v>
      </c>
      <c r="B82" s="100">
        <v>5.12</v>
      </c>
      <c r="C82" s="100">
        <v>27.82</v>
      </c>
      <c r="D82" s="100">
        <v>20</v>
      </c>
      <c r="E82" s="100">
        <v>10.55</v>
      </c>
      <c r="F82" s="100">
        <v>2.12</v>
      </c>
      <c r="G82" s="100">
        <v>92.61</v>
      </c>
      <c r="H82" s="100">
        <v>47.03</v>
      </c>
      <c r="I82" s="100">
        <v>12.83</v>
      </c>
      <c r="J82" s="100">
        <v>0.31</v>
      </c>
      <c r="K82" s="100">
        <v>158.06</v>
      </c>
      <c r="L82" s="100">
        <v>24.28</v>
      </c>
      <c r="M82" s="100">
        <v>57.17</v>
      </c>
      <c r="N82" s="100">
        <v>1.7</v>
      </c>
      <c r="O82" s="100">
        <v>0</v>
      </c>
      <c r="P82" s="100">
        <v>1.03</v>
      </c>
      <c r="Q82" s="100">
        <v>12.25</v>
      </c>
      <c r="R82" s="6"/>
      <c r="S82" s="6"/>
      <c r="T82" s="156"/>
      <c r="U82" s="6"/>
    </row>
    <row r="83" spans="1:21" customFormat="1">
      <c r="A83" s="163" t="s">
        <v>2521</v>
      </c>
      <c r="B83" s="100">
        <v>5.64</v>
      </c>
      <c r="C83" s="100">
        <v>28.86</v>
      </c>
      <c r="D83" s="100">
        <v>20.95</v>
      </c>
      <c r="E83" s="100">
        <v>9.84</v>
      </c>
      <c r="F83" s="100">
        <v>1.75</v>
      </c>
      <c r="G83" s="100">
        <v>106.26</v>
      </c>
      <c r="H83" s="100">
        <v>46.58</v>
      </c>
      <c r="I83" s="100">
        <v>12.82</v>
      </c>
      <c r="J83" s="100">
        <v>0.28000000000000003</v>
      </c>
      <c r="K83" s="100">
        <v>161.12</v>
      </c>
      <c r="L83" s="100">
        <v>23.72</v>
      </c>
      <c r="M83" s="100">
        <v>60.73</v>
      </c>
      <c r="N83" s="100">
        <v>1.7</v>
      </c>
      <c r="O83" s="100">
        <v>0</v>
      </c>
      <c r="P83" s="100">
        <v>1.04</v>
      </c>
      <c r="Q83" s="100">
        <v>12.25</v>
      </c>
      <c r="R83" s="6"/>
      <c r="S83" s="6"/>
      <c r="T83" s="156"/>
      <c r="U83" s="6"/>
    </row>
    <row r="84" spans="1:21" customFormat="1">
      <c r="A84" s="163" t="s">
        <v>2522</v>
      </c>
      <c r="B84" s="100">
        <v>6.01</v>
      </c>
      <c r="C84" s="100">
        <v>29.57</v>
      </c>
      <c r="D84" s="100">
        <v>21.62</v>
      </c>
      <c r="E84" s="100">
        <v>9.7899999999999991</v>
      </c>
      <c r="F84" s="100">
        <v>2.21</v>
      </c>
      <c r="G84" s="100">
        <v>106.26</v>
      </c>
      <c r="H84" s="100">
        <v>46.58</v>
      </c>
      <c r="I84" s="100">
        <v>13</v>
      </c>
      <c r="J84" s="100">
        <v>0.18</v>
      </c>
      <c r="K84" s="100">
        <v>195.14</v>
      </c>
      <c r="L84" s="100">
        <v>22.9</v>
      </c>
      <c r="M84" s="100">
        <v>63.15</v>
      </c>
      <c r="N84" s="100">
        <v>2</v>
      </c>
      <c r="O84" s="100">
        <v>0</v>
      </c>
      <c r="P84" s="100">
        <v>1.05</v>
      </c>
      <c r="Q84" s="100">
        <v>12.25</v>
      </c>
      <c r="R84" s="6"/>
      <c r="S84" s="6"/>
      <c r="T84" s="156"/>
      <c r="U84" s="6"/>
    </row>
    <row r="85" spans="1:21" customFormat="1">
      <c r="A85" s="163" t="s">
        <v>2523</v>
      </c>
      <c r="B85" s="100">
        <v>6.14</v>
      </c>
      <c r="C85" s="100">
        <v>30.07</v>
      </c>
      <c r="D85" s="100">
        <v>21.99</v>
      </c>
      <c r="E85" s="100">
        <v>9.98</v>
      </c>
      <c r="F85" s="100">
        <v>1.03</v>
      </c>
      <c r="G85" s="100">
        <v>106.26</v>
      </c>
      <c r="H85" s="100">
        <v>46.58</v>
      </c>
      <c r="I85" s="100">
        <v>13.11</v>
      </c>
      <c r="J85" s="100">
        <v>0.18</v>
      </c>
      <c r="K85" s="100">
        <v>177.87</v>
      </c>
      <c r="L85" s="100">
        <v>22.47</v>
      </c>
      <c r="M85" s="100">
        <v>62.76</v>
      </c>
      <c r="N85" s="100">
        <v>1.6</v>
      </c>
      <c r="O85" s="100">
        <v>0</v>
      </c>
      <c r="P85" s="100">
        <v>1.06</v>
      </c>
      <c r="Q85" s="100">
        <v>12.25</v>
      </c>
      <c r="R85" s="6"/>
      <c r="S85" s="6"/>
      <c r="T85" s="156"/>
      <c r="U85" s="6"/>
    </row>
    <row r="86" spans="1:21" customFormat="1">
      <c r="A86" s="163" t="s">
        <v>2524</v>
      </c>
      <c r="B86" s="100">
        <v>6.17</v>
      </c>
      <c r="C86" s="100">
        <v>30.09</v>
      </c>
      <c r="D86" s="100">
        <v>22.02</v>
      </c>
      <c r="E86" s="100">
        <v>9.93</v>
      </c>
      <c r="F86" s="100">
        <v>0.86</v>
      </c>
      <c r="G86" s="100">
        <v>103.02</v>
      </c>
      <c r="H86" s="100">
        <v>42.67</v>
      </c>
      <c r="I86" s="100">
        <v>13.23</v>
      </c>
      <c r="J86" s="100">
        <v>0.15</v>
      </c>
      <c r="K86" s="100">
        <v>190.74</v>
      </c>
      <c r="L86" s="100">
        <v>22.05</v>
      </c>
      <c r="M86" s="100">
        <v>66.55</v>
      </c>
      <c r="N86" s="100">
        <v>1.6</v>
      </c>
      <c r="O86" s="100">
        <v>0</v>
      </c>
      <c r="P86" s="100">
        <v>1.06</v>
      </c>
      <c r="Q86" s="100">
        <v>12.25</v>
      </c>
      <c r="R86" s="6"/>
      <c r="S86" s="6"/>
      <c r="T86" s="156"/>
      <c r="U86" s="6"/>
    </row>
    <row r="87" spans="1:21" customFormat="1">
      <c r="A87" s="163" t="s">
        <v>2525</v>
      </c>
      <c r="B87" s="100">
        <v>6.22</v>
      </c>
      <c r="C87" s="100">
        <v>29.89</v>
      </c>
      <c r="D87" s="100">
        <v>21.95</v>
      </c>
      <c r="E87" s="100">
        <v>9.9499999999999993</v>
      </c>
      <c r="F87" s="100">
        <v>0.79</v>
      </c>
      <c r="G87" s="100">
        <v>101.05</v>
      </c>
      <c r="H87" s="100">
        <v>41.89</v>
      </c>
      <c r="I87" s="100">
        <v>13.29</v>
      </c>
      <c r="J87" s="100">
        <v>0.15</v>
      </c>
      <c r="K87" s="100">
        <v>177.59</v>
      </c>
      <c r="L87" s="100">
        <v>21.69</v>
      </c>
      <c r="M87" s="100">
        <v>67.47</v>
      </c>
      <c r="N87" s="100">
        <v>1.4</v>
      </c>
      <c r="O87" s="100">
        <v>0</v>
      </c>
      <c r="P87" s="100">
        <v>1.07</v>
      </c>
      <c r="Q87" s="100">
        <v>12.25</v>
      </c>
      <c r="R87" s="6"/>
      <c r="S87" s="6"/>
      <c r="T87" s="156"/>
      <c r="U87" s="6"/>
    </row>
    <row r="88" spans="1:21" customFormat="1">
      <c r="A88" s="163" t="s">
        <v>2526</v>
      </c>
      <c r="B88" s="100">
        <v>6.27</v>
      </c>
      <c r="C88" s="100">
        <v>29.71</v>
      </c>
      <c r="D88" s="100">
        <v>21.91</v>
      </c>
      <c r="E88" s="100">
        <v>9.7100000000000009</v>
      </c>
      <c r="F88" s="100">
        <v>1.1200000000000001</v>
      </c>
      <c r="G88" s="100">
        <v>101.05</v>
      </c>
      <c r="H88" s="100">
        <v>41.89</v>
      </c>
      <c r="I88" s="100">
        <v>13.43</v>
      </c>
      <c r="J88" s="100">
        <v>0.21</v>
      </c>
      <c r="K88" s="100">
        <v>203.11</v>
      </c>
      <c r="L88" s="100">
        <v>21.41</v>
      </c>
      <c r="M88" s="100">
        <v>71.36</v>
      </c>
      <c r="N88" s="100">
        <v>1.4</v>
      </c>
      <c r="O88" s="100">
        <v>0</v>
      </c>
      <c r="P88" s="100">
        <v>1.08</v>
      </c>
      <c r="Q88" s="100">
        <v>12.25</v>
      </c>
      <c r="R88" s="6"/>
      <c r="S88" s="6"/>
      <c r="T88" s="156"/>
      <c r="U88" s="6"/>
    </row>
    <row r="89" spans="1:21" customFormat="1">
      <c r="A89" s="163" t="s">
        <v>2527</v>
      </c>
      <c r="B89" s="100">
        <v>6.36</v>
      </c>
      <c r="C89" s="100">
        <v>29.3</v>
      </c>
      <c r="D89" s="100">
        <v>21.76</v>
      </c>
      <c r="E89" s="100">
        <v>9.4</v>
      </c>
      <c r="F89" s="100">
        <v>0.54</v>
      </c>
      <c r="G89" s="100">
        <v>101.05</v>
      </c>
      <c r="H89" s="100">
        <v>41.89</v>
      </c>
      <c r="I89" s="100">
        <v>13.54</v>
      </c>
      <c r="J89" s="100">
        <v>0.19</v>
      </c>
      <c r="K89" s="100">
        <v>211.14</v>
      </c>
      <c r="L89" s="100">
        <v>21.16</v>
      </c>
      <c r="M89" s="100">
        <v>73.09</v>
      </c>
      <c r="N89" s="100">
        <v>1.4</v>
      </c>
      <c r="O89" s="100">
        <v>0</v>
      </c>
      <c r="P89" s="100">
        <v>1.08</v>
      </c>
      <c r="Q89" s="100">
        <v>12.25</v>
      </c>
      <c r="R89" s="6"/>
      <c r="S89" s="6"/>
      <c r="T89" s="156"/>
      <c r="U89" s="6"/>
    </row>
    <row r="90" spans="1:21" customFormat="1">
      <c r="A90" s="163" t="s">
        <v>2528</v>
      </c>
      <c r="B90" s="100">
        <v>6.48</v>
      </c>
      <c r="C90" s="100">
        <v>28.9</v>
      </c>
      <c r="D90" s="100">
        <v>21.65</v>
      </c>
      <c r="E90" s="100">
        <v>9.56</v>
      </c>
      <c r="F90" s="100">
        <v>0.51</v>
      </c>
      <c r="G90" s="100">
        <v>109.62</v>
      </c>
      <c r="H90" s="100">
        <v>38.32</v>
      </c>
      <c r="I90" s="100">
        <v>13.68</v>
      </c>
      <c r="J90" s="100">
        <v>0.13</v>
      </c>
      <c r="K90" s="100">
        <v>169.3</v>
      </c>
      <c r="L90" s="100">
        <v>20.96</v>
      </c>
      <c r="M90" s="100">
        <v>72.39</v>
      </c>
      <c r="N90" s="100">
        <v>1.3</v>
      </c>
      <c r="O90" s="100">
        <v>0</v>
      </c>
      <c r="P90" s="100">
        <v>1.08</v>
      </c>
      <c r="Q90" s="100">
        <v>12.25</v>
      </c>
      <c r="R90" s="6"/>
      <c r="S90" s="6"/>
      <c r="T90" s="156"/>
      <c r="U90" s="6"/>
    </row>
    <row r="91" spans="1:21" customFormat="1">
      <c r="A91" s="163" t="s">
        <v>2529</v>
      </c>
      <c r="B91" s="100">
        <v>6.58</v>
      </c>
      <c r="C91" s="100">
        <v>28.61</v>
      </c>
      <c r="D91" s="100">
        <v>21.58</v>
      </c>
      <c r="E91" s="100">
        <v>9.9499999999999993</v>
      </c>
      <c r="F91" s="100">
        <v>0.73</v>
      </c>
      <c r="G91" s="100">
        <v>114.83</v>
      </c>
      <c r="H91" s="100">
        <v>37.090000000000003</v>
      </c>
      <c r="I91" s="100">
        <v>13.8</v>
      </c>
      <c r="J91" s="100">
        <v>0.16</v>
      </c>
      <c r="K91" s="100">
        <v>175.57</v>
      </c>
      <c r="L91" s="100">
        <v>20.87</v>
      </c>
      <c r="M91" s="100">
        <v>71.8</v>
      </c>
      <c r="N91" s="100">
        <v>1.2</v>
      </c>
      <c r="O91" s="100">
        <v>0</v>
      </c>
      <c r="P91" s="100">
        <v>1.08</v>
      </c>
      <c r="Q91" s="100">
        <v>12.25</v>
      </c>
      <c r="R91" s="6"/>
      <c r="S91" s="6"/>
      <c r="T91" s="156"/>
      <c r="U91" s="6"/>
    </row>
    <row r="92" spans="1:21" customFormat="1">
      <c r="A92" s="163" t="s">
        <v>2530</v>
      </c>
      <c r="B92" s="100">
        <v>6.63</v>
      </c>
      <c r="C92" s="100">
        <v>28.47</v>
      </c>
      <c r="D92" s="100">
        <v>21.54</v>
      </c>
      <c r="E92" s="100">
        <v>9.89</v>
      </c>
      <c r="F92" s="100">
        <v>0.3</v>
      </c>
      <c r="G92" s="100">
        <v>114.83</v>
      </c>
      <c r="H92" s="100">
        <v>37.090000000000003</v>
      </c>
      <c r="I92" s="100">
        <v>13.95</v>
      </c>
      <c r="J92" s="100">
        <v>0.21</v>
      </c>
      <c r="K92" s="100">
        <v>163.43</v>
      </c>
      <c r="L92" s="100">
        <v>20.78</v>
      </c>
      <c r="M92" s="100">
        <v>74.39</v>
      </c>
      <c r="N92" s="100">
        <v>1.2</v>
      </c>
      <c r="O92" s="100">
        <v>0</v>
      </c>
      <c r="P92" s="100">
        <v>1.0900000000000001</v>
      </c>
      <c r="Q92" s="100">
        <v>12.25</v>
      </c>
      <c r="R92" s="6"/>
      <c r="S92" s="6"/>
      <c r="T92" s="156"/>
      <c r="U92" s="6"/>
    </row>
    <row r="93" spans="1:21" customFormat="1">
      <c r="A93" s="163" t="s">
        <v>2531</v>
      </c>
      <c r="B93" s="100">
        <v>6.78</v>
      </c>
      <c r="C93" s="100">
        <v>28.13</v>
      </c>
      <c r="D93" s="100">
        <v>21.48</v>
      </c>
      <c r="E93" s="100">
        <v>9.5500000000000007</v>
      </c>
      <c r="F93" s="100">
        <v>0.6</v>
      </c>
      <c r="G93" s="100">
        <v>114.83</v>
      </c>
      <c r="H93" s="100">
        <v>37.090000000000003</v>
      </c>
      <c r="I93" s="100">
        <v>14.2</v>
      </c>
      <c r="J93" s="100">
        <v>0.25</v>
      </c>
      <c r="K93" s="100">
        <v>161.07</v>
      </c>
      <c r="L93" s="100">
        <v>20.93</v>
      </c>
      <c r="M93" s="100">
        <v>73.28</v>
      </c>
      <c r="N93" s="100">
        <v>1.2</v>
      </c>
      <c r="O93" s="100">
        <v>0</v>
      </c>
      <c r="P93" s="100">
        <v>1.1100000000000001</v>
      </c>
      <c r="Q93" s="100">
        <v>12.25</v>
      </c>
      <c r="R93" s="6"/>
      <c r="S93" s="6"/>
      <c r="T93" s="156"/>
      <c r="U93" s="6"/>
    </row>
    <row r="94" spans="1:21" customFormat="1">
      <c r="A94" s="163" t="s">
        <v>2532</v>
      </c>
      <c r="B94" s="100">
        <v>7.56</v>
      </c>
      <c r="C94" s="100">
        <v>28.06</v>
      </c>
      <c r="D94" s="100">
        <v>22.08</v>
      </c>
      <c r="E94" s="100">
        <v>9.76</v>
      </c>
      <c r="F94" s="100">
        <v>0.49</v>
      </c>
      <c r="G94" s="100">
        <v>115.06</v>
      </c>
      <c r="H94" s="100">
        <v>33.5</v>
      </c>
      <c r="I94" s="100">
        <v>14.46</v>
      </c>
      <c r="J94" s="100">
        <v>0.21</v>
      </c>
      <c r="K94" s="100">
        <v>151.61000000000001</v>
      </c>
      <c r="L94" s="100">
        <v>20.95</v>
      </c>
      <c r="M94" s="100">
        <v>70.56</v>
      </c>
      <c r="N94" s="100">
        <v>1.2</v>
      </c>
      <c r="O94" s="100">
        <v>0</v>
      </c>
      <c r="P94" s="100">
        <v>1.1399999999999999</v>
      </c>
      <c r="Q94" s="100">
        <v>12.25</v>
      </c>
      <c r="R94" s="6"/>
      <c r="S94" s="6"/>
      <c r="T94" s="156"/>
      <c r="U94" s="6"/>
    </row>
    <row r="95" spans="1:21" customFormat="1">
      <c r="A95" s="163" t="s">
        <v>2533</v>
      </c>
      <c r="B95" s="100">
        <v>9.65</v>
      </c>
      <c r="C95" s="100">
        <v>28.5</v>
      </c>
      <c r="D95" s="100">
        <v>23.99</v>
      </c>
      <c r="E95" s="100">
        <v>9.77</v>
      </c>
      <c r="F95" s="100">
        <v>0.59</v>
      </c>
      <c r="G95" s="100">
        <v>115.2</v>
      </c>
      <c r="H95" s="100">
        <v>32.78</v>
      </c>
      <c r="I95" s="100">
        <v>14.7</v>
      </c>
      <c r="J95" s="100">
        <v>0.08</v>
      </c>
      <c r="K95" s="100">
        <v>180.43</v>
      </c>
      <c r="L95" s="100">
        <v>20.96</v>
      </c>
      <c r="M95" s="100">
        <v>68.650000000000006</v>
      </c>
      <c r="N95" s="100">
        <v>1.2</v>
      </c>
      <c r="O95" s="100">
        <v>0</v>
      </c>
      <c r="P95" s="100">
        <v>1.19</v>
      </c>
      <c r="Q95" s="100">
        <v>12.25</v>
      </c>
      <c r="R95" s="6"/>
      <c r="S95" s="6"/>
      <c r="T95" s="156"/>
      <c r="U95" s="6"/>
    </row>
    <row r="96" spans="1:21" customFormat="1">
      <c r="A96" s="163" t="s">
        <v>2534</v>
      </c>
      <c r="B96" s="100">
        <v>13.54</v>
      </c>
      <c r="C96" s="100">
        <v>29.46</v>
      </c>
      <c r="D96" s="100">
        <v>27.6</v>
      </c>
      <c r="E96" s="100">
        <v>10.130000000000001</v>
      </c>
      <c r="F96" s="100">
        <v>1.19</v>
      </c>
      <c r="G96" s="100">
        <v>115.2</v>
      </c>
      <c r="H96" s="100">
        <v>32.78</v>
      </c>
      <c r="I96" s="100">
        <v>15.07</v>
      </c>
      <c r="J96" s="100">
        <v>0.13</v>
      </c>
      <c r="K96" s="100">
        <v>132</v>
      </c>
      <c r="L96" s="100">
        <v>20.99</v>
      </c>
      <c r="M96" s="100">
        <v>67.77</v>
      </c>
      <c r="N96" s="100">
        <v>1.2</v>
      </c>
      <c r="O96" s="100">
        <v>0</v>
      </c>
      <c r="P96" s="100">
        <v>1.25</v>
      </c>
      <c r="Q96" s="100">
        <v>12.25</v>
      </c>
      <c r="R96" s="6"/>
      <c r="S96" s="6"/>
      <c r="T96" s="156"/>
      <c r="U96" s="6"/>
    </row>
    <row r="97" spans="1:28" customFormat="1">
      <c r="A97" s="163" t="s">
        <v>2535</v>
      </c>
      <c r="B97" s="100">
        <v>17.55</v>
      </c>
      <c r="C97" s="100">
        <v>30.23</v>
      </c>
      <c r="D97" s="100">
        <v>31.22</v>
      </c>
      <c r="E97" s="100">
        <v>9.66</v>
      </c>
      <c r="F97" s="100">
        <v>1.06</v>
      </c>
      <c r="G97" s="100">
        <v>115.2</v>
      </c>
      <c r="H97" s="100">
        <v>32.78</v>
      </c>
      <c r="I97" s="100">
        <v>15.58</v>
      </c>
      <c r="J97" s="100">
        <v>0.24</v>
      </c>
      <c r="K97" s="100">
        <v>197.6</v>
      </c>
      <c r="L97" s="100">
        <v>20.52</v>
      </c>
      <c r="M97" s="100">
        <v>75.06</v>
      </c>
      <c r="N97" s="100">
        <v>1.8</v>
      </c>
      <c r="O97" s="100">
        <v>0</v>
      </c>
      <c r="P97" s="100">
        <v>1.3</v>
      </c>
      <c r="Q97" s="100">
        <v>12.25</v>
      </c>
      <c r="R97" s="6"/>
      <c r="S97" s="6"/>
      <c r="T97" s="156"/>
      <c r="U97" s="6"/>
    </row>
    <row r="98" spans="1:28" customFormat="1">
      <c r="A98" s="163" t="s">
        <v>2536</v>
      </c>
      <c r="B98" s="100">
        <v>19.72</v>
      </c>
      <c r="C98" s="100">
        <v>30.48</v>
      </c>
      <c r="D98" s="100">
        <v>33.090000000000003</v>
      </c>
      <c r="E98" s="100">
        <v>9.7100000000000009</v>
      </c>
      <c r="F98" s="100">
        <v>1.31</v>
      </c>
      <c r="G98" s="100">
        <v>133.72</v>
      </c>
      <c r="H98" s="100">
        <v>34.659999999999997</v>
      </c>
      <c r="I98" s="100">
        <v>16.170000000000002</v>
      </c>
      <c r="J98" s="100">
        <v>0.19</v>
      </c>
      <c r="K98" s="100">
        <v>186.13</v>
      </c>
      <c r="L98" s="100">
        <v>19.850000000000001</v>
      </c>
      <c r="M98" s="100">
        <v>76.900000000000006</v>
      </c>
      <c r="N98" s="100">
        <v>1.7</v>
      </c>
      <c r="O98" s="100">
        <v>0</v>
      </c>
      <c r="P98" s="100">
        <v>1.33</v>
      </c>
      <c r="Q98" s="100">
        <v>12.25</v>
      </c>
      <c r="R98" s="6"/>
      <c r="S98" s="6"/>
      <c r="T98" s="156"/>
      <c r="U98" s="6"/>
    </row>
    <row r="99" spans="1:28" customFormat="1">
      <c r="A99" s="163" t="s">
        <v>2537</v>
      </c>
      <c r="B99" s="100">
        <v>20.93</v>
      </c>
      <c r="C99" s="100">
        <v>30.57</v>
      </c>
      <c r="D99" s="100">
        <v>34.1</v>
      </c>
      <c r="E99" s="100">
        <v>10</v>
      </c>
      <c r="F99" s="100">
        <v>0.27</v>
      </c>
      <c r="G99" s="100">
        <v>144.96</v>
      </c>
      <c r="H99" s="100">
        <v>35.04</v>
      </c>
      <c r="I99" s="100">
        <v>16.63</v>
      </c>
      <c r="J99" s="100">
        <v>0.24</v>
      </c>
      <c r="K99" s="100">
        <v>159.47</v>
      </c>
      <c r="L99" s="100">
        <v>19.79</v>
      </c>
      <c r="M99" s="100">
        <v>79.150000000000006</v>
      </c>
      <c r="N99" s="100">
        <v>1.4</v>
      </c>
      <c r="O99" s="100">
        <v>0</v>
      </c>
      <c r="P99" s="100">
        <v>1.36</v>
      </c>
      <c r="Q99" s="100">
        <v>12.25</v>
      </c>
      <c r="R99" s="6"/>
      <c r="S99" s="6"/>
      <c r="T99" s="156"/>
      <c r="U99" s="6"/>
    </row>
    <row r="100" spans="1:28" customFormat="1">
      <c r="A100" s="163" t="s">
        <v>2538</v>
      </c>
      <c r="B100" s="100">
        <v>21.93</v>
      </c>
      <c r="C100" s="100">
        <v>30.76</v>
      </c>
      <c r="D100" s="100">
        <v>35.01</v>
      </c>
      <c r="E100" s="100">
        <v>10.210000000000001</v>
      </c>
      <c r="F100" s="100">
        <v>0.4</v>
      </c>
      <c r="G100" s="100">
        <v>144.96</v>
      </c>
      <c r="H100" s="100">
        <v>35.04</v>
      </c>
      <c r="I100" s="100">
        <v>17.05</v>
      </c>
      <c r="J100" s="100">
        <v>0.2</v>
      </c>
      <c r="K100" s="100">
        <v>167.04</v>
      </c>
      <c r="L100" s="100">
        <v>19.53</v>
      </c>
      <c r="M100" s="100">
        <v>79.14</v>
      </c>
      <c r="N100" s="100">
        <v>1.4</v>
      </c>
      <c r="O100" s="100">
        <v>0</v>
      </c>
      <c r="P100" s="100">
        <v>1.38</v>
      </c>
      <c r="Q100" s="100">
        <v>12.25</v>
      </c>
      <c r="R100" s="6"/>
      <c r="S100" s="6"/>
      <c r="T100" s="156"/>
      <c r="U100" s="6"/>
      <c r="AB100" s="161"/>
    </row>
    <row r="101" spans="1:28" customFormat="1">
      <c r="A101" s="163" t="s">
        <v>2539</v>
      </c>
      <c r="B101" s="100">
        <v>22.92</v>
      </c>
      <c r="C101" s="100">
        <v>30.97</v>
      </c>
      <c r="D101" s="100">
        <v>35.909999999999997</v>
      </c>
      <c r="E101" s="100">
        <v>10.130000000000001</v>
      </c>
      <c r="F101" s="100">
        <v>0.09</v>
      </c>
      <c r="G101" s="100">
        <v>144.96</v>
      </c>
      <c r="H101" s="100">
        <v>35.04</v>
      </c>
      <c r="I101" s="100">
        <v>17.39</v>
      </c>
      <c r="J101" s="100">
        <v>0.16</v>
      </c>
      <c r="K101" s="100">
        <v>163.03</v>
      </c>
      <c r="L101" s="100">
        <v>19.170000000000002</v>
      </c>
      <c r="M101" s="100">
        <v>80.28</v>
      </c>
      <c r="N101" s="100">
        <v>1.5</v>
      </c>
      <c r="O101" s="100">
        <v>0</v>
      </c>
      <c r="P101" s="100">
        <v>1.39</v>
      </c>
      <c r="Q101" s="100">
        <v>12.25</v>
      </c>
      <c r="R101" s="6"/>
      <c r="S101" s="6"/>
      <c r="T101" s="156"/>
      <c r="U101" s="6"/>
    </row>
    <row r="102" spans="1:28" customFormat="1">
      <c r="A102" s="163" t="s">
        <v>2540</v>
      </c>
      <c r="B102" s="100">
        <v>23.94</v>
      </c>
      <c r="C102" s="100">
        <v>30.98</v>
      </c>
      <c r="D102" s="100">
        <v>36.74</v>
      </c>
      <c r="E102" s="100">
        <v>10.23</v>
      </c>
      <c r="F102" s="100">
        <v>0.41</v>
      </c>
      <c r="G102" s="100">
        <v>137.93</v>
      </c>
      <c r="H102" s="100">
        <v>38.22</v>
      </c>
      <c r="I102" s="100">
        <v>17.64</v>
      </c>
      <c r="J102" s="100">
        <v>0.25</v>
      </c>
      <c r="K102" s="100">
        <v>169.54</v>
      </c>
      <c r="L102" s="100">
        <v>19.09</v>
      </c>
      <c r="M102" s="100">
        <v>81.14</v>
      </c>
      <c r="N102" s="100">
        <v>1.4</v>
      </c>
      <c r="O102" s="100">
        <v>0</v>
      </c>
      <c r="P102" s="100">
        <v>1.42</v>
      </c>
      <c r="Q102" s="100">
        <v>12.25</v>
      </c>
      <c r="R102" s="6"/>
      <c r="S102" s="6"/>
      <c r="T102" s="156"/>
      <c r="U102" s="6"/>
    </row>
    <row r="103" spans="1:28" customFormat="1">
      <c r="A103" s="163" t="s">
        <v>2541</v>
      </c>
      <c r="B103" s="100">
        <v>24.87</v>
      </c>
      <c r="C103" s="100">
        <v>30.61</v>
      </c>
      <c r="D103" s="100">
        <v>37.29</v>
      </c>
      <c r="E103" s="100">
        <v>9.64</v>
      </c>
      <c r="F103" s="100">
        <v>0.99</v>
      </c>
      <c r="G103" s="100">
        <v>133.66</v>
      </c>
      <c r="H103" s="100">
        <v>38.85</v>
      </c>
      <c r="I103" s="100">
        <v>17.89</v>
      </c>
      <c r="J103" s="100">
        <v>0.16</v>
      </c>
      <c r="K103" s="100">
        <v>197.77</v>
      </c>
      <c r="L103" s="100">
        <v>18.62</v>
      </c>
      <c r="M103" s="100">
        <v>83.13</v>
      </c>
      <c r="N103" s="100">
        <v>1.5</v>
      </c>
      <c r="O103" s="100">
        <v>0</v>
      </c>
      <c r="P103" s="100">
        <v>1.44</v>
      </c>
      <c r="Q103" s="100">
        <v>12.25</v>
      </c>
      <c r="R103" s="6"/>
      <c r="S103" s="6"/>
      <c r="T103" s="156"/>
      <c r="U103" s="6"/>
    </row>
    <row r="104" spans="1:28" customFormat="1">
      <c r="A104" s="163" t="s">
        <v>2542</v>
      </c>
      <c r="B104" s="100">
        <v>25.85</v>
      </c>
      <c r="C104" s="100">
        <v>30.42</v>
      </c>
      <c r="D104" s="100">
        <v>37.979999999999997</v>
      </c>
      <c r="E104" s="100">
        <v>9.91</v>
      </c>
      <c r="F104" s="100">
        <v>0.37</v>
      </c>
      <c r="G104" s="100">
        <v>133.66</v>
      </c>
      <c r="H104" s="100">
        <v>38.85</v>
      </c>
      <c r="I104" s="100">
        <v>18.13</v>
      </c>
      <c r="J104" s="100">
        <v>0.21</v>
      </c>
      <c r="K104" s="100">
        <v>206.75</v>
      </c>
      <c r="L104" s="100">
        <v>18.62</v>
      </c>
      <c r="M104" s="100">
        <v>80.98</v>
      </c>
      <c r="N104" s="100">
        <v>1.3</v>
      </c>
      <c r="O104" s="100">
        <v>0</v>
      </c>
      <c r="P104" s="100">
        <v>1.45</v>
      </c>
      <c r="Q104" s="100">
        <v>12.25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3.91</v>
      </c>
      <c r="C106" s="158">
        <f>MIN(C9:C104)</f>
        <v>24.75</v>
      </c>
      <c r="D106" s="158">
        <f t="shared" ref="D106:Q106" si="0">MIN(D9:D104)</f>
        <v>17.61</v>
      </c>
      <c r="E106" s="158">
        <f t="shared" si="0"/>
        <v>6.69</v>
      </c>
      <c r="F106" s="158">
        <f t="shared" si="0"/>
        <v>0.05</v>
      </c>
      <c r="G106" s="158">
        <f t="shared" si="0"/>
        <v>48.04</v>
      </c>
      <c r="H106" s="158">
        <f t="shared" si="0"/>
        <v>32.78</v>
      </c>
      <c r="I106" s="158">
        <f t="shared" si="0"/>
        <v>12.39</v>
      </c>
      <c r="J106" s="158">
        <f t="shared" si="0"/>
        <v>0.02</v>
      </c>
      <c r="K106" s="158">
        <f t="shared" si="0"/>
        <v>0.12</v>
      </c>
      <c r="L106" s="158">
        <f t="shared" si="0"/>
        <v>16.09</v>
      </c>
      <c r="M106" s="158">
        <f t="shared" si="0"/>
        <v>29.15</v>
      </c>
      <c r="N106" s="158">
        <f t="shared" si="0"/>
        <v>0.7</v>
      </c>
      <c r="O106" s="158">
        <f t="shared" si="0"/>
        <v>0</v>
      </c>
      <c r="P106" s="158">
        <f t="shared" si="0"/>
        <v>0.94</v>
      </c>
      <c r="Q106" s="158">
        <f t="shared" si="0"/>
        <v>12.25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31.26</v>
      </c>
      <c r="C107" s="157">
        <f t="shared" ref="C107:Q107" si="1">MAX(C9:C104)</f>
        <v>40.729999999999997</v>
      </c>
      <c r="D107" s="157">
        <f t="shared" si="1"/>
        <v>40.950000000000003</v>
      </c>
      <c r="E107" s="157">
        <f t="shared" si="1"/>
        <v>18.489999999999998</v>
      </c>
      <c r="F107" s="157">
        <f t="shared" si="1"/>
        <v>3.29</v>
      </c>
      <c r="G107" s="157">
        <f t="shared" si="1"/>
        <v>306.08999999999997</v>
      </c>
      <c r="H107" s="157">
        <f t="shared" si="1"/>
        <v>68.19</v>
      </c>
      <c r="I107" s="157">
        <f t="shared" si="1"/>
        <v>23.46</v>
      </c>
      <c r="J107" s="157">
        <f t="shared" si="1"/>
        <v>0.73</v>
      </c>
      <c r="K107" s="157">
        <f t="shared" si="1"/>
        <v>346.94</v>
      </c>
      <c r="L107" s="157">
        <f t="shared" si="1"/>
        <v>30.96</v>
      </c>
      <c r="M107" s="157">
        <f t="shared" si="1"/>
        <v>102.08</v>
      </c>
      <c r="N107" s="157">
        <f t="shared" si="1"/>
        <v>377.6</v>
      </c>
      <c r="O107" s="157">
        <f t="shared" si="1"/>
        <v>0</v>
      </c>
      <c r="P107" s="157">
        <f t="shared" si="1"/>
        <v>2.0499999999999998</v>
      </c>
      <c r="Q107" s="157">
        <f t="shared" si="1"/>
        <v>12.25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12.996666666666668</v>
      </c>
      <c r="C108" s="158">
        <f t="shared" ref="C108:Q108" si="2">AVERAGE(C9:C104)</f>
        <v>29.575937500000013</v>
      </c>
      <c r="D108" s="158">
        <f t="shared" si="2"/>
        <v>27.225937499999983</v>
      </c>
      <c r="E108" s="158">
        <f t="shared" si="2"/>
        <v>10.405312499999999</v>
      </c>
      <c r="F108" s="158">
        <f t="shared" si="2"/>
        <v>1.1142708333333338</v>
      </c>
      <c r="G108" s="158">
        <f t="shared" si="2"/>
        <v>124.31593750000003</v>
      </c>
      <c r="H108" s="158">
        <f t="shared" si="2"/>
        <v>45.136770833333351</v>
      </c>
      <c r="I108" s="158">
        <f t="shared" si="2"/>
        <v>16.467083333333338</v>
      </c>
      <c r="J108" s="158">
        <f t="shared" si="2"/>
        <v>0.25947916666666671</v>
      </c>
      <c r="K108" s="158">
        <f t="shared" si="2"/>
        <v>187.38218750000007</v>
      </c>
      <c r="L108" s="158">
        <f t="shared" si="2"/>
        <v>22.751666666666676</v>
      </c>
      <c r="M108" s="158">
        <f t="shared" si="2"/>
        <v>65.20604166666665</v>
      </c>
      <c r="N108" s="158">
        <f t="shared" si="2"/>
        <v>78.256249999999966</v>
      </c>
      <c r="O108" s="158">
        <f t="shared" si="2"/>
        <v>0</v>
      </c>
      <c r="P108" s="158">
        <f t="shared" si="2"/>
        <v>1.3474999999999999</v>
      </c>
      <c r="Q108" s="158">
        <f t="shared" si="2"/>
        <v>12.25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9.1387496169554616</v>
      </c>
      <c r="C109" s="158">
        <f t="shared" ref="C109:Q109" si="3">STDEV(C9:C104)</f>
        <v>4.2392036437158511</v>
      </c>
      <c r="D109" s="158">
        <f t="shared" si="3"/>
        <v>7.549736360419681</v>
      </c>
      <c r="E109" s="158">
        <f t="shared" si="3"/>
        <v>2.6842013231911528</v>
      </c>
      <c r="F109" s="158">
        <f t="shared" si="3"/>
        <v>0.72204934193791948</v>
      </c>
      <c r="G109" s="158">
        <f t="shared" si="3"/>
        <v>54.439935700842177</v>
      </c>
      <c r="H109" s="158">
        <f t="shared" si="3"/>
        <v>9.5248848032587432</v>
      </c>
      <c r="I109" s="158">
        <f t="shared" si="3"/>
        <v>2.9406218163283961</v>
      </c>
      <c r="J109" s="158">
        <f t="shared" si="3"/>
        <v>0.16046885116115997</v>
      </c>
      <c r="K109" s="158">
        <f t="shared" si="3"/>
        <v>83.43622338684311</v>
      </c>
      <c r="L109" s="158">
        <f t="shared" si="3"/>
        <v>5.051442038335817</v>
      </c>
      <c r="M109" s="158">
        <f t="shared" si="3"/>
        <v>22.667737215753544</v>
      </c>
      <c r="N109" s="158">
        <f t="shared" si="3"/>
        <v>122.83351746635725</v>
      </c>
      <c r="O109" s="158">
        <f t="shared" si="3"/>
        <v>0</v>
      </c>
      <c r="P109" s="158">
        <f t="shared" si="3"/>
        <v>0.28034940605195868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S10" sqref="S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25/01/2025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2543</v>
      </c>
      <c r="B9" s="100">
        <v>26.97</v>
      </c>
      <c r="C9" s="100">
        <v>30.96</v>
      </c>
      <c r="D9" s="100">
        <v>39.159999999999997</v>
      </c>
      <c r="E9" s="100">
        <v>9.2899999999999991</v>
      </c>
      <c r="F9" s="100">
        <v>1.44</v>
      </c>
      <c r="G9" s="100">
        <v>133.66</v>
      </c>
      <c r="H9" s="100">
        <v>38.85</v>
      </c>
      <c r="I9" s="100">
        <v>18.37</v>
      </c>
      <c r="J9" s="100">
        <v>0.28999999999999998</v>
      </c>
      <c r="K9" s="100">
        <v>162.69999999999999</v>
      </c>
      <c r="L9" s="100">
        <v>18.66</v>
      </c>
      <c r="M9" s="100">
        <v>82.69</v>
      </c>
      <c r="N9" s="100">
        <v>1.3</v>
      </c>
      <c r="O9" s="100">
        <v>0</v>
      </c>
      <c r="P9" s="100">
        <v>1.47</v>
      </c>
      <c r="Q9" s="100">
        <v>12.25</v>
      </c>
      <c r="R9" s="6"/>
      <c r="S9" s="6"/>
      <c r="T9" s="156"/>
      <c r="U9" s="6"/>
    </row>
    <row r="10" spans="1:21" customFormat="1">
      <c r="A10" s="163" t="s">
        <v>2544</v>
      </c>
      <c r="B10" s="100">
        <v>27.46</v>
      </c>
      <c r="C10" s="100">
        <v>30.55</v>
      </c>
      <c r="D10" s="100">
        <v>39.340000000000003</v>
      </c>
      <c r="E10" s="100">
        <v>10.79</v>
      </c>
      <c r="F10" s="100">
        <v>0.34</v>
      </c>
      <c r="G10" s="100">
        <v>126.54</v>
      </c>
      <c r="H10" s="100">
        <v>37.11</v>
      </c>
      <c r="I10" s="100">
        <v>18.52</v>
      </c>
      <c r="J10" s="100">
        <v>0.28000000000000003</v>
      </c>
      <c r="K10" s="100">
        <v>169.53</v>
      </c>
      <c r="L10" s="100">
        <v>18.61</v>
      </c>
      <c r="M10" s="100">
        <v>84.4</v>
      </c>
      <c r="N10" s="100">
        <v>1.4</v>
      </c>
      <c r="O10" s="100">
        <v>0</v>
      </c>
      <c r="P10" s="100">
        <v>1.46</v>
      </c>
      <c r="Q10" s="100">
        <v>12.25</v>
      </c>
      <c r="R10" s="6"/>
      <c r="S10" s="6"/>
      <c r="T10" s="156"/>
      <c r="U10" s="6"/>
    </row>
    <row r="11" spans="1:21" customFormat="1">
      <c r="A11" s="163" t="s">
        <v>2545</v>
      </c>
      <c r="B11" s="100">
        <v>27.5</v>
      </c>
      <c r="C11" s="100">
        <v>29.87</v>
      </c>
      <c r="D11" s="100">
        <v>39.01</v>
      </c>
      <c r="E11" s="100">
        <v>10.45</v>
      </c>
      <c r="F11" s="100">
        <v>0.67</v>
      </c>
      <c r="G11" s="100">
        <v>122.22</v>
      </c>
      <c r="H11" s="100">
        <v>36.770000000000003</v>
      </c>
      <c r="I11" s="100">
        <v>18.62</v>
      </c>
      <c r="J11" s="100">
        <v>0.18</v>
      </c>
      <c r="K11" s="100">
        <v>168.8</v>
      </c>
      <c r="L11" s="100">
        <v>18.34</v>
      </c>
      <c r="M11" s="100">
        <v>89.46</v>
      </c>
      <c r="N11" s="100">
        <v>1.4</v>
      </c>
      <c r="O11" s="100">
        <v>0</v>
      </c>
      <c r="P11" s="100">
        <v>1.47</v>
      </c>
      <c r="Q11" s="100">
        <v>12.25</v>
      </c>
      <c r="R11" s="6"/>
      <c r="S11" s="6"/>
      <c r="T11" s="156"/>
      <c r="U11" s="6"/>
    </row>
    <row r="12" spans="1:21" customFormat="1">
      <c r="A12" s="163" t="s">
        <v>2546</v>
      </c>
      <c r="B12" s="100">
        <v>27.18</v>
      </c>
      <c r="C12" s="100">
        <v>29.48</v>
      </c>
      <c r="D12" s="100">
        <v>38.549999999999997</v>
      </c>
      <c r="E12" s="100">
        <v>9.51</v>
      </c>
      <c r="F12" s="100">
        <v>0.02</v>
      </c>
      <c r="G12" s="100">
        <v>122.22</v>
      </c>
      <c r="H12" s="100">
        <v>36.770000000000003</v>
      </c>
      <c r="I12" s="100">
        <v>18.7</v>
      </c>
      <c r="J12" s="100">
        <v>0.22</v>
      </c>
      <c r="K12" s="100">
        <v>162.58000000000001</v>
      </c>
      <c r="L12" s="100">
        <v>18.28</v>
      </c>
      <c r="M12" s="100">
        <v>98.16</v>
      </c>
      <c r="N12" s="100">
        <v>1.3</v>
      </c>
      <c r="O12" s="100">
        <v>0</v>
      </c>
      <c r="P12" s="100">
        <v>1.47</v>
      </c>
      <c r="Q12" s="100">
        <v>12.25</v>
      </c>
      <c r="R12" s="6"/>
      <c r="S12" s="6"/>
      <c r="T12" s="156"/>
      <c r="U12" s="6"/>
    </row>
    <row r="13" spans="1:21" customFormat="1">
      <c r="A13" s="163" t="s">
        <v>2547</v>
      </c>
      <c r="B13" s="100">
        <v>26.92</v>
      </c>
      <c r="C13" s="100">
        <v>29.18</v>
      </c>
      <c r="D13" s="100">
        <v>38.19</v>
      </c>
      <c r="E13" s="100">
        <v>9.6300000000000008</v>
      </c>
      <c r="F13" s="100">
        <v>0.12</v>
      </c>
      <c r="G13" s="100">
        <v>122.22</v>
      </c>
      <c r="H13" s="100">
        <v>36.770000000000003</v>
      </c>
      <c r="I13" s="100">
        <v>18.77</v>
      </c>
      <c r="J13" s="100">
        <v>0.19</v>
      </c>
      <c r="K13" s="100">
        <v>177.57</v>
      </c>
      <c r="L13" s="100">
        <v>17.940000000000001</v>
      </c>
      <c r="M13" s="100">
        <v>99.38</v>
      </c>
      <c r="N13" s="100">
        <v>1.6</v>
      </c>
      <c r="O13" s="100">
        <v>0</v>
      </c>
      <c r="P13" s="100">
        <v>1.47</v>
      </c>
      <c r="Q13" s="100">
        <v>12.25</v>
      </c>
      <c r="R13" s="6"/>
      <c r="S13" s="6"/>
      <c r="T13" s="156"/>
      <c r="U13" s="6"/>
    </row>
    <row r="14" spans="1:21" customFormat="1">
      <c r="A14" s="163" t="s">
        <v>2548</v>
      </c>
      <c r="B14" s="100">
        <v>26.7</v>
      </c>
      <c r="C14" s="100">
        <v>28.96</v>
      </c>
      <c r="D14" s="100">
        <v>37.89</v>
      </c>
      <c r="E14" s="100">
        <v>9.6199999999999992</v>
      </c>
      <c r="F14" s="100">
        <v>1.06</v>
      </c>
      <c r="G14" s="100">
        <v>111.19</v>
      </c>
      <c r="H14" s="100">
        <v>35.270000000000003</v>
      </c>
      <c r="I14" s="100">
        <v>18.86</v>
      </c>
      <c r="J14" s="100">
        <v>0.17</v>
      </c>
      <c r="K14" s="100">
        <v>196.64</v>
      </c>
      <c r="L14" s="100">
        <v>17.98</v>
      </c>
      <c r="M14" s="100">
        <v>97.88</v>
      </c>
      <c r="N14" s="100">
        <v>1.3</v>
      </c>
      <c r="O14" s="100">
        <v>0</v>
      </c>
      <c r="P14" s="100">
        <v>1.48</v>
      </c>
      <c r="Q14" s="100">
        <v>12.25</v>
      </c>
      <c r="R14" s="6"/>
      <c r="S14" s="6"/>
      <c r="T14" s="156"/>
      <c r="U14" s="6"/>
    </row>
    <row r="15" spans="1:21" customFormat="1">
      <c r="A15" s="163" t="s">
        <v>2549</v>
      </c>
      <c r="B15" s="100">
        <v>26.3</v>
      </c>
      <c r="C15" s="100">
        <v>28.8</v>
      </c>
      <c r="D15" s="100">
        <v>37.49</v>
      </c>
      <c r="E15" s="100">
        <v>9.98</v>
      </c>
      <c r="F15" s="100">
        <v>0.82</v>
      </c>
      <c r="G15" s="100">
        <v>104.17</v>
      </c>
      <c r="H15" s="100">
        <v>34.94</v>
      </c>
      <c r="I15" s="100">
        <v>18.86</v>
      </c>
      <c r="J15" s="100">
        <v>0.13</v>
      </c>
      <c r="K15" s="100">
        <v>204.81</v>
      </c>
      <c r="L15" s="100">
        <v>17.760000000000002</v>
      </c>
      <c r="M15" s="100">
        <v>97.79</v>
      </c>
      <c r="N15" s="100">
        <v>1.3</v>
      </c>
      <c r="O15" s="100">
        <v>0</v>
      </c>
      <c r="P15" s="100">
        <v>1.48</v>
      </c>
      <c r="Q15" s="100">
        <v>12.25</v>
      </c>
      <c r="R15" s="6"/>
      <c r="S15" s="6"/>
      <c r="T15" s="156"/>
      <c r="U15" s="6"/>
    </row>
    <row r="16" spans="1:21" customFormat="1">
      <c r="A16" s="163" t="s">
        <v>2550</v>
      </c>
      <c r="B16" s="100">
        <v>25.92</v>
      </c>
      <c r="C16" s="100">
        <v>28.69</v>
      </c>
      <c r="D16" s="100">
        <v>37.130000000000003</v>
      </c>
      <c r="E16" s="100">
        <v>9.56</v>
      </c>
      <c r="F16" s="100">
        <v>0.73</v>
      </c>
      <c r="G16" s="100">
        <v>104.17</v>
      </c>
      <c r="H16" s="100">
        <v>34.94</v>
      </c>
      <c r="I16" s="100">
        <v>18.98</v>
      </c>
      <c r="J16" s="100">
        <v>0.16</v>
      </c>
      <c r="K16" s="100">
        <v>244.29</v>
      </c>
      <c r="L16" s="100">
        <v>17.68</v>
      </c>
      <c r="M16" s="100">
        <v>98.04</v>
      </c>
      <c r="N16" s="100">
        <v>1.3</v>
      </c>
      <c r="O16" s="100">
        <v>0</v>
      </c>
      <c r="P16" s="100">
        <v>1.48</v>
      </c>
      <c r="Q16" s="100">
        <v>12.25</v>
      </c>
      <c r="R16" s="6"/>
      <c r="S16" s="6"/>
      <c r="T16" s="156"/>
      <c r="U16" s="6"/>
    </row>
    <row r="17" spans="1:21" customFormat="1">
      <c r="A17" s="163" t="s">
        <v>2551</v>
      </c>
      <c r="B17" s="100">
        <v>26.27</v>
      </c>
      <c r="C17" s="100">
        <v>28.53</v>
      </c>
      <c r="D17" s="100">
        <v>37.32</v>
      </c>
      <c r="E17" s="100">
        <v>8.9</v>
      </c>
      <c r="F17" s="100">
        <v>0.68</v>
      </c>
      <c r="G17" s="100">
        <v>104.17</v>
      </c>
      <c r="H17" s="100">
        <v>34.94</v>
      </c>
      <c r="I17" s="100">
        <v>19.07</v>
      </c>
      <c r="J17" s="100">
        <v>0.13</v>
      </c>
      <c r="K17" s="100">
        <v>93.86</v>
      </c>
      <c r="L17" s="100">
        <v>17.84</v>
      </c>
      <c r="M17" s="100">
        <v>90.68</v>
      </c>
      <c r="N17" s="100">
        <v>1.1000000000000001</v>
      </c>
      <c r="O17" s="100">
        <v>0</v>
      </c>
      <c r="P17" s="100">
        <v>1.49</v>
      </c>
      <c r="Q17" s="100">
        <v>12.25</v>
      </c>
      <c r="R17" s="6"/>
      <c r="S17" s="6"/>
      <c r="T17" s="156"/>
      <c r="U17" s="6"/>
    </row>
    <row r="18" spans="1:21" customFormat="1">
      <c r="A18" s="163" t="s">
        <v>2552</v>
      </c>
      <c r="B18" s="100">
        <v>28.31</v>
      </c>
      <c r="C18" s="100">
        <v>28.81</v>
      </c>
      <c r="D18" s="100">
        <v>39.1</v>
      </c>
      <c r="E18" s="100">
        <v>10.39</v>
      </c>
      <c r="F18" s="100">
        <v>1.39</v>
      </c>
      <c r="G18" s="100">
        <v>107.39</v>
      </c>
      <c r="H18" s="100">
        <v>36.090000000000003</v>
      </c>
      <c r="I18" s="100">
        <v>19.100000000000001</v>
      </c>
      <c r="J18" s="100">
        <v>0.14000000000000001</v>
      </c>
      <c r="K18" s="100">
        <v>107.91</v>
      </c>
      <c r="L18" s="100">
        <v>18</v>
      </c>
      <c r="M18" s="100">
        <v>95.99</v>
      </c>
      <c r="N18" s="100">
        <v>1.1000000000000001</v>
      </c>
      <c r="O18" s="100">
        <v>0</v>
      </c>
      <c r="P18" s="100">
        <v>1.49</v>
      </c>
      <c r="Q18" s="100">
        <v>12.25</v>
      </c>
      <c r="R18" s="6"/>
      <c r="S18" s="6"/>
      <c r="T18" s="156"/>
      <c r="U18" s="6"/>
    </row>
    <row r="19" spans="1:21" customFormat="1">
      <c r="A19" s="163" t="s">
        <v>2553</v>
      </c>
      <c r="B19" s="100">
        <v>30.28</v>
      </c>
      <c r="C19" s="100">
        <v>29.05</v>
      </c>
      <c r="D19" s="100">
        <v>40.81</v>
      </c>
      <c r="E19" s="100">
        <v>11.08</v>
      </c>
      <c r="F19" s="100">
        <v>0.76</v>
      </c>
      <c r="G19" s="100">
        <v>109.35</v>
      </c>
      <c r="H19" s="100">
        <v>36.68</v>
      </c>
      <c r="I19" s="100">
        <v>19.11</v>
      </c>
      <c r="J19" s="100">
        <v>0.16</v>
      </c>
      <c r="K19" s="100">
        <v>75.739999999999995</v>
      </c>
      <c r="L19" s="100">
        <v>18.54</v>
      </c>
      <c r="M19" s="100">
        <v>93.87</v>
      </c>
      <c r="N19" s="100">
        <v>0.9</v>
      </c>
      <c r="O19" s="100">
        <v>0</v>
      </c>
      <c r="P19" s="100">
        <v>1.48</v>
      </c>
      <c r="Q19" s="100">
        <v>12.25</v>
      </c>
      <c r="R19" s="6"/>
      <c r="S19" s="6"/>
      <c r="T19" s="156"/>
      <c r="U19" s="6"/>
    </row>
    <row r="20" spans="1:21" customFormat="1">
      <c r="A20" s="163" t="s">
        <v>2554</v>
      </c>
      <c r="B20" s="100">
        <v>31.63</v>
      </c>
      <c r="C20" s="100">
        <v>29.04</v>
      </c>
      <c r="D20" s="100">
        <v>41.89</v>
      </c>
      <c r="E20" s="100">
        <v>10.96</v>
      </c>
      <c r="F20" s="100">
        <v>0.74</v>
      </c>
      <c r="G20" s="100">
        <v>109.35</v>
      </c>
      <c r="H20" s="100">
        <v>36.68</v>
      </c>
      <c r="I20" s="100">
        <v>19.149999999999999</v>
      </c>
      <c r="J20" s="100">
        <v>0.25</v>
      </c>
      <c r="K20" s="100">
        <v>188.86</v>
      </c>
      <c r="L20" s="100">
        <v>17.809999999999999</v>
      </c>
      <c r="M20" s="100">
        <v>93.42</v>
      </c>
      <c r="N20" s="100">
        <v>1.7</v>
      </c>
      <c r="O20" s="100">
        <v>0</v>
      </c>
      <c r="P20" s="100">
        <v>1.48</v>
      </c>
      <c r="Q20" s="100">
        <v>12.25</v>
      </c>
      <c r="R20" s="6"/>
      <c r="S20" s="6"/>
      <c r="T20" s="156"/>
      <c r="U20" s="6"/>
    </row>
    <row r="21" spans="1:21" customFormat="1">
      <c r="A21" s="163" t="s">
        <v>2555</v>
      </c>
      <c r="B21" s="100">
        <v>32.21</v>
      </c>
      <c r="C21" s="100">
        <v>28.94</v>
      </c>
      <c r="D21" s="100">
        <v>42.3</v>
      </c>
      <c r="E21" s="100">
        <v>11.23</v>
      </c>
      <c r="F21" s="100">
        <v>0.81</v>
      </c>
      <c r="G21" s="100">
        <v>109.35</v>
      </c>
      <c r="H21" s="100">
        <v>36.68</v>
      </c>
      <c r="I21" s="100">
        <v>19.100000000000001</v>
      </c>
      <c r="J21" s="100">
        <v>0.21</v>
      </c>
      <c r="K21" s="100">
        <v>146.93</v>
      </c>
      <c r="L21" s="100">
        <v>17.3</v>
      </c>
      <c r="M21" s="100">
        <v>86.97</v>
      </c>
      <c r="N21" s="100">
        <v>1.6</v>
      </c>
      <c r="O21" s="100">
        <v>0</v>
      </c>
      <c r="P21" s="100">
        <v>1.48</v>
      </c>
      <c r="Q21" s="100">
        <v>12.25</v>
      </c>
      <c r="R21" s="6"/>
      <c r="S21" s="6"/>
      <c r="T21" s="156"/>
      <c r="U21" s="6"/>
    </row>
    <row r="22" spans="1:21" customFormat="1">
      <c r="A22" s="163" t="s">
        <v>2556</v>
      </c>
      <c r="B22" s="100">
        <v>32.130000000000003</v>
      </c>
      <c r="C22" s="100">
        <v>28.86</v>
      </c>
      <c r="D22" s="100">
        <v>42.2</v>
      </c>
      <c r="E22" s="100">
        <v>10.9</v>
      </c>
      <c r="F22" s="100">
        <v>0.51</v>
      </c>
      <c r="G22" s="100">
        <v>100.15</v>
      </c>
      <c r="H22" s="100">
        <v>28</v>
      </c>
      <c r="I22" s="100">
        <v>19.03</v>
      </c>
      <c r="J22" s="100">
        <v>0.16</v>
      </c>
      <c r="K22" s="100">
        <v>182.69</v>
      </c>
      <c r="L22" s="100">
        <v>17.079999999999998</v>
      </c>
      <c r="M22" s="100">
        <v>88.16</v>
      </c>
      <c r="N22" s="100">
        <v>1.4</v>
      </c>
      <c r="O22" s="100">
        <v>0</v>
      </c>
      <c r="P22" s="100">
        <v>1.47</v>
      </c>
      <c r="Q22" s="100">
        <v>12.25</v>
      </c>
      <c r="R22" s="6"/>
      <c r="S22" s="6"/>
      <c r="T22" s="156"/>
      <c r="U22" s="6"/>
    </row>
    <row r="23" spans="1:21" customFormat="1">
      <c r="A23" s="163" t="s">
        <v>2557</v>
      </c>
      <c r="B23" s="100">
        <v>31.45</v>
      </c>
      <c r="C23" s="100">
        <v>28.25</v>
      </c>
      <c r="D23" s="100">
        <v>41.33</v>
      </c>
      <c r="E23" s="100">
        <v>10.75</v>
      </c>
      <c r="F23" s="100">
        <v>0.99</v>
      </c>
      <c r="G23" s="100">
        <v>94.56</v>
      </c>
      <c r="H23" s="100">
        <v>26.1</v>
      </c>
      <c r="I23" s="100">
        <v>18.940000000000001</v>
      </c>
      <c r="J23" s="100">
        <v>0.15</v>
      </c>
      <c r="K23" s="100">
        <v>206.19</v>
      </c>
      <c r="L23" s="100">
        <v>17.05</v>
      </c>
      <c r="M23" s="100">
        <v>88.71</v>
      </c>
      <c r="N23" s="100">
        <v>1.3</v>
      </c>
      <c r="O23" s="100">
        <v>0</v>
      </c>
      <c r="P23" s="100">
        <v>1.46</v>
      </c>
      <c r="Q23" s="100">
        <v>12.25</v>
      </c>
      <c r="R23" s="6"/>
      <c r="S23" s="6"/>
      <c r="T23" s="156"/>
      <c r="U23" s="6"/>
    </row>
    <row r="24" spans="1:21" customFormat="1">
      <c r="A24" s="163" t="s">
        <v>2558</v>
      </c>
      <c r="B24" s="100">
        <v>30.23</v>
      </c>
      <c r="C24" s="100">
        <v>27.68</v>
      </c>
      <c r="D24" s="100">
        <v>40.06</v>
      </c>
      <c r="E24" s="100">
        <v>10.06</v>
      </c>
      <c r="F24" s="100">
        <v>1.1200000000000001</v>
      </c>
      <c r="G24" s="100">
        <v>94.56</v>
      </c>
      <c r="H24" s="100">
        <v>26.1</v>
      </c>
      <c r="I24" s="100">
        <v>18.920000000000002</v>
      </c>
      <c r="J24" s="100">
        <v>0.09</v>
      </c>
      <c r="K24" s="100">
        <v>186.02</v>
      </c>
      <c r="L24" s="100">
        <v>16.760000000000002</v>
      </c>
      <c r="M24" s="100">
        <v>90.11</v>
      </c>
      <c r="N24" s="100">
        <v>1.4</v>
      </c>
      <c r="O24" s="100">
        <v>0</v>
      </c>
      <c r="P24" s="100">
        <v>1.45</v>
      </c>
      <c r="Q24" s="100">
        <v>12.25</v>
      </c>
      <c r="R24" s="6"/>
      <c r="S24" s="6"/>
      <c r="T24" s="156"/>
      <c r="U24" s="6"/>
    </row>
    <row r="25" spans="1:21" customFormat="1">
      <c r="A25" s="163" t="s">
        <v>2559</v>
      </c>
      <c r="B25" s="100">
        <v>29.06</v>
      </c>
      <c r="C25" s="100">
        <v>27.32</v>
      </c>
      <c r="D25" s="100">
        <v>38.93</v>
      </c>
      <c r="E25" s="100">
        <v>10.68</v>
      </c>
      <c r="F25" s="100">
        <v>2.84</v>
      </c>
      <c r="G25" s="100">
        <v>94.56</v>
      </c>
      <c r="H25" s="100">
        <v>26.1</v>
      </c>
      <c r="I25" s="100">
        <v>18.78</v>
      </c>
      <c r="J25" s="100">
        <v>0.14000000000000001</v>
      </c>
      <c r="K25" s="100">
        <v>172.39</v>
      </c>
      <c r="L25" s="100">
        <v>16.690000000000001</v>
      </c>
      <c r="M25" s="100">
        <v>90.68</v>
      </c>
      <c r="N25" s="100">
        <v>1.3</v>
      </c>
      <c r="O25" s="100">
        <v>0</v>
      </c>
      <c r="P25" s="100">
        <v>1.43</v>
      </c>
      <c r="Q25" s="100">
        <v>12.25</v>
      </c>
      <c r="R25" s="6"/>
      <c r="S25" s="6"/>
      <c r="T25" s="156"/>
      <c r="U25" s="6"/>
    </row>
    <row r="26" spans="1:21" customFormat="1">
      <c r="A26" s="163" t="s">
        <v>2560</v>
      </c>
      <c r="B26" s="100">
        <v>28.02</v>
      </c>
      <c r="C26" s="100">
        <v>26.92</v>
      </c>
      <c r="D26" s="100">
        <v>37.89</v>
      </c>
      <c r="E26" s="100">
        <v>10.220000000000001</v>
      </c>
      <c r="F26" s="100">
        <v>1.98</v>
      </c>
      <c r="G26" s="100">
        <v>91.61</v>
      </c>
      <c r="H26" s="100">
        <v>29.97</v>
      </c>
      <c r="I26" s="100">
        <v>18.600000000000001</v>
      </c>
      <c r="J26" s="100">
        <v>0.13</v>
      </c>
      <c r="K26" s="100">
        <v>181.99</v>
      </c>
      <c r="L26" s="100">
        <v>16.43</v>
      </c>
      <c r="M26" s="100">
        <v>91.19</v>
      </c>
      <c r="N26" s="100">
        <v>1.3</v>
      </c>
      <c r="O26" s="100">
        <v>0</v>
      </c>
      <c r="P26" s="100">
        <v>1.42</v>
      </c>
      <c r="Q26" s="100">
        <v>12.25</v>
      </c>
      <c r="R26" s="6"/>
      <c r="S26" s="6"/>
      <c r="T26" s="156"/>
      <c r="U26" s="6"/>
    </row>
    <row r="27" spans="1:21" customFormat="1">
      <c r="A27" s="163" t="s">
        <v>2561</v>
      </c>
      <c r="B27" s="100">
        <v>26.91</v>
      </c>
      <c r="C27" s="100">
        <v>26.43</v>
      </c>
      <c r="D27" s="100">
        <v>36.74</v>
      </c>
      <c r="E27" s="100">
        <v>9.81</v>
      </c>
      <c r="F27" s="100">
        <v>0.83</v>
      </c>
      <c r="G27" s="100">
        <v>89.73</v>
      </c>
      <c r="H27" s="100">
        <v>30.82</v>
      </c>
      <c r="I27" s="100">
        <v>18.43</v>
      </c>
      <c r="J27" s="100">
        <v>0.18</v>
      </c>
      <c r="K27" s="100">
        <v>237.76</v>
      </c>
      <c r="L27" s="100">
        <v>16.420000000000002</v>
      </c>
      <c r="M27" s="100">
        <v>91.71</v>
      </c>
      <c r="N27" s="100">
        <v>1.3</v>
      </c>
      <c r="O27" s="100">
        <v>0</v>
      </c>
      <c r="P27" s="100">
        <v>1.4</v>
      </c>
      <c r="Q27" s="100">
        <v>12.25</v>
      </c>
      <c r="R27" s="6"/>
      <c r="S27" s="6"/>
      <c r="T27" s="156"/>
      <c r="U27" s="6"/>
    </row>
    <row r="28" spans="1:21" customFormat="1">
      <c r="A28" s="163" t="s">
        <v>2562</v>
      </c>
      <c r="B28" s="100">
        <v>25.87</v>
      </c>
      <c r="C28" s="100">
        <v>26.2</v>
      </c>
      <c r="D28" s="100">
        <v>35.79</v>
      </c>
      <c r="E28" s="100">
        <v>10.29</v>
      </c>
      <c r="F28" s="100">
        <v>1.62</v>
      </c>
      <c r="G28" s="100">
        <v>89.73</v>
      </c>
      <c r="H28" s="100">
        <v>30.82</v>
      </c>
      <c r="I28" s="100">
        <v>18.34</v>
      </c>
      <c r="J28" s="100">
        <v>0.15</v>
      </c>
      <c r="K28" s="100">
        <v>183.86</v>
      </c>
      <c r="L28" s="100">
        <v>16.3</v>
      </c>
      <c r="M28" s="100">
        <v>92.6</v>
      </c>
      <c r="N28" s="100">
        <v>1.3</v>
      </c>
      <c r="O28" s="100">
        <v>0</v>
      </c>
      <c r="P28" s="100">
        <v>1.38</v>
      </c>
      <c r="Q28" s="100">
        <v>12.25</v>
      </c>
      <c r="R28" s="6"/>
      <c r="S28" s="6"/>
      <c r="T28" s="156"/>
      <c r="U28" s="6"/>
    </row>
    <row r="29" spans="1:21" customFormat="1">
      <c r="A29" s="163" t="s">
        <v>2563</v>
      </c>
      <c r="B29" s="100">
        <v>25.02</v>
      </c>
      <c r="C29" s="100">
        <v>25.84</v>
      </c>
      <c r="D29" s="100">
        <v>34.909999999999997</v>
      </c>
      <c r="E29" s="100">
        <v>9.8699999999999992</v>
      </c>
      <c r="F29" s="100">
        <v>1.46</v>
      </c>
      <c r="G29" s="100">
        <v>89.73</v>
      </c>
      <c r="H29" s="100">
        <v>30.82</v>
      </c>
      <c r="I29" s="100">
        <v>18.22</v>
      </c>
      <c r="J29" s="100">
        <v>0.12</v>
      </c>
      <c r="K29" s="100">
        <v>197.89</v>
      </c>
      <c r="L29" s="100">
        <v>16.23</v>
      </c>
      <c r="M29" s="100">
        <v>92.17</v>
      </c>
      <c r="N29" s="100">
        <v>1.2</v>
      </c>
      <c r="O29" s="100">
        <v>0</v>
      </c>
      <c r="P29" s="100">
        <v>1.37</v>
      </c>
      <c r="Q29" s="100">
        <v>12.25</v>
      </c>
      <c r="R29" s="6"/>
      <c r="S29" s="6"/>
      <c r="T29" s="156"/>
      <c r="U29" s="6"/>
    </row>
    <row r="30" spans="1:21" customFormat="1">
      <c r="A30" s="163" t="s">
        <v>2564</v>
      </c>
      <c r="B30" s="100">
        <v>25.24</v>
      </c>
      <c r="C30" s="100">
        <v>25.61</v>
      </c>
      <c r="D30" s="100">
        <v>34.97</v>
      </c>
      <c r="E30" s="100">
        <v>9.7899999999999991</v>
      </c>
      <c r="F30" s="100">
        <v>1.3</v>
      </c>
      <c r="G30" s="100">
        <v>85.68</v>
      </c>
      <c r="H30" s="100">
        <v>31.55</v>
      </c>
      <c r="I30" s="100">
        <v>18.16</v>
      </c>
      <c r="J30" s="100">
        <v>0.19</v>
      </c>
      <c r="K30" s="100">
        <v>163.61000000000001</v>
      </c>
      <c r="L30" s="100">
        <v>16.46</v>
      </c>
      <c r="M30" s="100">
        <v>91.93</v>
      </c>
      <c r="N30" s="100">
        <v>1</v>
      </c>
      <c r="O30" s="100">
        <v>0</v>
      </c>
      <c r="P30" s="100">
        <v>1.37</v>
      </c>
      <c r="Q30" s="100">
        <v>12.25</v>
      </c>
      <c r="R30" s="6"/>
      <c r="S30" s="6"/>
      <c r="T30" s="156"/>
      <c r="U30" s="6"/>
    </row>
    <row r="31" spans="1:21" customFormat="1">
      <c r="A31" s="163" t="s">
        <v>2565</v>
      </c>
      <c r="B31" s="100">
        <v>26.82</v>
      </c>
      <c r="C31" s="100">
        <v>26.06</v>
      </c>
      <c r="D31" s="100">
        <v>36.479999999999997</v>
      </c>
      <c r="E31" s="100">
        <v>10.1</v>
      </c>
      <c r="F31" s="100">
        <v>0.74</v>
      </c>
      <c r="G31" s="100">
        <v>83.22</v>
      </c>
      <c r="H31" s="100">
        <v>31.71</v>
      </c>
      <c r="I31" s="100">
        <v>18.02</v>
      </c>
      <c r="J31" s="100">
        <v>0.19</v>
      </c>
      <c r="K31" s="100">
        <v>159.86000000000001</v>
      </c>
      <c r="L31" s="100">
        <v>16.510000000000002</v>
      </c>
      <c r="M31" s="100">
        <v>97.42</v>
      </c>
      <c r="N31" s="100">
        <v>1.1000000000000001</v>
      </c>
      <c r="O31" s="100">
        <v>0</v>
      </c>
      <c r="P31" s="100">
        <v>1.35</v>
      </c>
      <c r="Q31" s="100">
        <v>12.25</v>
      </c>
      <c r="R31" s="6"/>
      <c r="S31" s="6"/>
      <c r="T31" s="156"/>
      <c r="U31" s="6"/>
    </row>
    <row r="32" spans="1:21" customFormat="1">
      <c r="A32" s="163" t="s">
        <v>2566</v>
      </c>
      <c r="B32" s="100">
        <v>28.54</v>
      </c>
      <c r="C32" s="100">
        <v>26.23</v>
      </c>
      <c r="D32" s="100">
        <v>37.950000000000003</v>
      </c>
      <c r="E32" s="100">
        <v>10.06</v>
      </c>
      <c r="F32" s="100">
        <v>1.67</v>
      </c>
      <c r="G32" s="100">
        <v>83.22</v>
      </c>
      <c r="H32" s="100">
        <v>31.71</v>
      </c>
      <c r="I32" s="100">
        <v>18</v>
      </c>
      <c r="J32" s="100">
        <v>0.22</v>
      </c>
      <c r="K32" s="100">
        <v>157.35</v>
      </c>
      <c r="L32" s="100">
        <v>16.45</v>
      </c>
      <c r="M32" s="100">
        <v>94.59</v>
      </c>
      <c r="N32" s="100">
        <v>1.2</v>
      </c>
      <c r="O32" s="100">
        <v>0</v>
      </c>
      <c r="P32" s="100">
        <v>1.35</v>
      </c>
      <c r="Q32" s="100">
        <v>12.25</v>
      </c>
      <c r="R32" s="6"/>
      <c r="S32" s="6"/>
      <c r="T32" s="156"/>
      <c r="U32" s="6"/>
    </row>
    <row r="33" spans="1:21" customFormat="1">
      <c r="A33" s="163" t="s">
        <v>2567</v>
      </c>
      <c r="B33" s="100">
        <v>29.6</v>
      </c>
      <c r="C33" s="100">
        <v>26.1</v>
      </c>
      <c r="D33" s="100">
        <v>38.72</v>
      </c>
      <c r="E33" s="100">
        <v>9.98</v>
      </c>
      <c r="F33" s="100">
        <v>0.46</v>
      </c>
      <c r="G33" s="100">
        <v>83.22</v>
      </c>
      <c r="H33" s="100">
        <v>31.71</v>
      </c>
      <c r="I33" s="100">
        <v>17.97</v>
      </c>
      <c r="J33" s="100">
        <v>0.17</v>
      </c>
      <c r="K33" s="100">
        <v>139.09</v>
      </c>
      <c r="L33" s="100">
        <v>16.5</v>
      </c>
      <c r="M33" s="100">
        <v>98.85</v>
      </c>
      <c r="N33" s="100">
        <v>1.2</v>
      </c>
      <c r="O33" s="100">
        <v>0</v>
      </c>
      <c r="P33" s="100">
        <v>1.33</v>
      </c>
      <c r="Q33" s="100">
        <v>12.25</v>
      </c>
      <c r="R33" s="6"/>
      <c r="S33" s="6"/>
      <c r="T33" s="156"/>
      <c r="U33" s="6"/>
    </row>
    <row r="34" spans="1:21" customFormat="1">
      <c r="A34" s="163" t="s">
        <v>2568</v>
      </c>
      <c r="B34" s="100">
        <v>31.87</v>
      </c>
      <c r="C34" s="100">
        <v>26.44</v>
      </c>
      <c r="D34" s="100">
        <v>40.72</v>
      </c>
      <c r="E34" s="100">
        <v>10.31</v>
      </c>
      <c r="F34" s="100">
        <v>1.46</v>
      </c>
      <c r="G34" s="100">
        <v>88.39</v>
      </c>
      <c r="H34" s="100">
        <v>30.13</v>
      </c>
      <c r="I34" s="100">
        <v>17.93</v>
      </c>
      <c r="J34" s="100">
        <v>0.19</v>
      </c>
      <c r="K34" s="100">
        <v>99.34</v>
      </c>
      <c r="L34" s="100">
        <v>16.829999999999998</v>
      </c>
      <c r="M34" s="100">
        <v>97.63</v>
      </c>
      <c r="N34" s="100">
        <v>1.2</v>
      </c>
      <c r="O34" s="100">
        <v>0</v>
      </c>
      <c r="P34" s="100">
        <v>1.32</v>
      </c>
      <c r="Q34" s="100">
        <v>12.25</v>
      </c>
      <c r="R34" s="6"/>
      <c r="S34" s="6"/>
      <c r="T34" s="156"/>
      <c r="U34" s="6"/>
    </row>
    <row r="35" spans="1:21" customFormat="1">
      <c r="A35" s="163" t="s">
        <v>2569</v>
      </c>
      <c r="B35" s="100">
        <v>34.75</v>
      </c>
      <c r="C35" s="100">
        <v>26.75</v>
      </c>
      <c r="D35" s="100">
        <v>43.19</v>
      </c>
      <c r="E35" s="100">
        <v>10.47</v>
      </c>
      <c r="F35" s="100">
        <v>0.47</v>
      </c>
      <c r="G35" s="100">
        <v>91.52</v>
      </c>
      <c r="H35" s="100">
        <v>29.78</v>
      </c>
      <c r="I35" s="100">
        <v>17.829999999999998</v>
      </c>
      <c r="J35" s="100">
        <v>0.18</v>
      </c>
      <c r="K35" s="100">
        <v>145.46</v>
      </c>
      <c r="L35" s="100">
        <v>17.079999999999998</v>
      </c>
      <c r="M35" s="100">
        <v>94.35</v>
      </c>
      <c r="N35" s="100">
        <v>2.7</v>
      </c>
      <c r="O35" s="100">
        <v>0</v>
      </c>
      <c r="P35" s="100">
        <v>1.32</v>
      </c>
      <c r="Q35" s="100">
        <v>12.25</v>
      </c>
      <c r="R35" s="6"/>
      <c r="S35" s="6"/>
      <c r="T35" s="156"/>
      <c r="U35" s="6"/>
    </row>
    <row r="36" spans="1:21" customFormat="1">
      <c r="A36" s="163" t="s">
        <v>2570</v>
      </c>
      <c r="B36" s="100">
        <v>36.549999999999997</v>
      </c>
      <c r="C36" s="100">
        <v>26.97</v>
      </c>
      <c r="D36" s="100">
        <v>44.75</v>
      </c>
      <c r="E36" s="100">
        <v>10.45</v>
      </c>
      <c r="F36" s="100">
        <v>1.44</v>
      </c>
      <c r="G36" s="100">
        <v>91.52</v>
      </c>
      <c r="H36" s="100">
        <v>29.78</v>
      </c>
      <c r="I36" s="100">
        <v>17.920000000000002</v>
      </c>
      <c r="J36" s="100">
        <v>0.22</v>
      </c>
      <c r="K36" s="100">
        <v>170.04</v>
      </c>
      <c r="L36" s="100">
        <v>16.809999999999999</v>
      </c>
      <c r="M36" s="100">
        <v>90.31</v>
      </c>
      <c r="N36" s="100">
        <v>7.1</v>
      </c>
      <c r="O36" s="100">
        <v>0</v>
      </c>
      <c r="P36" s="100">
        <v>1.31</v>
      </c>
      <c r="Q36" s="100">
        <v>12.25</v>
      </c>
      <c r="R36" s="6"/>
      <c r="S36" s="6"/>
      <c r="T36" s="156"/>
      <c r="U36" s="6"/>
    </row>
    <row r="37" spans="1:21" customFormat="1">
      <c r="A37" s="163" t="s">
        <v>2571</v>
      </c>
      <c r="B37" s="100">
        <v>37.35</v>
      </c>
      <c r="C37" s="100">
        <v>26.85</v>
      </c>
      <c r="D37" s="100">
        <v>45.33</v>
      </c>
      <c r="E37" s="100">
        <v>10.28</v>
      </c>
      <c r="F37" s="100">
        <v>0.93</v>
      </c>
      <c r="G37" s="100">
        <v>91.52</v>
      </c>
      <c r="H37" s="100">
        <v>29.78</v>
      </c>
      <c r="I37" s="100">
        <v>18.07</v>
      </c>
      <c r="J37" s="100">
        <v>0.19</v>
      </c>
      <c r="K37" s="100">
        <v>170.97</v>
      </c>
      <c r="L37" s="100">
        <v>16.61</v>
      </c>
      <c r="M37" s="100">
        <v>91.95</v>
      </c>
      <c r="N37" s="100">
        <v>13.9</v>
      </c>
      <c r="O37" s="100">
        <v>0</v>
      </c>
      <c r="P37" s="100">
        <v>1.3</v>
      </c>
      <c r="Q37" s="100">
        <v>12.25</v>
      </c>
      <c r="R37" s="6"/>
      <c r="S37" s="6"/>
      <c r="T37" s="156"/>
      <c r="U37" s="6"/>
    </row>
    <row r="38" spans="1:21" customFormat="1">
      <c r="A38" s="163" t="s">
        <v>2572</v>
      </c>
      <c r="B38" s="100">
        <v>37.85</v>
      </c>
      <c r="C38" s="100">
        <v>26.74</v>
      </c>
      <c r="D38" s="100">
        <v>45.68</v>
      </c>
      <c r="E38" s="100">
        <v>10.3</v>
      </c>
      <c r="F38" s="100">
        <v>1.24</v>
      </c>
      <c r="G38" s="100">
        <v>95.34</v>
      </c>
      <c r="H38" s="100">
        <v>32.840000000000003</v>
      </c>
      <c r="I38" s="100">
        <v>18.13</v>
      </c>
      <c r="J38" s="100">
        <v>0.14000000000000001</v>
      </c>
      <c r="K38" s="100">
        <v>145.30000000000001</v>
      </c>
      <c r="L38" s="100">
        <v>17.12</v>
      </c>
      <c r="M38" s="100">
        <v>90.55</v>
      </c>
      <c r="N38" s="100">
        <v>21.6</v>
      </c>
      <c r="O38" s="100">
        <v>0</v>
      </c>
      <c r="P38" s="100">
        <v>1.29</v>
      </c>
      <c r="Q38" s="100">
        <v>12.25</v>
      </c>
      <c r="R38" s="6"/>
      <c r="S38" s="6"/>
      <c r="T38" s="156"/>
      <c r="U38" s="6"/>
    </row>
    <row r="39" spans="1:21" customFormat="1">
      <c r="A39" s="163" t="s">
        <v>2573</v>
      </c>
      <c r="B39" s="100">
        <v>38.520000000000003</v>
      </c>
      <c r="C39" s="100">
        <v>26.85</v>
      </c>
      <c r="D39" s="100">
        <v>46.27</v>
      </c>
      <c r="E39" s="100">
        <v>10.72</v>
      </c>
      <c r="F39" s="100">
        <v>0.41</v>
      </c>
      <c r="G39" s="100">
        <v>97.65</v>
      </c>
      <c r="H39" s="100">
        <v>33.51</v>
      </c>
      <c r="I39" s="100">
        <v>18.09</v>
      </c>
      <c r="J39" s="100">
        <v>0.16</v>
      </c>
      <c r="K39" s="100">
        <v>218.67</v>
      </c>
      <c r="L39" s="100">
        <v>17.52</v>
      </c>
      <c r="M39" s="100">
        <v>90.03</v>
      </c>
      <c r="N39" s="100">
        <v>30.8</v>
      </c>
      <c r="O39" s="100">
        <v>0</v>
      </c>
      <c r="P39" s="100">
        <v>1.29</v>
      </c>
      <c r="Q39" s="100">
        <v>12.25</v>
      </c>
      <c r="R39" s="6"/>
      <c r="S39" s="6"/>
      <c r="T39" s="156"/>
      <c r="U39" s="6"/>
    </row>
    <row r="40" spans="1:21" customFormat="1">
      <c r="A40" s="163" t="s">
        <v>2574</v>
      </c>
      <c r="B40" s="100">
        <v>38.68</v>
      </c>
      <c r="C40" s="100">
        <v>26.9</v>
      </c>
      <c r="D40" s="100">
        <v>46.42</v>
      </c>
      <c r="E40" s="100">
        <v>10.32</v>
      </c>
      <c r="F40" s="100">
        <v>0.74</v>
      </c>
      <c r="G40" s="100">
        <v>97.65</v>
      </c>
      <c r="H40" s="100">
        <v>33.51</v>
      </c>
      <c r="I40" s="100">
        <v>18.14</v>
      </c>
      <c r="J40" s="100">
        <v>0.11</v>
      </c>
      <c r="K40" s="100">
        <v>86.63</v>
      </c>
      <c r="L40" s="100">
        <v>18.04</v>
      </c>
      <c r="M40" s="100">
        <v>85.48</v>
      </c>
      <c r="N40" s="100">
        <v>39.4</v>
      </c>
      <c r="O40" s="100">
        <v>0</v>
      </c>
      <c r="P40" s="100">
        <v>1.28</v>
      </c>
      <c r="Q40" s="100">
        <v>12.25</v>
      </c>
      <c r="R40" s="6"/>
      <c r="S40" s="6"/>
      <c r="T40" s="156"/>
      <c r="U40" s="6"/>
    </row>
    <row r="41" spans="1:21" customFormat="1">
      <c r="A41" s="163" t="s">
        <v>2575</v>
      </c>
      <c r="B41" s="100">
        <v>37.82</v>
      </c>
      <c r="C41" s="100">
        <v>27.26</v>
      </c>
      <c r="D41" s="100">
        <v>45.92</v>
      </c>
      <c r="E41" s="100">
        <v>10.53</v>
      </c>
      <c r="F41" s="100">
        <v>0.46</v>
      </c>
      <c r="G41" s="100">
        <v>97.65</v>
      </c>
      <c r="H41" s="100">
        <v>33.51</v>
      </c>
      <c r="I41" s="100">
        <v>18.2</v>
      </c>
      <c r="J41" s="100">
        <v>0.66</v>
      </c>
      <c r="K41" s="100">
        <v>55.94</v>
      </c>
      <c r="L41" s="100">
        <v>19.399999999999999</v>
      </c>
      <c r="M41" s="100">
        <v>74.08</v>
      </c>
      <c r="N41" s="100">
        <v>65.2</v>
      </c>
      <c r="O41" s="100">
        <v>0</v>
      </c>
      <c r="P41" s="100">
        <v>1.28</v>
      </c>
      <c r="Q41" s="100">
        <v>12.25</v>
      </c>
      <c r="R41" s="6"/>
      <c r="S41" s="6"/>
      <c r="T41" s="156"/>
      <c r="U41" s="6"/>
    </row>
    <row r="42" spans="1:21" customFormat="1">
      <c r="A42" s="163" t="s">
        <v>2576</v>
      </c>
      <c r="B42" s="100">
        <v>36.32</v>
      </c>
      <c r="C42" s="100">
        <v>27.99</v>
      </c>
      <c r="D42" s="100">
        <v>45.1</v>
      </c>
      <c r="E42" s="100">
        <v>10.42</v>
      </c>
      <c r="F42" s="100">
        <v>1.19</v>
      </c>
      <c r="G42" s="100">
        <v>97.77</v>
      </c>
      <c r="H42" s="100">
        <v>33.74</v>
      </c>
      <c r="I42" s="100">
        <v>18.18</v>
      </c>
      <c r="J42" s="100">
        <v>0.55000000000000004</v>
      </c>
      <c r="K42" s="100">
        <v>68.319999999999993</v>
      </c>
      <c r="L42" s="100">
        <v>20.2</v>
      </c>
      <c r="M42" s="100">
        <v>71.150000000000006</v>
      </c>
      <c r="N42" s="100">
        <v>148.69999999999999</v>
      </c>
      <c r="O42" s="100">
        <v>0</v>
      </c>
      <c r="P42" s="100">
        <v>1.26</v>
      </c>
      <c r="Q42" s="100">
        <v>12.25</v>
      </c>
      <c r="R42" s="6"/>
      <c r="S42" s="6"/>
      <c r="T42" s="156"/>
      <c r="U42" s="6"/>
    </row>
    <row r="43" spans="1:21" customFormat="1">
      <c r="A43" s="163" t="s">
        <v>2577</v>
      </c>
      <c r="B43" s="100">
        <v>34.85</v>
      </c>
      <c r="C43" s="100">
        <v>28.85</v>
      </c>
      <c r="D43" s="100">
        <v>44.37</v>
      </c>
      <c r="E43" s="100">
        <v>10.88</v>
      </c>
      <c r="F43" s="100">
        <v>1.1299999999999999</v>
      </c>
      <c r="G43" s="100">
        <v>97.84</v>
      </c>
      <c r="H43" s="100">
        <v>33.82</v>
      </c>
      <c r="I43" s="100">
        <v>17.95</v>
      </c>
      <c r="J43" s="100">
        <v>0.52</v>
      </c>
      <c r="K43" s="100">
        <v>61.41</v>
      </c>
      <c r="L43" s="100">
        <v>21.21</v>
      </c>
      <c r="M43" s="100">
        <v>67.069999999999993</v>
      </c>
      <c r="N43" s="100">
        <v>174</v>
      </c>
      <c r="O43" s="100">
        <v>0</v>
      </c>
      <c r="P43" s="100">
        <v>1.22</v>
      </c>
      <c r="Q43" s="100">
        <v>12.25</v>
      </c>
      <c r="R43" s="6"/>
      <c r="S43" s="6"/>
      <c r="T43" s="156"/>
      <c r="U43" s="6"/>
    </row>
    <row r="44" spans="1:21" customFormat="1">
      <c r="A44" s="163" t="s">
        <v>2578</v>
      </c>
      <c r="B44" s="100">
        <v>33.68</v>
      </c>
      <c r="C44" s="100">
        <v>29.82</v>
      </c>
      <c r="D44" s="100">
        <v>43.94</v>
      </c>
      <c r="E44" s="100">
        <v>10.94</v>
      </c>
      <c r="F44" s="100">
        <v>2.25</v>
      </c>
      <c r="G44" s="100">
        <v>97.84</v>
      </c>
      <c r="H44" s="100">
        <v>33.82</v>
      </c>
      <c r="I44" s="100">
        <v>17.8</v>
      </c>
      <c r="J44" s="100">
        <v>0.44</v>
      </c>
      <c r="K44" s="100">
        <v>52.24</v>
      </c>
      <c r="L44" s="100">
        <v>22.17</v>
      </c>
      <c r="M44" s="100">
        <v>64.08</v>
      </c>
      <c r="N44" s="100">
        <v>162.69999999999999</v>
      </c>
      <c r="O44" s="100">
        <v>0</v>
      </c>
      <c r="P44" s="100">
        <v>1.21</v>
      </c>
      <c r="Q44" s="100">
        <v>12.25</v>
      </c>
      <c r="R44" s="6"/>
      <c r="S44" s="6"/>
      <c r="T44" s="156"/>
      <c r="U44" s="6"/>
    </row>
    <row r="45" spans="1:21" customFormat="1">
      <c r="A45" s="163" t="s">
        <v>2579</v>
      </c>
      <c r="B45" s="100">
        <v>32.64</v>
      </c>
      <c r="C45" s="100">
        <v>30.49</v>
      </c>
      <c r="D45" s="100">
        <v>43.45</v>
      </c>
      <c r="E45" s="100">
        <v>10.89</v>
      </c>
      <c r="F45" s="100">
        <v>2.17</v>
      </c>
      <c r="G45" s="100">
        <v>97.84</v>
      </c>
      <c r="H45" s="100">
        <v>33.82</v>
      </c>
      <c r="I45" s="100">
        <v>17.57</v>
      </c>
      <c r="J45" s="100">
        <v>0.46</v>
      </c>
      <c r="K45" s="100">
        <v>61.38</v>
      </c>
      <c r="L45" s="100">
        <v>23.08</v>
      </c>
      <c r="M45" s="100">
        <v>60.34</v>
      </c>
      <c r="N45" s="100">
        <v>211.9</v>
      </c>
      <c r="O45" s="100">
        <v>0</v>
      </c>
      <c r="P45" s="100">
        <v>1.18</v>
      </c>
      <c r="Q45" s="100">
        <v>12.25</v>
      </c>
      <c r="R45" s="6"/>
      <c r="S45" s="6"/>
      <c r="T45" s="156"/>
      <c r="U45" s="6"/>
    </row>
    <row r="46" spans="1:21" customFormat="1">
      <c r="A46" s="163" t="s">
        <v>2580</v>
      </c>
      <c r="B46" s="100">
        <v>31.44</v>
      </c>
      <c r="C46" s="100">
        <v>30.49</v>
      </c>
      <c r="D46" s="100">
        <v>42.49</v>
      </c>
      <c r="E46" s="100">
        <v>10.87</v>
      </c>
      <c r="F46" s="100">
        <v>1.0900000000000001</v>
      </c>
      <c r="G46" s="100">
        <v>95.64</v>
      </c>
      <c r="H46" s="100">
        <v>30.23</v>
      </c>
      <c r="I46" s="100">
        <v>17.27</v>
      </c>
      <c r="J46" s="100">
        <v>0.44</v>
      </c>
      <c r="K46" s="100">
        <v>70.14</v>
      </c>
      <c r="L46" s="100">
        <v>23.85</v>
      </c>
      <c r="M46" s="100">
        <v>57.2</v>
      </c>
      <c r="N46" s="100">
        <v>245.9</v>
      </c>
      <c r="O46" s="100">
        <v>0</v>
      </c>
      <c r="P46" s="100">
        <v>1.1599999999999999</v>
      </c>
      <c r="Q46" s="100">
        <v>12.25</v>
      </c>
      <c r="R46" s="6"/>
      <c r="S46" s="6"/>
      <c r="T46" s="156"/>
      <c r="U46" s="6"/>
    </row>
    <row r="47" spans="1:21" customFormat="1">
      <c r="A47" s="163" t="s">
        <v>2581</v>
      </c>
      <c r="B47" s="100">
        <v>30.22</v>
      </c>
      <c r="C47" s="100">
        <v>30.25</v>
      </c>
      <c r="D47" s="100">
        <v>41.39</v>
      </c>
      <c r="E47" s="100">
        <v>11.24</v>
      </c>
      <c r="F47" s="100">
        <v>0.44</v>
      </c>
      <c r="G47" s="100">
        <v>94.31</v>
      </c>
      <c r="H47" s="100">
        <v>29.44</v>
      </c>
      <c r="I47" s="100">
        <v>16.98</v>
      </c>
      <c r="J47" s="100">
        <v>0.44</v>
      </c>
      <c r="K47" s="100">
        <v>96.28</v>
      </c>
      <c r="L47" s="100">
        <v>24.47</v>
      </c>
      <c r="M47" s="100">
        <v>54.83</v>
      </c>
      <c r="N47" s="100">
        <v>267.3</v>
      </c>
      <c r="O47" s="100">
        <v>0</v>
      </c>
      <c r="P47" s="100">
        <v>1.1299999999999999</v>
      </c>
      <c r="Q47" s="100">
        <v>12.25</v>
      </c>
      <c r="R47" s="6"/>
      <c r="S47" s="6"/>
      <c r="T47" s="156"/>
      <c r="U47" s="6"/>
    </row>
    <row r="48" spans="1:21" customFormat="1">
      <c r="A48" s="163" t="s">
        <v>2582</v>
      </c>
      <c r="B48" s="100">
        <v>28.91</v>
      </c>
      <c r="C48" s="100">
        <v>29.96</v>
      </c>
      <c r="D48" s="100">
        <v>40.19</v>
      </c>
      <c r="E48" s="100">
        <v>11.14</v>
      </c>
      <c r="F48" s="100">
        <v>1.24</v>
      </c>
      <c r="G48" s="100">
        <v>94.31</v>
      </c>
      <c r="H48" s="100">
        <v>29.44</v>
      </c>
      <c r="I48" s="100">
        <v>16.7</v>
      </c>
      <c r="J48" s="100">
        <v>0.57999999999999996</v>
      </c>
      <c r="K48" s="100">
        <v>67.89</v>
      </c>
      <c r="L48" s="100">
        <v>25.08</v>
      </c>
      <c r="M48" s="100">
        <v>50.87</v>
      </c>
      <c r="N48" s="100">
        <v>282.3</v>
      </c>
      <c r="O48" s="100">
        <v>0</v>
      </c>
      <c r="P48" s="100">
        <v>1.1200000000000001</v>
      </c>
      <c r="Q48" s="100">
        <v>12.25</v>
      </c>
      <c r="R48" s="6"/>
      <c r="S48" s="6"/>
      <c r="T48" s="156"/>
      <c r="U48" s="6"/>
    </row>
    <row r="49" spans="1:21" customFormat="1">
      <c r="A49" s="163" t="s">
        <v>2583</v>
      </c>
      <c r="B49" s="100">
        <v>27.56</v>
      </c>
      <c r="C49" s="100">
        <v>29.94</v>
      </c>
      <c r="D49" s="100">
        <v>39.090000000000003</v>
      </c>
      <c r="E49" s="100">
        <v>9.73</v>
      </c>
      <c r="F49" s="100">
        <v>0.64</v>
      </c>
      <c r="G49" s="100">
        <v>94.31</v>
      </c>
      <c r="H49" s="100">
        <v>29.44</v>
      </c>
      <c r="I49" s="100">
        <v>16.440000000000001</v>
      </c>
      <c r="J49" s="100">
        <v>0.67</v>
      </c>
      <c r="K49" s="100">
        <v>61.64</v>
      </c>
      <c r="L49" s="100">
        <v>25.74</v>
      </c>
      <c r="M49" s="100">
        <v>49.17</v>
      </c>
      <c r="N49" s="100">
        <v>252.6</v>
      </c>
      <c r="O49" s="100">
        <v>0</v>
      </c>
      <c r="P49" s="100">
        <v>1.0900000000000001</v>
      </c>
      <c r="Q49" s="100">
        <v>12.25</v>
      </c>
      <c r="R49" s="6"/>
      <c r="S49" s="6"/>
      <c r="T49" s="156"/>
      <c r="U49" s="6"/>
    </row>
    <row r="50" spans="1:21" customFormat="1">
      <c r="A50" s="163" t="s">
        <v>2584</v>
      </c>
      <c r="B50" s="100">
        <v>26.31</v>
      </c>
      <c r="C50" s="100">
        <v>29.68</v>
      </c>
      <c r="D50" s="100">
        <v>37.950000000000003</v>
      </c>
      <c r="E50" s="100">
        <v>10.74</v>
      </c>
      <c r="F50" s="100">
        <v>0.63</v>
      </c>
      <c r="G50" s="100">
        <v>83.67</v>
      </c>
      <c r="H50" s="100">
        <v>31.69</v>
      </c>
      <c r="I50" s="100">
        <v>16.21</v>
      </c>
      <c r="J50" s="100">
        <v>0.41</v>
      </c>
      <c r="K50" s="100">
        <v>28.71</v>
      </c>
      <c r="L50" s="100">
        <v>25.85</v>
      </c>
      <c r="M50" s="100">
        <v>49.38</v>
      </c>
      <c r="N50" s="100">
        <v>321.39999999999998</v>
      </c>
      <c r="O50" s="100">
        <v>0</v>
      </c>
      <c r="P50" s="100">
        <v>1.08</v>
      </c>
      <c r="Q50" s="100">
        <v>12.25</v>
      </c>
      <c r="R50" s="6"/>
      <c r="S50" s="6"/>
      <c r="T50" s="156"/>
      <c r="U50" s="6"/>
    </row>
    <row r="51" spans="1:21" customFormat="1">
      <c r="A51" s="163" t="s">
        <v>2585</v>
      </c>
      <c r="B51" s="100">
        <v>25.05</v>
      </c>
      <c r="C51" s="100">
        <v>29.47</v>
      </c>
      <c r="D51" s="100">
        <v>36.83</v>
      </c>
      <c r="E51" s="100">
        <v>10.4</v>
      </c>
      <c r="F51" s="100">
        <v>0.85</v>
      </c>
      <c r="G51" s="100">
        <v>77.209999999999994</v>
      </c>
      <c r="H51" s="100">
        <v>32.14</v>
      </c>
      <c r="I51" s="100">
        <v>15.85</v>
      </c>
      <c r="J51" s="100">
        <v>0.51</v>
      </c>
      <c r="K51" s="100">
        <v>39.33</v>
      </c>
      <c r="L51" s="100">
        <v>26.42</v>
      </c>
      <c r="M51" s="100">
        <v>47.5</v>
      </c>
      <c r="N51" s="100">
        <v>330.5</v>
      </c>
      <c r="O51" s="100">
        <v>0</v>
      </c>
      <c r="P51" s="100">
        <v>1.06</v>
      </c>
      <c r="Q51" s="100">
        <v>12.25</v>
      </c>
      <c r="R51" s="6"/>
      <c r="S51" s="6"/>
      <c r="T51" s="156"/>
      <c r="U51" s="6"/>
    </row>
    <row r="52" spans="1:21" customFormat="1">
      <c r="A52" s="163" t="s">
        <v>2586</v>
      </c>
      <c r="B52" s="100">
        <v>23.75</v>
      </c>
      <c r="C52" s="100">
        <v>29.46</v>
      </c>
      <c r="D52" s="100">
        <v>35.79</v>
      </c>
      <c r="E52" s="100">
        <v>10.81</v>
      </c>
      <c r="F52" s="100">
        <v>1.4</v>
      </c>
      <c r="G52" s="100">
        <v>77.209999999999994</v>
      </c>
      <c r="H52" s="100">
        <v>32.14</v>
      </c>
      <c r="I52" s="100">
        <v>15.58</v>
      </c>
      <c r="J52" s="100">
        <v>0.87</v>
      </c>
      <c r="K52" s="100">
        <v>47.03</v>
      </c>
      <c r="L52" s="100">
        <v>26.7</v>
      </c>
      <c r="M52" s="100">
        <v>46.14</v>
      </c>
      <c r="N52" s="100">
        <v>341.4</v>
      </c>
      <c r="O52" s="100">
        <v>0</v>
      </c>
      <c r="P52" s="100">
        <v>1.04</v>
      </c>
      <c r="Q52" s="100">
        <v>12.25</v>
      </c>
      <c r="R52" s="6"/>
      <c r="S52" s="6"/>
      <c r="T52" s="156"/>
      <c r="U52" s="6"/>
    </row>
    <row r="53" spans="1:21" customFormat="1">
      <c r="A53" s="163" t="s">
        <v>2587</v>
      </c>
      <c r="B53" s="100">
        <v>22.34</v>
      </c>
      <c r="C53" s="100">
        <v>29.46</v>
      </c>
      <c r="D53" s="100">
        <v>34.659999999999997</v>
      </c>
      <c r="E53" s="100">
        <v>10.67</v>
      </c>
      <c r="F53" s="100">
        <v>2.44</v>
      </c>
      <c r="G53" s="100">
        <v>77.209999999999994</v>
      </c>
      <c r="H53" s="100">
        <v>32.14</v>
      </c>
      <c r="I53" s="100">
        <v>15.4</v>
      </c>
      <c r="J53" s="100">
        <v>0.82</v>
      </c>
      <c r="K53" s="100">
        <v>55.96</v>
      </c>
      <c r="L53" s="100">
        <v>27</v>
      </c>
      <c r="M53" s="100">
        <v>45.41</v>
      </c>
      <c r="N53" s="100">
        <v>351.4</v>
      </c>
      <c r="O53" s="100">
        <v>0</v>
      </c>
      <c r="P53" s="100">
        <v>1.02</v>
      </c>
      <c r="Q53" s="100">
        <v>12.25</v>
      </c>
      <c r="R53" s="6"/>
      <c r="S53" s="6"/>
      <c r="T53" s="156"/>
      <c r="U53" s="6"/>
    </row>
    <row r="54" spans="1:21" customFormat="1">
      <c r="A54" s="163" t="s">
        <v>2588</v>
      </c>
      <c r="B54" s="100">
        <v>20.9</v>
      </c>
      <c r="C54" s="100">
        <v>29.43</v>
      </c>
      <c r="D54" s="100">
        <v>33.49</v>
      </c>
      <c r="E54" s="100">
        <v>11.1</v>
      </c>
      <c r="F54" s="100">
        <v>2.04</v>
      </c>
      <c r="G54" s="100">
        <v>84.63</v>
      </c>
      <c r="H54" s="100">
        <v>32.909999999999997</v>
      </c>
      <c r="I54" s="100">
        <v>15.12</v>
      </c>
      <c r="J54" s="100">
        <v>0.46</v>
      </c>
      <c r="K54" s="100">
        <v>82.2</v>
      </c>
      <c r="L54" s="100">
        <v>27.52</v>
      </c>
      <c r="M54" s="100">
        <v>43.91</v>
      </c>
      <c r="N54" s="100">
        <v>321.8</v>
      </c>
      <c r="O54" s="100">
        <v>0</v>
      </c>
      <c r="P54" s="100">
        <v>1</v>
      </c>
      <c r="Q54" s="100">
        <v>12.25</v>
      </c>
      <c r="R54" s="6"/>
      <c r="S54" s="6"/>
      <c r="T54" s="156"/>
      <c r="U54" s="6"/>
    </row>
    <row r="55" spans="1:21" customFormat="1">
      <c r="A55" s="163" t="s">
        <v>2589</v>
      </c>
      <c r="B55" s="100">
        <v>19.350000000000001</v>
      </c>
      <c r="C55" s="100">
        <v>29.49</v>
      </c>
      <c r="D55" s="100">
        <v>32.28</v>
      </c>
      <c r="E55" s="100">
        <v>11.82</v>
      </c>
      <c r="F55" s="100">
        <v>1.22</v>
      </c>
      <c r="G55" s="100">
        <v>89.14</v>
      </c>
      <c r="H55" s="100">
        <v>33.07</v>
      </c>
      <c r="I55" s="100">
        <v>14.88</v>
      </c>
      <c r="J55" s="100">
        <v>0.78</v>
      </c>
      <c r="K55" s="100">
        <v>29.92</v>
      </c>
      <c r="L55" s="100">
        <v>27.75</v>
      </c>
      <c r="M55" s="100">
        <v>43.12</v>
      </c>
      <c r="N55" s="100">
        <v>373.4</v>
      </c>
      <c r="O55" s="100">
        <v>0</v>
      </c>
      <c r="P55" s="100">
        <v>0.97</v>
      </c>
      <c r="Q55" s="100">
        <v>12.25</v>
      </c>
      <c r="R55" s="6"/>
      <c r="S55" s="6"/>
      <c r="T55" s="156"/>
      <c r="U55" s="6"/>
    </row>
    <row r="56" spans="1:21" customFormat="1">
      <c r="A56" s="163" t="s">
        <v>2590</v>
      </c>
      <c r="B56" s="100">
        <v>17.989999999999998</v>
      </c>
      <c r="C56" s="100">
        <v>29.76</v>
      </c>
      <c r="D56" s="100">
        <v>31.32</v>
      </c>
      <c r="E56" s="100">
        <v>11.63</v>
      </c>
      <c r="F56" s="100">
        <v>1.04</v>
      </c>
      <c r="G56" s="100">
        <v>89.14</v>
      </c>
      <c r="H56" s="100">
        <v>33.07</v>
      </c>
      <c r="I56" s="100">
        <v>14.58</v>
      </c>
      <c r="J56" s="100">
        <v>0.37</v>
      </c>
      <c r="K56" s="100">
        <v>79.87</v>
      </c>
      <c r="L56" s="100">
        <v>28.58</v>
      </c>
      <c r="M56" s="100">
        <v>41.58</v>
      </c>
      <c r="N56" s="100">
        <v>374.3</v>
      </c>
      <c r="O56" s="100">
        <v>0</v>
      </c>
      <c r="P56" s="100">
        <v>0.96</v>
      </c>
      <c r="Q56" s="100">
        <v>12.25</v>
      </c>
      <c r="R56" s="6"/>
      <c r="S56" s="6"/>
      <c r="T56" s="156"/>
      <c r="U56" s="6"/>
    </row>
    <row r="57" spans="1:21" customFormat="1">
      <c r="A57" s="163" t="s">
        <v>2591</v>
      </c>
      <c r="B57" s="100">
        <v>16.52</v>
      </c>
      <c r="C57" s="100">
        <v>29.85</v>
      </c>
      <c r="D57" s="100">
        <v>30.2</v>
      </c>
      <c r="E57" s="100">
        <v>11.34</v>
      </c>
      <c r="F57" s="100">
        <v>1.1000000000000001</v>
      </c>
      <c r="G57" s="100">
        <v>89.14</v>
      </c>
      <c r="H57" s="100">
        <v>33.07</v>
      </c>
      <c r="I57" s="100">
        <v>14.3</v>
      </c>
      <c r="J57" s="100">
        <v>0.03</v>
      </c>
      <c r="K57" s="100">
        <v>56.78</v>
      </c>
      <c r="L57" s="100">
        <v>29.03</v>
      </c>
      <c r="M57" s="100">
        <v>40.68</v>
      </c>
      <c r="N57" s="100">
        <v>372.1</v>
      </c>
      <c r="O57" s="100">
        <v>0</v>
      </c>
      <c r="P57" s="100">
        <v>0.95</v>
      </c>
      <c r="Q57" s="100">
        <v>12.25</v>
      </c>
      <c r="R57" s="6"/>
      <c r="S57" s="6"/>
      <c r="T57" s="156"/>
      <c r="U57" s="6"/>
    </row>
    <row r="58" spans="1:21" customFormat="1">
      <c r="A58" s="163" t="s">
        <v>2592</v>
      </c>
      <c r="B58" s="100">
        <v>14.77</v>
      </c>
      <c r="C58" s="100">
        <v>29.83</v>
      </c>
      <c r="D58" s="100">
        <v>28.78</v>
      </c>
      <c r="E58" s="100">
        <v>11.63</v>
      </c>
      <c r="F58" s="100">
        <v>1.93</v>
      </c>
      <c r="G58" s="100">
        <v>84.86</v>
      </c>
      <c r="H58" s="100">
        <v>30.25</v>
      </c>
      <c r="I58" s="100">
        <v>14.15</v>
      </c>
      <c r="J58" s="100">
        <v>0.44</v>
      </c>
      <c r="K58" s="100">
        <v>250.36</v>
      </c>
      <c r="L58" s="100">
        <v>28.94</v>
      </c>
      <c r="M58" s="100">
        <v>40.69</v>
      </c>
      <c r="N58" s="100">
        <v>326.5</v>
      </c>
      <c r="O58" s="100">
        <v>0</v>
      </c>
      <c r="P58" s="100">
        <v>0.92</v>
      </c>
      <c r="Q58" s="100">
        <v>12.25</v>
      </c>
      <c r="R58" s="6"/>
      <c r="S58" s="6"/>
      <c r="T58" s="156"/>
      <c r="U58" s="6"/>
    </row>
    <row r="59" spans="1:21" customFormat="1">
      <c r="A59" s="163" t="s">
        <v>2593</v>
      </c>
      <c r="B59" s="100">
        <v>12.94</v>
      </c>
      <c r="C59" s="100">
        <v>30.02</v>
      </c>
      <c r="D59" s="100">
        <v>27.41</v>
      </c>
      <c r="E59" s="100">
        <v>11.73</v>
      </c>
      <c r="F59" s="100">
        <v>0.69</v>
      </c>
      <c r="G59" s="100">
        <v>82.26</v>
      </c>
      <c r="H59" s="100">
        <v>29.68</v>
      </c>
      <c r="I59" s="100">
        <v>13.97</v>
      </c>
      <c r="J59" s="100">
        <v>0.31</v>
      </c>
      <c r="K59" s="100">
        <v>286.38</v>
      </c>
      <c r="L59" s="100">
        <v>29.35</v>
      </c>
      <c r="M59" s="100">
        <v>39.43</v>
      </c>
      <c r="N59" s="100">
        <v>366</v>
      </c>
      <c r="O59" s="100">
        <v>0</v>
      </c>
      <c r="P59" s="100">
        <v>0.91</v>
      </c>
      <c r="Q59" s="100">
        <v>12.25</v>
      </c>
      <c r="R59" s="6"/>
      <c r="S59" s="6"/>
      <c r="T59" s="156"/>
      <c r="U59" s="6"/>
    </row>
    <row r="60" spans="1:21" customFormat="1">
      <c r="A60" s="163" t="s">
        <v>2594</v>
      </c>
      <c r="B60" s="100">
        <v>11.15</v>
      </c>
      <c r="C60" s="100">
        <v>30.05</v>
      </c>
      <c r="D60" s="100">
        <v>25.99</v>
      </c>
      <c r="E60" s="100">
        <v>11.05</v>
      </c>
      <c r="F60" s="100">
        <v>0.5</v>
      </c>
      <c r="G60" s="100">
        <v>82.26</v>
      </c>
      <c r="H60" s="100">
        <v>29.68</v>
      </c>
      <c r="I60" s="100">
        <v>13.71</v>
      </c>
      <c r="J60" s="100">
        <v>0.35</v>
      </c>
      <c r="K60" s="100">
        <v>229.74</v>
      </c>
      <c r="L60" s="100">
        <v>29.93</v>
      </c>
      <c r="M60" s="100">
        <v>37.229999999999997</v>
      </c>
      <c r="N60" s="100">
        <v>393.3</v>
      </c>
      <c r="O60" s="100">
        <v>0</v>
      </c>
      <c r="P60" s="100">
        <v>0.89</v>
      </c>
      <c r="Q60" s="100">
        <v>12.25</v>
      </c>
      <c r="R60" s="6"/>
      <c r="S60" s="6"/>
      <c r="T60" s="156"/>
      <c r="U60" s="6"/>
    </row>
    <row r="61" spans="1:21" customFormat="1">
      <c r="A61" s="163" t="s">
        <v>2595</v>
      </c>
      <c r="B61" s="100">
        <v>9.66</v>
      </c>
      <c r="C61" s="100">
        <v>29.7</v>
      </c>
      <c r="D61" s="100">
        <v>24.61</v>
      </c>
      <c r="E61" s="100">
        <v>10.79</v>
      </c>
      <c r="F61" s="100">
        <v>0.78</v>
      </c>
      <c r="G61" s="100">
        <v>82.26</v>
      </c>
      <c r="H61" s="100">
        <v>29.68</v>
      </c>
      <c r="I61" s="100">
        <v>13.57</v>
      </c>
      <c r="J61" s="100">
        <v>0.27</v>
      </c>
      <c r="K61" s="100">
        <v>247.42</v>
      </c>
      <c r="L61" s="100">
        <v>29.93</v>
      </c>
      <c r="M61" s="100">
        <v>37.78</v>
      </c>
      <c r="N61" s="100">
        <v>367.4</v>
      </c>
      <c r="O61" s="100">
        <v>0</v>
      </c>
      <c r="P61" s="100">
        <v>0.87</v>
      </c>
      <c r="Q61" s="100">
        <v>12.25</v>
      </c>
      <c r="R61" s="6"/>
      <c r="S61" s="6"/>
      <c r="T61" s="156"/>
      <c r="U61" s="6"/>
    </row>
    <row r="62" spans="1:21" customFormat="1">
      <c r="A62" s="163" t="s">
        <v>2596</v>
      </c>
      <c r="B62" s="100">
        <v>8.16</v>
      </c>
      <c r="C62" s="100">
        <v>29.66</v>
      </c>
      <c r="D62" s="100">
        <v>23.39</v>
      </c>
      <c r="E62" s="100">
        <v>11.14</v>
      </c>
      <c r="F62" s="100">
        <v>0.61</v>
      </c>
      <c r="G62" s="100">
        <v>86.31</v>
      </c>
      <c r="H62" s="100">
        <v>31.05</v>
      </c>
      <c r="I62" s="100">
        <v>13.57</v>
      </c>
      <c r="J62" s="100">
        <v>0.21</v>
      </c>
      <c r="K62" s="100">
        <v>278.38</v>
      </c>
      <c r="L62" s="100">
        <v>30.04</v>
      </c>
      <c r="M62" s="100">
        <v>36.58</v>
      </c>
      <c r="N62" s="100">
        <v>335.5</v>
      </c>
      <c r="O62" s="100">
        <v>0</v>
      </c>
      <c r="P62" s="100">
        <v>0.87</v>
      </c>
      <c r="Q62" s="100">
        <v>12.25</v>
      </c>
      <c r="R62" s="6"/>
      <c r="S62" s="6"/>
      <c r="T62" s="156"/>
      <c r="U62" s="6"/>
    </row>
    <row r="63" spans="1:21" customFormat="1">
      <c r="A63" s="163" t="s">
        <v>2597</v>
      </c>
      <c r="B63" s="100">
        <v>6.43</v>
      </c>
      <c r="C63" s="100">
        <v>29.64</v>
      </c>
      <c r="D63" s="100">
        <v>22</v>
      </c>
      <c r="E63" s="100">
        <v>11.01</v>
      </c>
      <c r="F63" s="100">
        <v>2.06</v>
      </c>
      <c r="G63" s="100">
        <v>88.77</v>
      </c>
      <c r="H63" s="100">
        <v>31.32</v>
      </c>
      <c r="I63" s="100">
        <v>13.39</v>
      </c>
      <c r="J63" s="100">
        <v>0.31</v>
      </c>
      <c r="K63" s="100">
        <v>334.09</v>
      </c>
      <c r="L63" s="100">
        <v>30.42</v>
      </c>
      <c r="M63" s="100">
        <v>35.04</v>
      </c>
      <c r="N63" s="100">
        <v>354.9</v>
      </c>
      <c r="O63" s="100">
        <v>0</v>
      </c>
      <c r="P63" s="100">
        <v>0.85</v>
      </c>
      <c r="Q63" s="100">
        <v>12.25</v>
      </c>
      <c r="R63" s="6"/>
      <c r="S63" s="6"/>
      <c r="T63" s="156"/>
      <c r="U63" s="6"/>
    </row>
    <row r="64" spans="1:21" customFormat="1">
      <c r="A64" s="163" t="s">
        <v>2598</v>
      </c>
      <c r="B64" s="100">
        <v>5.15</v>
      </c>
      <c r="C64" s="100">
        <v>29.75</v>
      </c>
      <c r="D64" s="100">
        <v>21.03</v>
      </c>
      <c r="E64" s="100">
        <v>10.59</v>
      </c>
      <c r="F64" s="100">
        <v>1.4</v>
      </c>
      <c r="G64" s="100">
        <v>88.77</v>
      </c>
      <c r="H64" s="100">
        <v>31.32</v>
      </c>
      <c r="I64" s="100">
        <v>13.07</v>
      </c>
      <c r="J64" s="100">
        <v>0.66</v>
      </c>
      <c r="K64" s="100">
        <v>294.11</v>
      </c>
      <c r="L64" s="100">
        <v>30.27</v>
      </c>
      <c r="M64" s="100">
        <v>33.880000000000003</v>
      </c>
      <c r="N64" s="100">
        <v>346.9</v>
      </c>
      <c r="O64" s="100">
        <v>0</v>
      </c>
      <c r="P64" s="100">
        <v>0.86</v>
      </c>
      <c r="Q64" s="100">
        <v>12.25</v>
      </c>
      <c r="R64" s="6"/>
      <c r="S64" s="6"/>
      <c r="T64" s="156"/>
      <c r="U64" s="6"/>
    </row>
    <row r="65" spans="1:21" customFormat="1">
      <c r="A65" s="163" t="s">
        <v>2599</v>
      </c>
      <c r="B65" s="100">
        <v>4.4400000000000004</v>
      </c>
      <c r="C65" s="100">
        <v>29.73</v>
      </c>
      <c r="D65" s="100">
        <v>20.45</v>
      </c>
      <c r="E65" s="100">
        <v>11.06</v>
      </c>
      <c r="F65" s="100">
        <v>2.46</v>
      </c>
      <c r="G65" s="100">
        <v>88.77</v>
      </c>
      <c r="H65" s="100">
        <v>31.32</v>
      </c>
      <c r="I65" s="100">
        <v>12.65</v>
      </c>
      <c r="J65" s="100">
        <v>0.01</v>
      </c>
      <c r="K65" s="100">
        <v>90.66</v>
      </c>
      <c r="L65" s="100">
        <v>30.7</v>
      </c>
      <c r="M65" s="100">
        <v>32.93</v>
      </c>
      <c r="N65" s="100">
        <v>273.89999999999998</v>
      </c>
      <c r="O65" s="100">
        <v>0</v>
      </c>
      <c r="P65" s="100">
        <v>0.84</v>
      </c>
      <c r="Q65" s="100">
        <v>12.25</v>
      </c>
      <c r="R65" s="6"/>
      <c r="S65" s="6"/>
      <c r="T65" s="156"/>
      <c r="U65" s="6"/>
    </row>
    <row r="66" spans="1:21" customFormat="1">
      <c r="A66" s="163" t="s">
        <v>2600</v>
      </c>
      <c r="B66" s="100">
        <v>4.05</v>
      </c>
      <c r="C66" s="100">
        <v>29.1</v>
      </c>
      <c r="D66" s="100">
        <v>19.8</v>
      </c>
      <c r="E66" s="100">
        <v>11.7</v>
      </c>
      <c r="F66" s="100">
        <v>0.8</v>
      </c>
      <c r="G66" s="100">
        <v>98.48</v>
      </c>
      <c r="H66" s="100">
        <v>36.76</v>
      </c>
      <c r="I66" s="100">
        <v>13.46</v>
      </c>
      <c r="J66" s="100">
        <v>0.46</v>
      </c>
      <c r="K66" s="100">
        <v>245.24</v>
      </c>
      <c r="L66" s="100">
        <v>30.36</v>
      </c>
      <c r="M66" s="100">
        <v>33.69</v>
      </c>
      <c r="N66" s="100">
        <v>126.6</v>
      </c>
      <c r="O66" s="100">
        <v>0</v>
      </c>
      <c r="P66" s="100">
        <v>0.97</v>
      </c>
      <c r="Q66" s="100">
        <v>12.25</v>
      </c>
      <c r="R66" s="6"/>
      <c r="S66" s="6"/>
      <c r="T66" s="156"/>
      <c r="U66" s="6"/>
    </row>
    <row r="67" spans="1:21" customFormat="1">
      <c r="A67" s="163" t="s">
        <v>2601</v>
      </c>
      <c r="B67" s="100">
        <v>3.81</v>
      </c>
      <c r="C67" s="100">
        <v>28.36</v>
      </c>
      <c r="D67" s="100">
        <v>19.22</v>
      </c>
      <c r="E67" s="100">
        <v>12.44</v>
      </c>
      <c r="F67" s="100">
        <v>0.9</v>
      </c>
      <c r="G67" s="100">
        <v>104.38</v>
      </c>
      <c r="H67" s="100">
        <v>38.630000000000003</v>
      </c>
      <c r="I67" s="100">
        <v>13.44</v>
      </c>
      <c r="J67" s="100">
        <v>0.41</v>
      </c>
      <c r="K67" s="100">
        <v>257.08999999999997</v>
      </c>
      <c r="L67" s="100">
        <v>29.78</v>
      </c>
      <c r="M67" s="100">
        <v>35.51</v>
      </c>
      <c r="N67" s="100">
        <v>100.4</v>
      </c>
      <c r="O67" s="100">
        <v>0</v>
      </c>
      <c r="P67" s="100">
        <v>0.89</v>
      </c>
      <c r="Q67" s="100">
        <v>12.25</v>
      </c>
      <c r="R67" s="6"/>
      <c r="S67" s="6"/>
      <c r="T67" s="156"/>
      <c r="U67" s="6"/>
    </row>
    <row r="68" spans="1:21" customFormat="1">
      <c r="A68" s="163" t="s">
        <v>2602</v>
      </c>
      <c r="B68" s="100">
        <v>3.67</v>
      </c>
      <c r="C68" s="100">
        <v>27.52</v>
      </c>
      <c r="D68" s="100">
        <v>18.68</v>
      </c>
      <c r="E68" s="100">
        <v>12.77</v>
      </c>
      <c r="F68" s="100">
        <v>0.5</v>
      </c>
      <c r="G68" s="100">
        <v>104.38</v>
      </c>
      <c r="H68" s="100">
        <v>38.630000000000003</v>
      </c>
      <c r="I68" s="100">
        <v>14.82</v>
      </c>
      <c r="J68" s="100">
        <v>0.4</v>
      </c>
      <c r="K68" s="100">
        <v>279.06</v>
      </c>
      <c r="L68" s="100">
        <v>30.01</v>
      </c>
      <c r="M68" s="100">
        <v>34.53</v>
      </c>
      <c r="N68" s="100">
        <v>76.7</v>
      </c>
      <c r="O68" s="100">
        <v>0</v>
      </c>
      <c r="P68" s="100">
        <v>0.88</v>
      </c>
      <c r="Q68" s="100">
        <v>12.25</v>
      </c>
      <c r="R68" s="6"/>
      <c r="S68" s="6"/>
      <c r="T68" s="156"/>
      <c r="U68" s="6"/>
    </row>
    <row r="69" spans="1:21" customFormat="1">
      <c r="A69" s="163" t="s">
        <v>2603</v>
      </c>
      <c r="B69" s="100">
        <v>3.64</v>
      </c>
      <c r="C69" s="100">
        <v>27.08</v>
      </c>
      <c r="D69" s="100">
        <v>18.420000000000002</v>
      </c>
      <c r="E69" s="100">
        <v>13.39</v>
      </c>
      <c r="F69" s="100">
        <v>1.58</v>
      </c>
      <c r="G69" s="100">
        <v>104.38</v>
      </c>
      <c r="H69" s="100">
        <v>38.630000000000003</v>
      </c>
      <c r="I69" s="100">
        <v>14.2</v>
      </c>
      <c r="J69" s="100">
        <v>0.5</v>
      </c>
      <c r="K69" s="100">
        <v>252.15</v>
      </c>
      <c r="L69" s="100">
        <v>29.84</v>
      </c>
      <c r="M69" s="100">
        <v>35.14</v>
      </c>
      <c r="N69" s="100">
        <v>69.400000000000006</v>
      </c>
      <c r="O69" s="100">
        <v>0</v>
      </c>
      <c r="P69" s="100">
        <v>0.87</v>
      </c>
      <c r="Q69" s="100">
        <v>12.25</v>
      </c>
      <c r="R69" s="6"/>
      <c r="S69" s="6"/>
      <c r="T69" s="156"/>
      <c r="U69" s="6"/>
    </row>
    <row r="70" spans="1:21" customFormat="1">
      <c r="A70" s="163" t="s">
        <v>2604</v>
      </c>
      <c r="B70" s="100">
        <v>3.64</v>
      </c>
      <c r="C70" s="100">
        <v>26.59</v>
      </c>
      <c r="D70" s="100">
        <v>18.16</v>
      </c>
      <c r="E70" s="100">
        <v>17.079999999999998</v>
      </c>
      <c r="F70" s="100">
        <v>4.3099999999999996</v>
      </c>
      <c r="G70" s="100">
        <v>94.79</v>
      </c>
      <c r="H70" s="100">
        <v>36.31</v>
      </c>
      <c r="I70" s="100">
        <v>13.57</v>
      </c>
      <c r="J70" s="100">
        <v>0.38</v>
      </c>
      <c r="K70" s="100">
        <v>337.4</v>
      </c>
      <c r="L70" s="100">
        <v>29.67</v>
      </c>
      <c r="M70" s="100">
        <v>32.880000000000003</v>
      </c>
      <c r="N70" s="100">
        <v>64.7</v>
      </c>
      <c r="O70" s="100">
        <v>0</v>
      </c>
      <c r="P70" s="100">
        <v>0.81</v>
      </c>
      <c r="Q70" s="100">
        <v>12.25</v>
      </c>
      <c r="R70" s="6"/>
      <c r="S70" s="6"/>
      <c r="T70" s="156"/>
      <c r="U70" s="6"/>
    </row>
    <row r="71" spans="1:21" customFormat="1">
      <c r="A71" s="163" t="s">
        <v>2605</v>
      </c>
      <c r="B71" s="100">
        <v>3.67</v>
      </c>
      <c r="C71" s="100">
        <v>26.5</v>
      </c>
      <c r="D71" s="100">
        <v>18.13</v>
      </c>
      <c r="E71" s="100">
        <v>14</v>
      </c>
      <c r="F71" s="100">
        <v>1.31</v>
      </c>
      <c r="G71" s="100">
        <v>88.97</v>
      </c>
      <c r="H71" s="100">
        <v>35.85</v>
      </c>
      <c r="I71" s="100">
        <v>13.24</v>
      </c>
      <c r="J71" s="100">
        <v>0.27</v>
      </c>
      <c r="K71" s="100">
        <v>291.06</v>
      </c>
      <c r="L71" s="100">
        <v>29.7</v>
      </c>
      <c r="M71" s="100">
        <v>32.979999999999997</v>
      </c>
      <c r="N71" s="100">
        <v>57.4</v>
      </c>
      <c r="O71" s="100">
        <v>0</v>
      </c>
      <c r="P71" s="100">
        <v>0.83</v>
      </c>
      <c r="Q71" s="100">
        <v>12.25</v>
      </c>
      <c r="R71" s="6"/>
      <c r="S71" s="6"/>
      <c r="T71" s="156"/>
      <c r="U71" s="6"/>
    </row>
    <row r="72" spans="1:21" customFormat="1">
      <c r="A72" s="163" t="s">
        <v>2606</v>
      </c>
      <c r="B72" s="100">
        <v>3.7</v>
      </c>
      <c r="C72" s="100">
        <v>26.34</v>
      </c>
      <c r="D72" s="100">
        <v>18.079999999999998</v>
      </c>
      <c r="E72" s="100">
        <v>13.28</v>
      </c>
      <c r="F72" s="100">
        <v>2.2000000000000002</v>
      </c>
      <c r="G72" s="100">
        <v>88.97</v>
      </c>
      <c r="H72" s="100">
        <v>35.85</v>
      </c>
      <c r="I72" s="100">
        <v>12.65</v>
      </c>
      <c r="J72" s="100">
        <v>0.57999999999999996</v>
      </c>
      <c r="K72" s="100">
        <v>278.02999999999997</v>
      </c>
      <c r="L72" s="100">
        <v>29.64</v>
      </c>
      <c r="M72" s="100">
        <v>33.1</v>
      </c>
      <c r="N72" s="100">
        <v>48.6</v>
      </c>
      <c r="O72" s="100">
        <v>0</v>
      </c>
      <c r="P72" s="100">
        <v>0.82</v>
      </c>
      <c r="Q72" s="100">
        <v>12.25</v>
      </c>
      <c r="R72" s="6"/>
      <c r="S72" s="6"/>
      <c r="T72" s="156"/>
      <c r="U72" s="6"/>
    </row>
    <row r="73" spans="1:21" customFormat="1">
      <c r="A73" s="163" t="s">
        <v>2607</v>
      </c>
      <c r="B73" s="100">
        <v>3.7</v>
      </c>
      <c r="C73" s="100">
        <v>26.12</v>
      </c>
      <c r="D73" s="100">
        <v>17.97</v>
      </c>
      <c r="E73" s="100">
        <v>12.56</v>
      </c>
      <c r="F73" s="100">
        <v>0.63</v>
      </c>
      <c r="G73" s="100">
        <v>88.97</v>
      </c>
      <c r="H73" s="100">
        <v>35.85</v>
      </c>
      <c r="I73" s="100">
        <v>12.47</v>
      </c>
      <c r="J73" s="100">
        <v>0.61</v>
      </c>
      <c r="K73" s="100">
        <v>266.8</v>
      </c>
      <c r="L73" s="100">
        <v>29.52</v>
      </c>
      <c r="M73" s="100">
        <v>32.270000000000003</v>
      </c>
      <c r="N73" s="100">
        <v>42.8</v>
      </c>
      <c r="O73" s="100">
        <v>0</v>
      </c>
      <c r="P73" s="100">
        <v>0.8</v>
      </c>
      <c r="Q73" s="100">
        <v>12.25</v>
      </c>
      <c r="R73" s="6"/>
      <c r="S73" s="6"/>
      <c r="T73" s="156"/>
      <c r="U73" s="6"/>
    </row>
    <row r="74" spans="1:21" customFormat="1">
      <c r="A74" s="163" t="s">
        <v>2608</v>
      </c>
      <c r="B74" s="100">
        <v>3.7</v>
      </c>
      <c r="C74" s="100">
        <v>25.85</v>
      </c>
      <c r="D74" s="100">
        <v>17.82</v>
      </c>
      <c r="E74" s="100">
        <v>13.84</v>
      </c>
      <c r="F74" s="100">
        <v>1.24</v>
      </c>
      <c r="G74" s="100">
        <v>81.02</v>
      </c>
      <c r="H74" s="100">
        <v>33.700000000000003</v>
      </c>
      <c r="I74" s="100">
        <v>12.29</v>
      </c>
      <c r="J74" s="100">
        <v>0.5</v>
      </c>
      <c r="K74" s="100">
        <v>290.44</v>
      </c>
      <c r="L74" s="100">
        <v>29.25</v>
      </c>
      <c r="M74" s="100">
        <v>32.979999999999997</v>
      </c>
      <c r="N74" s="100">
        <v>37.799999999999997</v>
      </c>
      <c r="O74" s="100">
        <v>0</v>
      </c>
      <c r="P74" s="100">
        <v>0.78</v>
      </c>
      <c r="Q74" s="100">
        <v>12.25</v>
      </c>
      <c r="R74" s="6"/>
      <c r="S74" s="6"/>
      <c r="T74" s="156"/>
      <c r="U74" s="6"/>
    </row>
    <row r="75" spans="1:21" customFormat="1">
      <c r="A75" s="163" t="s">
        <v>2609</v>
      </c>
      <c r="B75" s="100">
        <v>3.78</v>
      </c>
      <c r="C75" s="100">
        <v>26.08</v>
      </c>
      <c r="D75" s="100">
        <v>18.010000000000002</v>
      </c>
      <c r="E75" s="100">
        <v>13.67</v>
      </c>
      <c r="F75" s="100">
        <v>1.44</v>
      </c>
      <c r="G75" s="100">
        <v>76.2</v>
      </c>
      <c r="H75" s="100">
        <v>33.28</v>
      </c>
      <c r="I75" s="100">
        <v>11.94</v>
      </c>
      <c r="J75" s="100">
        <v>0.27</v>
      </c>
      <c r="K75" s="100">
        <v>257.26</v>
      </c>
      <c r="L75" s="100">
        <v>29.02</v>
      </c>
      <c r="M75" s="100">
        <v>34</v>
      </c>
      <c r="N75" s="100">
        <v>30.7</v>
      </c>
      <c r="O75" s="100">
        <v>0</v>
      </c>
      <c r="P75" s="100">
        <v>0.78</v>
      </c>
      <c r="Q75" s="100">
        <v>12.25</v>
      </c>
      <c r="R75" s="6"/>
      <c r="S75" s="6"/>
      <c r="T75" s="156"/>
      <c r="U75" s="6"/>
    </row>
    <row r="76" spans="1:21" customFormat="1">
      <c r="A76" s="163" t="s">
        <v>2610</v>
      </c>
      <c r="B76" s="100">
        <v>3.86</v>
      </c>
      <c r="C76" s="100">
        <v>26.4</v>
      </c>
      <c r="D76" s="100">
        <v>18.239999999999998</v>
      </c>
      <c r="E76" s="100">
        <v>13.52</v>
      </c>
      <c r="F76" s="100">
        <v>1.25</v>
      </c>
      <c r="G76" s="100">
        <v>76.2</v>
      </c>
      <c r="H76" s="100">
        <v>33.28</v>
      </c>
      <c r="I76" s="100">
        <v>11.77</v>
      </c>
      <c r="J76" s="100">
        <v>0.44</v>
      </c>
      <c r="K76" s="100">
        <v>271.05</v>
      </c>
      <c r="L76" s="100">
        <v>28.76</v>
      </c>
      <c r="M76" s="100">
        <v>34.56</v>
      </c>
      <c r="N76" s="100">
        <v>25.5</v>
      </c>
      <c r="O76" s="100">
        <v>0</v>
      </c>
      <c r="P76" s="100">
        <v>0.78</v>
      </c>
      <c r="Q76" s="100">
        <v>12.25</v>
      </c>
      <c r="R76" s="6"/>
      <c r="S76" s="6"/>
      <c r="T76" s="156"/>
      <c r="U76" s="6"/>
    </row>
    <row r="77" spans="1:21" customFormat="1">
      <c r="A77" s="163" t="s">
        <v>2611</v>
      </c>
      <c r="B77" s="100">
        <v>3.97</v>
      </c>
      <c r="C77" s="100">
        <v>26.79</v>
      </c>
      <c r="D77" s="100">
        <v>18.53</v>
      </c>
      <c r="E77" s="100">
        <v>12.04</v>
      </c>
      <c r="F77" s="100">
        <v>0.72</v>
      </c>
      <c r="G77" s="100">
        <v>76.2</v>
      </c>
      <c r="H77" s="100">
        <v>33.28</v>
      </c>
      <c r="I77" s="100">
        <v>11.73</v>
      </c>
      <c r="J77" s="100">
        <v>0.49</v>
      </c>
      <c r="K77" s="100">
        <v>307.60000000000002</v>
      </c>
      <c r="L77" s="100">
        <v>28.68</v>
      </c>
      <c r="M77" s="100">
        <v>32.53</v>
      </c>
      <c r="N77" s="100">
        <v>14.9</v>
      </c>
      <c r="O77" s="100">
        <v>0</v>
      </c>
      <c r="P77" s="100">
        <v>0.78</v>
      </c>
      <c r="Q77" s="100">
        <v>12.25</v>
      </c>
      <c r="R77" s="6"/>
      <c r="S77" s="6"/>
      <c r="T77" s="156"/>
      <c r="U77" s="6"/>
    </row>
    <row r="78" spans="1:21" customFormat="1">
      <c r="A78" s="163" t="s">
        <v>2612</v>
      </c>
      <c r="B78" s="100">
        <v>4.0199999999999996</v>
      </c>
      <c r="C78" s="100">
        <v>27.23</v>
      </c>
      <c r="D78" s="100">
        <v>18.809999999999999</v>
      </c>
      <c r="E78" s="100">
        <v>11.73</v>
      </c>
      <c r="F78" s="100">
        <v>0.92</v>
      </c>
      <c r="G78" s="100">
        <v>70.45</v>
      </c>
      <c r="H78" s="100">
        <v>30.98</v>
      </c>
      <c r="I78" s="100">
        <v>11.72</v>
      </c>
      <c r="J78" s="100">
        <v>0.22</v>
      </c>
      <c r="K78" s="100">
        <v>280.39999999999998</v>
      </c>
      <c r="L78" s="100">
        <v>27.95</v>
      </c>
      <c r="M78" s="100">
        <v>35.57</v>
      </c>
      <c r="N78" s="100">
        <v>9.8000000000000007</v>
      </c>
      <c r="O78" s="100">
        <v>0</v>
      </c>
      <c r="P78" s="100">
        <v>0.78</v>
      </c>
      <c r="Q78" s="100">
        <v>12.25</v>
      </c>
      <c r="R78" s="6"/>
      <c r="S78" s="6"/>
      <c r="T78" s="156"/>
      <c r="U78" s="6"/>
    </row>
    <row r="79" spans="1:21" customFormat="1">
      <c r="A79" s="163" t="s">
        <v>2613</v>
      </c>
      <c r="B79" s="100">
        <v>4.1399999999999997</v>
      </c>
      <c r="C79" s="100">
        <v>27.89</v>
      </c>
      <c r="D79" s="100">
        <v>19.25</v>
      </c>
      <c r="E79" s="100">
        <v>10.71</v>
      </c>
      <c r="F79" s="100">
        <v>0.33</v>
      </c>
      <c r="G79" s="100">
        <v>66.959999999999994</v>
      </c>
      <c r="H79" s="100">
        <v>30.52</v>
      </c>
      <c r="I79" s="100">
        <v>11.46</v>
      </c>
      <c r="J79" s="100">
        <v>0.16</v>
      </c>
      <c r="K79" s="100">
        <v>210.43</v>
      </c>
      <c r="L79" s="100">
        <v>27.46</v>
      </c>
      <c r="M79" s="100">
        <v>36.840000000000003</v>
      </c>
      <c r="N79" s="100">
        <v>4.8</v>
      </c>
      <c r="O79" s="100">
        <v>0</v>
      </c>
      <c r="P79" s="100">
        <v>0.78</v>
      </c>
      <c r="Q79" s="100">
        <v>12.25</v>
      </c>
      <c r="R79" s="6"/>
      <c r="S79" s="6"/>
      <c r="T79" s="156"/>
      <c r="U79" s="6"/>
    </row>
    <row r="80" spans="1:21" customFormat="1">
      <c r="A80" s="163" t="s">
        <v>2614</v>
      </c>
      <c r="B80" s="100">
        <v>4.3</v>
      </c>
      <c r="C80" s="100">
        <v>28.62</v>
      </c>
      <c r="D80" s="100">
        <v>19.760000000000002</v>
      </c>
      <c r="E80" s="100">
        <v>10.4</v>
      </c>
      <c r="F80" s="100">
        <v>0.75</v>
      </c>
      <c r="G80" s="100">
        <v>66.959999999999994</v>
      </c>
      <c r="H80" s="100">
        <v>30.52</v>
      </c>
      <c r="I80" s="100">
        <v>11.38</v>
      </c>
      <c r="J80" s="100">
        <v>0.28000000000000003</v>
      </c>
      <c r="K80" s="100">
        <v>167.87</v>
      </c>
      <c r="L80" s="100">
        <v>26.64</v>
      </c>
      <c r="M80" s="100">
        <v>40.98</v>
      </c>
      <c r="N80" s="100">
        <v>2.6</v>
      </c>
      <c r="O80" s="100">
        <v>0</v>
      </c>
      <c r="P80" s="100">
        <v>0.79</v>
      </c>
      <c r="Q80" s="100">
        <v>12.25</v>
      </c>
      <c r="R80" s="6"/>
      <c r="S80" s="6"/>
      <c r="T80" s="156"/>
      <c r="U80" s="6"/>
    </row>
    <row r="81" spans="1:21" customFormat="1">
      <c r="A81" s="163" t="s">
        <v>2615</v>
      </c>
      <c r="B81" s="100">
        <v>4.49</v>
      </c>
      <c r="C81" s="100">
        <v>29.13</v>
      </c>
      <c r="D81" s="100">
        <v>20.170000000000002</v>
      </c>
      <c r="E81" s="100">
        <v>8.7899999999999991</v>
      </c>
      <c r="F81" s="100">
        <v>1.39</v>
      </c>
      <c r="G81" s="100">
        <v>66.959999999999994</v>
      </c>
      <c r="H81" s="100">
        <v>30.52</v>
      </c>
      <c r="I81" s="100">
        <v>11.54</v>
      </c>
      <c r="J81" s="100">
        <v>0.28000000000000003</v>
      </c>
      <c r="K81" s="100">
        <v>166.25</v>
      </c>
      <c r="L81" s="100">
        <v>25.59</v>
      </c>
      <c r="M81" s="100">
        <v>47.03</v>
      </c>
      <c r="N81" s="100">
        <v>2.2000000000000002</v>
      </c>
      <c r="O81" s="100">
        <v>0</v>
      </c>
      <c r="P81" s="100">
        <v>0.79</v>
      </c>
      <c r="Q81" s="100">
        <v>12.25</v>
      </c>
      <c r="R81" s="6"/>
      <c r="S81" s="6"/>
      <c r="T81" s="156"/>
      <c r="U81" s="6"/>
    </row>
    <row r="82" spans="1:21" customFormat="1">
      <c r="A82" s="163" t="s">
        <v>2616</v>
      </c>
      <c r="B82" s="100">
        <v>4.68</v>
      </c>
      <c r="C82" s="100">
        <v>29.52</v>
      </c>
      <c r="D82" s="100">
        <v>20.53</v>
      </c>
      <c r="E82" s="100">
        <v>10.38</v>
      </c>
      <c r="F82" s="100">
        <v>1.36</v>
      </c>
      <c r="G82" s="100">
        <v>70.56</v>
      </c>
      <c r="H82" s="100">
        <v>28.5</v>
      </c>
      <c r="I82" s="100">
        <v>11.64</v>
      </c>
      <c r="J82" s="100">
        <v>0.28000000000000003</v>
      </c>
      <c r="K82" s="100">
        <v>158.07</v>
      </c>
      <c r="L82" s="100">
        <v>24.64</v>
      </c>
      <c r="M82" s="100">
        <v>54.15</v>
      </c>
      <c r="N82" s="100">
        <v>1.9</v>
      </c>
      <c r="O82" s="100">
        <v>0</v>
      </c>
      <c r="P82" s="100">
        <v>0.8</v>
      </c>
      <c r="Q82" s="100">
        <v>12.25</v>
      </c>
      <c r="R82" s="6"/>
      <c r="S82" s="6"/>
      <c r="T82" s="156"/>
      <c r="U82" s="6"/>
    </row>
    <row r="83" spans="1:21" customFormat="1">
      <c r="A83" s="163" t="s">
        <v>2617</v>
      </c>
      <c r="B83" s="100">
        <v>5.4</v>
      </c>
      <c r="C83" s="100">
        <v>29.84</v>
      </c>
      <c r="D83" s="100">
        <v>21.27</v>
      </c>
      <c r="E83" s="100">
        <v>10.9</v>
      </c>
      <c r="F83" s="100">
        <v>5.57</v>
      </c>
      <c r="G83" s="100">
        <v>72.75</v>
      </c>
      <c r="H83" s="100">
        <v>28.09</v>
      </c>
      <c r="I83" s="100">
        <v>11.63</v>
      </c>
      <c r="J83" s="100">
        <v>0.27</v>
      </c>
      <c r="K83" s="100">
        <v>159.80000000000001</v>
      </c>
      <c r="L83" s="100">
        <v>24.18</v>
      </c>
      <c r="M83" s="100">
        <v>54.05</v>
      </c>
      <c r="N83" s="100">
        <v>1.7</v>
      </c>
      <c r="O83" s="100">
        <v>0</v>
      </c>
      <c r="P83" s="100">
        <v>0.82</v>
      </c>
      <c r="Q83" s="100">
        <v>12.25</v>
      </c>
      <c r="R83" s="6"/>
      <c r="S83" s="6"/>
      <c r="T83" s="156"/>
      <c r="U83" s="6"/>
    </row>
    <row r="84" spans="1:21" customFormat="1">
      <c r="A84" s="163" t="s">
        <v>2618</v>
      </c>
      <c r="B84" s="100">
        <v>6.56</v>
      </c>
      <c r="C84" s="100">
        <v>30.18</v>
      </c>
      <c r="D84" s="100">
        <v>22.38</v>
      </c>
      <c r="E84" s="100">
        <v>10.66</v>
      </c>
      <c r="F84" s="100">
        <v>1.63</v>
      </c>
      <c r="G84" s="100">
        <v>72.75</v>
      </c>
      <c r="H84" s="100">
        <v>28.09</v>
      </c>
      <c r="I84" s="100">
        <v>11.9</v>
      </c>
      <c r="J84" s="100">
        <v>0.22</v>
      </c>
      <c r="K84" s="100">
        <v>168.39</v>
      </c>
      <c r="L84" s="100">
        <v>23.71</v>
      </c>
      <c r="M84" s="100">
        <v>56.65</v>
      </c>
      <c r="N84" s="100">
        <v>1.6</v>
      </c>
      <c r="O84" s="100">
        <v>0</v>
      </c>
      <c r="P84" s="100">
        <v>0.83</v>
      </c>
      <c r="Q84" s="100">
        <v>12.25</v>
      </c>
      <c r="R84" s="6"/>
      <c r="S84" s="6"/>
      <c r="T84" s="156"/>
      <c r="U84" s="6"/>
    </row>
    <row r="85" spans="1:21" customFormat="1">
      <c r="A85" s="163" t="s">
        <v>2619</v>
      </c>
      <c r="B85" s="100">
        <v>8</v>
      </c>
      <c r="C85" s="100">
        <v>30.11</v>
      </c>
      <c r="D85" s="100">
        <v>23.49</v>
      </c>
      <c r="E85" s="100">
        <v>10.35</v>
      </c>
      <c r="F85" s="100">
        <v>0.64</v>
      </c>
      <c r="G85" s="100">
        <v>72.75</v>
      </c>
      <c r="H85" s="100">
        <v>28.09</v>
      </c>
      <c r="I85" s="100">
        <v>12.01</v>
      </c>
      <c r="J85" s="100">
        <v>0.2</v>
      </c>
      <c r="K85" s="100">
        <v>161.69999999999999</v>
      </c>
      <c r="L85" s="100">
        <v>23.52</v>
      </c>
      <c r="M85" s="100">
        <v>56.25</v>
      </c>
      <c r="N85" s="100">
        <v>1.4</v>
      </c>
      <c r="O85" s="100">
        <v>0</v>
      </c>
      <c r="P85" s="100">
        <v>0.87</v>
      </c>
      <c r="Q85" s="100">
        <v>12.25</v>
      </c>
      <c r="R85" s="6"/>
      <c r="S85" s="6"/>
      <c r="T85" s="156"/>
      <c r="U85" s="6"/>
    </row>
    <row r="86" spans="1:21" customFormat="1">
      <c r="A86" s="163" t="s">
        <v>2620</v>
      </c>
      <c r="B86" s="100">
        <v>9.19</v>
      </c>
      <c r="C86" s="100">
        <v>29.98</v>
      </c>
      <c r="D86" s="100">
        <v>24.38</v>
      </c>
      <c r="E86" s="100">
        <v>10.36</v>
      </c>
      <c r="F86" s="100">
        <v>0.46</v>
      </c>
      <c r="G86" s="100">
        <v>89.11</v>
      </c>
      <c r="H86" s="100">
        <v>30.25</v>
      </c>
      <c r="I86" s="100">
        <v>12.6</v>
      </c>
      <c r="J86" s="100">
        <v>0.24</v>
      </c>
      <c r="K86" s="100">
        <v>166.17</v>
      </c>
      <c r="L86" s="100">
        <v>23.09</v>
      </c>
      <c r="M86" s="100">
        <v>61.28</v>
      </c>
      <c r="N86" s="100">
        <v>1.7</v>
      </c>
      <c r="O86" s="100">
        <v>0</v>
      </c>
      <c r="P86" s="100">
        <v>0.91</v>
      </c>
      <c r="Q86" s="100">
        <v>12.25</v>
      </c>
      <c r="R86" s="6"/>
      <c r="S86" s="6"/>
      <c r="T86" s="156"/>
      <c r="U86" s="6"/>
    </row>
    <row r="87" spans="1:21" customFormat="1">
      <c r="A87" s="163" t="s">
        <v>2621</v>
      </c>
      <c r="B87" s="100">
        <v>9.94</v>
      </c>
      <c r="C87" s="100">
        <v>29.64</v>
      </c>
      <c r="D87" s="100">
        <v>24.81</v>
      </c>
      <c r="E87" s="100">
        <v>10.81</v>
      </c>
      <c r="F87" s="100">
        <v>1.42</v>
      </c>
      <c r="G87" s="100">
        <v>99.05</v>
      </c>
      <c r="H87" s="100">
        <v>30.68</v>
      </c>
      <c r="I87" s="100">
        <v>13.26</v>
      </c>
      <c r="J87" s="100">
        <v>0.28999999999999998</v>
      </c>
      <c r="K87" s="100">
        <v>164.02</v>
      </c>
      <c r="L87" s="100">
        <v>22.57</v>
      </c>
      <c r="M87" s="100">
        <v>65.16</v>
      </c>
      <c r="N87" s="100">
        <v>1.6</v>
      </c>
      <c r="O87" s="100">
        <v>0</v>
      </c>
      <c r="P87" s="100">
        <v>0.93</v>
      </c>
      <c r="Q87" s="100">
        <v>12.25</v>
      </c>
      <c r="R87" s="6"/>
      <c r="S87" s="6"/>
      <c r="T87" s="156"/>
      <c r="U87" s="6"/>
    </row>
    <row r="88" spans="1:21" customFormat="1">
      <c r="A88" s="163" t="s">
        <v>2622</v>
      </c>
      <c r="B88" s="100">
        <v>10.63</v>
      </c>
      <c r="C88" s="100">
        <v>29.56</v>
      </c>
      <c r="D88" s="100">
        <v>25.32</v>
      </c>
      <c r="E88" s="100">
        <v>10.53</v>
      </c>
      <c r="F88" s="100">
        <v>1.17</v>
      </c>
      <c r="G88" s="100">
        <v>99.05</v>
      </c>
      <c r="H88" s="100">
        <v>30.68</v>
      </c>
      <c r="I88" s="100">
        <v>13.69</v>
      </c>
      <c r="J88" s="100">
        <v>0.24</v>
      </c>
      <c r="K88" s="100">
        <v>164.07</v>
      </c>
      <c r="L88" s="100">
        <v>22.11</v>
      </c>
      <c r="M88" s="100">
        <v>66.69</v>
      </c>
      <c r="N88" s="100">
        <v>1.7</v>
      </c>
      <c r="O88" s="100">
        <v>0</v>
      </c>
      <c r="P88" s="100">
        <v>0.95</v>
      </c>
      <c r="Q88" s="100">
        <v>12.25</v>
      </c>
      <c r="R88" s="6"/>
      <c r="S88" s="6"/>
      <c r="T88" s="156"/>
      <c r="U88" s="6"/>
    </row>
    <row r="89" spans="1:21" customFormat="1">
      <c r="A89" s="163" t="s">
        <v>2623</v>
      </c>
      <c r="B89" s="100">
        <v>11.31</v>
      </c>
      <c r="C89" s="100">
        <v>29.58</v>
      </c>
      <c r="D89" s="100">
        <v>25.88</v>
      </c>
      <c r="E89" s="100">
        <v>10.57</v>
      </c>
      <c r="F89" s="100">
        <v>1.7</v>
      </c>
      <c r="G89" s="100">
        <v>99.05</v>
      </c>
      <c r="H89" s="100">
        <v>30.68</v>
      </c>
      <c r="I89" s="100">
        <v>13.98</v>
      </c>
      <c r="J89" s="100">
        <v>0.19</v>
      </c>
      <c r="K89" s="100">
        <v>179.69</v>
      </c>
      <c r="L89" s="100">
        <v>21.69</v>
      </c>
      <c r="M89" s="100">
        <v>68.42</v>
      </c>
      <c r="N89" s="100">
        <v>1.7</v>
      </c>
      <c r="O89" s="100">
        <v>0</v>
      </c>
      <c r="P89" s="100">
        <v>0.98</v>
      </c>
      <c r="Q89" s="100">
        <v>12.25</v>
      </c>
      <c r="R89" s="6"/>
      <c r="S89" s="6"/>
      <c r="T89" s="156"/>
      <c r="U89" s="6"/>
    </row>
    <row r="90" spans="1:21" customFormat="1">
      <c r="A90" s="163" t="s">
        <v>2624</v>
      </c>
      <c r="B90" s="100">
        <v>12.07</v>
      </c>
      <c r="C90" s="100">
        <v>29.47</v>
      </c>
      <c r="D90" s="100">
        <v>26.43</v>
      </c>
      <c r="E90" s="100">
        <v>10.78</v>
      </c>
      <c r="F90" s="100">
        <v>2.8</v>
      </c>
      <c r="G90" s="100">
        <v>106.12</v>
      </c>
      <c r="H90" s="100">
        <v>32.869999999999997</v>
      </c>
      <c r="I90" s="100">
        <v>14.22</v>
      </c>
      <c r="J90" s="100">
        <v>0.18</v>
      </c>
      <c r="K90" s="100">
        <v>173.73</v>
      </c>
      <c r="L90" s="100">
        <v>21.42</v>
      </c>
      <c r="M90" s="100">
        <v>68.790000000000006</v>
      </c>
      <c r="N90" s="100">
        <v>1.5</v>
      </c>
      <c r="O90" s="100">
        <v>0</v>
      </c>
      <c r="P90" s="100">
        <v>1.02</v>
      </c>
      <c r="Q90" s="100">
        <v>12.25</v>
      </c>
      <c r="R90" s="6"/>
      <c r="S90" s="6"/>
      <c r="T90" s="156"/>
      <c r="U90" s="6"/>
    </row>
    <row r="91" spans="1:21" customFormat="1">
      <c r="A91" s="163" t="s">
        <v>2625</v>
      </c>
      <c r="B91" s="100">
        <v>12.89</v>
      </c>
      <c r="C91" s="100">
        <v>29.27</v>
      </c>
      <c r="D91" s="100">
        <v>26.98</v>
      </c>
      <c r="E91" s="100">
        <v>10.39</v>
      </c>
      <c r="F91" s="100">
        <v>1.0900000000000001</v>
      </c>
      <c r="G91" s="100">
        <v>110.41</v>
      </c>
      <c r="H91" s="100">
        <v>33.64</v>
      </c>
      <c r="I91" s="100">
        <v>14.5</v>
      </c>
      <c r="J91" s="100">
        <v>0.23</v>
      </c>
      <c r="K91" s="100">
        <v>162.51</v>
      </c>
      <c r="L91" s="100">
        <v>21.19</v>
      </c>
      <c r="M91" s="100">
        <v>71.37</v>
      </c>
      <c r="N91" s="100">
        <v>1.3</v>
      </c>
      <c r="O91" s="100">
        <v>0</v>
      </c>
      <c r="P91" s="100">
        <v>1.05</v>
      </c>
      <c r="Q91" s="100">
        <v>12.25</v>
      </c>
      <c r="R91" s="6"/>
      <c r="S91" s="6"/>
      <c r="T91" s="156"/>
      <c r="U91" s="6"/>
    </row>
    <row r="92" spans="1:21" customFormat="1">
      <c r="A92" s="163" t="s">
        <v>2626</v>
      </c>
      <c r="B92" s="100">
        <v>13.87</v>
      </c>
      <c r="C92" s="100">
        <v>29.04</v>
      </c>
      <c r="D92" s="100">
        <v>27.65</v>
      </c>
      <c r="E92" s="100">
        <v>10.17</v>
      </c>
      <c r="F92" s="100">
        <v>1.59</v>
      </c>
      <c r="G92" s="100">
        <v>110.41</v>
      </c>
      <c r="H92" s="100">
        <v>33.64</v>
      </c>
      <c r="I92" s="100">
        <v>14.91</v>
      </c>
      <c r="J92" s="100">
        <v>0.21</v>
      </c>
      <c r="K92" s="100">
        <v>183.57</v>
      </c>
      <c r="L92" s="100">
        <v>21</v>
      </c>
      <c r="M92" s="100">
        <v>72.02</v>
      </c>
      <c r="N92" s="100">
        <v>1.5</v>
      </c>
      <c r="O92" s="100">
        <v>0</v>
      </c>
      <c r="P92" s="100">
        <v>1.07</v>
      </c>
      <c r="Q92" s="100">
        <v>12.25</v>
      </c>
      <c r="R92" s="6"/>
      <c r="S92" s="6"/>
      <c r="T92" s="156"/>
      <c r="U92" s="6"/>
    </row>
    <row r="93" spans="1:21" customFormat="1">
      <c r="A93" s="163" t="s">
        <v>2627</v>
      </c>
      <c r="B93" s="100">
        <v>15.04</v>
      </c>
      <c r="C93" s="100">
        <v>29.17</v>
      </c>
      <c r="D93" s="100">
        <v>28.65</v>
      </c>
      <c r="E93" s="100">
        <v>10.46</v>
      </c>
      <c r="F93" s="100">
        <v>1.17</v>
      </c>
      <c r="G93" s="100">
        <v>110.41</v>
      </c>
      <c r="H93" s="100">
        <v>33.64</v>
      </c>
      <c r="I93" s="100">
        <v>15.23</v>
      </c>
      <c r="J93" s="100">
        <v>0.26</v>
      </c>
      <c r="K93" s="100">
        <v>167.91</v>
      </c>
      <c r="L93" s="100">
        <v>20.89</v>
      </c>
      <c r="M93" s="100">
        <v>72.86</v>
      </c>
      <c r="N93" s="100">
        <v>1.4</v>
      </c>
      <c r="O93" s="100">
        <v>0</v>
      </c>
      <c r="P93" s="100">
        <v>1.1000000000000001</v>
      </c>
      <c r="Q93" s="100">
        <v>12.25</v>
      </c>
      <c r="R93" s="6"/>
      <c r="S93" s="6"/>
      <c r="T93" s="156"/>
      <c r="U93" s="6"/>
    </row>
    <row r="94" spans="1:21" customFormat="1">
      <c r="A94" s="163" t="s">
        <v>2628</v>
      </c>
      <c r="B94" s="100">
        <v>16.02</v>
      </c>
      <c r="C94" s="100">
        <v>29.15</v>
      </c>
      <c r="D94" s="100">
        <v>29.43</v>
      </c>
      <c r="E94" s="100">
        <v>10.25</v>
      </c>
      <c r="F94" s="100">
        <v>1.77</v>
      </c>
      <c r="G94" s="100">
        <v>112.4</v>
      </c>
      <c r="H94" s="100">
        <v>33.11</v>
      </c>
      <c r="I94" s="100">
        <v>15.5</v>
      </c>
      <c r="J94" s="100">
        <v>0.24</v>
      </c>
      <c r="K94" s="100">
        <v>168.42</v>
      </c>
      <c r="L94" s="100">
        <v>20.61</v>
      </c>
      <c r="M94" s="100">
        <v>75.77</v>
      </c>
      <c r="N94" s="100">
        <v>1.6</v>
      </c>
      <c r="O94" s="100">
        <v>0</v>
      </c>
      <c r="P94" s="100">
        <v>1.1100000000000001</v>
      </c>
      <c r="Q94" s="100">
        <v>12.25</v>
      </c>
      <c r="R94" s="6"/>
      <c r="S94" s="6"/>
      <c r="T94" s="156"/>
      <c r="U94" s="6"/>
    </row>
    <row r="95" spans="1:21" customFormat="1">
      <c r="A95" s="163" t="s">
        <v>2629</v>
      </c>
      <c r="B95" s="100">
        <v>16.61</v>
      </c>
      <c r="C95" s="100">
        <v>28.99</v>
      </c>
      <c r="D95" s="100">
        <v>29.82</v>
      </c>
      <c r="E95" s="100">
        <v>10.6</v>
      </c>
      <c r="F95" s="100">
        <v>1.5</v>
      </c>
      <c r="G95" s="100">
        <v>113.62</v>
      </c>
      <c r="H95" s="100">
        <v>33</v>
      </c>
      <c r="I95" s="100">
        <v>15.74</v>
      </c>
      <c r="J95" s="100">
        <v>0.22</v>
      </c>
      <c r="K95" s="100">
        <v>161.58000000000001</v>
      </c>
      <c r="L95" s="100">
        <v>20.260000000000002</v>
      </c>
      <c r="M95" s="100">
        <v>76.739999999999995</v>
      </c>
      <c r="N95" s="100">
        <v>1.5</v>
      </c>
      <c r="O95" s="100">
        <v>0</v>
      </c>
      <c r="P95" s="100">
        <v>1.1299999999999999</v>
      </c>
      <c r="Q95" s="100">
        <v>12.25</v>
      </c>
      <c r="R95" s="6"/>
      <c r="S95" s="6"/>
      <c r="T95" s="156"/>
      <c r="U95" s="6"/>
    </row>
    <row r="96" spans="1:21" customFormat="1">
      <c r="A96" s="163" t="s">
        <v>2630</v>
      </c>
      <c r="B96" s="100">
        <v>17.079999999999998</v>
      </c>
      <c r="C96" s="100">
        <v>28.59</v>
      </c>
      <c r="D96" s="100">
        <v>29.98</v>
      </c>
      <c r="E96" s="100">
        <v>10.4</v>
      </c>
      <c r="F96" s="100">
        <v>1.36</v>
      </c>
      <c r="G96" s="100">
        <v>113.62</v>
      </c>
      <c r="H96" s="100">
        <v>33</v>
      </c>
      <c r="I96" s="100">
        <v>15.84</v>
      </c>
      <c r="J96" s="100">
        <v>0.22</v>
      </c>
      <c r="K96" s="100">
        <v>165.99</v>
      </c>
      <c r="L96" s="100">
        <v>20.010000000000002</v>
      </c>
      <c r="M96" s="100">
        <v>78.599999999999994</v>
      </c>
      <c r="N96" s="100">
        <v>1.4</v>
      </c>
      <c r="O96" s="100">
        <v>0</v>
      </c>
      <c r="P96" s="100">
        <v>1.1399999999999999</v>
      </c>
      <c r="Q96" s="100">
        <v>12.25</v>
      </c>
      <c r="R96" s="6"/>
      <c r="S96" s="6"/>
      <c r="T96" s="156"/>
      <c r="U96" s="6"/>
    </row>
    <row r="97" spans="1:28" customFormat="1">
      <c r="A97" s="163" t="s">
        <v>2631</v>
      </c>
      <c r="B97" s="100">
        <v>17.5</v>
      </c>
      <c r="C97" s="100">
        <v>28.55</v>
      </c>
      <c r="D97" s="100">
        <v>30.3</v>
      </c>
      <c r="E97" s="100">
        <v>10.4</v>
      </c>
      <c r="F97" s="100">
        <v>2.58</v>
      </c>
      <c r="G97" s="100">
        <v>113.62</v>
      </c>
      <c r="H97" s="100">
        <v>33</v>
      </c>
      <c r="I97" s="100">
        <v>15.91</v>
      </c>
      <c r="J97" s="100">
        <v>0.2</v>
      </c>
      <c r="K97" s="100">
        <v>177.61</v>
      </c>
      <c r="L97" s="100">
        <v>19.8</v>
      </c>
      <c r="M97" s="100">
        <v>80.02</v>
      </c>
      <c r="N97" s="100">
        <v>1.4</v>
      </c>
      <c r="O97" s="100">
        <v>0</v>
      </c>
      <c r="P97" s="100">
        <v>1.1499999999999999</v>
      </c>
      <c r="Q97" s="100">
        <v>12.25</v>
      </c>
      <c r="R97" s="6"/>
      <c r="S97" s="6"/>
      <c r="T97" s="156"/>
      <c r="U97" s="6"/>
    </row>
    <row r="98" spans="1:28" customFormat="1">
      <c r="A98" s="163" t="s">
        <v>2632</v>
      </c>
      <c r="B98" s="100">
        <v>17.940000000000001</v>
      </c>
      <c r="C98" s="100">
        <v>28.4</v>
      </c>
      <c r="D98" s="100">
        <v>30.58</v>
      </c>
      <c r="E98" s="100">
        <v>10.51</v>
      </c>
      <c r="F98" s="100">
        <v>1.38</v>
      </c>
      <c r="G98" s="100">
        <v>110.76</v>
      </c>
      <c r="H98" s="100">
        <v>32.51</v>
      </c>
      <c r="I98" s="100">
        <v>15.93</v>
      </c>
      <c r="J98" s="100">
        <v>0.2</v>
      </c>
      <c r="K98" s="100">
        <v>170.32</v>
      </c>
      <c r="L98" s="100">
        <v>19.53</v>
      </c>
      <c r="M98" s="100">
        <v>81.94</v>
      </c>
      <c r="N98" s="100">
        <v>1.3</v>
      </c>
      <c r="O98" s="100">
        <v>0</v>
      </c>
      <c r="P98" s="100">
        <v>1.17</v>
      </c>
      <c r="Q98" s="100">
        <v>12.25</v>
      </c>
      <c r="R98" s="6"/>
      <c r="S98" s="6"/>
      <c r="T98" s="156"/>
      <c r="U98" s="6"/>
    </row>
    <row r="99" spans="1:28" customFormat="1">
      <c r="A99" s="163" t="s">
        <v>2633</v>
      </c>
      <c r="B99" s="100">
        <v>18.39</v>
      </c>
      <c r="C99" s="100">
        <v>28.25</v>
      </c>
      <c r="D99" s="100">
        <v>30.86</v>
      </c>
      <c r="E99" s="100">
        <v>10.27</v>
      </c>
      <c r="F99" s="100">
        <v>1.92</v>
      </c>
      <c r="G99" s="100">
        <v>109.02</v>
      </c>
      <c r="H99" s="100">
        <v>32.409999999999997</v>
      </c>
      <c r="I99" s="100">
        <v>16.010000000000002</v>
      </c>
      <c r="J99" s="100">
        <v>0.2</v>
      </c>
      <c r="K99" s="100">
        <v>179.36</v>
      </c>
      <c r="L99" s="100">
        <v>19.3</v>
      </c>
      <c r="M99" s="100">
        <v>83.39</v>
      </c>
      <c r="N99" s="100">
        <v>1.4</v>
      </c>
      <c r="O99" s="100">
        <v>0</v>
      </c>
      <c r="P99" s="100">
        <v>1.18</v>
      </c>
      <c r="Q99" s="100">
        <v>12.25</v>
      </c>
      <c r="R99" s="6"/>
      <c r="S99" s="6"/>
      <c r="T99" s="156"/>
      <c r="U99" s="6"/>
    </row>
    <row r="100" spans="1:28" customFormat="1">
      <c r="A100" s="163" t="s">
        <v>2634</v>
      </c>
      <c r="B100" s="100">
        <v>18.600000000000001</v>
      </c>
      <c r="C100" s="100">
        <v>28.04</v>
      </c>
      <c r="D100" s="100">
        <v>30.92</v>
      </c>
      <c r="E100" s="100">
        <v>10.210000000000001</v>
      </c>
      <c r="F100" s="100">
        <v>1.21</v>
      </c>
      <c r="G100" s="100">
        <v>109.02</v>
      </c>
      <c r="H100" s="100">
        <v>32.409999999999997</v>
      </c>
      <c r="I100" s="100">
        <v>16.149999999999999</v>
      </c>
      <c r="J100" s="100">
        <v>0.17</v>
      </c>
      <c r="K100" s="100">
        <v>174.44</v>
      </c>
      <c r="L100" s="100">
        <v>18.920000000000002</v>
      </c>
      <c r="M100" s="100">
        <v>84.28</v>
      </c>
      <c r="N100" s="100">
        <v>1.4</v>
      </c>
      <c r="O100" s="100">
        <v>0</v>
      </c>
      <c r="P100" s="100">
        <v>1.19</v>
      </c>
      <c r="Q100" s="100">
        <v>12.25</v>
      </c>
      <c r="R100" s="6"/>
      <c r="S100" s="6"/>
      <c r="T100" s="156"/>
      <c r="U100" s="6"/>
      <c r="AB100" s="161"/>
    </row>
    <row r="101" spans="1:28" customFormat="1">
      <c r="A101" s="163" t="s">
        <v>2635</v>
      </c>
      <c r="B101" s="100">
        <v>18.55</v>
      </c>
      <c r="C101" s="100">
        <v>27.5</v>
      </c>
      <c r="D101" s="100">
        <v>30.59</v>
      </c>
      <c r="E101" s="100">
        <v>10.62</v>
      </c>
      <c r="F101" s="100">
        <v>1.75</v>
      </c>
      <c r="G101" s="100">
        <v>109.02</v>
      </c>
      <c r="H101" s="100">
        <v>32.409999999999997</v>
      </c>
      <c r="I101" s="100">
        <v>16.239999999999998</v>
      </c>
      <c r="J101" s="100">
        <v>0.17</v>
      </c>
      <c r="K101" s="100">
        <v>159.5</v>
      </c>
      <c r="L101" s="100">
        <v>18.760000000000002</v>
      </c>
      <c r="M101" s="100">
        <v>84.68</v>
      </c>
      <c r="N101" s="100">
        <v>1.3</v>
      </c>
      <c r="O101" s="100">
        <v>0</v>
      </c>
      <c r="P101" s="100">
        <v>1.19</v>
      </c>
      <c r="Q101" s="100">
        <v>12.25</v>
      </c>
      <c r="R101" s="6"/>
      <c r="S101" s="6"/>
      <c r="T101" s="156"/>
      <c r="U101" s="6"/>
    </row>
    <row r="102" spans="1:28" customFormat="1">
      <c r="A102" s="163" t="s">
        <v>2636</v>
      </c>
      <c r="B102" s="100">
        <v>18.399999999999999</v>
      </c>
      <c r="C102" s="100">
        <v>26.99</v>
      </c>
      <c r="D102" s="100">
        <v>30.2</v>
      </c>
      <c r="E102" s="100">
        <v>10.54</v>
      </c>
      <c r="F102" s="100">
        <v>3.13</v>
      </c>
      <c r="G102" s="100">
        <v>103.26</v>
      </c>
      <c r="H102" s="100">
        <v>31.64</v>
      </c>
      <c r="I102" s="100">
        <v>16.27</v>
      </c>
      <c r="J102" s="100">
        <v>0.2</v>
      </c>
      <c r="K102" s="100">
        <v>137.85</v>
      </c>
      <c r="L102" s="100">
        <v>19.04</v>
      </c>
      <c r="M102" s="100">
        <v>81.56</v>
      </c>
      <c r="N102" s="100">
        <v>0.9</v>
      </c>
      <c r="O102" s="100">
        <v>0</v>
      </c>
      <c r="P102" s="100">
        <v>1.2</v>
      </c>
      <c r="Q102" s="100">
        <v>12.25</v>
      </c>
      <c r="R102" s="6"/>
      <c r="S102" s="6"/>
      <c r="T102" s="156"/>
      <c r="U102" s="6"/>
    </row>
    <row r="103" spans="1:28" customFormat="1">
      <c r="A103" s="163" t="s">
        <v>2637</v>
      </c>
      <c r="B103" s="100">
        <v>19.309999999999999</v>
      </c>
      <c r="C103" s="100">
        <v>27.03</v>
      </c>
      <c r="D103" s="100">
        <v>30.96</v>
      </c>
      <c r="E103" s="100">
        <v>10.19</v>
      </c>
      <c r="F103" s="100">
        <v>1.69</v>
      </c>
      <c r="G103" s="100">
        <v>99.77</v>
      </c>
      <c r="H103" s="100">
        <v>31.49</v>
      </c>
      <c r="I103" s="100">
        <v>16.23</v>
      </c>
      <c r="J103" s="100">
        <v>0.19</v>
      </c>
      <c r="K103" s="100">
        <v>135.16999999999999</v>
      </c>
      <c r="L103" s="100">
        <v>19.37</v>
      </c>
      <c r="M103" s="100">
        <v>78.739999999999995</v>
      </c>
      <c r="N103" s="100">
        <v>0.9</v>
      </c>
      <c r="O103" s="100">
        <v>0</v>
      </c>
      <c r="P103" s="100">
        <v>1.22</v>
      </c>
      <c r="Q103" s="100">
        <v>12.25</v>
      </c>
      <c r="R103" s="6"/>
      <c r="S103" s="6"/>
      <c r="T103" s="156"/>
      <c r="U103" s="6"/>
    </row>
    <row r="104" spans="1:28" customFormat="1">
      <c r="A104" s="163" t="s">
        <v>2638</v>
      </c>
      <c r="B104" s="100">
        <v>21.18</v>
      </c>
      <c r="C104" s="100">
        <v>27.57</v>
      </c>
      <c r="D104" s="100">
        <v>32.74</v>
      </c>
      <c r="E104" s="100">
        <v>10.210000000000001</v>
      </c>
      <c r="F104" s="100">
        <v>1.66</v>
      </c>
      <c r="G104" s="100">
        <v>99.77</v>
      </c>
      <c r="H104" s="100">
        <v>31.49</v>
      </c>
      <c r="I104" s="100">
        <v>16.38</v>
      </c>
      <c r="J104" s="100">
        <v>0.11</v>
      </c>
      <c r="K104" s="100">
        <v>188.06</v>
      </c>
      <c r="L104" s="100">
        <v>19.41</v>
      </c>
      <c r="M104" s="100">
        <v>78.34</v>
      </c>
      <c r="N104" s="100">
        <v>1</v>
      </c>
      <c r="O104" s="100">
        <v>0</v>
      </c>
      <c r="P104" s="100">
        <v>1.24</v>
      </c>
      <c r="Q104" s="100">
        <v>12.25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3.64</v>
      </c>
      <c r="C106" s="158">
        <f>MIN(C9:C104)</f>
        <v>25.61</v>
      </c>
      <c r="D106" s="158">
        <f t="shared" ref="D106:Q106" si="0">MIN(D9:D104)</f>
        <v>17.82</v>
      </c>
      <c r="E106" s="158">
        <f t="shared" si="0"/>
        <v>8.7899999999999991</v>
      </c>
      <c r="F106" s="158">
        <f t="shared" si="0"/>
        <v>0.02</v>
      </c>
      <c r="G106" s="158">
        <f t="shared" si="0"/>
        <v>66.959999999999994</v>
      </c>
      <c r="H106" s="158">
        <f t="shared" si="0"/>
        <v>26.1</v>
      </c>
      <c r="I106" s="158">
        <f t="shared" si="0"/>
        <v>11.38</v>
      </c>
      <c r="J106" s="158">
        <f t="shared" si="0"/>
        <v>0.01</v>
      </c>
      <c r="K106" s="158">
        <f t="shared" si="0"/>
        <v>28.71</v>
      </c>
      <c r="L106" s="158">
        <f t="shared" si="0"/>
        <v>16.23</v>
      </c>
      <c r="M106" s="158">
        <f t="shared" si="0"/>
        <v>32.270000000000003</v>
      </c>
      <c r="N106" s="158">
        <f t="shared" si="0"/>
        <v>0.9</v>
      </c>
      <c r="O106" s="158">
        <f t="shared" si="0"/>
        <v>0</v>
      </c>
      <c r="P106" s="158">
        <f t="shared" si="0"/>
        <v>0.78</v>
      </c>
      <c r="Q106" s="158">
        <f t="shared" si="0"/>
        <v>12.25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38.68</v>
      </c>
      <c r="C107" s="157">
        <f t="shared" ref="C107:Q107" si="1">MAX(C9:C104)</f>
        <v>30.96</v>
      </c>
      <c r="D107" s="157">
        <f t="shared" si="1"/>
        <v>46.42</v>
      </c>
      <c r="E107" s="157">
        <f t="shared" si="1"/>
        <v>17.079999999999998</v>
      </c>
      <c r="F107" s="157">
        <f t="shared" si="1"/>
        <v>5.57</v>
      </c>
      <c r="G107" s="157">
        <f t="shared" si="1"/>
        <v>133.66</v>
      </c>
      <c r="H107" s="157">
        <f t="shared" si="1"/>
        <v>38.85</v>
      </c>
      <c r="I107" s="157">
        <f t="shared" si="1"/>
        <v>19.149999999999999</v>
      </c>
      <c r="J107" s="157">
        <f t="shared" si="1"/>
        <v>0.87</v>
      </c>
      <c r="K107" s="157">
        <f t="shared" si="1"/>
        <v>337.4</v>
      </c>
      <c r="L107" s="157">
        <f t="shared" si="1"/>
        <v>30.7</v>
      </c>
      <c r="M107" s="157">
        <f t="shared" si="1"/>
        <v>99.38</v>
      </c>
      <c r="N107" s="157">
        <f t="shared" si="1"/>
        <v>393.3</v>
      </c>
      <c r="O107" s="157">
        <f t="shared" si="1"/>
        <v>0</v>
      </c>
      <c r="P107" s="157">
        <f t="shared" si="1"/>
        <v>1.49</v>
      </c>
      <c r="Q107" s="157">
        <f t="shared" si="1"/>
        <v>12.25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19.560000000000009</v>
      </c>
      <c r="C108" s="158">
        <f t="shared" ref="C108:Q108" si="2">AVERAGE(C9:C104)</f>
        <v>28.436562499999997</v>
      </c>
      <c r="D108" s="158">
        <f t="shared" si="2"/>
        <v>31.894062500000008</v>
      </c>
      <c r="E108" s="158">
        <f t="shared" si="2"/>
        <v>10.868541666666664</v>
      </c>
      <c r="F108" s="158">
        <f t="shared" si="2"/>
        <v>1.295520833333333</v>
      </c>
      <c r="G108" s="158">
        <f t="shared" si="2"/>
        <v>94.783854166666728</v>
      </c>
      <c r="H108" s="158">
        <f t="shared" si="2"/>
        <v>32.468020833333334</v>
      </c>
      <c r="I108" s="158">
        <f t="shared" si="2"/>
        <v>15.804895833333347</v>
      </c>
      <c r="J108" s="158">
        <f t="shared" si="2"/>
        <v>0.29520833333333324</v>
      </c>
      <c r="K108" s="158">
        <f t="shared" si="2"/>
        <v>169.97468749999999</v>
      </c>
      <c r="L108" s="158">
        <f t="shared" si="2"/>
        <v>22.543229166666674</v>
      </c>
      <c r="M108" s="158">
        <f t="shared" si="2"/>
        <v>66.391249999999999</v>
      </c>
      <c r="N108" s="158">
        <f t="shared" si="2"/>
        <v>86.023958333333312</v>
      </c>
      <c r="O108" s="158">
        <f t="shared" si="2"/>
        <v>0</v>
      </c>
      <c r="P108" s="158">
        <f t="shared" si="2"/>
        <v>1.1271875</v>
      </c>
      <c r="Q108" s="158">
        <f t="shared" si="2"/>
        <v>12.25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11.190941731691076</v>
      </c>
      <c r="C109" s="158">
        <f t="shared" ref="C109:Q109" si="3">STDEV(C9:C104)</f>
        <v>1.4186656652421115</v>
      </c>
      <c r="D109" s="158">
        <f t="shared" si="3"/>
        <v>8.9591586280391091</v>
      </c>
      <c r="E109" s="158">
        <f t="shared" si="3"/>
        <v>1.1859972301083357</v>
      </c>
      <c r="F109" s="158">
        <f t="shared" si="3"/>
        <v>0.82744485558560821</v>
      </c>
      <c r="G109" s="158">
        <f t="shared" si="3"/>
        <v>14.03863183990484</v>
      </c>
      <c r="H109" s="158">
        <f t="shared" si="3"/>
        <v>2.8467438905719593</v>
      </c>
      <c r="I109" s="158">
        <f t="shared" si="3"/>
        <v>2.5039875545307893</v>
      </c>
      <c r="J109" s="158">
        <f t="shared" si="3"/>
        <v>0.17570896491322582</v>
      </c>
      <c r="K109" s="158">
        <f t="shared" si="3"/>
        <v>73.800348493730482</v>
      </c>
      <c r="L109" s="158">
        <f t="shared" si="3"/>
        <v>4.9828485817888186</v>
      </c>
      <c r="M109" s="158">
        <f t="shared" si="3"/>
        <v>23.538562414181449</v>
      </c>
      <c r="N109" s="158">
        <f t="shared" si="3"/>
        <v>133.23466811748807</v>
      </c>
      <c r="O109" s="158">
        <f t="shared" si="3"/>
        <v>0</v>
      </c>
      <c r="P109" s="158">
        <f t="shared" si="3"/>
        <v>0.24093110229406306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Q4" sqref="Q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26/01/2025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2639</v>
      </c>
      <c r="B9" s="100">
        <v>23.57</v>
      </c>
      <c r="C9" s="100">
        <v>28.24</v>
      </c>
      <c r="D9" s="100">
        <v>35.01</v>
      </c>
      <c r="E9" s="100">
        <v>10.36</v>
      </c>
      <c r="F9" s="100">
        <v>2.23</v>
      </c>
      <c r="G9" s="100">
        <v>99.77</v>
      </c>
      <c r="H9" s="100">
        <v>31.49</v>
      </c>
      <c r="I9" s="100">
        <v>16.45</v>
      </c>
      <c r="J9" s="100">
        <v>0.22</v>
      </c>
      <c r="K9" s="100">
        <v>159.08000000000001</v>
      </c>
      <c r="L9" s="100">
        <v>19.45</v>
      </c>
      <c r="M9" s="100">
        <v>79.069999999999993</v>
      </c>
      <c r="N9" s="100">
        <v>1.1000000000000001</v>
      </c>
      <c r="O9" s="100">
        <v>0</v>
      </c>
      <c r="P9" s="100">
        <v>1.25</v>
      </c>
      <c r="Q9" s="100">
        <v>12.05</v>
      </c>
      <c r="R9" s="6"/>
      <c r="S9" s="6"/>
      <c r="T9" s="156"/>
      <c r="U9" s="6"/>
    </row>
    <row r="10" spans="1:21" customFormat="1">
      <c r="A10" s="163" t="s">
        <v>2640</v>
      </c>
      <c r="B10" s="100">
        <v>24.16</v>
      </c>
      <c r="C10" s="100">
        <v>28.43</v>
      </c>
      <c r="D10" s="100">
        <v>35.58</v>
      </c>
      <c r="E10" s="100">
        <v>10.08</v>
      </c>
      <c r="F10" s="100">
        <v>0.66</v>
      </c>
      <c r="G10" s="100">
        <v>106.95</v>
      </c>
      <c r="H10" s="100">
        <v>31.43</v>
      </c>
      <c r="I10" s="100">
        <v>16.600000000000001</v>
      </c>
      <c r="J10" s="100">
        <v>0.23</v>
      </c>
      <c r="K10" s="100">
        <v>170.45</v>
      </c>
      <c r="L10" s="100">
        <v>19.07</v>
      </c>
      <c r="M10" s="100">
        <v>84.27</v>
      </c>
      <c r="N10" s="100">
        <v>1.4</v>
      </c>
      <c r="O10" s="100">
        <v>0</v>
      </c>
      <c r="P10" s="100">
        <v>1.24</v>
      </c>
      <c r="Q10" s="100">
        <v>12.05</v>
      </c>
      <c r="R10" s="6"/>
      <c r="S10" s="6"/>
      <c r="T10" s="156"/>
      <c r="U10" s="6"/>
    </row>
    <row r="11" spans="1:21" customFormat="1">
      <c r="A11" s="163" t="s">
        <v>2641</v>
      </c>
      <c r="B11" s="100">
        <v>24.69</v>
      </c>
      <c r="C11" s="100">
        <v>28.2</v>
      </c>
      <c r="D11" s="100">
        <v>35.89</v>
      </c>
      <c r="E11" s="100">
        <v>10.19</v>
      </c>
      <c r="F11" s="100">
        <v>2.65</v>
      </c>
      <c r="G11" s="100">
        <v>111.31</v>
      </c>
      <c r="H11" s="100">
        <v>31.42</v>
      </c>
      <c r="I11" s="100">
        <v>16.73</v>
      </c>
      <c r="J11" s="100">
        <v>0.13</v>
      </c>
      <c r="K11" s="100">
        <v>200.84</v>
      </c>
      <c r="L11" s="100">
        <v>18.57</v>
      </c>
      <c r="M11" s="100">
        <v>85.37</v>
      </c>
      <c r="N11" s="100">
        <v>1.4</v>
      </c>
      <c r="O11" s="100">
        <v>0</v>
      </c>
      <c r="P11" s="100">
        <v>1.24</v>
      </c>
      <c r="Q11" s="100">
        <v>12.05</v>
      </c>
      <c r="R11" s="6"/>
      <c r="S11" s="6"/>
      <c r="T11" s="156"/>
      <c r="U11" s="6"/>
    </row>
    <row r="12" spans="1:21" customFormat="1">
      <c r="A12" s="163" t="s">
        <v>2642</v>
      </c>
      <c r="B12" s="100">
        <v>26.28</v>
      </c>
      <c r="C12" s="100">
        <v>28.5</v>
      </c>
      <c r="D12" s="100">
        <v>37.32</v>
      </c>
      <c r="E12" s="100">
        <v>9.9</v>
      </c>
      <c r="F12" s="100">
        <v>2.19</v>
      </c>
      <c r="G12" s="100">
        <v>111.31</v>
      </c>
      <c r="H12" s="100">
        <v>31.42</v>
      </c>
      <c r="I12" s="100">
        <v>16.78</v>
      </c>
      <c r="J12" s="100">
        <v>0.16</v>
      </c>
      <c r="K12" s="100">
        <v>175.82</v>
      </c>
      <c r="L12" s="100">
        <v>18.510000000000002</v>
      </c>
      <c r="M12" s="100">
        <v>83.36</v>
      </c>
      <c r="N12" s="100">
        <v>1.1000000000000001</v>
      </c>
      <c r="O12" s="100">
        <v>0</v>
      </c>
      <c r="P12" s="100">
        <v>1.24</v>
      </c>
      <c r="Q12" s="100">
        <v>12.05</v>
      </c>
      <c r="R12" s="6"/>
      <c r="S12" s="6"/>
      <c r="T12" s="156"/>
      <c r="U12" s="6"/>
    </row>
    <row r="13" spans="1:21" customFormat="1">
      <c r="A13" s="163" t="s">
        <v>2643</v>
      </c>
      <c r="B13" s="100">
        <v>28.19</v>
      </c>
      <c r="C13" s="100">
        <v>28.71</v>
      </c>
      <c r="D13" s="100">
        <v>38.950000000000003</v>
      </c>
      <c r="E13" s="100">
        <v>10.59</v>
      </c>
      <c r="F13" s="100">
        <v>1.62</v>
      </c>
      <c r="G13" s="100">
        <v>111.31</v>
      </c>
      <c r="H13" s="100">
        <v>31.42</v>
      </c>
      <c r="I13" s="100">
        <v>16.899999999999999</v>
      </c>
      <c r="J13" s="100">
        <v>0.14000000000000001</v>
      </c>
      <c r="K13" s="100">
        <v>125.83</v>
      </c>
      <c r="L13" s="100">
        <v>18.690000000000001</v>
      </c>
      <c r="M13" s="100">
        <v>82.02</v>
      </c>
      <c r="N13" s="100">
        <v>1</v>
      </c>
      <c r="O13" s="100">
        <v>0</v>
      </c>
      <c r="P13" s="100">
        <v>1.25</v>
      </c>
      <c r="Q13" s="100">
        <v>12.05</v>
      </c>
      <c r="R13" s="6"/>
      <c r="S13" s="6"/>
      <c r="T13" s="156"/>
      <c r="U13" s="6"/>
    </row>
    <row r="14" spans="1:21" customFormat="1">
      <c r="A14" s="163" t="s">
        <v>2644</v>
      </c>
      <c r="B14" s="100">
        <v>29.41</v>
      </c>
      <c r="C14" s="100">
        <v>28.82</v>
      </c>
      <c r="D14" s="100">
        <v>39.99</v>
      </c>
      <c r="E14" s="100">
        <v>10.54</v>
      </c>
      <c r="F14" s="100">
        <v>0.46</v>
      </c>
      <c r="G14" s="100">
        <v>114.27</v>
      </c>
      <c r="H14" s="100">
        <v>30.47</v>
      </c>
      <c r="I14" s="100">
        <v>17.04</v>
      </c>
      <c r="J14" s="100">
        <v>0.36</v>
      </c>
      <c r="K14" s="100">
        <v>39.86</v>
      </c>
      <c r="L14" s="100">
        <v>19.190000000000001</v>
      </c>
      <c r="M14" s="100">
        <v>76.94</v>
      </c>
      <c r="N14" s="100">
        <v>0.5</v>
      </c>
      <c r="O14" s="100">
        <v>0</v>
      </c>
      <c r="P14" s="100">
        <v>1.23</v>
      </c>
      <c r="Q14" s="100">
        <v>12.05</v>
      </c>
      <c r="R14" s="6"/>
      <c r="S14" s="6"/>
      <c r="T14" s="156"/>
      <c r="U14" s="6"/>
    </row>
    <row r="15" spans="1:21" customFormat="1">
      <c r="A15" s="163" t="s">
        <v>2645</v>
      </c>
      <c r="B15" s="100">
        <v>29.93</v>
      </c>
      <c r="C15" s="100">
        <v>28.98</v>
      </c>
      <c r="D15" s="100">
        <v>40.49</v>
      </c>
      <c r="E15" s="100">
        <v>10.119999999999999</v>
      </c>
      <c r="F15" s="100">
        <v>1.47</v>
      </c>
      <c r="G15" s="100">
        <v>116.06</v>
      </c>
      <c r="H15" s="100">
        <v>30.26</v>
      </c>
      <c r="I15" s="100">
        <v>17.010000000000002</v>
      </c>
      <c r="J15" s="100">
        <v>0.28999999999999998</v>
      </c>
      <c r="K15" s="100">
        <v>33.26</v>
      </c>
      <c r="L15" s="100">
        <v>19.46</v>
      </c>
      <c r="M15" s="100">
        <v>75.36</v>
      </c>
      <c r="N15" s="100">
        <v>0.9</v>
      </c>
      <c r="O15" s="100">
        <v>0</v>
      </c>
      <c r="P15" s="100">
        <v>1.22</v>
      </c>
      <c r="Q15" s="100">
        <v>12.05</v>
      </c>
      <c r="R15" s="6"/>
      <c r="S15" s="6"/>
      <c r="T15" s="156"/>
      <c r="U15" s="6"/>
    </row>
    <row r="16" spans="1:21" customFormat="1">
      <c r="A16" s="163" t="s">
        <v>2646</v>
      </c>
      <c r="B16" s="100">
        <v>29.98</v>
      </c>
      <c r="C16" s="100">
        <v>29.01</v>
      </c>
      <c r="D16" s="100">
        <v>40.549999999999997</v>
      </c>
      <c r="E16" s="100">
        <v>10.26</v>
      </c>
      <c r="F16" s="100">
        <v>1.87</v>
      </c>
      <c r="G16" s="100">
        <v>116.06</v>
      </c>
      <c r="H16" s="100">
        <v>30.26</v>
      </c>
      <c r="I16" s="100">
        <v>16.920000000000002</v>
      </c>
      <c r="J16" s="100">
        <v>0.14000000000000001</v>
      </c>
      <c r="K16" s="100">
        <v>103.57</v>
      </c>
      <c r="L16" s="100">
        <v>19.239999999999998</v>
      </c>
      <c r="M16" s="100">
        <v>78.97</v>
      </c>
      <c r="N16" s="100">
        <v>1.4</v>
      </c>
      <c r="O16" s="100">
        <v>0</v>
      </c>
      <c r="P16" s="100">
        <v>1.22</v>
      </c>
      <c r="Q16" s="100">
        <v>12.05</v>
      </c>
      <c r="R16" s="6"/>
      <c r="S16" s="6"/>
      <c r="T16" s="156"/>
      <c r="U16" s="6"/>
    </row>
    <row r="17" spans="1:21" customFormat="1">
      <c r="A17" s="163" t="s">
        <v>2647</v>
      </c>
      <c r="B17" s="100">
        <v>29.51</v>
      </c>
      <c r="C17" s="100">
        <v>28.81</v>
      </c>
      <c r="D17" s="100">
        <v>40.07</v>
      </c>
      <c r="E17" s="100">
        <v>7.72</v>
      </c>
      <c r="F17" s="100">
        <v>0.87</v>
      </c>
      <c r="G17" s="100">
        <v>116.06</v>
      </c>
      <c r="H17" s="100">
        <v>30.26</v>
      </c>
      <c r="I17" s="100">
        <v>16.82</v>
      </c>
      <c r="J17" s="100">
        <v>0.22</v>
      </c>
      <c r="K17" s="100">
        <v>172.07</v>
      </c>
      <c r="L17" s="100">
        <v>18.239999999999998</v>
      </c>
      <c r="M17" s="100">
        <v>85.81</v>
      </c>
      <c r="N17" s="100">
        <v>1.9</v>
      </c>
      <c r="O17" s="100">
        <v>0</v>
      </c>
      <c r="P17" s="100">
        <v>1.2</v>
      </c>
      <c r="Q17" s="100">
        <v>12.05</v>
      </c>
      <c r="R17" s="6"/>
      <c r="S17" s="6"/>
      <c r="T17" s="156"/>
      <c r="U17" s="6"/>
    </row>
    <row r="18" spans="1:21" customFormat="1">
      <c r="A18" s="163" t="s">
        <v>2648</v>
      </c>
      <c r="B18" s="100">
        <v>28.96</v>
      </c>
      <c r="C18" s="100">
        <v>28.66</v>
      </c>
      <c r="D18" s="100">
        <v>39.549999999999997</v>
      </c>
      <c r="E18" s="100">
        <v>10.02</v>
      </c>
      <c r="F18" s="100">
        <v>1.47</v>
      </c>
      <c r="G18" s="100">
        <v>112.95</v>
      </c>
      <c r="H18" s="100">
        <v>30.37</v>
      </c>
      <c r="I18" s="100">
        <v>16.72</v>
      </c>
      <c r="J18" s="100">
        <v>0.17</v>
      </c>
      <c r="K18" s="100">
        <v>161.87</v>
      </c>
      <c r="L18" s="100">
        <v>18.11</v>
      </c>
      <c r="M18" s="100">
        <v>85.32</v>
      </c>
      <c r="N18" s="100">
        <v>1.3</v>
      </c>
      <c r="O18" s="100">
        <v>0</v>
      </c>
      <c r="P18" s="100">
        <v>1.19</v>
      </c>
      <c r="Q18" s="100">
        <v>12.05</v>
      </c>
      <c r="R18" s="6"/>
      <c r="S18" s="6"/>
      <c r="T18" s="156"/>
      <c r="U18" s="6"/>
    </row>
    <row r="19" spans="1:21" customFormat="1">
      <c r="A19" s="163" t="s">
        <v>2649</v>
      </c>
      <c r="B19" s="100">
        <v>28.96</v>
      </c>
      <c r="C19" s="100">
        <v>28.52</v>
      </c>
      <c r="D19" s="100">
        <v>39.47</v>
      </c>
      <c r="E19" s="100">
        <v>9.9700000000000006</v>
      </c>
      <c r="F19" s="100">
        <v>0.78</v>
      </c>
      <c r="G19" s="100">
        <v>111.06</v>
      </c>
      <c r="H19" s="100">
        <v>30.42</v>
      </c>
      <c r="I19" s="100">
        <v>16.559999999999999</v>
      </c>
      <c r="J19" s="100">
        <v>0.16</v>
      </c>
      <c r="K19" s="100">
        <v>179.53</v>
      </c>
      <c r="L19" s="100">
        <v>18.079999999999998</v>
      </c>
      <c r="M19" s="100">
        <v>86.3</v>
      </c>
      <c r="N19" s="100">
        <v>1.3</v>
      </c>
      <c r="O19" s="100">
        <v>0</v>
      </c>
      <c r="P19" s="100">
        <v>1.19</v>
      </c>
      <c r="Q19" s="100">
        <v>12.05</v>
      </c>
      <c r="R19" s="6"/>
      <c r="S19" s="6"/>
      <c r="T19" s="156"/>
      <c r="U19" s="6"/>
    </row>
    <row r="20" spans="1:21" customFormat="1">
      <c r="A20" s="163" t="s">
        <v>2650</v>
      </c>
      <c r="B20" s="100">
        <v>28.85</v>
      </c>
      <c r="C20" s="100">
        <v>28.49</v>
      </c>
      <c r="D20" s="100">
        <v>39.369999999999997</v>
      </c>
      <c r="E20" s="100">
        <v>9.67</v>
      </c>
      <c r="F20" s="100">
        <v>1.26</v>
      </c>
      <c r="G20" s="100">
        <v>111.06</v>
      </c>
      <c r="H20" s="100">
        <v>30.42</v>
      </c>
      <c r="I20" s="100">
        <v>16.510000000000002</v>
      </c>
      <c r="J20" s="100">
        <v>0.13</v>
      </c>
      <c r="K20" s="100">
        <v>122.03</v>
      </c>
      <c r="L20" s="100">
        <v>18.02</v>
      </c>
      <c r="M20" s="100">
        <v>85.42</v>
      </c>
      <c r="N20" s="100">
        <v>1.3</v>
      </c>
      <c r="O20" s="100">
        <v>0</v>
      </c>
      <c r="P20" s="100">
        <v>1.2</v>
      </c>
      <c r="Q20" s="100">
        <v>12.05</v>
      </c>
      <c r="R20" s="6"/>
      <c r="S20" s="6"/>
      <c r="T20" s="156"/>
      <c r="U20" s="6"/>
    </row>
    <row r="21" spans="1:21" customFormat="1">
      <c r="A21" s="163" t="s">
        <v>2651</v>
      </c>
      <c r="B21" s="100">
        <v>28.96</v>
      </c>
      <c r="C21" s="100">
        <v>28.28</v>
      </c>
      <c r="D21" s="100">
        <v>39.35</v>
      </c>
      <c r="E21" s="100">
        <v>10.06</v>
      </c>
      <c r="F21" s="100">
        <v>1.24</v>
      </c>
      <c r="G21" s="100">
        <v>111.06</v>
      </c>
      <c r="H21" s="100">
        <v>30.42</v>
      </c>
      <c r="I21" s="100">
        <v>16.670000000000002</v>
      </c>
      <c r="J21" s="100">
        <v>0.18</v>
      </c>
      <c r="K21" s="100">
        <v>169.92</v>
      </c>
      <c r="L21" s="100">
        <v>18</v>
      </c>
      <c r="M21" s="100">
        <v>84.88</v>
      </c>
      <c r="N21" s="100">
        <v>1.2</v>
      </c>
      <c r="O21" s="100">
        <v>0</v>
      </c>
      <c r="P21" s="100">
        <v>1.19</v>
      </c>
      <c r="Q21" s="100">
        <v>12.05</v>
      </c>
      <c r="R21" s="6"/>
      <c r="S21" s="6"/>
      <c r="T21" s="156"/>
      <c r="U21" s="6"/>
    </row>
    <row r="22" spans="1:21" customFormat="1">
      <c r="A22" s="163" t="s">
        <v>2652</v>
      </c>
      <c r="B22" s="100">
        <v>28.76</v>
      </c>
      <c r="C22" s="100">
        <v>28.26</v>
      </c>
      <c r="D22" s="100">
        <v>39.17</v>
      </c>
      <c r="E22" s="100">
        <v>9.64</v>
      </c>
      <c r="F22" s="100">
        <v>0.35</v>
      </c>
      <c r="G22" s="100">
        <v>107.59</v>
      </c>
      <c r="H22" s="100">
        <v>28.64</v>
      </c>
      <c r="I22" s="100">
        <v>16.809999999999999</v>
      </c>
      <c r="J22" s="100">
        <v>0.25</v>
      </c>
      <c r="K22" s="100">
        <v>166.27</v>
      </c>
      <c r="L22" s="100">
        <v>17.670000000000002</v>
      </c>
      <c r="M22" s="100">
        <v>87.56</v>
      </c>
      <c r="N22" s="100">
        <v>1.4</v>
      </c>
      <c r="O22" s="100">
        <v>0</v>
      </c>
      <c r="P22" s="100">
        <v>1.18</v>
      </c>
      <c r="Q22" s="100">
        <v>12.05</v>
      </c>
      <c r="R22" s="6"/>
      <c r="S22" s="6"/>
      <c r="T22" s="156"/>
      <c r="U22" s="6"/>
    </row>
    <row r="23" spans="1:21" customFormat="1">
      <c r="A23" s="163" t="s">
        <v>2653</v>
      </c>
      <c r="B23" s="100">
        <v>28.24</v>
      </c>
      <c r="C23" s="100">
        <v>27.77</v>
      </c>
      <c r="D23" s="100">
        <v>38.5</v>
      </c>
      <c r="E23" s="100">
        <v>9.94</v>
      </c>
      <c r="F23" s="100">
        <v>1.29</v>
      </c>
      <c r="G23" s="100">
        <v>105.48</v>
      </c>
      <c r="H23" s="100">
        <v>28.26</v>
      </c>
      <c r="I23" s="100">
        <v>16.809999999999999</v>
      </c>
      <c r="J23" s="100">
        <v>0.14000000000000001</v>
      </c>
      <c r="K23" s="100">
        <v>178.95</v>
      </c>
      <c r="L23" s="100">
        <v>17.29</v>
      </c>
      <c r="M23" s="100">
        <v>89.87</v>
      </c>
      <c r="N23" s="100">
        <v>1.4</v>
      </c>
      <c r="O23" s="100">
        <v>0</v>
      </c>
      <c r="P23" s="100">
        <v>1.17</v>
      </c>
      <c r="Q23" s="100">
        <v>12.05</v>
      </c>
      <c r="R23" s="6"/>
      <c r="S23" s="6"/>
      <c r="T23" s="156"/>
      <c r="U23" s="6"/>
    </row>
    <row r="24" spans="1:21" customFormat="1">
      <c r="A24" s="163" t="s">
        <v>2654</v>
      </c>
      <c r="B24" s="100">
        <v>28.04</v>
      </c>
      <c r="C24" s="100">
        <v>27.38</v>
      </c>
      <c r="D24" s="100">
        <v>38.15</v>
      </c>
      <c r="E24" s="100">
        <v>9.86</v>
      </c>
      <c r="F24" s="100">
        <v>1.75</v>
      </c>
      <c r="G24" s="100">
        <v>105.48</v>
      </c>
      <c r="H24" s="100">
        <v>28.26</v>
      </c>
      <c r="I24" s="100">
        <v>16.8</v>
      </c>
      <c r="J24" s="100">
        <v>0.26</v>
      </c>
      <c r="K24" s="100">
        <v>165.3</v>
      </c>
      <c r="L24" s="100">
        <v>17.07</v>
      </c>
      <c r="M24" s="100">
        <v>91.02</v>
      </c>
      <c r="N24" s="100">
        <v>1.4</v>
      </c>
      <c r="O24" s="100">
        <v>0</v>
      </c>
      <c r="P24" s="100">
        <v>1.17</v>
      </c>
      <c r="Q24" s="100">
        <v>12.05</v>
      </c>
      <c r="R24" s="6"/>
      <c r="S24" s="6"/>
      <c r="T24" s="156"/>
      <c r="U24" s="6"/>
    </row>
    <row r="25" spans="1:21" customFormat="1">
      <c r="A25" s="163" t="s">
        <v>2655</v>
      </c>
      <c r="B25" s="100">
        <v>27.53</v>
      </c>
      <c r="C25" s="100">
        <v>27.13</v>
      </c>
      <c r="D25" s="100">
        <v>37.6</v>
      </c>
      <c r="E25" s="100">
        <v>10.119999999999999</v>
      </c>
      <c r="F25" s="100">
        <v>2.71</v>
      </c>
      <c r="G25" s="100">
        <v>105.48</v>
      </c>
      <c r="H25" s="100">
        <v>28.26</v>
      </c>
      <c r="I25" s="100">
        <v>16.72</v>
      </c>
      <c r="J25" s="100">
        <v>0.2</v>
      </c>
      <c r="K25" s="100">
        <v>164.71</v>
      </c>
      <c r="L25" s="100">
        <v>16.739999999999998</v>
      </c>
      <c r="M25" s="100">
        <v>91.87</v>
      </c>
      <c r="N25" s="100">
        <v>1.4</v>
      </c>
      <c r="O25" s="100">
        <v>0</v>
      </c>
      <c r="P25" s="100">
        <v>1.1599999999999999</v>
      </c>
      <c r="Q25" s="100">
        <v>12.05</v>
      </c>
      <c r="R25" s="6"/>
      <c r="S25" s="6"/>
      <c r="T25" s="156"/>
      <c r="U25" s="6"/>
    </row>
    <row r="26" spans="1:21" customFormat="1">
      <c r="A26" s="163" t="s">
        <v>2656</v>
      </c>
      <c r="B26" s="100">
        <v>27.22</v>
      </c>
      <c r="C26" s="100">
        <v>26.04</v>
      </c>
      <c r="D26" s="100">
        <v>36.79</v>
      </c>
      <c r="E26" s="100">
        <v>9.98</v>
      </c>
      <c r="F26" s="100">
        <v>0.31</v>
      </c>
      <c r="G26" s="100">
        <v>100.42</v>
      </c>
      <c r="H26" s="100">
        <v>26.06</v>
      </c>
      <c r="I26" s="100">
        <v>16.649999999999999</v>
      </c>
      <c r="J26" s="100">
        <v>0.2</v>
      </c>
      <c r="K26" s="100">
        <v>185.88</v>
      </c>
      <c r="L26" s="100">
        <v>16.579999999999998</v>
      </c>
      <c r="M26" s="100">
        <v>92.74</v>
      </c>
      <c r="N26" s="100">
        <v>1.3</v>
      </c>
      <c r="O26" s="100">
        <v>0</v>
      </c>
      <c r="P26" s="100">
        <v>1.1599999999999999</v>
      </c>
      <c r="Q26" s="100">
        <v>12.05</v>
      </c>
      <c r="R26" s="6"/>
      <c r="S26" s="6"/>
      <c r="T26" s="156"/>
      <c r="U26" s="6"/>
    </row>
    <row r="27" spans="1:21" customFormat="1">
      <c r="A27" s="163" t="s">
        <v>2657</v>
      </c>
      <c r="B27" s="100">
        <v>26.68</v>
      </c>
      <c r="C27" s="100">
        <v>25.99</v>
      </c>
      <c r="D27" s="100">
        <v>36.33</v>
      </c>
      <c r="E27" s="100">
        <v>9.75</v>
      </c>
      <c r="F27" s="100">
        <v>0.8</v>
      </c>
      <c r="G27" s="100">
        <v>97.2</v>
      </c>
      <c r="H27" s="100">
        <v>25.58</v>
      </c>
      <c r="I27" s="100">
        <v>16.54</v>
      </c>
      <c r="J27" s="100">
        <v>0.13</v>
      </c>
      <c r="K27" s="100">
        <v>194.84</v>
      </c>
      <c r="L27" s="100">
        <v>16.239999999999998</v>
      </c>
      <c r="M27" s="100">
        <v>93.83</v>
      </c>
      <c r="N27" s="100">
        <v>1.3</v>
      </c>
      <c r="O27" s="100">
        <v>0</v>
      </c>
      <c r="P27" s="100">
        <v>1.1399999999999999</v>
      </c>
      <c r="Q27" s="100">
        <v>12.05</v>
      </c>
      <c r="R27" s="6"/>
      <c r="S27" s="6"/>
      <c r="T27" s="156"/>
      <c r="U27" s="6"/>
    </row>
    <row r="28" spans="1:21" customFormat="1">
      <c r="A28" s="163" t="s">
        <v>2658</v>
      </c>
      <c r="B28" s="100">
        <v>25.89</v>
      </c>
      <c r="C28" s="100">
        <v>26.68</v>
      </c>
      <c r="D28" s="100">
        <v>36.06</v>
      </c>
      <c r="E28" s="100">
        <v>10.16</v>
      </c>
      <c r="F28" s="100">
        <v>0.39</v>
      </c>
      <c r="G28" s="100">
        <v>97.2</v>
      </c>
      <c r="H28" s="100">
        <v>25.58</v>
      </c>
      <c r="I28" s="100">
        <v>16.45</v>
      </c>
      <c r="J28" s="100">
        <v>0.11</v>
      </c>
      <c r="K28" s="100">
        <v>181.93</v>
      </c>
      <c r="L28" s="100">
        <v>16.23</v>
      </c>
      <c r="M28" s="100">
        <v>93.64</v>
      </c>
      <c r="N28" s="100">
        <v>1</v>
      </c>
      <c r="O28" s="100">
        <v>0</v>
      </c>
      <c r="P28" s="100">
        <v>1.1299999999999999</v>
      </c>
      <c r="Q28" s="100">
        <v>12.05</v>
      </c>
      <c r="R28" s="6"/>
      <c r="S28" s="6"/>
      <c r="T28" s="156"/>
      <c r="U28" s="6"/>
    </row>
    <row r="29" spans="1:21" customFormat="1">
      <c r="A29" s="163" t="s">
        <v>2659</v>
      </c>
      <c r="B29" s="100">
        <v>25.64</v>
      </c>
      <c r="C29" s="100">
        <v>27.23</v>
      </c>
      <c r="D29" s="100">
        <v>36.14</v>
      </c>
      <c r="E29" s="100">
        <v>9.92</v>
      </c>
      <c r="F29" s="100">
        <v>1.92</v>
      </c>
      <c r="G29" s="100">
        <v>97.2</v>
      </c>
      <c r="H29" s="100">
        <v>25.58</v>
      </c>
      <c r="I29" s="100">
        <v>16.399999999999999</v>
      </c>
      <c r="J29" s="100">
        <v>0.15</v>
      </c>
      <c r="K29" s="100">
        <v>166.98</v>
      </c>
      <c r="L29" s="100">
        <v>16.23</v>
      </c>
      <c r="M29" s="100">
        <v>93.27</v>
      </c>
      <c r="N29" s="100">
        <v>1</v>
      </c>
      <c r="O29" s="100">
        <v>0</v>
      </c>
      <c r="P29" s="100">
        <v>1.1399999999999999</v>
      </c>
      <c r="Q29" s="100">
        <v>12.05</v>
      </c>
      <c r="R29" s="6"/>
      <c r="S29" s="6"/>
      <c r="T29" s="156"/>
      <c r="U29" s="6"/>
    </row>
    <row r="30" spans="1:21" customFormat="1">
      <c r="A30" s="163" t="s">
        <v>2660</v>
      </c>
      <c r="B30" s="100">
        <v>25.76</v>
      </c>
      <c r="C30" s="100">
        <v>27.33</v>
      </c>
      <c r="D30" s="100">
        <v>36.29</v>
      </c>
      <c r="E30" s="100">
        <v>9.94</v>
      </c>
      <c r="F30" s="100">
        <v>0.47</v>
      </c>
      <c r="G30" s="100">
        <v>98.25</v>
      </c>
      <c r="H30" s="100">
        <v>29.48</v>
      </c>
      <c r="I30" s="100">
        <v>16.36</v>
      </c>
      <c r="J30" s="100">
        <v>0.19</v>
      </c>
      <c r="K30" s="100">
        <v>195.17</v>
      </c>
      <c r="L30" s="100">
        <v>16.079999999999998</v>
      </c>
      <c r="M30" s="100">
        <v>94.97</v>
      </c>
      <c r="N30" s="100">
        <v>1.2</v>
      </c>
      <c r="O30" s="100">
        <v>0</v>
      </c>
      <c r="P30" s="100">
        <v>1.1399999999999999</v>
      </c>
      <c r="Q30" s="100">
        <v>12.05</v>
      </c>
      <c r="R30" s="6"/>
      <c r="S30" s="6"/>
      <c r="T30" s="156"/>
      <c r="U30" s="6"/>
    </row>
    <row r="31" spans="1:21" customFormat="1">
      <c r="A31" s="163" t="s">
        <v>2661</v>
      </c>
      <c r="B31" s="100">
        <v>25.35</v>
      </c>
      <c r="C31" s="100">
        <v>27.03</v>
      </c>
      <c r="D31" s="100">
        <v>35.799999999999997</v>
      </c>
      <c r="E31" s="100">
        <v>9.9700000000000006</v>
      </c>
      <c r="F31" s="100">
        <v>1.46</v>
      </c>
      <c r="G31" s="100">
        <v>98.88</v>
      </c>
      <c r="H31" s="100">
        <v>30.33</v>
      </c>
      <c r="I31" s="100">
        <v>16.420000000000002</v>
      </c>
      <c r="J31" s="100">
        <v>0.17</v>
      </c>
      <c r="K31" s="100">
        <v>204.99</v>
      </c>
      <c r="L31" s="100">
        <v>15.81</v>
      </c>
      <c r="M31" s="100">
        <v>96.63</v>
      </c>
      <c r="N31" s="100">
        <v>1.4</v>
      </c>
      <c r="O31" s="100">
        <v>0</v>
      </c>
      <c r="P31" s="100">
        <v>1.1399999999999999</v>
      </c>
      <c r="Q31" s="100">
        <v>12.05</v>
      </c>
      <c r="R31" s="6"/>
      <c r="S31" s="6"/>
      <c r="T31" s="156"/>
      <c r="U31" s="6"/>
    </row>
    <row r="32" spans="1:21" customFormat="1">
      <c r="A32" s="163" t="s">
        <v>2662</v>
      </c>
      <c r="B32" s="100">
        <v>24.71</v>
      </c>
      <c r="C32" s="100">
        <v>26.78</v>
      </c>
      <c r="D32" s="100">
        <v>35.159999999999997</v>
      </c>
      <c r="E32" s="100">
        <v>9.5</v>
      </c>
      <c r="F32" s="100">
        <v>5.09</v>
      </c>
      <c r="G32" s="100">
        <v>98.88</v>
      </c>
      <c r="H32" s="100">
        <v>30.33</v>
      </c>
      <c r="I32" s="100">
        <v>16.440000000000001</v>
      </c>
      <c r="J32" s="100">
        <v>0.15</v>
      </c>
      <c r="K32" s="100">
        <v>158.6</v>
      </c>
      <c r="L32" s="100">
        <v>15.69</v>
      </c>
      <c r="M32" s="100">
        <v>96.95</v>
      </c>
      <c r="N32" s="100">
        <v>1.2</v>
      </c>
      <c r="O32" s="100">
        <v>0</v>
      </c>
      <c r="P32" s="100">
        <v>1.1499999999999999</v>
      </c>
      <c r="Q32" s="100">
        <v>12.05</v>
      </c>
      <c r="R32" s="6"/>
      <c r="S32" s="6"/>
      <c r="T32" s="156"/>
      <c r="U32" s="6"/>
    </row>
    <row r="33" spans="1:21" customFormat="1">
      <c r="A33" s="163" t="s">
        <v>2663</v>
      </c>
      <c r="B33" s="100">
        <v>24.66</v>
      </c>
      <c r="C33" s="100">
        <v>26.67</v>
      </c>
      <c r="D33" s="100">
        <v>35.06</v>
      </c>
      <c r="E33" s="100">
        <v>9.82</v>
      </c>
      <c r="F33" s="100">
        <v>1.19</v>
      </c>
      <c r="G33" s="100">
        <v>98.88</v>
      </c>
      <c r="H33" s="100">
        <v>30.33</v>
      </c>
      <c r="I33" s="100">
        <v>16.53</v>
      </c>
      <c r="J33" s="100">
        <v>0.11</v>
      </c>
      <c r="K33" s="100">
        <v>110.58</v>
      </c>
      <c r="L33" s="100">
        <v>15.8</v>
      </c>
      <c r="M33" s="100">
        <v>96.09</v>
      </c>
      <c r="N33" s="100">
        <v>1</v>
      </c>
      <c r="O33" s="100">
        <v>0</v>
      </c>
      <c r="P33" s="100">
        <v>1.1599999999999999</v>
      </c>
      <c r="Q33" s="100">
        <v>12.05</v>
      </c>
      <c r="R33" s="6"/>
      <c r="S33" s="6"/>
      <c r="T33" s="156"/>
      <c r="U33" s="6"/>
    </row>
    <row r="34" spans="1:21" customFormat="1">
      <c r="A34" s="163" t="s">
        <v>2664</v>
      </c>
      <c r="B34" s="100">
        <v>27.15</v>
      </c>
      <c r="C34" s="100">
        <v>27.06</v>
      </c>
      <c r="D34" s="100">
        <v>37.26</v>
      </c>
      <c r="E34" s="100">
        <v>9.57</v>
      </c>
      <c r="F34" s="100">
        <v>4.26</v>
      </c>
      <c r="G34" s="100">
        <v>97.96</v>
      </c>
      <c r="H34" s="100">
        <v>30.37</v>
      </c>
      <c r="I34" s="100">
        <v>16.73</v>
      </c>
      <c r="J34" s="100">
        <v>0.16</v>
      </c>
      <c r="K34" s="100">
        <v>126.57</v>
      </c>
      <c r="L34" s="100">
        <v>15.96</v>
      </c>
      <c r="M34" s="100">
        <v>94.2</v>
      </c>
      <c r="N34" s="100">
        <v>1.2</v>
      </c>
      <c r="O34" s="100">
        <v>0</v>
      </c>
      <c r="P34" s="100">
        <v>1.18</v>
      </c>
      <c r="Q34" s="100">
        <v>12.05</v>
      </c>
      <c r="R34" s="6"/>
      <c r="S34" s="6"/>
      <c r="T34" s="156"/>
      <c r="U34" s="6"/>
    </row>
    <row r="35" spans="1:21" customFormat="1">
      <c r="A35" s="163" t="s">
        <v>2665</v>
      </c>
      <c r="B35" s="100">
        <v>29.48</v>
      </c>
      <c r="C35" s="100">
        <v>27.5</v>
      </c>
      <c r="D35" s="100">
        <v>39.36</v>
      </c>
      <c r="E35" s="100">
        <v>9.7100000000000009</v>
      </c>
      <c r="F35" s="100">
        <v>5.2</v>
      </c>
      <c r="G35" s="100">
        <v>97.41</v>
      </c>
      <c r="H35" s="100">
        <v>30.38</v>
      </c>
      <c r="I35" s="100">
        <v>16.96</v>
      </c>
      <c r="J35" s="100">
        <v>0.11</v>
      </c>
      <c r="K35" s="100">
        <v>129.79</v>
      </c>
      <c r="L35" s="100">
        <v>16.059999999999999</v>
      </c>
      <c r="M35" s="100">
        <v>93.35</v>
      </c>
      <c r="N35" s="100">
        <v>2.6</v>
      </c>
      <c r="O35" s="100">
        <v>0</v>
      </c>
      <c r="P35" s="100">
        <v>1.18</v>
      </c>
      <c r="Q35" s="100">
        <v>12.05</v>
      </c>
      <c r="R35" s="6"/>
      <c r="S35" s="6"/>
      <c r="T35" s="156"/>
      <c r="U35" s="6"/>
    </row>
    <row r="36" spans="1:21" customFormat="1">
      <c r="A36" s="163" t="s">
        <v>2666</v>
      </c>
      <c r="B36" s="100">
        <v>30.35</v>
      </c>
      <c r="C36" s="100">
        <v>27.42</v>
      </c>
      <c r="D36" s="100">
        <v>40.01</v>
      </c>
      <c r="E36" s="100">
        <v>9.5</v>
      </c>
      <c r="F36" s="100">
        <v>0.51</v>
      </c>
      <c r="G36" s="100">
        <v>97.41</v>
      </c>
      <c r="H36" s="100">
        <v>30.38</v>
      </c>
      <c r="I36" s="100">
        <v>17.239999999999998</v>
      </c>
      <c r="J36" s="100">
        <v>0.15</v>
      </c>
      <c r="K36" s="100">
        <v>189.48</v>
      </c>
      <c r="L36" s="100">
        <v>16.010000000000002</v>
      </c>
      <c r="M36" s="100">
        <v>94.72</v>
      </c>
      <c r="N36" s="100">
        <v>6.9</v>
      </c>
      <c r="O36" s="100">
        <v>0</v>
      </c>
      <c r="P36" s="100">
        <v>1.19</v>
      </c>
      <c r="Q36" s="100">
        <v>12.05</v>
      </c>
      <c r="R36" s="6"/>
      <c r="S36" s="6"/>
      <c r="T36" s="156"/>
      <c r="U36" s="6"/>
    </row>
    <row r="37" spans="1:21" customFormat="1">
      <c r="A37" s="163" t="s">
        <v>2667</v>
      </c>
      <c r="B37" s="100">
        <v>30.7</v>
      </c>
      <c r="C37" s="100">
        <v>27.54</v>
      </c>
      <c r="D37" s="100">
        <v>40.36</v>
      </c>
      <c r="E37" s="100">
        <v>9.1</v>
      </c>
      <c r="F37" s="100">
        <v>1.38</v>
      </c>
      <c r="G37" s="100">
        <v>97.41</v>
      </c>
      <c r="H37" s="100">
        <v>30.38</v>
      </c>
      <c r="I37" s="100">
        <v>17.399999999999999</v>
      </c>
      <c r="J37" s="100">
        <v>0.12</v>
      </c>
      <c r="K37" s="100">
        <v>64.75</v>
      </c>
      <c r="L37" s="100">
        <v>16.16</v>
      </c>
      <c r="M37" s="100">
        <v>93.43</v>
      </c>
      <c r="N37" s="100">
        <v>13.3</v>
      </c>
      <c r="O37" s="100">
        <v>0</v>
      </c>
      <c r="P37" s="100">
        <v>1.19</v>
      </c>
      <c r="Q37" s="100">
        <v>12.05</v>
      </c>
      <c r="R37" s="6"/>
      <c r="S37" s="6"/>
      <c r="T37" s="156"/>
      <c r="U37" s="6"/>
    </row>
    <row r="38" spans="1:21" customFormat="1">
      <c r="A38" s="163" t="s">
        <v>2668</v>
      </c>
      <c r="B38" s="100">
        <v>31.29</v>
      </c>
      <c r="C38" s="100">
        <v>27.55</v>
      </c>
      <c r="D38" s="100">
        <v>40.840000000000003</v>
      </c>
      <c r="E38" s="100">
        <v>9.94</v>
      </c>
      <c r="F38" s="100">
        <v>0.3</v>
      </c>
      <c r="G38" s="100">
        <v>103.43</v>
      </c>
      <c r="H38" s="100">
        <v>30.54</v>
      </c>
      <c r="I38" s="100">
        <v>17.59</v>
      </c>
      <c r="J38" s="100">
        <v>0.14000000000000001</v>
      </c>
      <c r="K38" s="100">
        <v>136.85</v>
      </c>
      <c r="L38" s="100">
        <v>16.79</v>
      </c>
      <c r="M38" s="100">
        <v>87.4</v>
      </c>
      <c r="N38" s="100">
        <v>21</v>
      </c>
      <c r="O38" s="100">
        <v>0</v>
      </c>
      <c r="P38" s="100">
        <v>1.2</v>
      </c>
      <c r="Q38" s="100">
        <v>12.05</v>
      </c>
      <c r="R38" s="6"/>
      <c r="S38" s="6"/>
      <c r="T38" s="156"/>
      <c r="U38" s="6"/>
    </row>
    <row r="39" spans="1:21" customFormat="1">
      <c r="A39" s="163" t="s">
        <v>2669</v>
      </c>
      <c r="B39" s="100">
        <v>31.25</v>
      </c>
      <c r="C39" s="100">
        <v>27.78</v>
      </c>
      <c r="D39" s="100">
        <v>40.93</v>
      </c>
      <c r="E39" s="100">
        <v>9.61</v>
      </c>
      <c r="F39" s="100">
        <v>0.83</v>
      </c>
      <c r="G39" s="100">
        <v>107.08</v>
      </c>
      <c r="H39" s="100">
        <v>30.57</v>
      </c>
      <c r="I39" s="100">
        <v>17.79</v>
      </c>
      <c r="J39" s="100">
        <v>0.16</v>
      </c>
      <c r="K39" s="100">
        <v>187.99</v>
      </c>
      <c r="L39" s="100">
        <v>16.989999999999998</v>
      </c>
      <c r="M39" s="100">
        <v>89.22</v>
      </c>
      <c r="N39" s="100">
        <v>30.1</v>
      </c>
      <c r="O39" s="100">
        <v>0</v>
      </c>
      <c r="P39" s="100">
        <v>1.2</v>
      </c>
      <c r="Q39" s="100">
        <v>12.05</v>
      </c>
      <c r="R39" s="6"/>
      <c r="S39" s="6"/>
      <c r="T39" s="156"/>
      <c r="U39" s="6"/>
    </row>
    <row r="40" spans="1:21" customFormat="1">
      <c r="A40" s="163" t="s">
        <v>2670</v>
      </c>
      <c r="B40" s="100">
        <v>30.6</v>
      </c>
      <c r="C40" s="100">
        <v>27.69</v>
      </c>
      <c r="D40" s="100">
        <v>40.36</v>
      </c>
      <c r="E40" s="100">
        <v>9.11</v>
      </c>
      <c r="F40" s="100">
        <v>0.42</v>
      </c>
      <c r="G40" s="100">
        <v>107.08</v>
      </c>
      <c r="H40" s="100">
        <v>30.57</v>
      </c>
      <c r="I40" s="100">
        <v>18.010000000000002</v>
      </c>
      <c r="J40" s="100">
        <v>0.28000000000000003</v>
      </c>
      <c r="K40" s="100">
        <v>86.7</v>
      </c>
      <c r="L40" s="100">
        <v>17.77</v>
      </c>
      <c r="M40" s="100">
        <v>77.430000000000007</v>
      </c>
      <c r="N40" s="100">
        <v>38.1</v>
      </c>
      <c r="O40" s="100">
        <v>0</v>
      </c>
      <c r="P40" s="100">
        <v>1.2</v>
      </c>
      <c r="Q40" s="100">
        <v>12.05</v>
      </c>
      <c r="R40" s="6"/>
      <c r="S40" s="6"/>
      <c r="T40" s="156"/>
      <c r="U40" s="6"/>
    </row>
    <row r="41" spans="1:21" customFormat="1">
      <c r="A41" s="163" t="s">
        <v>2671</v>
      </c>
      <c r="B41" s="100">
        <v>29.57</v>
      </c>
      <c r="C41" s="100">
        <v>27.92</v>
      </c>
      <c r="D41" s="100">
        <v>39.65</v>
      </c>
      <c r="E41" s="100">
        <v>9.17</v>
      </c>
      <c r="F41" s="100">
        <v>0.59</v>
      </c>
      <c r="G41" s="100">
        <v>107.08</v>
      </c>
      <c r="H41" s="100">
        <v>30.57</v>
      </c>
      <c r="I41" s="100">
        <v>18.28</v>
      </c>
      <c r="J41" s="100">
        <v>0.55000000000000004</v>
      </c>
      <c r="K41" s="100">
        <v>67</v>
      </c>
      <c r="L41" s="100">
        <v>18.739999999999998</v>
      </c>
      <c r="M41" s="100">
        <v>69.34</v>
      </c>
      <c r="N41" s="100">
        <v>67.099999999999994</v>
      </c>
      <c r="O41" s="100">
        <v>0</v>
      </c>
      <c r="P41" s="100">
        <v>1.19</v>
      </c>
      <c r="Q41" s="100">
        <v>12.05</v>
      </c>
      <c r="R41" s="6"/>
      <c r="S41" s="6"/>
      <c r="T41" s="156"/>
      <c r="U41" s="6"/>
    </row>
    <row r="42" spans="1:21" customFormat="1">
      <c r="A42" s="163" t="s">
        <v>2672</v>
      </c>
      <c r="B42" s="100">
        <v>28.35</v>
      </c>
      <c r="C42" s="100">
        <v>28.5</v>
      </c>
      <c r="D42" s="100">
        <v>38.97</v>
      </c>
      <c r="E42" s="100">
        <v>9.7200000000000006</v>
      </c>
      <c r="F42" s="100">
        <v>0.46</v>
      </c>
      <c r="G42" s="100">
        <v>105</v>
      </c>
      <c r="H42" s="100">
        <v>30.46</v>
      </c>
      <c r="I42" s="100">
        <v>18.45</v>
      </c>
      <c r="J42" s="100">
        <v>0.6</v>
      </c>
      <c r="K42" s="100">
        <v>72.31</v>
      </c>
      <c r="L42" s="100">
        <v>19.52</v>
      </c>
      <c r="M42" s="100">
        <v>64.64</v>
      </c>
      <c r="N42" s="100">
        <v>165.3</v>
      </c>
      <c r="O42" s="100">
        <v>0</v>
      </c>
      <c r="P42" s="100">
        <v>1.18</v>
      </c>
      <c r="Q42" s="100">
        <v>12.05</v>
      </c>
      <c r="R42" s="6"/>
      <c r="S42" s="6"/>
      <c r="T42" s="156"/>
      <c r="U42" s="6"/>
    </row>
    <row r="43" spans="1:21" customFormat="1">
      <c r="A43" s="163" t="s">
        <v>2673</v>
      </c>
      <c r="B43" s="100">
        <v>26.97</v>
      </c>
      <c r="C43" s="100">
        <v>28.95</v>
      </c>
      <c r="D43" s="100">
        <v>38.1</v>
      </c>
      <c r="E43" s="100">
        <v>9.7799999999999994</v>
      </c>
      <c r="F43" s="100">
        <v>1.1299999999999999</v>
      </c>
      <c r="G43" s="100">
        <v>103.74</v>
      </c>
      <c r="H43" s="100">
        <v>30.42</v>
      </c>
      <c r="I43" s="100">
        <v>18.38</v>
      </c>
      <c r="J43" s="100">
        <v>0.63</v>
      </c>
      <c r="K43" s="100">
        <v>75.099999999999994</v>
      </c>
      <c r="L43" s="100">
        <v>20.39</v>
      </c>
      <c r="M43" s="100">
        <v>57.58</v>
      </c>
      <c r="N43" s="100">
        <v>195.3</v>
      </c>
      <c r="O43" s="100">
        <v>0</v>
      </c>
      <c r="P43" s="100">
        <v>1.1499999999999999</v>
      </c>
      <c r="Q43" s="100">
        <v>12.05</v>
      </c>
      <c r="R43" s="6"/>
      <c r="S43" s="6"/>
      <c r="T43" s="156"/>
      <c r="U43" s="6"/>
    </row>
    <row r="44" spans="1:21" customFormat="1">
      <c r="A44" s="163" t="s">
        <v>2674</v>
      </c>
      <c r="B44" s="100">
        <v>25.33</v>
      </c>
      <c r="C44" s="100">
        <v>29.16</v>
      </c>
      <c r="D44" s="100">
        <v>36.9</v>
      </c>
      <c r="E44" s="100">
        <v>9.68</v>
      </c>
      <c r="F44" s="100">
        <v>0.7</v>
      </c>
      <c r="G44" s="100">
        <v>103.74</v>
      </c>
      <c r="H44" s="100">
        <v>30.42</v>
      </c>
      <c r="I44" s="100">
        <v>18.190000000000001</v>
      </c>
      <c r="J44" s="100">
        <v>0.7</v>
      </c>
      <c r="K44" s="100">
        <v>72.13</v>
      </c>
      <c r="L44" s="100">
        <v>21.09</v>
      </c>
      <c r="M44" s="100">
        <v>54.73</v>
      </c>
      <c r="N44" s="100">
        <v>179.4</v>
      </c>
      <c r="O44" s="100">
        <v>0</v>
      </c>
      <c r="P44" s="100">
        <v>1.1299999999999999</v>
      </c>
      <c r="Q44" s="100">
        <v>12.05</v>
      </c>
      <c r="R44" s="6"/>
      <c r="S44" s="6"/>
      <c r="T44" s="156"/>
      <c r="U44" s="6"/>
    </row>
    <row r="45" spans="1:21" customFormat="1">
      <c r="A45" s="163" t="s">
        <v>2675</v>
      </c>
      <c r="B45" s="100">
        <v>23.7</v>
      </c>
      <c r="C45" s="100">
        <v>29.09</v>
      </c>
      <c r="D45" s="100">
        <v>35.549999999999997</v>
      </c>
      <c r="E45" s="100">
        <v>9.58</v>
      </c>
      <c r="F45" s="100">
        <v>0.96</v>
      </c>
      <c r="G45" s="100">
        <v>103.74</v>
      </c>
      <c r="H45" s="100">
        <v>30.42</v>
      </c>
      <c r="I45" s="100">
        <v>17.88</v>
      </c>
      <c r="J45" s="100">
        <v>0.67</v>
      </c>
      <c r="K45" s="100">
        <v>71.45</v>
      </c>
      <c r="L45" s="100">
        <v>21.88</v>
      </c>
      <c r="M45" s="100">
        <v>53.09</v>
      </c>
      <c r="N45" s="100">
        <v>233.7</v>
      </c>
      <c r="O45" s="100">
        <v>0</v>
      </c>
      <c r="P45" s="100">
        <v>1.1100000000000001</v>
      </c>
      <c r="Q45" s="100">
        <v>12.05</v>
      </c>
      <c r="R45" s="6"/>
      <c r="S45" s="6"/>
      <c r="T45" s="156"/>
      <c r="U45" s="6"/>
    </row>
    <row r="46" spans="1:21" customFormat="1">
      <c r="A46" s="163" t="s">
        <v>2676</v>
      </c>
      <c r="B46" s="100">
        <v>21.49</v>
      </c>
      <c r="C46" s="100">
        <v>29</v>
      </c>
      <c r="D46" s="100">
        <v>33.74</v>
      </c>
      <c r="E46" s="100">
        <v>8.91</v>
      </c>
      <c r="F46" s="100">
        <v>0.56999999999999995</v>
      </c>
      <c r="G46" s="100">
        <v>92.02</v>
      </c>
      <c r="H46" s="100">
        <v>27.36</v>
      </c>
      <c r="I46" s="100">
        <v>17.53</v>
      </c>
      <c r="J46" s="100">
        <v>0.43</v>
      </c>
      <c r="K46" s="100">
        <v>117.14</v>
      </c>
      <c r="L46" s="100">
        <v>22.85</v>
      </c>
      <c r="M46" s="100">
        <v>50.33</v>
      </c>
      <c r="N46" s="100">
        <v>272.60000000000002</v>
      </c>
      <c r="O46" s="100">
        <v>0</v>
      </c>
      <c r="P46" s="100">
        <v>1.0900000000000001</v>
      </c>
      <c r="Q46" s="100">
        <v>12.05</v>
      </c>
      <c r="R46" s="6"/>
      <c r="S46" s="6"/>
      <c r="T46" s="156"/>
      <c r="U46" s="6"/>
    </row>
    <row r="47" spans="1:21" customFormat="1">
      <c r="A47" s="163" t="s">
        <v>2677</v>
      </c>
      <c r="B47" s="100">
        <v>19.079999999999998</v>
      </c>
      <c r="C47" s="100">
        <v>29.04</v>
      </c>
      <c r="D47" s="100">
        <v>31.82</v>
      </c>
      <c r="E47" s="100">
        <v>8.85</v>
      </c>
      <c r="F47" s="100">
        <v>0.56999999999999995</v>
      </c>
      <c r="G47" s="100">
        <v>84.9</v>
      </c>
      <c r="H47" s="100">
        <v>26.74</v>
      </c>
      <c r="I47" s="100">
        <v>17.04</v>
      </c>
      <c r="J47" s="100">
        <v>0.71</v>
      </c>
      <c r="K47" s="100">
        <v>63.45</v>
      </c>
      <c r="L47" s="100">
        <v>23.41</v>
      </c>
      <c r="M47" s="100">
        <v>48.48</v>
      </c>
      <c r="N47" s="100">
        <v>294.7</v>
      </c>
      <c r="O47" s="100">
        <v>0</v>
      </c>
      <c r="P47" s="100">
        <v>1.06</v>
      </c>
      <c r="Q47" s="100">
        <v>12.05</v>
      </c>
      <c r="R47" s="6"/>
      <c r="S47" s="6"/>
      <c r="T47" s="156"/>
      <c r="U47" s="6"/>
    </row>
    <row r="48" spans="1:21" customFormat="1">
      <c r="A48" s="163" t="s">
        <v>2678</v>
      </c>
      <c r="B48" s="100">
        <v>16.89</v>
      </c>
      <c r="C48" s="100">
        <v>29.33</v>
      </c>
      <c r="D48" s="100">
        <v>30.21</v>
      </c>
      <c r="E48" s="100">
        <v>9</v>
      </c>
      <c r="F48" s="100">
        <v>0.91</v>
      </c>
      <c r="G48" s="100">
        <v>84.9</v>
      </c>
      <c r="H48" s="100">
        <v>26.74</v>
      </c>
      <c r="I48" s="100">
        <v>16.61</v>
      </c>
      <c r="J48" s="100">
        <v>0.86</v>
      </c>
      <c r="K48" s="100">
        <v>51.68</v>
      </c>
      <c r="L48" s="100">
        <v>23.86</v>
      </c>
      <c r="M48" s="100">
        <v>46.01</v>
      </c>
      <c r="N48" s="100">
        <v>305.5</v>
      </c>
      <c r="O48" s="100">
        <v>0</v>
      </c>
      <c r="P48" s="100">
        <v>1.03</v>
      </c>
      <c r="Q48" s="100">
        <v>12.05</v>
      </c>
      <c r="R48" s="6"/>
      <c r="S48" s="6"/>
      <c r="T48" s="156"/>
      <c r="U48" s="6"/>
    </row>
    <row r="49" spans="1:21" customFormat="1">
      <c r="A49" s="163" t="s">
        <v>2679</v>
      </c>
      <c r="B49" s="100">
        <v>14.92</v>
      </c>
      <c r="C49" s="100">
        <v>29.82</v>
      </c>
      <c r="D49" s="100">
        <v>28.9</v>
      </c>
      <c r="E49" s="100">
        <v>7.25</v>
      </c>
      <c r="F49" s="100">
        <v>1.04</v>
      </c>
      <c r="G49" s="100">
        <v>84.9</v>
      </c>
      <c r="H49" s="100">
        <v>26.74</v>
      </c>
      <c r="I49" s="100">
        <v>16.23</v>
      </c>
      <c r="J49" s="100">
        <v>1.18</v>
      </c>
      <c r="K49" s="100">
        <v>46.82</v>
      </c>
      <c r="L49" s="100">
        <v>24.1</v>
      </c>
      <c r="M49" s="100">
        <v>42.43</v>
      </c>
      <c r="N49" s="100">
        <v>262</v>
      </c>
      <c r="O49" s="100">
        <v>0</v>
      </c>
      <c r="P49" s="100">
        <v>1.01</v>
      </c>
      <c r="Q49" s="100">
        <v>12.05</v>
      </c>
      <c r="R49" s="6"/>
      <c r="S49" s="6"/>
      <c r="T49" s="156"/>
      <c r="U49" s="6"/>
    </row>
    <row r="50" spans="1:21" customFormat="1">
      <c r="A50" s="163" t="s">
        <v>2680</v>
      </c>
      <c r="B50" s="100">
        <v>13.24</v>
      </c>
      <c r="C50" s="100">
        <v>30.53</v>
      </c>
      <c r="D50" s="100">
        <v>27.92</v>
      </c>
      <c r="E50" s="100">
        <v>8.86</v>
      </c>
      <c r="F50" s="100">
        <v>1.46</v>
      </c>
      <c r="G50" s="100">
        <v>81.38</v>
      </c>
      <c r="H50" s="100">
        <v>23.98</v>
      </c>
      <c r="I50" s="100">
        <v>15.8</v>
      </c>
      <c r="J50" s="100">
        <v>0.9</v>
      </c>
      <c r="K50" s="100">
        <v>50.56</v>
      </c>
      <c r="L50" s="100">
        <v>25</v>
      </c>
      <c r="M50" s="100">
        <v>39.880000000000003</v>
      </c>
      <c r="N50" s="100">
        <v>344.5</v>
      </c>
      <c r="O50" s="100">
        <v>0</v>
      </c>
      <c r="P50" s="100">
        <v>0.97</v>
      </c>
      <c r="Q50" s="100">
        <v>12.05</v>
      </c>
      <c r="R50" s="6"/>
      <c r="S50" s="6"/>
      <c r="T50" s="156"/>
      <c r="U50" s="6"/>
    </row>
    <row r="51" spans="1:21" customFormat="1">
      <c r="A51" s="163" t="s">
        <v>2681</v>
      </c>
      <c r="B51" s="100">
        <v>11.73</v>
      </c>
      <c r="C51" s="100">
        <v>30.97</v>
      </c>
      <c r="D51" s="100">
        <v>26.94</v>
      </c>
      <c r="E51" s="100">
        <v>8.7100000000000009</v>
      </c>
      <c r="F51" s="100">
        <v>3.06</v>
      </c>
      <c r="G51" s="100">
        <v>79.25</v>
      </c>
      <c r="H51" s="100">
        <v>23.42</v>
      </c>
      <c r="I51" s="100">
        <v>15.28</v>
      </c>
      <c r="J51" s="100">
        <v>0.85</v>
      </c>
      <c r="K51" s="100">
        <v>64.650000000000006</v>
      </c>
      <c r="L51" s="100">
        <v>25.43</v>
      </c>
      <c r="M51" s="100">
        <v>37.44</v>
      </c>
      <c r="N51" s="100">
        <v>362.3</v>
      </c>
      <c r="O51" s="100">
        <v>0</v>
      </c>
      <c r="P51" s="100">
        <v>0.94</v>
      </c>
      <c r="Q51" s="100">
        <v>12.05</v>
      </c>
      <c r="R51" s="6"/>
      <c r="S51" s="6"/>
      <c r="T51" s="156"/>
      <c r="U51" s="6"/>
    </row>
    <row r="52" spans="1:21" customFormat="1">
      <c r="A52" s="163" t="s">
        <v>2682</v>
      </c>
      <c r="B52" s="100">
        <v>10.54</v>
      </c>
      <c r="C52" s="100">
        <v>31.44</v>
      </c>
      <c r="D52" s="100">
        <v>26.23</v>
      </c>
      <c r="E52" s="100">
        <v>8.5500000000000007</v>
      </c>
      <c r="F52" s="100">
        <v>0.17</v>
      </c>
      <c r="G52" s="100">
        <v>79.25</v>
      </c>
      <c r="H52" s="100">
        <v>23.42</v>
      </c>
      <c r="I52" s="100">
        <v>14.86</v>
      </c>
      <c r="J52" s="100">
        <v>0.85</v>
      </c>
      <c r="K52" s="100">
        <v>55.46</v>
      </c>
      <c r="L52" s="100">
        <v>25.51</v>
      </c>
      <c r="M52" s="100">
        <v>36.94</v>
      </c>
      <c r="N52" s="100">
        <v>374.4</v>
      </c>
      <c r="O52" s="100">
        <v>0</v>
      </c>
      <c r="P52" s="100">
        <v>0.91</v>
      </c>
      <c r="Q52" s="100">
        <v>12.05</v>
      </c>
      <c r="R52" s="6"/>
      <c r="S52" s="6"/>
      <c r="T52" s="156"/>
      <c r="U52" s="6"/>
    </row>
    <row r="53" spans="1:21" customFormat="1">
      <c r="A53" s="163" t="s">
        <v>2683</v>
      </c>
      <c r="B53" s="100">
        <v>9.99</v>
      </c>
      <c r="C53" s="100">
        <v>32.01</v>
      </c>
      <c r="D53" s="100">
        <v>26.09</v>
      </c>
      <c r="E53" s="100">
        <v>8.94</v>
      </c>
      <c r="F53" s="100">
        <v>0.94</v>
      </c>
      <c r="G53" s="100">
        <v>79.25</v>
      </c>
      <c r="H53" s="100">
        <v>23.42</v>
      </c>
      <c r="I53" s="100">
        <v>14.37</v>
      </c>
      <c r="J53" s="100">
        <v>0.7</v>
      </c>
      <c r="K53" s="100">
        <v>68.459999999999994</v>
      </c>
      <c r="L53" s="100">
        <v>26.25</v>
      </c>
      <c r="M53" s="100">
        <v>34.93</v>
      </c>
      <c r="N53" s="100">
        <v>379.2</v>
      </c>
      <c r="O53" s="100">
        <v>0</v>
      </c>
      <c r="P53" s="100">
        <v>0.88</v>
      </c>
      <c r="Q53" s="100">
        <v>12.05</v>
      </c>
      <c r="R53" s="6"/>
      <c r="S53" s="6"/>
      <c r="T53" s="156"/>
      <c r="U53" s="6"/>
    </row>
    <row r="54" spans="1:21" customFormat="1">
      <c r="A54" s="163" t="s">
        <v>2684</v>
      </c>
      <c r="B54" s="100">
        <v>9.67</v>
      </c>
      <c r="C54" s="100">
        <v>32.32</v>
      </c>
      <c r="D54" s="100">
        <v>25.99</v>
      </c>
      <c r="E54" s="100">
        <v>9.69</v>
      </c>
      <c r="F54" s="100">
        <v>1.58</v>
      </c>
      <c r="G54" s="100">
        <v>76.010000000000005</v>
      </c>
      <c r="H54" s="100">
        <v>22.95</v>
      </c>
      <c r="I54" s="100">
        <v>13.85</v>
      </c>
      <c r="J54" s="100">
        <v>0.8</v>
      </c>
      <c r="K54" s="100">
        <v>57.91</v>
      </c>
      <c r="L54" s="100">
        <v>26.67</v>
      </c>
      <c r="M54" s="100">
        <v>33.630000000000003</v>
      </c>
      <c r="N54" s="100">
        <v>339.8</v>
      </c>
      <c r="O54" s="100">
        <v>0</v>
      </c>
      <c r="P54" s="100">
        <v>0.85</v>
      </c>
      <c r="Q54" s="100">
        <v>12.05</v>
      </c>
      <c r="R54" s="6"/>
      <c r="S54" s="6"/>
      <c r="T54" s="156"/>
      <c r="U54" s="6"/>
    </row>
    <row r="55" spans="1:21" customFormat="1">
      <c r="A55" s="163" t="s">
        <v>2685</v>
      </c>
      <c r="B55" s="100">
        <v>9.4600000000000009</v>
      </c>
      <c r="C55" s="100">
        <v>32.78</v>
      </c>
      <c r="D55" s="100">
        <v>26.07</v>
      </c>
      <c r="E55" s="100">
        <v>10.31</v>
      </c>
      <c r="F55" s="100">
        <v>0.28999999999999998</v>
      </c>
      <c r="G55" s="100">
        <v>74.040000000000006</v>
      </c>
      <c r="H55" s="100">
        <v>22.86</v>
      </c>
      <c r="I55" s="100">
        <v>13.34</v>
      </c>
      <c r="J55" s="100">
        <v>1.08</v>
      </c>
      <c r="K55" s="100">
        <v>45.04</v>
      </c>
      <c r="L55" s="100">
        <v>26.79</v>
      </c>
      <c r="M55" s="100">
        <v>33.72</v>
      </c>
      <c r="N55" s="100">
        <v>391.2</v>
      </c>
      <c r="O55" s="100">
        <v>0</v>
      </c>
      <c r="P55" s="100">
        <v>0.82</v>
      </c>
      <c r="Q55" s="100">
        <v>12.05</v>
      </c>
      <c r="R55" s="6"/>
      <c r="S55" s="6"/>
      <c r="T55" s="156"/>
      <c r="U55" s="6"/>
    </row>
    <row r="56" spans="1:21" customFormat="1">
      <c r="A56" s="163" t="s">
        <v>2686</v>
      </c>
      <c r="B56" s="100">
        <v>9.2200000000000006</v>
      </c>
      <c r="C56" s="100">
        <v>32.83</v>
      </c>
      <c r="D56" s="100">
        <v>25.9</v>
      </c>
      <c r="E56" s="100">
        <v>9</v>
      </c>
      <c r="F56" s="100">
        <v>0.94</v>
      </c>
      <c r="G56" s="100">
        <v>74.040000000000006</v>
      </c>
      <c r="H56" s="100">
        <v>22.86</v>
      </c>
      <c r="I56" s="100">
        <v>12.9</v>
      </c>
      <c r="J56" s="100">
        <v>0.63</v>
      </c>
      <c r="K56" s="100">
        <v>63.15</v>
      </c>
      <c r="L56" s="100">
        <v>27.23</v>
      </c>
      <c r="M56" s="100">
        <v>33.25</v>
      </c>
      <c r="N56" s="100">
        <v>369.6</v>
      </c>
      <c r="O56" s="100">
        <v>0</v>
      </c>
      <c r="P56" s="100">
        <v>0.8</v>
      </c>
      <c r="Q56" s="100">
        <v>12.05</v>
      </c>
      <c r="R56" s="6"/>
      <c r="S56" s="6"/>
      <c r="T56" s="156"/>
      <c r="U56" s="6"/>
    </row>
    <row r="57" spans="1:21" customFormat="1">
      <c r="A57" s="163" t="s">
        <v>2687</v>
      </c>
      <c r="B57" s="100">
        <v>8.89</v>
      </c>
      <c r="C57" s="100">
        <v>32.99</v>
      </c>
      <c r="D57" s="100">
        <v>25.72</v>
      </c>
      <c r="E57" s="100">
        <v>9.84</v>
      </c>
      <c r="F57" s="100">
        <v>1.23</v>
      </c>
      <c r="G57" s="100">
        <v>74.040000000000006</v>
      </c>
      <c r="H57" s="100">
        <v>22.86</v>
      </c>
      <c r="I57" s="100">
        <v>12.47</v>
      </c>
      <c r="J57" s="100">
        <v>0.51</v>
      </c>
      <c r="K57" s="100">
        <v>63.82</v>
      </c>
      <c r="L57" s="100">
        <v>28.12</v>
      </c>
      <c r="M57" s="100">
        <v>32.049999999999997</v>
      </c>
      <c r="N57" s="100">
        <v>412.2</v>
      </c>
      <c r="O57" s="100">
        <v>0</v>
      </c>
      <c r="P57" s="100">
        <v>0.77</v>
      </c>
      <c r="Q57" s="100">
        <v>12.05</v>
      </c>
      <c r="R57" s="6"/>
      <c r="S57" s="6"/>
      <c r="T57" s="156"/>
      <c r="U57" s="6"/>
    </row>
    <row r="58" spans="1:21" customFormat="1">
      <c r="A58" s="163" t="s">
        <v>2688</v>
      </c>
      <c r="B58" s="100">
        <v>8.4700000000000006</v>
      </c>
      <c r="C58" s="100">
        <v>33.159999999999997</v>
      </c>
      <c r="D58" s="100">
        <v>25.47</v>
      </c>
      <c r="E58" s="100">
        <v>9.44</v>
      </c>
      <c r="F58" s="100">
        <v>1.69</v>
      </c>
      <c r="G58" s="100">
        <v>71.72</v>
      </c>
      <c r="H58" s="100">
        <v>21.88</v>
      </c>
      <c r="I58" s="100">
        <v>12.07</v>
      </c>
      <c r="J58" s="100">
        <v>0.66</v>
      </c>
      <c r="K58" s="100">
        <v>59.94</v>
      </c>
      <c r="L58" s="100">
        <v>28.17</v>
      </c>
      <c r="M58" s="100">
        <v>32.04</v>
      </c>
      <c r="N58" s="100">
        <v>416.6</v>
      </c>
      <c r="O58" s="100">
        <v>0</v>
      </c>
      <c r="P58" s="100">
        <v>0.75</v>
      </c>
      <c r="Q58" s="100">
        <v>12.05</v>
      </c>
      <c r="R58" s="6"/>
      <c r="S58" s="6"/>
      <c r="T58" s="156"/>
      <c r="U58" s="6"/>
    </row>
    <row r="59" spans="1:21" customFormat="1">
      <c r="A59" s="163" t="s">
        <v>2689</v>
      </c>
      <c r="B59" s="100">
        <v>7.9</v>
      </c>
      <c r="C59" s="100">
        <v>33.1</v>
      </c>
      <c r="D59" s="100">
        <v>24.98</v>
      </c>
      <c r="E59" s="100">
        <v>9.77</v>
      </c>
      <c r="F59" s="100">
        <v>0.44</v>
      </c>
      <c r="G59" s="100">
        <v>70.3</v>
      </c>
      <c r="H59" s="100">
        <v>21.69</v>
      </c>
      <c r="I59" s="100">
        <v>11.63</v>
      </c>
      <c r="J59" s="100">
        <v>0.56999999999999995</v>
      </c>
      <c r="K59" s="100">
        <v>84.67</v>
      </c>
      <c r="L59" s="100">
        <v>28.52</v>
      </c>
      <c r="M59" s="100">
        <v>31.99</v>
      </c>
      <c r="N59" s="100">
        <v>415</v>
      </c>
      <c r="O59" s="100">
        <v>0</v>
      </c>
      <c r="P59" s="100">
        <v>0.74</v>
      </c>
      <c r="Q59" s="100">
        <v>12.05</v>
      </c>
      <c r="R59" s="6"/>
      <c r="S59" s="6"/>
      <c r="T59" s="156"/>
      <c r="U59" s="6"/>
    </row>
    <row r="60" spans="1:21" customFormat="1">
      <c r="A60" s="163" t="s">
        <v>2690</v>
      </c>
      <c r="B60" s="100">
        <v>7.54</v>
      </c>
      <c r="C60" s="100">
        <v>33.090000000000003</v>
      </c>
      <c r="D60" s="100">
        <v>24.69</v>
      </c>
      <c r="E60" s="100">
        <v>10</v>
      </c>
      <c r="F60" s="100">
        <v>0.86</v>
      </c>
      <c r="G60" s="100">
        <v>70.3</v>
      </c>
      <c r="H60" s="100">
        <v>21.69</v>
      </c>
      <c r="I60" s="100">
        <v>11.38</v>
      </c>
      <c r="J60" s="100">
        <v>0.48</v>
      </c>
      <c r="K60" s="100">
        <v>66.33</v>
      </c>
      <c r="L60" s="100">
        <v>28.97</v>
      </c>
      <c r="M60" s="100">
        <v>31.79</v>
      </c>
      <c r="N60" s="100">
        <v>410.4</v>
      </c>
      <c r="O60" s="100">
        <v>0</v>
      </c>
      <c r="P60" s="100">
        <v>0.72</v>
      </c>
      <c r="Q60" s="100">
        <v>12.05</v>
      </c>
      <c r="R60" s="6"/>
      <c r="S60" s="6"/>
      <c r="T60" s="156"/>
      <c r="U60" s="6"/>
    </row>
    <row r="61" spans="1:21" customFormat="1">
      <c r="A61" s="163" t="s">
        <v>2691</v>
      </c>
      <c r="B61" s="100">
        <v>7.36</v>
      </c>
      <c r="C61" s="100">
        <v>33.15</v>
      </c>
      <c r="D61" s="100">
        <v>24.58</v>
      </c>
      <c r="E61" s="100">
        <v>9.5399999999999991</v>
      </c>
      <c r="F61" s="100">
        <v>0.89</v>
      </c>
      <c r="G61" s="100">
        <v>70.3</v>
      </c>
      <c r="H61" s="100">
        <v>21.69</v>
      </c>
      <c r="I61" s="100">
        <v>11.22</v>
      </c>
      <c r="J61" s="100">
        <v>0.33</v>
      </c>
      <c r="K61" s="100">
        <v>57.98</v>
      </c>
      <c r="L61" s="100">
        <v>29.17</v>
      </c>
      <c r="M61" s="100">
        <v>31.18</v>
      </c>
      <c r="N61" s="100">
        <v>393.8</v>
      </c>
      <c r="O61" s="100">
        <v>0</v>
      </c>
      <c r="P61" s="100">
        <v>0.7</v>
      </c>
      <c r="Q61" s="100">
        <v>12.05</v>
      </c>
      <c r="R61" s="6"/>
      <c r="S61" s="6"/>
      <c r="T61" s="156"/>
      <c r="U61" s="6"/>
    </row>
    <row r="62" spans="1:21" customFormat="1">
      <c r="A62" s="163" t="s">
        <v>2692</v>
      </c>
      <c r="B62" s="100">
        <v>7.06</v>
      </c>
      <c r="C62" s="100">
        <v>33.14</v>
      </c>
      <c r="D62" s="100">
        <v>24.33</v>
      </c>
      <c r="E62" s="100">
        <v>9.94</v>
      </c>
      <c r="F62" s="100">
        <v>1.36</v>
      </c>
      <c r="G62" s="100">
        <v>64.45</v>
      </c>
      <c r="H62" s="100">
        <v>20.73</v>
      </c>
      <c r="I62" s="100">
        <v>10.96</v>
      </c>
      <c r="J62" s="100">
        <v>0.69</v>
      </c>
      <c r="K62" s="100">
        <v>40.630000000000003</v>
      </c>
      <c r="L62" s="100">
        <v>29.11</v>
      </c>
      <c r="M62" s="100">
        <v>31.56</v>
      </c>
      <c r="N62" s="100">
        <v>364.7</v>
      </c>
      <c r="O62" s="100">
        <v>0</v>
      </c>
      <c r="P62" s="100">
        <v>0.69</v>
      </c>
      <c r="Q62" s="100">
        <v>12.05</v>
      </c>
      <c r="R62" s="6"/>
      <c r="S62" s="6"/>
      <c r="T62" s="156"/>
      <c r="U62" s="6"/>
    </row>
    <row r="63" spans="1:21" customFormat="1">
      <c r="A63" s="163" t="s">
        <v>2693</v>
      </c>
      <c r="B63" s="100">
        <v>6.78</v>
      </c>
      <c r="C63" s="100">
        <v>33.15</v>
      </c>
      <c r="D63" s="100">
        <v>24.1</v>
      </c>
      <c r="E63" s="100">
        <v>10.07</v>
      </c>
      <c r="F63" s="100">
        <v>0.92</v>
      </c>
      <c r="G63" s="100">
        <v>60.89</v>
      </c>
      <c r="H63" s="100">
        <v>20.54</v>
      </c>
      <c r="I63" s="100">
        <v>10.68</v>
      </c>
      <c r="J63" s="100">
        <v>0.54</v>
      </c>
      <c r="K63" s="100">
        <v>7.93</v>
      </c>
      <c r="L63" s="100">
        <v>29.13</v>
      </c>
      <c r="M63" s="100">
        <v>31.6</v>
      </c>
      <c r="N63" s="100">
        <v>377.3</v>
      </c>
      <c r="O63" s="100">
        <v>0</v>
      </c>
      <c r="P63" s="100">
        <v>0.68</v>
      </c>
      <c r="Q63" s="100">
        <v>12.05</v>
      </c>
      <c r="R63" s="6"/>
      <c r="S63" s="6"/>
      <c r="T63" s="156"/>
      <c r="U63" s="6"/>
    </row>
    <row r="64" spans="1:21" customFormat="1">
      <c r="A64" s="163" t="s">
        <v>2694</v>
      </c>
      <c r="B64" s="100">
        <v>6.5</v>
      </c>
      <c r="C64" s="100">
        <v>33.130000000000003</v>
      </c>
      <c r="D64" s="100">
        <v>23.87</v>
      </c>
      <c r="E64" s="100">
        <v>8.99</v>
      </c>
      <c r="F64" s="100">
        <v>1.43</v>
      </c>
      <c r="G64" s="100">
        <v>60.89</v>
      </c>
      <c r="H64" s="100">
        <v>20.54</v>
      </c>
      <c r="I64" s="100">
        <v>10.54</v>
      </c>
      <c r="J64" s="100">
        <v>0.21</v>
      </c>
      <c r="K64" s="100">
        <v>28.67</v>
      </c>
      <c r="L64" s="100">
        <v>29.08</v>
      </c>
      <c r="M64" s="100">
        <v>31.53</v>
      </c>
      <c r="N64" s="100">
        <v>365.6</v>
      </c>
      <c r="O64" s="100">
        <v>0</v>
      </c>
      <c r="P64" s="100">
        <v>0.67</v>
      </c>
      <c r="Q64" s="100">
        <v>12.05</v>
      </c>
      <c r="R64" s="6"/>
      <c r="S64" s="6"/>
      <c r="T64" s="156"/>
      <c r="U64" s="6"/>
    </row>
    <row r="65" spans="1:21" customFormat="1">
      <c r="A65" s="163" t="s">
        <v>2695</v>
      </c>
      <c r="B65" s="100">
        <v>6.08</v>
      </c>
      <c r="C65" s="100">
        <v>32.76</v>
      </c>
      <c r="D65" s="100">
        <v>23.34</v>
      </c>
      <c r="E65" s="100">
        <v>9.92</v>
      </c>
      <c r="F65" s="100">
        <v>0.59</v>
      </c>
      <c r="G65" s="100">
        <v>60.89</v>
      </c>
      <c r="H65" s="100">
        <v>20.54</v>
      </c>
      <c r="I65" s="100">
        <v>10.41</v>
      </c>
      <c r="J65" s="100">
        <v>0.66</v>
      </c>
      <c r="K65" s="100">
        <v>21.96</v>
      </c>
      <c r="L65" s="100">
        <v>29.34</v>
      </c>
      <c r="M65" s="100">
        <v>30.78</v>
      </c>
      <c r="N65" s="100">
        <v>312.89999999999998</v>
      </c>
      <c r="O65" s="100">
        <v>0</v>
      </c>
      <c r="P65" s="100">
        <v>0.66</v>
      </c>
      <c r="Q65" s="100">
        <v>12.05</v>
      </c>
      <c r="R65" s="6"/>
      <c r="S65" s="6"/>
      <c r="T65" s="156"/>
      <c r="U65" s="6"/>
    </row>
    <row r="66" spans="1:21" customFormat="1">
      <c r="A66" s="163" t="s">
        <v>2696</v>
      </c>
      <c r="B66" s="100">
        <v>5.83</v>
      </c>
      <c r="C66" s="100">
        <v>32.11</v>
      </c>
      <c r="D66" s="100">
        <v>22.81</v>
      </c>
      <c r="E66" s="100">
        <v>13.22</v>
      </c>
      <c r="F66" s="100">
        <v>1.38</v>
      </c>
      <c r="G66" s="100">
        <v>61.32</v>
      </c>
      <c r="H66" s="100">
        <v>20.83</v>
      </c>
      <c r="I66" s="100">
        <v>10.16</v>
      </c>
      <c r="J66" s="100">
        <v>0.34</v>
      </c>
      <c r="K66" s="100">
        <v>3.78</v>
      </c>
      <c r="L66" s="100">
        <v>28.67</v>
      </c>
      <c r="M66" s="100">
        <v>31.66</v>
      </c>
      <c r="N66" s="100">
        <v>110.1</v>
      </c>
      <c r="O66" s="100">
        <v>0</v>
      </c>
      <c r="P66" s="100">
        <v>0.68</v>
      </c>
      <c r="Q66" s="100">
        <v>12.05</v>
      </c>
      <c r="R66" s="6"/>
      <c r="S66" s="6"/>
      <c r="T66" s="156"/>
      <c r="U66" s="6"/>
    </row>
    <row r="67" spans="1:21" customFormat="1">
      <c r="A67" s="163" t="s">
        <v>2697</v>
      </c>
      <c r="B67" s="100">
        <v>5.66</v>
      </c>
      <c r="C67" s="100">
        <v>30.95</v>
      </c>
      <c r="D67" s="100">
        <v>22.07</v>
      </c>
      <c r="E67" s="100">
        <v>11.5</v>
      </c>
      <c r="F67" s="100">
        <v>3.48</v>
      </c>
      <c r="G67" s="100">
        <v>61.58</v>
      </c>
      <c r="H67" s="100">
        <v>20.93</v>
      </c>
      <c r="I67" s="100">
        <v>9.93</v>
      </c>
      <c r="J67" s="100">
        <v>0.52</v>
      </c>
      <c r="K67" s="100">
        <v>20.86</v>
      </c>
      <c r="L67" s="100">
        <v>28.53</v>
      </c>
      <c r="M67" s="100">
        <v>31.71</v>
      </c>
      <c r="N67" s="100">
        <v>89.6</v>
      </c>
      <c r="O67" s="100">
        <v>0</v>
      </c>
      <c r="P67" s="100">
        <v>0.66</v>
      </c>
      <c r="Q67" s="100">
        <v>12.05</v>
      </c>
      <c r="R67" s="6"/>
      <c r="S67" s="6"/>
      <c r="T67" s="156"/>
      <c r="U67" s="6"/>
    </row>
    <row r="68" spans="1:21" customFormat="1">
      <c r="A68" s="163" t="s">
        <v>2698</v>
      </c>
      <c r="B68" s="100">
        <v>5.53</v>
      </c>
      <c r="C68" s="100">
        <v>29.9</v>
      </c>
      <c r="D68" s="100">
        <v>21.41</v>
      </c>
      <c r="E68" s="100">
        <v>11.19</v>
      </c>
      <c r="F68" s="100">
        <v>0.84</v>
      </c>
      <c r="G68" s="100">
        <v>61.58</v>
      </c>
      <c r="H68" s="100">
        <v>20.93</v>
      </c>
      <c r="I68" s="100">
        <v>9.75</v>
      </c>
      <c r="J68" s="100">
        <v>0.35</v>
      </c>
      <c r="K68" s="100">
        <v>80.489999999999995</v>
      </c>
      <c r="L68" s="100">
        <v>28.78</v>
      </c>
      <c r="M68" s="100">
        <v>31.81</v>
      </c>
      <c r="N68" s="100">
        <v>63.5</v>
      </c>
      <c r="O68" s="100">
        <v>0</v>
      </c>
      <c r="P68" s="100">
        <v>0.65</v>
      </c>
      <c r="Q68" s="100">
        <v>12.05</v>
      </c>
      <c r="R68" s="6"/>
      <c r="S68" s="6"/>
      <c r="T68" s="156"/>
      <c r="U68" s="6"/>
    </row>
    <row r="69" spans="1:21" customFormat="1">
      <c r="A69" s="163" t="s">
        <v>2699</v>
      </c>
      <c r="B69" s="100">
        <v>5.38</v>
      </c>
      <c r="C69" s="100">
        <v>28.99</v>
      </c>
      <c r="D69" s="100">
        <v>20.82</v>
      </c>
      <c r="E69" s="100">
        <v>13.42</v>
      </c>
      <c r="F69" s="100">
        <v>1.34</v>
      </c>
      <c r="G69" s="100">
        <v>61.58</v>
      </c>
      <c r="H69" s="100">
        <v>20.93</v>
      </c>
      <c r="I69" s="100">
        <v>9.61</v>
      </c>
      <c r="J69" s="100">
        <v>0.49</v>
      </c>
      <c r="K69" s="100">
        <v>32.11</v>
      </c>
      <c r="L69" s="100">
        <v>28.69</v>
      </c>
      <c r="M69" s="100">
        <v>30.95</v>
      </c>
      <c r="N69" s="100">
        <v>58.4</v>
      </c>
      <c r="O69" s="100">
        <v>0</v>
      </c>
      <c r="P69" s="100">
        <v>0.64</v>
      </c>
      <c r="Q69" s="100">
        <v>12.05</v>
      </c>
      <c r="R69" s="6"/>
      <c r="S69" s="6"/>
      <c r="T69" s="156"/>
      <c r="U69" s="6"/>
    </row>
    <row r="70" spans="1:21" customFormat="1">
      <c r="A70" s="163" t="s">
        <v>2700</v>
      </c>
      <c r="B70" s="100">
        <v>5.25</v>
      </c>
      <c r="C70" s="100">
        <v>28.09</v>
      </c>
      <c r="D70" s="100">
        <v>20.23</v>
      </c>
      <c r="E70" s="100">
        <v>15.96</v>
      </c>
      <c r="F70" s="100">
        <v>1</v>
      </c>
      <c r="G70" s="100">
        <v>59.71</v>
      </c>
      <c r="H70" s="100">
        <v>17.809999999999999</v>
      </c>
      <c r="I70" s="100">
        <v>9.5399999999999991</v>
      </c>
      <c r="J70" s="100">
        <v>0.55000000000000004</v>
      </c>
      <c r="K70" s="100">
        <v>27.8</v>
      </c>
      <c r="L70" s="100">
        <v>28.44</v>
      </c>
      <c r="M70" s="100">
        <v>31.16</v>
      </c>
      <c r="N70" s="100">
        <v>54.8</v>
      </c>
      <c r="O70" s="100">
        <v>0</v>
      </c>
      <c r="P70" s="100">
        <v>0.64</v>
      </c>
      <c r="Q70" s="100">
        <v>12.05</v>
      </c>
      <c r="R70" s="6"/>
      <c r="S70" s="6"/>
      <c r="T70" s="156"/>
      <c r="U70" s="6"/>
    </row>
    <row r="71" spans="1:21" customFormat="1">
      <c r="A71" s="163" t="s">
        <v>2701</v>
      </c>
      <c r="B71" s="100">
        <v>5.19</v>
      </c>
      <c r="C71" s="100">
        <v>27.44</v>
      </c>
      <c r="D71" s="100">
        <v>19.850000000000001</v>
      </c>
      <c r="E71" s="100">
        <v>14.22</v>
      </c>
      <c r="F71" s="100">
        <v>1.0900000000000001</v>
      </c>
      <c r="G71" s="100">
        <v>58.58</v>
      </c>
      <c r="H71" s="100">
        <v>17.18</v>
      </c>
      <c r="I71" s="100">
        <v>9.34</v>
      </c>
      <c r="J71" s="100">
        <v>0.86</v>
      </c>
      <c r="K71" s="100">
        <v>35.380000000000003</v>
      </c>
      <c r="L71" s="100">
        <v>28.61</v>
      </c>
      <c r="M71" s="100">
        <v>30.59</v>
      </c>
      <c r="N71" s="100">
        <v>47.8</v>
      </c>
      <c r="O71" s="100">
        <v>0</v>
      </c>
      <c r="P71" s="100">
        <v>0.64</v>
      </c>
      <c r="Q71" s="100">
        <v>12.05</v>
      </c>
      <c r="R71" s="6"/>
      <c r="S71" s="6"/>
      <c r="T71" s="156"/>
      <c r="U71" s="6"/>
    </row>
    <row r="72" spans="1:21" customFormat="1">
      <c r="A72" s="163" t="s">
        <v>2702</v>
      </c>
      <c r="B72" s="100">
        <v>5.0999999999999996</v>
      </c>
      <c r="C72" s="100">
        <v>26.99</v>
      </c>
      <c r="D72" s="100">
        <v>19.54</v>
      </c>
      <c r="E72" s="100">
        <v>14.65</v>
      </c>
      <c r="F72" s="100">
        <v>1.66</v>
      </c>
      <c r="G72" s="100">
        <v>58.58</v>
      </c>
      <c r="H72" s="100">
        <v>17.18</v>
      </c>
      <c r="I72" s="100">
        <v>9.24</v>
      </c>
      <c r="J72" s="100">
        <v>0.66</v>
      </c>
      <c r="K72" s="100">
        <v>0.37</v>
      </c>
      <c r="L72" s="100">
        <v>28.6</v>
      </c>
      <c r="M72" s="100">
        <v>30.49</v>
      </c>
      <c r="N72" s="100">
        <v>42.4</v>
      </c>
      <c r="O72" s="100">
        <v>0</v>
      </c>
      <c r="P72" s="100">
        <v>0.63</v>
      </c>
      <c r="Q72" s="100">
        <v>12.05</v>
      </c>
      <c r="R72" s="6"/>
      <c r="S72" s="6"/>
      <c r="T72" s="156"/>
      <c r="U72" s="6"/>
    </row>
    <row r="73" spans="1:21" customFormat="1">
      <c r="A73" s="163" t="s">
        <v>2703</v>
      </c>
      <c r="B73" s="100">
        <v>5.0599999999999996</v>
      </c>
      <c r="C73" s="100">
        <v>26.61</v>
      </c>
      <c r="D73" s="100">
        <v>19.309999999999999</v>
      </c>
      <c r="E73" s="100">
        <v>13.58</v>
      </c>
      <c r="F73" s="100">
        <v>0.81</v>
      </c>
      <c r="G73" s="100">
        <v>58.58</v>
      </c>
      <c r="H73" s="100">
        <v>17.18</v>
      </c>
      <c r="I73" s="100">
        <v>9.16</v>
      </c>
      <c r="J73" s="100">
        <v>0.67</v>
      </c>
      <c r="K73" s="100">
        <v>26.47</v>
      </c>
      <c r="L73" s="100">
        <v>28.56</v>
      </c>
      <c r="M73" s="100">
        <v>30.43</v>
      </c>
      <c r="N73" s="100">
        <v>38</v>
      </c>
      <c r="O73" s="100">
        <v>0</v>
      </c>
      <c r="P73" s="100">
        <v>0.63</v>
      </c>
      <c r="Q73" s="100">
        <v>12.05</v>
      </c>
      <c r="R73" s="6"/>
      <c r="S73" s="6"/>
      <c r="T73" s="156"/>
      <c r="U73" s="6"/>
    </row>
    <row r="74" spans="1:21" customFormat="1">
      <c r="A74" s="163" t="s">
        <v>2704</v>
      </c>
      <c r="B74" s="100">
        <v>5.08</v>
      </c>
      <c r="C74" s="100">
        <v>26.25</v>
      </c>
      <c r="D74" s="100">
        <v>19.14</v>
      </c>
      <c r="E74" s="100">
        <v>13.09</v>
      </c>
      <c r="F74" s="100">
        <v>2.74</v>
      </c>
      <c r="G74" s="100">
        <v>58.34</v>
      </c>
      <c r="H74" s="100">
        <v>18.97</v>
      </c>
      <c r="I74" s="100">
        <v>8.9499999999999993</v>
      </c>
      <c r="J74" s="100">
        <v>0.45</v>
      </c>
      <c r="K74" s="100">
        <v>16.62</v>
      </c>
      <c r="L74" s="100">
        <v>28.44</v>
      </c>
      <c r="M74" s="100">
        <v>30.45</v>
      </c>
      <c r="N74" s="100">
        <v>34.799999999999997</v>
      </c>
      <c r="O74" s="100">
        <v>0</v>
      </c>
      <c r="P74" s="100">
        <v>0.63</v>
      </c>
      <c r="Q74" s="100">
        <v>12.05</v>
      </c>
      <c r="R74" s="6"/>
      <c r="S74" s="6"/>
      <c r="T74" s="156"/>
      <c r="U74" s="6"/>
    </row>
    <row r="75" spans="1:21" customFormat="1">
      <c r="A75" s="163" t="s">
        <v>2705</v>
      </c>
      <c r="B75" s="100">
        <v>5.03</v>
      </c>
      <c r="C75" s="100">
        <v>25.8</v>
      </c>
      <c r="D75" s="100">
        <v>18.87</v>
      </c>
      <c r="E75" s="100">
        <v>12.38</v>
      </c>
      <c r="F75" s="100">
        <v>1.55</v>
      </c>
      <c r="G75" s="100">
        <v>58.19</v>
      </c>
      <c r="H75" s="100">
        <v>19.329999999999998</v>
      </c>
      <c r="I75" s="100">
        <v>8.9499999999999993</v>
      </c>
      <c r="J75" s="100">
        <v>0.37</v>
      </c>
      <c r="K75" s="100">
        <v>295.82</v>
      </c>
      <c r="L75" s="100">
        <v>28.19</v>
      </c>
      <c r="M75" s="100">
        <v>32.56</v>
      </c>
      <c r="N75" s="100">
        <v>29</v>
      </c>
      <c r="O75" s="100">
        <v>0</v>
      </c>
      <c r="P75" s="100">
        <v>0.63</v>
      </c>
      <c r="Q75" s="100">
        <v>12.05</v>
      </c>
      <c r="R75" s="6"/>
      <c r="S75" s="6"/>
      <c r="T75" s="156"/>
      <c r="U75" s="6"/>
    </row>
    <row r="76" spans="1:21" customFormat="1">
      <c r="A76" s="163" t="s">
        <v>2706</v>
      </c>
      <c r="B76" s="100">
        <v>5.05</v>
      </c>
      <c r="C76" s="100">
        <v>25.53</v>
      </c>
      <c r="D76" s="100">
        <v>18.739999999999998</v>
      </c>
      <c r="E76" s="100">
        <v>11.39</v>
      </c>
      <c r="F76" s="100">
        <v>0.82</v>
      </c>
      <c r="G76" s="100">
        <v>58.19</v>
      </c>
      <c r="H76" s="100">
        <v>19.329999999999998</v>
      </c>
      <c r="I76" s="100">
        <v>8.76</v>
      </c>
      <c r="J76" s="100">
        <v>0.31</v>
      </c>
      <c r="K76" s="100">
        <v>16.75</v>
      </c>
      <c r="L76" s="100">
        <v>27.87</v>
      </c>
      <c r="M76" s="100">
        <v>33.21</v>
      </c>
      <c r="N76" s="100">
        <v>23.8</v>
      </c>
      <c r="O76" s="100">
        <v>0</v>
      </c>
      <c r="P76" s="100">
        <v>0.62</v>
      </c>
      <c r="Q76" s="100">
        <v>12.05</v>
      </c>
      <c r="R76" s="6"/>
      <c r="S76" s="6"/>
      <c r="T76" s="156"/>
      <c r="U76" s="6"/>
    </row>
    <row r="77" spans="1:21" customFormat="1">
      <c r="A77" s="163" t="s">
        <v>2707</v>
      </c>
      <c r="B77" s="100">
        <v>5.0999999999999996</v>
      </c>
      <c r="C77" s="100">
        <v>25.32</v>
      </c>
      <c r="D77" s="100">
        <v>18.670000000000002</v>
      </c>
      <c r="E77" s="100">
        <v>12.08</v>
      </c>
      <c r="F77" s="100">
        <v>0.53</v>
      </c>
      <c r="G77" s="100">
        <v>58.19</v>
      </c>
      <c r="H77" s="100">
        <v>19.329999999999998</v>
      </c>
      <c r="I77" s="100">
        <v>8.66</v>
      </c>
      <c r="J77" s="100">
        <v>0.4</v>
      </c>
      <c r="K77" s="100">
        <v>49.33</v>
      </c>
      <c r="L77" s="100">
        <v>27.79</v>
      </c>
      <c r="M77" s="100">
        <v>33.21</v>
      </c>
      <c r="N77" s="100">
        <v>15.9</v>
      </c>
      <c r="O77" s="100">
        <v>0</v>
      </c>
      <c r="P77" s="100">
        <v>0.64</v>
      </c>
      <c r="Q77" s="100">
        <v>12.05</v>
      </c>
      <c r="R77" s="6"/>
      <c r="S77" s="6"/>
      <c r="T77" s="156"/>
      <c r="U77" s="6"/>
    </row>
    <row r="78" spans="1:21" customFormat="1">
      <c r="A78" s="163" t="s">
        <v>2708</v>
      </c>
      <c r="B78" s="100">
        <v>5.23</v>
      </c>
      <c r="C78" s="100">
        <v>25.15</v>
      </c>
      <c r="D78" s="100">
        <v>18.690000000000001</v>
      </c>
      <c r="E78" s="100">
        <v>10.96</v>
      </c>
      <c r="F78" s="100">
        <v>0.55000000000000004</v>
      </c>
      <c r="G78" s="100">
        <v>57.43</v>
      </c>
      <c r="H78" s="100">
        <v>18.510000000000002</v>
      </c>
      <c r="I78" s="100">
        <v>8.76</v>
      </c>
      <c r="J78" s="100">
        <v>0.32</v>
      </c>
      <c r="K78" s="100">
        <v>58.88</v>
      </c>
      <c r="L78" s="100">
        <v>27.26</v>
      </c>
      <c r="M78" s="100">
        <v>35.770000000000003</v>
      </c>
      <c r="N78" s="100">
        <v>9.9</v>
      </c>
      <c r="O78" s="100">
        <v>0</v>
      </c>
      <c r="P78" s="100">
        <v>0.65</v>
      </c>
      <c r="Q78" s="100">
        <v>12.05</v>
      </c>
      <c r="R78" s="6"/>
      <c r="S78" s="6"/>
      <c r="T78" s="156"/>
      <c r="U78" s="6"/>
    </row>
    <row r="79" spans="1:21" customFormat="1">
      <c r="A79" s="163" t="s">
        <v>2709</v>
      </c>
      <c r="B79" s="100">
        <v>5.47</v>
      </c>
      <c r="C79" s="100">
        <v>25.04</v>
      </c>
      <c r="D79" s="100">
        <v>18.82</v>
      </c>
      <c r="E79" s="100">
        <v>9.6999999999999993</v>
      </c>
      <c r="F79" s="100">
        <v>0.71</v>
      </c>
      <c r="G79" s="100">
        <v>56.97</v>
      </c>
      <c r="H79" s="100">
        <v>18.34</v>
      </c>
      <c r="I79" s="100">
        <v>8.7899999999999991</v>
      </c>
      <c r="J79" s="100">
        <v>0.16</v>
      </c>
      <c r="K79" s="100">
        <v>109.39</v>
      </c>
      <c r="L79" s="100">
        <v>25.99</v>
      </c>
      <c r="M79" s="100">
        <v>41.72</v>
      </c>
      <c r="N79" s="100">
        <v>5.2</v>
      </c>
      <c r="O79" s="100">
        <v>0</v>
      </c>
      <c r="P79" s="100">
        <v>0.65</v>
      </c>
      <c r="Q79" s="100">
        <v>12.05</v>
      </c>
      <c r="R79" s="6"/>
      <c r="S79" s="6"/>
      <c r="T79" s="156"/>
      <c r="U79" s="6"/>
    </row>
    <row r="80" spans="1:21" customFormat="1">
      <c r="A80" s="163" t="s">
        <v>2710</v>
      </c>
      <c r="B80" s="100">
        <v>5.71</v>
      </c>
      <c r="C80" s="100">
        <v>24.95</v>
      </c>
      <c r="D80" s="100">
        <v>18.97</v>
      </c>
      <c r="E80" s="100">
        <v>10.01</v>
      </c>
      <c r="F80" s="100">
        <v>1.1499999999999999</v>
      </c>
      <c r="G80" s="100">
        <v>56.97</v>
      </c>
      <c r="H80" s="100">
        <v>18.34</v>
      </c>
      <c r="I80" s="100">
        <v>8.7799999999999994</v>
      </c>
      <c r="J80" s="100">
        <v>0.26</v>
      </c>
      <c r="K80" s="100">
        <v>145.51</v>
      </c>
      <c r="L80" s="100">
        <v>24.72</v>
      </c>
      <c r="M80" s="100">
        <v>48.47</v>
      </c>
      <c r="N80" s="100">
        <v>2.8</v>
      </c>
      <c r="O80" s="100">
        <v>0</v>
      </c>
      <c r="P80" s="100">
        <v>0.65</v>
      </c>
      <c r="Q80" s="100">
        <v>12.05</v>
      </c>
      <c r="R80" s="6"/>
      <c r="S80" s="6"/>
      <c r="T80" s="156"/>
      <c r="U80" s="6"/>
    </row>
    <row r="81" spans="1:21" customFormat="1">
      <c r="A81" s="163" t="s">
        <v>2711</v>
      </c>
      <c r="B81" s="100">
        <v>6.01</v>
      </c>
      <c r="C81" s="100">
        <v>24.85</v>
      </c>
      <c r="D81" s="100">
        <v>19.149999999999999</v>
      </c>
      <c r="E81" s="100">
        <v>10.02</v>
      </c>
      <c r="F81" s="100">
        <v>1.08</v>
      </c>
      <c r="G81" s="100">
        <v>56.97</v>
      </c>
      <c r="H81" s="100">
        <v>18.34</v>
      </c>
      <c r="I81" s="100">
        <v>8.81</v>
      </c>
      <c r="J81" s="100">
        <v>0.28999999999999998</v>
      </c>
      <c r="K81" s="100">
        <v>82.49</v>
      </c>
      <c r="L81" s="100">
        <v>24.27</v>
      </c>
      <c r="M81" s="100">
        <v>47.12</v>
      </c>
      <c r="N81" s="100">
        <v>1.5</v>
      </c>
      <c r="O81" s="100">
        <v>0</v>
      </c>
      <c r="P81" s="100">
        <v>0.67</v>
      </c>
      <c r="Q81" s="100">
        <v>12.05</v>
      </c>
      <c r="R81" s="6"/>
      <c r="S81" s="6"/>
      <c r="T81" s="156"/>
      <c r="U81" s="6"/>
    </row>
    <row r="82" spans="1:21" customFormat="1">
      <c r="A82" s="163" t="s">
        <v>2712</v>
      </c>
      <c r="B82" s="100">
        <v>6.39</v>
      </c>
      <c r="C82" s="100">
        <v>24.77</v>
      </c>
      <c r="D82" s="100">
        <v>19.420000000000002</v>
      </c>
      <c r="E82" s="100">
        <v>11.16</v>
      </c>
      <c r="F82" s="100">
        <v>1.0900000000000001</v>
      </c>
      <c r="G82" s="100">
        <v>69.540000000000006</v>
      </c>
      <c r="H82" s="100">
        <v>20.25</v>
      </c>
      <c r="I82" s="100">
        <v>8.66</v>
      </c>
      <c r="J82" s="100">
        <v>0.2</v>
      </c>
      <c r="K82" s="100">
        <v>114.57</v>
      </c>
      <c r="L82" s="100">
        <v>23.99</v>
      </c>
      <c r="M82" s="100">
        <v>50</v>
      </c>
      <c r="N82" s="100">
        <v>1.6</v>
      </c>
      <c r="O82" s="100">
        <v>0</v>
      </c>
      <c r="P82" s="100">
        <v>0.67</v>
      </c>
      <c r="Q82" s="100">
        <v>12.05</v>
      </c>
      <c r="R82" s="6"/>
      <c r="S82" s="6"/>
      <c r="T82" s="156"/>
      <c r="U82" s="6"/>
    </row>
    <row r="83" spans="1:21" customFormat="1">
      <c r="A83" s="163" t="s">
        <v>2713</v>
      </c>
      <c r="B83" s="100">
        <v>6.71</v>
      </c>
      <c r="C83" s="100">
        <v>24.93</v>
      </c>
      <c r="D83" s="100">
        <v>19.760000000000002</v>
      </c>
      <c r="E83" s="100">
        <v>11.15</v>
      </c>
      <c r="F83" s="100">
        <v>1.45</v>
      </c>
      <c r="G83" s="100">
        <v>77.180000000000007</v>
      </c>
      <c r="H83" s="100">
        <v>20.63</v>
      </c>
      <c r="I83" s="100">
        <v>8.86</v>
      </c>
      <c r="J83" s="100">
        <v>0.24</v>
      </c>
      <c r="K83" s="100">
        <v>151.31</v>
      </c>
      <c r="L83" s="100">
        <v>23.28</v>
      </c>
      <c r="M83" s="100">
        <v>56.46</v>
      </c>
      <c r="N83" s="100">
        <v>1.8</v>
      </c>
      <c r="O83" s="100">
        <v>0</v>
      </c>
      <c r="P83" s="100">
        <v>0.68</v>
      </c>
      <c r="Q83" s="100">
        <v>12.05</v>
      </c>
      <c r="R83" s="6"/>
      <c r="S83" s="6"/>
      <c r="T83" s="156"/>
      <c r="U83" s="6"/>
    </row>
    <row r="84" spans="1:21" customFormat="1">
      <c r="A84" s="163" t="s">
        <v>2714</v>
      </c>
      <c r="B84" s="100">
        <v>6.97</v>
      </c>
      <c r="C84" s="100">
        <v>24.9</v>
      </c>
      <c r="D84" s="100">
        <v>19.95</v>
      </c>
      <c r="E84" s="100">
        <v>11.44</v>
      </c>
      <c r="F84" s="100">
        <v>1.72</v>
      </c>
      <c r="G84" s="100">
        <v>77.180000000000007</v>
      </c>
      <c r="H84" s="100">
        <v>20.63</v>
      </c>
      <c r="I84" s="100">
        <v>8.99</v>
      </c>
      <c r="J84" s="100">
        <v>0.24</v>
      </c>
      <c r="K84" s="100">
        <v>169.97</v>
      </c>
      <c r="L84" s="100">
        <v>22.35</v>
      </c>
      <c r="M84" s="100">
        <v>63.3</v>
      </c>
      <c r="N84" s="100">
        <v>1.9</v>
      </c>
      <c r="O84" s="100">
        <v>0</v>
      </c>
      <c r="P84" s="100">
        <v>0.69</v>
      </c>
      <c r="Q84" s="100">
        <v>12.05</v>
      </c>
      <c r="R84" s="6"/>
      <c r="S84" s="6"/>
      <c r="T84" s="156"/>
      <c r="U84" s="6"/>
    </row>
    <row r="85" spans="1:21" customFormat="1">
      <c r="A85" s="163" t="s">
        <v>2715</v>
      </c>
      <c r="B85" s="100">
        <v>7.11</v>
      </c>
      <c r="C85" s="100">
        <v>24.9</v>
      </c>
      <c r="D85" s="100">
        <v>20.059999999999999</v>
      </c>
      <c r="E85" s="100">
        <v>10.99</v>
      </c>
      <c r="F85" s="100">
        <v>1.19</v>
      </c>
      <c r="G85" s="100">
        <v>77.180000000000007</v>
      </c>
      <c r="H85" s="100">
        <v>20.63</v>
      </c>
      <c r="I85" s="100">
        <v>9.0399999999999991</v>
      </c>
      <c r="J85" s="100">
        <v>0.23</v>
      </c>
      <c r="K85" s="100">
        <v>168.98</v>
      </c>
      <c r="L85" s="100">
        <v>22.11</v>
      </c>
      <c r="M85" s="100">
        <v>60.69</v>
      </c>
      <c r="N85" s="100">
        <v>1.4</v>
      </c>
      <c r="O85" s="100">
        <v>0</v>
      </c>
      <c r="P85" s="100">
        <v>0.73</v>
      </c>
      <c r="Q85" s="100">
        <v>12.05</v>
      </c>
      <c r="R85" s="6"/>
      <c r="S85" s="6"/>
      <c r="T85" s="156"/>
      <c r="U85" s="6"/>
    </row>
    <row r="86" spans="1:21" customFormat="1">
      <c r="A86" s="163" t="s">
        <v>2716</v>
      </c>
      <c r="B86" s="100">
        <v>7.21</v>
      </c>
      <c r="C86" s="100">
        <v>25.21</v>
      </c>
      <c r="D86" s="100">
        <v>20.309999999999999</v>
      </c>
      <c r="E86" s="100">
        <v>10.46</v>
      </c>
      <c r="F86" s="100">
        <v>0.94</v>
      </c>
      <c r="G86" s="100">
        <v>80.13</v>
      </c>
      <c r="H86" s="100">
        <v>21.86</v>
      </c>
      <c r="I86" s="100">
        <v>8.89</v>
      </c>
      <c r="J86" s="100">
        <v>0.24</v>
      </c>
      <c r="K86" s="100">
        <v>178.49</v>
      </c>
      <c r="L86" s="100">
        <v>21.9</v>
      </c>
      <c r="M86" s="100">
        <v>64.48</v>
      </c>
      <c r="N86" s="100">
        <v>1.5</v>
      </c>
      <c r="O86" s="100">
        <v>0</v>
      </c>
      <c r="P86" s="100">
        <v>0.76</v>
      </c>
      <c r="Q86" s="100">
        <v>12.05</v>
      </c>
      <c r="R86" s="6"/>
      <c r="S86" s="6"/>
      <c r="T86" s="156"/>
      <c r="U86" s="6"/>
    </row>
    <row r="87" spans="1:21" customFormat="1">
      <c r="A87" s="163" t="s">
        <v>2717</v>
      </c>
      <c r="B87" s="100">
        <v>7.34</v>
      </c>
      <c r="C87" s="100">
        <v>25.28</v>
      </c>
      <c r="D87" s="100">
        <v>20.45</v>
      </c>
      <c r="E87" s="100">
        <v>10.52</v>
      </c>
      <c r="F87" s="100">
        <v>1.79</v>
      </c>
      <c r="G87" s="100">
        <v>81.93</v>
      </c>
      <c r="H87" s="100">
        <v>22.1</v>
      </c>
      <c r="I87" s="100">
        <v>9.2799999999999994</v>
      </c>
      <c r="J87" s="100">
        <v>0.25</v>
      </c>
      <c r="K87" s="100">
        <v>199.39</v>
      </c>
      <c r="L87" s="100">
        <v>21.12</v>
      </c>
      <c r="M87" s="100">
        <v>67.69</v>
      </c>
      <c r="N87" s="100">
        <v>1.7</v>
      </c>
      <c r="O87" s="100">
        <v>0</v>
      </c>
      <c r="P87" s="100">
        <v>0.78</v>
      </c>
      <c r="Q87" s="100">
        <v>12.05</v>
      </c>
      <c r="R87" s="6"/>
      <c r="S87" s="6"/>
      <c r="T87" s="156"/>
      <c r="U87" s="6"/>
    </row>
    <row r="88" spans="1:21" customFormat="1">
      <c r="A88" s="163" t="s">
        <v>2718</v>
      </c>
      <c r="B88" s="100">
        <v>7.41</v>
      </c>
      <c r="C88" s="100">
        <v>25.53</v>
      </c>
      <c r="D88" s="100">
        <v>20.63</v>
      </c>
      <c r="E88" s="100">
        <v>10.52</v>
      </c>
      <c r="F88" s="100">
        <v>5.24</v>
      </c>
      <c r="G88" s="100">
        <v>81.93</v>
      </c>
      <c r="H88" s="100">
        <v>22.1</v>
      </c>
      <c r="I88" s="100">
        <v>9.68</v>
      </c>
      <c r="J88" s="100">
        <v>0.18</v>
      </c>
      <c r="K88" s="100">
        <v>208.13</v>
      </c>
      <c r="L88" s="100">
        <v>20.6</v>
      </c>
      <c r="M88" s="100">
        <v>66.13</v>
      </c>
      <c r="N88" s="100">
        <v>1.5</v>
      </c>
      <c r="O88" s="100">
        <v>0</v>
      </c>
      <c r="P88" s="100">
        <v>0.79</v>
      </c>
      <c r="Q88" s="100">
        <v>12.05</v>
      </c>
      <c r="R88" s="6"/>
      <c r="S88" s="6"/>
      <c r="T88" s="156"/>
      <c r="U88" s="6"/>
    </row>
    <row r="89" spans="1:21" customFormat="1">
      <c r="A89" s="163" t="s">
        <v>2719</v>
      </c>
      <c r="B89" s="100">
        <v>7.39</v>
      </c>
      <c r="C89" s="100">
        <v>25.51</v>
      </c>
      <c r="D89" s="100">
        <v>20.6</v>
      </c>
      <c r="E89" s="100">
        <v>10.4</v>
      </c>
      <c r="F89" s="100">
        <v>0.34</v>
      </c>
      <c r="G89" s="100">
        <v>81.93</v>
      </c>
      <c r="H89" s="100">
        <v>22.1</v>
      </c>
      <c r="I89" s="100">
        <v>10.02</v>
      </c>
      <c r="J89" s="100">
        <v>0.22</v>
      </c>
      <c r="K89" s="100">
        <v>208.96</v>
      </c>
      <c r="L89" s="100">
        <v>20.32</v>
      </c>
      <c r="M89" s="100">
        <v>68.680000000000007</v>
      </c>
      <c r="N89" s="100">
        <v>1.4</v>
      </c>
      <c r="O89" s="100">
        <v>0</v>
      </c>
      <c r="P89" s="100">
        <v>0.8</v>
      </c>
      <c r="Q89" s="100">
        <v>12.05</v>
      </c>
      <c r="R89" s="6"/>
      <c r="S89" s="6"/>
      <c r="T89" s="156"/>
      <c r="U89" s="6"/>
    </row>
    <row r="90" spans="1:21" customFormat="1">
      <c r="A90" s="163" t="s">
        <v>2720</v>
      </c>
      <c r="B90" s="100">
        <v>7.35</v>
      </c>
      <c r="C90" s="100">
        <v>25.35</v>
      </c>
      <c r="D90" s="100">
        <v>20.49</v>
      </c>
      <c r="E90" s="100">
        <v>10.71</v>
      </c>
      <c r="F90" s="100">
        <v>2.09</v>
      </c>
      <c r="G90" s="100">
        <v>84.28</v>
      </c>
      <c r="H90" s="100">
        <v>23.58</v>
      </c>
      <c r="I90" s="100">
        <v>10.18</v>
      </c>
      <c r="J90" s="100">
        <v>0.18</v>
      </c>
      <c r="K90" s="100">
        <v>176.12</v>
      </c>
      <c r="L90" s="100">
        <v>20.18</v>
      </c>
      <c r="M90" s="100">
        <v>69.22</v>
      </c>
      <c r="N90" s="100">
        <v>1.2</v>
      </c>
      <c r="O90" s="100">
        <v>0</v>
      </c>
      <c r="P90" s="100">
        <v>0.81</v>
      </c>
      <c r="Q90" s="100">
        <v>12.05</v>
      </c>
      <c r="R90" s="6"/>
      <c r="S90" s="6"/>
      <c r="T90" s="156"/>
      <c r="U90" s="6"/>
    </row>
    <row r="91" spans="1:21" customFormat="1">
      <c r="A91" s="163" t="s">
        <v>2721</v>
      </c>
      <c r="B91" s="100">
        <v>7.37</v>
      </c>
      <c r="C91" s="100">
        <v>25.09</v>
      </c>
      <c r="D91" s="100">
        <v>20.37</v>
      </c>
      <c r="E91" s="100">
        <v>10.39</v>
      </c>
      <c r="F91" s="100">
        <v>0.31</v>
      </c>
      <c r="G91" s="100">
        <v>85.71</v>
      </c>
      <c r="H91" s="100">
        <v>24.1</v>
      </c>
      <c r="I91" s="100">
        <v>10.220000000000001</v>
      </c>
      <c r="J91" s="100">
        <v>0.18</v>
      </c>
      <c r="K91" s="100">
        <v>159.72999999999999</v>
      </c>
      <c r="L91" s="100">
        <v>20.29</v>
      </c>
      <c r="M91" s="100">
        <v>66.59</v>
      </c>
      <c r="N91" s="100">
        <v>1</v>
      </c>
      <c r="O91" s="100">
        <v>0</v>
      </c>
      <c r="P91" s="100">
        <v>0.82</v>
      </c>
      <c r="Q91" s="100">
        <v>12.05</v>
      </c>
      <c r="R91" s="6"/>
      <c r="S91" s="6"/>
      <c r="T91" s="156"/>
      <c r="U91" s="6"/>
    </row>
    <row r="92" spans="1:21" customFormat="1">
      <c r="A92" s="163" t="s">
        <v>2722</v>
      </c>
      <c r="B92" s="100">
        <v>7.5</v>
      </c>
      <c r="C92" s="100">
        <v>24.98</v>
      </c>
      <c r="D92" s="100">
        <v>20.420000000000002</v>
      </c>
      <c r="E92" s="100">
        <v>10.73</v>
      </c>
      <c r="F92" s="100">
        <v>0.67</v>
      </c>
      <c r="G92" s="100">
        <v>85.71</v>
      </c>
      <c r="H92" s="100">
        <v>24.1</v>
      </c>
      <c r="I92" s="100">
        <v>10.3</v>
      </c>
      <c r="J92" s="100">
        <v>0.18</v>
      </c>
      <c r="K92" s="100">
        <v>220.91</v>
      </c>
      <c r="L92" s="100">
        <v>20.2</v>
      </c>
      <c r="M92" s="100">
        <v>66.73</v>
      </c>
      <c r="N92" s="100">
        <v>1.2</v>
      </c>
      <c r="O92" s="100">
        <v>0</v>
      </c>
      <c r="P92" s="100">
        <v>0.83</v>
      </c>
      <c r="Q92" s="100">
        <v>12.05</v>
      </c>
      <c r="R92" s="6"/>
      <c r="S92" s="6"/>
      <c r="T92" s="156"/>
      <c r="U92" s="6"/>
    </row>
    <row r="93" spans="1:21" customFormat="1">
      <c r="A93" s="163" t="s">
        <v>2723</v>
      </c>
      <c r="B93" s="100">
        <v>7.57</v>
      </c>
      <c r="C93" s="100">
        <v>24.89</v>
      </c>
      <c r="D93" s="100">
        <v>20.43</v>
      </c>
      <c r="E93" s="100">
        <v>10.02</v>
      </c>
      <c r="F93" s="100">
        <v>0.9</v>
      </c>
      <c r="G93" s="100">
        <v>85.71</v>
      </c>
      <c r="H93" s="100">
        <v>24.1</v>
      </c>
      <c r="I93" s="100">
        <v>10.41</v>
      </c>
      <c r="J93" s="100">
        <v>0.18</v>
      </c>
      <c r="K93" s="100">
        <v>162.36000000000001</v>
      </c>
      <c r="L93" s="100">
        <v>20</v>
      </c>
      <c r="M93" s="100">
        <v>66.92</v>
      </c>
      <c r="N93" s="100">
        <v>1.2</v>
      </c>
      <c r="O93" s="100">
        <v>0</v>
      </c>
      <c r="P93" s="100">
        <v>0.83</v>
      </c>
      <c r="Q93" s="100">
        <v>12.05</v>
      </c>
      <c r="R93" s="6"/>
      <c r="S93" s="6"/>
      <c r="T93" s="156"/>
      <c r="U93" s="6"/>
    </row>
    <row r="94" spans="1:21" customFormat="1">
      <c r="A94" s="163" t="s">
        <v>2724</v>
      </c>
      <c r="B94" s="100">
        <v>8.1199999999999992</v>
      </c>
      <c r="C94" s="100">
        <v>25.14</v>
      </c>
      <c r="D94" s="100">
        <v>21</v>
      </c>
      <c r="E94" s="100">
        <v>10.45</v>
      </c>
      <c r="F94" s="100">
        <v>1.46</v>
      </c>
      <c r="G94" s="100">
        <v>88.12</v>
      </c>
      <c r="H94" s="100">
        <v>20.85</v>
      </c>
      <c r="I94" s="100">
        <v>10.48</v>
      </c>
      <c r="J94" s="100">
        <v>0.2</v>
      </c>
      <c r="K94" s="100">
        <v>160.18</v>
      </c>
      <c r="L94" s="100">
        <v>19.97</v>
      </c>
      <c r="M94" s="100">
        <v>68.739999999999995</v>
      </c>
      <c r="N94" s="100">
        <v>1.1000000000000001</v>
      </c>
      <c r="O94" s="100">
        <v>0</v>
      </c>
      <c r="P94" s="100">
        <v>0.85</v>
      </c>
      <c r="Q94" s="100">
        <v>12.05</v>
      </c>
      <c r="R94" s="6"/>
      <c r="S94" s="6"/>
      <c r="T94" s="156"/>
      <c r="U94" s="6"/>
    </row>
    <row r="95" spans="1:21" customFormat="1">
      <c r="A95" s="163" t="s">
        <v>2725</v>
      </c>
      <c r="B95" s="100">
        <v>9.41</v>
      </c>
      <c r="C95" s="100">
        <v>25.53</v>
      </c>
      <c r="D95" s="100">
        <v>22.23</v>
      </c>
      <c r="E95" s="100">
        <v>10.34</v>
      </c>
      <c r="F95" s="100">
        <v>1.28</v>
      </c>
      <c r="G95" s="100">
        <v>89.58</v>
      </c>
      <c r="H95" s="100">
        <v>20.190000000000001</v>
      </c>
      <c r="I95" s="100">
        <v>10.49</v>
      </c>
      <c r="J95" s="100">
        <v>0.19</v>
      </c>
      <c r="K95" s="100">
        <v>163.34</v>
      </c>
      <c r="L95" s="100">
        <v>19.82</v>
      </c>
      <c r="M95" s="100">
        <v>71.56</v>
      </c>
      <c r="N95" s="100">
        <v>1</v>
      </c>
      <c r="O95" s="100">
        <v>0</v>
      </c>
      <c r="P95" s="100">
        <v>0.87</v>
      </c>
      <c r="Q95" s="100">
        <v>12.05</v>
      </c>
      <c r="R95" s="6"/>
      <c r="S95" s="6"/>
      <c r="T95" s="156"/>
      <c r="U95" s="6"/>
    </row>
    <row r="96" spans="1:21" customFormat="1">
      <c r="A96" s="163" t="s">
        <v>2726</v>
      </c>
      <c r="B96" s="100">
        <v>11.4</v>
      </c>
      <c r="C96" s="100">
        <v>25.85</v>
      </c>
      <c r="D96" s="100">
        <v>24</v>
      </c>
      <c r="E96" s="100">
        <v>10.53</v>
      </c>
      <c r="F96" s="100">
        <v>0.97</v>
      </c>
      <c r="G96" s="100">
        <v>89.58</v>
      </c>
      <c r="H96" s="100">
        <v>20.190000000000001</v>
      </c>
      <c r="I96" s="100">
        <v>10.62</v>
      </c>
      <c r="J96" s="100">
        <v>0.21</v>
      </c>
      <c r="K96" s="100">
        <v>149.01</v>
      </c>
      <c r="L96" s="100">
        <v>19.87</v>
      </c>
      <c r="M96" s="100">
        <v>70.150000000000006</v>
      </c>
      <c r="N96" s="100">
        <v>1.2</v>
      </c>
      <c r="O96" s="100">
        <v>0</v>
      </c>
      <c r="P96" s="100">
        <v>0.89</v>
      </c>
      <c r="Q96" s="100">
        <v>12.05</v>
      </c>
      <c r="R96" s="6"/>
      <c r="S96" s="6"/>
      <c r="T96" s="156"/>
      <c r="U96" s="6"/>
    </row>
    <row r="97" spans="1:28" customFormat="1">
      <c r="A97" s="163" t="s">
        <v>2727</v>
      </c>
      <c r="B97" s="100">
        <v>13.91</v>
      </c>
      <c r="C97" s="100">
        <v>26.3</v>
      </c>
      <c r="D97" s="100">
        <v>26.25</v>
      </c>
      <c r="E97" s="100">
        <v>10.59</v>
      </c>
      <c r="F97" s="100">
        <v>1.01</v>
      </c>
      <c r="G97" s="100">
        <v>89.58</v>
      </c>
      <c r="H97" s="100">
        <v>20.190000000000001</v>
      </c>
      <c r="I97" s="100">
        <v>10.72</v>
      </c>
      <c r="J97" s="100">
        <v>0.2</v>
      </c>
      <c r="K97" s="100">
        <v>128.62</v>
      </c>
      <c r="L97" s="100">
        <v>19.82</v>
      </c>
      <c r="M97" s="100">
        <v>68.650000000000006</v>
      </c>
      <c r="N97" s="100">
        <v>1.1000000000000001</v>
      </c>
      <c r="O97" s="100">
        <v>0</v>
      </c>
      <c r="P97" s="100">
        <v>0.92</v>
      </c>
      <c r="Q97" s="100">
        <v>12.05</v>
      </c>
      <c r="R97" s="6"/>
      <c r="S97" s="6"/>
      <c r="T97" s="156"/>
      <c r="U97" s="6"/>
    </row>
    <row r="98" spans="1:28" customFormat="1">
      <c r="A98" s="163" t="s">
        <v>2728</v>
      </c>
      <c r="B98" s="100">
        <v>16.43</v>
      </c>
      <c r="C98" s="100">
        <v>26.77</v>
      </c>
      <c r="D98" s="100">
        <v>28.52</v>
      </c>
      <c r="E98" s="100">
        <v>10.28</v>
      </c>
      <c r="F98" s="100">
        <v>1.96</v>
      </c>
      <c r="G98" s="100">
        <v>95.39</v>
      </c>
      <c r="H98" s="100">
        <v>21.78</v>
      </c>
      <c r="I98" s="100">
        <v>10.89</v>
      </c>
      <c r="J98" s="100">
        <v>0.18</v>
      </c>
      <c r="K98" s="100">
        <v>153.63999999999999</v>
      </c>
      <c r="L98" s="100">
        <v>19.87</v>
      </c>
      <c r="M98" s="100">
        <v>68.430000000000007</v>
      </c>
      <c r="N98" s="100">
        <v>1.2</v>
      </c>
      <c r="O98" s="100">
        <v>0</v>
      </c>
      <c r="P98" s="100">
        <v>0.94</v>
      </c>
      <c r="Q98" s="100">
        <v>12.05</v>
      </c>
      <c r="R98" s="6"/>
      <c r="S98" s="6"/>
      <c r="T98" s="156"/>
      <c r="U98" s="6"/>
    </row>
    <row r="99" spans="1:28" customFormat="1">
      <c r="A99" s="163" t="s">
        <v>2729</v>
      </c>
      <c r="B99" s="100">
        <v>18.72</v>
      </c>
      <c r="C99" s="100">
        <v>27.06</v>
      </c>
      <c r="D99" s="100">
        <v>30.5</v>
      </c>
      <c r="E99" s="100">
        <v>11.05</v>
      </c>
      <c r="F99" s="100">
        <v>0.95</v>
      </c>
      <c r="G99" s="100">
        <v>98.92</v>
      </c>
      <c r="H99" s="100">
        <v>22.1</v>
      </c>
      <c r="I99" s="100">
        <v>11.07</v>
      </c>
      <c r="J99" s="100">
        <v>0.23</v>
      </c>
      <c r="K99" s="100">
        <v>168.04</v>
      </c>
      <c r="L99" s="100">
        <v>19.440000000000001</v>
      </c>
      <c r="M99" s="100">
        <v>73.47</v>
      </c>
      <c r="N99" s="100">
        <v>1.3</v>
      </c>
      <c r="O99" s="100">
        <v>0</v>
      </c>
      <c r="P99" s="100">
        <v>0.97</v>
      </c>
      <c r="Q99" s="100">
        <v>12.05</v>
      </c>
      <c r="R99" s="6"/>
      <c r="S99" s="6"/>
      <c r="T99" s="156"/>
      <c r="U99" s="6"/>
    </row>
    <row r="100" spans="1:28" customFormat="1">
      <c r="A100" s="163" t="s">
        <v>2730</v>
      </c>
      <c r="B100" s="100">
        <v>20.52</v>
      </c>
      <c r="C100" s="100">
        <v>27.21</v>
      </c>
      <c r="D100" s="100">
        <v>32.020000000000003</v>
      </c>
      <c r="E100" s="100">
        <v>10.94</v>
      </c>
      <c r="F100" s="100">
        <v>2.1800000000000002</v>
      </c>
      <c r="G100" s="100">
        <v>98.92</v>
      </c>
      <c r="H100" s="100">
        <v>22.1</v>
      </c>
      <c r="I100" s="100">
        <v>11.33</v>
      </c>
      <c r="J100" s="100">
        <v>0.2</v>
      </c>
      <c r="K100" s="100">
        <v>162.27000000000001</v>
      </c>
      <c r="L100" s="100">
        <v>19.09</v>
      </c>
      <c r="M100" s="100">
        <v>76.62</v>
      </c>
      <c r="N100" s="100">
        <v>1.3</v>
      </c>
      <c r="O100" s="100">
        <v>0</v>
      </c>
      <c r="P100" s="100">
        <v>0.99</v>
      </c>
      <c r="Q100" s="100">
        <v>12.05</v>
      </c>
      <c r="R100" s="6"/>
      <c r="S100" s="6"/>
      <c r="T100" s="156"/>
      <c r="U100" s="6"/>
      <c r="AB100" s="161"/>
    </row>
    <row r="101" spans="1:28" customFormat="1">
      <c r="A101" s="163" t="s">
        <v>2731</v>
      </c>
      <c r="B101" s="100">
        <v>22.23</v>
      </c>
      <c r="C101" s="100">
        <v>27.37</v>
      </c>
      <c r="D101" s="100">
        <v>33.479999999999997</v>
      </c>
      <c r="E101" s="100">
        <v>10.15</v>
      </c>
      <c r="F101" s="100">
        <v>2.35</v>
      </c>
      <c r="G101" s="100">
        <v>98.92</v>
      </c>
      <c r="H101" s="100">
        <v>22.1</v>
      </c>
      <c r="I101" s="100">
        <v>11.62</v>
      </c>
      <c r="J101" s="100">
        <v>0.2</v>
      </c>
      <c r="K101" s="100">
        <v>165.95</v>
      </c>
      <c r="L101" s="100">
        <v>19.03</v>
      </c>
      <c r="M101" s="100">
        <v>74.39</v>
      </c>
      <c r="N101" s="100">
        <v>1.1000000000000001</v>
      </c>
      <c r="O101" s="100">
        <v>0</v>
      </c>
      <c r="P101" s="100">
        <v>1.01</v>
      </c>
      <c r="Q101" s="100">
        <v>12.05</v>
      </c>
      <c r="R101" s="6"/>
      <c r="S101" s="6"/>
      <c r="T101" s="156"/>
      <c r="U101" s="6"/>
    </row>
    <row r="102" spans="1:28" customFormat="1">
      <c r="A102" s="163" t="s">
        <v>2732</v>
      </c>
      <c r="B102" s="100">
        <v>23.91</v>
      </c>
      <c r="C102" s="100">
        <v>27.57</v>
      </c>
      <c r="D102" s="100">
        <v>34.93</v>
      </c>
      <c r="E102" s="100">
        <v>10.58</v>
      </c>
      <c r="F102" s="100">
        <v>3.18</v>
      </c>
      <c r="G102" s="100">
        <v>108.8</v>
      </c>
      <c r="H102" s="100">
        <v>25.83</v>
      </c>
      <c r="I102" s="100">
        <v>11.84</v>
      </c>
      <c r="J102" s="100">
        <v>0.13</v>
      </c>
      <c r="K102" s="100">
        <v>166.2</v>
      </c>
      <c r="L102" s="100">
        <v>18.739999999999998</v>
      </c>
      <c r="M102" s="100">
        <v>77.349999999999994</v>
      </c>
      <c r="N102" s="100">
        <v>1.4</v>
      </c>
      <c r="O102" s="100">
        <v>0</v>
      </c>
      <c r="P102" s="100">
        <v>1.03</v>
      </c>
      <c r="Q102" s="100">
        <v>12.05</v>
      </c>
      <c r="R102" s="6"/>
      <c r="S102" s="6"/>
      <c r="T102" s="156"/>
      <c r="U102" s="6"/>
    </row>
    <row r="103" spans="1:28" customFormat="1">
      <c r="A103" s="163" t="s">
        <v>2733</v>
      </c>
      <c r="B103" s="100">
        <v>25.55</v>
      </c>
      <c r="C103" s="100">
        <v>28.06</v>
      </c>
      <c r="D103" s="100">
        <v>36.5</v>
      </c>
      <c r="E103" s="100">
        <v>10.36</v>
      </c>
      <c r="F103" s="100">
        <v>1.25</v>
      </c>
      <c r="G103" s="100">
        <v>114.8</v>
      </c>
      <c r="H103" s="100">
        <v>26.57</v>
      </c>
      <c r="I103" s="100">
        <v>11.99</v>
      </c>
      <c r="J103" s="100">
        <v>0.12</v>
      </c>
      <c r="K103" s="100">
        <v>151.80000000000001</v>
      </c>
      <c r="L103" s="100">
        <v>18.95</v>
      </c>
      <c r="M103" s="100">
        <v>70.13</v>
      </c>
      <c r="N103" s="100">
        <v>0.9</v>
      </c>
      <c r="O103" s="100">
        <v>0</v>
      </c>
      <c r="P103" s="100">
        <v>1.04</v>
      </c>
      <c r="Q103" s="100">
        <v>12.05</v>
      </c>
      <c r="R103" s="6"/>
      <c r="S103" s="6"/>
      <c r="T103" s="156"/>
      <c r="U103" s="6"/>
    </row>
    <row r="104" spans="1:28" customFormat="1">
      <c r="A104" s="163" t="s">
        <v>2734</v>
      </c>
      <c r="B104" s="100">
        <v>27.34</v>
      </c>
      <c r="C104" s="100">
        <v>28.59</v>
      </c>
      <c r="D104" s="100">
        <v>38.21</v>
      </c>
      <c r="E104" s="100">
        <v>11.09</v>
      </c>
      <c r="F104" s="100">
        <v>1.17</v>
      </c>
      <c r="G104" s="100">
        <v>114.8</v>
      </c>
      <c r="H104" s="100">
        <v>26.57</v>
      </c>
      <c r="I104" s="100">
        <v>12.18</v>
      </c>
      <c r="J104" s="100">
        <v>0.11</v>
      </c>
      <c r="K104" s="100">
        <v>127.02</v>
      </c>
      <c r="L104" s="100">
        <v>19.079999999999998</v>
      </c>
      <c r="M104" s="100">
        <v>68.05</v>
      </c>
      <c r="N104" s="100">
        <v>1</v>
      </c>
      <c r="O104" s="100">
        <v>0</v>
      </c>
      <c r="P104" s="100">
        <v>1.04</v>
      </c>
      <c r="Q104" s="100">
        <v>12.05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5.03</v>
      </c>
      <c r="C106" s="158">
        <f>MIN(C9:C104)</f>
        <v>24.77</v>
      </c>
      <c r="D106" s="158">
        <f t="shared" ref="D106:Q106" si="0">MIN(D9:D104)</f>
        <v>18.670000000000002</v>
      </c>
      <c r="E106" s="158">
        <f t="shared" si="0"/>
        <v>7.25</v>
      </c>
      <c r="F106" s="158">
        <f t="shared" si="0"/>
        <v>0.17</v>
      </c>
      <c r="G106" s="158">
        <f t="shared" si="0"/>
        <v>56.97</v>
      </c>
      <c r="H106" s="158">
        <f t="shared" si="0"/>
        <v>17.18</v>
      </c>
      <c r="I106" s="158">
        <f t="shared" si="0"/>
        <v>8.66</v>
      </c>
      <c r="J106" s="158">
        <f t="shared" si="0"/>
        <v>0.11</v>
      </c>
      <c r="K106" s="158">
        <f t="shared" si="0"/>
        <v>0.37</v>
      </c>
      <c r="L106" s="158">
        <f t="shared" si="0"/>
        <v>15.69</v>
      </c>
      <c r="M106" s="158">
        <f t="shared" si="0"/>
        <v>30.43</v>
      </c>
      <c r="N106" s="158">
        <f t="shared" si="0"/>
        <v>0.5</v>
      </c>
      <c r="O106" s="158">
        <f t="shared" si="0"/>
        <v>0</v>
      </c>
      <c r="P106" s="158">
        <f t="shared" si="0"/>
        <v>0.62</v>
      </c>
      <c r="Q106" s="158">
        <f t="shared" si="0"/>
        <v>12.05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31.29</v>
      </c>
      <c r="C107" s="157">
        <f t="shared" ref="C107:Q107" si="1">MAX(C9:C104)</f>
        <v>33.159999999999997</v>
      </c>
      <c r="D107" s="157">
        <f t="shared" si="1"/>
        <v>40.93</v>
      </c>
      <c r="E107" s="157">
        <f t="shared" si="1"/>
        <v>15.96</v>
      </c>
      <c r="F107" s="157">
        <f t="shared" si="1"/>
        <v>5.24</v>
      </c>
      <c r="G107" s="157">
        <f t="shared" si="1"/>
        <v>116.06</v>
      </c>
      <c r="H107" s="157">
        <f t="shared" si="1"/>
        <v>31.49</v>
      </c>
      <c r="I107" s="157">
        <f t="shared" si="1"/>
        <v>18.45</v>
      </c>
      <c r="J107" s="157">
        <f t="shared" si="1"/>
        <v>1.18</v>
      </c>
      <c r="K107" s="157">
        <f t="shared" si="1"/>
        <v>295.82</v>
      </c>
      <c r="L107" s="157">
        <f t="shared" si="1"/>
        <v>29.34</v>
      </c>
      <c r="M107" s="157">
        <f t="shared" si="1"/>
        <v>96.95</v>
      </c>
      <c r="N107" s="157">
        <f t="shared" si="1"/>
        <v>416.6</v>
      </c>
      <c r="O107" s="157">
        <f t="shared" si="1"/>
        <v>0</v>
      </c>
      <c r="P107" s="157">
        <f t="shared" si="1"/>
        <v>1.25</v>
      </c>
      <c r="Q107" s="157">
        <f t="shared" si="1"/>
        <v>12.05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16.739791666666669</v>
      </c>
      <c r="C108" s="158">
        <f t="shared" ref="C108:Q108" si="2">AVERAGE(C9:C104)</f>
        <v>28.131250000000005</v>
      </c>
      <c r="D108" s="158">
        <f t="shared" si="2"/>
        <v>29.473333333333315</v>
      </c>
      <c r="E108" s="158">
        <f t="shared" si="2"/>
        <v>10.316145833333339</v>
      </c>
      <c r="F108" s="158">
        <f t="shared" si="2"/>
        <v>1.3583333333333334</v>
      </c>
      <c r="G108" s="158">
        <f t="shared" si="2"/>
        <v>87.328645833333326</v>
      </c>
      <c r="H108" s="158">
        <f t="shared" si="2"/>
        <v>24.822812500000001</v>
      </c>
      <c r="I108" s="158">
        <f t="shared" si="2"/>
        <v>13.371458333333331</v>
      </c>
      <c r="J108" s="158">
        <f t="shared" si="2"/>
        <v>0.3540625</v>
      </c>
      <c r="K108" s="158">
        <f t="shared" si="2"/>
        <v>115.64312500000001</v>
      </c>
      <c r="L108" s="158">
        <f t="shared" si="2"/>
        <v>21.953749999999985</v>
      </c>
      <c r="M108" s="158">
        <f t="shared" si="2"/>
        <v>61.957916666666669</v>
      </c>
      <c r="N108" s="158">
        <f t="shared" si="2"/>
        <v>91.735416666666652</v>
      </c>
      <c r="O108" s="158">
        <f t="shared" si="2"/>
        <v>0</v>
      </c>
      <c r="P108" s="158">
        <f t="shared" si="2"/>
        <v>0.94364583333333363</v>
      </c>
      <c r="Q108" s="158">
        <f t="shared" si="2"/>
        <v>12.049999999999978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9.920359923348137</v>
      </c>
      <c r="C109" s="158">
        <f t="shared" ref="C109:Q109" si="3">STDEV(C9:C104)</f>
        <v>2.4919437562293667</v>
      </c>
      <c r="D109" s="158">
        <f t="shared" si="3"/>
        <v>8.0170949807162959</v>
      </c>
      <c r="E109" s="158">
        <f t="shared" si="3"/>
        <v>1.3342842510946655</v>
      </c>
      <c r="F109" s="158">
        <f t="shared" si="3"/>
        <v>1.0155523948406933</v>
      </c>
      <c r="G109" s="158">
        <f t="shared" si="3"/>
        <v>18.922652235366286</v>
      </c>
      <c r="H109" s="158">
        <f t="shared" si="3"/>
        <v>4.5457113861945979</v>
      </c>
      <c r="I109" s="158">
        <f t="shared" si="3"/>
        <v>3.4481381640307927</v>
      </c>
      <c r="J109" s="158">
        <f t="shared" si="3"/>
        <v>0.24976021395267137</v>
      </c>
      <c r="K109" s="158">
        <f t="shared" si="3"/>
        <v>64.252341449246174</v>
      </c>
      <c r="L109" s="158">
        <f t="shared" si="3"/>
        <v>4.5474525546554796</v>
      </c>
      <c r="M109" s="158">
        <f t="shared" si="3"/>
        <v>23.324165192559967</v>
      </c>
      <c r="N109" s="158">
        <f t="shared" si="3"/>
        <v>145.07375835772325</v>
      </c>
      <c r="O109" s="158">
        <f t="shared" si="3"/>
        <v>0</v>
      </c>
      <c r="P109" s="158">
        <f t="shared" si="3"/>
        <v>0.2222474665851287</v>
      </c>
      <c r="Q109" s="158">
        <f t="shared" si="3"/>
        <v>2.3213860946748533E-14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F54" sqref="F54:F9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27/01/2025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2735</v>
      </c>
      <c r="B9" s="100">
        <v>28.18</v>
      </c>
      <c r="C9" s="100">
        <v>29.79</v>
      </c>
      <c r="D9" s="100">
        <v>39.520000000000003</v>
      </c>
      <c r="E9" s="100">
        <v>11.1</v>
      </c>
      <c r="F9" s="100">
        <v>0.87</v>
      </c>
      <c r="G9" s="100">
        <v>114.8</v>
      </c>
      <c r="H9" s="100">
        <v>26.57</v>
      </c>
      <c r="I9" s="100">
        <v>12.27</v>
      </c>
      <c r="J9" s="100">
        <v>0.13</v>
      </c>
      <c r="K9" s="100">
        <v>98.78</v>
      </c>
      <c r="L9" s="100">
        <v>19.13</v>
      </c>
      <c r="M9" s="100">
        <v>64.8</v>
      </c>
      <c r="N9" s="100">
        <v>1</v>
      </c>
      <c r="O9" s="100">
        <v>0</v>
      </c>
      <c r="P9" s="100">
        <v>1.04</v>
      </c>
      <c r="Q9" s="100">
        <v>13.25</v>
      </c>
      <c r="R9" s="6"/>
      <c r="S9" s="6"/>
      <c r="T9" s="156"/>
      <c r="U9" s="6"/>
    </row>
    <row r="10" spans="1:21" customFormat="1">
      <c r="A10" s="163" t="s">
        <v>2736</v>
      </c>
      <c r="B10" s="100">
        <v>28.33</v>
      </c>
      <c r="C10" s="100">
        <v>29.94</v>
      </c>
      <c r="D10" s="100">
        <v>39.71</v>
      </c>
      <c r="E10" s="100">
        <v>10.87</v>
      </c>
      <c r="F10" s="100">
        <v>2.85</v>
      </c>
      <c r="G10" s="100">
        <v>110.61</v>
      </c>
      <c r="H10" s="100">
        <v>25.61</v>
      </c>
      <c r="I10" s="100">
        <v>12.28</v>
      </c>
      <c r="J10" s="100">
        <v>0.13</v>
      </c>
      <c r="K10" s="100">
        <v>92.74</v>
      </c>
      <c r="L10" s="100">
        <v>18.86</v>
      </c>
      <c r="M10" s="100">
        <v>65.7</v>
      </c>
      <c r="N10" s="100">
        <v>1.1000000000000001</v>
      </c>
      <c r="O10" s="100">
        <v>0</v>
      </c>
      <c r="P10" s="100">
        <v>1.03</v>
      </c>
      <c r="Q10" s="100">
        <v>13.25</v>
      </c>
      <c r="R10" s="6"/>
      <c r="S10" s="6"/>
      <c r="T10" s="156"/>
      <c r="U10" s="6"/>
    </row>
    <row r="11" spans="1:21" customFormat="1">
      <c r="A11" s="163" t="s">
        <v>2737</v>
      </c>
      <c r="B11" s="100">
        <v>28.11</v>
      </c>
      <c r="C11" s="100">
        <v>30</v>
      </c>
      <c r="D11" s="100">
        <v>39.57</v>
      </c>
      <c r="E11" s="100">
        <v>11.24</v>
      </c>
      <c r="F11" s="100">
        <v>2.29</v>
      </c>
      <c r="G11" s="100">
        <v>108.07</v>
      </c>
      <c r="H11" s="100">
        <v>25.42</v>
      </c>
      <c r="I11" s="100">
        <v>12.28</v>
      </c>
      <c r="J11" s="100">
        <v>7.0000000000000007E-2</v>
      </c>
      <c r="K11" s="100">
        <v>38.450000000000003</v>
      </c>
      <c r="L11" s="100">
        <v>18.73</v>
      </c>
      <c r="M11" s="100">
        <v>65.19</v>
      </c>
      <c r="N11" s="100">
        <v>1.2</v>
      </c>
      <c r="O11" s="100">
        <v>0</v>
      </c>
      <c r="P11" s="100">
        <v>1.01</v>
      </c>
      <c r="Q11" s="100">
        <v>13.25</v>
      </c>
      <c r="R11" s="6"/>
      <c r="S11" s="6"/>
      <c r="T11" s="156"/>
      <c r="U11" s="6"/>
    </row>
    <row r="12" spans="1:21" customFormat="1">
      <c r="A12" s="163" t="s">
        <v>2738</v>
      </c>
      <c r="B12" s="100">
        <v>27.55</v>
      </c>
      <c r="C12" s="100">
        <v>29.95</v>
      </c>
      <c r="D12" s="100">
        <v>39.1</v>
      </c>
      <c r="E12" s="100">
        <v>10.82</v>
      </c>
      <c r="F12" s="100">
        <v>0.68</v>
      </c>
      <c r="G12" s="100">
        <v>108.07</v>
      </c>
      <c r="H12" s="100">
        <v>25.42</v>
      </c>
      <c r="I12" s="100">
        <v>12.27</v>
      </c>
      <c r="J12" s="100">
        <v>0.05</v>
      </c>
      <c r="K12" s="100">
        <v>61.47</v>
      </c>
      <c r="L12" s="100">
        <v>18.53</v>
      </c>
      <c r="M12" s="100">
        <v>65.41</v>
      </c>
      <c r="N12" s="100">
        <v>1.2</v>
      </c>
      <c r="O12" s="100">
        <v>0</v>
      </c>
      <c r="P12" s="100">
        <v>1</v>
      </c>
      <c r="Q12" s="100">
        <v>13.25</v>
      </c>
      <c r="R12" s="6"/>
      <c r="S12" s="6"/>
      <c r="T12" s="156"/>
      <c r="U12" s="6"/>
    </row>
    <row r="13" spans="1:21" customFormat="1">
      <c r="A13" s="163" t="s">
        <v>2739</v>
      </c>
      <c r="B13" s="100">
        <v>26.97</v>
      </c>
      <c r="C13" s="100">
        <v>30</v>
      </c>
      <c r="D13" s="100">
        <v>38.659999999999997</v>
      </c>
      <c r="E13" s="100">
        <v>11.15</v>
      </c>
      <c r="F13" s="100">
        <v>0.88</v>
      </c>
      <c r="G13" s="100">
        <v>108.07</v>
      </c>
      <c r="H13" s="100">
        <v>25.42</v>
      </c>
      <c r="I13" s="100">
        <v>12.23</v>
      </c>
      <c r="J13" s="100">
        <v>0.11</v>
      </c>
      <c r="K13" s="100">
        <v>42.67</v>
      </c>
      <c r="L13" s="100">
        <v>18.36</v>
      </c>
      <c r="M13" s="100">
        <v>63.57</v>
      </c>
      <c r="N13" s="100">
        <v>1.1000000000000001</v>
      </c>
      <c r="O13" s="100">
        <v>0</v>
      </c>
      <c r="P13" s="100">
        <v>0.99</v>
      </c>
      <c r="Q13" s="100">
        <v>13.25</v>
      </c>
      <c r="R13" s="6"/>
      <c r="S13" s="6"/>
      <c r="T13" s="156"/>
      <c r="U13" s="6"/>
    </row>
    <row r="14" spans="1:21" customFormat="1">
      <c r="A14" s="163" t="s">
        <v>2740</v>
      </c>
      <c r="B14" s="100">
        <v>26.56</v>
      </c>
      <c r="C14" s="100">
        <v>30</v>
      </c>
      <c r="D14" s="100">
        <v>38.32</v>
      </c>
      <c r="E14" s="100">
        <v>11.33</v>
      </c>
      <c r="F14" s="100">
        <v>3.84</v>
      </c>
      <c r="G14" s="100">
        <v>102.6</v>
      </c>
      <c r="H14" s="100">
        <v>25.28</v>
      </c>
      <c r="I14" s="100">
        <v>12.15</v>
      </c>
      <c r="J14" s="100">
        <v>0.06</v>
      </c>
      <c r="K14" s="100">
        <v>112.39</v>
      </c>
      <c r="L14" s="100">
        <v>18.14</v>
      </c>
      <c r="M14" s="100">
        <v>63.97</v>
      </c>
      <c r="N14" s="100">
        <v>1.3</v>
      </c>
      <c r="O14" s="100">
        <v>0</v>
      </c>
      <c r="P14" s="100">
        <v>0.98</v>
      </c>
      <c r="Q14" s="100">
        <v>13.25</v>
      </c>
      <c r="R14" s="6"/>
      <c r="S14" s="6"/>
      <c r="T14" s="156"/>
      <c r="U14" s="6"/>
    </row>
    <row r="15" spans="1:21" customFormat="1">
      <c r="A15" s="163" t="s">
        <v>2741</v>
      </c>
      <c r="B15" s="100">
        <v>25.89</v>
      </c>
      <c r="C15" s="100">
        <v>30.04</v>
      </c>
      <c r="D15" s="100">
        <v>37.799999999999997</v>
      </c>
      <c r="E15" s="100">
        <v>10.67</v>
      </c>
      <c r="F15" s="100">
        <v>1.27</v>
      </c>
      <c r="G15" s="100">
        <v>99.28</v>
      </c>
      <c r="H15" s="100">
        <v>25.24</v>
      </c>
      <c r="I15" s="100">
        <v>12.04</v>
      </c>
      <c r="J15" s="100">
        <v>0.11</v>
      </c>
      <c r="K15" s="100">
        <v>150.19999999999999</v>
      </c>
      <c r="L15" s="100">
        <v>17.850000000000001</v>
      </c>
      <c r="M15" s="100">
        <v>65.069999999999993</v>
      </c>
      <c r="N15" s="100">
        <v>1.3</v>
      </c>
      <c r="O15" s="100">
        <v>0</v>
      </c>
      <c r="P15" s="100">
        <v>0.96</v>
      </c>
      <c r="Q15" s="100">
        <v>13.25</v>
      </c>
      <c r="R15" s="6"/>
      <c r="S15" s="6"/>
      <c r="T15" s="156"/>
      <c r="U15" s="6"/>
    </row>
    <row r="16" spans="1:21" customFormat="1">
      <c r="A16" s="163" t="s">
        <v>2742</v>
      </c>
      <c r="B16" s="100">
        <v>24.98</v>
      </c>
      <c r="C16" s="100">
        <v>30</v>
      </c>
      <c r="D16" s="100">
        <v>37.049999999999997</v>
      </c>
      <c r="E16" s="100">
        <v>10.83</v>
      </c>
      <c r="F16" s="100">
        <v>1.03</v>
      </c>
      <c r="G16" s="100">
        <v>99.28</v>
      </c>
      <c r="H16" s="100">
        <v>25.24</v>
      </c>
      <c r="I16" s="100">
        <v>11.97</v>
      </c>
      <c r="J16" s="100">
        <v>0.19</v>
      </c>
      <c r="K16" s="100">
        <v>177.29</v>
      </c>
      <c r="L16" s="100">
        <v>17.39</v>
      </c>
      <c r="M16" s="100">
        <v>67.989999999999995</v>
      </c>
      <c r="N16" s="100">
        <v>1.4</v>
      </c>
      <c r="O16" s="100">
        <v>0</v>
      </c>
      <c r="P16" s="100">
        <v>0.95</v>
      </c>
      <c r="Q16" s="100">
        <v>13.25</v>
      </c>
      <c r="R16" s="6"/>
      <c r="S16" s="6"/>
      <c r="T16" s="156"/>
      <c r="U16" s="6"/>
    </row>
    <row r="17" spans="1:21" customFormat="1">
      <c r="A17" s="163" t="s">
        <v>2743</v>
      </c>
      <c r="B17" s="100">
        <v>23.98</v>
      </c>
      <c r="C17" s="100">
        <v>29.67</v>
      </c>
      <c r="D17" s="100">
        <v>36.090000000000003</v>
      </c>
      <c r="E17" s="100">
        <v>7.65</v>
      </c>
      <c r="F17" s="100">
        <v>0.78</v>
      </c>
      <c r="G17" s="100">
        <v>99.28</v>
      </c>
      <c r="H17" s="100">
        <v>25.24</v>
      </c>
      <c r="I17" s="100">
        <v>11.88</v>
      </c>
      <c r="J17" s="100">
        <v>0.19</v>
      </c>
      <c r="K17" s="100">
        <v>206.88</v>
      </c>
      <c r="L17" s="100">
        <v>17</v>
      </c>
      <c r="M17" s="100">
        <v>73.52</v>
      </c>
      <c r="N17" s="100">
        <v>1.4</v>
      </c>
      <c r="O17" s="100">
        <v>0</v>
      </c>
      <c r="P17" s="100">
        <v>0.93</v>
      </c>
      <c r="Q17" s="100">
        <v>13.25</v>
      </c>
      <c r="R17" s="6"/>
      <c r="S17" s="6"/>
      <c r="T17" s="156"/>
      <c r="U17" s="6"/>
    </row>
    <row r="18" spans="1:21" customFormat="1">
      <c r="A18" s="163" t="s">
        <v>2744</v>
      </c>
      <c r="B18" s="100">
        <v>22.93</v>
      </c>
      <c r="C18" s="100">
        <v>29.28</v>
      </c>
      <c r="D18" s="100">
        <v>35.03</v>
      </c>
      <c r="E18" s="100">
        <v>9.4600000000000009</v>
      </c>
      <c r="F18" s="100">
        <v>0.46</v>
      </c>
      <c r="G18" s="100">
        <v>94.56</v>
      </c>
      <c r="H18" s="100">
        <v>24.32</v>
      </c>
      <c r="I18" s="100">
        <v>11.81</v>
      </c>
      <c r="J18" s="100">
        <v>0.24</v>
      </c>
      <c r="K18" s="100">
        <v>188.44</v>
      </c>
      <c r="L18" s="100">
        <v>16.27</v>
      </c>
      <c r="M18" s="100">
        <v>77.42</v>
      </c>
      <c r="N18" s="100">
        <v>1.7</v>
      </c>
      <c r="O18" s="100">
        <v>0</v>
      </c>
      <c r="P18" s="100">
        <v>0.92</v>
      </c>
      <c r="Q18" s="100">
        <v>13.25</v>
      </c>
      <c r="R18" s="6"/>
      <c r="S18" s="6"/>
      <c r="T18" s="156"/>
      <c r="U18" s="6"/>
    </row>
    <row r="19" spans="1:21" customFormat="1">
      <c r="A19" s="163" t="s">
        <v>2745</v>
      </c>
      <c r="B19" s="100">
        <v>21.98</v>
      </c>
      <c r="C19" s="100">
        <v>28.66</v>
      </c>
      <c r="D19" s="100">
        <v>33.950000000000003</v>
      </c>
      <c r="E19" s="100">
        <v>9.26</v>
      </c>
      <c r="F19" s="100">
        <v>0.06</v>
      </c>
      <c r="G19" s="100">
        <v>91.69</v>
      </c>
      <c r="H19" s="100">
        <v>23.97</v>
      </c>
      <c r="I19" s="100">
        <v>11.71</v>
      </c>
      <c r="J19" s="100">
        <v>0.08</v>
      </c>
      <c r="K19" s="100">
        <v>181.83</v>
      </c>
      <c r="L19" s="100">
        <v>15.96</v>
      </c>
      <c r="M19" s="100">
        <v>76.599999999999994</v>
      </c>
      <c r="N19" s="100">
        <v>1.4</v>
      </c>
      <c r="O19" s="100">
        <v>0</v>
      </c>
      <c r="P19" s="100">
        <v>0.91</v>
      </c>
      <c r="Q19" s="100">
        <v>13.25</v>
      </c>
      <c r="R19" s="6"/>
      <c r="S19" s="6"/>
      <c r="T19" s="156"/>
      <c r="U19" s="6"/>
    </row>
    <row r="20" spans="1:21" customFormat="1">
      <c r="A20" s="163" t="s">
        <v>2746</v>
      </c>
      <c r="B20" s="100">
        <v>20.95</v>
      </c>
      <c r="C20" s="100">
        <v>28.2</v>
      </c>
      <c r="D20" s="100">
        <v>32.89</v>
      </c>
      <c r="E20" s="100">
        <v>9.14</v>
      </c>
      <c r="F20" s="100">
        <v>0.73</v>
      </c>
      <c r="G20" s="100">
        <v>91.69</v>
      </c>
      <c r="H20" s="100">
        <v>23.97</v>
      </c>
      <c r="I20" s="100">
        <v>11.66</v>
      </c>
      <c r="J20" s="100">
        <v>0.05</v>
      </c>
      <c r="K20" s="100">
        <v>159.12</v>
      </c>
      <c r="L20" s="100">
        <v>15.87</v>
      </c>
      <c r="M20" s="100">
        <v>74.73</v>
      </c>
      <c r="N20" s="100">
        <v>1</v>
      </c>
      <c r="O20" s="100">
        <v>0</v>
      </c>
      <c r="P20" s="100">
        <v>0.9</v>
      </c>
      <c r="Q20" s="100">
        <v>13.25</v>
      </c>
      <c r="R20" s="6"/>
      <c r="S20" s="6"/>
      <c r="T20" s="156"/>
      <c r="U20" s="6"/>
    </row>
    <row r="21" spans="1:21" customFormat="1">
      <c r="A21" s="163" t="s">
        <v>2747</v>
      </c>
      <c r="B21" s="100">
        <v>19.87</v>
      </c>
      <c r="C21" s="100">
        <v>27.84</v>
      </c>
      <c r="D21" s="100">
        <v>31.83</v>
      </c>
      <c r="E21" s="100">
        <v>8.99</v>
      </c>
      <c r="F21" s="100">
        <v>0.65</v>
      </c>
      <c r="G21" s="100">
        <v>91.69</v>
      </c>
      <c r="H21" s="100">
        <v>23.97</v>
      </c>
      <c r="I21" s="100">
        <v>11.59</v>
      </c>
      <c r="J21" s="100">
        <v>0.1</v>
      </c>
      <c r="K21" s="100">
        <v>177.02</v>
      </c>
      <c r="L21" s="100">
        <v>15.96</v>
      </c>
      <c r="M21" s="100">
        <v>74.31</v>
      </c>
      <c r="N21" s="100">
        <v>1</v>
      </c>
      <c r="O21" s="100">
        <v>0</v>
      </c>
      <c r="P21" s="100">
        <v>0.9</v>
      </c>
      <c r="Q21" s="100">
        <v>13.25</v>
      </c>
      <c r="R21" s="6"/>
      <c r="S21" s="6"/>
      <c r="T21" s="156"/>
      <c r="U21" s="6"/>
    </row>
    <row r="22" spans="1:21" customFormat="1">
      <c r="A22" s="163" t="s">
        <v>2748</v>
      </c>
      <c r="B22" s="100">
        <v>18.96</v>
      </c>
      <c r="C22" s="100">
        <v>27.64</v>
      </c>
      <c r="D22" s="100">
        <v>31</v>
      </c>
      <c r="E22" s="100">
        <v>9</v>
      </c>
      <c r="F22" s="100">
        <v>0.69</v>
      </c>
      <c r="G22" s="100">
        <v>81.28</v>
      </c>
      <c r="H22" s="100">
        <v>20.84</v>
      </c>
      <c r="I22" s="100">
        <v>11.51</v>
      </c>
      <c r="J22" s="100">
        <v>0.1</v>
      </c>
      <c r="K22" s="100">
        <v>129.55000000000001</v>
      </c>
      <c r="L22" s="100">
        <v>15.9</v>
      </c>
      <c r="M22" s="100">
        <v>73.959999999999994</v>
      </c>
      <c r="N22" s="100">
        <v>1</v>
      </c>
      <c r="O22" s="100">
        <v>0</v>
      </c>
      <c r="P22" s="100">
        <v>0.88</v>
      </c>
      <c r="Q22" s="100">
        <v>13.25</v>
      </c>
      <c r="R22" s="6"/>
      <c r="S22" s="6"/>
      <c r="T22" s="156"/>
      <c r="U22" s="6"/>
    </row>
    <row r="23" spans="1:21" customFormat="1">
      <c r="A23" s="163" t="s">
        <v>2749</v>
      </c>
      <c r="B23" s="100">
        <v>18.93</v>
      </c>
      <c r="C23" s="100">
        <v>27.75</v>
      </c>
      <c r="D23" s="100">
        <v>31.03</v>
      </c>
      <c r="E23" s="100">
        <v>8.39</v>
      </c>
      <c r="F23" s="100">
        <v>0.72</v>
      </c>
      <c r="G23" s="100">
        <v>74.959999999999994</v>
      </c>
      <c r="H23" s="100">
        <v>20.149999999999999</v>
      </c>
      <c r="I23" s="100">
        <v>11.44</v>
      </c>
      <c r="J23" s="100">
        <v>0.18</v>
      </c>
      <c r="K23" s="100">
        <v>131.81</v>
      </c>
      <c r="L23" s="100">
        <v>15.95</v>
      </c>
      <c r="M23" s="100">
        <v>73.959999999999994</v>
      </c>
      <c r="N23" s="100">
        <v>1</v>
      </c>
      <c r="O23" s="100">
        <v>0</v>
      </c>
      <c r="P23" s="100">
        <v>0.87</v>
      </c>
      <c r="Q23" s="100">
        <v>13.25</v>
      </c>
      <c r="R23" s="6"/>
      <c r="S23" s="6"/>
      <c r="T23" s="156"/>
      <c r="U23" s="6"/>
    </row>
    <row r="24" spans="1:21" customFormat="1">
      <c r="A24" s="163" t="s">
        <v>2750</v>
      </c>
      <c r="B24" s="100">
        <v>20.010000000000002</v>
      </c>
      <c r="C24" s="100">
        <v>28.15</v>
      </c>
      <c r="D24" s="100">
        <v>32.1</v>
      </c>
      <c r="E24" s="100">
        <v>8.7100000000000009</v>
      </c>
      <c r="F24" s="100">
        <v>0.51</v>
      </c>
      <c r="G24" s="100">
        <v>74.959999999999994</v>
      </c>
      <c r="H24" s="100">
        <v>20.149999999999999</v>
      </c>
      <c r="I24" s="100">
        <v>11.41</v>
      </c>
      <c r="J24" s="100">
        <v>0.12</v>
      </c>
      <c r="K24" s="100">
        <v>124.02</v>
      </c>
      <c r="L24" s="100">
        <v>15.89</v>
      </c>
      <c r="M24" s="100">
        <v>73.91</v>
      </c>
      <c r="N24" s="100">
        <v>1</v>
      </c>
      <c r="O24" s="100">
        <v>0</v>
      </c>
      <c r="P24" s="100">
        <v>0.88</v>
      </c>
      <c r="Q24" s="100">
        <v>13.25</v>
      </c>
      <c r="R24" s="6"/>
      <c r="S24" s="6"/>
      <c r="T24" s="156"/>
      <c r="U24" s="6"/>
    </row>
    <row r="25" spans="1:21" customFormat="1">
      <c r="A25" s="163" t="s">
        <v>2751</v>
      </c>
      <c r="B25" s="100">
        <v>21.26</v>
      </c>
      <c r="C25" s="100">
        <v>28.44</v>
      </c>
      <c r="D25" s="100">
        <v>33.25</v>
      </c>
      <c r="E25" s="100">
        <v>8.39</v>
      </c>
      <c r="F25" s="100">
        <v>0.86</v>
      </c>
      <c r="G25" s="100">
        <v>74.959999999999994</v>
      </c>
      <c r="H25" s="100">
        <v>20.149999999999999</v>
      </c>
      <c r="I25" s="100">
        <v>11.4</v>
      </c>
      <c r="J25" s="100">
        <v>0.2</v>
      </c>
      <c r="K25" s="100">
        <v>64.510000000000005</v>
      </c>
      <c r="L25" s="100">
        <v>16.02</v>
      </c>
      <c r="M25" s="100">
        <v>73.44</v>
      </c>
      <c r="N25" s="100">
        <v>0.8</v>
      </c>
      <c r="O25" s="100">
        <v>0</v>
      </c>
      <c r="P25" s="100">
        <v>0.87</v>
      </c>
      <c r="Q25" s="100">
        <v>13.25</v>
      </c>
      <c r="R25" s="6"/>
      <c r="S25" s="6"/>
      <c r="T25" s="156"/>
      <c r="U25" s="6"/>
    </row>
    <row r="26" spans="1:21" customFormat="1">
      <c r="A26" s="163" t="s">
        <v>2752</v>
      </c>
      <c r="B26" s="100">
        <v>22.18</v>
      </c>
      <c r="C26" s="100">
        <v>28.55</v>
      </c>
      <c r="D26" s="100">
        <v>34.049999999999997</v>
      </c>
      <c r="E26" s="100">
        <v>8.36</v>
      </c>
      <c r="F26" s="100">
        <v>1.71</v>
      </c>
      <c r="G26" s="100">
        <v>75.459999999999994</v>
      </c>
      <c r="H26" s="100">
        <v>20.59</v>
      </c>
      <c r="I26" s="100">
        <v>11.38</v>
      </c>
      <c r="J26" s="100">
        <v>0.28000000000000003</v>
      </c>
      <c r="K26" s="100">
        <v>52.22</v>
      </c>
      <c r="L26" s="100">
        <v>16.13</v>
      </c>
      <c r="M26" s="100">
        <v>71.92</v>
      </c>
      <c r="N26" s="100">
        <v>0.8</v>
      </c>
      <c r="O26" s="100">
        <v>0</v>
      </c>
      <c r="P26" s="100">
        <v>0.87</v>
      </c>
      <c r="Q26" s="100">
        <v>13.25</v>
      </c>
      <c r="R26" s="6"/>
      <c r="S26" s="6"/>
      <c r="T26" s="156"/>
      <c r="U26" s="6"/>
    </row>
    <row r="27" spans="1:21" customFormat="1">
      <c r="A27" s="163" t="s">
        <v>2753</v>
      </c>
      <c r="B27" s="100">
        <v>22.67</v>
      </c>
      <c r="C27" s="100">
        <v>28.63</v>
      </c>
      <c r="D27" s="100">
        <v>34.49</v>
      </c>
      <c r="E27" s="100">
        <v>8.49</v>
      </c>
      <c r="F27" s="100">
        <v>0.63</v>
      </c>
      <c r="G27" s="100">
        <v>75.77</v>
      </c>
      <c r="H27" s="100">
        <v>20.69</v>
      </c>
      <c r="I27" s="100">
        <v>11.46</v>
      </c>
      <c r="J27" s="100">
        <v>0.18</v>
      </c>
      <c r="K27" s="100">
        <v>86.71</v>
      </c>
      <c r="L27" s="100">
        <v>16.260000000000002</v>
      </c>
      <c r="M27" s="100">
        <v>71.8</v>
      </c>
      <c r="N27" s="100">
        <v>1</v>
      </c>
      <c r="O27" s="100">
        <v>0</v>
      </c>
      <c r="P27" s="100">
        <v>0.86</v>
      </c>
      <c r="Q27" s="100">
        <v>13.25</v>
      </c>
      <c r="R27" s="6"/>
      <c r="S27" s="6"/>
      <c r="T27" s="156"/>
      <c r="U27" s="6"/>
    </row>
    <row r="28" spans="1:21" customFormat="1">
      <c r="A28" s="163" t="s">
        <v>2754</v>
      </c>
      <c r="B28" s="100">
        <v>22.64</v>
      </c>
      <c r="C28" s="100">
        <v>28.38</v>
      </c>
      <c r="D28" s="100">
        <v>34.33</v>
      </c>
      <c r="E28" s="100">
        <v>8.51</v>
      </c>
      <c r="F28" s="100">
        <v>1.29</v>
      </c>
      <c r="G28" s="100">
        <v>75.77</v>
      </c>
      <c r="H28" s="100">
        <v>20.69</v>
      </c>
      <c r="I28" s="100">
        <v>11.5</v>
      </c>
      <c r="J28" s="100">
        <v>0.13</v>
      </c>
      <c r="K28" s="100">
        <v>156.16999999999999</v>
      </c>
      <c r="L28" s="100">
        <v>15.87</v>
      </c>
      <c r="M28" s="100">
        <v>75.13</v>
      </c>
      <c r="N28" s="100">
        <v>1.3</v>
      </c>
      <c r="O28" s="100">
        <v>0</v>
      </c>
      <c r="P28" s="100">
        <v>0.85</v>
      </c>
      <c r="Q28" s="100">
        <v>13.25</v>
      </c>
      <c r="R28" s="6"/>
      <c r="S28" s="6"/>
      <c r="T28" s="156"/>
      <c r="U28" s="6"/>
    </row>
    <row r="29" spans="1:21" customFormat="1">
      <c r="A29" s="163" t="s">
        <v>2755</v>
      </c>
      <c r="B29" s="100">
        <v>22.72</v>
      </c>
      <c r="C29" s="100">
        <v>28.18</v>
      </c>
      <c r="D29" s="100">
        <v>34.29</v>
      </c>
      <c r="E29" s="100">
        <v>8.4700000000000006</v>
      </c>
      <c r="F29" s="100">
        <v>1.52</v>
      </c>
      <c r="G29" s="100">
        <v>75.77</v>
      </c>
      <c r="H29" s="100">
        <v>20.69</v>
      </c>
      <c r="I29" s="100">
        <v>11.52</v>
      </c>
      <c r="J29" s="100">
        <v>0.09</v>
      </c>
      <c r="K29" s="100">
        <v>145.24</v>
      </c>
      <c r="L29" s="100">
        <v>15.87</v>
      </c>
      <c r="M29" s="100">
        <v>72.53</v>
      </c>
      <c r="N29" s="100">
        <v>1.1000000000000001</v>
      </c>
      <c r="O29" s="100">
        <v>0</v>
      </c>
      <c r="P29" s="100">
        <v>0.85</v>
      </c>
      <c r="Q29" s="100">
        <v>13.25</v>
      </c>
      <c r="R29" s="6"/>
      <c r="S29" s="6"/>
      <c r="T29" s="156"/>
      <c r="U29" s="6"/>
    </row>
    <row r="30" spans="1:21" customFormat="1">
      <c r="A30" s="163" t="s">
        <v>2756</v>
      </c>
      <c r="B30" s="100">
        <v>23.09</v>
      </c>
      <c r="C30" s="100">
        <v>28.22</v>
      </c>
      <c r="D30" s="100">
        <v>34.61</v>
      </c>
      <c r="E30" s="100">
        <v>8.16</v>
      </c>
      <c r="F30" s="100">
        <v>1.28</v>
      </c>
      <c r="G30" s="100">
        <v>74.06</v>
      </c>
      <c r="H30" s="100">
        <v>21.81</v>
      </c>
      <c r="I30" s="100">
        <v>11.45</v>
      </c>
      <c r="J30" s="100">
        <v>0.04</v>
      </c>
      <c r="K30" s="100">
        <v>186.92</v>
      </c>
      <c r="L30" s="100">
        <v>15.84</v>
      </c>
      <c r="M30" s="100">
        <v>76</v>
      </c>
      <c r="N30" s="100">
        <v>1</v>
      </c>
      <c r="O30" s="100">
        <v>0</v>
      </c>
      <c r="P30" s="100">
        <v>0.84</v>
      </c>
      <c r="Q30" s="100">
        <v>13.25</v>
      </c>
      <c r="R30" s="6"/>
      <c r="S30" s="6"/>
      <c r="T30" s="156"/>
      <c r="U30" s="6"/>
    </row>
    <row r="31" spans="1:21" customFormat="1">
      <c r="A31" s="163" t="s">
        <v>2757</v>
      </c>
      <c r="B31" s="100">
        <v>23.45</v>
      </c>
      <c r="C31" s="100">
        <v>28.15</v>
      </c>
      <c r="D31" s="100">
        <v>34.86</v>
      </c>
      <c r="E31" s="100">
        <v>7.92</v>
      </c>
      <c r="F31" s="100">
        <v>1.61</v>
      </c>
      <c r="G31" s="100">
        <v>73.02</v>
      </c>
      <c r="H31" s="100">
        <v>22.06</v>
      </c>
      <c r="I31" s="100">
        <v>11.37</v>
      </c>
      <c r="J31" s="100">
        <v>0.23</v>
      </c>
      <c r="K31" s="100">
        <v>158.04</v>
      </c>
      <c r="L31" s="100">
        <v>15.84</v>
      </c>
      <c r="M31" s="100">
        <v>74.209999999999994</v>
      </c>
      <c r="N31" s="100">
        <v>1.1000000000000001</v>
      </c>
      <c r="O31" s="100">
        <v>0</v>
      </c>
      <c r="P31" s="100">
        <v>0.84</v>
      </c>
      <c r="Q31" s="100">
        <v>13.25</v>
      </c>
      <c r="R31" s="6"/>
      <c r="S31" s="6"/>
      <c r="T31" s="156"/>
      <c r="U31" s="6"/>
    </row>
    <row r="32" spans="1:21" customFormat="1">
      <c r="A32" s="163" t="s">
        <v>2758</v>
      </c>
      <c r="B32" s="100">
        <v>23.42</v>
      </c>
      <c r="C32" s="100">
        <v>28.04</v>
      </c>
      <c r="D32" s="100">
        <v>34.78</v>
      </c>
      <c r="E32" s="100">
        <v>8.64</v>
      </c>
      <c r="F32" s="100">
        <v>0.46</v>
      </c>
      <c r="G32" s="100">
        <v>73.02</v>
      </c>
      <c r="H32" s="100">
        <v>22.06</v>
      </c>
      <c r="I32" s="100">
        <v>11.34</v>
      </c>
      <c r="J32" s="100">
        <v>0.18</v>
      </c>
      <c r="K32" s="100">
        <v>141.79</v>
      </c>
      <c r="L32" s="100">
        <v>15.68</v>
      </c>
      <c r="M32" s="100">
        <v>75.16</v>
      </c>
      <c r="N32" s="100">
        <v>1.2</v>
      </c>
      <c r="O32" s="100">
        <v>0</v>
      </c>
      <c r="P32" s="100">
        <v>0.84</v>
      </c>
      <c r="Q32" s="100">
        <v>13.25</v>
      </c>
      <c r="R32" s="6"/>
      <c r="S32" s="6"/>
      <c r="T32" s="156"/>
      <c r="U32" s="6"/>
    </row>
    <row r="33" spans="1:21" customFormat="1">
      <c r="A33" s="163" t="s">
        <v>2759</v>
      </c>
      <c r="B33" s="100">
        <v>23.48</v>
      </c>
      <c r="C33" s="100">
        <v>27.99</v>
      </c>
      <c r="D33" s="100">
        <v>34.799999999999997</v>
      </c>
      <c r="E33" s="100">
        <v>8.06</v>
      </c>
      <c r="F33" s="100">
        <v>1.6</v>
      </c>
      <c r="G33" s="100">
        <v>73.02</v>
      </c>
      <c r="H33" s="100">
        <v>22.06</v>
      </c>
      <c r="I33" s="100">
        <v>11.34</v>
      </c>
      <c r="J33" s="100">
        <v>0.21</v>
      </c>
      <c r="K33" s="100">
        <v>155.76</v>
      </c>
      <c r="L33" s="100">
        <v>15.62</v>
      </c>
      <c r="M33" s="100">
        <v>75.23</v>
      </c>
      <c r="N33" s="100">
        <v>1.2</v>
      </c>
      <c r="O33" s="100">
        <v>0</v>
      </c>
      <c r="P33" s="100">
        <v>0.84</v>
      </c>
      <c r="Q33" s="100">
        <v>13.25</v>
      </c>
      <c r="R33" s="6"/>
      <c r="S33" s="6"/>
      <c r="T33" s="156"/>
      <c r="U33" s="6"/>
    </row>
    <row r="34" spans="1:21" customFormat="1">
      <c r="A34" s="163" t="s">
        <v>2760</v>
      </c>
      <c r="B34" s="100">
        <v>23.38</v>
      </c>
      <c r="C34" s="100">
        <v>27.79</v>
      </c>
      <c r="D34" s="100">
        <v>34.619999999999997</v>
      </c>
      <c r="E34" s="100">
        <v>8.07</v>
      </c>
      <c r="F34" s="100">
        <v>1.74</v>
      </c>
      <c r="G34" s="100">
        <v>74.58</v>
      </c>
      <c r="H34" s="100">
        <v>22.88</v>
      </c>
      <c r="I34" s="100">
        <v>11.36</v>
      </c>
      <c r="J34" s="100">
        <v>0.2</v>
      </c>
      <c r="K34" s="100">
        <v>153.06</v>
      </c>
      <c r="L34" s="100">
        <v>15.28</v>
      </c>
      <c r="M34" s="100">
        <v>78.010000000000005</v>
      </c>
      <c r="N34" s="100">
        <v>1.5</v>
      </c>
      <c r="O34" s="100">
        <v>0</v>
      </c>
      <c r="P34" s="100">
        <v>0.84</v>
      </c>
      <c r="Q34" s="100">
        <v>13.25</v>
      </c>
      <c r="R34" s="6"/>
      <c r="S34" s="6"/>
      <c r="T34" s="156"/>
      <c r="U34" s="6"/>
    </row>
    <row r="35" spans="1:21" customFormat="1">
      <c r="A35" s="163" t="s">
        <v>2761</v>
      </c>
      <c r="B35" s="100">
        <v>23.05</v>
      </c>
      <c r="C35" s="100">
        <v>27.47</v>
      </c>
      <c r="D35" s="100">
        <v>34.19</v>
      </c>
      <c r="E35" s="100">
        <v>8.07</v>
      </c>
      <c r="F35" s="100">
        <v>1.1200000000000001</v>
      </c>
      <c r="G35" s="100">
        <v>75.52</v>
      </c>
      <c r="H35" s="100">
        <v>23.05</v>
      </c>
      <c r="I35" s="100">
        <v>11.48</v>
      </c>
      <c r="J35" s="100">
        <v>0.24</v>
      </c>
      <c r="K35" s="100">
        <v>161.69</v>
      </c>
      <c r="L35" s="100">
        <v>15.08</v>
      </c>
      <c r="M35" s="100">
        <v>79.02</v>
      </c>
      <c r="N35" s="100">
        <v>2.9</v>
      </c>
      <c r="O35" s="100">
        <v>0</v>
      </c>
      <c r="P35" s="100">
        <v>0.85</v>
      </c>
      <c r="Q35" s="100">
        <v>13.25</v>
      </c>
      <c r="R35" s="6"/>
      <c r="S35" s="6"/>
      <c r="T35" s="156"/>
      <c r="U35" s="6"/>
    </row>
    <row r="36" spans="1:21" customFormat="1">
      <c r="A36" s="163" t="s">
        <v>2762</v>
      </c>
      <c r="B36" s="100">
        <v>22.58</v>
      </c>
      <c r="C36" s="100">
        <v>27.34</v>
      </c>
      <c r="D36" s="100">
        <v>33.74</v>
      </c>
      <c r="E36" s="100">
        <v>7.64</v>
      </c>
      <c r="F36" s="100">
        <v>0.82</v>
      </c>
      <c r="G36" s="100">
        <v>75.52</v>
      </c>
      <c r="H36" s="100">
        <v>23.05</v>
      </c>
      <c r="I36" s="100">
        <v>11.64</v>
      </c>
      <c r="J36" s="100">
        <v>0.19</v>
      </c>
      <c r="K36" s="100">
        <v>153.54</v>
      </c>
      <c r="L36" s="100">
        <v>14.99</v>
      </c>
      <c r="M36" s="100">
        <v>81.599999999999994</v>
      </c>
      <c r="N36" s="100">
        <v>7.1</v>
      </c>
      <c r="O36" s="100">
        <v>0</v>
      </c>
      <c r="P36" s="100">
        <v>0.85</v>
      </c>
      <c r="Q36" s="100">
        <v>13.25</v>
      </c>
      <c r="R36" s="6"/>
      <c r="S36" s="6"/>
      <c r="T36" s="156"/>
      <c r="U36" s="6"/>
    </row>
    <row r="37" spans="1:21" customFormat="1">
      <c r="A37" s="163" t="s">
        <v>2763</v>
      </c>
      <c r="B37" s="100">
        <v>22.33</v>
      </c>
      <c r="C37" s="100">
        <v>27.1</v>
      </c>
      <c r="D37" s="100">
        <v>33.42</v>
      </c>
      <c r="E37" s="100">
        <v>7.81</v>
      </c>
      <c r="F37" s="100">
        <v>1.19</v>
      </c>
      <c r="G37" s="100">
        <v>75.52</v>
      </c>
      <c r="H37" s="100">
        <v>23.05</v>
      </c>
      <c r="I37" s="100">
        <v>11.75</v>
      </c>
      <c r="J37" s="100">
        <v>0.14000000000000001</v>
      </c>
      <c r="K37" s="100">
        <v>118.56</v>
      </c>
      <c r="L37" s="100">
        <v>15.22</v>
      </c>
      <c r="M37" s="100">
        <v>79.09</v>
      </c>
      <c r="N37" s="100">
        <v>13.1</v>
      </c>
      <c r="O37" s="100">
        <v>0</v>
      </c>
      <c r="P37" s="100">
        <v>0.87</v>
      </c>
      <c r="Q37" s="100">
        <v>13.25</v>
      </c>
      <c r="R37" s="6"/>
      <c r="S37" s="6"/>
      <c r="T37" s="156"/>
      <c r="U37" s="6"/>
    </row>
    <row r="38" spans="1:21" customFormat="1">
      <c r="A38" s="163" t="s">
        <v>2764</v>
      </c>
      <c r="B38" s="100">
        <v>22.45</v>
      </c>
      <c r="C38" s="100">
        <v>26.95</v>
      </c>
      <c r="D38" s="100">
        <v>33.44</v>
      </c>
      <c r="E38" s="100">
        <v>7.72</v>
      </c>
      <c r="F38" s="100">
        <v>0.98</v>
      </c>
      <c r="G38" s="100">
        <v>78.59</v>
      </c>
      <c r="H38" s="100">
        <v>23.01</v>
      </c>
      <c r="I38" s="100">
        <v>11.89</v>
      </c>
      <c r="J38" s="100">
        <v>0.15</v>
      </c>
      <c r="K38" s="100">
        <v>100.65</v>
      </c>
      <c r="L38" s="100">
        <v>15.9</v>
      </c>
      <c r="M38" s="100">
        <v>71.94</v>
      </c>
      <c r="N38" s="100">
        <v>20.8</v>
      </c>
      <c r="O38" s="100">
        <v>0</v>
      </c>
      <c r="P38" s="100">
        <v>0.88</v>
      </c>
      <c r="Q38" s="100">
        <v>13.25</v>
      </c>
      <c r="R38" s="6"/>
      <c r="S38" s="6"/>
      <c r="T38" s="156"/>
      <c r="U38" s="6"/>
    </row>
    <row r="39" spans="1:21" customFormat="1">
      <c r="A39" s="163" t="s">
        <v>2765</v>
      </c>
      <c r="B39" s="100">
        <v>22.81</v>
      </c>
      <c r="C39" s="100">
        <v>27.08</v>
      </c>
      <c r="D39" s="100">
        <v>33.79</v>
      </c>
      <c r="E39" s="100">
        <v>7.45</v>
      </c>
      <c r="F39" s="100">
        <v>0.28999999999999998</v>
      </c>
      <c r="G39" s="100">
        <v>80.45</v>
      </c>
      <c r="H39" s="100">
        <v>23</v>
      </c>
      <c r="I39" s="100">
        <v>12.04</v>
      </c>
      <c r="J39" s="100">
        <v>0.55000000000000004</v>
      </c>
      <c r="K39" s="100">
        <v>65.97</v>
      </c>
      <c r="L39" s="100">
        <v>16.510000000000002</v>
      </c>
      <c r="M39" s="100">
        <v>63.29</v>
      </c>
      <c r="N39" s="100">
        <v>28.7</v>
      </c>
      <c r="O39" s="100">
        <v>0</v>
      </c>
      <c r="P39" s="100">
        <v>0.9</v>
      </c>
      <c r="Q39" s="100">
        <v>13.25</v>
      </c>
      <c r="R39" s="6"/>
      <c r="S39" s="6"/>
      <c r="T39" s="156"/>
      <c r="U39" s="6"/>
    </row>
    <row r="40" spans="1:21" customFormat="1">
      <c r="A40" s="163" t="s">
        <v>2766</v>
      </c>
      <c r="B40" s="100">
        <v>22.76</v>
      </c>
      <c r="C40" s="100">
        <v>27.44</v>
      </c>
      <c r="D40" s="100">
        <v>33.94</v>
      </c>
      <c r="E40" s="100">
        <v>7.45</v>
      </c>
      <c r="F40" s="100">
        <v>2.12</v>
      </c>
      <c r="G40" s="100">
        <v>80.45</v>
      </c>
      <c r="H40" s="100">
        <v>23</v>
      </c>
      <c r="I40" s="100">
        <v>12.3</v>
      </c>
      <c r="J40" s="100">
        <v>0.36</v>
      </c>
      <c r="K40" s="100">
        <v>68.13</v>
      </c>
      <c r="L40" s="100">
        <v>17.170000000000002</v>
      </c>
      <c r="M40" s="100">
        <v>60.21</v>
      </c>
      <c r="N40" s="100">
        <v>35.799999999999997</v>
      </c>
      <c r="O40" s="100">
        <v>0</v>
      </c>
      <c r="P40" s="100">
        <v>0.91</v>
      </c>
      <c r="Q40" s="100">
        <v>13.25</v>
      </c>
      <c r="R40" s="6"/>
      <c r="S40" s="6"/>
      <c r="T40" s="156"/>
      <c r="U40" s="6"/>
    </row>
    <row r="41" spans="1:21" customFormat="1">
      <c r="A41" s="163" t="s">
        <v>2767</v>
      </c>
      <c r="B41" s="100">
        <v>22.07</v>
      </c>
      <c r="C41" s="100">
        <v>27.49</v>
      </c>
      <c r="D41" s="100">
        <v>33.409999999999997</v>
      </c>
      <c r="E41" s="100">
        <v>7.74</v>
      </c>
      <c r="F41" s="100">
        <v>2.13</v>
      </c>
      <c r="G41" s="100">
        <v>80.45</v>
      </c>
      <c r="H41" s="100">
        <v>23</v>
      </c>
      <c r="I41" s="100">
        <v>12.58</v>
      </c>
      <c r="J41" s="100">
        <v>0.75</v>
      </c>
      <c r="K41" s="100">
        <v>57.65</v>
      </c>
      <c r="L41" s="100">
        <v>17.760000000000002</v>
      </c>
      <c r="M41" s="100">
        <v>54.89</v>
      </c>
      <c r="N41" s="100">
        <v>69.5</v>
      </c>
      <c r="O41" s="100">
        <v>0</v>
      </c>
      <c r="P41" s="100">
        <v>0.91</v>
      </c>
      <c r="Q41" s="100">
        <v>13.25</v>
      </c>
      <c r="R41" s="6"/>
      <c r="S41" s="6"/>
      <c r="T41" s="156"/>
      <c r="U41" s="6"/>
    </row>
    <row r="42" spans="1:21" customFormat="1">
      <c r="A42" s="163" t="s">
        <v>2768</v>
      </c>
      <c r="B42" s="100">
        <v>21.27</v>
      </c>
      <c r="C42" s="100">
        <v>27.88</v>
      </c>
      <c r="D42" s="100">
        <v>32.979999999999997</v>
      </c>
      <c r="E42" s="100">
        <v>7.62</v>
      </c>
      <c r="F42" s="100">
        <v>1.1100000000000001</v>
      </c>
      <c r="G42" s="100">
        <v>86.44</v>
      </c>
      <c r="H42" s="100">
        <v>22.8</v>
      </c>
      <c r="I42" s="100">
        <v>12.8</v>
      </c>
      <c r="J42" s="100">
        <v>0.53</v>
      </c>
      <c r="K42" s="100">
        <v>60.31</v>
      </c>
      <c r="L42" s="100">
        <v>18.670000000000002</v>
      </c>
      <c r="M42" s="100">
        <v>51.08</v>
      </c>
      <c r="N42" s="100">
        <v>187.3</v>
      </c>
      <c r="O42" s="100">
        <v>0</v>
      </c>
      <c r="P42" s="100">
        <v>0.91</v>
      </c>
      <c r="Q42" s="100">
        <v>13.25</v>
      </c>
      <c r="R42" s="6"/>
      <c r="S42" s="6"/>
      <c r="T42" s="156"/>
      <c r="U42" s="6"/>
    </row>
    <row r="43" spans="1:21" customFormat="1">
      <c r="A43" s="163" t="s">
        <v>2769</v>
      </c>
      <c r="B43" s="100">
        <v>20.440000000000001</v>
      </c>
      <c r="C43" s="100">
        <v>28.05</v>
      </c>
      <c r="D43" s="100">
        <v>32.4</v>
      </c>
      <c r="E43" s="100">
        <v>7.4</v>
      </c>
      <c r="F43" s="100">
        <v>0.61</v>
      </c>
      <c r="G43" s="100">
        <v>90.25</v>
      </c>
      <c r="H43" s="100">
        <v>22.73</v>
      </c>
      <c r="I43" s="100">
        <v>12.89</v>
      </c>
      <c r="J43" s="100">
        <v>0.75</v>
      </c>
      <c r="K43" s="100">
        <v>51.71</v>
      </c>
      <c r="L43" s="100">
        <v>19.489999999999998</v>
      </c>
      <c r="M43" s="100">
        <v>47.44</v>
      </c>
      <c r="N43" s="100">
        <v>219.7</v>
      </c>
      <c r="O43" s="100">
        <v>0</v>
      </c>
      <c r="P43" s="100">
        <v>0.9</v>
      </c>
      <c r="Q43" s="100">
        <v>13.25</v>
      </c>
      <c r="R43" s="6"/>
      <c r="S43" s="6"/>
      <c r="T43" s="156"/>
      <c r="U43" s="6"/>
    </row>
    <row r="44" spans="1:21" customFormat="1">
      <c r="A44" s="163" t="s">
        <v>2770</v>
      </c>
      <c r="B44" s="100">
        <v>19.54</v>
      </c>
      <c r="C44" s="100">
        <v>28.48</v>
      </c>
      <c r="D44" s="100">
        <v>31.9</v>
      </c>
      <c r="E44" s="100">
        <v>7.34</v>
      </c>
      <c r="F44" s="100">
        <v>1.29</v>
      </c>
      <c r="G44" s="100">
        <v>90.25</v>
      </c>
      <c r="H44" s="100">
        <v>22.73</v>
      </c>
      <c r="I44" s="100">
        <v>12.88</v>
      </c>
      <c r="J44" s="100">
        <v>0.63</v>
      </c>
      <c r="K44" s="100">
        <v>49.23</v>
      </c>
      <c r="L44" s="100">
        <v>20.5</v>
      </c>
      <c r="M44" s="100">
        <v>43.75</v>
      </c>
      <c r="N44" s="100">
        <v>197.1</v>
      </c>
      <c r="O44" s="100">
        <v>0</v>
      </c>
      <c r="P44" s="100">
        <v>0.9</v>
      </c>
      <c r="Q44" s="100">
        <v>13.25</v>
      </c>
      <c r="R44" s="6"/>
      <c r="S44" s="6"/>
      <c r="T44" s="156"/>
      <c r="U44" s="6"/>
    </row>
    <row r="45" spans="1:21" customFormat="1">
      <c r="A45" s="163" t="s">
        <v>2771</v>
      </c>
      <c r="B45" s="100">
        <v>18.600000000000001</v>
      </c>
      <c r="C45" s="100">
        <v>29.03</v>
      </c>
      <c r="D45" s="100">
        <v>31.43</v>
      </c>
      <c r="E45" s="100">
        <v>8.59</v>
      </c>
      <c r="F45" s="100">
        <v>0.36</v>
      </c>
      <c r="G45" s="100">
        <v>90.25</v>
      </c>
      <c r="H45" s="100">
        <v>22.73</v>
      </c>
      <c r="I45" s="100">
        <v>12.81</v>
      </c>
      <c r="J45" s="100">
        <v>0.67</v>
      </c>
      <c r="K45" s="100">
        <v>55.54</v>
      </c>
      <c r="L45" s="100">
        <v>21.68</v>
      </c>
      <c r="M45" s="100">
        <v>39.43</v>
      </c>
      <c r="N45" s="100">
        <v>254.1</v>
      </c>
      <c r="O45" s="100">
        <v>0</v>
      </c>
      <c r="P45" s="100">
        <v>0.88</v>
      </c>
      <c r="Q45" s="100">
        <v>13.25</v>
      </c>
      <c r="R45" s="6"/>
      <c r="S45" s="6"/>
      <c r="T45" s="156"/>
      <c r="U45" s="6"/>
    </row>
    <row r="46" spans="1:21" customFormat="1">
      <c r="A46" s="163" t="s">
        <v>2772</v>
      </c>
      <c r="B46" s="100">
        <v>17.59</v>
      </c>
      <c r="C46" s="100">
        <v>29.34</v>
      </c>
      <c r="D46" s="100">
        <v>30.78</v>
      </c>
      <c r="E46" s="100">
        <v>8.35</v>
      </c>
      <c r="F46" s="100">
        <v>0.49</v>
      </c>
      <c r="G46" s="100">
        <v>89.43</v>
      </c>
      <c r="H46" s="100">
        <v>21.81</v>
      </c>
      <c r="I46" s="100">
        <v>12.72</v>
      </c>
      <c r="J46" s="100">
        <v>0.72</v>
      </c>
      <c r="K46" s="100">
        <v>47.23</v>
      </c>
      <c r="L46" s="100">
        <v>22.42</v>
      </c>
      <c r="M46" s="100">
        <v>37.06</v>
      </c>
      <c r="N46" s="100">
        <v>298.5</v>
      </c>
      <c r="O46" s="100">
        <v>0</v>
      </c>
      <c r="P46" s="100">
        <v>0.88</v>
      </c>
      <c r="Q46" s="100">
        <v>13.25</v>
      </c>
      <c r="R46" s="6"/>
      <c r="S46" s="6"/>
      <c r="T46" s="156"/>
      <c r="U46" s="6"/>
    </row>
    <row r="47" spans="1:21" customFormat="1">
      <c r="A47" s="163" t="s">
        <v>2773</v>
      </c>
      <c r="B47" s="100">
        <v>16.96</v>
      </c>
      <c r="C47" s="100">
        <v>29.69</v>
      </c>
      <c r="D47" s="100">
        <v>30.46</v>
      </c>
      <c r="E47" s="100">
        <v>8.94</v>
      </c>
      <c r="F47" s="100">
        <v>0.25</v>
      </c>
      <c r="G47" s="100">
        <v>88.93</v>
      </c>
      <c r="H47" s="100">
        <v>21.63</v>
      </c>
      <c r="I47" s="100">
        <v>12.56</v>
      </c>
      <c r="J47" s="100">
        <v>0.83</v>
      </c>
      <c r="K47" s="100">
        <v>50.67</v>
      </c>
      <c r="L47" s="100">
        <v>22.96</v>
      </c>
      <c r="M47" s="100">
        <v>34.340000000000003</v>
      </c>
      <c r="N47" s="100">
        <v>318.2</v>
      </c>
      <c r="O47" s="100">
        <v>0</v>
      </c>
      <c r="P47" s="100">
        <v>0.87</v>
      </c>
      <c r="Q47" s="100">
        <v>13.25</v>
      </c>
      <c r="R47" s="6"/>
      <c r="S47" s="6"/>
      <c r="T47" s="156"/>
      <c r="U47" s="6"/>
    </row>
    <row r="48" spans="1:21" customFormat="1">
      <c r="A48" s="163" t="s">
        <v>2774</v>
      </c>
      <c r="B48" s="100">
        <v>16.91</v>
      </c>
      <c r="C48" s="100">
        <v>30.22</v>
      </c>
      <c r="D48" s="100">
        <v>30.7</v>
      </c>
      <c r="E48" s="100">
        <v>8.5</v>
      </c>
      <c r="F48" s="100">
        <v>0.48</v>
      </c>
      <c r="G48" s="100">
        <v>88.93</v>
      </c>
      <c r="H48" s="100">
        <v>21.63</v>
      </c>
      <c r="I48" s="100">
        <v>12.42</v>
      </c>
      <c r="J48" s="100">
        <v>0.68</v>
      </c>
      <c r="K48" s="100">
        <v>48.72</v>
      </c>
      <c r="L48" s="100">
        <v>23.69</v>
      </c>
      <c r="M48" s="100">
        <v>32.42</v>
      </c>
      <c r="N48" s="100">
        <v>330.8</v>
      </c>
      <c r="O48" s="100">
        <v>0</v>
      </c>
      <c r="P48" s="100">
        <v>0.86</v>
      </c>
      <c r="Q48" s="100">
        <v>13.25</v>
      </c>
      <c r="R48" s="6"/>
      <c r="S48" s="6"/>
      <c r="T48" s="156"/>
      <c r="U48" s="6"/>
    </row>
    <row r="49" spans="1:21" customFormat="1">
      <c r="A49" s="163" t="s">
        <v>2775</v>
      </c>
      <c r="B49" s="100">
        <v>16.7</v>
      </c>
      <c r="C49" s="100">
        <v>30.06</v>
      </c>
      <c r="D49" s="100">
        <v>30.45</v>
      </c>
      <c r="E49" s="100">
        <v>8.1199999999999992</v>
      </c>
      <c r="F49" s="100">
        <v>0.75</v>
      </c>
      <c r="G49" s="100">
        <v>88.93</v>
      </c>
      <c r="H49" s="100">
        <v>21.63</v>
      </c>
      <c r="I49" s="100">
        <v>12.28</v>
      </c>
      <c r="J49" s="100">
        <v>0.68</v>
      </c>
      <c r="K49" s="100">
        <v>56.6</v>
      </c>
      <c r="L49" s="100">
        <v>24.38</v>
      </c>
      <c r="M49" s="100">
        <v>31.6</v>
      </c>
      <c r="N49" s="100">
        <v>274.7</v>
      </c>
      <c r="O49" s="100">
        <v>0</v>
      </c>
      <c r="P49" s="100">
        <v>0.85</v>
      </c>
      <c r="Q49" s="100">
        <v>13.25</v>
      </c>
      <c r="R49" s="6"/>
      <c r="S49" s="6"/>
      <c r="T49" s="156"/>
      <c r="U49" s="6"/>
    </row>
    <row r="50" spans="1:21" customFormat="1">
      <c r="A50" s="163" t="s">
        <v>2776</v>
      </c>
      <c r="B50" s="100">
        <v>16.27</v>
      </c>
      <c r="C50" s="100">
        <v>29.46</v>
      </c>
      <c r="D50" s="100">
        <v>29.79</v>
      </c>
      <c r="E50" s="100">
        <v>9.51</v>
      </c>
      <c r="F50" s="100">
        <v>0.51</v>
      </c>
      <c r="G50" s="100">
        <v>86.64</v>
      </c>
      <c r="H50" s="100">
        <v>22.69</v>
      </c>
      <c r="I50" s="100">
        <v>12.18</v>
      </c>
      <c r="J50" s="100">
        <v>0.71</v>
      </c>
      <c r="K50" s="100">
        <v>60.66</v>
      </c>
      <c r="L50" s="100">
        <v>24.83</v>
      </c>
      <c r="M50" s="100">
        <v>29.01</v>
      </c>
      <c r="N50" s="100">
        <v>375.8</v>
      </c>
      <c r="O50" s="100">
        <v>0</v>
      </c>
      <c r="P50" s="100">
        <v>0.83</v>
      </c>
      <c r="Q50" s="100">
        <v>13.25</v>
      </c>
      <c r="R50" s="6"/>
      <c r="S50" s="6"/>
      <c r="T50" s="156"/>
      <c r="U50" s="6"/>
    </row>
    <row r="51" spans="1:21" customFormat="1">
      <c r="A51" s="163" t="s">
        <v>2777</v>
      </c>
      <c r="B51" s="100">
        <v>15.77</v>
      </c>
      <c r="C51" s="100">
        <v>28.88</v>
      </c>
      <c r="D51" s="100">
        <v>29.09</v>
      </c>
      <c r="E51" s="100">
        <v>9.2799999999999994</v>
      </c>
      <c r="F51" s="100">
        <v>2.75</v>
      </c>
      <c r="G51" s="100">
        <v>85.24</v>
      </c>
      <c r="H51" s="100">
        <v>22.91</v>
      </c>
      <c r="I51" s="100">
        <v>12.08</v>
      </c>
      <c r="J51" s="100">
        <v>0.56000000000000005</v>
      </c>
      <c r="K51" s="100">
        <v>58.2</v>
      </c>
      <c r="L51" s="100">
        <v>25.15</v>
      </c>
      <c r="M51" s="100">
        <v>28.7</v>
      </c>
      <c r="N51" s="100">
        <v>387.3</v>
      </c>
      <c r="O51" s="100">
        <v>0</v>
      </c>
      <c r="P51" s="100">
        <v>0.81</v>
      </c>
      <c r="Q51" s="100">
        <v>13.25</v>
      </c>
      <c r="R51" s="6"/>
      <c r="S51" s="6"/>
      <c r="T51" s="156"/>
      <c r="U51" s="6"/>
    </row>
    <row r="52" spans="1:21" customFormat="1">
      <c r="A52" s="163" t="s">
        <v>2778</v>
      </c>
      <c r="B52" s="100">
        <v>15.21</v>
      </c>
      <c r="C52" s="100">
        <v>28.39</v>
      </c>
      <c r="D52" s="100">
        <v>28.38</v>
      </c>
      <c r="E52" s="100">
        <v>9.89</v>
      </c>
      <c r="F52" s="100">
        <v>0.76</v>
      </c>
      <c r="G52" s="100">
        <v>85.24</v>
      </c>
      <c r="H52" s="100">
        <v>22.91</v>
      </c>
      <c r="I52" s="100">
        <v>11.94</v>
      </c>
      <c r="J52" s="100">
        <v>0.49</v>
      </c>
      <c r="K52" s="100">
        <v>75.319999999999993</v>
      </c>
      <c r="L52" s="100">
        <v>26.04</v>
      </c>
      <c r="M52" s="100">
        <v>27.03</v>
      </c>
      <c r="N52" s="100">
        <v>395.9</v>
      </c>
      <c r="O52" s="100">
        <v>0</v>
      </c>
      <c r="P52" s="100">
        <v>0.79</v>
      </c>
      <c r="Q52" s="100">
        <v>13.25</v>
      </c>
      <c r="R52" s="6"/>
      <c r="S52" s="6"/>
      <c r="T52" s="156"/>
      <c r="U52" s="6"/>
    </row>
    <row r="53" spans="1:21" customFormat="1">
      <c r="A53" s="163" t="s">
        <v>2779</v>
      </c>
      <c r="B53" s="100">
        <v>14.58</v>
      </c>
      <c r="C53" s="100">
        <v>27.94</v>
      </c>
      <c r="D53" s="100">
        <v>27.64</v>
      </c>
      <c r="E53" s="100">
        <v>9.68</v>
      </c>
      <c r="F53" s="100">
        <v>0.78</v>
      </c>
      <c r="G53" s="100">
        <v>85.24</v>
      </c>
      <c r="H53" s="100">
        <v>22.91</v>
      </c>
      <c r="I53" s="100">
        <v>11.77</v>
      </c>
      <c r="J53" s="100">
        <v>0.33</v>
      </c>
      <c r="K53" s="100">
        <v>73.86</v>
      </c>
      <c r="L53" s="100">
        <v>26.96</v>
      </c>
      <c r="M53" s="100">
        <v>24.99</v>
      </c>
      <c r="N53" s="100">
        <v>398.3</v>
      </c>
      <c r="O53" s="100">
        <v>0</v>
      </c>
      <c r="P53" s="100">
        <v>0.77</v>
      </c>
      <c r="Q53" s="100">
        <v>13.25</v>
      </c>
      <c r="R53" s="6"/>
      <c r="S53" s="6"/>
      <c r="T53" s="156"/>
      <c r="U53" s="6"/>
    </row>
    <row r="54" spans="1:21" customFormat="1">
      <c r="A54" s="163" t="s">
        <v>2780</v>
      </c>
      <c r="B54" s="100">
        <v>14.13</v>
      </c>
      <c r="C54" s="100">
        <v>27.77</v>
      </c>
      <c r="D54" s="100">
        <v>27.19</v>
      </c>
      <c r="E54" s="100">
        <v>10.79</v>
      </c>
      <c r="F54" s="100">
        <v>0.1</v>
      </c>
      <c r="G54" s="100">
        <v>79.650000000000006</v>
      </c>
      <c r="H54" s="100">
        <v>20.43</v>
      </c>
      <c r="I54" s="100">
        <v>11.61</v>
      </c>
      <c r="J54" s="100">
        <v>0.77</v>
      </c>
      <c r="K54" s="100">
        <v>23.59</v>
      </c>
      <c r="L54" s="100">
        <v>26.67</v>
      </c>
      <c r="M54" s="100">
        <v>25.35</v>
      </c>
      <c r="N54" s="100">
        <v>355.2</v>
      </c>
      <c r="O54" s="100">
        <v>0</v>
      </c>
      <c r="P54" s="100">
        <v>0.76</v>
      </c>
      <c r="Q54" s="100">
        <v>13.25</v>
      </c>
      <c r="R54" s="6"/>
      <c r="S54" s="6"/>
      <c r="T54" s="156"/>
      <c r="U54" s="6"/>
    </row>
    <row r="55" spans="1:21" customFormat="1">
      <c r="A55" s="163" t="s">
        <v>2781</v>
      </c>
      <c r="B55" s="100">
        <v>13.91</v>
      </c>
      <c r="C55" s="100">
        <v>27.68</v>
      </c>
      <c r="D55" s="100">
        <v>26.96</v>
      </c>
      <c r="E55" s="100">
        <v>10.43</v>
      </c>
      <c r="F55" s="100">
        <v>0.1</v>
      </c>
      <c r="G55" s="100">
        <v>76.25</v>
      </c>
      <c r="H55" s="100">
        <v>19.93</v>
      </c>
      <c r="I55" s="100">
        <v>11.37</v>
      </c>
      <c r="J55" s="100">
        <v>0.4</v>
      </c>
      <c r="K55" s="100">
        <v>38.15</v>
      </c>
      <c r="L55" s="100">
        <v>27.12</v>
      </c>
      <c r="M55" s="100">
        <v>25.33</v>
      </c>
      <c r="N55" s="100">
        <v>397.2</v>
      </c>
      <c r="O55" s="100">
        <v>0</v>
      </c>
      <c r="P55" s="100">
        <v>0.76</v>
      </c>
      <c r="Q55" s="100">
        <v>13.25</v>
      </c>
      <c r="R55" s="6"/>
      <c r="S55" s="6"/>
      <c r="T55" s="156"/>
      <c r="U55" s="6"/>
    </row>
    <row r="56" spans="1:21" customFormat="1">
      <c r="A56" s="163" t="s">
        <v>2782</v>
      </c>
      <c r="B56" s="100">
        <v>12.98</v>
      </c>
      <c r="C56" s="100">
        <v>28.47</v>
      </c>
      <c r="D56" s="100">
        <v>26.64</v>
      </c>
      <c r="E56" s="100">
        <v>13.83</v>
      </c>
      <c r="F56" s="100">
        <v>0.1</v>
      </c>
      <c r="G56" s="100">
        <v>76.25</v>
      </c>
      <c r="H56" s="100">
        <v>19.93</v>
      </c>
      <c r="I56" s="100">
        <v>11.23</v>
      </c>
      <c r="J56" s="100">
        <v>0.67</v>
      </c>
      <c r="K56" s="100">
        <v>45.21</v>
      </c>
      <c r="L56" s="100">
        <v>27.76</v>
      </c>
      <c r="M56" s="100">
        <v>24.8</v>
      </c>
      <c r="N56" s="100">
        <v>363.7</v>
      </c>
      <c r="O56" s="100">
        <v>0</v>
      </c>
      <c r="P56" s="100">
        <v>0.73</v>
      </c>
      <c r="Q56" s="100">
        <v>13.25</v>
      </c>
      <c r="R56" s="6"/>
      <c r="S56" s="6"/>
      <c r="T56" s="156"/>
      <c r="U56" s="6"/>
    </row>
    <row r="57" spans="1:21" customFormat="1">
      <c r="A57" s="163" t="s">
        <v>2783</v>
      </c>
      <c r="B57" s="100">
        <v>11.03</v>
      </c>
      <c r="C57" s="100">
        <v>32.15</v>
      </c>
      <c r="D57" s="100">
        <v>26.99</v>
      </c>
      <c r="E57" s="100">
        <v>18.05</v>
      </c>
      <c r="F57" s="100">
        <v>0.1</v>
      </c>
      <c r="G57" s="100">
        <v>76.25</v>
      </c>
      <c r="H57" s="100">
        <v>19.93</v>
      </c>
      <c r="I57" s="100">
        <v>11.1</v>
      </c>
      <c r="J57" s="100">
        <v>0.52</v>
      </c>
      <c r="K57" s="100">
        <v>14.19</v>
      </c>
      <c r="L57" s="100">
        <v>27.51</v>
      </c>
      <c r="M57" s="100">
        <v>25.69</v>
      </c>
      <c r="N57" s="100">
        <v>408.7</v>
      </c>
      <c r="O57" s="100">
        <v>0</v>
      </c>
      <c r="P57" s="100">
        <v>0.72</v>
      </c>
      <c r="Q57" s="100">
        <v>12.98</v>
      </c>
      <c r="R57" s="6"/>
      <c r="S57" s="6"/>
      <c r="T57" s="156"/>
      <c r="U57" s="6"/>
    </row>
    <row r="58" spans="1:21" customFormat="1">
      <c r="A58" s="163" t="s">
        <v>2784</v>
      </c>
      <c r="B58" s="100">
        <v>9.81</v>
      </c>
      <c r="C58" s="100">
        <v>35.06</v>
      </c>
      <c r="D58" s="100">
        <v>27.53</v>
      </c>
      <c r="E58" s="100">
        <v>21.71</v>
      </c>
      <c r="F58" s="100">
        <v>0.1</v>
      </c>
      <c r="G58" s="100">
        <v>74.349999999999994</v>
      </c>
      <c r="H58" s="100">
        <v>20.72</v>
      </c>
      <c r="I58" s="100">
        <v>10.31</v>
      </c>
      <c r="J58" s="100">
        <v>0.03</v>
      </c>
      <c r="K58" s="100">
        <v>349.19</v>
      </c>
      <c r="L58" s="100">
        <v>28.3</v>
      </c>
      <c r="M58" s="100">
        <v>25.63</v>
      </c>
      <c r="N58" s="100">
        <v>411.7</v>
      </c>
      <c r="O58" s="100">
        <v>0</v>
      </c>
      <c r="P58" s="100">
        <v>0.71</v>
      </c>
      <c r="Q58" s="100">
        <v>13</v>
      </c>
      <c r="R58" s="6"/>
      <c r="S58" s="6"/>
      <c r="T58" s="156"/>
      <c r="U58" s="6"/>
    </row>
    <row r="59" spans="1:21" customFormat="1">
      <c r="A59" s="163" t="s">
        <v>2785</v>
      </c>
      <c r="B59" s="100">
        <v>8.49</v>
      </c>
      <c r="C59" s="100">
        <v>36.71</v>
      </c>
      <c r="D59" s="100">
        <v>27.34</v>
      </c>
      <c r="E59" s="100">
        <v>21.71</v>
      </c>
      <c r="F59" s="100">
        <v>0.1</v>
      </c>
      <c r="G59" s="100">
        <v>73.19</v>
      </c>
      <c r="H59" s="100">
        <v>20.88</v>
      </c>
      <c r="I59" s="100">
        <v>9.6300000000000008</v>
      </c>
      <c r="J59" s="100">
        <v>0.48</v>
      </c>
      <c r="K59" s="100">
        <v>325.45999999999998</v>
      </c>
      <c r="L59" s="100">
        <v>28.71</v>
      </c>
      <c r="M59" s="100">
        <v>25.21</v>
      </c>
      <c r="N59" s="100">
        <v>406.7</v>
      </c>
      <c r="O59" s="100">
        <v>0</v>
      </c>
      <c r="P59" s="100">
        <v>0.69</v>
      </c>
      <c r="Q59" s="100">
        <v>13</v>
      </c>
      <c r="R59" s="6"/>
      <c r="S59" s="6"/>
      <c r="T59" s="156"/>
      <c r="U59" s="6"/>
    </row>
    <row r="60" spans="1:21" customFormat="1">
      <c r="A60" s="163" t="s">
        <v>2786</v>
      </c>
      <c r="B60" s="100">
        <v>7.06</v>
      </c>
      <c r="C60" s="100">
        <v>37.1</v>
      </c>
      <c r="D60" s="100">
        <v>26.4</v>
      </c>
      <c r="E60" s="100">
        <v>22.32</v>
      </c>
      <c r="F60" s="100">
        <v>0.1</v>
      </c>
      <c r="G60" s="100">
        <v>73.19</v>
      </c>
      <c r="H60" s="100">
        <v>20.88</v>
      </c>
      <c r="I60" s="100">
        <v>9.08</v>
      </c>
      <c r="J60" s="100">
        <v>0.43</v>
      </c>
      <c r="K60" s="100">
        <v>346.35</v>
      </c>
      <c r="L60" s="100">
        <v>28.84</v>
      </c>
      <c r="M60" s="100">
        <v>25.4</v>
      </c>
      <c r="N60" s="100">
        <v>402.5</v>
      </c>
      <c r="O60" s="100">
        <v>0</v>
      </c>
      <c r="P60" s="100">
        <v>0.68</v>
      </c>
      <c r="Q60" s="100">
        <v>13</v>
      </c>
      <c r="R60" s="6"/>
      <c r="S60" s="6"/>
      <c r="T60" s="156"/>
      <c r="U60" s="6"/>
    </row>
    <row r="61" spans="1:21" customFormat="1">
      <c r="A61" s="163" t="s">
        <v>2787</v>
      </c>
      <c r="B61" s="100">
        <v>5.56</v>
      </c>
      <c r="C61" s="100">
        <v>35.6</v>
      </c>
      <c r="D61" s="100">
        <v>24.41</v>
      </c>
      <c r="E61" s="100">
        <v>25.95</v>
      </c>
      <c r="F61" s="100">
        <v>0.1</v>
      </c>
      <c r="G61" s="100">
        <v>73.19</v>
      </c>
      <c r="H61" s="100">
        <v>20.88</v>
      </c>
      <c r="I61" s="100">
        <v>8.73</v>
      </c>
      <c r="J61" s="100">
        <v>0.95</v>
      </c>
      <c r="K61" s="100">
        <v>318.12</v>
      </c>
      <c r="L61" s="100">
        <v>28.8</v>
      </c>
      <c r="M61" s="100">
        <v>26.1</v>
      </c>
      <c r="N61" s="100">
        <v>399.6</v>
      </c>
      <c r="O61" s="100">
        <v>0</v>
      </c>
      <c r="P61" s="100">
        <v>0.65</v>
      </c>
      <c r="Q61" s="100">
        <v>12.99</v>
      </c>
      <c r="R61" s="6"/>
      <c r="S61" s="6"/>
      <c r="T61" s="156"/>
      <c r="U61" s="6"/>
    </row>
    <row r="62" spans="1:21" customFormat="1">
      <c r="A62" s="163" t="s">
        <v>2788</v>
      </c>
      <c r="B62" s="100">
        <v>4.62</v>
      </c>
      <c r="C62" s="100">
        <v>32.72</v>
      </c>
      <c r="D62" s="100">
        <v>22.15</v>
      </c>
      <c r="E62" s="100">
        <v>16.53</v>
      </c>
      <c r="F62" s="100">
        <v>0.1</v>
      </c>
      <c r="G62" s="100">
        <v>74.959999999999994</v>
      </c>
      <c r="H62" s="100">
        <v>20.55</v>
      </c>
      <c r="I62" s="100">
        <v>8.2899999999999991</v>
      </c>
      <c r="J62" s="100">
        <v>1.06</v>
      </c>
      <c r="K62" s="100">
        <v>320.48</v>
      </c>
      <c r="L62" s="100">
        <v>28.7</v>
      </c>
      <c r="M62" s="100">
        <v>27.7</v>
      </c>
      <c r="N62" s="100">
        <v>381</v>
      </c>
      <c r="O62" s="100">
        <v>0</v>
      </c>
      <c r="P62" s="100">
        <v>0.59</v>
      </c>
      <c r="Q62" s="100">
        <v>13</v>
      </c>
      <c r="R62" s="6"/>
      <c r="S62" s="6"/>
      <c r="T62" s="156"/>
      <c r="U62" s="6"/>
    </row>
    <row r="63" spans="1:21" customFormat="1">
      <c r="A63" s="163" t="s">
        <v>2789</v>
      </c>
      <c r="B63" s="100">
        <v>4.3099999999999996</v>
      </c>
      <c r="C63" s="100">
        <v>30.81</v>
      </c>
      <c r="D63" s="100">
        <v>20.91</v>
      </c>
      <c r="E63" s="100">
        <v>12.7</v>
      </c>
      <c r="F63" s="100">
        <v>0.1</v>
      </c>
      <c r="G63" s="100">
        <v>76.03</v>
      </c>
      <c r="H63" s="100">
        <v>20.48</v>
      </c>
      <c r="I63" s="100">
        <v>7.62</v>
      </c>
      <c r="J63" s="100">
        <v>1.05</v>
      </c>
      <c r="K63" s="100">
        <v>338.08</v>
      </c>
      <c r="L63" s="100">
        <v>28.69</v>
      </c>
      <c r="M63" s="100">
        <v>27.35</v>
      </c>
      <c r="N63" s="100">
        <v>416.8</v>
      </c>
      <c r="O63" s="100">
        <v>0</v>
      </c>
      <c r="P63" s="100">
        <v>0.56000000000000005</v>
      </c>
      <c r="Q63" s="100">
        <v>12.99</v>
      </c>
      <c r="R63" s="6"/>
      <c r="S63" s="6"/>
      <c r="T63" s="156"/>
      <c r="U63" s="6"/>
    </row>
    <row r="64" spans="1:21" customFormat="1">
      <c r="A64" s="163" t="s">
        <v>2790</v>
      </c>
      <c r="B64" s="100">
        <v>4.16</v>
      </c>
      <c r="C64" s="100">
        <v>29.27</v>
      </c>
      <c r="D64" s="100">
        <v>19.98</v>
      </c>
      <c r="E64" s="100">
        <v>12.74</v>
      </c>
      <c r="F64" s="100">
        <v>0.1</v>
      </c>
      <c r="G64" s="100">
        <v>76.03</v>
      </c>
      <c r="H64" s="100">
        <v>20.48</v>
      </c>
      <c r="I64" s="100">
        <v>6.97</v>
      </c>
      <c r="J64" s="100">
        <v>1.08</v>
      </c>
      <c r="K64" s="100">
        <v>321.66000000000003</v>
      </c>
      <c r="L64" s="100">
        <v>29.06</v>
      </c>
      <c r="M64" s="100">
        <v>27.03</v>
      </c>
      <c r="N64" s="100">
        <v>408</v>
      </c>
      <c r="O64" s="100">
        <v>0</v>
      </c>
      <c r="P64" s="100">
        <v>0.55000000000000004</v>
      </c>
      <c r="Q64" s="100">
        <v>12.98</v>
      </c>
      <c r="R64" s="6"/>
      <c r="S64" s="6"/>
      <c r="T64" s="156"/>
      <c r="U64" s="6"/>
    </row>
    <row r="65" spans="1:21" customFormat="1">
      <c r="A65" s="163" t="s">
        <v>2791</v>
      </c>
      <c r="B65" s="100">
        <v>4.01</v>
      </c>
      <c r="C65" s="100">
        <v>27.91</v>
      </c>
      <c r="D65" s="100">
        <v>19.149999999999999</v>
      </c>
      <c r="E65" s="100">
        <v>10.63</v>
      </c>
      <c r="F65" s="100">
        <v>0.1</v>
      </c>
      <c r="G65" s="100">
        <v>76.03</v>
      </c>
      <c r="H65" s="100">
        <v>20.48</v>
      </c>
      <c r="I65" s="100">
        <v>6.59</v>
      </c>
      <c r="J65" s="100">
        <v>1.2</v>
      </c>
      <c r="K65" s="100">
        <v>314.94</v>
      </c>
      <c r="L65" s="100">
        <v>28.93</v>
      </c>
      <c r="M65" s="100">
        <v>27.18</v>
      </c>
      <c r="N65" s="100">
        <v>365.5</v>
      </c>
      <c r="O65" s="100">
        <v>0</v>
      </c>
      <c r="P65" s="100">
        <v>0.52</v>
      </c>
      <c r="Q65" s="100">
        <v>12.97</v>
      </c>
      <c r="R65" s="6"/>
      <c r="S65" s="6"/>
      <c r="T65" s="156"/>
      <c r="U65" s="6"/>
    </row>
    <row r="66" spans="1:21" customFormat="1">
      <c r="A66" s="163" t="s">
        <v>2792</v>
      </c>
      <c r="B66" s="100">
        <v>4</v>
      </c>
      <c r="C66" s="100">
        <v>26.64</v>
      </c>
      <c r="D66" s="100">
        <v>18.47</v>
      </c>
      <c r="E66" s="100">
        <v>12.25</v>
      </c>
      <c r="F66" s="100">
        <v>0.1</v>
      </c>
      <c r="G66" s="100">
        <v>69.510000000000005</v>
      </c>
      <c r="H66" s="100">
        <v>20.9</v>
      </c>
      <c r="I66" s="100">
        <v>6.26</v>
      </c>
      <c r="J66" s="100">
        <v>1.01</v>
      </c>
      <c r="K66" s="100">
        <v>307.45999999999998</v>
      </c>
      <c r="L66" s="100">
        <v>28.83</v>
      </c>
      <c r="M66" s="100">
        <v>27.66</v>
      </c>
      <c r="N66" s="100">
        <v>134.19999999999999</v>
      </c>
      <c r="O66" s="100">
        <v>0</v>
      </c>
      <c r="P66" s="100">
        <v>0.5</v>
      </c>
      <c r="Q66" s="100">
        <v>12.96</v>
      </c>
      <c r="R66" s="6"/>
      <c r="S66" s="6"/>
      <c r="T66" s="156"/>
      <c r="U66" s="6"/>
    </row>
    <row r="67" spans="1:21" customFormat="1">
      <c r="A67" s="163" t="s">
        <v>2793</v>
      </c>
      <c r="B67" s="100">
        <v>3.94</v>
      </c>
      <c r="C67" s="100">
        <v>26.13</v>
      </c>
      <c r="D67" s="100">
        <v>18.170000000000002</v>
      </c>
      <c r="E67" s="100">
        <v>12.61</v>
      </c>
      <c r="F67" s="100">
        <v>0.1</v>
      </c>
      <c r="G67" s="100">
        <v>65.55</v>
      </c>
      <c r="H67" s="100">
        <v>21.06</v>
      </c>
      <c r="I67" s="100">
        <v>6.01</v>
      </c>
      <c r="J67" s="100">
        <v>0.64</v>
      </c>
      <c r="K67" s="100">
        <v>308.54000000000002</v>
      </c>
      <c r="L67" s="100">
        <v>28.94</v>
      </c>
      <c r="M67" s="100">
        <v>27.98</v>
      </c>
      <c r="N67" s="100">
        <v>75.599999999999994</v>
      </c>
      <c r="O67" s="100">
        <v>0</v>
      </c>
      <c r="P67" s="100">
        <v>0.49</v>
      </c>
      <c r="Q67" s="100">
        <v>12.95</v>
      </c>
      <c r="R67" s="6"/>
      <c r="S67" s="6"/>
      <c r="T67" s="156"/>
      <c r="U67" s="6"/>
    </row>
    <row r="68" spans="1:21" customFormat="1">
      <c r="A68" s="163" t="s">
        <v>2794</v>
      </c>
      <c r="B68" s="100">
        <v>3.8</v>
      </c>
      <c r="C68" s="100">
        <v>25.75</v>
      </c>
      <c r="D68" s="100">
        <v>17.850000000000001</v>
      </c>
      <c r="E68" s="100">
        <v>9.76</v>
      </c>
      <c r="F68" s="100">
        <v>0.1</v>
      </c>
      <c r="G68" s="100">
        <v>65.55</v>
      </c>
      <c r="H68" s="100">
        <v>21.06</v>
      </c>
      <c r="I68" s="100">
        <v>5.64</v>
      </c>
      <c r="J68" s="100">
        <v>0.71</v>
      </c>
      <c r="K68" s="100">
        <v>315.08</v>
      </c>
      <c r="L68" s="100">
        <v>29.02</v>
      </c>
      <c r="M68" s="100">
        <v>27.67</v>
      </c>
      <c r="N68" s="100">
        <v>52.5</v>
      </c>
      <c r="O68" s="100">
        <v>0</v>
      </c>
      <c r="P68" s="100">
        <v>0.49</v>
      </c>
      <c r="Q68" s="100">
        <v>12.97</v>
      </c>
      <c r="R68" s="6"/>
      <c r="S68" s="6"/>
      <c r="T68" s="156"/>
      <c r="U68" s="6"/>
    </row>
    <row r="69" spans="1:21" customFormat="1">
      <c r="A69" s="163" t="s">
        <v>2795</v>
      </c>
      <c r="B69" s="100">
        <v>3.65</v>
      </c>
      <c r="C69" s="100">
        <v>25.23</v>
      </c>
      <c r="D69" s="100">
        <v>17.46</v>
      </c>
      <c r="E69" s="100">
        <v>7.12</v>
      </c>
      <c r="F69" s="100">
        <v>0.1</v>
      </c>
      <c r="G69" s="100">
        <v>65.55</v>
      </c>
      <c r="H69" s="100">
        <v>21.06</v>
      </c>
      <c r="I69" s="100">
        <v>5.36</v>
      </c>
      <c r="J69" s="100">
        <v>1.07</v>
      </c>
      <c r="K69" s="100">
        <v>280.76</v>
      </c>
      <c r="L69" s="100">
        <v>28.81</v>
      </c>
      <c r="M69" s="100">
        <v>28.54</v>
      </c>
      <c r="N69" s="100">
        <v>45.7</v>
      </c>
      <c r="O69" s="100">
        <v>0</v>
      </c>
      <c r="P69" s="100">
        <v>0.48</v>
      </c>
      <c r="Q69" s="100">
        <v>12.96</v>
      </c>
      <c r="R69" s="6"/>
      <c r="S69" s="6"/>
      <c r="T69" s="156"/>
      <c r="U69" s="6"/>
    </row>
    <row r="70" spans="1:21" customFormat="1">
      <c r="A70" s="163" t="s">
        <v>2796</v>
      </c>
      <c r="B70" s="100">
        <v>3.61</v>
      </c>
      <c r="C70" s="100">
        <v>24.8</v>
      </c>
      <c r="D70" s="100">
        <v>17.2</v>
      </c>
      <c r="E70" s="100">
        <v>6.7</v>
      </c>
      <c r="F70" s="100">
        <v>0.1</v>
      </c>
      <c r="G70" s="100">
        <v>55.71</v>
      </c>
      <c r="H70" s="100">
        <v>19.239999999999998</v>
      </c>
      <c r="I70" s="100">
        <v>5.36</v>
      </c>
      <c r="J70" s="100">
        <v>1.08</v>
      </c>
      <c r="K70" s="100">
        <v>295.47000000000003</v>
      </c>
      <c r="L70" s="100">
        <v>28.77</v>
      </c>
      <c r="M70" s="100">
        <v>28.59</v>
      </c>
      <c r="N70" s="100">
        <v>56.9</v>
      </c>
      <c r="O70" s="100">
        <v>0</v>
      </c>
      <c r="P70" s="100">
        <v>0.47</v>
      </c>
      <c r="Q70" s="100">
        <v>12.96</v>
      </c>
      <c r="R70" s="6"/>
      <c r="S70" s="6"/>
      <c r="T70" s="156"/>
      <c r="U70" s="6"/>
    </row>
    <row r="71" spans="1:21" customFormat="1">
      <c r="A71" s="163" t="s">
        <v>2797</v>
      </c>
      <c r="B71" s="100">
        <v>3.58</v>
      </c>
      <c r="C71" s="100">
        <v>24.33</v>
      </c>
      <c r="D71" s="100">
        <v>16.940000000000001</v>
      </c>
      <c r="E71" s="100">
        <v>7.13</v>
      </c>
      <c r="F71" s="100">
        <v>0.1</v>
      </c>
      <c r="G71" s="100">
        <v>49.74</v>
      </c>
      <c r="H71" s="100">
        <v>18.87</v>
      </c>
      <c r="I71" s="100">
        <v>5.35</v>
      </c>
      <c r="J71" s="100">
        <v>0.99</v>
      </c>
      <c r="K71" s="100">
        <v>296.94</v>
      </c>
      <c r="L71" s="100">
        <v>28.69</v>
      </c>
      <c r="M71" s="100">
        <v>28.75</v>
      </c>
      <c r="N71" s="100">
        <v>37.799999999999997</v>
      </c>
      <c r="O71" s="100">
        <v>0</v>
      </c>
      <c r="P71" s="100">
        <v>0.47</v>
      </c>
      <c r="Q71" s="100">
        <v>12.95</v>
      </c>
      <c r="R71" s="6"/>
      <c r="S71" s="6"/>
      <c r="T71" s="156"/>
      <c r="U71" s="6"/>
    </row>
    <row r="72" spans="1:21" customFormat="1">
      <c r="A72" s="163" t="s">
        <v>2798</v>
      </c>
      <c r="B72" s="100">
        <v>3.64</v>
      </c>
      <c r="C72" s="100">
        <v>24</v>
      </c>
      <c r="D72" s="100">
        <v>16.809999999999999</v>
      </c>
      <c r="E72" s="100">
        <v>7.05</v>
      </c>
      <c r="F72" s="100">
        <v>0.1</v>
      </c>
      <c r="G72" s="100">
        <v>49.74</v>
      </c>
      <c r="H72" s="100">
        <v>18.87</v>
      </c>
      <c r="I72" s="100">
        <v>5.27</v>
      </c>
      <c r="J72" s="100">
        <v>0.94</v>
      </c>
      <c r="K72" s="100">
        <v>323.45</v>
      </c>
      <c r="L72" s="100">
        <v>28.54</v>
      </c>
      <c r="M72" s="100">
        <v>28.67</v>
      </c>
      <c r="N72" s="100">
        <v>32.5</v>
      </c>
      <c r="O72" s="100">
        <v>0</v>
      </c>
      <c r="P72" s="100">
        <v>0.46</v>
      </c>
      <c r="Q72" s="100">
        <v>12.95</v>
      </c>
      <c r="R72" s="6"/>
      <c r="S72" s="6"/>
      <c r="T72" s="156"/>
      <c r="U72" s="6"/>
    </row>
    <row r="73" spans="1:21" customFormat="1">
      <c r="A73" s="163" t="s">
        <v>2799</v>
      </c>
      <c r="B73" s="100">
        <v>3.85</v>
      </c>
      <c r="C73" s="100">
        <v>24.16</v>
      </c>
      <c r="D73" s="100">
        <v>17.059999999999999</v>
      </c>
      <c r="E73" s="100">
        <v>7.39</v>
      </c>
      <c r="F73" s="100">
        <v>0.1</v>
      </c>
      <c r="G73" s="100">
        <v>49.74</v>
      </c>
      <c r="H73" s="100">
        <v>18.87</v>
      </c>
      <c r="I73" s="100">
        <v>5.23</v>
      </c>
      <c r="J73" s="100">
        <v>1.03</v>
      </c>
      <c r="K73" s="100">
        <v>315.33999999999997</v>
      </c>
      <c r="L73" s="100">
        <v>28.55</v>
      </c>
      <c r="M73" s="100">
        <v>28.61</v>
      </c>
      <c r="N73" s="100">
        <v>29.9</v>
      </c>
      <c r="O73" s="100">
        <v>0</v>
      </c>
      <c r="P73" s="100">
        <v>0.47</v>
      </c>
      <c r="Q73" s="100">
        <v>12.96</v>
      </c>
      <c r="R73" s="6"/>
      <c r="S73" s="6"/>
      <c r="T73" s="156"/>
      <c r="U73" s="6"/>
    </row>
    <row r="74" spans="1:21" customFormat="1">
      <c r="A74" s="163" t="s">
        <v>2800</v>
      </c>
      <c r="B74" s="100">
        <v>4.28</v>
      </c>
      <c r="C74" s="100">
        <v>24.34</v>
      </c>
      <c r="D74" s="100">
        <v>17.5</v>
      </c>
      <c r="E74" s="100">
        <v>8.1199999999999992</v>
      </c>
      <c r="F74" s="100">
        <v>0.1</v>
      </c>
      <c r="G74" s="100">
        <v>47.59</v>
      </c>
      <c r="H74" s="100">
        <v>17.87</v>
      </c>
      <c r="I74" s="100">
        <v>5.19</v>
      </c>
      <c r="J74" s="100">
        <v>0.49</v>
      </c>
      <c r="K74" s="100">
        <v>291.89</v>
      </c>
      <c r="L74" s="100">
        <v>28.34</v>
      </c>
      <c r="M74" s="100">
        <v>30.27</v>
      </c>
      <c r="N74" s="100">
        <v>31.2</v>
      </c>
      <c r="O74" s="100">
        <v>0</v>
      </c>
      <c r="P74" s="100">
        <v>0.47</v>
      </c>
      <c r="Q74" s="100">
        <v>12.94</v>
      </c>
      <c r="R74" s="6"/>
      <c r="S74" s="6"/>
      <c r="T74" s="156"/>
      <c r="U74" s="6"/>
    </row>
    <row r="75" spans="1:21" customFormat="1">
      <c r="A75" s="163" t="s">
        <v>2801</v>
      </c>
      <c r="B75" s="100">
        <v>4.2699999999999996</v>
      </c>
      <c r="C75" s="100">
        <v>24.1</v>
      </c>
      <c r="D75" s="100">
        <v>17.36</v>
      </c>
      <c r="E75" s="100">
        <v>7.96</v>
      </c>
      <c r="F75" s="100">
        <v>0.1</v>
      </c>
      <c r="G75" s="100">
        <v>46.29</v>
      </c>
      <c r="H75" s="100">
        <v>17.670000000000002</v>
      </c>
      <c r="I75" s="100">
        <v>5.15</v>
      </c>
      <c r="J75" s="100">
        <v>0.17</v>
      </c>
      <c r="K75" s="100">
        <v>315.77</v>
      </c>
      <c r="L75" s="100">
        <v>28.27</v>
      </c>
      <c r="M75" s="100">
        <v>30.15</v>
      </c>
      <c r="N75" s="100">
        <v>28.1</v>
      </c>
      <c r="O75" s="100">
        <v>0</v>
      </c>
      <c r="P75" s="100">
        <v>0.45</v>
      </c>
      <c r="Q75" s="100">
        <v>12.94</v>
      </c>
      <c r="R75" s="6"/>
      <c r="S75" s="6"/>
      <c r="T75" s="156"/>
      <c r="U75" s="6"/>
    </row>
    <row r="76" spans="1:21" customFormat="1">
      <c r="A76" s="163" t="s">
        <v>2802</v>
      </c>
      <c r="B76" s="100">
        <v>4.0599999999999996</v>
      </c>
      <c r="C76" s="100">
        <v>23.9</v>
      </c>
      <c r="D76" s="100">
        <v>17.09</v>
      </c>
      <c r="E76" s="100">
        <v>7.31</v>
      </c>
      <c r="F76" s="100">
        <v>0.1</v>
      </c>
      <c r="G76" s="100">
        <v>46.29</v>
      </c>
      <c r="H76" s="100">
        <v>17.670000000000002</v>
      </c>
      <c r="I76" s="100">
        <v>5.09</v>
      </c>
      <c r="J76" s="100">
        <v>0.21</v>
      </c>
      <c r="K76" s="100">
        <v>220.64</v>
      </c>
      <c r="L76" s="100">
        <v>27.74</v>
      </c>
      <c r="M76" s="100">
        <v>33.770000000000003</v>
      </c>
      <c r="N76" s="100">
        <v>21.3</v>
      </c>
      <c r="O76" s="100">
        <v>0</v>
      </c>
      <c r="P76" s="100">
        <v>0.45</v>
      </c>
      <c r="Q76" s="100">
        <v>12.94</v>
      </c>
      <c r="R76" s="6"/>
      <c r="S76" s="6"/>
      <c r="T76" s="156"/>
      <c r="U76" s="6"/>
    </row>
    <row r="77" spans="1:21" customFormat="1">
      <c r="A77" s="163" t="s">
        <v>2803</v>
      </c>
      <c r="B77" s="100">
        <v>3.93</v>
      </c>
      <c r="C77" s="100">
        <v>23.5</v>
      </c>
      <c r="D77" s="100">
        <v>16.78</v>
      </c>
      <c r="E77" s="100">
        <v>7.46</v>
      </c>
      <c r="F77" s="100">
        <v>0.1</v>
      </c>
      <c r="G77" s="100">
        <v>46.29</v>
      </c>
      <c r="H77" s="100">
        <v>17.670000000000002</v>
      </c>
      <c r="I77" s="100">
        <v>5.09</v>
      </c>
      <c r="J77" s="100">
        <v>0.17</v>
      </c>
      <c r="K77" s="100">
        <v>187.45</v>
      </c>
      <c r="L77" s="100">
        <v>26.99</v>
      </c>
      <c r="M77" s="100">
        <v>36.450000000000003</v>
      </c>
      <c r="N77" s="100">
        <v>15.8</v>
      </c>
      <c r="O77" s="100">
        <v>0</v>
      </c>
      <c r="P77" s="100">
        <v>0.46</v>
      </c>
      <c r="Q77" s="100">
        <v>12.96</v>
      </c>
      <c r="R77" s="6"/>
      <c r="S77" s="6"/>
      <c r="T77" s="156"/>
      <c r="U77" s="6"/>
    </row>
    <row r="78" spans="1:21" customFormat="1">
      <c r="A78" s="163" t="s">
        <v>2804</v>
      </c>
      <c r="B78" s="100">
        <v>4.0199999999999996</v>
      </c>
      <c r="C78" s="100">
        <v>23.1</v>
      </c>
      <c r="D78" s="100">
        <v>16.64</v>
      </c>
      <c r="E78" s="100">
        <v>7.42</v>
      </c>
      <c r="F78" s="100">
        <v>0.1</v>
      </c>
      <c r="G78" s="100">
        <v>46.2</v>
      </c>
      <c r="H78" s="100">
        <v>18.61</v>
      </c>
      <c r="I78" s="100">
        <v>5.0999999999999996</v>
      </c>
      <c r="J78" s="100">
        <v>0.28000000000000003</v>
      </c>
      <c r="K78" s="100">
        <v>170.59</v>
      </c>
      <c r="L78" s="100">
        <v>26.41</v>
      </c>
      <c r="M78" s="100">
        <v>37.83</v>
      </c>
      <c r="N78" s="100">
        <v>9.8000000000000007</v>
      </c>
      <c r="O78" s="100">
        <v>0</v>
      </c>
      <c r="P78" s="100">
        <v>0.46</v>
      </c>
      <c r="Q78" s="100">
        <v>12.94</v>
      </c>
      <c r="R78" s="6"/>
      <c r="S78" s="6"/>
      <c r="T78" s="156"/>
      <c r="U78" s="6"/>
    </row>
    <row r="79" spans="1:21" customFormat="1">
      <c r="A79" s="163" t="s">
        <v>2805</v>
      </c>
      <c r="B79" s="100">
        <v>4.16</v>
      </c>
      <c r="C79" s="100">
        <v>23.27</v>
      </c>
      <c r="D79" s="100">
        <v>16.850000000000001</v>
      </c>
      <c r="E79" s="100">
        <v>7.18</v>
      </c>
      <c r="F79" s="100">
        <v>0.1</v>
      </c>
      <c r="G79" s="100">
        <v>46.14</v>
      </c>
      <c r="H79" s="100">
        <v>18.8</v>
      </c>
      <c r="I79" s="100">
        <v>5.0999999999999996</v>
      </c>
      <c r="J79" s="100">
        <v>0.32</v>
      </c>
      <c r="K79" s="100">
        <v>167.48</v>
      </c>
      <c r="L79" s="100">
        <v>25.61</v>
      </c>
      <c r="M79" s="100">
        <v>41.71</v>
      </c>
      <c r="N79" s="100">
        <v>5.0999999999999996</v>
      </c>
      <c r="O79" s="100">
        <v>0</v>
      </c>
      <c r="P79" s="100">
        <v>0.46</v>
      </c>
      <c r="Q79" s="100">
        <v>12.94</v>
      </c>
      <c r="R79" s="6"/>
      <c r="S79" s="6"/>
      <c r="T79" s="156"/>
      <c r="U79" s="6"/>
    </row>
    <row r="80" spans="1:21" customFormat="1">
      <c r="A80" s="163" t="s">
        <v>2806</v>
      </c>
      <c r="B80" s="100">
        <v>4.38</v>
      </c>
      <c r="C80" s="100">
        <v>23.66</v>
      </c>
      <c r="D80" s="100">
        <v>17.22</v>
      </c>
      <c r="E80" s="100">
        <v>7.32</v>
      </c>
      <c r="F80" s="100">
        <v>0.1</v>
      </c>
      <c r="G80" s="100">
        <v>46.14</v>
      </c>
      <c r="H80" s="100">
        <v>18.8</v>
      </c>
      <c r="I80" s="100">
        <v>5.17</v>
      </c>
      <c r="J80" s="100">
        <v>0.28999999999999998</v>
      </c>
      <c r="K80" s="100">
        <v>153.69999999999999</v>
      </c>
      <c r="L80" s="100">
        <v>24.65</v>
      </c>
      <c r="M80" s="100">
        <v>44.46</v>
      </c>
      <c r="N80" s="100">
        <v>2.4</v>
      </c>
      <c r="O80" s="100">
        <v>0</v>
      </c>
      <c r="P80" s="100">
        <v>0.47</v>
      </c>
      <c r="Q80" s="100">
        <v>12.94</v>
      </c>
      <c r="R80" s="6"/>
      <c r="S80" s="6"/>
      <c r="T80" s="156"/>
      <c r="U80" s="6"/>
    </row>
    <row r="81" spans="1:21" customFormat="1">
      <c r="A81" s="163" t="s">
        <v>2807</v>
      </c>
      <c r="B81" s="100">
        <v>5.04</v>
      </c>
      <c r="C81" s="100">
        <v>24.74</v>
      </c>
      <c r="D81" s="100">
        <v>18.32</v>
      </c>
      <c r="E81" s="100">
        <v>6.34</v>
      </c>
      <c r="F81" s="100">
        <v>0.1</v>
      </c>
      <c r="G81" s="100">
        <v>46.14</v>
      </c>
      <c r="H81" s="100">
        <v>18.8</v>
      </c>
      <c r="I81" s="100">
        <v>5.24</v>
      </c>
      <c r="J81" s="100">
        <v>0.3</v>
      </c>
      <c r="K81" s="100">
        <v>177.33</v>
      </c>
      <c r="L81" s="100">
        <v>23.86</v>
      </c>
      <c r="M81" s="100">
        <v>52.1</v>
      </c>
      <c r="N81" s="100">
        <v>2</v>
      </c>
      <c r="O81" s="100">
        <v>0</v>
      </c>
      <c r="P81" s="100">
        <v>0.49</v>
      </c>
      <c r="Q81" s="100">
        <v>12.95</v>
      </c>
      <c r="R81" s="6"/>
      <c r="S81" s="6"/>
      <c r="T81" s="156"/>
      <c r="U81" s="6"/>
    </row>
    <row r="82" spans="1:21" customFormat="1">
      <c r="A82" s="163" t="s">
        <v>2808</v>
      </c>
      <c r="B82" s="100">
        <v>5.64</v>
      </c>
      <c r="C82" s="100">
        <v>25.66</v>
      </c>
      <c r="D82" s="100">
        <v>19.28</v>
      </c>
      <c r="E82" s="100">
        <v>7.45</v>
      </c>
      <c r="F82" s="100">
        <v>0.1</v>
      </c>
      <c r="G82" s="100">
        <v>56.85</v>
      </c>
      <c r="H82" s="100">
        <v>20.29</v>
      </c>
      <c r="I82" s="100">
        <v>5.35</v>
      </c>
      <c r="J82" s="100">
        <v>0.19</v>
      </c>
      <c r="K82" s="100">
        <v>174.86</v>
      </c>
      <c r="L82" s="100">
        <v>22.77</v>
      </c>
      <c r="M82" s="100">
        <v>56.11</v>
      </c>
      <c r="N82" s="100">
        <v>1.9</v>
      </c>
      <c r="O82" s="100">
        <v>0</v>
      </c>
      <c r="P82" s="100">
        <v>0.51</v>
      </c>
      <c r="Q82" s="100">
        <v>12.96</v>
      </c>
      <c r="R82" s="6"/>
      <c r="S82" s="6"/>
      <c r="T82" s="156"/>
      <c r="U82" s="6"/>
    </row>
    <row r="83" spans="1:21" customFormat="1">
      <c r="A83" s="163" t="s">
        <v>2809</v>
      </c>
      <c r="B83" s="100">
        <v>6.01</v>
      </c>
      <c r="C83" s="100">
        <v>26.2</v>
      </c>
      <c r="D83" s="100">
        <v>19.86</v>
      </c>
      <c r="E83" s="100">
        <v>7.63</v>
      </c>
      <c r="F83" s="100">
        <v>0.1</v>
      </c>
      <c r="G83" s="100">
        <v>63.35</v>
      </c>
      <c r="H83" s="100">
        <v>20.59</v>
      </c>
      <c r="I83" s="100">
        <v>5.65</v>
      </c>
      <c r="J83" s="100">
        <v>0.27</v>
      </c>
      <c r="K83" s="100">
        <v>168.75</v>
      </c>
      <c r="L83" s="100">
        <v>22.33</v>
      </c>
      <c r="M83" s="100">
        <v>58.51</v>
      </c>
      <c r="N83" s="100">
        <v>1.6</v>
      </c>
      <c r="O83" s="100">
        <v>0</v>
      </c>
      <c r="P83" s="100">
        <v>0.54</v>
      </c>
      <c r="Q83" s="100">
        <v>12.96</v>
      </c>
      <c r="R83" s="6"/>
      <c r="S83" s="6"/>
      <c r="T83" s="156"/>
      <c r="U83" s="6"/>
    </row>
    <row r="84" spans="1:21" customFormat="1">
      <c r="A84" s="163" t="s">
        <v>2810</v>
      </c>
      <c r="B84" s="100">
        <v>6.27</v>
      </c>
      <c r="C84" s="100">
        <v>26.7</v>
      </c>
      <c r="D84" s="100">
        <v>20.32</v>
      </c>
      <c r="E84" s="100">
        <v>7.56</v>
      </c>
      <c r="F84" s="100">
        <v>0.1</v>
      </c>
      <c r="G84" s="100">
        <v>63.35</v>
      </c>
      <c r="H84" s="100">
        <v>20.59</v>
      </c>
      <c r="I84" s="100">
        <v>6.09</v>
      </c>
      <c r="J84" s="100">
        <v>0.22</v>
      </c>
      <c r="K84" s="100">
        <v>176.74</v>
      </c>
      <c r="L84" s="100">
        <v>21.8</v>
      </c>
      <c r="M84" s="100">
        <v>60.13</v>
      </c>
      <c r="N84" s="100">
        <v>1.4</v>
      </c>
      <c r="O84" s="100">
        <v>0</v>
      </c>
      <c r="P84" s="100">
        <v>0.56999999999999995</v>
      </c>
      <c r="Q84" s="100">
        <v>12.95</v>
      </c>
      <c r="R84" s="6"/>
      <c r="S84" s="6"/>
      <c r="T84" s="156"/>
      <c r="U84" s="6"/>
    </row>
    <row r="85" spans="1:21" customFormat="1">
      <c r="A85" s="163" t="s">
        <v>2811</v>
      </c>
      <c r="B85" s="100">
        <v>6.27</v>
      </c>
      <c r="C85" s="100">
        <v>26.91</v>
      </c>
      <c r="D85" s="100">
        <v>20.440000000000001</v>
      </c>
      <c r="E85" s="100">
        <v>7.43</v>
      </c>
      <c r="F85" s="100">
        <v>0.1</v>
      </c>
      <c r="G85" s="100">
        <v>63.35</v>
      </c>
      <c r="H85" s="100">
        <v>20.59</v>
      </c>
      <c r="I85" s="100">
        <v>6.61</v>
      </c>
      <c r="J85" s="100">
        <v>0.21</v>
      </c>
      <c r="K85" s="100">
        <v>166.12</v>
      </c>
      <c r="L85" s="100">
        <v>21.44</v>
      </c>
      <c r="M85" s="100">
        <v>62.01</v>
      </c>
      <c r="N85" s="100">
        <v>1.2</v>
      </c>
      <c r="O85" s="100">
        <v>0</v>
      </c>
      <c r="P85" s="100">
        <v>0.6</v>
      </c>
      <c r="Q85" s="100">
        <v>12.97</v>
      </c>
      <c r="R85" s="6"/>
      <c r="S85" s="6"/>
      <c r="T85" s="156"/>
      <c r="U85" s="6"/>
    </row>
    <row r="86" spans="1:21" customFormat="1">
      <c r="A86" s="163" t="s">
        <v>2812</v>
      </c>
      <c r="B86" s="100">
        <v>6.31</v>
      </c>
      <c r="C86" s="100">
        <v>26.99</v>
      </c>
      <c r="D86" s="100">
        <v>20.51</v>
      </c>
      <c r="E86" s="100">
        <v>7.14</v>
      </c>
      <c r="F86" s="100">
        <v>0.1</v>
      </c>
      <c r="G86" s="100">
        <v>81.58</v>
      </c>
      <c r="H86" s="100">
        <v>20.74</v>
      </c>
      <c r="I86" s="100">
        <v>7.11</v>
      </c>
      <c r="J86" s="100">
        <v>0.2</v>
      </c>
      <c r="K86" s="100">
        <v>170.51</v>
      </c>
      <c r="L86" s="100">
        <v>21.17</v>
      </c>
      <c r="M86" s="100">
        <v>62.18</v>
      </c>
      <c r="N86" s="100">
        <v>1.3</v>
      </c>
      <c r="O86" s="100">
        <v>0</v>
      </c>
      <c r="P86" s="100">
        <v>0.62</v>
      </c>
      <c r="Q86" s="100">
        <v>12.98</v>
      </c>
      <c r="R86" s="6"/>
      <c r="S86" s="6"/>
      <c r="T86" s="156"/>
      <c r="U86" s="6"/>
    </row>
    <row r="87" spans="1:21" customFormat="1">
      <c r="A87" s="163" t="s">
        <v>2813</v>
      </c>
      <c r="B87" s="100">
        <v>6.57</v>
      </c>
      <c r="C87" s="100">
        <v>27.21</v>
      </c>
      <c r="D87" s="100">
        <v>20.84</v>
      </c>
      <c r="E87" s="100">
        <v>7.26</v>
      </c>
      <c r="F87" s="100">
        <v>0.1</v>
      </c>
      <c r="G87" s="100">
        <v>92.66</v>
      </c>
      <c r="H87" s="100">
        <v>20.77</v>
      </c>
      <c r="I87" s="100">
        <v>7.55</v>
      </c>
      <c r="J87" s="100">
        <v>0.22</v>
      </c>
      <c r="K87" s="100">
        <v>201.4</v>
      </c>
      <c r="L87" s="100">
        <v>20.87</v>
      </c>
      <c r="M87" s="100">
        <v>62.43</v>
      </c>
      <c r="N87" s="100">
        <v>1.3</v>
      </c>
      <c r="O87" s="100">
        <v>0</v>
      </c>
      <c r="P87" s="100">
        <v>0.64</v>
      </c>
      <c r="Q87" s="100">
        <v>12.97</v>
      </c>
      <c r="R87" s="6"/>
      <c r="S87" s="6"/>
      <c r="T87" s="156"/>
      <c r="U87" s="6"/>
    </row>
    <row r="88" spans="1:21" customFormat="1">
      <c r="A88" s="163" t="s">
        <v>2814</v>
      </c>
      <c r="B88" s="100">
        <v>6.89</v>
      </c>
      <c r="C88" s="100">
        <v>27.37</v>
      </c>
      <c r="D88" s="100">
        <v>21.18</v>
      </c>
      <c r="E88" s="100">
        <v>8.34</v>
      </c>
      <c r="F88" s="100">
        <v>0.1</v>
      </c>
      <c r="G88" s="100">
        <v>92.66</v>
      </c>
      <c r="H88" s="100">
        <v>20.77</v>
      </c>
      <c r="I88" s="100">
        <v>7.99</v>
      </c>
      <c r="J88" s="100">
        <v>0.21</v>
      </c>
      <c r="K88" s="100">
        <v>171.76</v>
      </c>
      <c r="L88" s="100">
        <v>20.239999999999998</v>
      </c>
      <c r="M88" s="100">
        <v>65.78</v>
      </c>
      <c r="N88" s="100">
        <v>1.4</v>
      </c>
      <c r="O88" s="100">
        <v>0</v>
      </c>
      <c r="P88" s="100">
        <v>0.67</v>
      </c>
      <c r="Q88" s="100">
        <v>12.97</v>
      </c>
      <c r="R88" s="6"/>
      <c r="S88" s="6"/>
      <c r="T88" s="156"/>
      <c r="U88" s="6"/>
    </row>
    <row r="89" spans="1:21" customFormat="1">
      <c r="A89" s="163" t="s">
        <v>2815</v>
      </c>
      <c r="B89" s="100">
        <v>7.31</v>
      </c>
      <c r="C89" s="100">
        <v>27.2</v>
      </c>
      <c r="D89" s="100">
        <v>21.42</v>
      </c>
      <c r="E89" s="100">
        <v>8.77</v>
      </c>
      <c r="F89" s="100">
        <v>0.1</v>
      </c>
      <c r="G89" s="100">
        <v>92.66</v>
      </c>
      <c r="H89" s="100">
        <v>20.77</v>
      </c>
      <c r="I89" s="100">
        <v>8.35</v>
      </c>
      <c r="J89" s="100">
        <v>0.21</v>
      </c>
      <c r="K89" s="100">
        <v>185.16</v>
      </c>
      <c r="L89" s="100">
        <v>19.79</v>
      </c>
      <c r="M89" s="100">
        <v>68.91</v>
      </c>
      <c r="N89" s="100">
        <v>1.4</v>
      </c>
      <c r="O89" s="100">
        <v>0</v>
      </c>
      <c r="P89" s="100">
        <v>0.68</v>
      </c>
      <c r="Q89" s="100">
        <v>12.97</v>
      </c>
      <c r="R89" s="6"/>
      <c r="S89" s="6"/>
      <c r="T89" s="156"/>
      <c r="U89" s="6"/>
    </row>
    <row r="90" spans="1:21" customFormat="1">
      <c r="A90" s="163" t="s">
        <v>2816</v>
      </c>
      <c r="B90" s="100">
        <v>7.61</v>
      </c>
      <c r="C90" s="100">
        <v>26.89</v>
      </c>
      <c r="D90" s="100">
        <v>21.5</v>
      </c>
      <c r="E90" s="100">
        <v>7.98</v>
      </c>
      <c r="F90" s="100">
        <v>0.1</v>
      </c>
      <c r="G90" s="100">
        <v>94.39</v>
      </c>
      <c r="H90" s="100">
        <v>22.7</v>
      </c>
      <c r="I90" s="100">
        <v>8.66</v>
      </c>
      <c r="J90" s="100">
        <v>0.24</v>
      </c>
      <c r="K90" s="100">
        <v>166.73</v>
      </c>
      <c r="L90" s="100">
        <v>19.579999999999998</v>
      </c>
      <c r="M90" s="100">
        <v>70.23</v>
      </c>
      <c r="N90" s="100">
        <v>1.3</v>
      </c>
      <c r="O90" s="100">
        <v>0</v>
      </c>
      <c r="P90" s="100">
        <v>0.69</v>
      </c>
      <c r="Q90" s="100">
        <v>12.96</v>
      </c>
      <c r="R90" s="6"/>
      <c r="S90" s="6"/>
      <c r="T90" s="156"/>
      <c r="U90" s="6"/>
    </row>
    <row r="91" spans="1:21" customFormat="1">
      <c r="A91" s="163" t="s">
        <v>2817</v>
      </c>
      <c r="B91" s="100">
        <v>7.89</v>
      </c>
      <c r="C91" s="100">
        <v>26.67</v>
      </c>
      <c r="D91" s="100">
        <v>21.61</v>
      </c>
      <c r="E91" s="100">
        <v>8.4700000000000006</v>
      </c>
      <c r="F91" s="100">
        <v>0.1</v>
      </c>
      <c r="G91" s="100">
        <v>95.44</v>
      </c>
      <c r="H91" s="100">
        <v>23.4</v>
      </c>
      <c r="I91" s="100">
        <v>8.8699999999999992</v>
      </c>
      <c r="J91" s="100">
        <v>0.21</v>
      </c>
      <c r="K91" s="100">
        <v>177.68</v>
      </c>
      <c r="L91" s="100">
        <v>19.350000000000001</v>
      </c>
      <c r="M91" s="100">
        <v>70.5</v>
      </c>
      <c r="N91" s="100">
        <v>1.3</v>
      </c>
      <c r="O91" s="100">
        <v>0</v>
      </c>
      <c r="P91" s="100">
        <v>0.71</v>
      </c>
      <c r="Q91" s="100">
        <v>12.95</v>
      </c>
      <c r="R91" s="6"/>
      <c r="S91" s="6"/>
      <c r="T91" s="156"/>
      <c r="U91" s="6"/>
    </row>
    <row r="92" spans="1:21" customFormat="1">
      <c r="A92" s="163" t="s">
        <v>2818</v>
      </c>
      <c r="B92" s="100">
        <v>8.14</v>
      </c>
      <c r="C92" s="100">
        <v>26.44</v>
      </c>
      <c r="D92" s="100">
        <v>21.69</v>
      </c>
      <c r="E92" s="100">
        <v>8.4</v>
      </c>
      <c r="F92" s="100">
        <v>0.1</v>
      </c>
      <c r="G92" s="100">
        <v>95.44</v>
      </c>
      <c r="H92" s="100">
        <v>23.4</v>
      </c>
      <c r="I92" s="100">
        <v>9.1199999999999992</v>
      </c>
      <c r="J92" s="100">
        <v>0.17</v>
      </c>
      <c r="K92" s="100">
        <v>184.21</v>
      </c>
      <c r="L92" s="100">
        <v>18.93</v>
      </c>
      <c r="M92" s="100">
        <v>71.239999999999995</v>
      </c>
      <c r="N92" s="100">
        <v>1.4</v>
      </c>
      <c r="O92" s="100">
        <v>0</v>
      </c>
      <c r="P92" s="100">
        <v>0.72</v>
      </c>
      <c r="Q92" s="100">
        <v>12.96</v>
      </c>
      <c r="R92" s="6"/>
      <c r="S92" s="6"/>
      <c r="T92" s="156"/>
      <c r="U92" s="6"/>
    </row>
    <row r="93" spans="1:21" customFormat="1">
      <c r="A93" s="163" t="s">
        <v>2819</v>
      </c>
      <c r="B93" s="100">
        <v>8.3800000000000008</v>
      </c>
      <c r="C93" s="100">
        <v>26.31</v>
      </c>
      <c r="D93" s="100">
        <v>21.82</v>
      </c>
      <c r="E93" s="100">
        <v>8.34</v>
      </c>
      <c r="F93" s="100">
        <v>0.1</v>
      </c>
      <c r="G93" s="100">
        <v>95.44</v>
      </c>
      <c r="H93" s="100">
        <v>23.4</v>
      </c>
      <c r="I93" s="100">
        <v>9.33</v>
      </c>
      <c r="J93" s="100">
        <v>0.11</v>
      </c>
      <c r="K93" s="100">
        <v>194.03</v>
      </c>
      <c r="L93" s="100">
        <v>18.63</v>
      </c>
      <c r="M93" s="100">
        <v>71.11</v>
      </c>
      <c r="N93" s="100">
        <v>1.1000000000000001</v>
      </c>
      <c r="O93" s="100">
        <v>0</v>
      </c>
      <c r="P93" s="100">
        <v>0.75</v>
      </c>
      <c r="Q93" s="100">
        <v>12.96</v>
      </c>
      <c r="R93" s="6"/>
      <c r="S93" s="6"/>
      <c r="T93" s="156"/>
      <c r="U93" s="6"/>
    </row>
    <row r="94" spans="1:21" customFormat="1">
      <c r="A94" s="163" t="s">
        <v>2820</v>
      </c>
      <c r="B94" s="100">
        <v>8.59</v>
      </c>
      <c r="C94" s="100">
        <v>26.22</v>
      </c>
      <c r="D94" s="100">
        <v>21.94</v>
      </c>
      <c r="E94" s="100">
        <v>8.19</v>
      </c>
      <c r="F94" s="100">
        <v>0.1</v>
      </c>
      <c r="G94" s="100">
        <v>105.35</v>
      </c>
      <c r="H94" s="100">
        <v>22.71</v>
      </c>
      <c r="I94" s="100">
        <v>9.58</v>
      </c>
      <c r="J94" s="100">
        <v>0.14000000000000001</v>
      </c>
      <c r="K94" s="100">
        <v>225.31</v>
      </c>
      <c r="L94" s="100">
        <v>18.739999999999998</v>
      </c>
      <c r="M94" s="100">
        <v>65.319999999999993</v>
      </c>
      <c r="N94" s="100">
        <v>0.9</v>
      </c>
      <c r="O94" s="100">
        <v>0</v>
      </c>
      <c r="P94" s="100">
        <v>0.77</v>
      </c>
      <c r="Q94" s="100">
        <v>12.95</v>
      </c>
      <c r="R94" s="6"/>
      <c r="S94" s="6"/>
      <c r="T94" s="156"/>
      <c r="U94" s="6"/>
    </row>
    <row r="95" spans="1:21" customFormat="1">
      <c r="A95" s="163" t="s">
        <v>2821</v>
      </c>
      <c r="B95" s="100">
        <v>9.1300000000000008</v>
      </c>
      <c r="C95" s="100">
        <v>26.23</v>
      </c>
      <c r="D95" s="100">
        <v>22.38</v>
      </c>
      <c r="E95" s="100">
        <v>8.57</v>
      </c>
      <c r="F95" s="100">
        <v>0.21</v>
      </c>
      <c r="G95" s="100">
        <v>111.36</v>
      </c>
      <c r="H95" s="100">
        <v>22.56</v>
      </c>
      <c r="I95" s="100">
        <v>9.84</v>
      </c>
      <c r="J95" s="100">
        <v>0.24</v>
      </c>
      <c r="K95" s="100">
        <v>244.01</v>
      </c>
      <c r="L95" s="100">
        <v>19.09</v>
      </c>
      <c r="M95" s="100">
        <v>61.82</v>
      </c>
      <c r="N95" s="100">
        <v>0.7</v>
      </c>
      <c r="O95" s="100">
        <v>0</v>
      </c>
      <c r="P95" s="100">
        <v>0.79</v>
      </c>
      <c r="Q95" s="100">
        <v>12.96</v>
      </c>
      <c r="R95" s="6"/>
      <c r="S95" s="6"/>
      <c r="T95" s="156"/>
      <c r="U95" s="6"/>
    </row>
    <row r="96" spans="1:21" customFormat="1">
      <c r="A96" s="163" t="s">
        <v>2822</v>
      </c>
      <c r="B96" s="100">
        <v>10.56</v>
      </c>
      <c r="C96" s="100">
        <v>26.77</v>
      </c>
      <c r="D96" s="100">
        <v>23.81</v>
      </c>
      <c r="E96" s="100">
        <v>8.5</v>
      </c>
      <c r="F96" s="100">
        <v>0.21</v>
      </c>
      <c r="G96" s="100">
        <v>111.36</v>
      </c>
      <c r="H96" s="100">
        <v>22.56</v>
      </c>
      <c r="I96" s="100">
        <v>9.98</v>
      </c>
      <c r="J96" s="100">
        <v>0.22</v>
      </c>
      <c r="K96" s="100">
        <v>162.69</v>
      </c>
      <c r="L96" s="100">
        <v>19.3</v>
      </c>
      <c r="M96" s="100">
        <v>60.36</v>
      </c>
      <c r="N96" s="100">
        <v>1.1000000000000001</v>
      </c>
      <c r="O96" s="100">
        <v>0</v>
      </c>
      <c r="P96" s="100">
        <v>0.8</v>
      </c>
      <c r="Q96" s="100">
        <v>12.98</v>
      </c>
      <c r="R96" s="6"/>
      <c r="S96" s="6"/>
      <c r="T96" s="156"/>
      <c r="U96" s="6"/>
    </row>
    <row r="97" spans="1:28" customFormat="1">
      <c r="A97" s="163" t="s">
        <v>2823</v>
      </c>
      <c r="B97" s="100">
        <v>11.58</v>
      </c>
      <c r="C97" s="100">
        <v>27.13</v>
      </c>
      <c r="D97" s="100">
        <v>24.81</v>
      </c>
      <c r="E97" s="100">
        <v>8.52</v>
      </c>
      <c r="F97" s="100">
        <v>0.21</v>
      </c>
      <c r="G97" s="100">
        <v>111.36</v>
      </c>
      <c r="H97" s="100">
        <v>22.56</v>
      </c>
      <c r="I97" s="100">
        <v>10.07</v>
      </c>
      <c r="J97" s="100">
        <v>0.27</v>
      </c>
      <c r="K97" s="100">
        <v>163.76</v>
      </c>
      <c r="L97" s="100">
        <v>18.8</v>
      </c>
      <c r="M97" s="100">
        <v>69.680000000000007</v>
      </c>
      <c r="N97" s="100">
        <v>1.4</v>
      </c>
      <c r="O97" s="100">
        <v>0</v>
      </c>
      <c r="P97" s="100">
        <v>0.81</v>
      </c>
      <c r="Q97" s="100">
        <v>12.99</v>
      </c>
      <c r="R97" s="6"/>
      <c r="S97" s="6"/>
      <c r="T97" s="156"/>
      <c r="U97" s="6"/>
    </row>
    <row r="98" spans="1:28" customFormat="1">
      <c r="A98" s="163" t="s">
        <v>2824</v>
      </c>
      <c r="B98" s="100">
        <v>12.08</v>
      </c>
      <c r="C98" s="100">
        <v>27.17</v>
      </c>
      <c r="D98" s="100">
        <v>25.24</v>
      </c>
      <c r="E98" s="100">
        <v>8.58</v>
      </c>
      <c r="F98" s="100">
        <v>0.21</v>
      </c>
      <c r="G98" s="100">
        <v>104.65</v>
      </c>
      <c r="H98" s="100">
        <v>23.57</v>
      </c>
      <c r="I98" s="100">
        <v>10.19</v>
      </c>
      <c r="J98" s="100">
        <v>0.18</v>
      </c>
      <c r="K98" s="100">
        <v>169.66</v>
      </c>
      <c r="L98" s="100">
        <v>18.440000000000001</v>
      </c>
      <c r="M98" s="100">
        <v>68.790000000000006</v>
      </c>
      <c r="N98" s="100">
        <v>1.3</v>
      </c>
      <c r="O98" s="100">
        <v>0</v>
      </c>
      <c r="P98" s="100">
        <v>0.82</v>
      </c>
      <c r="Q98" s="100">
        <v>12.99</v>
      </c>
      <c r="R98" s="6"/>
      <c r="S98" s="6"/>
      <c r="T98" s="156"/>
      <c r="U98" s="6"/>
    </row>
    <row r="99" spans="1:28" customFormat="1">
      <c r="A99" s="163" t="s">
        <v>2825</v>
      </c>
      <c r="B99" s="100">
        <v>12.42</v>
      </c>
      <c r="C99" s="100">
        <v>27.07</v>
      </c>
      <c r="D99" s="100">
        <v>25.45</v>
      </c>
      <c r="E99" s="100">
        <v>8.41</v>
      </c>
      <c r="F99" s="100">
        <v>0.21</v>
      </c>
      <c r="G99" s="100">
        <v>100.58</v>
      </c>
      <c r="H99" s="100">
        <v>23.78</v>
      </c>
      <c r="I99" s="100">
        <v>10.3</v>
      </c>
      <c r="J99" s="100">
        <v>0.24</v>
      </c>
      <c r="K99" s="100">
        <v>156.41999999999999</v>
      </c>
      <c r="L99" s="100">
        <v>18.29</v>
      </c>
      <c r="M99" s="100">
        <v>72.42</v>
      </c>
      <c r="N99" s="100">
        <v>1.3</v>
      </c>
      <c r="O99" s="100">
        <v>0</v>
      </c>
      <c r="P99" s="100">
        <v>0.83</v>
      </c>
      <c r="Q99" s="100">
        <v>12.99</v>
      </c>
      <c r="R99" s="6"/>
      <c r="S99" s="6"/>
      <c r="T99" s="156"/>
      <c r="U99" s="6"/>
    </row>
    <row r="100" spans="1:28" customFormat="1">
      <c r="A100" s="163" t="s">
        <v>2826</v>
      </c>
      <c r="B100" s="100">
        <v>12.47</v>
      </c>
      <c r="C100" s="100">
        <v>26.92</v>
      </c>
      <c r="D100" s="100">
        <v>25.42</v>
      </c>
      <c r="E100" s="100">
        <v>8.58</v>
      </c>
      <c r="F100" s="100">
        <v>0.21</v>
      </c>
      <c r="G100" s="100">
        <v>100.58</v>
      </c>
      <c r="H100" s="100">
        <v>23.78</v>
      </c>
      <c r="I100" s="100">
        <v>10.38</v>
      </c>
      <c r="J100" s="100">
        <v>0.18</v>
      </c>
      <c r="K100" s="100">
        <v>167.67</v>
      </c>
      <c r="L100" s="100">
        <v>17.77</v>
      </c>
      <c r="M100" s="100">
        <v>73.87</v>
      </c>
      <c r="N100" s="100">
        <v>1.4</v>
      </c>
      <c r="O100" s="100">
        <v>0</v>
      </c>
      <c r="P100" s="100">
        <v>0.84</v>
      </c>
      <c r="Q100" s="100">
        <v>12.97</v>
      </c>
      <c r="R100" s="6"/>
      <c r="S100" s="6"/>
      <c r="T100" s="156"/>
      <c r="U100" s="6"/>
      <c r="AB100" s="161"/>
    </row>
    <row r="101" spans="1:28" customFormat="1">
      <c r="A101" s="163" t="s">
        <v>2827</v>
      </c>
      <c r="B101" s="100">
        <v>12.42</v>
      </c>
      <c r="C101" s="100">
        <v>26.9</v>
      </c>
      <c r="D101" s="100">
        <v>25.36</v>
      </c>
      <c r="E101" s="100">
        <v>8.7899999999999991</v>
      </c>
      <c r="F101" s="100">
        <v>0.21</v>
      </c>
      <c r="G101" s="100">
        <v>100.58</v>
      </c>
      <c r="H101" s="100">
        <v>23.78</v>
      </c>
      <c r="I101" s="100">
        <v>10.44</v>
      </c>
      <c r="J101" s="100">
        <v>0.17</v>
      </c>
      <c r="K101" s="100">
        <v>163.96</v>
      </c>
      <c r="L101" s="100">
        <v>17.7</v>
      </c>
      <c r="M101" s="100">
        <v>70.02</v>
      </c>
      <c r="N101" s="100">
        <v>1.2</v>
      </c>
      <c r="O101" s="100">
        <v>0</v>
      </c>
      <c r="P101" s="100">
        <v>0.85</v>
      </c>
      <c r="Q101" s="100">
        <v>12.98</v>
      </c>
      <c r="R101" s="6"/>
      <c r="S101" s="6"/>
      <c r="T101" s="156"/>
      <c r="U101" s="6"/>
    </row>
    <row r="102" spans="1:28" customFormat="1">
      <c r="A102" s="163" t="s">
        <v>2828</v>
      </c>
      <c r="B102" s="100">
        <v>12.4</v>
      </c>
      <c r="C102" s="100">
        <v>26.66</v>
      </c>
      <c r="D102" s="100">
        <v>25.23</v>
      </c>
      <c r="E102" s="100">
        <v>8.25</v>
      </c>
      <c r="F102" s="100">
        <v>0.21</v>
      </c>
      <c r="G102" s="100">
        <v>86.23</v>
      </c>
      <c r="H102" s="100">
        <v>21.29</v>
      </c>
      <c r="I102" s="100">
        <v>10.49</v>
      </c>
      <c r="J102" s="100">
        <v>0.19</v>
      </c>
      <c r="K102" s="100">
        <v>188.21</v>
      </c>
      <c r="L102" s="100">
        <v>17.7</v>
      </c>
      <c r="M102" s="100">
        <v>67.89</v>
      </c>
      <c r="N102" s="100">
        <v>1.2</v>
      </c>
      <c r="O102" s="100">
        <v>0</v>
      </c>
      <c r="P102" s="100">
        <v>0.85</v>
      </c>
      <c r="Q102" s="100">
        <v>12.99</v>
      </c>
      <c r="R102" s="6"/>
      <c r="S102" s="6"/>
      <c r="T102" s="156"/>
      <c r="U102" s="6"/>
    </row>
    <row r="103" spans="1:28" customFormat="1">
      <c r="A103" s="163" t="s">
        <v>2829</v>
      </c>
      <c r="B103" s="100">
        <v>12.22</v>
      </c>
      <c r="C103" s="100">
        <v>26.49</v>
      </c>
      <c r="D103" s="100">
        <v>24.99</v>
      </c>
      <c r="E103" s="100">
        <v>8.36</v>
      </c>
      <c r="F103" s="100">
        <v>0.21</v>
      </c>
      <c r="G103" s="100">
        <v>77.510000000000005</v>
      </c>
      <c r="H103" s="100">
        <v>20.78</v>
      </c>
      <c r="I103" s="100">
        <v>10.53</v>
      </c>
      <c r="J103" s="100">
        <v>0.16</v>
      </c>
      <c r="K103" s="100">
        <v>169.63</v>
      </c>
      <c r="L103" s="100">
        <v>17.260000000000002</v>
      </c>
      <c r="M103" s="100">
        <v>75.790000000000006</v>
      </c>
      <c r="N103" s="100">
        <v>1.3</v>
      </c>
      <c r="O103" s="100">
        <v>0</v>
      </c>
      <c r="P103" s="100">
        <v>0.86</v>
      </c>
      <c r="Q103" s="100">
        <v>12.97</v>
      </c>
      <c r="R103" s="6"/>
      <c r="S103" s="6"/>
      <c r="T103" s="156"/>
      <c r="U103" s="6"/>
    </row>
    <row r="104" spans="1:28" customFormat="1">
      <c r="A104" s="163" t="s">
        <v>2830</v>
      </c>
      <c r="B104" s="100">
        <v>12.09</v>
      </c>
      <c r="C104" s="100">
        <v>26.08</v>
      </c>
      <c r="D104" s="100">
        <v>24.67</v>
      </c>
      <c r="E104" s="100">
        <v>8.61</v>
      </c>
      <c r="F104" s="100">
        <v>0.21</v>
      </c>
      <c r="G104" s="100">
        <v>77.510000000000005</v>
      </c>
      <c r="H104" s="100">
        <v>20.78</v>
      </c>
      <c r="I104" s="100">
        <v>10.58</v>
      </c>
      <c r="J104" s="100">
        <v>0.23</v>
      </c>
      <c r="K104" s="100">
        <v>190.11</v>
      </c>
      <c r="L104" s="100">
        <v>17.13</v>
      </c>
      <c r="M104" s="100">
        <v>75.52</v>
      </c>
      <c r="N104" s="100">
        <v>1.2</v>
      </c>
      <c r="O104" s="100">
        <v>0</v>
      </c>
      <c r="P104" s="100">
        <v>0.87</v>
      </c>
      <c r="Q104" s="100">
        <v>12.97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3.58</v>
      </c>
      <c r="C106" s="158">
        <f>MIN(C9:C104)</f>
        <v>23.1</v>
      </c>
      <c r="D106" s="158">
        <f t="shared" ref="D106:Q106" si="0">MIN(D9:D104)</f>
        <v>16.64</v>
      </c>
      <c r="E106" s="158">
        <f t="shared" si="0"/>
        <v>6.34</v>
      </c>
      <c r="F106" s="158">
        <f t="shared" si="0"/>
        <v>0.06</v>
      </c>
      <c r="G106" s="158">
        <f t="shared" si="0"/>
        <v>46.14</v>
      </c>
      <c r="H106" s="158">
        <f t="shared" si="0"/>
        <v>17.670000000000002</v>
      </c>
      <c r="I106" s="158">
        <f t="shared" si="0"/>
        <v>5.09</v>
      </c>
      <c r="J106" s="158">
        <f t="shared" si="0"/>
        <v>0.03</v>
      </c>
      <c r="K106" s="158">
        <f t="shared" si="0"/>
        <v>14.19</v>
      </c>
      <c r="L106" s="158">
        <f t="shared" si="0"/>
        <v>14.99</v>
      </c>
      <c r="M106" s="158">
        <f t="shared" si="0"/>
        <v>24.8</v>
      </c>
      <c r="N106" s="158">
        <f t="shared" si="0"/>
        <v>0.7</v>
      </c>
      <c r="O106" s="158">
        <f t="shared" si="0"/>
        <v>0</v>
      </c>
      <c r="P106" s="158">
        <f t="shared" si="0"/>
        <v>0.45</v>
      </c>
      <c r="Q106" s="158">
        <f t="shared" si="0"/>
        <v>12.94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28.33</v>
      </c>
      <c r="C107" s="157">
        <f t="shared" ref="C107:Q107" si="1">MAX(C9:C104)</f>
        <v>37.1</v>
      </c>
      <c r="D107" s="157">
        <f t="shared" si="1"/>
        <v>39.71</v>
      </c>
      <c r="E107" s="157">
        <f t="shared" si="1"/>
        <v>25.95</v>
      </c>
      <c r="F107" s="157">
        <f t="shared" si="1"/>
        <v>3.84</v>
      </c>
      <c r="G107" s="157">
        <f t="shared" si="1"/>
        <v>114.8</v>
      </c>
      <c r="H107" s="157">
        <f t="shared" si="1"/>
        <v>26.57</v>
      </c>
      <c r="I107" s="157">
        <f t="shared" si="1"/>
        <v>12.89</v>
      </c>
      <c r="J107" s="157">
        <f t="shared" si="1"/>
        <v>1.2</v>
      </c>
      <c r="K107" s="157">
        <f t="shared" si="1"/>
        <v>349.19</v>
      </c>
      <c r="L107" s="157">
        <f t="shared" si="1"/>
        <v>29.06</v>
      </c>
      <c r="M107" s="157">
        <f t="shared" si="1"/>
        <v>81.599999999999994</v>
      </c>
      <c r="N107" s="157">
        <f t="shared" si="1"/>
        <v>416.8</v>
      </c>
      <c r="O107" s="157">
        <f t="shared" si="1"/>
        <v>0</v>
      </c>
      <c r="P107" s="157">
        <f t="shared" si="1"/>
        <v>1.04</v>
      </c>
      <c r="Q107" s="157">
        <f t="shared" si="1"/>
        <v>13.25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14.103020833333337</v>
      </c>
      <c r="C108" s="158">
        <f t="shared" ref="C108:Q108" si="2">AVERAGE(C9:C104)</f>
        <v>27.861041666666654</v>
      </c>
      <c r="D108" s="158">
        <f t="shared" si="2"/>
        <v>27.216666666666683</v>
      </c>
      <c r="E108" s="158">
        <f t="shared" si="2"/>
        <v>9.5147916666666692</v>
      </c>
      <c r="F108" s="158">
        <f t="shared" si="2"/>
        <v>0.58333333333333393</v>
      </c>
      <c r="G108" s="158">
        <f t="shared" si="2"/>
        <v>80.420520833333299</v>
      </c>
      <c r="H108" s="158">
        <f t="shared" si="2"/>
        <v>21.75322916666666</v>
      </c>
      <c r="I108" s="158">
        <f t="shared" si="2"/>
        <v>9.7794791666666736</v>
      </c>
      <c r="J108" s="158">
        <f t="shared" si="2"/>
        <v>0.38156250000000008</v>
      </c>
      <c r="K108" s="158">
        <f t="shared" si="2"/>
        <v>164.68760416666666</v>
      </c>
      <c r="L108" s="158">
        <f t="shared" si="2"/>
        <v>21.373229166666661</v>
      </c>
      <c r="M108" s="158">
        <f t="shared" si="2"/>
        <v>53.823229166666664</v>
      </c>
      <c r="N108" s="158">
        <f t="shared" si="2"/>
        <v>95.548958333333289</v>
      </c>
      <c r="O108" s="158">
        <f t="shared" si="2"/>
        <v>0</v>
      </c>
      <c r="P108" s="158">
        <f t="shared" si="2"/>
        <v>0.75333333333333341</v>
      </c>
      <c r="Q108" s="158">
        <f t="shared" si="2"/>
        <v>13.108541666666682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8.0340619758090028</v>
      </c>
      <c r="C109" s="158">
        <f t="shared" ref="C109:Q109" si="3">STDEV(C9:C104)</f>
        <v>2.5755925140141285</v>
      </c>
      <c r="D109" s="158">
        <f t="shared" si="3"/>
        <v>7.0090555962180847</v>
      </c>
      <c r="E109" s="158">
        <f t="shared" si="3"/>
        <v>3.4175666871918526</v>
      </c>
      <c r="F109" s="158">
        <f t="shared" si="3"/>
        <v>0.71806122985756793</v>
      </c>
      <c r="G109" s="158">
        <f t="shared" si="3"/>
        <v>17.674320674493565</v>
      </c>
      <c r="H109" s="158">
        <f t="shared" si="3"/>
        <v>1.9984233231497202</v>
      </c>
      <c r="I109" s="158">
        <f t="shared" si="3"/>
        <v>2.6300908008306254</v>
      </c>
      <c r="J109" s="158">
        <f t="shared" si="3"/>
        <v>0.31184114756681719</v>
      </c>
      <c r="K109" s="158">
        <f t="shared" si="3"/>
        <v>90.367934132980636</v>
      </c>
      <c r="L109" s="158">
        <f t="shared" si="3"/>
        <v>4.922333955349079</v>
      </c>
      <c r="M109" s="158">
        <f t="shared" si="3"/>
        <v>19.88203735693903</v>
      </c>
      <c r="N109" s="158">
        <f t="shared" si="3"/>
        <v>152.05275953797755</v>
      </c>
      <c r="O109" s="158">
        <f t="shared" si="3"/>
        <v>0</v>
      </c>
      <c r="P109" s="158">
        <f t="shared" si="3"/>
        <v>0.1699948399629671</v>
      </c>
      <c r="Q109" s="158">
        <f t="shared" si="3"/>
        <v>0.14276944363233915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28/01/2025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2831</v>
      </c>
      <c r="B9" s="100">
        <v>12.25</v>
      </c>
      <c r="C9" s="100">
        <v>25.57</v>
      </c>
      <c r="D9" s="100">
        <v>24.54</v>
      </c>
      <c r="E9" s="100">
        <v>8.1</v>
      </c>
      <c r="F9" s="151" t="s">
        <v>8</v>
      </c>
      <c r="G9" s="100">
        <v>77.510000000000005</v>
      </c>
      <c r="H9" s="100">
        <v>20.78</v>
      </c>
      <c r="I9" s="100">
        <v>10.64</v>
      </c>
      <c r="J9" s="100">
        <v>0.14000000000000001</v>
      </c>
      <c r="K9" s="100">
        <v>195.36</v>
      </c>
      <c r="L9" s="100">
        <v>16.88</v>
      </c>
      <c r="M9" s="100">
        <v>75.86</v>
      </c>
      <c r="N9" s="100">
        <v>1.3</v>
      </c>
      <c r="O9" s="100">
        <v>0</v>
      </c>
      <c r="P9" s="100">
        <v>0.88</v>
      </c>
      <c r="Q9" s="100">
        <v>12.96</v>
      </c>
      <c r="R9" s="6"/>
      <c r="S9" s="6"/>
      <c r="T9" s="156"/>
      <c r="U9" s="6"/>
    </row>
    <row r="10" spans="1:21" customFormat="1">
      <c r="A10" s="163" t="s">
        <v>2832</v>
      </c>
      <c r="B10" s="100">
        <v>12.17</v>
      </c>
      <c r="C10" s="100">
        <v>25.46</v>
      </c>
      <c r="D10" s="100">
        <v>24.41</v>
      </c>
      <c r="E10" s="100">
        <v>8.01</v>
      </c>
      <c r="F10" s="151" t="s">
        <v>8</v>
      </c>
      <c r="G10" s="100">
        <v>80.31</v>
      </c>
      <c r="H10" s="100">
        <v>23.45</v>
      </c>
      <c r="I10" s="100">
        <v>10.77</v>
      </c>
      <c r="J10" s="100">
        <v>0.17</v>
      </c>
      <c r="K10" s="100">
        <v>231.57</v>
      </c>
      <c r="L10" s="100">
        <v>16.52</v>
      </c>
      <c r="M10" s="100">
        <v>76.92</v>
      </c>
      <c r="N10" s="100">
        <v>1.4</v>
      </c>
      <c r="O10" s="100">
        <v>0</v>
      </c>
      <c r="P10" s="100">
        <v>0.88</v>
      </c>
      <c r="Q10" s="100">
        <v>12.97</v>
      </c>
      <c r="R10" s="6"/>
      <c r="S10" s="6"/>
      <c r="T10" s="156"/>
      <c r="U10" s="6"/>
    </row>
    <row r="11" spans="1:21" customFormat="1">
      <c r="A11" s="163" t="s">
        <v>2833</v>
      </c>
      <c r="B11" s="100">
        <v>12.13</v>
      </c>
      <c r="C11" s="100">
        <v>24.98</v>
      </c>
      <c r="D11" s="100">
        <v>24.13</v>
      </c>
      <c r="E11" s="100">
        <v>8.25</v>
      </c>
      <c r="F11" s="151" t="s">
        <v>8</v>
      </c>
      <c r="G11" s="100">
        <v>82.01</v>
      </c>
      <c r="H11" s="100">
        <v>23.99</v>
      </c>
      <c r="I11" s="100">
        <v>10.92</v>
      </c>
      <c r="J11" s="100">
        <v>0.19</v>
      </c>
      <c r="K11" s="100">
        <v>266.43</v>
      </c>
      <c r="L11" s="100">
        <v>16.829999999999998</v>
      </c>
      <c r="M11" s="100">
        <v>71.3</v>
      </c>
      <c r="N11" s="100">
        <v>0.8</v>
      </c>
      <c r="O11" s="100">
        <v>0</v>
      </c>
      <c r="P11" s="100">
        <v>0.89</v>
      </c>
      <c r="Q11" s="100">
        <v>12.98</v>
      </c>
      <c r="R11" s="6"/>
      <c r="S11" s="6"/>
      <c r="T11" s="156"/>
      <c r="U11" s="6"/>
    </row>
    <row r="12" spans="1:21" customFormat="1">
      <c r="A12" s="163" t="s">
        <v>2834</v>
      </c>
      <c r="B12" s="100">
        <v>13.26</v>
      </c>
      <c r="C12" s="100">
        <v>25.03</v>
      </c>
      <c r="D12" s="100">
        <v>25.06</v>
      </c>
      <c r="E12" s="100">
        <v>8.14</v>
      </c>
      <c r="F12" s="151" t="s">
        <v>8</v>
      </c>
      <c r="G12" s="100">
        <v>82.01</v>
      </c>
      <c r="H12" s="100">
        <v>23.99</v>
      </c>
      <c r="I12" s="100">
        <v>11.09</v>
      </c>
      <c r="J12" s="100">
        <v>0.12</v>
      </c>
      <c r="K12" s="100">
        <v>168.73</v>
      </c>
      <c r="L12" s="100">
        <v>17.14</v>
      </c>
      <c r="M12" s="100">
        <v>70.66</v>
      </c>
      <c r="N12" s="100">
        <v>0.9</v>
      </c>
      <c r="O12" s="100">
        <v>0</v>
      </c>
      <c r="P12" s="100">
        <v>0.9</v>
      </c>
      <c r="Q12" s="100">
        <v>12.96</v>
      </c>
      <c r="R12" s="6"/>
      <c r="S12" s="6"/>
      <c r="T12" s="156"/>
      <c r="U12" s="6"/>
    </row>
    <row r="13" spans="1:21" customFormat="1">
      <c r="A13" s="163" t="s">
        <v>2835</v>
      </c>
      <c r="B13" s="100">
        <v>15.01</v>
      </c>
      <c r="C13" s="100">
        <v>25.11</v>
      </c>
      <c r="D13" s="100">
        <v>26.51</v>
      </c>
      <c r="E13" s="100">
        <v>8.07</v>
      </c>
      <c r="F13" s="151" t="s">
        <v>8</v>
      </c>
      <c r="G13" s="100">
        <v>82.01</v>
      </c>
      <c r="H13" s="100">
        <v>23.99</v>
      </c>
      <c r="I13" s="100">
        <v>11.2</v>
      </c>
      <c r="J13" s="100">
        <v>0.22</v>
      </c>
      <c r="K13" s="100">
        <v>172.89</v>
      </c>
      <c r="L13" s="100">
        <v>16.989999999999998</v>
      </c>
      <c r="M13" s="100">
        <v>74.22</v>
      </c>
      <c r="N13" s="100">
        <v>1.2</v>
      </c>
      <c r="O13" s="100">
        <v>0</v>
      </c>
      <c r="P13" s="100">
        <v>0.92</v>
      </c>
      <c r="Q13" s="100">
        <v>12.98</v>
      </c>
      <c r="R13" s="6"/>
      <c r="S13" s="6"/>
      <c r="T13" s="156"/>
      <c r="U13" s="6"/>
    </row>
    <row r="14" spans="1:21" customFormat="1">
      <c r="A14" s="163" t="s">
        <v>2836</v>
      </c>
      <c r="B14" s="100">
        <v>16.07</v>
      </c>
      <c r="C14" s="100">
        <v>24.98</v>
      </c>
      <c r="D14" s="100">
        <v>27.29</v>
      </c>
      <c r="E14" s="100">
        <v>8.16</v>
      </c>
      <c r="F14" s="151" t="s">
        <v>8</v>
      </c>
      <c r="G14" s="100">
        <v>88.03</v>
      </c>
      <c r="H14" s="100">
        <v>22.27</v>
      </c>
      <c r="I14" s="100">
        <v>11.27</v>
      </c>
      <c r="J14" s="100">
        <v>0.16</v>
      </c>
      <c r="K14" s="100">
        <v>147.53</v>
      </c>
      <c r="L14" s="100">
        <v>16.41</v>
      </c>
      <c r="M14" s="100">
        <v>79.540000000000006</v>
      </c>
      <c r="N14" s="100">
        <v>1.3</v>
      </c>
      <c r="O14" s="100">
        <v>0</v>
      </c>
      <c r="P14" s="100">
        <v>0.92</v>
      </c>
      <c r="Q14" s="100">
        <v>12.99</v>
      </c>
      <c r="R14" s="6"/>
      <c r="S14" s="6"/>
      <c r="T14" s="156"/>
      <c r="U14" s="6"/>
    </row>
    <row r="15" spans="1:21" customFormat="1">
      <c r="A15" s="163" t="s">
        <v>2837</v>
      </c>
      <c r="B15" s="100">
        <v>16.690000000000001</v>
      </c>
      <c r="C15" s="100">
        <v>25.02</v>
      </c>
      <c r="D15" s="100">
        <v>27.81</v>
      </c>
      <c r="E15" s="100">
        <v>8.0500000000000007</v>
      </c>
      <c r="F15" s="151" t="s">
        <v>8</v>
      </c>
      <c r="G15" s="100">
        <v>91.68</v>
      </c>
      <c r="H15" s="100">
        <v>21.89</v>
      </c>
      <c r="I15" s="100">
        <v>11.32</v>
      </c>
      <c r="J15" s="100">
        <v>0.24</v>
      </c>
      <c r="K15" s="100">
        <v>147.86000000000001</v>
      </c>
      <c r="L15" s="100">
        <v>16.53</v>
      </c>
      <c r="M15" s="100">
        <v>76.099999999999994</v>
      </c>
      <c r="N15" s="100">
        <v>1</v>
      </c>
      <c r="O15" s="100">
        <v>0</v>
      </c>
      <c r="P15" s="100">
        <v>0.93</v>
      </c>
      <c r="Q15" s="100">
        <v>12.99</v>
      </c>
      <c r="R15" s="6"/>
      <c r="S15" s="6"/>
      <c r="T15" s="156"/>
      <c r="U15" s="6"/>
    </row>
    <row r="16" spans="1:21" customFormat="1">
      <c r="A16" s="163" t="s">
        <v>2838</v>
      </c>
      <c r="B16" s="100">
        <v>17.48</v>
      </c>
      <c r="C16" s="100">
        <v>25.09</v>
      </c>
      <c r="D16" s="100">
        <v>28.48</v>
      </c>
      <c r="E16" s="100">
        <v>7.76</v>
      </c>
      <c r="F16" s="151" t="s">
        <v>8</v>
      </c>
      <c r="G16" s="100">
        <v>91.68</v>
      </c>
      <c r="H16" s="100">
        <v>21.89</v>
      </c>
      <c r="I16" s="100">
        <v>11.38</v>
      </c>
      <c r="J16" s="100">
        <v>0.28000000000000003</v>
      </c>
      <c r="K16" s="100">
        <v>162.06</v>
      </c>
      <c r="L16" s="100">
        <v>16.36</v>
      </c>
      <c r="M16" s="100">
        <v>77.64</v>
      </c>
      <c r="N16" s="100">
        <v>1</v>
      </c>
      <c r="O16" s="100">
        <v>0</v>
      </c>
      <c r="P16" s="100">
        <v>0.93</v>
      </c>
      <c r="Q16" s="100">
        <v>12.99</v>
      </c>
      <c r="R16" s="6"/>
      <c r="S16" s="6"/>
      <c r="T16" s="156"/>
      <c r="U16" s="6"/>
    </row>
    <row r="17" spans="1:21" customFormat="1">
      <c r="A17" s="163" t="s">
        <v>2839</v>
      </c>
      <c r="B17" s="100">
        <v>18.71</v>
      </c>
      <c r="C17" s="100">
        <v>25.21</v>
      </c>
      <c r="D17" s="100">
        <v>29.53</v>
      </c>
      <c r="E17" s="100">
        <v>7.39</v>
      </c>
      <c r="F17" s="151" t="s">
        <v>8</v>
      </c>
      <c r="G17" s="100">
        <v>91.68</v>
      </c>
      <c r="H17" s="100">
        <v>21.89</v>
      </c>
      <c r="I17" s="100">
        <v>11.42</v>
      </c>
      <c r="J17" s="100">
        <v>0.19</v>
      </c>
      <c r="K17" s="100">
        <v>181.11</v>
      </c>
      <c r="L17" s="100">
        <v>16.059999999999999</v>
      </c>
      <c r="M17" s="100">
        <v>79.8</v>
      </c>
      <c r="N17" s="100">
        <v>1.1000000000000001</v>
      </c>
      <c r="O17" s="100">
        <v>0</v>
      </c>
      <c r="P17" s="100">
        <v>0.93</v>
      </c>
      <c r="Q17" s="100">
        <v>12.99</v>
      </c>
      <c r="R17" s="6"/>
      <c r="S17" s="6"/>
      <c r="T17" s="156"/>
      <c r="U17" s="6"/>
    </row>
    <row r="18" spans="1:21" customFormat="1">
      <c r="A18" s="163" t="s">
        <v>2840</v>
      </c>
      <c r="B18" s="100">
        <v>19.68</v>
      </c>
      <c r="C18" s="100">
        <v>25.27</v>
      </c>
      <c r="D18" s="100">
        <v>30.34</v>
      </c>
      <c r="E18" s="100">
        <v>8.5399999999999991</v>
      </c>
      <c r="F18" s="151" t="s">
        <v>8</v>
      </c>
      <c r="G18" s="100">
        <v>89.78</v>
      </c>
      <c r="H18" s="100">
        <v>22.75</v>
      </c>
      <c r="I18" s="100">
        <v>11.55</v>
      </c>
      <c r="J18" s="100">
        <v>0.14000000000000001</v>
      </c>
      <c r="K18" s="100">
        <v>204.63</v>
      </c>
      <c r="L18" s="100">
        <v>15.67</v>
      </c>
      <c r="M18" s="100">
        <v>80.58</v>
      </c>
      <c r="N18" s="100">
        <v>1.1000000000000001</v>
      </c>
      <c r="O18" s="100">
        <v>0</v>
      </c>
      <c r="P18" s="100">
        <v>0.95</v>
      </c>
      <c r="Q18" s="100">
        <v>13.01</v>
      </c>
      <c r="R18" s="6"/>
      <c r="S18" s="6"/>
      <c r="T18" s="156"/>
      <c r="U18" s="6"/>
    </row>
    <row r="19" spans="1:21" customFormat="1">
      <c r="A19" s="163" t="s">
        <v>2841</v>
      </c>
      <c r="B19" s="100">
        <v>20.63</v>
      </c>
      <c r="C19" s="100">
        <v>25.28</v>
      </c>
      <c r="D19" s="100">
        <v>31.1</v>
      </c>
      <c r="E19" s="100">
        <v>9.2799999999999994</v>
      </c>
      <c r="F19" s="151" t="s">
        <v>8</v>
      </c>
      <c r="G19" s="100">
        <v>88.62</v>
      </c>
      <c r="H19" s="100">
        <v>23.11</v>
      </c>
      <c r="I19" s="100">
        <v>11.67</v>
      </c>
      <c r="J19" s="100">
        <v>0.12</v>
      </c>
      <c r="K19" s="100">
        <v>65.61</v>
      </c>
      <c r="L19" s="100">
        <v>15.56</v>
      </c>
      <c r="M19" s="100">
        <v>81.489999999999995</v>
      </c>
      <c r="N19" s="100">
        <v>1</v>
      </c>
      <c r="O19" s="100">
        <v>0</v>
      </c>
      <c r="P19" s="100">
        <v>0.95</v>
      </c>
      <c r="Q19" s="100">
        <v>13.01</v>
      </c>
      <c r="R19" s="6"/>
      <c r="S19" s="6"/>
      <c r="T19" s="156"/>
      <c r="U19" s="6"/>
    </row>
    <row r="20" spans="1:21" customFormat="1">
      <c r="A20" s="163" t="s">
        <v>2842</v>
      </c>
      <c r="B20" s="100">
        <v>23.46</v>
      </c>
      <c r="C20" s="100">
        <v>25.48</v>
      </c>
      <c r="D20" s="100">
        <v>33.479999999999997</v>
      </c>
      <c r="E20" s="100">
        <v>8.89</v>
      </c>
      <c r="F20" s="151" t="s">
        <v>8</v>
      </c>
      <c r="G20" s="100">
        <v>88.62</v>
      </c>
      <c r="H20" s="100">
        <v>23.11</v>
      </c>
      <c r="I20" s="100">
        <v>11.82</v>
      </c>
      <c r="J20" s="100">
        <v>0.19</v>
      </c>
      <c r="K20" s="100">
        <v>153.9</v>
      </c>
      <c r="L20" s="100">
        <v>15.71</v>
      </c>
      <c r="M20" s="100">
        <v>79.77</v>
      </c>
      <c r="N20" s="100">
        <v>1</v>
      </c>
      <c r="O20" s="100">
        <v>0</v>
      </c>
      <c r="P20" s="100">
        <v>0.97</v>
      </c>
      <c r="Q20" s="100">
        <v>13</v>
      </c>
      <c r="R20" s="6"/>
      <c r="S20" s="6"/>
      <c r="T20" s="156"/>
      <c r="U20" s="6"/>
    </row>
    <row r="21" spans="1:21" customFormat="1">
      <c r="A21" s="163" t="s">
        <v>2843</v>
      </c>
      <c r="B21" s="100">
        <v>26.72</v>
      </c>
      <c r="C21" s="100">
        <v>25.74</v>
      </c>
      <c r="D21" s="100">
        <v>36.22</v>
      </c>
      <c r="E21" s="100">
        <v>8.6999999999999993</v>
      </c>
      <c r="F21" s="151" t="s">
        <v>8</v>
      </c>
      <c r="G21" s="100">
        <v>88.62</v>
      </c>
      <c r="H21" s="100">
        <v>23.11</v>
      </c>
      <c r="I21" s="100">
        <v>12.05</v>
      </c>
      <c r="J21" s="100">
        <v>0.2</v>
      </c>
      <c r="K21" s="100">
        <v>173.4</v>
      </c>
      <c r="L21" s="100">
        <v>15.67</v>
      </c>
      <c r="M21" s="100">
        <v>79.28</v>
      </c>
      <c r="N21" s="100">
        <v>1</v>
      </c>
      <c r="O21" s="100">
        <v>0</v>
      </c>
      <c r="P21" s="100">
        <v>1</v>
      </c>
      <c r="Q21" s="100">
        <v>13.02</v>
      </c>
      <c r="R21" s="6"/>
      <c r="S21" s="6"/>
      <c r="T21" s="156"/>
      <c r="U21" s="6"/>
    </row>
    <row r="22" spans="1:21" customFormat="1">
      <c r="A22" s="163" t="s">
        <v>2844</v>
      </c>
      <c r="B22" s="100">
        <v>28.77</v>
      </c>
      <c r="C22" s="100">
        <v>25.83</v>
      </c>
      <c r="D22" s="100">
        <v>37.92</v>
      </c>
      <c r="E22" s="100">
        <v>8.7799999999999994</v>
      </c>
      <c r="F22" s="151" t="s">
        <v>8</v>
      </c>
      <c r="G22" s="100">
        <v>97.15</v>
      </c>
      <c r="H22" s="100">
        <v>21.59</v>
      </c>
      <c r="I22" s="100">
        <v>12.33</v>
      </c>
      <c r="J22" s="100">
        <v>0.2</v>
      </c>
      <c r="K22" s="100">
        <v>171.57</v>
      </c>
      <c r="L22" s="100">
        <v>15.41</v>
      </c>
      <c r="M22" s="100">
        <v>84.99</v>
      </c>
      <c r="N22" s="100">
        <v>1.2</v>
      </c>
      <c r="O22" s="100">
        <v>0</v>
      </c>
      <c r="P22" s="100">
        <v>1</v>
      </c>
      <c r="Q22" s="100">
        <v>13.03</v>
      </c>
      <c r="R22" s="6"/>
      <c r="S22" s="6"/>
      <c r="T22" s="156"/>
      <c r="U22" s="6"/>
    </row>
    <row r="23" spans="1:21" customFormat="1">
      <c r="A23" s="163" t="s">
        <v>2845</v>
      </c>
      <c r="B23" s="100">
        <v>30.19</v>
      </c>
      <c r="C23" s="100">
        <v>25.69</v>
      </c>
      <c r="D23" s="100">
        <v>38.99</v>
      </c>
      <c r="E23" s="100">
        <v>8.74</v>
      </c>
      <c r="F23" s="151" t="s">
        <v>8</v>
      </c>
      <c r="G23" s="100">
        <v>102.58</v>
      </c>
      <c r="H23" s="100">
        <v>21.25</v>
      </c>
      <c r="I23" s="100">
        <v>12.6</v>
      </c>
      <c r="J23" s="100">
        <v>0.2</v>
      </c>
      <c r="K23" s="100">
        <v>181.11</v>
      </c>
      <c r="L23" s="100">
        <v>15.1</v>
      </c>
      <c r="M23" s="100">
        <v>85.55</v>
      </c>
      <c r="N23" s="100">
        <v>1</v>
      </c>
      <c r="O23" s="100">
        <v>0</v>
      </c>
      <c r="P23" s="100">
        <v>1.03</v>
      </c>
      <c r="Q23" s="100">
        <v>13.06</v>
      </c>
      <c r="R23" s="6"/>
      <c r="S23" s="6"/>
      <c r="T23" s="156"/>
      <c r="U23" s="6"/>
    </row>
    <row r="24" spans="1:21" customFormat="1">
      <c r="A24" s="163" t="s">
        <v>2846</v>
      </c>
      <c r="B24" s="100">
        <v>31.35</v>
      </c>
      <c r="C24" s="100">
        <v>25.47</v>
      </c>
      <c r="D24" s="100">
        <v>39.799999999999997</v>
      </c>
      <c r="E24" s="100">
        <v>9.01</v>
      </c>
      <c r="F24" s="151" t="s">
        <v>8</v>
      </c>
      <c r="G24" s="100">
        <v>102.58</v>
      </c>
      <c r="H24" s="100">
        <v>21.25</v>
      </c>
      <c r="I24" s="100">
        <v>12.9</v>
      </c>
      <c r="J24" s="100">
        <v>0.25</v>
      </c>
      <c r="K24" s="100">
        <v>159.05000000000001</v>
      </c>
      <c r="L24" s="100">
        <v>14.83</v>
      </c>
      <c r="M24" s="100">
        <v>87.79</v>
      </c>
      <c r="N24" s="100">
        <v>1.2</v>
      </c>
      <c r="O24" s="100">
        <v>0</v>
      </c>
      <c r="P24" s="100">
        <v>1.04</v>
      </c>
      <c r="Q24" s="100">
        <v>13.05</v>
      </c>
      <c r="R24" s="6"/>
      <c r="S24" s="6"/>
      <c r="T24" s="156"/>
      <c r="U24" s="6"/>
    </row>
    <row r="25" spans="1:21" customFormat="1">
      <c r="A25" s="163" t="s">
        <v>2847</v>
      </c>
      <c r="B25" s="100">
        <v>32.1</v>
      </c>
      <c r="C25" s="100">
        <v>25.31</v>
      </c>
      <c r="D25" s="100">
        <v>40.31</v>
      </c>
      <c r="E25" s="100">
        <v>8.86</v>
      </c>
      <c r="F25" s="151" t="s">
        <v>8</v>
      </c>
      <c r="G25" s="100">
        <v>102.58</v>
      </c>
      <c r="H25" s="100">
        <v>21.25</v>
      </c>
      <c r="I25" s="100">
        <v>13.17</v>
      </c>
      <c r="J25" s="100">
        <v>0.15</v>
      </c>
      <c r="K25" s="100">
        <v>163.4</v>
      </c>
      <c r="L25" s="100">
        <v>14.65</v>
      </c>
      <c r="M25" s="100">
        <v>85.92</v>
      </c>
      <c r="N25" s="100">
        <v>1</v>
      </c>
      <c r="O25" s="100">
        <v>0</v>
      </c>
      <c r="P25" s="100">
        <v>1.06</v>
      </c>
      <c r="Q25" s="100">
        <v>13.05</v>
      </c>
      <c r="R25" s="6"/>
      <c r="S25" s="6"/>
      <c r="T25" s="156"/>
      <c r="U25" s="6"/>
    </row>
    <row r="26" spans="1:21" customFormat="1">
      <c r="A26" s="163" t="s">
        <v>2848</v>
      </c>
      <c r="B26" s="100">
        <v>33.590000000000003</v>
      </c>
      <c r="C26" s="100">
        <v>25.4</v>
      </c>
      <c r="D26" s="100">
        <v>41.56</v>
      </c>
      <c r="E26" s="100">
        <v>8.98</v>
      </c>
      <c r="F26" s="151" t="s">
        <v>8</v>
      </c>
      <c r="G26" s="100">
        <v>103.35</v>
      </c>
      <c r="H26" s="100">
        <v>22.35</v>
      </c>
      <c r="I26" s="100">
        <v>13.39</v>
      </c>
      <c r="J26" s="100">
        <v>0.05</v>
      </c>
      <c r="K26" s="100">
        <v>247.4</v>
      </c>
      <c r="L26" s="100">
        <v>14.69</v>
      </c>
      <c r="M26" s="100">
        <v>83.7</v>
      </c>
      <c r="N26" s="100">
        <v>0.9</v>
      </c>
      <c r="O26" s="100">
        <v>0</v>
      </c>
      <c r="P26" s="100">
        <v>1.07</v>
      </c>
      <c r="Q26" s="100">
        <v>13.06</v>
      </c>
      <c r="R26" s="6"/>
      <c r="S26" s="6"/>
      <c r="T26" s="156"/>
      <c r="U26" s="6"/>
    </row>
    <row r="27" spans="1:21" customFormat="1">
      <c r="A27" s="163" t="s">
        <v>2849</v>
      </c>
      <c r="B27" s="100">
        <v>35.82</v>
      </c>
      <c r="C27" s="100">
        <v>25.4</v>
      </c>
      <c r="D27" s="100">
        <v>43.35</v>
      </c>
      <c r="E27" s="100">
        <v>8.9700000000000006</v>
      </c>
      <c r="F27" s="151" t="s">
        <v>8</v>
      </c>
      <c r="G27" s="100">
        <v>103.81</v>
      </c>
      <c r="H27" s="100">
        <v>22.6</v>
      </c>
      <c r="I27" s="100">
        <v>13.6</v>
      </c>
      <c r="J27" s="100">
        <v>0.3</v>
      </c>
      <c r="K27" s="100">
        <v>51.01</v>
      </c>
      <c r="L27" s="100">
        <v>15.22</v>
      </c>
      <c r="M27" s="100">
        <v>77.959999999999994</v>
      </c>
      <c r="N27" s="100">
        <v>0.4</v>
      </c>
      <c r="O27" s="100">
        <v>0</v>
      </c>
      <c r="P27" s="100">
        <v>1.08</v>
      </c>
      <c r="Q27" s="100">
        <v>13.07</v>
      </c>
      <c r="R27" s="6"/>
      <c r="S27" s="6"/>
      <c r="T27" s="156"/>
      <c r="U27" s="6"/>
    </row>
    <row r="28" spans="1:21" customFormat="1">
      <c r="A28" s="163" t="s">
        <v>2850</v>
      </c>
      <c r="B28" s="100">
        <v>36.590000000000003</v>
      </c>
      <c r="C28" s="100">
        <v>25.45</v>
      </c>
      <c r="D28" s="100">
        <v>43.99</v>
      </c>
      <c r="E28" s="100">
        <v>8.9</v>
      </c>
      <c r="F28" s="151" t="s">
        <v>8</v>
      </c>
      <c r="G28" s="100">
        <v>103.81</v>
      </c>
      <c r="H28" s="100">
        <v>22.6</v>
      </c>
      <c r="I28" s="100">
        <v>13.88</v>
      </c>
      <c r="J28" s="100">
        <v>0.33</v>
      </c>
      <c r="K28" s="100">
        <v>38.6</v>
      </c>
      <c r="L28" s="100">
        <v>15.82</v>
      </c>
      <c r="M28" s="100">
        <v>71.430000000000007</v>
      </c>
      <c r="N28" s="100">
        <v>0.4</v>
      </c>
      <c r="O28" s="100">
        <v>0</v>
      </c>
      <c r="P28" s="100">
        <v>1.1000000000000001</v>
      </c>
      <c r="Q28" s="100">
        <v>13.08</v>
      </c>
      <c r="R28" s="6"/>
      <c r="S28" s="6"/>
      <c r="T28" s="156"/>
      <c r="U28" s="6"/>
    </row>
    <row r="29" spans="1:21" customFormat="1">
      <c r="A29" s="163" t="s">
        <v>2851</v>
      </c>
      <c r="B29" s="100">
        <v>36.17</v>
      </c>
      <c r="C29" s="100">
        <v>25.44</v>
      </c>
      <c r="D29" s="100">
        <v>43.65</v>
      </c>
      <c r="E29" s="100">
        <v>9.33</v>
      </c>
      <c r="F29" s="151" t="s">
        <v>8</v>
      </c>
      <c r="G29" s="100">
        <v>103.81</v>
      </c>
      <c r="H29" s="100">
        <v>22.6</v>
      </c>
      <c r="I29" s="100">
        <v>14.04</v>
      </c>
      <c r="J29" s="100">
        <v>0.28000000000000003</v>
      </c>
      <c r="K29" s="100">
        <v>39.11</v>
      </c>
      <c r="L29" s="100">
        <v>15.83</v>
      </c>
      <c r="M29" s="100">
        <v>71.69</v>
      </c>
      <c r="N29" s="100">
        <v>0.8</v>
      </c>
      <c r="O29" s="100">
        <v>0</v>
      </c>
      <c r="P29" s="100">
        <v>1.1000000000000001</v>
      </c>
      <c r="Q29" s="100">
        <v>13.07</v>
      </c>
      <c r="R29" s="6"/>
      <c r="S29" s="6"/>
      <c r="T29" s="156"/>
      <c r="U29" s="6"/>
    </row>
    <row r="30" spans="1:21" customFormat="1">
      <c r="A30" s="163" t="s">
        <v>2852</v>
      </c>
      <c r="B30" s="100">
        <v>35.81</v>
      </c>
      <c r="C30" s="100">
        <v>25.67</v>
      </c>
      <c r="D30" s="100">
        <v>43.48</v>
      </c>
      <c r="E30" s="100">
        <v>9.06</v>
      </c>
      <c r="F30" s="151" t="s">
        <v>8</v>
      </c>
      <c r="G30" s="100">
        <v>105.36</v>
      </c>
      <c r="H30" s="100">
        <v>24.56</v>
      </c>
      <c r="I30" s="100">
        <v>14.09</v>
      </c>
      <c r="J30" s="100">
        <v>0.28999999999999998</v>
      </c>
      <c r="K30" s="100">
        <v>47.81</v>
      </c>
      <c r="L30" s="100">
        <v>15.71</v>
      </c>
      <c r="M30" s="100">
        <v>70.97</v>
      </c>
      <c r="N30" s="100">
        <v>1</v>
      </c>
      <c r="O30" s="100">
        <v>0</v>
      </c>
      <c r="P30" s="100">
        <v>1.1000000000000001</v>
      </c>
      <c r="Q30" s="100">
        <v>13.06</v>
      </c>
      <c r="R30" s="6"/>
      <c r="S30" s="6"/>
      <c r="T30" s="156"/>
      <c r="U30" s="6"/>
    </row>
    <row r="31" spans="1:21" customFormat="1">
      <c r="A31" s="163" t="s">
        <v>2853</v>
      </c>
      <c r="B31" s="100">
        <v>35.39</v>
      </c>
      <c r="C31" s="100">
        <v>25.95</v>
      </c>
      <c r="D31" s="100">
        <v>43.29</v>
      </c>
      <c r="E31" s="100">
        <v>9.1</v>
      </c>
      <c r="F31" s="151" t="s">
        <v>8</v>
      </c>
      <c r="G31" s="100">
        <v>106.3</v>
      </c>
      <c r="H31" s="100">
        <v>25</v>
      </c>
      <c r="I31" s="100">
        <v>14.05</v>
      </c>
      <c r="J31" s="100">
        <v>0.04</v>
      </c>
      <c r="K31" s="100">
        <v>38.380000000000003</v>
      </c>
      <c r="L31" s="100">
        <v>15.4</v>
      </c>
      <c r="M31" s="100">
        <v>73.7</v>
      </c>
      <c r="N31" s="100">
        <v>1.3</v>
      </c>
      <c r="O31" s="100">
        <v>0</v>
      </c>
      <c r="P31" s="100">
        <v>1.0900000000000001</v>
      </c>
      <c r="Q31" s="100">
        <v>13.05</v>
      </c>
      <c r="R31" s="6"/>
      <c r="S31" s="6"/>
      <c r="T31" s="156"/>
      <c r="U31" s="6"/>
    </row>
    <row r="32" spans="1:21" customFormat="1">
      <c r="A32" s="163" t="s">
        <v>2854</v>
      </c>
      <c r="B32" s="100">
        <v>34.79</v>
      </c>
      <c r="C32" s="100">
        <v>26.48</v>
      </c>
      <c r="D32" s="100">
        <v>43.08</v>
      </c>
      <c r="E32" s="100">
        <v>8.92</v>
      </c>
      <c r="F32" s="151" t="s">
        <v>8</v>
      </c>
      <c r="G32" s="100">
        <v>106.3</v>
      </c>
      <c r="H32" s="100">
        <v>25</v>
      </c>
      <c r="I32" s="100">
        <v>13.99</v>
      </c>
      <c r="J32" s="100">
        <v>0.26</v>
      </c>
      <c r="K32" s="100">
        <v>162.08000000000001</v>
      </c>
      <c r="L32" s="100">
        <v>14.76</v>
      </c>
      <c r="M32" s="100">
        <v>82.27</v>
      </c>
      <c r="N32" s="100">
        <v>1.4</v>
      </c>
      <c r="O32" s="100">
        <v>0</v>
      </c>
      <c r="P32" s="100">
        <v>1.08</v>
      </c>
      <c r="Q32" s="100">
        <v>13.05</v>
      </c>
      <c r="R32" s="6"/>
      <c r="S32" s="6"/>
      <c r="T32" s="156"/>
      <c r="U32" s="6"/>
    </row>
    <row r="33" spans="1:21" customFormat="1">
      <c r="A33" s="163" t="s">
        <v>2855</v>
      </c>
      <c r="B33" s="100">
        <v>33.85</v>
      </c>
      <c r="C33" s="100">
        <v>26.49</v>
      </c>
      <c r="D33" s="100">
        <v>42.34</v>
      </c>
      <c r="E33" s="100">
        <v>9.19</v>
      </c>
      <c r="F33" s="151" t="s">
        <v>8</v>
      </c>
      <c r="G33" s="100">
        <v>106.3</v>
      </c>
      <c r="H33" s="100">
        <v>25</v>
      </c>
      <c r="I33" s="100">
        <v>13.93</v>
      </c>
      <c r="J33" s="100">
        <v>0.22</v>
      </c>
      <c r="K33" s="100">
        <v>160.19</v>
      </c>
      <c r="L33" s="100">
        <v>14.23</v>
      </c>
      <c r="M33" s="100">
        <v>86.14</v>
      </c>
      <c r="N33" s="100">
        <v>1.4</v>
      </c>
      <c r="O33" s="100">
        <v>0</v>
      </c>
      <c r="P33" s="100">
        <v>1.08</v>
      </c>
      <c r="Q33" s="100">
        <v>13.05</v>
      </c>
      <c r="R33" s="6"/>
      <c r="S33" s="6"/>
      <c r="T33" s="156"/>
      <c r="U33" s="6"/>
    </row>
    <row r="34" spans="1:21" customFormat="1">
      <c r="A34" s="163" t="s">
        <v>2856</v>
      </c>
      <c r="B34" s="100">
        <v>32.979999999999997</v>
      </c>
      <c r="C34" s="100">
        <v>26.41</v>
      </c>
      <c r="D34" s="100">
        <v>41.6</v>
      </c>
      <c r="E34" s="100">
        <v>8.61</v>
      </c>
      <c r="F34" s="151" t="s">
        <v>8</v>
      </c>
      <c r="G34" s="100">
        <v>105.8</v>
      </c>
      <c r="H34" s="100">
        <v>27.47</v>
      </c>
      <c r="I34" s="100">
        <v>13.91</v>
      </c>
      <c r="J34" s="100">
        <v>0.15</v>
      </c>
      <c r="K34" s="100">
        <v>180.28</v>
      </c>
      <c r="L34" s="100">
        <v>13.98</v>
      </c>
      <c r="M34" s="100">
        <v>85.3</v>
      </c>
      <c r="N34" s="100">
        <v>1.4</v>
      </c>
      <c r="O34" s="100">
        <v>0</v>
      </c>
      <c r="P34" s="100">
        <v>1.08</v>
      </c>
      <c r="Q34" s="100">
        <v>13.04</v>
      </c>
      <c r="R34" s="6"/>
      <c r="S34" s="6"/>
      <c r="T34" s="156"/>
      <c r="U34" s="6"/>
    </row>
    <row r="35" spans="1:21" customFormat="1">
      <c r="A35" s="163" t="s">
        <v>2857</v>
      </c>
      <c r="B35" s="100">
        <v>32.479999999999997</v>
      </c>
      <c r="C35" s="100">
        <v>26.58</v>
      </c>
      <c r="D35" s="100">
        <v>41.28</v>
      </c>
      <c r="E35" s="100">
        <v>9.15</v>
      </c>
      <c r="F35" s="151" t="s">
        <v>8</v>
      </c>
      <c r="G35" s="100">
        <v>105.5</v>
      </c>
      <c r="H35" s="100">
        <v>28.02</v>
      </c>
      <c r="I35" s="100">
        <v>13.89</v>
      </c>
      <c r="J35" s="100">
        <v>0.19</v>
      </c>
      <c r="K35" s="100">
        <v>170.03</v>
      </c>
      <c r="L35" s="100">
        <v>13.78</v>
      </c>
      <c r="M35" s="100">
        <v>88.09</v>
      </c>
      <c r="N35" s="100">
        <v>3.1</v>
      </c>
      <c r="O35" s="100">
        <v>0</v>
      </c>
      <c r="P35" s="100">
        <v>1.07</v>
      </c>
      <c r="Q35" s="100">
        <v>13.03</v>
      </c>
      <c r="R35" s="6"/>
      <c r="S35" s="6"/>
      <c r="T35" s="156"/>
      <c r="U35" s="6"/>
    </row>
    <row r="36" spans="1:21" customFormat="1">
      <c r="A36" s="163" t="s">
        <v>2858</v>
      </c>
      <c r="B36" s="100">
        <v>31.68</v>
      </c>
      <c r="C36" s="100">
        <v>26.48</v>
      </c>
      <c r="D36" s="100">
        <v>40.590000000000003</v>
      </c>
      <c r="E36" s="100">
        <v>9.14</v>
      </c>
      <c r="F36" s="151" t="s">
        <v>8</v>
      </c>
      <c r="G36" s="100">
        <v>105.5</v>
      </c>
      <c r="H36" s="100">
        <v>28.02</v>
      </c>
      <c r="I36" s="100">
        <v>13.97</v>
      </c>
      <c r="J36" s="100">
        <v>0.2</v>
      </c>
      <c r="K36" s="100">
        <v>176.25</v>
      </c>
      <c r="L36" s="100">
        <v>13.49</v>
      </c>
      <c r="M36" s="100">
        <v>89.4</v>
      </c>
      <c r="N36" s="100">
        <v>7.3</v>
      </c>
      <c r="O36" s="100">
        <v>0</v>
      </c>
      <c r="P36" s="100">
        <v>1.07</v>
      </c>
      <c r="Q36" s="100">
        <v>13.04</v>
      </c>
      <c r="R36" s="6"/>
      <c r="S36" s="6"/>
      <c r="T36" s="156"/>
      <c r="U36" s="6"/>
    </row>
    <row r="37" spans="1:21" customFormat="1">
      <c r="A37" s="163" t="s">
        <v>2859</v>
      </c>
      <c r="B37" s="100">
        <v>31.23</v>
      </c>
      <c r="C37" s="100">
        <v>26.44</v>
      </c>
      <c r="D37" s="100">
        <v>40.21</v>
      </c>
      <c r="E37" s="100">
        <v>9.01</v>
      </c>
      <c r="F37" s="151" t="s">
        <v>8</v>
      </c>
      <c r="G37" s="100">
        <v>105.5</v>
      </c>
      <c r="H37" s="100">
        <v>28.02</v>
      </c>
      <c r="I37" s="100">
        <v>14.01</v>
      </c>
      <c r="J37" s="100">
        <v>0.14000000000000001</v>
      </c>
      <c r="K37" s="100">
        <v>95.25</v>
      </c>
      <c r="L37" s="100">
        <v>13.81</v>
      </c>
      <c r="M37" s="100">
        <v>86.25</v>
      </c>
      <c r="N37" s="100">
        <v>12.8</v>
      </c>
      <c r="O37" s="100">
        <v>0</v>
      </c>
      <c r="P37" s="100">
        <v>1.07</v>
      </c>
      <c r="Q37" s="100">
        <v>13.05</v>
      </c>
      <c r="R37" s="6"/>
      <c r="S37" s="6"/>
      <c r="T37" s="156"/>
      <c r="U37" s="6"/>
    </row>
    <row r="38" spans="1:21" customFormat="1">
      <c r="A38" s="163" t="s">
        <v>2860</v>
      </c>
      <c r="B38" s="100">
        <v>31.92</v>
      </c>
      <c r="C38" s="100">
        <v>26.43</v>
      </c>
      <c r="D38" s="100">
        <v>40.76</v>
      </c>
      <c r="E38" s="100">
        <v>9.0299999999999994</v>
      </c>
      <c r="F38" s="151" t="s">
        <v>8</v>
      </c>
      <c r="G38" s="100">
        <v>99.43</v>
      </c>
      <c r="H38" s="100">
        <v>26.17</v>
      </c>
      <c r="I38" s="100">
        <v>14.04</v>
      </c>
      <c r="J38" s="100">
        <v>0.16</v>
      </c>
      <c r="K38" s="100">
        <v>78.099999999999994</v>
      </c>
      <c r="L38" s="100">
        <v>15.02</v>
      </c>
      <c r="M38" s="100">
        <v>77.03</v>
      </c>
      <c r="N38" s="100">
        <v>20</v>
      </c>
      <c r="O38" s="100">
        <v>0</v>
      </c>
      <c r="P38" s="100">
        <v>1.08</v>
      </c>
      <c r="Q38" s="100">
        <v>13.04</v>
      </c>
      <c r="R38" s="6"/>
      <c r="S38" s="6"/>
      <c r="T38" s="156"/>
      <c r="U38" s="6"/>
    </row>
    <row r="39" spans="1:21" customFormat="1">
      <c r="A39" s="163" t="s">
        <v>2861</v>
      </c>
      <c r="B39" s="100">
        <v>32.54</v>
      </c>
      <c r="C39" s="100">
        <v>26.98</v>
      </c>
      <c r="D39" s="100">
        <v>41.54</v>
      </c>
      <c r="E39" s="100">
        <v>8.9600000000000009</v>
      </c>
      <c r="F39" s="151" t="s">
        <v>8</v>
      </c>
      <c r="G39" s="100">
        <v>95.74</v>
      </c>
      <c r="H39" s="100">
        <v>25.75</v>
      </c>
      <c r="I39" s="100">
        <v>14.12</v>
      </c>
      <c r="J39" s="100">
        <v>0.36</v>
      </c>
      <c r="K39" s="100">
        <v>64.930000000000007</v>
      </c>
      <c r="L39" s="100">
        <v>15.79</v>
      </c>
      <c r="M39" s="100">
        <v>71.12</v>
      </c>
      <c r="N39" s="100">
        <v>27.6</v>
      </c>
      <c r="O39" s="100">
        <v>0</v>
      </c>
      <c r="P39" s="100">
        <v>1.0900000000000001</v>
      </c>
      <c r="Q39" s="100">
        <v>13.04</v>
      </c>
      <c r="R39" s="6"/>
      <c r="S39" s="6"/>
      <c r="T39" s="156"/>
      <c r="U39" s="6"/>
    </row>
    <row r="40" spans="1:21" customFormat="1">
      <c r="A40" s="163" t="s">
        <v>2862</v>
      </c>
      <c r="B40" s="100">
        <v>32.46</v>
      </c>
      <c r="C40" s="100">
        <v>27.45</v>
      </c>
      <c r="D40" s="100">
        <v>41.72</v>
      </c>
      <c r="E40" s="100">
        <v>8.8800000000000008</v>
      </c>
      <c r="F40" s="151" t="s">
        <v>8</v>
      </c>
      <c r="G40" s="100">
        <v>95.74</v>
      </c>
      <c r="H40" s="100">
        <v>25.75</v>
      </c>
      <c r="I40" s="100">
        <v>14.23</v>
      </c>
      <c r="J40" s="100">
        <v>0.91</v>
      </c>
      <c r="K40" s="100">
        <v>52.77</v>
      </c>
      <c r="L40" s="100">
        <v>16.7</v>
      </c>
      <c r="M40" s="100">
        <v>62.21</v>
      </c>
      <c r="N40" s="100">
        <v>34.5</v>
      </c>
      <c r="O40" s="100">
        <v>0</v>
      </c>
      <c r="P40" s="100">
        <v>1.08</v>
      </c>
      <c r="Q40" s="100">
        <v>13.05</v>
      </c>
      <c r="R40" s="6"/>
      <c r="S40" s="6"/>
      <c r="T40" s="156"/>
      <c r="U40" s="6"/>
    </row>
    <row r="41" spans="1:21" customFormat="1">
      <c r="A41" s="163" t="s">
        <v>2863</v>
      </c>
      <c r="B41" s="100">
        <v>31.98</v>
      </c>
      <c r="C41" s="100">
        <v>28.26</v>
      </c>
      <c r="D41" s="100">
        <v>41.76</v>
      </c>
      <c r="E41" s="100">
        <v>8.84</v>
      </c>
      <c r="F41" s="151" t="s">
        <v>8</v>
      </c>
      <c r="G41" s="100">
        <v>95.74</v>
      </c>
      <c r="H41" s="100">
        <v>25.75</v>
      </c>
      <c r="I41" s="100">
        <v>14.28</v>
      </c>
      <c r="J41" s="100">
        <v>0.87</v>
      </c>
      <c r="K41" s="100">
        <v>58.53</v>
      </c>
      <c r="L41" s="100">
        <v>17.13</v>
      </c>
      <c r="M41" s="100">
        <v>61.6</v>
      </c>
      <c r="N41" s="100">
        <v>70.400000000000006</v>
      </c>
      <c r="O41" s="100">
        <v>0</v>
      </c>
      <c r="P41" s="100">
        <v>1.08</v>
      </c>
      <c r="Q41" s="100">
        <v>13.04</v>
      </c>
      <c r="R41" s="6"/>
      <c r="S41" s="6"/>
      <c r="T41" s="156"/>
      <c r="U41" s="6"/>
    </row>
    <row r="42" spans="1:21" customFormat="1">
      <c r="A42" s="163" t="s">
        <v>2864</v>
      </c>
      <c r="B42" s="100">
        <v>31.2</v>
      </c>
      <c r="C42" s="100">
        <v>29.09</v>
      </c>
      <c r="D42" s="100">
        <v>41.57</v>
      </c>
      <c r="E42" s="100">
        <v>9</v>
      </c>
      <c r="F42" s="151" t="s">
        <v>8</v>
      </c>
      <c r="G42" s="100">
        <v>98.58</v>
      </c>
      <c r="H42" s="100">
        <v>25.69</v>
      </c>
      <c r="I42" s="100">
        <v>14.31</v>
      </c>
      <c r="J42" s="100">
        <v>0.84</v>
      </c>
      <c r="K42" s="100">
        <v>53.24</v>
      </c>
      <c r="L42" s="100">
        <v>18.010000000000002</v>
      </c>
      <c r="M42" s="100">
        <v>57.45</v>
      </c>
      <c r="N42" s="100">
        <v>187.6</v>
      </c>
      <c r="O42" s="100">
        <v>0</v>
      </c>
      <c r="P42" s="100">
        <v>1.0900000000000001</v>
      </c>
      <c r="Q42" s="100">
        <v>13.04</v>
      </c>
      <c r="R42" s="6"/>
      <c r="S42" s="6"/>
      <c r="T42" s="156"/>
      <c r="U42" s="6"/>
    </row>
    <row r="43" spans="1:21" customFormat="1">
      <c r="A43" s="163" t="s">
        <v>2865</v>
      </c>
      <c r="B43" s="100">
        <v>30.37</v>
      </c>
      <c r="C43" s="100">
        <v>29.83</v>
      </c>
      <c r="D43" s="100">
        <v>41.29</v>
      </c>
      <c r="E43" s="100">
        <v>9.23</v>
      </c>
      <c r="F43" s="151" t="s">
        <v>8</v>
      </c>
      <c r="G43" s="100">
        <v>100.31</v>
      </c>
      <c r="H43" s="100">
        <v>25.67</v>
      </c>
      <c r="I43" s="100">
        <v>14.26</v>
      </c>
      <c r="J43" s="100">
        <v>0.7</v>
      </c>
      <c r="K43" s="100">
        <v>56.49</v>
      </c>
      <c r="L43" s="100">
        <v>19.37</v>
      </c>
      <c r="M43" s="100">
        <v>50.28</v>
      </c>
      <c r="N43" s="100">
        <v>221.2</v>
      </c>
      <c r="O43" s="100">
        <v>0</v>
      </c>
      <c r="P43" s="100">
        <v>1.07</v>
      </c>
      <c r="Q43" s="100">
        <v>13.06</v>
      </c>
      <c r="R43" s="6"/>
      <c r="S43" s="6"/>
      <c r="T43" s="156"/>
      <c r="U43" s="6"/>
    </row>
    <row r="44" spans="1:21" customFormat="1">
      <c r="A44" s="163" t="s">
        <v>2866</v>
      </c>
      <c r="B44" s="100">
        <v>28.96</v>
      </c>
      <c r="C44" s="100">
        <v>30.4</v>
      </c>
      <c r="D44" s="100">
        <v>40.450000000000003</v>
      </c>
      <c r="E44" s="100">
        <v>8.94</v>
      </c>
      <c r="F44" s="151" t="s">
        <v>8</v>
      </c>
      <c r="G44" s="100">
        <v>100.31</v>
      </c>
      <c r="H44" s="100">
        <v>25.67</v>
      </c>
      <c r="I44" s="100">
        <v>14.26</v>
      </c>
      <c r="J44" s="100">
        <v>0.74</v>
      </c>
      <c r="K44" s="100">
        <v>64.22</v>
      </c>
      <c r="L44" s="100">
        <v>20.74</v>
      </c>
      <c r="M44" s="100">
        <v>43.75</v>
      </c>
      <c r="N44" s="100">
        <v>203.8</v>
      </c>
      <c r="O44" s="100">
        <v>0</v>
      </c>
      <c r="P44" s="100">
        <v>1.06</v>
      </c>
      <c r="Q44" s="100">
        <v>13.06</v>
      </c>
      <c r="R44" s="6"/>
      <c r="S44" s="6"/>
      <c r="T44" s="156"/>
      <c r="U44" s="6"/>
    </row>
    <row r="45" spans="1:21" customFormat="1">
      <c r="A45" s="163" t="s">
        <v>2867</v>
      </c>
      <c r="B45" s="100">
        <v>27.28</v>
      </c>
      <c r="C45" s="100">
        <v>30.72</v>
      </c>
      <c r="D45" s="100">
        <v>39.270000000000003</v>
      </c>
      <c r="E45" s="100">
        <v>9.5</v>
      </c>
      <c r="F45" s="151" t="s">
        <v>8</v>
      </c>
      <c r="G45" s="100">
        <v>100.31</v>
      </c>
      <c r="H45" s="100">
        <v>25.67</v>
      </c>
      <c r="I45" s="100">
        <v>14.16</v>
      </c>
      <c r="J45" s="100">
        <v>0.74</v>
      </c>
      <c r="K45" s="100">
        <v>75.510000000000005</v>
      </c>
      <c r="L45" s="100">
        <v>21.52</v>
      </c>
      <c r="M45" s="100">
        <v>41.67</v>
      </c>
      <c r="N45" s="100">
        <v>250.6</v>
      </c>
      <c r="O45" s="100">
        <v>0</v>
      </c>
      <c r="P45" s="100">
        <v>1.05</v>
      </c>
      <c r="Q45" s="100">
        <v>13.06</v>
      </c>
      <c r="R45" s="6"/>
      <c r="S45" s="6"/>
      <c r="T45" s="156"/>
      <c r="U45" s="6"/>
    </row>
    <row r="46" spans="1:21" customFormat="1">
      <c r="A46" s="163" t="s">
        <v>2868</v>
      </c>
      <c r="B46" s="100">
        <v>25.61</v>
      </c>
      <c r="C46" s="100">
        <v>30.48</v>
      </c>
      <c r="D46" s="100">
        <v>37.81</v>
      </c>
      <c r="E46" s="100">
        <v>9.5500000000000007</v>
      </c>
      <c r="F46" s="151" t="s">
        <v>8</v>
      </c>
      <c r="G46" s="100">
        <v>91.33</v>
      </c>
      <c r="H46" s="100">
        <v>24.36</v>
      </c>
      <c r="I46" s="100">
        <v>14.07</v>
      </c>
      <c r="J46" s="100">
        <v>0.71</v>
      </c>
      <c r="K46" s="100">
        <v>72.349999999999994</v>
      </c>
      <c r="L46" s="100">
        <v>22.29</v>
      </c>
      <c r="M46" s="100">
        <v>39.99</v>
      </c>
      <c r="N46" s="100">
        <v>298.5</v>
      </c>
      <c r="O46" s="100">
        <v>0</v>
      </c>
      <c r="P46" s="100">
        <v>1.04</v>
      </c>
      <c r="Q46" s="100">
        <v>13.05</v>
      </c>
      <c r="R46" s="6"/>
      <c r="S46" s="6"/>
      <c r="T46" s="156"/>
      <c r="U46" s="6"/>
    </row>
    <row r="47" spans="1:21" customFormat="1">
      <c r="A47" s="163" t="s">
        <v>2869</v>
      </c>
      <c r="B47" s="100">
        <v>23.73</v>
      </c>
      <c r="C47" s="100">
        <v>30.32</v>
      </c>
      <c r="D47" s="100">
        <v>36.22</v>
      </c>
      <c r="E47" s="100">
        <v>9.85</v>
      </c>
      <c r="F47" s="151" t="s">
        <v>8</v>
      </c>
      <c r="G47" s="100">
        <v>85.87</v>
      </c>
      <c r="H47" s="100">
        <v>24.06</v>
      </c>
      <c r="I47" s="100">
        <v>13.92</v>
      </c>
      <c r="J47" s="100">
        <v>0.47</v>
      </c>
      <c r="K47" s="100">
        <v>88.44</v>
      </c>
      <c r="L47" s="100">
        <v>23.24</v>
      </c>
      <c r="M47" s="100">
        <v>38.54</v>
      </c>
      <c r="N47" s="100">
        <v>316</v>
      </c>
      <c r="O47" s="100">
        <v>0</v>
      </c>
      <c r="P47" s="100">
        <v>1.03</v>
      </c>
      <c r="Q47" s="100">
        <v>13.02</v>
      </c>
      <c r="R47" s="6"/>
      <c r="S47" s="6"/>
      <c r="T47" s="156"/>
      <c r="U47" s="6"/>
    </row>
    <row r="48" spans="1:21" customFormat="1">
      <c r="A48" s="163" t="s">
        <v>2870</v>
      </c>
      <c r="B48" s="100">
        <v>21.87</v>
      </c>
      <c r="C48" s="100">
        <v>30.22</v>
      </c>
      <c r="D48" s="100">
        <v>34.68</v>
      </c>
      <c r="E48" s="100">
        <v>8.98</v>
      </c>
      <c r="F48" s="151" t="s">
        <v>8</v>
      </c>
      <c r="G48" s="100">
        <v>85.87</v>
      </c>
      <c r="H48" s="100">
        <v>24.06</v>
      </c>
      <c r="I48" s="100">
        <v>13.82</v>
      </c>
      <c r="J48" s="100">
        <v>0.66</v>
      </c>
      <c r="K48" s="100">
        <v>71.47</v>
      </c>
      <c r="L48" s="100">
        <v>23.96</v>
      </c>
      <c r="M48" s="100">
        <v>37.79</v>
      </c>
      <c r="N48" s="100">
        <v>325.8</v>
      </c>
      <c r="O48" s="100">
        <v>0</v>
      </c>
      <c r="P48" s="100">
        <v>1.02</v>
      </c>
      <c r="Q48" s="100">
        <v>13.02</v>
      </c>
      <c r="R48" s="6"/>
      <c r="S48" s="6"/>
      <c r="T48" s="156"/>
      <c r="U48" s="6"/>
    </row>
    <row r="49" spans="1:21" customFormat="1">
      <c r="A49" s="163" t="s">
        <v>2871</v>
      </c>
      <c r="B49" s="100">
        <v>20.34</v>
      </c>
      <c r="C49" s="100">
        <v>29.81</v>
      </c>
      <c r="D49" s="100">
        <v>33.24</v>
      </c>
      <c r="E49" s="100">
        <v>8.8699999999999992</v>
      </c>
      <c r="F49" s="151" t="s">
        <v>8</v>
      </c>
      <c r="G49" s="100">
        <v>85.87</v>
      </c>
      <c r="H49" s="100">
        <v>24.06</v>
      </c>
      <c r="I49" s="100">
        <v>13.77</v>
      </c>
      <c r="J49" s="100">
        <v>0.68</v>
      </c>
      <c r="K49" s="100">
        <v>66.75</v>
      </c>
      <c r="L49" s="100">
        <v>24.56</v>
      </c>
      <c r="M49" s="100">
        <v>36.11</v>
      </c>
      <c r="N49" s="100">
        <v>263.5</v>
      </c>
      <c r="O49" s="100">
        <v>0</v>
      </c>
      <c r="P49" s="100">
        <v>1.01</v>
      </c>
      <c r="Q49" s="100">
        <v>13.01</v>
      </c>
      <c r="R49" s="6"/>
      <c r="S49" s="6"/>
      <c r="T49" s="156"/>
      <c r="U49" s="6"/>
    </row>
    <row r="50" spans="1:21" customFormat="1">
      <c r="A50" s="163" t="s">
        <v>2872</v>
      </c>
      <c r="B50" s="100">
        <v>18.739999999999998</v>
      </c>
      <c r="C50" s="100">
        <v>29.62</v>
      </c>
      <c r="D50" s="100">
        <v>31.86</v>
      </c>
      <c r="E50" s="100">
        <v>10.38</v>
      </c>
      <c r="F50" s="151" t="s">
        <v>8</v>
      </c>
      <c r="G50" s="100">
        <v>86.46</v>
      </c>
      <c r="H50" s="100">
        <v>25.29</v>
      </c>
      <c r="I50" s="100">
        <v>13.67</v>
      </c>
      <c r="J50" s="100">
        <v>0.56000000000000005</v>
      </c>
      <c r="K50" s="100">
        <v>76.2</v>
      </c>
      <c r="L50" s="100">
        <v>25.49</v>
      </c>
      <c r="M50" s="100">
        <v>31.66</v>
      </c>
      <c r="N50" s="100">
        <v>362.3</v>
      </c>
      <c r="O50" s="100">
        <v>0</v>
      </c>
      <c r="P50" s="100">
        <v>0.99</v>
      </c>
      <c r="Q50" s="100">
        <v>13.01</v>
      </c>
      <c r="R50" s="6"/>
      <c r="S50" s="6"/>
      <c r="T50" s="156"/>
      <c r="U50" s="6"/>
    </row>
    <row r="51" spans="1:21" customFormat="1">
      <c r="A51" s="163" t="s">
        <v>2873</v>
      </c>
      <c r="B51" s="100">
        <v>16.2</v>
      </c>
      <c r="C51" s="100">
        <v>29.88</v>
      </c>
      <c r="D51" s="100">
        <v>29.95</v>
      </c>
      <c r="E51" s="100">
        <v>9.9499999999999993</v>
      </c>
      <c r="F51" s="151" t="s">
        <v>8</v>
      </c>
      <c r="G51" s="100">
        <v>86.81</v>
      </c>
      <c r="H51" s="100">
        <v>25.56</v>
      </c>
      <c r="I51" s="100">
        <v>13.54</v>
      </c>
      <c r="J51" s="100">
        <v>0.46</v>
      </c>
      <c r="K51" s="100">
        <v>91.36</v>
      </c>
      <c r="L51" s="100">
        <v>26.37</v>
      </c>
      <c r="M51" s="100">
        <v>27.62</v>
      </c>
      <c r="N51" s="100">
        <v>376.4</v>
      </c>
      <c r="O51" s="100">
        <v>0</v>
      </c>
      <c r="P51" s="100">
        <v>0.97</v>
      </c>
      <c r="Q51" s="100">
        <v>13.01</v>
      </c>
      <c r="R51" s="6"/>
      <c r="S51" s="6"/>
      <c r="T51" s="156"/>
      <c r="U51" s="6"/>
    </row>
    <row r="52" spans="1:21" customFormat="1">
      <c r="A52" s="163" t="s">
        <v>2874</v>
      </c>
      <c r="B52" s="100">
        <v>13.39</v>
      </c>
      <c r="C52" s="100">
        <v>30.53</v>
      </c>
      <c r="D52" s="100">
        <v>28.04</v>
      </c>
      <c r="E52" s="100">
        <v>9.94</v>
      </c>
      <c r="F52" s="151" t="s">
        <v>8</v>
      </c>
      <c r="G52" s="100">
        <v>86.81</v>
      </c>
      <c r="H52" s="100">
        <v>25.56</v>
      </c>
      <c r="I52" s="100">
        <v>13.44</v>
      </c>
      <c r="J52" s="100">
        <v>0.5</v>
      </c>
      <c r="K52" s="100">
        <v>88.1</v>
      </c>
      <c r="L52" s="100">
        <v>26.84</v>
      </c>
      <c r="M52" s="100">
        <v>27.26</v>
      </c>
      <c r="N52" s="100">
        <v>386.9</v>
      </c>
      <c r="O52" s="100">
        <v>0</v>
      </c>
      <c r="P52" s="100">
        <v>0.94</v>
      </c>
      <c r="Q52" s="100">
        <v>13</v>
      </c>
      <c r="R52" s="6"/>
      <c r="S52" s="6"/>
      <c r="T52" s="156"/>
      <c r="U52" s="6"/>
    </row>
    <row r="53" spans="1:21" customFormat="1">
      <c r="A53" s="163" t="s">
        <v>2875</v>
      </c>
      <c r="B53" s="100">
        <v>10.97</v>
      </c>
      <c r="C53" s="100">
        <v>30.96</v>
      </c>
      <c r="D53" s="100">
        <v>26.33</v>
      </c>
      <c r="E53" s="100">
        <v>10</v>
      </c>
      <c r="F53" s="151" t="s">
        <v>8</v>
      </c>
      <c r="G53" s="100">
        <v>86.81</v>
      </c>
      <c r="H53" s="100">
        <v>25.56</v>
      </c>
      <c r="I53" s="100">
        <v>13.12</v>
      </c>
      <c r="J53" s="100">
        <v>0.75</v>
      </c>
      <c r="K53" s="100">
        <v>62.15</v>
      </c>
      <c r="L53" s="100">
        <v>27.1</v>
      </c>
      <c r="M53" s="100">
        <v>26.41</v>
      </c>
      <c r="N53" s="100">
        <v>387.8</v>
      </c>
      <c r="O53" s="100">
        <v>0</v>
      </c>
      <c r="P53" s="100">
        <v>0.92</v>
      </c>
      <c r="Q53" s="100">
        <v>13</v>
      </c>
      <c r="R53" s="6"/>
      <c r="S53" s="6"/>
      <c r="T53" s="156"/>
      <c r="U53" s="6"/>
    </row>
    <row r="54" spans="1:21" customFormat="1">
      <c r="A54" s="163" t="s">
        <v>2876</v>
      </c>
      <c r="B54" s="100">
        <v>9.14</v>
      </c>
      <c r="C54" s="100">
        <v>31.52</v>
      </c>
      <c r="D54" s="100">
        <v>25.15</v>
      </c>
      <c r="E54" s="100">
        <v>9.7899999999999991</v>
      </c>
      <c r="F54" s="151" t="s">
        <v>8</v>
      </c>
      <c r="G54" s="100">
        <v>80.45</v>
      </c>
      <c r="H54" s="100">
        <v>26.98</v>
      </c>
      <c r="I54" s="100">
        <v>12.81</v>
      </c>
      <c r="J54" s="100">
        <v>0.72</v>
      </c>
      <c r="K54" s="100">
        <v>66.7</v>
      </c>
      <c r="L54" s="100">
        <v>27.42</v>
      </c>
      <c r="M54" s="100">
        <v>26.26</v>
      </c>
      <c r="N54" s="100">
        <v>345.7</v>
      </c>
      <c r="O54" s="100">
        <v>0</v>
      </c>
      <c r="P54" s="100">
        <v>0.91</v>
      </c>
      <c r="Q54" s="100">
        <v>13</v>
      </c>
      <c r="R54" s="6"/>
      <c r="S54" s="6"/>
      <c r="T54" s="156"/>
      <c r="U54" s="6"/>
    </row>
    <row r="55" spans="1:21" customFormat="1">
      <c r="A55" s="163" t="s">
        <v>2877</v>
      </c>
      <c r="B55" s="100">
        <v>7.57</v>
      </c>
      <c r="C55" s="100">
        <v>31.53</v>
      </c>
      <c r="D55" s="100">
        <v>23.89</v>
      </c>
      <c r="E55" s="100">
        <v>9.86</v>
      </c>
      <c r="F55" s="151" t="s">
        <v>8</v>
      </c>
      <c r="G55" s="100">
        <v>76.58</v>
      </c>
      <c r="H55" s="100">
        <v>27.29</v>
      </c>
      <c r="I55" s="100">
        <v>12.52</v>
      </c>
      <c r="J55" s="100">
        <v>0.84</v>
      </c>
      <c r="K55" s="100">
        <v>55.41</v>
      </c>
      <c r="L55" s="100">
        <v>27.89</v>
      </c>
      <c r="M55" s="100">
        <v>24.84</v>
      </c>
      <c r="N55" s="100">
        <v>382.8</v>
      </c>
      <c r="O55" s="100">
        <v>0</v>
      </c>
      <c r="P55" s="100">
        <v>0.88</v>
      </c>
      <c r="Q55" s="100">
        <v>12.99</v>
      </c>
      <c r="R55" s="6"/>
      <c r="S55" s="6"/>
      <c r="T55" s="156"/>
      <c r="U55" s="6"/>
    </row>
    <row r="56" spans="1:21" customFormat="1">
      <c r="A56" s="163" t="s">
        <v>2878</v>
      </c>
      <c r="B56" s="100">
        <v>6.33</v>
      </c>
      <c r="C56" s="100">
        <v>31.76</v>
      </c>
      <c r="D56" s="100">
        <v>23.02</v>
      </c>
      <c r="E56" s="100">
        <v>10.18</v>
      </c>
      <c r="F56" s="151" t="s">
        <v>8</v>
      </c>
      <c r="G56" s="100">
        <v>76.58</v>
      </c>
      <c r="H56" s="100">
        <v>27.29</v>
      </c>
      <c r="I56" s="100">
        <v>12.32</v>
      </c>
      <c r="J56" s="100">
        <v>0.41</v>
      </c>
      <c r="K56" s="100">
        <v>68.56</v>
      </c>
      <c r="L56" s="100">
        <v>28.67</v>
      </c>
      <c r="M56" s="100">
        <v>22.86</v>
      </c>
      <c r="N56" s="100">
        <v>369.4</v>
      </c>
      <c r="O56" s="100">
        <v>0</v>
      </c>
      <c r="P56" s="100">
        <v>0.86</v>
      </c>
      <c r="Q56" s="100">
        <v>12.99</v>
      </c>
      <c r="R56" s="6"/>
      <c r="S56" s="6"/>
      <c r="T56" s="156"/>
      <c r="U56" s="6"/>
    </row>
    <row r="57" spans="1:21" customFormat="1">
      <c r="A57" s="163" t="s">
        <v>2879</v>
      </c>
      <c r="B57" s="100">
        <v>5.52</v>
      </c>
      <c r="C57" s="100">
        <v>31.63</v>
      </c>
      <c r="D57" s="100">
        <v>22.3</v>
      </c>
      <c r="E57" s="100">
        <v>10.43</v>
      </c>
      <c r="F57" s="151" t="s">
        <v>8</v>
      </c>
      <c r="G57" s="100">
        <v>76.58</v>
      </c>
      <c r="H57" s="100">
        <v>27.29</v>
      </c>
      <c r="I57" s="100">
        <v>12.07</v>
      </c>
      <c r="J57" s="100">
        <v>0.79</v>
      </c>
      <c r="K57" s="100">
        <v>21.35</v>
      </c>
      <c r="L57" s="100">
        <v>28.56</v>
      </c>
      <c r="M57" s="100">
        <v>22.88</v>
      </c>
      <c r="N57" s="100">
        <v>414.7</v>
      </c>
      <c r="O57" s="100">
        <v>0</v>
      </c>
      <c r="P57" s="100">
        <v>0.83</v>
      </c>
      <c r="Q57" s="100">
        <v>12.98</v>
      </c>
      <c r="R57" s="6"/>
      <c r="S57" s="6"/>
      <c r="T57" s="156"/>
      <c r="U57" s="6"/>
    </row>
    <row r="58" spans="1:21" customFormat="1">
      <c r="A58" s="163" t="s">
        <v>2880</v>
      </c>
      <c r="B58" s="100">
        <v>5.1100000000000003</v>
      </c>
      <c r="C58" s="100">
        <v>31.28</v>
      </c>
      <c r="D58" s="100">
        <v>21.79</v>
      </c>
      <c r="E58" s="100">
        <v>11.35</v>
      </c>
      <c r="F58" s="151" t="s">
        <v>8</v>
      </c>
      <c r="G58" s="100">
        <v>78.14</v>
      </c>
      <c r="H58" s="100">
        <v>26.44</v>
      </c>
      <c r="I58" s="100">
        <v>11.76</v>
      </c>
      <c r="J58" s="100">
        <v>0.47</v>
      </c>
      <c r="K58" s="100">
        <v>54.11</v>
      </c>
      <c r="L58" s="100">
        <v>28.74</v>
      </c>
      <c r="M58" s="100">
        <v>22.91</v>
      </c>
      <c r="N58" s="100">
        <v>417.2</v>
      </c>
      <c r="O58" s="100">
        <v>0</v>
      </c>
      <c r="P58" s="100">
        <v>0.8</v>
      </c>
      <c r="Q58" s="100">
        <v>12.97</v>
      </c>
      <c r="R58" s="6"/>
      <c r="S58" s="6"/>
      <c r="T58" s="156"/>
      <c r="U58" s="6"/>
    </row>
    <row r="59" spans="1:21" customFormat="1">
      <c r="A59" s="163" t="s">
        <v>2881</v>
      </c>
      <c r="B59" s="100">
        <v>4.7699999999999996</v>
      </c>
      <c r="C59" s="100">
        <v>30.82</v>
      </c>
      <c r="D59" s="100">
        <v>21.27</v>
      </c>
      <c r="E59" s="100">
        <v>10.62</v>
      </c>
      <c r="F59" s="151" t="s">
        <v>8</v>
      </c>
      <c r="G59" s="100">
        <v>79.13</v>
      </c>
      <c r="H59" s="100">
        <v>26.27</v>
      </c>
      <c r="I59" s="100">
        <v>11.35</v>
      </c>
      <c r="J59" s="100">
        <v>0.43</v>
      </c>
      <c r="K59" s="100">
        <v>75.86</v>
      </c>
      <c r="L59" s="100">
        <v>29.19</v>
      </c>
      <c r="M59" s="100">
        <v>22.99</v>
      </c>
      <c r="N59" s="100">
        <v>416.5</v>
      </c>
      <c r="O59" s="100">
        <v>0</v>
      </c>
      <c r="P59" s="100">
        <v>0.78</v>
      </c>
      <c r="Q59" s="100">
        <v>12.98</v>
      </c>
      <c r="R59" s="6"/>
      <c r="S59" s="6"/>
      <c r="T59" s="156"/>
      <c r="U59" s="6"/>
    </row>
    <row r="60" spans="1:21" customFormat="1">
      <c r="A60" s="163" t="s">
        <v>2882</v>
      </c>
      <c r="B60" s="100">
        <v>4.5999999999999996</v>
      </c>
      <c r="C60" s="100">
        <v>30.27</v>
      </c>
      <c r="D60" s="100">
        <v>20.86</v>
      </c>
      <c r="E60" s="100">
        <v>10.54</v>
      </c>
      <c r="F60" s="151" t="s">
        <v>8</v>
      </c>
      <c r="G60" s="100">
        <v>79.13</v>
      </c>
      <c r="H60" s="100">
        <v>26.27</v>
      </c>
      <c r="I60" s="100">
        <v>11.09</v>
      </c>
      <c r="J60" s="100">
        <v>0.73</v>
      </c>
      <c r="K60" s="100">
        <v>29.63</v>
      </c>
      <c r="L60" s="100">
        <v>29.22</v>
      </c>
      <c r="M60" s="100">
        <v>23.72</v>
      </c>
      <c r="N60" s="100">
        <v>413.3</v>
      </c>
      <c r="O60" s="100">
        <v>0</v>
      </c>
      <c r="P60" s="100">
        <v>0.76</v>
      </c>
      <c r="Q60" s="100">
        <v>12.97</v>
      </c>
      <c r="R60" s="6"/>
      <c r="S60" s="6"/>
      <c r="T60" s="156"/>
      <c r="U60" s="6"/>
    </row>
    <row r="61" spans="1:21" customFormat="1">
      <c r="A61" s="163" t="s">
        <v>2883</v>
      </c>
      <c r="B61" s="100">
        <v>4.4800000000000004</v>
      </c>
      <c r="C61" s="100">
        <v>29.94</v>
      </c>
      <c r="D61" s="100">
        <v>20.58</v>
      </c>
      <c r="E61" s="100">
        <v>10.33</v>
      </c>
      <c r="F61" s="151" t="s">
        <v>8</v>
      </c>
      <c r="G61" s="100">
        <v>79.13</v>
      </c>
      <c r="H61" s="100">
        <v>26.27</v>
      </c>
      <c r="I61" s="100">
        <v>10.85</v>
      </c>
      <c r="J61" s="100">
        <v>0.32</v>
      </c>
      <c r="K61" s="100">
        <v>18.940000000000001</v>
      </c>
      <c r="L61" s="100">
        <v>29.54</v>
      </c>
      <c r="M61" s="100">
        <v>24.22</v>
      </c>
      <c r="N61" s="100">
        <v>391.7</v>
      </c>
      <c r="O61" s="100">
        <v>0</v>
      </c>
      <c r="P61" s="100">
        <v>0.74</v>
      </c>
      <c r="Q61" s="100">
        <v>12.95</v>
      </c>
      <c r="R61" s="6"/>
      <c r="S61" s="6"/>
      <c r="T61" s="156"/>
      <c r="U61" s="6"/>
    </row>
    <row r="62" spans="1:21" customFormat="1">
      <c r="A62" s="163" t="s">
        <v>2884</v>
      </c>
      <c r="B62" s="100">
        <v>4.32</v>
      </c>
      <c r="C62" s="100">
        <v>29.49</v>
      </c>
      <c r="D62" s="100">
        <v>20.22</v>
      </c>
      <c r="E62" s="100">
        <v>10.45</v>
      </c>
      <c r="F62" s="151" t="s">
        <v>8</v>
      </c>
      <c r="G62" s="100">
        <v>75.12</v>
      </c>
      <c r="H62" s="100">
        <v>26.87</v>
      </c>
      <c r="I62" s="100">
        <v>10.54</v>
      </c>
      <c r="J62" s="100">
        <v>0.24</v>
      </c>
      <c r="K62" s="100">
        <v>150.18</v>
      </c>
      <c r="L62" s="100">
        <v>30.5</v>
      </c>
      <c r="M62" s="100">
        <v>23.08</v>
      </c>
      <c r="N62" s="100">
        <v>363.1</v>
      </c>
      <c r="O62" s="100">
        <v>0</v>
      </c>
      <c r="P62" s="100">
        <v>0.73</v>
      </c>
      <c r="Q62" s="100">
        <v>12.94</v>
      </c>
      <c r="R62" s="6"/>
      <c r="S62" s="6"/>
      <c r="T62" s="156"/>
      <c r="U62" s="6"/>
    </row>
    <row r="63" spans="1:21" customFormat="1">
      <c r="A63" s="163" t="s">
        <v>2885</v>
      </c>
      <c r="B63" s="100">
        <v>4.21</v>
      </c>
      <c r="C63" s="100">
        <v>28.88</v>
      </c>
      <c r="D63" s="100">
        <v>19.82</v>
      </c>
      <c r="E63" s="100">
        <v>11.08</v>
      </c>
      <c r="F63" s="151" t="s">
        <v>8</v>
      </c>
      <c r="G63" s="100">
        <v>72.69</v>
      </c>
      <c r="H63" s="100">
        <v>27</v>
      </c>
      <c r="I63" s="100">
        <v>10.23</v>
      </c>
      <c r="J63" s="100">
        <v>0.6</v>
      </c>
      <c r="K63" s="100">
        <v>69.52</v>
      </c>
      <c r="L63" s="100">
        <v>30.44</v>
      </c>
      <c r="M63" s="100">
        <v>23.25</v>
      </c>
      <c r="N63" s="100">
        <v>368.4</v>
      </c>
      <c r="O63" s="100">
        <v>0</v>
      </c>
      <c r="P63" s="100">
        <v>0.71</v>
      </c>
      <c r="Q63" s="100">
        <v>12.95</v>
      </c>
      <c r="R63" s="6"/>
      <c r="S63" s="6"/>
      <c r="T63" s="156"/>
      <c r="U63" s="6"/>
    </row>
    <row r="64" spans="1:21" customFormat="1">
      <c r="A64" s="163" t="s">
        <v>2886</v>
      </c>
      <c r="B64" s="100">
        <v>4.1399999999999997</v>
      </c>
      <c r="C64" s="100">
        <v>28.44</v>
      </c>
      <c r="D64" s="100">
        <v>19.53</v>
      </c>
      <c r="E64" s="100">
        <v>10.38</v>
      </c>
      <c r="F64" s="151" t="s">
        <v>8</v>
      </c>
      <c r="G64" s="100">
        <v>72.69</v>
      </c>
      <c r="H64" s="100">
        <v>27</v>
      </c>
      <c r="I64" s="100">
        <v>10.039999999999999</v>
      </c>
      <c r="J64" s="100">
        <v>0.26</v>
      </c>
      <c r="K64" s="100">
        <v>95.6</v>
      </c>
      <c r="L64" s="100">
        <v>30.47</v>
      </c>
      <c r="M64" s="100">
        <v>23.34</v>
      </c>
      <c r="N64" s="100">
        <v>370.1</v>
      </c>
      <c r="O64" s="100">
        <v>0</v>
      </c>
      <c r="P64" s="100">
        <v>0.7</v>
      </c>
      <c r="Q64" s="100">
        <v>12.96</v>
      </c>
      <c r="R64" s="6"/>
      <c r="S64" s="6"/>
      <c r="T64" s="156"/>
      <c r="U64" s="6"/>
    </row>
    <row r="65" spans="1:21" customFormat="1">
      <c r="A65" s="163" t="s">
        <v>2887</v>
      </c>
      <c r="B65" s="100">
        <v>4.2300000000000004</v>
      </c>
      <c r="C65" s="100">
        <v>28.22</v>
      </c>
      <c r="D65" s="100">
        <v>19.489999999999998</v>
      </c>
      <c r="E65" s="100">
        <v>12.04</v>
      </c>
      <c r="F65" s="151" t="s">
        <v>8</v>
      </c>
      <c r="G65" s="100">
        <v>72.69</v>
      </c>
      <c r="H65" s="100">
        <v>27</v>
      </c>
      <c r="I65" s="100">
        <v>9.83</v>
      </c>
      <c r="J65" s="100">
        <v>0.69</v>
      </c>
      <c r="K65" s="100">
        <v>38.61</v>
      </c>
      <c r="L65" s="100">
        <v>30.19</v>
      </c>
      <c r="M65" s="100">
        <v>23.7</v>
      </c>
      <c r="N65" s="100">
        <v>319.10000000000002</v>
      </c>
      <c r="O65" s="100">
        <v>0</v>
      </c>
      <c r="P65" s="100">
        <v>0.67</v>
      </c>
      <c r="Q65" s="100">
        <v>12.96</v>
      </c>
      <c r="R65" s="6"/>
      <c r="S65" s="6"/>
      <c r="T65" s="156"/>
      <c r="U65" s="6"/>
    </row>
    <row r="66" spans="1:21" customFormat="1">
      <c r="A66" s="163" t="s">
        <v>2888</v>
      </c>
      <c r="B66" s="100">
        <v>4.3</v>
      </c>
      <c r="C66" s="100">
        <v>28.36</v>
      </c>
      <c r="D66" s="100">
        <v>19.62</v>
      </c>
      <c r="E66" s="100">
        <v>11.65</v>
      </c>
      <c r="F66" s="151" t="s">
        <v>8</v>
      </c>
      <c r="G66" s="100">
        <v>70.8</v>
      </c>
      <c r="H66" s="100">
        <v>26.56</v>
      </c>
      <c r="I66" s="100">
        <v>9.5399999999999991</v>
      </c>
      <c r="J66" s="100">
        <v>0.33</v>
      </c>
      <c r="K66" s="100">
        <v>104.77</v>
      </c>
      <c r="L66" s="100">
        <v>30.22</v>
      </c>
      <c r="M66" s="100">
        <v>24.4</v>
      </c>
      <c r="N66" s="100">
        <v>128.30000000000001</v>
      </c>
      <c r="O66" s="100">
        <v>0</v>
      </c>
      <c r="P66" s="100">
        <v>0.68</v>
      </c>
      <c r="Q66" s="100">
        <v>12.96</v>
      </c>
      <c r="R66" s="6"/>
      <c r="S66" s="6"/>
      <c r="T66" s="156"/>
      <c r="U66" s="6"/>
    </row>
    <row r="67" spans="1:21" customFormat="1">
      <c r="A67" s="163" t="s">
        <v>2889</v>
      </c>
      <c r="B67" s="100">
        <v>4.2699999999999996</v>
      </c>
      <c r="C67" s="100">
        <v>28.39</v>
      </c>
      <c r="D67" s="100">
        <v>19.61</v>
      </c>
      <c r="E67" s="100">
        <v>13.92</v>
      </c>
      <c r="F67" s="151" t="s">
        <v>8</v>
      </c>
      <c r="G67" s="100">
        <v>69.66</v>
      </c>
      <c r="H67" s="100">
        <v>26.4</v>
      </c>
      <c r="I67" s="100">
        <v>9.33</v>
      </c>
      <c r="J67" s="100">
        <v>0.2</v>
      </c>
      <c r="K67" s="100">
        <v>45.95</v>
      </c>
      <c r="L67" s="100">
        <v>29.71</v>
      </c>
      <c r="M67" s="100">
        <v>24.96</v>
      </c>
      <c r="N67" s="100">
        <v>84.1</v>
      </c>
      <c r="O67" s="100">
        <v>0</v>
      </c>
      <c r="P67" s="100">
        <v>0.66</v>
      </c>
      <c r="Q67" s="100">
        <v>12.96</v>
      </c>
      <c r="R67" s="6"/>
      <c r="S67" s="6"/>
      <c r="T67" s="156"/>
      <c r="U67" s="6"/>
    </row>
    <row r="68" spans="1:21" customFormat="1">
      <c r="A68" s="163" t="s">
        <v>2890</v>
      </c>
      <c r="B68" s="100">
        <v>4.29</v>
      </c>
      <c r="C68" s="100">
        <v>28.54</v>
      </c>
      <c r="D68" s="100">
        <v>19.7</v>
      </c>
      <c r="E68" s="100">
        <v>20.77</v>
      </c>
      <c r="F68" s="151" t="s">
        <v>8</v>
      </c>
      <c r="G68" s="100">
        <v>69.66</v>
      </c>
      <c r="H68" s="100">
        <v>26.4</v>
      </c>
      <c r="I68" s="100">
        <v>9.1300000000000008</v>
      </c>
      <c r="J68" s="100">
        <v>0.49</v>
      </c>
      <c r="K68" s="100">
        <v>45.43</v>
      </c>
      <c r="L68" s="100">
        <v>29.92</v>
      </c>
      <c r="M68" s="100">
        <v>25.08</v>
      </c>
      <c r="N68" s="100">
        <v>64</v>
      </c>
      <c r="O68" s="100">
        <v>0</v>
      </c>
      <c r="P68" s="100">
        <v>0.66</v>
      </c>
      <c r="Q68" s="100">
        <v>12.95</v>
      </c>
      <c r="R68" s="6"/>
      <c r="S68" s="6"/>
      <c r="T68" s="156"/>
      <c r="U68" s="6"/>
    </row>
    <row r="69" spans="1:21" customFormat="1">
      <c r="A69" s="163" t="s">
        <v>2891</v>
      </c>
      <c r="B69" s="100">
        <v>4.33</v>
      </c>
      <c r="C69" s="100">
        <v>28.9</v>
      </c>
      <c r="D69" s="100">
        <v>19.93</v>
      </c>
      <c r="E69" s="100">
        <v>18.22</v>
      </c>
      <c r="F69" s="151" t="s">
        <v>8</v>
      </c>
      <c r="G69" s="100">
        <v>69.66</v>
      </c>
      <c r="H69" s="100">
        <v>26.4</v>
      </c>
      <c r="I69" s="100">
        <v>8.93</v>
      </c>
      <c r="J69" s="100">
        <v>0.41</v>
      </c>
      <c r="K69" s="100">
        <v>57.56</v>
      </c>
      <c r="L69" s="100">
        <v>29.75</v>
      </c>
      <c r="M69" s="100">
        <v>25.57</v>
      </c>
      <c r="N69" s="100">
        <v>54.9</v>
      </c>
      <c r="O69" s="100">
        <v>0</v>
      </c>
      <c r="P69" s="100">
        <v>0.66</v>
      </c>
      <c r="Q69" s="100">
        <v>12.97</v>
      </c>
      <c r="R69" s="6"/>
      <c r="S69" s="6"/>
      <c r="T69" s="156"/>
      <c r="U69" s="6"/>
    </row>
    <row r="70" spans="1:21" customFormat="1">
      <c r="A70" s="163" t="s">
        <v>2892</v>
      </c>
      <c r="B70" s="100">
        <v>4.33</v>
      </c>
      <c r="C70" s="100">
        <v>29.16</v>
      </c>
      <c r="D70" s="100">
        <v>20.059999999999999</v>
      </c>
      <c r="E70" s="100">
        <v>25.64</v>
      </c>
      <c r="F70" s="151" t="s">
        <v>8</v>
      </c>
      <c r="G70" s="100">
        <v>69.650000000000006</v>
      </c>
      <c r="H70" s="100">
        <v>24.59</v>
      </c>
      <c r="I70" s="100">
        <v>8.81</v>
      </c>
      <c r="J70" s="100">
        <v>0.28999999999999998</v>
      </c>
      <c r="K70" s="100">
        <v>21.56</v>
      </c>
      <c r="L70" s="100">
        <v>29.55</v>
      </c>
      <c r="M70" s="100">
        <v>25.76</v>
      </c>
      <c r="N70" s="100">
        <v>57.9</v>
      </c>
      <c r="O70" s="100">
        <v>0</v>
      </c>
      <c r="P70" s="100">
        <v>0.66</v>
      </c>
      <c r="Q70" s="100">
        <v>12.97</v>
      </c>
      <c r="R70" s="6"/>
      <c r="S70" s="6"/>
      <c r="T70" s="156"/>
      <c r="U70" s="6"/>
    </row>
    <row r="71" spans="1:21" customFormat="1">
      <c r="A71" s="163" t="s">
        <v>2893</v>
      </c>
      <c r="B71" s="100">
        <v>4.5999999999999996</v>
      </c>
      <c r="C71" s="100">
        <v>29.2</v>
      </c>
      <c r="D71" s="100">
        <v>20.29</v>
      </c>
      <c r="E71" s="100">
        <v>25.55</v>
      </c>
      <c r="F71" s="151" t="s">
        <v>8</v>
      </c>
      <c r="G71" s="100">
        <v>69.64</v>
      </c>
      <c r="H71" s="100">
        <v>24.22</v>
      </c>
      <c r="I71" s="100">
        <v>8.61</v>
      </c>
      <c r="J71" s="100">
        <v>0.46</v>
      </c>
      <c r="K71" s="100">
        <v>41.37</v>
      </c>
      <c r="L71" s="100">
        <v>29.55</v>
      </c>
      <c r="M71" s="100">
        <v>26.63</v>
      </c>
      <c r="N71" s="100">
        <v>49.3</v>
      </c>
      <c r="O71" s="100">
        <v>0</v>
      </c>
      <c r="P71" s="100">
        <v>0.66</v>
      </c>
      <c r="Q71" s="100">
        <v>12.97</v>
      </c>
      <c r="R71" s="6"/>
      <c r="S71" s="6"/>
      <c r="T71" s="156"/>
      <c r="U71" s="6"/>
    </row>
    <row r="72" spans="1:21" customFormat="1">
      <c r="A72" s="163" t="s">
        <v>2894</v>
      </c>
      <c r="B72" s="100">
        <v>4.92</v>
      </c>
      <c r="C72" s="100">
        <v>28.88</v>
      </c>
      <c r="D72" s="100">
        <v>20.39</v>
      </c>
      <c r="E72" s="100">
        <v>25.22</v>
      </c>
      <c r="F72" s="151" t="s">
        <v>8</v>
      </c>
      <c r="G72" s="100">
        <v>69.64</v>
      </c>
      <c r="H72" s="100">
        <v>24.22</v>
      </c>
      <c r="I72" s="100">
        <v>8.42</v>
      </c>
      <c r="J72" s="100">
        <v>0.55000000000000004</v>
      </c>
      <c r="K72" s="100">
        <v>42.08</v>
      </c>
      <c r="L72" s="100">
        <v>29.56</v>
      </c>
      <c r="M72" s="100">
        <v>26.48</v>
      </c>
      <c r="N72" s="100">
        <v>40.9</v>
      </c>
      <c r="O72" s="100">
        <v>0</v>
      </c>
      <c r="P72" s="100">
        <v>0.64</v>
      </c>
      <c r="Q72" s="100">
        <v>12.96</v>
      </c>
      <c r="R72" s="6"/>
      <c r="S72" s="6"/>
      <c r="T72" s="156"/>
      <c r="U72" s="6"/>
    </row>
    <row r="73" spans="1:21" customFormat="1">
      <c r="A73" s="163" t="s">
        <v>2895</v>
      </c>
      <c r="B73" s="100">
        <v>5.08</v>
      </c>
      <c r="C73" s="100">
        <v>28.47</v>
      </c>
      <c r="D73" s="100">
        <v>20.3</v>
      </c>
      <c r="E73" s="100">
        <v>20.83</v>
      </c>
      <c r="F73" s="151" t="s">
        <v>8</v>
      </c>
      <c r="G73" s="100">
        <v>69.64</v>
      </c>
      <c r="H73" s="100">
        <v>24.22</v>
      </c>
      <c r="I73" s="100">
        <v>8.32</v>
      </c>
      <c r="J73" s="100">
        <v>0.27</v>
      </c>
      <c r="K73" s="100">
        <v>71.62</v>
      </c>
      <c r="L73" s="100">
        <v>29.27</v>
      </c>
      <c r="M73" s="100">
        <v>27.46</v>
      </c>
      <c r="N73" s="100">
        <v>35.799999999999997</v>
      </c>
      <c r="O73" s="100">
        <v>0</v>
      </c>
      <c r="P73" s="100">
        <v>0.64</v>
      </c>
      <c r="Q73" s="100">
        <v>12.96</v>
      </c>
      <c r="R73" s="6"/>
      <c r="S73" s="6"/>
      <c r="T73" s="156"/>
      <c r="U73" s="6"/>
    </row>
    <row r="74" spans="1:21" customFormat="1">
      <c r="A74" s="163" t="s">
        <v>2896</v>
      </c>
      <c r="B74" s="100">
        <v>5.17</v>
      </c>
      <c r="C74" s="100">
        <v>27.96</v>
      </c>
      <c r="D74" s="100">
        <v>20.11</v>
      </c>
      <c r="E74" s="100">
        <v>27.16</v>
      </c>
      <c r="F74" s="151" t="s">
        <v>8</v>
      </c>
      <c r="G74" s="100">
        <v>68.09</v>
      </c>
      <c r="H74" s="100">
        <v>24.73</v>
      </c>
      <c r="I74" s="100">
        <v>8.33</v>
      </c>
      <c r="J74" s="100">
        <v>0.35</v>
      </c>
      <c r="K74" s="100">
        <v>53.83</v>
      </c>
      <c r="L74" s="100">
        <v>29.22</v>
      </c>
      <c r="M74" s="100">
        <v>27.78</v>
      </c>
      <c r="N74" s="100">
        <v>36.9</v>
      </c>
      <c r="O74" s="100">
        <v>0</v>
      </c>
      <c r="P74" s="100">
        <v>0.63</v>
      </c>
      <c r="Q74" s="100">
        <v>12.95</v>
      </c>
      <c r="R74" s="6"/>
      <c r="S74" s="6"/>
      <c r="T74" s="156"/>
      <c r="U74" s="6"/>
    </row>
    <row r="75" spans="1:21" customFormat="1">
      <c r="A75" s="163" t="s">
        <v>2897</v>
      </c>
      <c r="B75" s="100">
        <v>5.24</v>
      </c>
      <c r="C75" s="100">
        <v>27.47</v>
      </c>
      <c r="D75" s="100">
        <v>19.899999999999999</v>
      </c>
      <c r="E75" s="100">
        <v>18.93</v>
      </c>
      <c r="F75" s="151" t="s">
        <v>8</v>
      </c>
      <c r="G75" s="100">
        <v>67.150000000000006</v>
      </c>
      <c r="H75" s="100">
        <v>24.84</v>
      </c>
      <c r="I75" s="100">
        <v>8.1300000000000008</v>
      </c>
      <c r="J75" s="100">
        <v>0.41</v>
      </c>
      <c r="K75" s="100">
        <v>50.77</v>
      </c>
      <c r="L75" s="100">
        <v>29.03</v>
      </c>
      <c r="M75" s="100">
        <v>29.36</v>
      </c>
      <c r="N75" s="100">
        <v>28.6</v>
      </c>
      <c r="O75" s="100">
        <v>0</v>
      </c>
      <c r="P75" s="100">
        <v>0.62</v>
      </c>
      <c r="Q75" s="100">
        <v>12.95</v>
      </c>
      <c r="R75" s="6"/>
      <c r="S75" s="6"/>
      <c r="T75" s="156"/>
      <c r="U75" s="6"/>
    </row>
    <row r="76" spans="1:21" customFormat="1">
      <c r="A76" s="163" t="s">
        <v>2898</v>
      </c>
      <c r="B76" s="100">
        <v>5.37</v>
      </c>
      <c r="C76" s="100">
        <v>26.98</v>
      </c>
      <c r="D76" s="100">
        <v>19.760000000000002</v>
      </c>
      <c r="E76" s="100">
        <v>18.82</v>
      </c>
      <c r="F76" s="151" t="s">
        <v>8</v>
      </c>
      <c r="G76" s="100">
        <v>67.150000000000006</v>
      </c>
      <c r="H76" s="100">
        <v>24.84</v>
      </c>
      <c r="I76" s="100">
        <v>8.09</v>
      </c>
      <c r="J76" s="100">
        <v>0.33</v>
      </c>
      <c r="K76" s="100">
        <v>42.72</v>
      </c>
      <c r="L76" s="100">
        <v>28.78</v>
      </c>
      <c r="M76" s="100">
        <v>29.76</v>
      </c>
      <c r="N76" s="100">
        <v>21.7</v>
      </c>
      <c r="O76" s="100">
        <v>0</v>
      </c>
      <c r="P76" s="100">
        <v>0.64</v>
      </c>
      <c r="Q76" s="100">
        <v>12.96</v>
      </c>
      <c r="R76" s="6"/>
      <c r="S76" s="6"/>
      <c r="T76" s="156"/>
      <c r="U76" s="6"/>
    </row>
    <row r="77" spans="1:21" customFormat="1">
      <c r="A77" s="163" t="s">
        <v>2899</v>
      </c>
      <c r="B77" s="100">
        <v>5.54</v>
      </c>
      <c r="C77" s="100">
        <v>26.84</v>
      </c>
      <c r="D77" s="100">
        <v>19.809999999999999</v>
      </c>
      <c r="E77" s="100">
        <v>15.1</v>
      </c>
      <c r="F77" s="151" t="s">
        <v>8</v>
      </c>
      <c r="G77" s="100">
        <v>67.150000000000006</v>
      </c>
      <c r="H77" s="100">
        <v>24.84</v>
      </c>
      <c r="I77" s="100">
        <v>8.1300000000000008</v>
      </c>
      <c r="J77" s="100">
        <v>0.23</v>
      </c>
      <c r="K77" s="100">
        <v>112.08</v>
      </c>
      <c r="L77" s="100">
        <v>28.11</v>
      </c>
      <c r="M77" s="100">
        <v>32.68</v>
      </c>
      <c r="N77" s="100">
        <v>16.2</v>
      </c>
      <c r="O77" s="100">
        <v>0</v>
      </c>
      <c r="P77" s="100">
        <v>0.65</v>
      </c>
      <c r="Q77" s="100">
        <v>12.96</v>
      </c>
      <c r="R77" s="6"/>
      <c r="S77" s="6"/>
      <c r="T77" s="156"/>
      <c r="U77" s="6"/>
    </row>
    <row r="78" spans="1:21" customFormat="1">
      <c r="A78" s="163" t="s">
        <v>2900</v>
      </c>
      <c r="B78" s="100">
        <v>5.6</v>
      </c>
      <c r="C78" s="100">
        <v>26.45</v>
      </c>
      <c r="D78" s="100">
        <v>19.66</v>
      </c>
      <c r="E78" s="100">
        <v>13.85</v>
      </c>
      <c r="F78" s="151" t="s">
        <v>8</v>
      </c>
      <c r="G78" s="100">
        <v>68.430000000000007</v>
      </c>
      <c r="H78" s="100">
        <v>24.02</v>
      </c>
      <c r="I78" s="100">
        <v>8.09</v>
      </c>
      <c r="J78" s="100">
        <v>0.31</v>
      </c>
      <c r="K78" s="100">
        <v>170.65</v>
      </c>
      <c r="L78" s="100">
        <v>26.78</v>
      </c>
      <c r="M78" s="100">
        <v>38.65</v>
      </c>
      <c r="N78" s="100">
        <v>11</v>
      </c>
      <c r="O78" s="100">
        <v>0</v>
      </c>
      <c r="P78" s="100">
        <v>0.65</v>
      </c>
      <c r="Q78" s="100">
        <v>12.97</v>
      </c>
      <c r="R78" s="6"/>
      <c r="S78" s="6"/>
      <c r="T78" s="156"/>
      <c r="U78" s="6"/>
    </row>
    <row r="79" spans="1:21" customFormat="1">
      <c r="A79" s="163" t="s">
        <v>2901</v>
      </c>
      <c r="B79" s="100">
        <v>5.7</v>
      </c>
      <c r="C79" s="100">
        <v>25.94</v>
      </c>
      <c r="D79" s="100">
        <v>19.48</v>
      </c>
      <c r="E79" s="100">
        <v>11.41</v>
      </c>
      <c r="F79" s="151" t="s">
        <v>8</v>
      </c>
      <c r="G79" s="100">
        <v>69.209999999999994</v>
      </c>
      <c r="H79" s="100">
        <v>23.85</v>
      </c>
      <c r="I79" s="100">
        <v>7.99</v>
      </c>
      <c r="J79" s="100">
        <v>0.26</v>
      </c>
      <c r="K79" s="100">
        <v>162.87</v>
      </c>
      <c r="L79" s="100">
        <v>25.45</v>
      </c>
      <c r="M79" s="100">
        <v>46.96</v>
      </c>
      <c r="N79" s="100">
        <v>5.5</v>
      </c>
      <c r="O79" s="100">
        <v>0</v>
      </c>
      <c r="P79" s="100">
        <v>0.65</v>
      </c>
      <c r="Q79" s="100">
        <v>12.96</v>
      </c>
      <c r="R79" s="6"/>
      <c r="S79" s="6"/>
      <c r="T79" s="156"/>
      <c r="U79" s="6"/>
    </row>
    <row r="80" spans="1:21" customFormat="1">
      <c r="A80" s="163" t="s">
        <v>2902</v>
      </c>
      <c r="B80" s="100">
        <v>5.85</v>
      </c>
      <c r="C80" s="100">
        <v>25.35</v>
      </c>
      <c r="D80" s="100">
        <v>19.29</v>
      </c>
      <c r="E80" s="100">
        <v>11.15</v>
      </c>
      <c r="F80" s="151" t="s">
        <v>8</v>
      </c>
      <c r="G80" s="100">
        <v>69.209999999999994</v>
      </c>
      <c r="H80" s="100">
        <v>23.85</v>
      </c>
      <c r="I80" s="100">
        <v>7.97</v>
      </c>
      <c r="J80" s="100">
        <v>0.19</v>
      </c>
      <c r="K80" s="100">
        <v>159.77000000000001</v>
      </c>
      <c r="L80" s="100">
        <v>25.15</v>
      </c>
      <c r="M80" s="100">
        <v>42.7</v>
      </c>
      <c r="N80" s="100">
        <v>2.1</v>
      </c>
      <c r="O80" s="100">
        <v>0</v>
      </c>
      <c r="P80" s="100">
        <v>0.66</v>
      </c>
      <c r="Q80" s="100">
        <v>12.96</v>
      </c>
      <c r="R80" s="6"/>
      <c r="S80" s="6"/>
      <c r="T80" s="156"/>
      <c r="U80" s="6"/>
    </row>
    <row r="81" spans="1:21" customFormat="1">
      <c r="A81" s="163" t="s">
        <v>2903</v>
      </c>
      <c r="B81" s="100">
        <v>6.02</v>
      </c>
      <c r="C81" s="100">
        <v>25.24</v>
      </c>
      <c r="D81" s="100">
        <v>19.37</v>
      </c>
      <c r="E81" s="100">
        <v>11.28</v>
      </c>
      <c r="F81" s="151" t="s">
        <v>8</v>
      </c>
      <c r="G81" s="100">
        <v>69.209999999999994</v>
      </c>
      <c r="H81" s="100">
        <v>23.85</v>
      </c>
      <c r="I81" s="100">
        <v>8.0299999999999994</v>
      </c>
      <c r="J81" s="100">
        <v>0.26</v>
      </c>
      <c r="K81" s="100">
        <v>169.13</v>
      </c>
      <c r="L81" s="100">
        <v>24.49</v>
      </c>
      <c r="M81" s="100">
        <v>51.4</v>
      </c>
      <c r="N81" s="100">
        <v>2.2000000000000002</v>
      </c>
      <c r="O81" s="100">
        <v>0</v>
      </c>
      <c r="P81" s="100">
        <v>0.67</v>
      </c>
      <c r="Q81" s="100">
        <v>12.95</v>
      </c>
      <c r="R81" s="6"/>
      <c r="S81" s="6"/>
      <c r="T81" s="156"/>
      <c r="U81" s="6"/>
    </row>
    <row r="82" spans="1:21" customFormat="1">
      <c r="A82" s="163" t="s">
        <v>2904</v>
      </c>
      <c r="B82" s="100">
        <v>6.21</v>
      </c>
      <c r="C82" s="100">
        <v>25.26</v>
      </c>
      <c r="D82" s="100">
        <v>19.53</v>
      </c>
      <c r="E82" s="100">
        <v>12.29</v>
      </c>
      <c r="F82" s="151" t="s">
        <v>8</v>
      </c>
      <c r="G82" s="100">
        <v>81.010000000000005</v>
      </c>
      <c r="H82" s="100">
        <v>26.85</v>
      </c>
      <c r="I82" s="100">
        <v>8.09</v>
      </c>
      <c r="J82" s="100">
        <v>0.28000000000000003</v>
      </c>
      <c r="K82" s="100">
        <v>161.88999999999999</v>
      </c>
      <c r="L82" s="100">
        <v>23.5</v>
      </c>
      <c r="M82" s="100">
        <v>52.16</v>
      </c>
      <c r="N82" s="100">
        <v>1.7</v>
      </c>
      <c r="O82" s="100">
        <v>0</v>
      </c>
      <c r="P82" s="100">
        <v>0.67</v>
      </c>
      <c r="Q82" s="100">
        <v>12.95</v>
      </c>
      <c r="R82" s="6"/>
      <c r="S82" s="6"/>
      <c r="T82" s="156"/>
      <c r="U82" s="6"/>
    </row>
    <row r="83" spans="1:21" customFormat="1">
      <c r="A83" s="163" t="s">
        <v>2905</v>
      </c>
      <c r="B83" s="100">
        <v>6.37</v>
      </c>
      <c r="C83" s="100">
        <v>25.13</v>
      </c>
      <c r="D83" s="100">
        <v>19.59</v>
      </c>
      <c r="E83" s="100">
        <v>12.51</v>
      </c>
      <c r="F83" s="151" t="s">
        <v>8</v>
      </c>
      <c r="G83" s="100">
        <v>88.17</v>
      </c>
      <c r="H83" s="100">
        <v>27.46</v>
      </c>
      <c r="I83" s="100">
        <v>8.1</v>
      </c>
      <c r="J83" s="100">
        <v>0.17</v>
      </c>
      <c r="K83" s="100">
        <v>163.49</v>
      </c>
      <c r="L83" s="100">
        <v>22.96</v>
      </c>
      <c r="M83" s="100">
        <v>56.66</v>
      </c>
      <c r="N83" s="100">
        <v>1.8</v>
      </c>
      <c r="O83" s="100">
        <v>0</v>
      </c>
      <c r="P83" s="100">
        <v>0.68</v>
      </c>
      <c r="Q83" s="100">
        <v>12.95</v>
      </c>
      <c r="R83" s="6"/>
      <c r="S83" s="6"/>
      <c r="T83" s="156"/>
      <c r="U83" s="6"/>
    </row>
    <row r="84" spans="1:21" customFormat="1">
      <c r="A84" s="163" t="s">
        <v>2906</v>
      </c>
      <c r="B84" s="100">
        <v>6.55</v>
      </c>
      <c r="C84" s="100">
        <v>24.79</v>
      </c>
      <c r="D84" s="100">
        <v>19.559999999999999</v>
      </c>
      <c r="E84" s="100">
        <v>12.38</v>
      </c>
      <c r="F84" s="151" t="s">
        <v>8</v>
      </c>
      <c r="G84" s="100">
        <v>88.17</v>
      </c>
      <c r="H84" s="100">
        <v>27.46</v>
      </c>
      <c r="I84" s="100">
        <v>8.15</v>
      </c>
      <c r="J84" s="100">
        <v>0.19</v>
      </c>
      <c r="K84" s="100">
        <v>172.2</v>
      </c>
      <c r="L84" s="100">
        <v>22.48</v>
      </c>
      <c r="M84" s="100">
        <v>57.5</v>
      </c>
      <c r="N84" s="100">
        <v>1.6</v>
      </c>
      <c r="O84" s="100">
        <v>0</v>
      </c>
      <c r="P84" s="100">
        <v>0.7</v>
      </c>
      <c r="Q84" s="100">
        <v>12.96</v>
      </c>
      <c r="R84" s="6"/>
      <c r="S84" s="6"/>
      <c r="T84" s="156"/>
      <c r="U84" s="6"/>
    </row>
    <row r="85" spans="1:21" customFormat="1">
      <c r="A85" s="163" t="s">
        <v>2907</v>
      </c>
      <c r="B85" s="100">
        <v>6.7</v>
      </c>
      <c r="C85" s="100">
        <v>24.63</v>
      </c>
      <c r="D85" s="100">
        <v>19.59</v>
      </c>
      <c r="E85" s="100">
        <v>12.22</v>
      </c>
      <c r="F85" s="151" t="s">
        <v>8</v>
      </c>
      <c r="G85" s="100">
        <v>88.17</v>
      </c>
      <c r="H85" s="100">
        <v>27.46</v>
      </c>
      <c r="I85" s="100">
        <v>8.1999999999999993</v>
      </c>
      <c r="J85" s="100">
        <v>0.19</v>
      </c>
      <c r="K85" s="100">
        <v>163.89</v>
      </c>
      <c r="L85" s="100">
        <v>22.01</v>
      </c>
      <c r="M85" s="100">
        <v>57.91</v>
      </c>
      <c r="N85" s="100">
        <v>1.4</v>
      </c>
      <c r="O85" s="100">
        <v>0</v>
      </c>
      <c r="P85" s="100">
        <v>0.71</v>
      </c>
      <c r="Q85" s="100">
        <v>12.97</v>
      </c>
      <c r="R85" s="6"/>
      <c r="S85" s="6"/>
      <c r="T85" s="156"/>
      <c r="U85" s="6"/>
    </row>
    <row r="86" spans="1:21" customFormat="1">
      <c r="A86" s="163" t="s">
        <v>2908</v>
      </c>
      <c r="B86" s="100">
        <v>6.84</v>
      </c>
      <c r="C86" s="100">
        <v>24.49</v>
      </c>
      <c r="D86" s="100">
        <v>19.63</v>
      </c>
      <c r="E86" s="100">
        <v>12.57</v>
      </c>
      <c r="F86" s="151" t="s">
        <v>8</v>
      </c>
      <c r="G86" s="100">
        <v>89.32</v>
      </c>
      <c r="H86" s="100">
        <v>25.64</v>
      </c>
      <c r="I86" s="100">
        <v>8.4700000000000006</v>
      </c>
      <c r="J86" s="100">
        <v>0.15</v>
      </c>
      <c r="K86" s="100">
        <v>163.62</v>
      </c>
      <c r="L86" s="100">
        <v>21.76</v>
      </c>
      <c r="M86" s="100">
        <v>60.11</v>
      </c>
      <c r="N86" s="100">
        <v>1.3</v>
      </c>
      <c r="O86" s="100">
        <v>0</v>
      </c>
      <c r="P86" s="100">
        <v>0.71</v>
      </c>
      <c r="Q86" s="100">
        <v>12.96</v>
      </c>
      <c r="R86" s="6"/>
      <c r="S86" s="6"/>
      <c r="T86" s="156"/>
      <c r="U86" s="6"/>
    </row>
    <row r="87" spans="1:21" customFormat="1">
      <c r="A87" s="163" t="s">
        <v>2909</v>
      </c>
      <c r="B87" s="100">
        <v>7.02</v>
      </c>
      <c r="C87" s="100">
        <v>24.43</v>
      </c>
      <c r="D87" s="100">
        <v>19.739999999999998</v>
      </c>
      <c r="E87" s="100">
        <v>12.07</v>
      </c>
      <c r="F87" s="151" t="s">
        <v>8</v>
      </c>
      <c r="G87" s="100">
        <v>90.02</v>
      </c>
      <c r="H87" s="100">
        <v>25.27</v>
      </c>
      <c r="I87" s="100">
        <v>8.4</v>
      </c>
      <c r="J87" s="100">
        <v>0.16</v>
      </c>
      <c r="K87" s="100">
        <v>171.65</v>
      </c>
      <c r="L87" s="100">
        <v>21.76</v>
      </c>
      <c r="M87" s="100">
        <v>55.85</v>
      </c>
      <c r="N87" s="100">
        <v>1.1000000000000001</v>
      </c>
      <c r="O87" s="100">
        <v>0</v>
      </c>
      <c r="P87" s="100">
        <v>0.71</v>
      </c>
      <c r="Q87" s="100">
        <v>12.95</v>
      </c>
      <c r="R87" s="6"/>
      <c r="S87" s="6"/>
      <c r="T87" s="156"/>
      <c r="U87" s="6"/>
    </row>
    <row r="88" spans="1:21" customFormat="1">
      <c r="A88" s="163" t="s">
        <v>2910</v>
      </c>
      <c r="B88" s="100">
        <v>7.52</v>
      </c>
      <c r="C88" s="100">
        <v>24.8</v>
      </c>
      <c r="D88" s="100">
        <v>20.34</v>
      </c>
      <c r="E88" s="100">
        <v>12.16</v>
      </c>
      <c r="F88" s="151" t="s">
        <v>8</v>
      </c>
      <c r="G88" s="100">
        <v>90.02</v>
      </c>
      <c r="H88" s="100">
        <v>25.27</v>
      </c>
      <c r="I88" s="100">
        <v>8.4</v>
      </c>
      <c r="J88" s="100">
        <v>0.23</v>
      </c>
      <c r="K88" s="100">
        <v>169.6</v>
      </c>
      <c r="L88" s="100">
        <v>21.45</v>
      </c>
      <c r="M88" s="100">
        <v>62.46</v>
      </c>
      <c r="N88" s="100">
        <v>1.5</v>
      </c>
      <c r="O88" s="100">
        <v>0</v>
      </c>
      <c r="P88" s="100">
        <v>0.73</v>
      </c>
      <c r="Q88" s="100">
        <v>12.96</v>
      </c>
      <c r="R88" s="6"/>
      <c r="S88" s="6"/>
      <c r="T88" s="156"/>
      <c r="U88" s="6"/>
    </row>
    <row r="89" spans="1:21" customFormat="1">
      <c r="A89" s="163" t="s">
        <v>2911</v>
      </c>
      <c r="B89" s="100">
        <v>7.69</v>
      </c>
      <c r="C89" s="100">
        <v>24.87</v>
      </c>
      <c r="D89" s="100">
        <v>20.51</v>
      </c>
      <c r="E89" s="100">
        <v>12.2</v>
      </c>
      <c r="F89" s="151" t="s">
        <v>8</v>
      </c>
      <c r="G89" s="100">
        <v>90.02</v>
      </c>
      <c r="H89" s="100">
        <v>25.27</v>
      </c>
      <c r="I89" s="100">
        <v>8.7100000000000009</v>
      </c>
      <c r="J89" s="100">
        <v>0.2</v>
      </c>
      <c r="K89" s="100">
        <v>163.97</v>
      </c>
      <c r="L89" s="100">
        <v>20.86</v>
      </c>
      <c r="M89" s="100">
        <v>65.67</v>
      </c>
      <c r="N89" s="100">
        <v>1.4</v>
      </c>
      <c r="O89" s="100">
        <v>0</v>
      </c>
      <c r="P89" s="100">
        <v>0.73</v>
      </c>
      <c r="Q89" s="100">
        <v>12.96</v>
      </c>
      <c r="R89" s="6"/>
      <c r="S89" s="6"/>
      <c r="T89" s="156"/>
      <c r="U89" s="6"/>
    </row>
    <row r="90" spans="1:21" customFormat="1">
      <c r="A90" s="163" t="s">
        <v>2912</v>
      </c>
      <c r="B90" s="100">
        <v>7.64</v>
      </c>
      <c r="C90" s="100">
        <v>24.73</v>
      </c>
      <c r="D90" s="100">
        <v>20.399999999999999</v>
      </c>
      <c r="E90" s="100">
        <v>12.37</v>
      </c>
      <c r="F90" s="151" t="s">
        <v>8</v>
      </c>
      <c r="G90" s="100">
        <v>88.48</v>
      </c>
      <c r="H90" s="100">
        <v>25.02</v>
      </c>
      <c r="I90" s="100">
        <v>8.9</v>
      </c>
      <c r="J90" s="100">
        <v>0.22</v>
      </c>
      <c r="K90" s="100">
        <v>163.07</v>
      </c>
      <c r="L90" s="100">
        <v>20.73</v>
      </c>
      <c r="M90" s="100">
        <v>67.63</v>
      </c>
      <c r="N90" s="100">
        <v>1.3</v>
      </c>
      <c r="O90" s="100">
        <v>0</v>
      </c>
      <c r="P90" s="100">
        <v>0.75</v>
      </c>
      <c r="Q90" s="100">
        <v>12.96</v>
      </c>
      <c r="R90" s="6"/>
      <c r="S90" s="6"/>
      <c r="T90" s="156"/>
      <c r="U90" s="6"/>
    </row>
    <row r="91" spans="1:21" customFormat="1">
      <c r="A91" s="163" t="s">
        <v>2913</v>
      </c>
      <c r="B91" s="100">
        <v>7.4</v>
      </c>
      <c r="C91" s="100">
        <v>24.8</v>
      </c>
      <c r="D91" s="100">
        <v>20.239999999999998</v>
      </c>
      <c r="E91" s="100">
        <v>11.77</v>
      </c>
      <c r="F91" s="151" t="s">
        <v>8</v>
      </c>
      <c r="G91" s="100">
        <v>87.54</v>
      </c>
      <c r="H91" s="100">
        <v>24.93</v>
      </c>
      <c r="I91" s="100">
        <v>8.99</v>
      </c>
      <c r="J91" s="100">
        <v>0.14000000000000001</v>
      </c>
      <c r="K91" s="100">
        <v>200.8</v>
      </c>
      <c r="L91" s="100">
        <v>20.49</v>
      </c>
      <c r="M91" s="100">
        <v>65.78</v>
      </c>
      <c r="N91" s="100">
        <v>1.3</v>
      </c>
      <c r="O91" s="100">
        <v>0</v>
      </c>
      <c r="P91" s="100">
        <v>0.76</v>
      </c>
      <c r="Q91" s="100">
        <v>12.96</v>
      </c>
      <c r="R91" s="6"/>
      <c r="S91" s="6"/>
      <c r="T91" s="156"/>
      <c r="U91" s="6"/>
    </row>
    <row r="92" spans="1:21" customFormat="1">
      <c r="A92" s="163" t="s">
        <v>2914</v>
      </c>
      <c r="B92" s="100">
        <v>7.12</v>
      </c>
      <c r="C92" s="100">
        <v>24.87</v>
      </c>
      <c r="D92" s="100">
        <v>20.05</v>
      </c>
      <c r="E92" s="100">
        <v>11.9</v>
      </c>
      <c r="F92" s="151" t="s">
        <v>8</v>
      </c>
      <c r="G92" s="100">
        <v>87.54</v>
      </c>
      <c r="H92" s="100">
        <v>24.93</v>
      </c>
      <c r="I92" s="100">
        <v>9.2100000000000009</v>
      </c>
      <c r="J92" s="100">
        <v>0.14000000000000001</v>
      </c>
      <c r="K92" s="100">
        <v>196.18</v>
      </c>
      <c r="L92" s="100">
        <v>20.16</v>
      </c>
      <c r="M92" s="100">
        <v>62.76</v>
      </c>
      <c r="N92" s="100">
        <v>1.3</v>
      </c>
      <c r="O92" s="100">
        <v>0</v>
      </c>
      <c r="P92" s="100">
        <v>0.77</v>
      </c>
      <c r="Q92" s="100">
        <v>13</v>
      </c>
      <c r="R92" s="6"/>
      <c r="S92" s="6"/>
      <c r="T92" s="156"/>
      <c r="U92" s="6"/>
    </row>
    <row r="93" spans="1:21" customFormat="1">
      <c r="A93" s="163" t="s">
        <v>2915</v>
      </c>
      <c r="B93" s="100">
        <v>6.83</v>
      </c>
      <c r="C93" s="100">
        <v>25.13</v>
      </c>
      <c r="D93" s="100">
        <v>19.96</v>
      </c>
      <c r="E93" s="100">
        <v>11.71</v>
      </c>
      <c r="F93" s="151" t="s">
        <v>8</v>
      </c>
      <c r="G93" s="100">
        <v>87.54</v>
      </c>
      <c r="H93" s="100">
        <v>24.93</v>
      </c>
      <c r="I93" s="100">
        <v>9.4499999999999993</v>
      </c>
      <c r="J93" s="100">
        <v>0.26</v>
      </c>
      <c r="K93" s="100">
        <v>162.85</v>
      </c>
      <c r="L93" s="100">
        <v>20.16</v>
      </c>
      <c r="M93" s="100">
        <v>67.27</v>
      </c>
      <c r="N93" s="100">
        <v>1.2</v>
      </c>
      <c r="O93" s="100">
        <v>0</v>
      </c>
      <c r="P93" s="100">
        <v>0.78</v>
      </c>
      <c r="Q93" s="100">
        <v>13.03</v>
      </c>
      <c r="R93" s="6"/>
      <c r="S93" s="6"/>
      <c r="T93" s="156"/>
      <c r="U93" s="6"/>
    </row>
    <row r="94" spans="1:21" customFormat="1">
      <c r="A94" s="163" t="s">
        <v>2916</v>
      </c>
      <c r="B94" s="100">
        <v>6.68</v>
      </c>
      <c r="C94" s="100">
        <v>25.3</v>
      </c>
      <c r="D94" s="100">
        <v>19.93</v>
      </c>
      <c r="E94" s="100">
        <v>11.77</v>
      </c>
      <c r="F94" s="151" t="s">
        <v>8</v>
      </c>
      <c r="G94" s="100">
        <v>89.76</v>
      </c>
      <c r="H94" s="100">
        <v>22.56</v>
      </c>
      <c r="I94" s="100">
        <v>9.7799999999999994</v>
      </c>
      <c r="J94" s="100">
        <v>0.2</v>
      </c>
      <c r="K94" s="100">
        <v>153.85</v>
      </c>
      <c r="L94" s="100">
        <v>19.78</v>
      </c>
      <c r="M94" s="100">
        <v>70.650000000000006</v>
      </c>
      <c r="N94" s="100">
        <v>1.3</v>
      </c>
      <c r="O94" s="100">
        <v>0</v>
      </c>
      <c r="P94" s="100">
        <v>0.78</v>
      </c>
      <c r="Q94" s="100">
        <v>13.03</v>
      </c>
      <c r="R94" s="6"/>
      <c r="S94" s="6"/>
      <c r="T94" s="156"/>
      <c r="U94" s="6"/>
    </row>
    <row r="95" spans="1:21" customFormat="1">
      <c r="A95" s="163" t="s">
        <v>2917</v>
      </c>
      <c r="B95" s="100">
        <v>6.78</v>
      </c>
      <c r="C95" s="100">
        <v>25.47</v>
      </c>
      <c r="D95" s="100">
        <v>20.100000000000001</v>
      </c>
      <c r="E95" s="100">
        <v>12.33</v>
      </c>
      <c r="F95" s="151" t="s">
        <v>8</v>
      </c>
      <c r="G95" s="100">
        <v>91.11</v>
      </c>
      <c r="H95" s="100">
        <v>22.07</v>
      </c>
      <c r="I95" s="100">
        <v>10.029999999999999</v>
      </c>
      <c r="J95" s="100">
        <v>0.24</v>
      </c>
      <c r="K95" s="100">
        <v>137.80000000000001</v>
      </c>
      <c r="L95" s="100">
        <v>19.87</v>
      </c>
      <c r="M95" s="100">
        <v>66.92</v>
      </c>
      <c r="N95" s="100">
        <v>1.1000000000000001</v>
      </c>
      <c r="O95" s="100">
        <v>0</v>
      </c>
      <c r="P95" s="100">
        <v>0.79</v>
      </c>
      <c r="Q95" s="100">
        <v>13.02</v>
      </c>
      <c r="R95" s="6"/>
      <c r="S95" s="6"/>
      <c r="T95" s="156"/>
      <c r="U95" s="6"/>
    </row>
    <row r="96" spans="1:21" customFormat="1">
      <c r="A96" s="163" t="s">
        <v>2918</v>
      </c>
      <c r="B96" s="100">
        <v>7.81</v>
      </c>
      <c r="C96" s="100">
        <v>26.06</v>
      </c>
      <c r="D96" s="100">
        <v>21.23</v>
      </c>
      <c r="E96" s="100">
        <v>12.09</v>
      </c>
      <c r="F96" s="151" t="s">
        <v>8</v>
      </c>
      <c r="G96" s="100">
        <v>91.11</v>
      </c>
      <c r="H96" s="100">
        <v>22.07</v>
      </c>
      <c r="I96" s="100">
        <v>10.29</v>
      </c>
      <c r="J96" s="100">
        <v>0.59</v>
      </c>
      <c r="K96" s="100">
        <v>64.52</v>
      </c>
      <c r="L96" s="100">
        <v>20.45</v>
      </c>
      <c r="M96" s="100">
        <v>61.7</v>
      </c>
      <c r="N96" s="100">
        <v>0.4</v>
      </c>
      <c r="O96" s="100">
        <v>0</v>
      </c>
      <c r="P96" s="100">
        <v>0.82</v>
      </c>
      <c r="Q96" s="100">
        <v>13.02</v>
      </c>
      <c r="R96" s="6"/>
      <c r="S96" s="6"/>
      <c r="T96" s="156"/>
      <c r="U96" s="6"/>
    </row>
    <row r="97" spans="1:28" customFormat="1">
      <c r="A97" s="163" t="s">
        <v>2919</v>
      </c>
      <c r="B97" s="100">
        <v>10.99</v>
      </c>
      <c r="C97" s="100">
        <v>27.29</v>
      </c>
      <c r="D97" s="100">
        <v>24.42</v>
      </c>
      <c r="E97" s="100">
        <v>11.83</v>
      </c>
      <c r="F97" s="151" t="s">
        <v>8</v>
      </c>
      <c r="G97" s="100">
        <v>91.11</v>
      </c>
      <c r="H97" s="100">
        <v>22.07</v>
      </c>
      <c r="I97" s="100">
        <v>10.51</v>
      </c>
      <c r="J97" s="100">
        <v>0.05</v>
      </c>
      <c r="K97" s="100">
        <v>173.74</v>
      </c>
      <c r="L97" s="100">
        <v>20.69</v>
      </c>
      <c r="M97" s="100">
        <v>61.92</v>
      </c>
      <c r="N97" s="100">
        <v>1.1000000000000001</v>
      </c>
      <c r="O97" s="100">
        <v>0</v>
      </c>
      <c r="P97" s="100">
        <v>0.86</v>
      </c>
      <c r="Q97" s="100">
        <v>12.99</v>
      </c>
      <c r="R97" s="6"/>
      <c r="S97" s="6"/>
      <c r="T97" s="156"/>
      <c r="U97" s="6"/>
    </row>
    <row r="98" spans="1:28" customFormat="1">
      <c r="A98" s="163" t="s">
        <v>2920</v>
      </c>
      <c r="B98" s="100">
        <v>13.85</v>
      </c>
      <c r="C98" s="100">
        <v>28.54</v>
      </c>
      <c r="D98" s="100">
        <v>27.37</v>
      </c>
      <c r="E98" s="100">
        <v>12.16</v>
      </c>
      <c r="F98" s="151" t="s">
        <v>8</v>
      </c>
      <c r="G98" s="100">
        <v>102.27</v>
      </c>
      <c r="H98" s="100">
        <v>27.88</v>
      </c>
      <c r="I98" s="100">
        <v>10.85</v>
      </c>
      <c r="J98" s="100">
        <v>0.11</v>
      </c>
      <c r="K98" s="100">
        <v>190.2</v>
      </c>
      <c r="L98" s="100">
        <v>20.399999999999999</v>
      </c>
      <c r="M98" s="100">
        <v>61.78</v>
      </c>
      <c r="N98" s="100">
        <v>1.3</v>
      </c>
      <c r="O98" s="100">
        <v>0</v>
      </c>
      <c r="P98" s="100">
        <v>0.9</v>
      </c>
      <c r="Q98" s="100">
        <v>13.01</v>
      </c>
      <c r="R98" s="6"/>
      <c r="S98" s="6"/>
      <c r="T98" s="156"/>
      <c r="U98" s="6"/>
    </row>
    <row r="99" spans="1:28" customFormat="1">
      <c r="A99" s="163" t="s">
        <v>2921</v>
      </c>
      <c r="B99" s="100">
        <v>16</v>
      </c>
      <c r="C99" s="100">
        <v>29.64</v>
      </c>
      <c r="D99" s="100">
        <v>29.67</v>
      </c>
      <c r="E99" s="100">
        <v>11.53</v>
      </c>
      <c r="F99" s="151" t="s">
        <v>8</v>
      </c>
      <c r="G99" s="100">
        <v>109.05</v>
      </c>
      <c r="H99" s="100">
        <v>29.07</v>
      </c>
      <c r="I99" s="100">
        <v>11.34</v>
      </c>
      <c r="J99" s="100">
        <v>0.11</v>
      </c>
      <c r="K99" s="100">
        <v>136.12</v>
      </c>
      <c r="L99" s="100">
        <v>20.05</v>
      </c>
      <c r="M99" s="100">
        <v>64.16</v>
      </c>
      <c r="N99" s="100">
        <v>1.4</v>
      </c>
      <c r="O99" s="100">
        <v>0</v>
      </c>
      <c r="P99" s="100">
        <v>0.93</v>
      </c>
      <c r="Q99" s="100">
        <v>13.01</v>
      </c>
      <c r="R99" s="6"/>
      <c r="S99" s="6"/>
      <c r="T99" s="156"/>
      <c r="U99" s="6"/>
    </row>
    <row r="100" spans="1:28" customFormat="1">
      <c r="A100" s="163" t="s">
        <v>2922</v>
      </c>
      <c r="B100" s="100">
        <v>18.149999999999999</v>
      </c>
      <c r="C100" s="100">
        <v>30.67</v>
      </c>
      <c r="D100" s="100">
        <v>31.92</v>
      </c>
      <c r="E100" s="100">
        <v>11.87</v>
      </c>
      <c r="F100" s="151" t="s">
        <v>8</v>
      </c>
      <c r="G100" s="100">
        <v>109.05</v>
      </c>
      <c r="H100" s="100">
        <v>29.07</v>
      </c>
      <c r="I100" s="100">
        <v>11.77</v>
      </c>
      <c r="J100" s="100">
        <v>0.14000000000000001</v>
      </c>
      <c r="K100" s="100">
        <v>126.13</v>
      </c>
      <c r="L100" s="100">
        <v>20.079999999999998</v>
      </c>
      <c r="M100" s="100">
        <v>64.7</v>
      </c>
      <c r="N100" s="100">
        <v>1.2</v>
      </c>
      <c r="O100" s="100">
        <v>0</v>
      </c>
      <c r="P100" s="100">
        <v>0.95</v>
      </c>
      <c r="Q100" s="100">
        <v>13.01</v>
      </c>
      <c r="R100" s="6"/>
      <c r="S100" s="6"/>
      <c r="T100" s="156"/>
      <c r="U100" s="6"/>
      <c r="AB100" s="161"/>
    </row>
    <row r="101" spans="1:28" customFormat="1">
      <c r="A101" s="163" t="s">
        <v>2923</v>
      </c>
      <c r="B101" s="100">
        <v>19.91</v>
      </c>
      <c r="C101" s="100">
        <v>31.27</v>
      </c>
      <c r="D101" s="100">
        <v>33.659999999999997</v>
      </c>
      <c r="E101" s="100">
        <v>12.07</v>
      </c>
      <c r="F101" s="151" t="s">
        <v>8</v>
      </c>
      <c r="G101" s="100">
        <v>109.05</v>
      </c>
      <c r="H101" s="100">
        <v>29.07</v>
      </c>
      <c r="I101" s="100">
        <v>12.08</v>
      </c>
      <c r="J101" s="100">
        <v>0.16</v>
      </c>
      <c r="K101" s="100">
        <v>182.41</v>
      </c>
      <c r="L101" s="100">
        <v>19.53</v>
      </c>
      <c r="M101" s="100">
        <v>68.7</v>
      </c>
      <c r="N101" s="100">
        <v>1.5</v>
      </c>
      <c r="O101" s="100">
        <v>0</v>
      </c>
      <c r="P101" s="100">
        <v>0.97</v>
      </c>
      <c r="Q101" s="100">
        <v>13.02</v>
      </c>
      <c r="R101" s="6"/>
      <c r="S101" s="6"/>
      <c r="T101" s="156"/>
      <c r="U101" s="6"/>
    </row>
    <row r="102" spans="1:28" customFormat="1">
      <c r="A102" s="163" t="s">
        <v>2924</v>
      </c>
      <c r="B102" s="100">
        <v>20.86</v>
      </c>
      <c r="C102" s="100">
        <v>31.59</v>
      </c>
      <c r="D102" s="100">
        <v>34.58</v>
      </c>
      <c r="E102" s="100">
        <v>11.75</v>
      </c>
      <c r="F102" s="151" t="s">
        <v>8</v>
      </c>
      <c r="G102" s="100">
        <v>120.85</v>
      </c>
      <c r="H102" s="100">
        <v>29.27</v>
      </c>
      <c r="I102" s="100">
        <v>12.31</v>
      </c>
      <c r="J102" s="100">
        <v>0.21</v>
      </c>
      <c r="K102" s="100">
        <v>185.41</v>
      </c>
      <c r="L102" s="100">
        <v>19.18</v>
      </c>
      <c r="M102" s="100">
        <v>72.45</v>
      </c>
      <c r="N102" s="100">
        <v>1.4</v>
      </c>
      <c r="O102" s="100">
        <v>0</v>
      </c>
      <c r="P102" s="100">
        <v>0.98</v>
      </c>
      <c r="Q102" s="100">
        <v>13.04</v>
      </c>
      <c r="R102" s="6"/>
      <c r="S102" s="6"/>
      <c r="T102" s="156"/>
      <c r="U102" s="6"/>
    </row>
    <row r="103" spans="1:28" customFormat="1">
      <c r="A103" s="163" t="s">
        <v>2925</v>
      </c>
      <c r="B103" s="100">
        <v>21.55</v>
      </c>
      <c r="C103" s="100">
        <v>31.83</v>
      </c>
      <c r="D103" s="100">
        <v>35.270000000000003</v>
      </c>
      <c r="E103" s="100">
        <v>11.71</v>
      </c>
      <c r="F103" s="151" t="s">
        <v>8</v>
      </c>
      <c r="G103" s="100">
        <v>128.02000000000001</v>
      </c>
      <c r="H103" s="100">
        <v>29.31</v>
      </c>
      <c r="I103" s="100">
        <v>12.46</v>
      </c>
      <c r="J103" s="100">
        <v>0.2</v>
      </c>
      <c r="K103" s="100">
        <v>175.42</v>
      </c>
      <c r="L103" s="100">
        <v>18.739999999999998</v>
      </c>
      <c r="M103" s="100">
        <v>73.62</v>
      </c>
      <c r="N103" s="100">
        <v>1.5</v>
      </c>
      <c r="O103" s="100">
        <v>0</v>
      </c>
      <c r="P103" s="100">
        <v>1</v>
      </c>
      <c r="Q103" s="100">
        <v>13.04</v>
      </c>
      <c r="R103" s="6"/>
      <c r="S103" s="6"/>
      <c r="T103" s="156"/>
      <c r="U103" s="6"/>
    </row>
    <row r="104" spans="1:28" customFormat="1">
      <c r="A104" s="163" t="s">
        <v>2926</v>
      </c>
      <c r="B104" s="100">
        <v>22.28</v>
      </c>
      <c r="C104" s="100">
        <v>31.92</v>
      </c>
      <c r="D104" s="100">
        <v>35.89</v>
      </c>
      <c r="E104" s="100">
        <v>11.98</v>
      </c>
      <c r="F104" s="151" t="s">
        <v>8</v>
      </c>
      <c r="G104" s="100">
        <v>128.02000000000001</v>
      </c>
      <c r="H104" s="100">
        <v>29.31</v>
      </c>
      <c r="I104" s="100">
        <v>12.7</v>
      </c>
      <c r="J104" s="100">
        <v>0.21</v>
      </c>
      <c r="K104" s="100">
        <v>161.08000000000001</v>
      </c>
      <c r="L104" s="100">
        <v>18.78</v>
      </c>
      <c r="M104" s="100">
        <v>73.47</v>
      </c>
      <c r="N104" s="100">
        <v>1.2</v>
      </c>
      <c r="O104" s="100">
        <v>0</v>
      </c>
      <c r="P104" s="100">
        <v>1.01</v>
      </c>
      <c r="Q104" s="100">
        <v>13.04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4.1399999999999997</v>
      </c>
      <c r="C106" s="158">
        <f>MIN(C9:C104)</f>
        <v>24.43</v>
      </c>
      <c r="D106" s="158">
        <f t="shared" ref="D106:Q106" si="0">MIN(D9:D104)</f>
        <v>19.29</v>
      </c>
      <c r="E106" s="158">
        <f t="shared" si="0"/>
        <v>7.39</v>
      </c>
      <c r="F106" s="158">
        <f t="shared" si="0"/>
        <v>0</v>
      </c>
      <c r="G106" s="158">
        <f t="shared" si="0"/>
        <v>67.150000000000006</v>
      </c>
      <c r="H106" s="158">
        <f t="shared" si="0"/>
        <v>20.78</v>
      </c>
      <c r="I106" s="158">
        <f t="shared" si="0"/>
        <v>7.97</v>
      </c>
      <c r="J106" s="158">
        <f t="shared" si="0"/>
        <v>0.04</v>
      </c>
      <c r="K106" s="158">
        <f t="shared" si="0"/>
        <v>18.940000000000001</v>
      </c>
      <c r="L106" s="158">
        <f t="shared" si="0"/>
        <v>13.49</v>
      </c>
      <c r="M106" s="158">
        <f t="shared" si="0"/>
        <v>22.86</v>
      </c>
      <c r="N106" s="158">
        <f t="shared" si="0"/>
        <v>0.4</v>
      </c>
      <c r="O106" s="158">
        <f t="shared" si="0"/>
        <v>0</v>
      </c>
      <c r="P106" s="158">
        <f t="shared" si="0"/>
        <v>0.62</v>
      </c>
      <c r="Q106" s="158">
        <f t="shared" si="0"/>
        <v>12.94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36.590000000000003</v>
      </c>
      <c r="C107" s="157">
        <f t="shared" ref="C107:Q107" si="1">MAX(C9:C104)</f>
        <v>31.92</v>
      </c>
      <c r="D107" s="157">
        <f t="shared" si="1"/>
        <v>43.99</v>
      </c>
      <c r="E107" s="157">
        <f t="shared" si="1"/>
        <v>27.16</v>
      </c>
      <c r="F107" s="157">
        <f t="shared" si="1"/>
        <v>0</v>
      </c>
      <c r="G107" s="157">
        <f t="shared" si="1"/>
        <v>128.02000000000001</v>
      </c>
      <c r="H107" s="157">
        <f t="shared" si="1"/>
        <v>29.31</v>
      </c>
      <c r="I107" s="157">
        <f t="shared" si="1"/>
        <v>14.31</v>
      </c>
      <c r="J107" s="157">
        <f t="shared" si="1"/>
        <v>0.91</v>
      </c>
      <c r="K107" s="157">
        <f t="shared" si="1"/>
        <v>266.43</v>
      </c>
      <c r="L107" s="157">
        <f t="shared" si="1"/>
        <v>30.5</v>
      </c>
      <c r="M107" s="157">
        <f t="shared" si="1"/>
        <v>89.4</v>
      </c>
      <c r="N107" s="157">
        <f t="shared" si="1"/>
        <v>417.2</v>
      </c>
      <c r="O107" s="157">
        <f t="shared" si="1"/>
        <v>0</v>
      </c>
      <c r="P107" s="157">
        <f t="shared" si="1"/>
        <v>1.1000000000000001</v>
      </c>
      <c r="Q107" s="157">
        <f t="shared" si="1"/>
        <v>13.08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16.129062499999993</v>
      </c>
      <c r="C108" s="158">
        <f t="shared" ref="C108:Q108" si="2">AVERAGE(C9:C104)</f>
        <v>27.469895833333339</v>
      </c>
      <c r="D108" s="158">
        <f t="shared" si="2"/>
        <v>28.637604166666666</v>
      </c>
      <c r="E108" s="158">
        <f t="shared" si="2"/>
        <v>11.403958333333334</v>
      </c>
      <c r="F108" s="158" t="e">
        <f t="shared" si="2"/>
        <v>#DIV/0!</v>
      </c>
      <c r="G108" s="158">
        <f t="shared" si="2"/>
        <v>88.740000000000009</v>
      </c>
      <c r="H108" s="158">
        <f t="shared" si="2"/>
        <v>25.098645833333332</v>
      </c>
      <c r="I108" s="158">
        <f t="shared" si="2"/>
        <v>11.315729166666669</v>
      </c>
      <c r="J108" s="158">
        <f t="shared" si="2"/>
        <v>0.33447916666666672</v>
      </c>
      <c r="K108" s="158">
        <f t="shared" si="2"/>
        <v>117.80968750000004</v>
      </c>
      <c r="L108" s="158">
        <f t="shared" si="2"/>
        <v>21.608437500000004</v>
      </c>
      <c r="M108" s="158">
        <f t="shared" si="2"/>
        <v>55.274062500000007</v>
      </c>
      <c r="N108" s="158">
        <f t="shared" si="2"/>
        <v>94.01354166666664</v>
      </c>
      <c r="O108" s="158">
        <f t="shared" si="2"/>
        <v>0</v>
      </c>
      <c r="P108" s="158">
        <f t="shared" si="2"/>
        <v>0.87687500000000007</v>
      </c>
      <c r="Q108" s="158">
        <f t="shared" si="2"/>
        <v>13.000416666666679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11.163026290121683</v>
      </c>
      <c r="C109" s="158">
        <f t="shared" ref="C109:Q109" si="3">STDEV(C9:C104)</f>
        <v>2.3484388968404057</v>
      </c>
      <c r="D109" s="158">
        <f t="shared" si="3"/>
        <v>8.9140417609157687</v>
      </c>
      <c r="E109" s="158">
        <f t="shared" si="3"/>
        <v>4.0034291825007005</v>
      </c>
      <c r="F109" s="158" t="e">
        <f t="shared" si="3"/>
        <v>#DIV/0!</v>
      </c>
      <c r="G109" s="158">
        <f t="shared" si="3"/>
        <v>14.061297911194789</v>
      </c>
      <c r="H109" s="158">
        <f t="shared" si="3"/>
        <v>2.1028124624400011</v>
      </c>
      <c r="I109" s="158">
        <f t="shared" si="3"/>
        <v>2.1721009692493616</v>
      </c>
      <c r="J109" s="158">
        <f t="shared" si="3"/>
        <v>0.21907878799846695</v>
      </c>
      <c r="K109" s="158">
        <f t="shared" si="3"/>
        <v>60.998406630667517</v>
      </c>
      <c r="L109" s="158">
        <f t="shared" si="3"/>
        <v>5.5500784874725202</v>
      </c>
      <c r="M109" s="158">
        <f t="shared" si="3"/>
        <v>22.530519398695596</v>
      </c>
      <c r="N109" s="158">
        <f t="shared" si="3"/>
        <v>147.97524090183518</v>
      </c>
      <c r="O109" s="158">
        <f t="shared" si="3"/>
        <v>0</v>
      </c>
      <c r="P109" s="158">
        <f t="shared" si="3"/>
        <v>0.1604553553254974</v>
      </c>
      <c r="Q109" s="158">
        <f t="shared" si="3"/>
        <v>3.8849687844486301E-2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topLeftCell="A94" workbookViewId="0">
      <selection activeCell="F111" sqref="F111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29/01/2025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5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>
      <c r="A9" s="163" t="s">
        <v>2927</v>
      </c>
      <c r="B9" s="100">
        <v>22.61</v>
      </c>
      <c r="C9" s="100">
        <v>31.48</v>
      </c>
      <c r="D9" s="100">
        <v>35.93</v>
      </c>
      <c r="E9" s="100">
        <v>11.54</v>
      </c>
      <c r="F9" s="151" t="s">
        <v>8</v>
      </c>
      <c r="G9" s="100">
        <v>128.02000000000001</v>
      </c>
      <c r="H9" s="100">
        <v>29.31</v>
      </c>
      <c r="I9" s="100">
        <v>12.9</v>
      </c>
      <c r="J9" s="100">
        <v>0.19</v>
      </c>
      <c r="K9" s="100">
        <v>172.6</v>
      </c>
      <c r="L9" s="100">
        <v>18.309999999999999</v>
      </c>
      <c r="M9" s="100">
        <v>77.16</v>
      </c>
      <c r="N9" s="100">
        <v>1.5</v>
      </c>
      <c r="O9" s="100">
        <v>0</v>
      </c>
      <c r="P9" s="100">
        <v>1.02</v>
      </c>
      <c r="Q9" s="100">
        <v>13.08</v>
      </c>
      <c r="R9" s="6"/>
      <c r="S9" s="6"/>
      <c r="T9" s="156"/>
      <c r="U9" s="6"/>
    </row>
    <row r="10" spans="1:21">
      <c r="A10" s="163" t="s">
        <v>2928</v>
      </c>
      <c r="B10" s="100">
        <v>22.82</v>
      </c>
      <c r="C10" s="100">
        <v>31.68</v>
      </c>
      <c r="D10" s="100">
        <v>36.200000000000003</v>
      </c>
      <c r="E10" s="100">
        <v>11.86</v>
      </c>
      <c r="F10" s="151" t="s">
        <v>8</v>
      </c>
      <c r="G10" s="100">
        <v>131.83000000000001</v>
      </c>
      <c r="H10" s="100">
        <v>30.87</v>
      </c>
      <c r="I10" s="100">
        <v>13.17</v>
      </c>
      <c r="J10" s="100">
        <v>0.18</v>
      </c>
      <c r="K10" s="100">
        <v>185.91</v>
      </c>
      <c r="L10" s="100">
        <v>18.07</v>
      </c>
      <c r="M10" s="100">
        <v>76.959999999999994</v>
      </c>
      <c r="N10" s="100">
        <v>1.3</v>
      </c>
      <c r="O10" s="100">
        <v>0</v>
      </c>
      <c r="P10" s="100">
        <v>1.02</v>
      </c>
      <c r="Q10" s="100">
        <v>13.06</v>
      </c>
      <c r="R10" s="6"/>
      <c r="S10" s="6"/>
      <c r="T10" s="156"/>
      <c r="U10" s="6"/>
    </row>
    <row r="11" spans="1:21">
      <c r="A11" s="163" t="s">
        <v>2929</v>
      </c>
      <c r="B11" s="100">
        <v>22.98</v>
      </c>
      <c r="C11" s="100">
        <v>31.64</v>
      </c>
      <c r="D11" s="100">
        <v>36.31</v>
      </c>
      <c r="E11" s="100">
        <v>11.48</v>
      </c>
      <c r="F11" s="151" t="s">
        <v>8</v>
      </c>
      <c r="G11" s="100">
        <v>134.15</v>
      </c>
      <c r="H11" s="100">
        <v>31.18</v>
      </c>
      <c r="I11" s="100">
        <v>13.4</v>
      </c>
      <c r="J11" s="100">
        <v>0.23</v>
      </c>
      <c r="K11" s="100">
        <v>209.3</v>
      </c>
      <c r="L11" s="100">
        <v>17.600000000000001</v>
      </c>
      <c r="M11" s="100">
        <v>79.650000000000006</v>
      </c>
      <c r="N11" s="100">
        <v>1.5</v>
      </c>
      <c r="O11" s="100">
        <v>0</v>
      </c>
      <c r="P11" s="100">
        <v>1.02</v>
      </c>
      <c r="Q11" s="100">
        <v>13.07</v>
      </c>
      <c r="R11" s="6"/>
      <c r="S11" s="6"/>
      <c r="T11" s="156"/>
      <c r="U11" s="6"/>
    </row>
    <row r="12" spans="1:21">
      <c r="A12" s="163" t="s">
        <v>2930</v>
      </c>
      <c r="B12" s="100">
        <v>22.88</v>
      </c>
      <c r="C12" s="100">
        <v>31.32</v>
      </c>
      <c r="D12" s="100">
        <v>36.06</v>
      </c>
      <c r="E12" s="100">
        <v>11.92</v>
      </c>
      <c r="F12" s="151" t="s">
        <v>8</v>
      </c>
      <c r="G12" s="100">
        <v>134.15</v>
      </c>
      <c r="H12" s="100">
        <v>31.18</v>
      </c>
      <c r="I12" s="100">
        <v>13.62</v>
      </c>
      <c r="J12" s="100">
        <v>0.15</v>
      </c>
      <c r="K12" s="100">
        <v>175.32</v>
      </c>
      <c r="L12" s="100">
        <v>17.309999999999999</v>
      </c>
      <c r="M12" s="100">
        <v>80.28</v>
      </c>
      <c r="N12" s="100">
        <v>1.2</v>
      </c>
      <c r="O12" s="100">
        <v>0</v>
      </c>
      <c r="P12" s="100">
        <v>1.03</v>
      </c>
      <c r="Q12" s="100">
        <v>13.06</v>
      </c>
      <c r="R12" s="6"/>
      <c r="S12" s="6"/>
      <c r="T12" s="156"/>
      <c r="U12" s="6"/>
    </row>
    <row r="13" spans="1:21">
      <c r="A13" s="163" t="s">
        <v>2931</v>
      </c>
      <c r="B13" s="100">
        <v>22.51</v>
      </c>
      <c r="C13" s="100">
        <v>31.13</v>
      </c>
      <c r="D13" s="100">
        <v>35.67</v>
      </c>
      <c r="E13" s="100">
        <v>11.61</v>
      </c>
      <c r="F13" s="151" t="s">
        <v>8</v>
      </c>
      <c r="G13" s="100">
        <v>134.15</v>
      </c>
      <c r="H13" s="100">
        <v>31.18</v>
      </c>
      <c r="I13" s="100">
        <v>13.84</v>
      </c>
      <c r="J13" s="100">
        <v>0.2</v>
      </c>
      <c r="K13" s="100">
        <v>191.16</v>
      </c>
      <c r="L13" s="100">
        <v>17.41</v>
      </c>
      <c r="M13" s="100">
        <v>81.55</v>
      </c>
      <c r="N13" s="100">
        <v>1.2</v>
      </c>
      <c r="O13" s="100">
        <v>0</v>
      </c>
      <c r="P13" s="100">
        <v>1.04</v>
      </c>
      <c r="Q13" s="100">
        <v>13.13</v>
      </c>
      <c r="R13" s="6"/>
      <c r="S13" s="6"/>
      <c r="T13" s="156"/>
      <c r="U13" s="6"/>
    </row>
    <row r="14" spans="1:21">
      <c r="A14" s="163" t="s">
        <v>2932</v>
      </c>
      <c r="B14" s="100">
        <v>22.2</v>
      </c>
      <c r="C14" s="100">
        <v>30.84</v>
      </c>
      <c r="D14" s="100">
        <v>35.270000000000003</v>
      </c>
      <c r="E14" s="100">
        <v>12</v>
      </c>
      <c r="F14" s="151" t="s">
        <v>8</v>
      </c>
      <c r="G14" s="100">
        <v>128.57</v>
      </c>
      <c r="H14" s="100">
        <v>30.58</v>
      </c>
      <c r="I14" s="100">
        <v>14.04</v>
      </c>
      <c r="J14" s="100">
        <v>0.21</v>
      </c>
      <c r="K14" s="100">
        <v>189.63</v>
      </c>
      <c r="L14" s="100">
        <v>16.98</v>
      </c>
      <c r="M14" s="100">
        <v>83.52</v>
      </c>
      <c r="N14" s="100">
        <v>1.3</v>
      </c>
      <c r="O14" s="100">
        <v>0</v>
      </c>
      <c r="P14" s="100">
        <v>1.05</v>
      </c>
      <c r="Q14" s="100">
        <v>13.08</v>
      </c>
      <c r="R14" s="6"/>
      <c r="S14" s="6"/>
      <c r="T14" s="156"/>
      <c r="U14" s="6"/>
    </row>
    <row r="15" spans="1:21">
      <c r="A15" s="163" t="s">
        <v>2933</v>
      </c>
      <c r="B15" s="100">
        <v>21.89</v>
      </c>
      <c r="C15" s="100">
        <v>30.54</v>
      </c>
      <c r="D15" s="100">
        <v>34.86</v>
      </c>
      <c r="E15" s="100">
        <v>11.91</v>
      </c>
      <c r="F15" s="151" t="s">
        <v>8</v>
      </c>
      <c r="G15" s="100">
        <v>125.18</v>
      </c>
      <c r="H15" s="100">
        <v>30.45</v>
      </c>
      <c r="I15" s="100">
        <v>14.08</v>
      </c>
      <c r="J15" s="100">
        <v>0.19</v>
      </c>
      <c r="K15" s="100">
        <v>155.82</v>
      </c>
      <c r="L15" s="100">
        <v>16.829999999999998</v>
      </c>
      <c r="M15" s="100">
        <v>82.39</v>
      </c>
      <c r="N15" s="100">
        <v>1.4</v>
      </c>
      <c r="O15" s="100">
        <v>0</v>
      </c>
      <c r="P15" s="100">
        <v>1.06</v>
      </c>
      <c r="Q15" s="100">
        <v>13.03</v>
      </c>
      <c r="R15" s="6"/>
      <c r="S15" s="6"/>
      <c r="T15" s="156"/>
      <c r="U15" s="6"/>
    </row>
    <row r="16" spans="1:21">
      <c r="A16" s="163" t="s">
        <v>2934</v>
      </c>
      <c r="B16" s="100">
        <v>21.58</v>
      </c>
      <c r="C16" s="100">
        <v>30.15</v>
      </c>
      <c r="D16" s="100">
        <v>34.409999999999997</v>
      </c>
      <c r="E16" s="100">
        <v>11.69</v>
      </c>
      <c r="F16" s="151" t="s">
        <v>8</v>
      </c>
      <c r="G16" s="100">
        <v>125.18</v>
      </c>
      <c r="H16" s="100">
        <v>30.45</v>
      </c>
      <c r="I16" s="100">
        <v>14.19</v>
      </c>
      <c r="J16" s="100">
        <v>0.17</v>
      </c>
      <c r="K16" s="100">
        <v>172.76</v>
      </c>
      <c r="L16" s="100">
        <v>16.690000000000001</v>
      </c>
      <c r="M16" s="100">
        <v>83.69</v>
      </c>
      <c r="N16" s="100">
        <v>1.1000000000000001</v>
      </c>
      <c r="O16" s="100">
        <v>0</v>
      </c>
      <c r="P16" s="100">
        <v>1.05</v>
      </c>
      <c r="Q16" s="100">
        <v>13.03</v>
      </c>
      <c r="R16" s="6"/>
      <c r="S16" s="6"/>
      <c r="T16" s="156"/>
      <c r="U16" s="6"/>
    </row>
    <row r="17" spans="1:21">
      <c r="A17" s="163" t="s">
        <v>2935</v>
      </c>
      <c r="B17" s="100">
        <v>21.23</v>
      </c>
      <c r="C17" s="100">
        <v>29.75</v>
      </c>
      <c r="D17" s="100">
        <v>33.92</v>
      </c>
      <c r="E17" s="100">
        <v>10.16</v>
      </c>
      <c r="F17" s="151" t="s">
        <v>8</v>
      </c>
      <c r="G17" s="100">
        <v>125.18</v>
      </c>
      <c r="H17" s="100">
        <v>30.45</v>
      </c>
      <c r="I17" s="100">
        <v>14.28</v>
      </c>
      <c r="J17" s="100">
        <v>0.14000000000000001</v>
      </c>
      <c r="K17" s="100">
        <v>181.95</v>
      </c>
      <c r="L17" s="100">
        <v>16.600000000000001</v>
      </c>
      <c r="M17" s="100">
        <v>84.34</v>
      </c>
      <c r="N17" s="100">
        <v>1.2</v>
      </c>
      <c r="O17" s="100">
        <v>0</v>
      </c>
      <c r="P17" s="100">
        <v>1.05</v>
      </c>
      <c r="Q17" s="100">
        <v>13.03</v>
      </c>
      <c r="R17" s="6"/>
      <c r="S17" s="6"/>
      <c r="T17" s="156"/>
      <c r="U17" s="6"/>
    </row>
    <row r="18" spans="1:21">
      <c r="A18" s="163" t="s">
        <v>2936</v>
      </c>
      <c r="B18" s="100">
        <v>20.84</v>
      </c>
      <c r="C18" s="100">
        <v>29.49</v>
      </c>
      <c r="D18" s="100">
        <v>33.47</v>
      </c>
      <c r="E18" s="100">
        <v>11.17</v>
      </c>
      <c r="F18" s="151" t="s">
        <v>8</v>
      </c>
      <c r="G18" s="100">
        <v>121.49</v>
      </c>
      <c r="H18" s="100">
        <v>29.06</v>
      </c>
      <c r="I18" s="100">
        <v>14.36</v>
      </c>
      <c r="J18" s="100">
        <v>0.14000000000000001</v>
      </c>
      <c r="K18" s="100">
        <v>219.92</v>
      </c>
      <c r="L18" s="100">
        <v>16.45</v>
      </c>
      <c r="M18" s="100">
        <v>85.32</v>
      </c>
      <c r="N18" s="100">
        <v>1.2</v>
      </c>
      <c r="O18" s="100">
        <v>0</v>
      </c>
      <c r="P18" s="100">
        <v>1.06</v>
      </c>
      <c r="Q18" s="100">
        <v>13.02</v>
      </c>
      <c r="R18" s="6"/>
      <c r="S18" s="6"/>
      <c r="T18" s="156"/>
      <c r="U18" s="6"/>
    </row>
    <row r="19" spans="1:21">
      <c r="A19" s="163" t="s">
        <v>2937</v>
      </c>
      <c r="B19" s="100">
        <v>20.82</v>
      </c>
      <c r="C19" s="100">
        <v>29.37</v>
      </c>
      <c r="D19" s="100">
        <v>33.39</v>
      </c>
      <c r="E19" s="100">
        <v>10.78</v>
      </c>
      <c r="F19" s="151" t="s">
        <v>8</v>
      </c>
      <c r="G19" s="100">
        <v>119.15</v>
      </c>
      <c r="H19" s="100">
        <v>28.22</v>
      </c>
      <c r="I19" s="100">
        <v>14.44</v>
      </c>
      <c r="J19" s="100">
        <v>0.09</v>
      </c>
      <c r="K19" s="100">
        <v>177.51</v>
      </c>
      <c r="L19" s="100">
        <v>16.489999999999998</v>
      </c>
      <c r="M19" s="100">
        <v>82.47</v>
      </c>
      <c r="N19" s="100">
        <v>1</v>
      </c>
      <c r="O19" s="100">
        <v>0</v>
      </c>
      <c r="P19" s="100">
        <v>1.06</v>
      </c>
      <c r="Q19" s="100">
        <v>13.01</v>
      </c>
      <c r="R19" s="6"/>
      <c r="S19" s="6"/>
      <c r="T19" s="156"/>
      <c r="U19" s="6"/>
    </row>
    <row r="20" spans="1:21">
      <c r="A20" s="163" t="s">
        <v>2938</v>
      </c>
      <c r="B20" s="100">
        <v>21.62</v>
      </c>
      <c r="C20" s="100">
        <v>29.5</v>
      </c>
      <c r="D20" s="100">
        <v>34.1</v>
      </c>
      <c r="E20" s="100">
        <v>11.43</v>
      </c>
      <c r="F20" s="151" t="s">
        <v>8</v>
      </c>
      <c r="G20" s="100">
        <v>119.15</v>
      </c>
      <c r="H20" s="100">
        <v>28.22</v>
      </c>
      <c r="I20" s="100">
        <v>14.56</v>
      </c>
      <c r="J20" s="100">
        <v>0.2</v>
      </c>
      <c r="K20" s="100">
        <v>176.64</v>
      </c>
      <c r="L20" s="100">
        <v>16.579999999999998</v>
      </c>
      <c r="M20" s="100">
        <v>84.25</v>
      </c>
      <c r="N20" s="100">
        <v>1.1000000000000001</v>
      </c>
      <c r="O20" s="100">
        <v>0</v>
      </c>
      <c r="P20" s="100">
        <v>1.07</v>
      </c>
      <c r="Q20" s="100">
        <v>13</v>
      </c>
      <c r="R20" s="6"/>
      <c r="S20" s="6"/>
      <c r="T20" s="156"/>
      <c r="U20" s="6"/>
    </row>
    <row r="21" spans="1:21">
      <c r="A21" s="163" t="s">
        <v>2939</v>
      </c>
      <c r="B21" s="100">
        <v>21.5</v>
      </c>
      <c r="C21" s="100">
        <v>29.29</v>
      </c>
      <c r="D21" s="100">
        <v>33.9</v>
      </c>
      <c r="E21" s="100">
        <v>10.79</v>
      </c>
      <c r="F21" s="151" t="s">
        <v>8</v>
      </c>
      <c r="G21" s="100">
        <v>119.15</v>
      </c>
      <c r="H21" s="100">
        <v>28.22</v>
      </c>
      <c r="I21" s="100">
        <v>14.66</v>
      </c>
      <c r="J21" s="100">
        <v>0.14000000000000001</v>
      </c>
      <c r="K21" s="100">
        <v>134.57</v>
      </c>
      <c r="L21" s="100">
        <v>16.3</v>
      </c>
      <c r="M21" s="100">
        <v>89.06</v>
      </c>
      <c r="N21" s="100">
        <v>1.3</v>
      </c>
      <c r="O21" s="100">
        <v>0</v>
      </c>
      <c r="P21" s="100">
        <v>1.07</v>
      </c>
      <c r="Q21" s="100">
        <v>13.04</v>
      </c>
      <c r="R21" s="6"/>
      <c r="S21" s="6"/>
      <c r="T21" s="156"/>
      <c r="U21" s="6"/>
    </row>
    <row r="22" spans="1:21">
      <c r="A22" s="163" t="s">
        <v>2940</v>
      </c>
      <c r="B22" s="100">
        <v>21.37</v>
      </c>
      <c r="C22" s="100">
        <v>29.08</v>
      </c>
      <c r="D22" s="100">
        <v>33.68</v>
      </c>
      <c r="E22" s="100">
        <v>10.66</v>
      </c>
      <c r="F22" s="151" t="s">
        <v>8</v>
      </c>
      <c r="G22" s="100">
        <v>113.17</v>
      </c>
      <c r="H22" s="100">
        <v>25.99</v>
      </c>
      <c r="I22" s="100">
        <v>14.81</v>
      </c>
      <c r="J22" s="100">
        <v>0.16</v>
      </c>
      <c r="K22" s="100">
        <v>108</v>
      </c>
      <c r="L22" s="100">
        <v>16.600000000000001</v>
      </c>
      <c r="M22" s="100">
        <v>81.67</v>
      </c>
      <c r="N22" s="100">
        <v>1</v>
      </c>
      <c r="O22" s="100">
        <v>0</v>
      </c>
      <c r="P22" s="100">
        <v>1.08</v>
      </c>
      <c r="Q22" s="100">
        <v>13.06</v>
      </c>
      <c r="R22" s="6"/>
      <c r="S22" s="6"/>
      <c r="T22" s="156"/>
      <c r="U22" s="6"/>
    </row>
    <row r="23" spans="1:21">
      <c r="A23" s="163" t="s">
        <v>2941</v>
      </c>
      <c r="B23" s="100">
        <v>22.38</v>
      </c>
      <c r="C23" s="100">
        <v>29.11</v>
      </c>
      <c r="D23" s="100">
        <v>34.51</v>
      </c>
      <c r="E23" s="100">
        <v>11.15</v>
      </c>
      <c r="F23" s="151" t="s">
        <v>8</v>
      </c>
      <c r="G23" s="100">
        <v>109.55</v>
      </c>
      <c r="H23" s="100">
        <v>25.5</v>
      </c>
      <c r="I23" s="100">
        <v>14.93</v>
      </c>
      <c r="J23" s="100">
        <v>0.17</v>
      </c>
      <c r="K23" s="100">
        <v>144.30000000000001</v>
      </c>
      <c r="L23" s="100">
        <v>16.64</v>
      </c>
      <c r="M23" s="100">
        <v>79.38</v>
      </c>
      <c r="N23" s="100">
        <v>1.2</v>
      </c>
      <c r="O23" s="100">
        <v>0</v>
      </c>
      <c r="P23" s="100">
        <v>1.0900000000000001</v>
      </c>
      <c r="Q23" s="100">
        <v>13.11</v>
      </c>
      <c r="R23" s="6"/>
      <c r="S23" s="6"/>
      <c r="T23" s="156"/>
      <c r="U23" s="6"/>
    </row>
    <row r="24" spans="1:21">
      <c r="A24" s="163" t="s">
        <v>2942</v>
      </c>
      <c r="B24" s="100">
        <v>23.99</v>
      </c>
      <c r="C24" s="100">
        <v>29.4</v>
      </c>
      <c r="D24" s="100">
        <v>35.950000000000003</v>
      </c>
      <c r="E24" s="100">
        <v>11.27</v>
      </c>
      <c r="F24" s="151" t="s">
        <v>8</v>
      </c>
      <c r="G24" s="100">
        <v>109.55</v>
      </c>
      <c r="H24" s="100">
        <v>25.5</v>
      </c>
      <c r="I24" s="100">
        <v>15.1</v>
      </c>
      <c r="J24" s="100">
        <v>0.14000000000000001</v>
      </c>
      <c r="K24" s="100">
        <v>119.44</v>
      </c>
      <c r="L24" s="100">
        <v>16.62</v>
      </c>
      <c r="M24" s="100">
        <v>80.13</v>
      </c>
      <c r="N24" s="100">
        <v>1.1000000000000001</v>
      </c>
      <c r="O24" s="100">
        <v>0</v>
      </c>
      <c r="P24" s="100">
        <v>1.1000000000000001</v>
      </c>
      <c r="Q24" s="100">
        <v>13.08</v>
      </c>
      <c r="R24" s="6"/>
      <c r="S24" s="6"/>
      <c r="T24" s="156"/>
      <c r="U24" s="6"/>
    </row>
    <row r="25" spans="1:21">
      <c r="A25" s="163" t="s">
        <v>2943</v>
      </c>
      <c r="B25" s="100">
        <v>26.39</v>
      </c>
      <c r="C25" s="100">
        <v>29.57</v>
      </c>
      <c r="D25" s="100">
        <v>37.96</v>
      </c>
      <c r="E25" s="100">
        <v>11.01</v>
      </c>
      <c r="F25" s="151" t="s">
        <v>8</v>
      </c>
      <c r="G25" s="100">
        <v>109.55</v>
      </c>
      <c r="H25" s="100">
        <v>25.5</v>
      </c>
      <c r="I25" s="100">
        <v>15.29</v>
      </c>
      <c r="J25" s="100">
        <v>0.13</v>
      </c>
      <c r="K25" s="100">
        <v>110.19</v>
      </c>
      <c r="L25" s="100">
        <v>16.57</v>
      </c>
      <c r="M25" s="100">
        <v>79.37</v>
      </c>
      <c r="N25" s="100">
        <v>1.2</v>
      </c>
      <c r="O25" s="100">
        <v>0</v>
      </c>
      <c r="P25" s="100">
        <v>1.1000000000000001</v>
      </c>
      <c r="Q25" s="100">
        <v>13.08</v>
      </c>
      <c r="R25" s="6"/>
      <c r="S25" s="6"/>
      <c r="T25" s="156"/>
      <c r="U25" s="6"/>
    </row>
    <row r="26" spans="1:21">
      <c r="A26" s="163" t="s">
        <v>2944</v>
      </c>
      <c r="B26" s="100">
        <v>28.72</v>
      </c>
      <c r="C26" s="100">
        <v>29.85</v>
      </c>
      <c r="D26" s="100">
        <v>39.979999999999997</v>
      </c>
      <c r="E26" s="100">
        <v>11.72</v>
      </c>
      <c r="F26" s="151" t="s">
        <v>8</v>
      </c>
      <c r="G26" s="100">
        <v>113.11</v>
      </c>
      <c r="H26" s="100">
        <v>27.43</v>
      </c>
      <c r="I26" s="100">
        <v>15.48</v>
      </c>
      <c r="J26" s="100">
        <v>0.08</v>
      </c>
      <c r="K26" s="100">
        <v>165.11</v>
      </c>
      <c r="L26" s="100">
        <v>16.47</v>
      </c>
      <c r="M26" s="100">
        <v>87.65</v>
      </c>
      <c r="N26" s="100">
        <v>1.2</v>
      </c>
      <c r="O26" s="100">
        <v>0</v>
      </c>
      <c r="P26" s="100">
        <v>1.1100000000000001</v>
      </c>
      <c r="Q26" s="100">
        <v>13.05</v>
      </c>
      <c r="R26" s="6"/>
      <c r="S26" s="6"/>
      <c r="T26" s="156"/>
      <c r="U26" s="6"/>
    </row>
    <row r="27" spans="1:21">
      <c r="A27" s="163" t="s">
        <v>2945</v>
      </c>
      <c r="B27" s="100">
        <v>30.37</v>
      </c>
      <c r="C27" s="100">
        <v>29.96</v>
      </c>
      <c r="D27" s="100">
        <v>41.36</v>
      </c>
      <c r="E27" s="100">
        <v>11.37</v>
      </c>
      <c r="F27" s="151" t="s">
        <v>8</v>
      </c>
      <c r="G27" s="100">
        <v>115.27</v>
      </c>
      <c r="H27" s="100">
        <v>27.86</v>
      </c>
      <c r="I27" s="100">
        <v>15.63</v>
      </c>
      <c r="J27" s="100">
        <v>0.18</v>
      </c>
      <c r="K27" s="100">
        <v>142.61000000000001</v>
      </c>
      <c r="L27" s="100">
        <v>16.29</v>
      </c>
      <c r="M27" s="100">
        <v>91.14</v>
      </c>
      <c r="N27" s="100">
        <v>1.3</v>
      </c>
      <c r="O27" s="100">
        <v>0</v>
      </c>
      <c r="P27" s="100">
        <v>1.1000000000000001</v>
      </c>
      <c r="Q27" s="100">
        <v>13.07</v>
      </c>
      <c r="R27" s="6"/>
      <c r="S27" s="6"/>
      <c r="T27" s="156"/>
      <c r="U27" s="6"/>
    </row>
    <row r="28" spans="1:21">
      <c r="A28" s="163" t="s">
        <v>2946</v>
      </c>
      <c r="B28" s="100">
        <v>31.48</v>
      </c>
      <c r="C28" s="100">
        <v>29.93</v>
      </c>
      <c r="D28" s="100">
        <v>42.23</v>
      </c>
      <c r="E28" s="100">
        <v>11.23</v>
      </c>
      <c r="F28" s="151" t="s">
        <v>8</v>
      </c>
      <c r="G28" s="100">
        <v>115.27</v>
      </c>
      <c r="H28" s="100">
        <v>27.86</v>
      </c>
      <c r="I28" s="100">
        <v>15.75</v>
      </c>
      <c r="J28" s="100">
        <v>0.14000000000000001</v>
      </c>
      <c r="K28" s="100">
        <v>148.1</v>
      </c>
      <c r="L28" s="100">
        <v>16.16</v>
      </c>
      <c r="M28" s="100">
        <v>94.12</v>
      </c>
      <c r="N28" s="100">
        <v>1.3</v>
      </c>
      <c r="O28" s="100">
        <v>0</v>
      </c>
      <c r="P28" s="100">
        <v>1.1200000000000001</v>
      </c>
      <c r="Q28" s="100">
        <v>13.14</v>
      </c>
      <c r="R28" s="6"/>
      <c r="S28" s="6"/>
      <c r="T28" s="156"/>
      <c r="U28" s="6"/>
    </row>
    <row r="29" spans="1:21">
      <c r="A29" s="163" t="s">
        <v>2947</v>
      </c>
      <c r="B29" s="100">
        <v>32.33</v>
      </c>
      <c r="C29" s="100">
        <v>29.76</v>
      </c>
      <c r="D29" s="100">
        <v>42.83</v>
      </c>
      <c r="E29" s="100">
        <v>11.36</v>
      </c>
      <c r="F29" s="151" t="s">
        <v>8</v>
      </c>
      <c r="G29" s="100">
        <v>115.27</v>
      </c>
      <c r="H29" s="100">
        <v>27.86</v>
      </c>
      <c r="I29" s="100">
        <v>15.9</v>
      </c>
      <c r="J29" s="100">
        <v>0.16</v>
      </c>
      <c r="K29" s="100">
        <v>155.76</v>
      </c>
      <c r="L29" s="100">
        <v>16.02</v>
      </c>
      <c r="M29" s="100">
        <v>91.61</v>
      </c>
      <c r="N29" s="100">
        <v>1.3</v>
      </c>
      <c r="O29" s="100">
        <v>0</v>
      </c>
      <c r="P29" s="100">
        <v>1.1200000000000001</v>
      </c>
      <c r="Q29" s="100">
        <v>13.11</v>
      </c>
      <c r="R29" s="6"/>
      <c r="S29" s="6"/>
      <c r="T29" s="156"/>
      <c r="U29" s="6"/>
    </row>
    <row r="30" spans="1:21">
      <c r="A30" s="163" t="s">
        <v>2948</v>
      </c>
      <c r="B30" s="100">
        <v>33.22</v>
      </c>
      <c r="C30" s="100">
        <v>29.78</v>
      </c>
      <c r="D30" s="100">
        <v>43.55</v>
      </c>
      <c r="E30" s="100">
        <v>11.28</v>
      </c>
      <c r="F30" s="151" t="s">
        <v>8</v>
      </c>
      <c r="G30" s="100">
        <v>117.04</v>
      </c>
      <c r="H30" s="100">
        <v>29.53</v>
      </c>
      <c r="I30" s="100">
        <v>15.99</v>
      </c>
      <c r="J30" s="100">
        <v>0.23</v>
      </c>
      <c r="K30" s="100">
        <v>165.29</v>
      </c>
      <c r="L30" s="100">
        <v>15.88</v>
      </c>
      <c r="M30" s="100">
        <v>92.78</v>
      </c>
      <c r="N30" s="100">
        <v>1.3</v>
      </c>
      <c r="O30" s="100">
        <v>0</v>
      </c>
      <c r="P30" s="100">
        <v>1.1200000000000001</v>
      </c>
      <c r="Q30" s="100">
        <v>13.08</v>
      </c>
      <c r="R30" s="6"/>
      <c r="S30" s="6"/>
      <c r="T30" s="156"/>
      <c r="U30" s="6"/>
    </row>
    <row r="31" spans="1:21">
      <c r="A31" s="163" t="s">
        <v>2949</v>
      </c>
      <c r="B31" s="100">
        <v>33.799999999999997</v>
      </c>
      <c r="C31" s="100">
        <v>29.53</v>
      </c>
      <c r="D31" s="100">
        <v>43.88</v>
      </c>
      <c r="E31" s="100">
        <v>11.25</v>
      </c>
      <c r="F31" s="151" t="s">
        <v>8</v>
      </c>
      <c r="G31" s="100">
        <v>118.12</v>
      </c>
      <c r="H31" s="100">
        <v>29.9</v>
      </c>
      <c r="I31" s="100">
        <v>16.059999999999999</v>
      </c>
      <c r="J31" s="100">
        <v>0.22</v>
      </c>
      <c r="K31" s="100">
        <v>151.82</v>
      </c>
      <c r="L31" s="100">
        <v>15.51</v>
      </c>
      <c r="M31" s="100">
        <v>86.88</v>
      </c>
      <c r="N31" s="100">
        <v>1.3</v>
      </c>
      <c r="O31" s="100">
        <v>0</v>
      </c>
      <c r="P31" s="100">
        <v>1.1200000000000001</v>
      </c>
      <c r="Q31" s="100">
        <v>13.07</v>
      </c>
      <c r="R31" s="6"/>
      <c r="S31" s="6"/>
      <c r="T31" s="156"/>
      <c r="U31" s="6"/>
    </row>
    <row r="32" spans="1:21">
      <c r="A32" s="163" t="s">
        <v>2950</v>
      </c>
      <c r="B32" s="100">
        <v>34.44</v>
      </c>
      <c r="C32" s="100">
        <v>29.26</v>
      </c>
      <c r="D32" s="100">
        <v>44.26</v>
      </c>
      <c r="E32" s="100">
        <v>11.45</v>
      </c>
      <c r="F32" s="151" t="s">
        <v>8</v>
      </c>
      <c r="G32" s="100">
        <v>118.12</v>
      </c>
      <c r="H32" s="100">
        <v>29.9</v>
      </c>
      <c r="I32" s="100">
        <v>16.11</v>
      </c>
      <c r="J32" s="100">
        <v>0.4</v>
      </c>
      <c r="K32" s="100">
        <v>48.8</v>
      </c>
      <c r="L32" s="100">
        <v>15.89</v>
      </c>
      <c r="M32" s="100">
        <v>87.2</v>
      </c>
      <c r="N32" s="100">
        <v>0.6</v>
      </c>
      <c r="O32" s="100">
        <v>0</v>
      </c>
      <c r="P32" s="100">
        <v>1.1200000000000001</v>
      </c>
      <c r="Q32" s="100">
        <v>13.14</v>
      </c>
      <c r="R32" s="6"/>
      <c r="S32" s="6"/>
      <c r="T32" s="156"/>
      <c r="U32" s="6"/>
    </row>
    <row r="33" spans="1:21">
      <c r="A33" s="163" t="s">
        <v>2951</v>
      </c>
      <c r="B33" s="100">
        <v>35.06</v>
      </c>
      <c r="C33" s="100">
        <v>29.08</v>
      </c>
      <c r="D33" s="100">
        <v>44.66</v>
      </c>
      <c r="E33" s="100">
        <v>11.42</v>
      </c>
      <c r="F33" s="151" t="s">
        <v>8</v>
      </c>
      <c r="G33" s="100">
        <v>118.12</v>
      </c>
      <c r="H33" s="100">
        <v>29.9</v>
      </c>
      <c r="I33" s="100">
        <v>16.079999999999998</v>
      </c>
      <c r="J33" s="100">
        <v>0.4</v>
      </c>
      <c r="K33" s="100">
        <v>63.1</v>
      </c>
      <c r="L33" s="100">
        <v>16.579999999999998</v>
      </c>
      <c r="M33" s="100">
        <v>80.44</v>
      </c>
      <c r="N33" s="100">
        <v>0.8</v>
      </c>
      <c r="O33" s="100">
        <v>0</v>
      </c>
      <c r="P33" s="100">
        <v>1.1399999999999999</v>
      </c>
      <c r="Q33" s="100">
        <v>13.19</v>
      </c>
      <c r="R33" s="6"/>
      <c r="S33" s="6"/>
      <c r="T33" s="156"/>
      <c r="U33" s="6"/>
    </row>
    <row r="34" spans="1:21">
      <c r="A34" s="163" t="s">
        <v>2952</v>
      </c>
      <c r="B34" s="100">
        <v>34.64</v>
      </c>
      <c r="C34" s="100">
        <v>28.88</v>
      </c>
      <c r="D34" s="100">
        <v>44.22</v>
      </c>
      <c r="E34" s="100">
        <v>10.89</v>
      </c>
      <c r="F34" s="151" t="s">
        <v>8</v>
      </c>
      <c r="G34" s="100">
        <v>116.86</v>
      </c>
      <c r="H34" s="100">
        <v>28.6</v>
      </c>
      <c r="I34" s="100">
        <v>16.16</v>
      </c>
      <c r="J34" s="100">
        <v>0.16</v>
      </c>
      <c r="K34" s="100">
        <v>141.88</v>
      </c>
      <c r="L34" s="100">
        <v>16.350000000000001</v>
      </c>
      <c r="M34" s="100">
        <v>85.89</v>
      </c>
      <c r="N34" s="100">
        <v>2.1</v>
      </c>
      <c r="O34" s="100">
        <v>0</v>
      </c>
      <c r="P34" s="100">
        <v>1.1499999999999999</v>
      </c>
      <c r="Q34" s="100">
        <v>13.14</v>
      </c>
      <c r="R34" s="6"/>
      <c r="S34" s="6"/>
      <c r="T34" s="156"/>
      <c r="U34" s="6"/>
    </row>
    <row r="35" spans="1:21">
      <c r="A35" s="163" t="s">
        <v>2953</v>
      </c>
      <c r="B35" s="100">
        <v>34.450000000000003</v>
      </c>
      <c r="C35" s="100">
        <v>28.66</v>
      </c>
      <c r="D35" s="100">
        <v>43.96</v>
      </c>
      <c r="E35" s="100">
        <v>10.94</v>
      </c>
      <c r="F35" s="151" t="s">
        <v>8</v>
      </c>
      <c r="G35" s="100">
        <v>116.09</v>
      </c>
      <c r="H35" s="100">
        <v>28.32</v>
      </c>
      <c r="I35" s="100">
        <v>16.149999999999999</v>
      </c>
      <c r="J35" s="100">
        <v>0.17</v>
      </c>
      <c r="K35" s="100">
        <v>10.99</v>
      </c>
      <c r="L35" s="100">
        <v>16</v>
      </c>
      <c r="M35" s="100">
        <v>79.7</v>
      </c>
      <c r="N35" s="100">
        <v>3.3</v>
      </c>
      <c r="O35" s="100">
        <v>0</v>
      </c>
      <c r="P35" s="100">
        <v>1.1399999999999999</v>
      </c>
      <c r="Q35" s="100">
        <v>13.16</v>
      </c>
      <c r="R35" s="6"/>
      <c r="S35" s="6"/>
      <c r="T35" s="156"/>
      <c r="U35" s="6"/>
    </row>
    <row r="36" spans="1:21">
      <c r="A36" s="163" t="s">
        <v>2954</v>
      </c>
      <c r="B36" s="100">
        <v>34.700000000000003</v>
      </c>
      <c r="C36" s="100">
        <v>28.61</v>
      </c>
      <c r="D36" s="100">
        <v>44.13</v>
      </c>
      <c r="E36" s="100">
        <v>10.65</v>
      </c>
      <c r="F36" s="151" t="s">
        <v>8</v>
      </c>
      <c r="G36" s="100">
        <v>116.09</v>
      </c>
      <c r="H36" s="100">
        <v>28.32</v>
      </c>
      <c r="I36" s="100">
        <v>16.25</v>
      </c>
      <c r="J36" s="100">
        <v>0.21</v>
      </c>
      <c r="K36" s="100">
        <v>178.12</v>
      </c>
      <c r="L36" s="100">
        <v>15.87</v>
      </c>
      <c r="M36" s="100">
        <v>85.66</v>
      </c>
      <c r="N36" s="100">
        <v>9.3000000000000007</v>
      </c>
      <c r="O36" s="100">
        <v>0</v>
      </c>
      <c r="P36" s="100">
        <v>1.1599999999999999</v>
      </c>
      <c r="Q36" s="100">
        <v>13.23</v>
      </c>
      <c r="R36" s="6"/>
      <c r="S36" s="6"/>
      <c r="T36" s="156"/>
      <c r="U36" s="6"/>
    </row>
    <row r="37" spans="1:21">
      <c r="A37" s="163" t="s">
        <v>2955</v>
      </c>
      <c r="B37" s="100">
        <v>34.65</v>
      </c>
      <c r="C37" s="100">
        <v>28.41</v>
      </c>
      <c r="D37" s="100">
        <v>43.98</v>
      </c>
      <c r="E37" s="100">
        <v>11.18</v>
      </c>
      <c r="F37" s="151" t="s">
        <v>8</v>
      </c>
      <c r="G37" s="100">
        <v>116.09</v>
      </c>
      <c r="H37" s="100">
        <v>28.32</v>
      </c>
      <c r="I37" s="100">
        <v>16.329999999999998</v>
      </c>
      <c r="J37" s="100">
        <v>0.1</v>
      </c>
      <c r="K37" s="100">
        <v>108.23</v>
      </c>
      <c r="L37" s="100">
        <v>15.9</v>
      </c>
      <c r="M37" s="100">
        <v>82.45</v>
      </c>
      <c r="N37" s="100">
        <v>16</v>
      </c>
      <c r="O37" s="100">
        <v>0</v>
      </c>
      <c r="P37" s="100">
        <v>1.1599999999999999</v>
      </c>
      <c r="Q37" s="100">
        <v>13.21</v>
      </c>
      <c r="R37" s="6"/>
      <c r="S37" s="6"/>
      <c r="T37" s="156"/>
      <c r="U37" s="6"/>
    </row>
    <row r="38" spans="1:21">
      <c r="A38" s="163" t="s">
        <v>2956</v>
      </c>
      <c r="B38" s="100">
        <v>34.770000000000003</v>
      </c>
      <c r="C38" s="100">
        <v>28.2</v>
      </c>
      <c r="D38" s="100">
        <v>43.97</v>
      </c>
      <c r="E38" s="100">
        <v>10.73</v>
      </c>
      <c r="F38" s="151" t="s">
        <v>8</v>
      </c>
      <c r="G38" s="100">
        <v>116.17</v>
      </c>
      <c r="H38" s="100">
        <v>31.04</v>
      </c>
      <c r="I38" s="100">
        <v>16.38</v>
      </c>
      <c r="J38" s="100">
        <v>0.46</v>
      </c>
      <c r="K38" s="100">
        <v>60.41</v>
      </c>
      <c r="L38" s="100">
        <v>16.8</v>
      </c>
      <c r="M38" s="100">
        <v>77.5</v>
      </c>
      <c r="N38" s="100">
        <v>24.1</v>
      </c>
      <c r="O38" s="100">
        <v>0</v>
      </c>
      <c r="P38" s="100">
        <v>1.1599999999999999</v>
      </c>
      <c r="Q38" s="100">
        <v>13.15</v>
      </c>
      <c r="R38" s="6"/>
      <c r="S38" s="6"/>
      <c r="T38" s="156"/>
      <c r="U38" s="6"/>
    </row>
    <row r="39" spans="1:21">
      <c r="A39" s="163" t="s">
        <v>2957</v>
      </c>
      <c r="B39" s="100">
        <v>34.26</v>
      </c>
      <c r="C39" s="100">
        <v>28.09</v>
      </c>
      <c r="D39" s="100">
        <v>43.51</v>
      </c>
      <c r="E39" s="100">
        <v>10.69</v>
      </c>
      <c r="F39" s="151" t="s">
        <v>8</v>
      </c>
      <c r="G39" s="100">
        <v>116.23</v>
      </c>
      <c r="H39" s="100">
        <v>31.65</v>
      </c>
      <c r="I39" s="100">
        <v>16.399999999999999</v>
      </c>
      <c r="J39" s="100">
        <v>0.19</v>
      </c>
      <c r="K39" s="100">
        <v>154.25</v>
      </c>
      <c r="L39" s="100">
        <v>17.28</v>
      </c>
      <c r="M39" s="100">
        <v>83.55</v>
      </c>
      <c r="N39" s="100">
        <v>30.7</v>
      </c>
      <c r="O39" s="100">
        <v>0</v>
      </c>
      <c r="P39" s="100">
        <v>1.17</v>
      </c>
      <c r="Q39" s="100">
        <v>13.09</v>
      </c>
      <c r="R39" s="6"/>
      <c r="S39" s="6"/>
      <c r="T39" s="156"/>
      <c r="U39" s="6"/>
    </row>
    <row r="40" spans="1:21">
      <c r="A40" s="163" t="s">
        <v>2958</v>
      </c>
      <c r="B40" s="100">
        <v>33.36</v>
      </c>
      <c r="C40" s="100">
        <v>27.91</v>
      </c>
      <c r="D40" s="100">
        <v>42.68</v>
      </c>
      <c r="E40" s="100">
        <v>10.87</v>
      </c>
      <c r="F40" s="151" t="s">
        <v>8</v>
      </c>
      <c r="G40" s="100">
        <v>116.23</v>
      </c>
      <c r="H40" s="100">
        <v>31.65</v>
      </c>
      <c r="I40" s="100">
        <v>16.45</v>
      </c>
      <c r="J40" s="100">
        <v>0.23</v>
      </c>
      <c r="K40" s="100">
        <v>165.64</v>
      </c>
      <c r="L40" s="100">
        <v>17.510000000000002</v>
      </c>
      <c r="M40" s="100">
        <v>85.61</v>
      </c>
      <c r="N40" s="100">
        <v>37.4</v>
      </c>
      <c r="O40" s="100">
        <v>0</v>
      </c>
      <c r="P40" s="100">
        <v>1.1599999999999999</v>
      </c>
      <c r="Q40" s="100">
        <v>13.07</v>
      </c>
      <c r="R40" s="6"/>
      <c r="S40" s="6"/>
      <c r="T40" s="156"/>
      <c r="U40" s="6"/>
    </row>
    <row r="41" spans="1:21">
      <c r="A41" s="163" t="s">
        <v>2959</v>
      </c>
      <c r="B41" s="100">
        <v>32.15</v>
      </c>
      <c r="C41" s="100">
        <v>27.94</v>
      </c>
      <c r="D41" s="100">
        <v>41.73</v>
      </c>
      <c r="E41" s="100">
        <v>10.9</v>
      </c>
      <c r="F41" s="151" t="s">
        <v>8</v>
      </c>
      <c r="G41" s="100">
        <v>116.23</v>
      </c>
      <c r="H41" s="100">
        <v>31.65</v>
      </c>
      <c r="I41" s="100">
        <v>16.47</v>
      </c>
      <c r="J41" s="100">
        <v>0.27</v>
      </c>
      <c r="K41" s="100">
        <v>163.37</v>
      </c>
      <c r="L41" s="100">
        <v>18.09</v>
      </c>
      <c r="M41" s="100">
        <v>81.92</v>
      </c>
      <c r="N41" s="100">
        <v>56.5</v>
      </c>
      <c r="O41" s="100">
        <v>0</v>
      </c>
      <c r="P41" s="100">
        <v>1.1599999999999999</v>
      </c>
      <c r="Q41" s="100">
        <v>13.06</v>
      </c>
      <c r="R41" s="6"/>
      <c r="S41" s="6"/>
      <c r="T41" s="156"/>
      <c r="U41" s="6"/>
    </row>
    <row r="42" spans="1:21">
      <c r="A42" s="163" t="s">
        <v>2960</v>
      </c>
      <c r="B42" s="100">
        <v>30.72</v>
      </c>
      <c r="C42" s="100">
        <v>28.08</v>
      </c>
      <c r="D42" s="100">
        <v>40.659999999999997</v>
      </c>
      <c r="E42" s="100">
        <v>10.62</v>
      </c>
      <c r="F42" s="151" t="s">
        <v>8</v>
      </c>
      <c r="G42" s="100">
        <v>119.83</v>
      </c>
      <c r="H42" s="100">
        <v>31.39</v>
      </c>
      <c r="I42" s="100">
        <v>16.440000000000001</v>
      </c>
      <c r="J42" s="100">
        <v>0.21</v>
      </c>
      <c r="K42" s="100">
        <v>138.38999999999999</v>
      </c>
      <c r="L42" s="100">
        <v>19.11</v>
      </c>
      <c r="M42" s="100">
        <v>74.84</v>
      </c>
      <c r="N42" s="100">
        <v>106.5</v>
      </c>
      <c r="O42" s="100">
        <v>0</v>
      </c>
      <c r="P42" s="100">
        <v>1.17</v>
      </c>
      <c r="Q42" s="100">
        <v>13.15</v>
      </c>
      <c r="R42" s="6"/>
      <c r="S42" s="6"/>
      <c r="T42" s="156"/>
      <c r="U42" s="6"/>
    </row>
    <row r="43" spans="1:21">
      <c r="A43" s="163" t="s">
        <v>2961</v>
      </c>
      <c r="B43" s="100">
        <v>29.01</v>
      </c>
      <c r="C43" s="100">
        <v>28.26</v>
      </c>
      <c r="D43" s="100">
        <v>39.380000000000003</v>
      </c>
      <c r="E43" s="100">
        <v>10.78</v>
      </c>
      <c r="F43" s="151" t="s">
        <v>8</v>
      </c>
      <c r="G43" s="100">
        <v>122.02</v>
      </c>
      <c r="H43" s="100">
        <v>31.28</v>
      </c>
      <c r="I43" s="100">
        <v>16.45</v>
      </c>
      <c r="J43" s="100">
        <v>0.24</v>
      </c>
      <c r="K43" s="100">
        <v>141.96</v>
      </c>
      <c r="L43" s="100">
        <v>20.29</v>
      </c>
      <c r="M43" s="100">
        <v>71.63</v>
      </c>
      <c r="N43" s="100">
        <v>152</v>
      </c>
      <c r="O43" s="100">
        <v>0</v>
      </c>
      <c r="P43" s="100">
        <v>1.1499999999999999</v>
      </c>
      <c r="Q43" s="100">
        <v>13.18</v>
      </c>
      <c r="R43" s="6"/>
      <c r="S43" s="6"/>
      <c r="T43" s="156"/>
      <c r="U43" s="6"/>
    </row>
    <row r="44" spans="1:21">
      <c r="A44" s="163" t="s">
        <v>2962</v>
      </c>
      <c r="B44" s="100">
        <v>26.99</v>
      </c>
      <c r="C44" s="100">
        <v>28.76</v>
      </c>
      <c r="D44" s="100">
        <v>38.020000000000003</v>
      </c>
      <c r="E44" s="100">
        <v>10.91</v>
      </c>
      <c r="F44" s="151" t="s">
        <v>8</v>
      </c>
      <c r="G44" s="100">
        <v>122.02</v>
      </c>
      <c r="H44" s="100">
        <v>31.28</v>
      </c>
      <c r="I44" s="100">
        <v>16.489999999999998</v>
      </c>
      <c r="J44" s="100">
        <v>0.27</v>
      </c>
      <c r="K44" s="100">
        <v>134.47</v>
      </c>
      <c r="L44" s="100">
        <v>21.74</v>
      </c>
      <c r="M44" s="100">
        <v>68.06</v>
      </c>
      <c r="N44" s="100">
        <v>155.9</v>
      </c>
      <c r="O44" s="100">
        <v>0</v>
      </c>
      <c r="P44" s="100">
        <v>1.1599999999999999</v>
      </c>
      <c r="Q44" s="100">
        <v>13.18</v>
      </c>
      <c r="R44" s="6"/>
      <c r="S44" s="6"/>
      <c r="T44" s="156"/>
      <c r="U44" s="6"/>
    </row>
    <row r="45" spans="1:21">
      <c r="A45" s="163" t="s">
        <v>2963</v>
      </c>
      <c r="B45" s="100">
        <v>24.91</v>
      </c>
      <c r="C45" s="100">
        <v>29.54</v>
      </c>
      <c r="D45" s="100">
        <v>36.76</v>
      </c>
      <c r="E45" s="100">
        <v>11.26</v>
      </c>
      <c r="F45" s="151" t="s">
        <v>8</v>
      </c>
      <c r="G45" s="100">
        <v>122.02</v>
      </c>
      <c r="H45" s="100">
        <v>31.28</v>
      </c>
      <c r="I45" s="100">
        <v>16.5</v>
      </c>
      <c r="J45" s="100">
        <v>0.54</v>
      </c>
      <c r="K45" s="100">
        <v>46.9</v>
      </c>
      <c r="L45" s="100">
        <v>22.02</v>
      </c>
      <c r="M45" s="100">
        <v>67.05</v>
      </c>
      <c r="N45" s="100">
        <v>206.4</v>
      </c>
      <c r="O45" s="100">
        <v>0</v>
      </c>
      <c r="P45" s="100">
        <v>1.1599999999999999</v>
      </c>
      <c r="Q45" s="100">
        <v>13.05</v>
      </c>
      <c r="R45" s="6"/>
      <c r="S45" s="6"/>
      <c r="T45" s="156"/>
      <c r="U45" s="6"/>
    </row>
    <row r="46" spans="1:21">
      <c r="A46" s="163" t="s">
        <v>2964</v>
      </c>
      <c r="B46" s="100">
        <v>22.87</v>
      </c>
      <c r="C46" s="100">
        <v>30.65</v>
      </c>
      <c r="D46" s="100">
        <v>35.700000000000003</v>
      </c>
      <c r="E46" s="100">
        <v>11</v>
      </c>
      <c r="F46" s="151" t="s">
        <v>8</v>
      </c>
      <c r="G46" s="100">
        <v>123.66</v>
      </c>
      <c r="H46" s="100">
        <v>36.64</v>
      </c>
      <c r="I46" s="100">
        <v>16.489999999999998</v>
      </c>
      <c r="J46" s="100">
        <v>0.31</v>
      </c>
      <c r="K46" s="100">
        <v>46.43</v>
      </c>
      <c r="L46" s="100">
        <v>23.02</v>
      </c>
      <c r="M46" s="100">
        <v>63.87</v>
      </c>
      <c r="N46" s="100">
        <v>256.3</v>
      </c>
      <c r="O46" s="100">
        <v>0</v>
      </c>
      <c r="P46" s="100">
        <v>1.1499999999999999</v>
      </c>
      <c r="Q46" s="100">
        <v>13.03</v>
      </c>
      <c r="R46" s="6"/>
      <c r="S46" s="6"/>
      <c r="T46" s="156"/>
      <c r="U46" s="6"/>
    </row>
    <row r="47" spans="1:21">
      <c r="A47" s="163" t="s">
        <v>2965</v>
      </c>
      <c r="B47" s="100">
        <v>20.309999999999999</v>
      </c>
      <c r="C47" s="100">
        <v>31.72</v>
      </c>
      <c r="D47" s="100">
        <v>34.21</v>
      </c>
      <c r="E47" s="100">
        <v>11.32</v>
      </c>
      <c r="F47" s="151" t="s">
        <v>8</v>
      </c>
      <c r="G47" s="100">
        <v>124.65</v>
      </c>
      <c r="H47" s="100">
        <v>37.81</v>
      </c>
      <c r="I47" s="100">
        <v>16.45</v>
      </c>
      <c r="J47" s="100">
        <v>0.28000000000000003</v>
      </c>
      <c r="K47" s="100">
        <v>116.76</v>
      </c>
      <c r="L47" s="100">
        <v>24.33</v>
      </c>
      <c r="M47" s="100">
        <v>59.76</v>
      </c>
      <c r="N47" s="100">
        <v>269.60000000000002</v>
      </c>
      <c r="O47" s="100">
        <v>0</v>
      </c>
      <c r="P47" s="100">
        <v>1.1399999999999999</v>
      </c>
      <c r="Q47" s="100">
        <v>13.03</v>
      </c>
      <c r="R47" s="6"/>
      <c r="S47" s="6"/>
      <c r="T47" s="156"/>
      <c r="U47" s="6"/>
    </row>
    <row r="48" spans="1:21">
      <c r="A48" s="163" t="s">
        <v>2966</v>
      </c>
      <c r="B48" s="100">
        <v>17.13</v>
      </c>
      <c r="C48" s="100">
        <v>32.799999999999997</v>
      </c>
      <c r="D48" s="100">
        <v>32.22</v>
      </c>
      <c r="E48" s="100">
        <v>11.09</v>
      </c>
      <c r="F48" s="151" t="s">
        <v>8</v>
      </c>
      <c r="G48" s="100">
        <v>124.65</v>
      </c>
      <c r="H48" s="100">
        <v>37.81</v>
      </c>
      <c r="I48" s="100">
        <v>16.350000000000001</v>
      </c>
      <c r="J48" s="100">
        <v>0.27</v>
      </c>
      <c r="K48" s="100">
        <v>161.51</v>
      </c>
      <c r="L48" s="100">
        <v>25.33</v>
      </c>
      <c r="M48" s="100">
        <v>57.07</v>
      </c>
      <c r="N48" s="100">
        <v>288.89999999999998</v>
      </c>
      <c r="O48" s="100">
        <v>0</v>
      </c>
      <c r="P48" s="100">
        <v>1.1200000000000001</v>
      </c>
      <c r="Q48" s="100">
        <v>13.03</v>
      </c>
      <c r="R48" s="6"/>
      <c r="S48" s="6"/>
      <c r="T48" s="156"/>
      <c r="U48" s="6"/>
    </row>
    <row r="49" spans="1:21">
      <c r="A49" s="163" t="s">
        <v>2967</v>
      </c>
      <c r="B49" s="100">
        <v>13.81</v>
      </c>
      <c r="C49" s="100">
        <v>33.65</v>
      </c>
      <c r="D49" s="100">
        <v>30.01</v>
      </c>
      <c r="E49" s="100">
        <v>8.2200000000000006</v>
      </c>
      <c r="F49" s="151" t="s">
        <v>8</v>
      </c>
      <c r="G49" s="100">
        <v>124.65</v>
      </c>
      <c r="H49" s="100">
        <v>37.81</v>
      </c>
      <c r="I49" s="100">
        <v>16.13</v>
      </c>
      <c r="J49" s="100">
        <v>0.06</v>
      </c>
      <c r="K49" s="100">
        <v>48.34</v>
      </c>
      <c r="L49" s="100">
        <v>25.71</v>
      </c>
      <c r="M49" s="100">
        <v>56.71</v>
      </c>
      <c r="N49" s="100">
        <v>248.7</v>
      </c>
      <c r="O49" s="100">
        <v>0</v>
      </c>
      <c r="P49" s="100">
        <v>1.1100000000000001</v>
      </c>
      <c r="Q49" s="100">
        <v>13.02</v>
      </c>
      <c r="R49" s="6"/>
      <c r="S49" s="6"/>
      <c r="T49" s="156"/>
      <c r="U49" s="6"/>
    </row>
    <row r="50" spans="1:21">
      <c r="A50" s="163" t="s">
        <v>2968</v>
      </c>
      <c r="B50" s="100">
        <v>10.74</v>
      </c>
      <c r="C50" s="100">
        <v>34.21</v>
      </c>
      <c r="D50" s="100">
        <v>27.84</v>
      </c>
      <c r="E50" s="100">
        <v>9.09</v>
      </c>
      <c r="F50" s="151" t="s">
        <v>8</v>
      </c>
      <c r="G50" s="100">
        <v>118.11</v>
      </c>
      <c r="H50" s="100">
        <v>37.93</v>
      </c>
      <c r="I50" s="100">
        <v>15.83</v>
      </c>
      <c r="J50" s="100">
        <v>0.38</v>
      </c>
      <c r="K50" s="100">
        <v>281.81</v>
      </c>
      <c r="L50" s="100">
        <v>26.12</v>
      </c>
      <c r="M50" s="100">
        <v>56.21</v>
      </c>
      <c r="N50" s="100">
        <v>323.2</v>
      </c>
      <c r="O50" s="100">
        <v>0</v>
      </c>
      <c r="P50" s="100">
        <v>1.08</v>
      </c>
      <c r="Q50" s="100">
        <v>13.02</v>
      </c>
      <c r="R50" s="6"/>
      <c r="S50" s="6"/>
      <c r="T50" s="156"/>
      <c r="U50" s="6"/>
    </row>
    <row r="51" spans="1:21">
      <c r="A51" s="163" t="s">
        <v>2969</v>
      </c>
      <c r="B51" s="100">
        <v>8.19</v>
      </c>
      <c r="C51" s="100">
        <v>34.42</v>
      </c>
      <c r="D51" s="100">
        <v>25.9</v>
      </c>
      <c r="E51" s="100">
        <v>9.32</v>
      </c>
      <c r="F51" s="151" t="s">
        <v>8</v>
      </c>
      <c r="G51" s="100">
        <v>114.13</v>
      </c>
      <c r="H51" s="100">
        <v>37.950000000000003</v>
      </c>
      <c r="I51" s="100">
        <v>15.43</v>
      </c>
      <c r="J51" s="100">
        <v>0.04</v>
      </c>
      <c r="K51" s="100">
        <v>355.89</v>
      </c>
      <c r="L51" s="100">
        <v>26.73</v>
      </c>
      <c r="M51" s="100">
        <v>52.89</v>
      </c>
      <c r="N51" s="100">
        <v>321.3</v>
      </c>
      <c r="O51" s="100">
        <v>0</v>
      </c>
      <c r="P51" s="100">
        <v>1.06</v>
      </c>
      <c r="Q51" s="100">
        <v>13</v>
      </c>
      <c r="R51" s="6"/>
      <c r="S51" s="6"/>
      <c r="T51" s="156"/>
      <c r="U51" s="6"/>
    </row>
    <row r="52" spans="1:21">
      <c r="A52" s="163" t="s">
        <v>2970</v>
      </c>
      <c r="B52" s="100">
        <v>6.28</v>
      </c>
      <c r="C52" s="100">
        <v>34.130000000000003</v>
      </c>
      <c r="D52" s="100">
        <v>24.22</v>
      </c>
      <c r="E52" s="100">
        <v>9.3699999999999992</v>
      </c>
      <c r="F52" s="151" t="s">
        <v>8</v>
      </c>
      <c r="G52" s="100">
        <v>114.13</v>
      </c>
      <c r="H52" s="100">
        <v>37.950000000000003</v>
      </c>
      <c r="I52" s="100">
        <v>15.11</v>
      </c>
      <c r="J52" s="100">
        <v>0.53</v>
      </c>
      <c r="K52" s="100">
        <v>297.49</v>
      </c>
      <c r="L52" s="100">
        <v>26.55</v>
      </c>
      <c r="M52" s="100">
        <v>55.41</v>
      </c>
      <c r="N52" s="100">
        <v>350.8</v>
      </c>
      <c r="O52" s="100">
        <v>0</v>
      </c>
      <c r="P52" s="100">
        <v>1.02</v>
      </c>
      <c r="Q52" s="100">
        <v>12.99</v>
      </c>
      <c r="R52" s="6"/>
      <c r="S52" s="6"/>
      <c r="T52" s="156"/>
      <c r="U52" s="6"/>
    </row>
    <row r="53" spans="1:21">
      <c r="A53" s="163" t="s">
        <v>2971</v>
      </c>
      <c r="B53" s="100">
        <v>4.97</v>
      </c>
      <c r="C53" s="100">
        <v>33.53</v>
      </c>
      <c r="D53" s="100">
        <v>22.85</v>
      </c>
      <c r="E53" s="100">
        <v>9.26</v>
      </c>
      <c r="F53" s="151" t="s">
        <v>8</v>
      </c>
      <c r="G53" s="100">
        <v>114.13</v>
      </c>
      <c r="H53" s="100">
        <v>37.950000000000003</v>
      </c>
      <c r="I53" s="100">
        <v>14.71</v>
      </c>
      <c r="J53" s="100">
        <v>0.2</v>
      </c>
      <c r="K53" s="100">
        <v>128.19999999999999</v>
      </c>
      <c r="L53" s="100">
        <v>27.78</v>
      </c>
      <c r="M53" s="100">
        <v>51.84</v>
      </c>
      <c r="N53" s="100">
        <v>355.4</v>
      </c>
      <c r="O53" s="100">
        <v>0</v>
      </c>
      <c r="P53" s="100">
        <v>1.01</v>
      </c>
      <c r="Q53" s="100">
        <v>12.99</v>
      </c>
      <c r="R53" s="6"/>
      <c r="S53" s="6"/>
      <c r="T53" s="156"/>
      <c r="U53" s="6"/>
    </row>
    <row r="54" spans="1:21">
      <c r="A54" s="163" t="s">
        <v>2972</v>
      </c>
      <c r="B54" s="100">
        <v>4.4400000000000004</v>
      </c>
      <c r="C54" s="100">
        <v>32.61</v>
      </c>
      <c r="D54" s="100">
        <v>21.94</v>
      </c>
      <c r="E54" s="100">
        <v>9.1199999999999992</v>
      </c>
      <c r="F54" s="151" t="s">
        <v>8</v>
      </c>
      <c r="G54" s="100">
        <v>101.64</v>
      </c>
      <c r="H54" s="100">
        <v>36.93</v>
      </c>
      <c r="I54" s="100">
        <v>14.29</v>
      </c>
      <c r="J54" s="100">
        <v>0.26</v>
      </c>
      <c r="K54" s="100">
        <v>306.41000000000003</v>
      </c>
      <c r="L54" s="100">
        <v>28.29</v>
      </c>
      <c r="M54" s="100">
        <v>50.5</v>
      </c>
      <c r="N54" s="100">
        <v>318.39999999999998</v>
      </c>
      <c r="O54" s="100">
        <v>0</v>
      </c>
      <c r="P54" s="100">
        <v>0.99</v>
      </c>
      <c r="Q54" s="100">
        <v>12.98</v>
      </c>
      <c r="R54" s="6"/>
      <c r="S54" s="6"/>
      <c r="T54" s="156"/>
      <c r="U54" s="6"/>
    </row>
    <row r="55" spans="1:21">
      <c r="A55" s="163" t="s">
        <v>2973</v>
      </c>
      <c r="B55" s="100">
        <v>4.24</v>
      </c>
      <c r="C55" s="100">
        <v>31.33</v>
      </c>
      <c r="D55" s="100">
        <v>21.12</v>
      </c>
      <c r="E55" s="100">
        <v>9.2100000000000009</v>
      </c>
      <c r="F55" s="151" t="s">
        <v>8</v>
      </c>
      <c r="G55" s="100">
        <v>94.05</v>
      </c>
      <c r="H55" s="100">
        <v>36.729999999999997</v>
      </c>
      <c r="I55" s="100">
        <v>13.91</v>
      </c>
      <c r="J55" s="100">
        <v>0.27</v>
      </c>
      <c r="K55" s="100">
        <v>317.2</v>
      </c>
      <c r="L55" s="100">
        <v>28.73</v>
      </c>
      <c r="M55" s="100">
        <v>49.7</v>
      </c>
      <c r="N55" s="100">
        <v>355.7</v>
      </c>
      <c r="O55" s="100">
        <v>0</v>
      </c>
      <c r="P55" s="100">
        <v>0.96</v>
      </c>
      <c r="Q55" s="100">
        <v>12.98</v>
      </c>
      <c r="R55" s="6"/>
      <c r="S55" s="6"/>
      <c r="T55" s="156"/>
      <c r="U55" s="6"/>
    </row>
    <row r="56" spans="1:21">
      <c r="A56" s="163" t="s">
        <v>2974</v>
      </c>
      <c r="B56" s="100">
        <v>4.1399999999999997</v>
      </c>
      <c r="C56" s="100">
        <v>30.24</v>
      </c>
      <c r="D56" s="100">
        <v>20.47</v>
      </c>
      <c r="E56" s="100">
        <v>9.5</v>
      </c>
      <c r="F56" s="151" t="s">
        <v>8</v>
      </c>
      <c r="G56" s="100">
        <v>94.05</v>
      </c>
      <c r="H56" s="100">
        <v>36.729999999999997</v>
      </c>
      <c r="I56" s="100">
        <v>13.66</v>
      </c>
      <c r="J56" s="100">
        <v>0.63</v>
      </c>
      <c r="K56" s="100">
        <v>325.13</v>
      </c>
      <c r="L56" s="100">
        <v>29.23</v>
      </c>
      <c r="M56" s="100">
        <v>48.09</v>
      </c>
      <c r="N56" s="100">
        <v>349</v>
      </c>
      <c r="O56" s="100">
        <v>0</v>
      </c>
      <c r="P56" s="100">
        <v>0.95</v>
      </c>
      <c r="Q56" s="100">
        <v>12.97</v>
      </c>
      <c r="R56" s="6"/>
      <c r="S56" s="6"/>
      <c r="T56" s="156"/>
      <c r="U56" s="6"/>
    </row>
    <row r="57" spans="1:21">
      <c r="A57" s="163" t="s">
        <v>2975</v>
      </c>
      <c r="B57" s="100">
        <v>4.08</v>
      </c>
      <c r="C57" s="100">
        <v>29.51</v>
      </c>
      <c r="D57" s="100">
        <v>20.04</v>
      </c>
      <c r="E57" s="100">
        <v>10.61</v>
      </c>
      <c r="F57" s="151" t="s">
        <v>8</v>
      </c>
      <c r="G57" s="100">
        <v>94.05</v>
      </c>
      <c r="H57" s="100">
        <v>36.729999999999997</v>
      </c>
      <c r="I57" s="100">
        <v>13.41</v>
      </c>
      <c r="J57" s="100">
        <v>1.19</v>
      </c>
      <c r="K57" s="100">
        <v>309.66000000000003</v>
      </c>
      <c r="L57" s="100">
        <v>28.85</v>
      </c>
      <c r="M57" s="100">
        <v>50.1</v>
      </c>
      <c r="N57" s="100">
        <v>360</v>
      </c>
      <c r="O57" s="100">
        <v>0</v>
      </c>
      <c r="P57" s="100">
        <v>0.96</v>
      </c>
      <c r="Q57" s="100">
        <v>12.98</v>
      </c>
      <c r="R57" s="6"/>
      <c r="S57" s="6"/>
      <c r="T57" s="156"/>
      <c r="U57" s="6"/>
    </row>
    <row r="58" spans="1:21">
      <c r="A58" s="163" t="s">
        <v>2976</v>
      </c>
      <c r="B58" s="100">
        <v>4</v>
      </c>
      <c r="C58" s="100">
        <v>29.03</v>
      </c>
      <c r="D58" s="100">
        <v>19.73</v>
      </c>
      <c r="E58" s="100">
        <v>12.48</v>
      </c>
      <c r="F58" s="151" t="s">
        <v>8</v>
      </c>
      <c r="G58" s="100">
        <v>89.93</v>
      </c>
      <c r="H58" s="100">
        <v>36.9</v>
      </c>
      <c r="I58" s="100">
        <v>13.21</v>
      </c>
      <c r="J58" s="100">
        <v>0.43</v>
      </c>
      <c r="K58" s="100">
        <v>269.49</v>
      </c>
      <c r="L58" s="100">
        <v>29.39</v>
      </c>
      <c r="M58" s="100">
        <v>51.14</v>
      </c>
      <c r="N58" s="100">
        <v>365.1</v>
      </c>
      <c r="O58" s="100">
        <v>0</v>
      </c>
      <c r="P58" s="100">
        <v>0.98</v>
      </c>
      <c r="Q58" s="100">
        <v>12.97</v>
      </c>
      <c r="R58" s="6"/>
      <c r="S58" s="6"/>
      <c r="T58" s="156"/>
      <c r="U58" s="6"/>
    </row>
    <row r="59" spans="1:21">
      <c r="A59" s="163" t="s">
        <v>2977</v>
      </c>
      <c r="B59" s="100">
        <v>3.89</v>
      </c>
      <c r="C59" s="100">
        <v>28.39</v>
      </c>
      <c r="D59" s="100">
        <v>19.309999999999999</v>
      </c>
      <c r="E59" s="100">
        <v>12.15</v>
      </c>
      <c r="F59" s="151" t="s">
        <v>8</v>
      </c>
      <c r="G59" s="100">
        <v>87.43</v>
      </c>
      <c r="H59" s="100">
        <v>36.94</v>
      </c>
      <c r="I59" s="100">
        <v>13.31</v>
      </c>
      <c r="J59" s="100">
        <v>0.53</v>
      </c>
      <c r="K59" s="100">
        <v>263.22000000000003</v>
      </c>
      <c r="L59" s="100">
        <v>29.92</v>
      </c>
      <c r="M59" s="100">
        <v>50.58</v>
      </c>
      <c r="N59" s="100">
        <v>358.8</v>
      </c>
      <c r="O59" s="100">
        <v>0</v>
      </c>
      <c r="P59" s="100">
        <v>0.99</v>
      </c>
      <c r="Q59" s="100">
        <v>12.97</v>
      </c>
      <c r="R59" s="6"/>
      <c r="S59" s="6"/>
      <c r="T59" s="156"/>
      <c r="U59" s="6"/>
    </row>
    <row r="60" spans="1:21">
      <c r="A60" s="163" t="s">
        <v>2978</v>
      </c>
      <c r="B60" s="100">
        <v>3.72</v>
      </c>
      <c r="C60" s="100">
        <v>27.39</v>
      </c>
      <c r="D60" s="100">
        <v>18.649999999999999</v>
      </c>
      <c r="E60" s="100">
        <v>25.59</v>
      </c>
      <c r="F60" s="151" t="s">
        <v>8</v>
      </c>
      <c r="G60" s="100">
        <v>87.43</v>
      </c>
      <c r="H60" s="100">
        <v>36.94</v>
      </c>
      <c r="I60" s="100">
        <v>13.48</v>
      </c>
      <c r="J60" s="100">
        <v>0.73</v>
      </c>
      <c r="K60" s="100">
        <v>296.01</v>
      </c>
      <c r="L60" s="100">
        <v>29.73</v>
      </c>
      <c r="M60" s="100">
        <v>49.82</v>
      </c>
      <c r="N60" s="100">
        <v>347.4</v>
      </c>
      <c r="O60" s="100">
        <v>0</v>
      </c>
      <c r="P60" s="100">
        <v>1.03</v>
      </c>
      <c r="Q60" s="100">
        <v>12.96</v>
      </c>
      <c r="R60" s="6"/>
      <c r="S60" s="6"/>
      <c r="T60" s="156"/>
      <c r="U60" s="6"/>
    </row>
    <row r="61" spans="1:21">
      <c r="A61" s="163" t="s">
        <v>2979</v>
      </c>
      <c r="B61" s="100">
        <v>3.33</v>
      </c>
      <c r="C61" s="100">
        <v>26.06</v>
      </c>
      <c r="D61" s="100">
        <v>17.64</v>
      </c>
      <c r="E61" s="100">
        <v>28.54</v>
      </c>
      <c r="F61" s="151" t="s">
        <v>8</v>
      </c>
      <c r="G61" s="100">
        <v>87.43</v>
      </c>
      <c r="H61" s="100">
        <v>36.94</v>
      </c>
      <c r="I61" s="100">
        <v>13.61</v>
      </c>
      <c r="J61" s="100">
        <v>0.52</v>
      </c>
      <c r="K61" s="100">
        <v>275.25</v>
      </c>
      <c r="L61" s="100">
        <v>29.86</v>
      </c>
      <c r="M61" s="100">
        <v>49.44</v>
      </c>
      <c r="N61" s="100">
        <v>324.10000000000002</v>
      </c>
      <c r="O61" s="100">
        <v>0</v>
      </c>
      <c r="P61" s="100">
        <v>1.0900000000000001</v>
      </c>
      <c r="Q61" s="100">
        <v>12.97</v>
      </c>
      <c r="R61" s="6"/>
      <c r="S61" s="6"/>
      <c r="T61" s="156"/>
      <c r="U61" s="6"/>
    </row>
    <row r="62" spans="1:21">
      <c r="A62" s="163" t="s">
        <v>2980</v>
      </c>
      <c r="B62" s="100">
        <v>3.27</v>
      </c>
      <c r="C62" s="100">
        <v>25.38</v>
      </c>
      <c r="D62" s="100">
        <v>17.23</v>
      </c>
      <c r="E62" s="100">
        <v>27.58</v>
      </c>
      <c r="F62" s="151" t="s">
        <v>8</v>
      </c>
      <c r="G62" s="100">
        <v>88.52</v>
      </c>
      <c r="H62" s="100">
        <v>37.549999999999997</v>
      </c>
      <c r="I62" s="100">
        <v>14.33</v>
      </c>
      <c r="J62" s="100">
        <v>0.35</v>
      </c>
      <c r="K62" s="100">
        <v>309.72000000000003</v>
      </c>
      <c r="L62" s="100">
        <v>30.32</v>
      </c>
      <c r="M62" s="100">
        <v>46.53</v>
      </c>
      <c r="N62" s="100">
        <v>319.3</v>
      </c>
      <c r="O62" s="100">
        <v>0</v>
      </c>
      <c r="P62" s="100">
        <v>1.1299999999999999</v>
      </c>
      <c r="Q62" s="100">
        <v>12.96</v>
      </c>
      <c r="R62" s="6"/>
      <c r="S62" s="6"/>
      <c r="T62" s="156"/>
      <c r="U62" s="6"/>
    </row>
    <row r="63" spans="1:21">
      <c r="A63" s="163" t="s">
        <v>2981</v>
      </c>
      <c r="B63" s="100">
        <v>3.21</v>
      </c>
      <c r="C63" s="100">
        <v>25.34</v>
      </c>
      <c r="D63" s="100">
        <v>17.16</v>
      </c>
      <c r="E63" s="100">
        <v>15.14</v>
      </c>
      <c r="F63" s="151" t="s">
        <v>8</v>
      </c>
      <c r="G63" s="100">
        <v>89.18</v>
      </c>
      <c r="H63" s="100">
        <v>37.67</v>
      </c>
      <c r="I63" s="100">
        <v>15.22</v>
      </c>
      <c r="J63" s="100">
        <v>0.37</v>
      </c>
      <c r="K63" s="100">
        <v>271.68</v>
      </c>
      <c r="L63" s="100">
        <v>30.18</v>
      </c>
      <c r="M63" s="100">
        <v>47.15</v>
      </c>
      <c r="N63" s="100">
        <v>303.2</v>
      </c>
      <c r="O63" s="100">
        <v>0</v>
      </c>
      <c r="P63" s="100">
        <v>1.1200000000000001</v>
      </c>
      <c r="Q63" s="100">
        <v>12.96</v>
      </c>
      <c r="R63" s="6"/>
      <c r="S63" s="6"/>
      <c r="T63" s="156"/>
      <c r="U63" s="6"/>
    </row>
    <row r="64" spans="1:21">
      <c r="A64" s="163" t="s">
        <v>2982</v>
      </c>
      <c r="B64" s="100">
        <v>3.3</v>
      </c>
      <c r="C64" s="100">
        <v>25.17</v>
      </c>
      <c r="D64" s="100">
        <v>17.149999999999999</v>
      </c>
      <c r="E64" s="100">
        <v>18.16</v>
      </c>
      <c r="F64" s="151" t="s">
        <v>8</v>
      </c>
      <c r="G64" s="100">
        <v>89.18</v>
      </c>
      <c r="H64" s="100">
        <v>37.67</v>
      </c>
      <c r="I64" s="100">
        <v>13.77</v>
      </c>
      <c r="J64" s="100">
        <v>0.25</v>
      </c>
      <c r="K64" s="100">
        <v>214.62</v>
      </c>
      <c r="L64" s="100">
        <v>30.24</v>
      </c>
      <c r="M64" s="100">
        <v>48.16</v>
      </c>
      <c r="N64" s="100">
        <v>256.2</v>
      </c>
      <c r="O64" s="100">
        <v>0</v>
      </c>
      <c r="P64" s="100">
        <v>1.1299999999999999</v>
      </c>
      <c r="Q64" s="100">
        <v>12.96</v>
      </c>
      <c r="R64" s="6"/>
      <c r="S64" s="6"/>
      <c r="T64" s="156"/>
      <c r="U64" s="6"/>
    </row>
    <row r="65" spans="1:21">
      <c r="A65" s="163" t="s">
        <v>2983</v>
      </c>
      <c r="B65" s="100">
        <v>3.24</v>
      </c>
      <c r="C65" s="100">
        <v>24.52</v>
      </c>
      <c r="D65" s="100">
        <v>16.760000000000002</v>
      </c>
      <c r="E65" s="100">
        <v>35.380000000000003</v>
      </c>
      <c r="F65" s="151" t="s">
        <v>8</v>
      </c>
      <c r="G65" s="100">
        <v>89.18</v>
      </c>
      <c r="H65" s="100">
        <v>37.67</v>
      </c>
      <c r="I65" s="100">
        <v>14.67</v>
      </c>
      <c r="J65" s="100">
        <v>0.53</v>
      </c>
      <c r="K65" s="100">
        <v>282.17</v>
      </c>
      <c r="L65" s="100">
        <v>30.12</v>
      </c>
      <c r="M65" s="100">
        <v>49.46</v>
      </c>
      <c r="N65" s="100">
        <v>235.3</v>
      </c>
      <c r="O65" s="100">
        <v>0</v>
      </c>
      <c r="P65" s="100">
        <v>1.05</v>
      </c>
      <c r="Q65" s="100">
        <v>12.95</v>
      </c>
      <c r="R65" s="6"/>
      <c r="S65" s="6"/>
      <c r="T65" s="156"/>
      <c r="U65" s="6"/>
    </row>
    <row r="66" spans="1:21">
      <c r="A66" s="163" t="s">
        <v>2984</v>
      </c>
      <c r="B66" s="100">
        <v>3.18</v>
      </c>
      <c r="C66" s="100">
        <v>25.33</v>
      </c>
      <c r="D66" s="100">
        <v>17.13</v>
      </c>
      <c r="E66" s="100">
        <v>52.21</v>
      </c>
      <c r="F66" s="151" t="s">
        <v>8</v>
      </c>
      <c r="G66" s="100">
        <v>93.52</v>
      </c>
      <c r="H66" s="100">
        <v>37.299999999999997</v>
      </c>
      <c r="I66" s="100">
        <v>14.1</v>
      </c>
      <c r="J66" s="100">
        <v>0.36</v>
      </c>
      <c r="K66" s="100">
        <v>299.47000000000003</v>
      </c>
      <c r="L66" s="100">
        <v>30.03</v>
      </c>
      <c r="M66" s="100">
        <v>50.46</v>
      </c>
      <c r="N66" s="100">
        <v>141.69999999999999</v>
      </c>
      <c r="O66" s="100">
        <v>0</v>
      </c>
      <c r="P66" s="100">
        <v>1.22</v>
      </c>
      <c r="Q66" s="100">
        <v>12.96</v>
      </c>
      <c r="R66" s="6"/>
      <c r="S66" s="6"/>
      <c r="T66" s="156"/>
      <c r="U66" s="6"/>
    </row>
    <row r="67" spans="1:21">
      <c r="A67" s="163" t="s">
        <v>2985</v>
      </c>
      <c r="B67" s="100">
        <v>3.14</v>
      </c>
      <c r="C67" s="100">
        <v>26.9</v>
      </c>
      <c r="D67" s="100">
        <v>17.93</v>
      </c>
      <c r="E67" s="100">
        <v>23.16</v>
      </c>
      <c r="F67" s="151" t="s">
        <v>8</v>
      </c>
      <c r="G67" s="100">
        <v>96.15</v>
      </c>
      <c r="H67" s="100">
        <v>37.159999999999997</v>
      </c>
      <c r="I67" s="100">
        <v>16.75</v>
      </c>
      <c r="J67" s="100">
        <v>0.46</v>
      </c>
      <c r="K67" s="100">
        <v>280</v>
      </c>
      <c r="L67" s="100">
        <v>29.86</v>
      </c>
      <c r="M67" s="100">
        <v>51.52</v>
      </c>
      <c r="N67" s="100">
        <v>102</v>
      </c>
      <c r="O67" s="100">
        <v>0</v>
      </c>
      <c r="P67" s="100">
        <v>1.2</v>
      </c>
      <c r="Q67" s="100">
        <v>12.95</v>
      </c>
      <c r="R67" s="6"/>
      <c r="S67" s="6"/>
      <c r="T67" s="156"/>
      <c r="U67" s="6"/>
    </row>
    <row r="68" spans="1:21">
      <c r="A68" s="163" t="s">
        <v>2986</v>
      </c>
      <c r="B68" s="100">
        <v>3.19</v>
      </c>
      <c r="C68" s="100">
        <v>26.96</v>
      </c>
      <c r="D68" s="100">
        <v>18</v>
      </c>
      <c r="E68" s="100">
        <v>49.25</v>
      </c>
      <c r="F68" s="151" t="s">
        <v>8</v>
      </c>
      <c r="G68" s="100">
        <v>96.15</v>
      </c>
      <c r="H68" s="100">
        <v>37.159999999999997</v>
      </c>
      <c r="I68" s="100">
        <v>19.38</v>
      </c>
      <c r="J68" s="100">
        <v>0.5</v>
      </c>
      <c r="K68" s="100">
        <v>298.87</v>
      </c>
      <c r="L68" s="100">
        <v>29.76</v>
      </c>
      <c r="M68" s="100">
        <v>51.96</v>
      </c>
      <c r="N68" s="100">
        <v>79.8</v>
      </c>
      <c r="O68" s="100">
        <v>0</v>
      </c>
      <c r="P68" s="100">
        <v>1.2</v>
      </c>
      <c r="Q68" s="100">
        <v>12.97</v>
      </c>
      <c r="R68" s="6"/>
      <c r="S68" s="6"/>
      <c r="T68" s="156"/>
      <c r="U68" s="6"/>
    </row>
    <row r="69" spans="1:21">
      <c r="A69" s="163" t="s">
        <v>2987</v>
      </c>
      <c r="B69" s="100">
        <v>3.17</v>
      </c>
      <c r="C69" s="100">
        <v>26.46</v>
      </c>
      <c r="D69" s="100">
        <v>17.72</v>
      </c>
      <c r="E69" s="100">
        <v>45.75</v>
      </c>
      <c r="F69" s="151" t="s">
        <v>8</v>
      </c>
      <c r="G69" s="100">
        <v>96.15</v>
      </c>
      <c r="H69" s="100">
        <v>37.159999999999997</v>
      </c>
      <c r="I69" s="100">
        <v>19.809999999999999</v>
      </c>
      <c r="J69" s="100">
        <v>0.56999999999999995</v>
      </c>
      <c r="K69" s="100">
        <v>297.67</v>
      </c>
      <c r="L69" s="100">
        <v>29.79</v>
      </c>
      <c r="M69" s="100">
        <v>51.33</v>
      </c>
      <c r="N69" s="100">
        <v>72.2</v>
      </c>
      <c r="O69" s="100">
        <v>0</v>
      </c>
      <c r="P69" s="100">
        <v>1.19</v>
      </c>
      <c r="Q69" s="100">
        <v>12.95</v>
      </c>
      <c r="R69" s="6"/>
      <c r="S69" s="6"/>
      <c r="T69" s="156"/>
      <c r="U69" s="6"/>
    </row>
    <row r="70" spans="1:21">
      <c r="A70" s="163" t="s">
        <v>2988</v>
      </c>
      <c r="B70" s="100">
        <v>3.22</v>
      </c>
      <c r="C70" s="100">
        <v>26.6</v>
      </c>
      <c r="D70" s="100">
        <v>17.829999999999998</v>
      </c>
      <c r="E70" s="100">
        <v>45.18</v>
      </c>
      <c r="F70" s="151" t="s">
        <v>8</v>
      </c>
      <c r="G70" s="100">
        <v>96.15</v>
      </c>
      <c r="H70" s="100">
        <v>37.159999999999997</v>
      </c>
      <c r="I70" s="100">
        <v>20.54</v>
      </c>
      <c r="J70" s="100">
        <v>0.53</v>
      </c>
      <c r="K70" s="100">
        <v>25.28</v>
      </c>
      <c r="L70" s="100">
        <v>29.97</v>
      </c>
      <c r="M70" s="100">
        <v>50.81</v>
      </c>
      <c r="N70" s="100">
        <v>74.099999999999994</v>
      </c>
      <c r="O70" s="100">
        <v>0</v>
      </c>
      <c r="P70" s="100">
        <v>1.18</v>
      </c>
      <c r="Q70" s="100">
        <v>12.95</v>
      </c>
      <c r="R70" s="6"/>
      <c r="S70" s="6"/>
      <c r="T70" s="156"/>
      <c r="U70" s="6"/>
    </row>
    <row r="71" spans="1:21">
      <c r="A71" s="163" t="s">
        <v>2989</v>
      </c>
      <c r="B71" s="100">
        <v>3.22</v>
      </c>
      <c r="C71" s="100">
        <v>28.66</v>
      </c>
      <c r="D71" s="100">
        <v>18.91</v>
      </c>
      <c r="E71" s="100">
        <v>38.46</v>
      </c>
      <c r="F71" s="151" t="s">
        <v>8</v>
      </c>
      <c r="G71" s="100">
        <v>0</v>
      </c>
      <c r="H71" s="100">
        <v>0</v>
      </c>
      <c r="I71" s="100">
        <v>20.059999999999999</v>
      </c>
      <c r="J71" s="100">
        <v>0.42</v>
      </c>
      <c r="K71" s="100">
        <v>318.91000000000003</v>
      </c>
      <c r="L71" s="100">
        <v>29.83</v>
      </c>
      <c r="M71" s="100">
        <v>51.75</v>
      </c>
      <c r="N71" s="100">
        <v>59.2</v>
      </c>
      <c r="O71" s="100">
        <v>0</v>
      </c>
      <c r="P71" s="100">
        <v>1.1000000000000001</v>
      </c>
      <c r="Q71" s="100">
        <v>12.97</v>
      </c>
      <c r="R71" s="6"/>
      <c r="S71" s="6"/>
      <c r="T71" s="156"/>
      <c r="U71" s="6"/>
    </row>
    <row r="72" spans="1:21">
      <c r="A72" s="163" t="s">
        <v>2990</v>
      </c>
      <c r="B72" s="100">
        <v>3.19</v>
      </c>
      <c r="C72" s="100">
        <v>28.67</v>
      </c>
      <c r="D72" s="100">
        <v>18.89</v>
      </c>
      <c r="E72" s="100">
        <v>31.7</v>
      </c>
      <c r="F72" s="151" t="s">
        <v>8</v>
      </c>
      <c r="G72" s="100">
        <v>0</v>
      </c>
      <c r="H72" s="100">
        <v>0</v>
      </c>
      <c r="I72" s="100">
        <v>19.899999999999999</v>
      </c>
      <c r="J72" s="100">
        <v>0.26</v>
      </c>
      <c r="K72" s="100">
        <v>296.75</v>
      </c>
      <c r="L72" s="100">
        <v>29.7</v>
      </c>
      <c r="M72" s="100">
        <v>52.45</v>
      </c>
      <c r="N72" s="100">
        <v>45.8</v>
      </c>
      <c r="O72" s="100">
        <v>0</v>
      </c>
      <c r="P72" s="100">
        <v>1.05</v>
      </c>
      <c r="Q72" s="100">
        <v>12.98</v>
      </c>
      <c r="R72" s="6"/>
      <c r="S72" s="6"/>
      <c r="T72" s="156"/>
      <c r="U72" s="6"/>
    </row>
    <row r="73" spans="1:21">
      <c r="A73" s="163" t="s">
        <v>2991</v>
      </c>
      <c r="B73" s="100">
        <v>3.12</v>
      </c>
      <c r="C73" s="100">
        <v>27.32</v>
      </c>
      <c r="D73" s="100">
        <v>18.12</v>
      </c>
      <c r="E73" s="100">
        <v>18.7</v>
      </c>
      <c r="F73" s="151" t="s">
        <v>8</v>
      </c>
      <c r="G73" s="100">
        <v>0</v>
      </c>
      <c r="H73" s="100">
        <v>0</v>
      </c>
      <c r="I73" s="100">
        <v>18.47</v>
      </c>
      <c r="J73" s="100">
        <v>0.21</v>
      </c>
      <c r="K73" s="100">
        <v>217.38</v>
      </c>
      <c r="L73" s="100">
        <v>29.43</v>
      </c>
      <c r="M73" s="100">
        <v>53.88</v>
      </c>
      <c r="N73" s="100">
        <v>40.6</v>
      </c>
      <c r="O73" s="100">
        <v>0</v>
      </c>
      <c r="P73" s="100">
        <v>1.05</v>
      </c>
      <c r="Q73" s="100">
        <v>12.97</v>
      </c>
      <c r="R73" s="6"/>
      <c r="S73" s="6"/>
      <c r="T73" s="156"/>
      <c r="U73" s="6"/>
    </row>
    <row r="74" spans="1:21">
      <c r="A74" s="163" t="s">
        <v>2992</v>
      </c>
      <c r="B74" s="100">
        <v>3.11</v>
      </c>
      <c r="C74" s="100">
        <v>26.99</v>
      </c>
      <c r="D74" s="100">
        <v>17.95</v>
      </c>
      <c r="E74" s="100">
        <v>17.27</v>
      </c>
      <c r="F74" s="151" t="s">
        <v>8</v>
      </c>
      <c r="G74" s="100">
        <v>0</v>
      </c>
      <c r="H74" s="100">
        <v>0</v>
      </c>
      <c r="I74" s="100">
        <v>17.600000000000001</v>
      </c>
      <c r="J74" s="100">
        <v>0.05</v>
      </c>
      <c r="K74" s="100">
        <v>166.31</v>
      </c>
      <c r="L74" s="100">
        <v>29.51</v>
      </c>
      <c r="M74" s="100">
        <v>54.48</v>
      </c>
      <c r="N74" s="100">
        <v>40</v>
      </c>
      <c r="O74" s="100">
        <v>0</v>
      </c>
      <c r="P74" s="100">
        <v>1.07</v>
      </c>
      <c r="Q74" s="100">
        <v>12.97</v>
      </c>
      <c r="R74" s="6"/>
      <c r="S74" s="6"/>
      <c r="T74" s="156"/>
      <c r="U74" s="6"/>
    </row>
    <row r="75" spans="1:21">
      <c r="A75" s="163" t="s">
        <v>2993</v>
      </c>
      <c r="B75" s="100">
        <v>3.17</v>
      </c>
      <c r="C75" s="100">
        <v>26.72</v>
      </c>
      <c r="D75" s="100">
        <v>17.850000000000001</v>
      </c>
      <c r="E75" s="100">
        <v>17.2</v>
      </c>
      <c r="F75" s="151" t="s">
        <v>8</v>
      </c>
      <c r="G75" s="100">
        <v>3.43</v>
      </c>
      <c r="H75" s="100">
        <v>0.7</v>
      </c>
      <c r="I75" s="100">
        <v>17.489999999999998</v>
      </c>
      <c r="J75" s="100">
        <v>0.23</v>
      </c>
      <c r="K75" s="100">
        <v>177.69</v>
      </c>
      <c r="L75" s="100">
        <v>28.96</v>
      </c>
      <c r="M75" s="100">
        <v>57.32</v>
      </c>
      <c r="N75" s="100">
        <v>32.5</v>
      </c>
      <c r="O75" s="100">
        <v>0</v>
      </c>
      <c r="P75" s="100">
        <v>1.07</v>
      </c>
      <c r="Q75" s="100">
        <v>12.94</v>
      </c>
      <c r="R75" s="6"/>
      <c r="S75" s="6"/>
      <c r="T75" s="156"/>
      <c r="U75" s="6"/>
    </row>
    <row r="76" spans="1:21">
      <c r="A76" s="163" t="s">
        <v>2994</v>
      </c>
      <c r="B76" s="100">
        <v>3.21</v>
      </c>
      <c r="C76" s="100">
        <v>26.37</v>
      </c>
      <c r="D76" s="100">
        <v>17.7</v>
      </c>
      <c r="E76" s="100">
        <v>18.100000000000001</v>
      </c>
      <c r="F76" s="151" t="s">
        <v>8</v>
      </c>
      <c r="G76" s="100">
        <v>77.16</v>
      </c>
      <c r="H76" s="100">
        <v>23.09</v>
      </c>
      <c r="I76" s="100">
        <v>17.489999999999998</v>
      </c>
      <c r="J76" s="100">
        <v>0.26</v>
      </c>
      <c r="K76" s="100">
        <v>167.3</v>
      </c>
      <c r="L76" s="100">
        <v>28.56</v>
      </c>
      <c r="M76" s="100">
        <v>58.25</v>
      </c>
      <c r="N76" s="100">
        <v>23</v>
      </c>
      <c r="O76" s="100">
        <v>0</v>
      </c>
      <c r="P76" s="100">
        <v>1.08</v>
      </c>
      <c r="Q76" s="100">
        <v>12.96</v>
      </c>
      <c r="R76" s="6"/>
      <c r="S76" s="6"/>
      <c r="T76" s="156"/>
      <c r="U76" s="6"/>
    </row>
    <row r="77" spans="1:21">
      <c r="A77" s="163" t="s">
        <v>2995</v>
      </c>
      <c r="B77" s="100">
        <v>3.27</v>
      </c>
      <c r="C77" s="100">
        <v>26.13</v>
      </c>
      <c r="D77" s="100">
        <v>17.63</v>
      </c>
      <c r="E77" s="100">
        <v>15.02</v>
      </c>
      <c r="F77" s="151" t="s">
        <v>8</v>
      </c>
      <c r="G77" s="100">
        <v>77.16</v>
      </c>
      <c r="H77" s="100">
        <v>23.09</v>
      </c>
      <c r="I77" s="100">
        <v>17.420000000000002</v>
      </c>
      <c r="J77" s="100">
        <v>0.32</v>
      </c>
      <c r="K77" s="100">
        <v>161.56</v>
      </c>
      <c r="L77" s="100">
        <v>28.09</v>
      </c>
      <c r="M77" s="100">
        <v>60.42</v>
      </c>
      <c r="N77" s="100">
        <v>16.2</v>
      </c>
      <c r="O77" s="100">
        <v>0</v>
      </c>
      <c r="P77" s="100">
        <v>1.0900000000000001</v>
      </c>
      <c r="Q77" s="100">
        <v>12.96</v>
      </c>
      <c r="R77" s="6"/>
      <c r="S77" s="6"/>
      <c r="T77" s="156"/>
      <c r="U77" s="6"/>
    </row>
    <row r="78" spans="1:21">
      <c r="A78" s="163" t="s">
        <v>2996</v>
      </c>
      <c r="B78" s="100">
        <v>3.33</v>
      </c>
      <c r="C78" s="100">
        <v>26.09</v>
      </c>
      <c r="D78" s="100">
        <v>17.649999999999999</v>
      </c>
      <c r="E78" s="100">
        <v>14.13</v>
      </c>
      <c r="F78" s="151" t="s">
        <v>8</v>
      </c>
      <c r="G78" s="100">
        <v>77.16</v>
      </c>
      <c r="H78" s="100">
        <v>23.09</v>
      </c>
      <c r="I78" s="100">
        <v>17.46</v>
      </c>
      <c r="J78" s="100">
        <v>0.28000000000000003</v>
      </c>
      <c r="K78" s="100">
        <v>165.26</v>
      </c>
      <c r="L78" s="100">
        <v>27.3</v>
      </c>
      <c r="M78" s="100">
        <v>63.93</v>
      </c>
      <c r="N78" s="100">
        <v>10.4</v>
      </c>
      <c r="O78" s="100">
        <v>0</v>
      </c>
      <c r="P78" s="100">
        <v>1.1000000000000001</v>
      </c>
      <c r="Q78" s="100">
        <v>12.96</v>
      </c>
      <c r="R78" s="6"/>
      <c r="S78" s="6"/>
      <c r="T78" s="156"/>
      <c r="U78" s="6"/>
    </row>
    <row r="79" spans="1:21">
      <c r="A79" s="163" t="s">
        <v>2997</v>
      </c>
      <c r="B79" s="100">
        <v>3.38</v>
      </c>
      <c r="C79" s="100">
        <v>26.23</v>
      </c>
      <c r="D79" s="100">
        <v>17.77</v>
      </c>
      <c r="E79" s="100">
        <v>13.29</v>
      </c>
      <c r="F79" s="151" t="s">
        <v>8</v>
      </c>
      <c r="G79" s="100">
        <v>77.38</v>
      </c>
      <c r="H79" s="100">
        <v>23.16</v>
      </c>
      <c r="I79" s="100">
        <v>17.53</v>
      </c>
      <c r="J79" s="100">
        <v>0.28999999999999998</v>
      </c>
      <c r="K79" s="100">
        <v>163.41999999999999</v>
      </c>
      <c r="L79" s="100">
        <v>26.19</v>
      </c>
      <c r="M79" s="100">
        <v>61.56</v>
      </c>
      <c r="N79" s="100">
        <v>5.4</v>
      </c>
      <c r="O79" s="100">
        <v>0</v>
      </c>
      <c r="P79" s="100">
        <v>1.1200000000000001</v>
      </c>
      <c r="Q79" s="100">
        <v>12.96</v>
      </c>
      <c r="R79" s="6"/>
      <c r="S79" s="6"/>
      <c r="T79" s="156"/>
      <c r="U79" s="6"/>
    </row>
    <row r="80" spans="1:21">
      <c r="A80" s="163" t="s">
        <v>2998</v>
      </c>
      <c r="B80" s="100">
        <v>3.45</v>
      </c>
      <c r="C80" s="100">
        <v>26.55</v>
      </c>
      <c r="D80" s="100">
        <v>17.989999999999998</v>
      </c>
      <c r="E80" s="100">
        <v>12.75</v>
      </c>
      <c r="F80" s="151" t="s">
        <v>8</v>
      </c>
      <c r="G80" s="100">
        <v>83.73</v>
      </c>
      <c r="H80" s="100">
        <v>25.33</v>
      </c>
      <c r="I80" s="100">
        <v>17.57</v>
      </c>
      <c r="J80" s="100">
        <v>0.36</v>
      </c>
      <c r="K80" s="100">
        <v>160.65</v>
      </c>
      <c r="L80" s="100">
        <v>25.69</v>
      </c>
      <c r="M80" s="100">
        <v>58.02</v>
      </c>
      <c r="N80" s="100">
        <v>2.5</v>
      </c>
      <c r="O80" s="100">
        <v>0</v>
      </c>
      <c r="P80" s="100">
        <v>1.1299999999999999</v>
      </c>
      <c r="Q80" s="100">
        <v>12.96</v>
      </c>
      <c r="R80" s="6"/>
      <c r="S80" s="6"/>
      <c r="T80" s="156"/>
      <c r="U80" s="6"/>
    </row>
    <row r="81" spans="1:21">
      <c r="A81" s="163" t="s">
        <v>2999</v>
      </c>
      <c r="B81" s="100">
        <v>3.54</v>
      </c>
      <c r="C81" s="100">
        <v>27.27</v>
      </c>
      <c r="D81" s="100">
        <v>18.440000000000001</v>
      </c>
      <c r="E81" s="100">
        <v>7.5</v>
      </c>
      <c r="F81" s="151" t="s">
        <v>8</v>
      </c>
      <c r="G81" s="100">
        <v>83.73</v>
      </c>
      <c r="H81" s="100">
        <v>25.33</v>
      </c>
      <c r="I81" s="100">
        <v>17.63</v>
      </c>
      <c r="J81" s="100">
        <v>0.38</v>
      </c>
      <c r="K81" s="100">
        <v>162.09</v>
      </c>
      <c r="L81" s="100">
        <v>25.21</v>
      </c>
      <c r="M81" s="100">
        <v>61.64</v>
      </c>
      <c r="N81" s="100">
        <v>2.1</v>
      </c>
      <c r="O81" s="100">
        <v>0</v>
      </c>
      <c r="P81" s="100">
        <v>1.1499999999999999</v>
      </c>
      <c r="Q81" s="100">
        <v>12.97</v>
      </c>
      <c r="R81" s="6"/>
      <c r="S81" s="6"/>
      <c r="T81" s="156"/>
      <c r="U81" s="6"/>
    </row>
    <row r="82" spans="1:21">
      <c r="A82" s="163" t="s">
        <v>3000</v>
      </c>
      <c r="B82" s="100">
        <v>3.68</v>
      </c>
      <c r="C82" s="100">
        <v>28.36</v>
      </c>
      <c r="D82" s="100">
        <v>19.12</v>
      </c>
      <c r="E82" s="100">
        <v>7.97</v>
      </c>
      <c r="F82" s="151" t="s">
        <v>8</v>
      </c>
      <c r="G82" s="100">
        <v>83.73</v>
      </c>
      <c r="H82" s="100">
        <v>25.33</v>
      </c>
      <c r="I82" s="100">
        <v>15.64</v>
      </c>
      <c r="J82" s="100">
        <v>0.2</v>
      </c>
      <c r="K82" s="100">
        <v>176.42</v>
      </c>
      <c r="L82" s="100">
        <v>24.47</v>
      </c>
      <c r="M82" s="100">
        <v>68.09</v>
      </c>
      <c r="N82" s="100">
        <v>2</v>
      </c>
      <c r="O82" s="100">
        <v>0</v>
      </c>
      <c r="P82" s="100">
        <v>1.19</v>
      </c>
      <c r="Q82" s="100">
        <v>12.95</v>
      </c>
      <c r="R82" s="6"/>
      <c r="S82" s="6"/>
      <c r="T82" s="156"/>
      <c r="U82" s="6"/>
    </row>
    <row r="83" spans="1:21">
      <c r="A83" s="163" t="s">
        <v>3001</v>
      </c>
      <c r="B83" s="100">
        <v>3.84</v>
      </c>
      <c r="C83" s="100">
        <v>28.82</v>
      </c>
      <c r="D83" s="100">
        <v>19.489999999999998</v>
      </c>
      <c r="E83" s="100">
        <v>8.27</v>
      </c>
      <c r="F83" s="151" t="s">
        <v>8</v>
      </c>
      <c r="G83" s="100">
        <v>89.34</v>
      </c>
      <c r="H83" s="100">
        <v>25.73</v>
      </c>
      <c r="I83" s="100">
        <v>15.04</v>
      </c>
      <c r="J83" s="100">
        <v>0.26</v>
      </c>
      <c r="K83" s="100">
        <v>157.16</v>
      </c>
      <c r="L83" s="100">
        <v>24</v>
      </c>
      <c r="M83" s="100">
        <v>67.540000000000006</v>
      </c>
      <c r="N83" s="100">
        <v>1.6</v>
      </c>
      <c r="O83" s="100">
        <v>0</v>
      </c>
      <c r="P83" s="100">
        <v>1.25</v>
      </c>
      <c r="Q83" s="100">
        <v>12.96</v>
      </c>
      <c r="R83" s="6"/>
      <c r="S83" s="6"/>
      <c r="T83" s="156"/>
      <c r="U83" s="6"/>
    </row>
    <row r="84" spans="1:21">
      <c r="A84" s="163" t="s">
        <v>3002</v>
      </c>
      <c r="B84" s="100">
        <v>3.91</v>
      </c>
      <c r="C84" s="100">
        <v>28.5</v>
      </c>
      <c r="D84" s="100">
        <v>19.38</v>
      </c>
      <c r="E84" s="100">
        <v>7.81</v>
      </c>
      <c r="F84" s="151" t="s">
        <v>8</v>
      </c>
      <c r="G84" s="100">
        <v>209.88</v>
      </c>
      <c r="H84" s="100">
        <v>38.46</v>
      </c>
      <c r="I84" s="100">
        <v>15.27</v>
      </c>
      <c r="J84" s="100">
        <v>0.24</v>
      </c>
      <c r="K84" s="100">
        <v>169.93</v>
      </c>
      <c r="L84" s="100">
        <v>23.99</v>
      </c>
      <c r="M84" s="100">
        <v>66.61</v>
      </c>
      <c r="N84" s="100">
        <v>1.6</v>
      </c>
      <c r="O84" s="100">
        <v>0</v>
      </c>
      <c r="P84" s="100">
        <v>1.27</v>
      </c>
      <c r="Q84" s="100">
        <v>12.97</v>
      </c>
      <c r="R84" s="6"/>
      <c r="S84" s="6"/>
      <c r="T84" s="156"/>
      <c r="U84" s="6"/>
    </row>
    <row r="85" spans="1:21">
      <c r="A85" s="163" t="s">
        <v>3003</v>
      </c>
      <c r="B85" s="100">
        <v>3.97</v>
      </c>
      <c r="C85" s="100">
        <v>28.47</v>
      </c>
      <c r="D85" s="100">
        <v>19.41</v>
      </c>
      <c r="E85" s="100">
        <v>8.39</v>
      </c>
      <c r="F85" s="151" t="s">
        <v>8</v>
      </c>
      <c r="G85" s="100">
        <v>209.88</v>
      </c>
      <c r="H85" s="100">
        <v>38.46</v>
      </c>
      <c r="I85" s="100">
        <v>15.71</v>
      </c>
      <c r="J85" s="100">
        <v>0.22</v>
      </c>
      <c r="K85" s="100">
        <v>166.65</v>
      </c>
      <c r="L85" s="100">
        <v>23.39</v>
      </c>
      <c r="M85" s="100">
        <v>72.72</v>
      </c>
      <c r="N85" s="100">
        <v>1.7</v>
      </c>
      <c r="O85" s="100">
        <v>0</v>
      </c>
      <c r="P85" s="100">
        <v>1.29</v>
      </c>
      <c r="Q85" s="100">
        <v>12.96</v>
      </c>
      <c r="R85" s="6"/>
      <c r="S85" s="6"/>
      <c r="T85" s="156"/>
      <c r="U85" s="6"/>
    </row>
    <row r="86" spans="1:21">
      <c r="A86" s="163" t="s">
        <v>3004</v>
      </c>
      <c r="B86" s="100">
        <v>4.05</v>
      </c>
      <c r="C86" s="100">
        <v>28.31</v>
      </c>
      <c r="D86" s="100">
        <v>19.39</v>
      </c>
      <c r="E86" s="100">
        <v>8.3800000000000008</v>
      </c>
      <c r="F86" s="151" t="s">
        <v>8</v>
      </c>
      <c r="G86" s="100">
        <v>209.88</v>
      </c>
      <c r="H86" s="100">
        <v>38.46</v>
      </c>
      <c r="I86" s="100">
        <v>16.010000000000002</v>
      </c>
      <c r="J86" s="100">
        <v>0.23</v>
      </c>
      <c r="K86" s="100">
        <v>168.56</v>
      </c>
      <c r="L86" s="100">
        <v>23.09</v>
      </c>
      <c r="M86" s="100">
        <v>70.83</v>
      </c>
      <c r="N86" s="100">
        <v>1.6</v>
      </c>
      <c r="O86" s="100">
        <v>0</v>
      </c>
      <c r="P86" s="100">
        <v>1.33</v>
      </c>
      <c r="Q86" s="100">
        <v>12.95</v>
      </c>
      <c r="R86" s="6"/>
      <c r="S86" s="6"/>
      <c r="T86" s="156"/>
      <c r="U86" s="6"/>
    </row>
    <row r="87" spans="1:21">
      <c r="A87" s="163" t="s">
        <v>3005</v>
      </c>
      <c r="B87" s="100">
        <v>4.17</v>
      </c>
      <c r="C87" s="100">
        <v>28.17</v>
      </c>
      <c r="D87" s="100">
        <v>19.41</v>
      </c>
      <c r="E87" s="100">
        <v>8.56</v>
      </c>
      <c r="F87" s="151" t="s">
        <v>8</v>
      </c>
      <c r="G87" s="100">
        <v>207.57</v>
      </c>
      <c r="H87" s="100">
        <v>38.68</v>
      </c>
      <c r="I87" s="100">
        <v>16.29</v>
      </c>
      <c r="J87" s="100">
        <v>0.25</v>
      </c>
      <c r="K87" s="100">
        <v>204.07</v>
      </c>
      <c r="L87" s="100">
        <v>22.75</v>
      </c>
      <c r="M87" s="100">
        <v>75.150000000000006</v>
      </c>
      <c r="N87" s="100">
        <v>1.7</v>
      </c>
      <c r="O87" s="100">
        <v>0</v>
      </c>
      <c r="P87" s="100">
        <v>1.36</v>
      </c>
      <c r="Q87" s="100">
        <v>12.95</v>
      </c>
      <c r="R87" s="6"/>
      <c r="S87" s="6"/>
      <c r="T87" s="156"/>
      <c r="U87" s="6"/>
    </row>
    <row r="88" spans="1:21">
      <c r="A88" s="163" t="s">
        <v>3006</v>
      </c>
      <c r="B88" s="100">
        <v>4.2300000000000004</v>
      </c>
      <c r="C88" s="100">
        <v>28.06</v>
      </c>
      <c r="D88" s="100">
        <v>19.399999999999999</v>
      </c>
      <c r="E88" s="100">
        <v>8.44</v>
      </c>
      <c r="F88" s="151" t="s">
        <v>8</v>
      </c>
      <c r="G88" s="100">
        <v>157.91</v>
      </c>
      <c r="H88" s="100">
        <v>45.66</v>
      </c>
      <c r="I88" s="100">
        <v>16.68</v>
      </c>
      <c r="J88" s="100">
        <v>0.2</v>
      </c>
      <c r="K88" s="100">
        <v>174.76</v>
      </c>
      <c r="L88" s="100">
        <v>22.28</v>
      </c>
      <c r="M88" s="100">
        <v>74.92</v>
      </c>
      <c r="N88" s="100">
        <v>1.6</v>
      </c>
      <c r="O88" s="100">
        <v>0</v>
      </c>
      <c r="P88" s="100">
        <v>1.39</v>
      </c>
      <c r="Q88" s="100">
        <v>12.95</v>
      </c>
      <c r="R88" s="6"/>
      <c r="S88" s="6"/>
      <c r="T88" s="156"/>
      <c r="U88" s="6"/>
    </row>
    <row r="89" spans="1:21">
      <c r="A89" s="163" t="s">
        <v>3007</v>
      </c>
      <c r="B89" s="100">
        <v>4.3</v>
      </c>
      <c r="C89" s="100">
        <v>27.96</v>
      </c>
      <c r="D89" s="100">
        <v>19.41</v>
      </c>
      <c r="E89" s="100">
        <v>7.94</v>
      </c>
      <c r="F89" s="151" t="s">
        <v>8</v>
      </c>
      <c r="G89" s="100">
        <v>157.91</v>
      </c>
      <c r="H89" s="100">
        <v>45.66</v>
      </c>
      <c r="I89" s="100">
        <v>18.8</v>
      </c>
      <c r="J89" s="100">
        <v>0.16</v>
      </c>
      <c r="K89" s="100">
        <v>179.31</v>
      </c>
      <c r="L89" s="100">
        <v>21.98</v>
      </c>
      <c r="M89" s="100">
        <v>73.790000000000006</v>
      </c>
      <c r="N89" s="100">
        <v>1.5</v>
      </c>
      <c r="O89" s="100">
        <v>0</v>
      </c>
      <c r="P89" s="100">
        <v>1.41</v>
      </c>
      <c r="Q89" s="100">
        <v>12.94</v>
      </c>
      <c r="R89" s="6"/>
      <c r="S89" s="6"/>
      <c r="T89" s="156"/>
      <c r="U89" s="6"/>
    </row>
    <row r="90" spans="1:21">
      <c r="A90" s="163" t="s">
        <v>3008</v>
      </c>
      <c r="B90" s="100">
        <v>4.3499999999999996</v>
      </c>
      <c r="C90" s="100">
        <v>27.89</v>
      </c>
      <c r="D90" s="100">
        <v>19.41</v>
      </c>
      <c r="E90" s="100">
        <v>7.98</v>
      </c>
      <c r="F90" s="151" t="s">
        <v>8</v>
      </c>
      <c r="G90" s="100">
        <v>157.91</v>
      </c>
      <c r="H90" s="100">
        <v>45.66</v>
      </c>
      <c r="I90" s="100">
        <v>17.87</v>
      </c>
      <c r="J90" s="100">
        <v>0.16</v>
      </c>
      <c r="K90" s="100">
        <v>157.19999999999999</v>
      </c>
      <c r="L90" s="100">
        <v>21.82</v>
      </c>
      <c r="M90" s="100">
        <v>74.67</v>
      </c>
      <c r="N90" s="100">
        <v>1.4</v>
      </c>
      <c r="O90" s="100">
        <v>0</v>
      </c>
      <c r="P90" s="100">
        <v>1.42</v>
      </c>
      <c r="Q90" s="100">
        <v>12.96</v>
      </c>
      <c r="R90" s="6"/>
      <c r="S90" s="6"/>
      <c r="T90" s="156"/>
      <c r="U90" s="6"/>
    </row>
    <row r="91" spans="1:21">
      <c r="A91" s="163" t="s">
        <v>3009</v>
      </c>
      <c r="B91" s="100">
        <v>4.37</v>
      </c>
      <c r="C91" s="100">
        <v>27.7</v>
      </c>
      <c r="D91" s="100">
        <v>19.32</v>
      </c>
      <c r="E91" s="100">
        <v>8.02</v>
      </c>
      <c r="F91" s="151" t="s">
        <v>8</v>
      </c>
      <c r="G91" s="100">
        <v>156.81</v>
      </c>
      <c r="H91" s="100">
        <v>45.55</v>
      </c>
      <c r="I91" s="100">
        <v>19.41</v>
      </c>
      <c r="J91" s="100">
        <v>0.16</v>
      </c>
      <c r="K91" s="100">
        <v>168.24</v>
      </c>
      <c r="L91" s="100">
        <v>21.77</v>
      </c>
      <c r="M91" s="100">
        <v>72.14</v>
      </c>
      <c r="N91" s="100">
        <v>1.2</v>
      </c>
      <c r="O91" s="100">
        <v>0</v>
      </c>
      <c r="P91" s="100">
        <v>1.43</v>
      </c>
      <c r="Q91" s="100">
        <v>12.96</v>
      </c>
      <c r="R91" s="6"/>
      <c r="S91" s="6"/>
      <c r="T91" s="156"/>
      <c r="U91" s="6"/>
    </row>
    <row r="92" spans="1:21">
      <c r="A92" s="163" t="s">
        <v>3010</v>
      </c>
      <c r="B92" s="100">
        <v>4.3600000000000003</v>
      </c>
      <c r="C92" s="100">
        <v>27.56</v>
      </c>
      <c r="D92" s="100">
        <v>19.25</v>
      </c>
      <c r="E92" s="100">
        <v>7.91</v>
      </c>
      <c r="F92" s="151" t="s">
        <v>8</v>
      </c>
      <c r="G92" s="100">
        <v>133.28</v>
      </c>
      <c r="H92" s="100">
        <v>42.23</v>
      </c>
      <c r="I92" s="100">
        <v>20.170000000000002</v>
      </c>
      <c r="J92" s="100">
        <v>0.19</v>
      </c>
      <c r="K92" s="100">
        <v>224.43</v>
      </c>
      <c r="L92" s="100">
        <v>21.55</v>
      </c>
      <c r="M92" s="100">
        <v>74.11</v>
      </c>
      <c r="N92" s="100">
        <v>1.4</v>
      </c>
      <c r="O92" s="100">
        <v>0</v>
      </c>
      <c r="P92" s="100">
        <v>1.43</v>
      </c>
      <c r="Q92" s="100">
        <v>12.97</v>
      </c>
      <c r="R92" s="6"/>
      <c r="S92" s="6"/>
      <c r="T92" s="156"/>
      <c r="U92" s="6"/>
    </row>
    <row r="93" spans="1:21">
      <c r="A93" s="163" t="s">
        <v>3011</v>
      </c>
      <c r="B93" s="100">
        <v>4.46</v>
      </c>
      <c r="C93" s="100">
        <v>27.7</v>
      </c>
      <c r="D93" s="100">
        <v>19.399999999999999</v>
      </c>
      <c r="E93" s="100">
        <v>8.2100000000000009</v>
      </c>
      <c r="F93" s="151" t="s">
        <v>8</v>
      </c>
      <c r="G93" s="100">
        <v>133.28</v>
      </c>
      <c r="H93" s="100">
        <v>42.23</v>
      </c>
      <c r="I93" s="100">
        <v>20.28</v>
      </c>
      <c r="J93" s="100">
        <v>0.17</v>
      </c>
      <c r="K93" s="100">
        <v>177.9</v>
      </c>
      <c r="L93" s="100">
        <v>21.21</v>
      </c>
      <c r="M93" s="100">
        <v>75.92</v>
      </c>
      <c r="N93" s="100">
        <v>1.5</v>
      </c>
      <c r="O93" s="100">
        <v>0</v>
      </c>
      <c r="P93" s="100">
        <v>1.44</v>
      </c>
      <c r="Q93" s="100">
        <v>12.96</v>
      </c>
      <c r="R93" s="6"/>
      <c r="S93" s="6"/>
      <c r="T93" s="156"/>
      <c r="U93" s="6"/>
    </row>
    <row r="94" spans="1:21">
      <c r="A94" s="163" t="s">
        <v>3012</v>
      </c>
      <c r="B94" s="100">
        <v>4.71</v>
      </c>
      <c r="C94" s="100">
        <v>27.6</v>
      </c>
      <c r="D94" s="100">
        <v>19.55</v>
      </c>
      <c r="E94" s="100">
        <v>8.5</v>
      </c>
      <c r="F94" s="151" t="s">
        <v>8</v>
      </c>
      <c r="G94" s="100">
        <v>133.28</v>
      </c>
      <c r="H94" s="100">
        <v>42.23</v>
      </c>
      <c r="I94" s="100">
        <v>20.34</v>
      </c>
      <c r="J94" s="100">
        <v>0.21</v>
      </c>
      <c r="K94" s="100">
        <v>167.98</v>
      </c>
      <c r="L94" s="100">
        <v>20.94</v>
      </c>
      <c r="M94" s="100">
        <v>77.87</v>
      </c>
      <c r="N94" s="100">
        <v>1.4</v>
      </c>
      <c r="O94" s="100">
        <v>0</v>
      </c>
      <c r="P94" s="100">
        <v>1.44</v>
      </c>
      <c r="Q94" s="100">
        <v>12.95</v>
      </c>
      <c r="R94" s="6"/>
      <c r="S94" s="6"/>
      <c r="T94" s="156"/>
      <c r="U94" s="6"/>
    </row>
    <row r="95" spans="1:21">
      <c r="A95" s="163" t="s">
        <v>3013</v>
      </c>
      <c r="B95" s="100">
        <v>4.97</v>
      </c>
      <c r="C95" s="100">
        <v>27.58</v>
      </c>
      <c r="D95" s="100">
        <v>19.75</v>
      </c>
      <c r="E95" s="100">
        <v>8.1</v>
      </c>
      <c r="F95" s="151" t="s">
        <v>8</v>
      </c>
      <c r="G95" s="100">
        <v>133.06</v>
      </c>
      <c r="H95" s="100">
        <v>42.23</v>
      </c>
      <c r="I95" s="100">
        <v>20.38</v>
      </c>
      <c r="J95" s="100">
        <v>0.22</v>
      </c>
      <c r="K95" s="100">
        <v>162.91</v>
      </c>
      <c r="L95" s="100">
        <v>20.83</v>
      </c>
      <c r="M95" s="100">
        <v>79.819999999999993</v>
      </c>
      <c r="N95" s="100">
        <v>1.4</v>
      </c>
      <c r="O95" s="100">
        <v>0</v>
      </c>
      <c r="P95" s="100">
        <v>1.44</v>
      </c>
      <c r="Q95" s="100">
        <v>12.94</v>
      </c>
      <c r="R95" s="6"/>
      <c r="S95" s="6"/>
      <c r="T95" s="156"/>
      <c r="U95" s="6"/>
    </row>
    <row r="96" spans="1:21">
      <c r="A96" s="163" t="s">
        <v>3014</v>
      </c>
      <c r="B96" s="100">
        <v>5.22</v>
      </c>
      <c r="C96" s="100">
        <v>27.39</v>
      </c>
      <c r="D96" s="100">
        <v>19.850000000000001</v>
      </c>
      <c r="E96" s="100">
        <v>8.43</v>
      </c>
      <c r="F96" s="151" t="s">
        <v>8</v>
      </c>
      <c r="G96" s="100">
        <v>126.78</v>
      </c>
      <c r="H96" s="100">
        <v>42.25</v>
      </c>
      <c r="I96" s="100">
        <v>20.53</v>
      </c>
      <c r="J96" s="100">
        <v>0.17</v>
      </c>
      <c r="K96" s="100">
        <v>161.34</v>
      </c>
      <c r="L96" s="100">
        <v>20.66</v>
      </c>
      <c r="M96" s="100">
        <v>79.599999999999994</v>
      </c>
      <c r="N96" s="100">
        <v>1.4</v>
      </c>
      <c r="O96" s="100">
        <v>0</v>
      </c>
      <c r="P96" s="100">
        <v>1.45</v>
      </c>
      <c r="Q96" s="100">
        <v>12.95</v>
      </c>
      <c r="R96" s="6"/>
      <c r="S96" s="6"/>
      <c r="T96" s="156"/>
      <c r="U96" s="6"/>
    </row>
    <row r="97" spans="1:21">
      <c r="A97" s="163" t="s">
        <v>3015</v>
      </c>
      <c r="B97" s="100">
        <v>5.44</v>
      </c>
      <c r="C97" s="100">
        <v>27.12</v>
      </c>
      <c r="D97" s="100">
        <v>19.88</v>
      </c>
      <c r="E97" s="100">
        <v>8.4499999999999993</v>
      </c>
      <c r="F97" s="151" t="s">
        <v>8</v>
      </c>
      <c r="G97" s="100">
        <v>126.78</v>
      </c>
      <c r="H97" s="100">
        <v>42.25</v>
      </c>
      <c r="I97" s="100">
        <v>20.74</v>
      </c>
      <c r="J97" s="100">
        <v>0.14000000000000001</v>
      </c>
      <c r="K97" s="100">
        <v>181.33</v>
      </c>
      <c r="L97" s="100">
        <v>20.59</v>
      </c>
      <c r="M97" s="100">
        <v>75.77</v>
      </c>
      <c r="N97" s="100">
        <v>1.4</v>
      </c>
      <c r="O97" s="100">
        <v>0</v>
      </c>
      <c r="P97" s="100">
        <v>1.45</v>
      </c>
      <c r="Q97" s="100">
        <v>12.94</v>
      </c>
      <c r="R97" s="6"/>
      <c r="S97" s="6"/>
      <c r="T97" s="156"/>
      <c r="U97" s="6"/>
    </row>
    <row r="98" spans="1:21">
      <c r="A98" s="163" t="s">
        <v>3016</v>
      </c>
      <c r="B98" s="100">
        <v>5.55</v>
      </c>
      <c r="C98" s="100">
        <v>27.08</v>
      </c>
      <c r="D98" s="100">
        <v>19.95</v>
      </c>
      <c r="E98" s="100">
        <v>8.7200000000000006</v>
      </c>
      <c r="F98" s="151" t="s">
        <v>8</v>
      </c>
      <c r="G98" s="100">
        <v>126.78</v>
      </c>
      <c r="H98" s="100">
        <v>42.25</v>
      </c>
      <c r="I98" s="100">
        <v>20.84</v>
      </c>
      <c r="J98" s="100">
        <v>0.17</v>
      </c>
      <c r="K98" s="100">
        <v>173.15</v>
      </c>
      <c r="L98" s="100">
        <v>20.45</v>
      </c>
      <c r="M98" s="100">
        <v>80.58</v>
      </c>
      <c r="N98" s="100">
        <v>1.4</v>
      </c>
      <c r="O98" s="100">
        <v>0</v>
      </c>
      <c r="P98" s="100">
        <v>1.46</v>
      </c>
      <c r="Q98" s="100">
        <v>12.96</v>
      </c>
      <c r="R98" s="6"/>
      <c r="S98" s="6"/>
      <c r="T98" s="156"/>
      <c r="U98" s="6"/>
    </row>
    <row r="99" spans="1:21">
      <c r="A99" s="163" t="s">
        <v>3017</v>
      </c>
      <c r="B99" s="100">
        <v>5.68</v>
      </c>
      <c r="C99" s="100">
        <v>26.88</v>
      </c>
      <c r="D99" s="100">
        <v>19.95</v>
      </c>
      <c r="E99" s="100">
        <v>8.7799999999999994</v>
      </c>
      <c r="F99" s="151" t="s">
        <v>8</v>
      </c>
      <c r="G99" s="100">
        <v>125.85</v>
      </c>
      <c r="H99" s="100">
        <v>42.12</v>
      </c>
      <c r="I99" s="100">
        <v>20.92</v>
      </c>
      <c r="J99" s="100">
        <v>0.2</v>
      </c>
      <c r="K99" s="100">
        <v>205.28</v>
      </c>
      <c r="L99" s="100">
        <v>19.97</v>
      </c>
      <c r="M99" s="100">
        <v>83.09</v>
      </c>
      <c r="N99" s="100">
        <v>1.7</v>
      </c>
      <c r="O99" s="100">
        <v>0</v>
      </c>
      <c r="P99" s="100">
        <v>1.46</v>
      </c>
      <c r="Q99" s="100">
        <v>12.95</v>
      </c>
      <c r="R99" s="6"/>
      <c r="S99" s="6"/>
      <c r="T99" s="156"/>
      <c r="U99" s="6"/>
    </row>
    <row r="100" spans="1:21">
      <c r="A100" s="163" t="s">
        <v>3018</v>
      </c>
      <c r="B100" s="100">
        <v>5.81</v>
      </c>
      <c r="C100" s="100">
        <v>26.83</v>
      </c>
      <c r="D100" s="100">
        <v>20.03</v>
      </c>
      <c r="E100" s="100">
        <v>8.76</v>
      </c>
      <c r="F100" s="151" t="s">
        <v>8</v>
      </c>
      <c r="G100" s="100">
        <v>105.83</v>
      </c>
      <c r="H100" s="100">
        <v>37.97</v>
      </c>
      <c r="I100" s="100">
        <v>20.9</v>
      </c>
      <c r="J100" s="100">
        <v>0.16</v>
      </c>
      <c r="K100" s="100">
        <v>191.26</v>
      </c>
      <c r="L100" s="100">
        <v>19.86</v>
      </c>
      <c r="M100" s="100">
        <v>83.81</v>
      </c>
      <c r="N100" s="100">
        <v>1.4</v>
      </c>
      <c r="O100" s="100">
        <v>0</v>
      </c>
      <c r="P100" s="100">
        <v>1.47</v>
      </c>
      <c r="Q100" s="100">
        <v>12.96</v>
      </c>
      <c r="R100" s="6"/>
      <c r="S100" s="6"/>
      <c r="T100" s="156"/>
      <c r="U100" s="6"/>
    </row>
    <row r="101" spans="1:21">
      <c r="A101" s="163" t="s">
        <v>3019</v>
      </c>
      <c r="B101" s="100">
        <v>6</v>
      </c>
      <c r="C101" s="100">
        <v>26.64</v>
      </c>
      <c r="D101" s="100">
        <v>20.079999999999998</v>
      </c>
      <c r="E101" s="100">
        <v>9.18</v>
      </c>
      <c r="F101" s="151" t="s">
        <v>8</v>
      </c>
      <c r="G101" s="100">
        <v>105.83</v>
      </c>
      <c r="H101" s="100">
        <v>37.97</v>
      </c>
      <c r="I101" s="100">
        <v>20.92</v>
      </c>
      <c r="J101" s="100">
        <v>0.18</v>
      </c>
      <c r="K101" s="100">
        <v>211.55</v>
      </c>
      <c r="L101" s="100">
        <v>19.78</v>
      </c>
      <c r="M101" s="100">
        <v>85.3</v>
      </c>
      <c r="N101" s="100">
        <v>1.4</v>
      </c>
      <c r="O101" s="100">
        <v>0</v>
      </c>
      <c r="P101" s="100">
        <v>1.47</v>
      </c>
      <c r="Q101" s="100">
        <v>12.94</v>
      </c>
      <c r="R101" s="6"/>
      <c r="S101" s="6"/>
      <c r="T101" s="156"/>
      <c r="U101" s="6"/>
    </row>
    <row r="102" spans="1:21">
      <c r="A102" s="163" t="s">
        <v>3020</v>
      </c>
      <c r="B102" s="100">
        <v>6.2</v>
      </c>
      <c r="C102" s="100">
        <v>26.37</v>
      </c>
      <c r="D102" s="100">
        <v>20.100000000000001</v>
      </c>
      <c r="E102" s="100">
        <v>8.36</v>
      </c>
      <c r="F102" s="151" t="s">
        <v>8</v>
      </c>
      <c r="G102" s="100">
        <v>105.83</v>
      </c>
      <c r="H102" s="100">
        <v>37.97</v>
      </c>
      <c r="I102" s="100">
        <v>20.9</v>
      </c>
      <c r="J102" s="100">
        <v>0.22</v>
      </c>
      <c r="K102" s="100">
        <v>233.18</v>
      </c>
      <c r="L102" s="100">
        <v>19.68</v>
      </c>
      <c r="M102" s="100">
        <v>82.47</v>
      </c>
      <c r="N102" s="100">
        <v>1.4</v>
      </c>
      <c r="O102" s="100">
        <v>0</v>
      </c>
      <c r="P102" s="100">
        <v>1.48</v>
      </c>
      <c r="Q102" s="100">
        <v>12.96</v>
      </c>
      <c r="R102" s="6"/>
      <c r="S102" s="6"/>
      <c r="T102" s="156"/>
      <c r="U102" s="6"/>
    </row>
    <row r="103" spans="1:21">
      <c r="A103" s="163" t="s">
        <v>3021</v>
      </c>
      <c r="B103" s="100">
        <v>6.36</v>
      </c>
      <c r="C103" s="100">
        <v>26.29</v>
      </c>
      <c r="D103" s="100">
        <v>20.190000000000001</v>
      </c>
      <c r="E103" s="100">
        <v>8.73</v>
      </c>
      <c r="F103" s="151" t="s">
        <v>8</v>
      </c>
      <c r="G103" s="100">
        <v>105.99</v>
      </c>
      <c r="H103" s="100">
        <v>38.119999999999997</v>
      </c>
      <c r="I103" s="100">
        <v>20.92</v>
      </c>
      <c r="J103" s="100">
        <v>0.13</v>
      </c>
      <c r="K103" s="100">
        <v>161.08000000000001</v>
      </c>
      <c r="L103" s="100">
        <v>19.71</v>
      </c>
      <c r="M103" s="100">
        <v>83.31</v>
      </c>
      <c r="N103" s="100">
        <v>1.3</v>
      </c>
      <c r="O103" s="100">
        <v>0</v>
      </c>
      <c r="P103" s="100">
        <v>1.5</v>
      </c>
      <c r="Q103" s="100">
        <v>12.97</v>
      </c>
      <c r="R103" s="6"/>
      <c r="S103" s="6"/>
      <c r="T103" s="156"/>
      <c r="U103" s="6"/>
    </row>
    <row r="104" spans="1:21">
      <c r="A104" s="163" t="s">
        <v>3022</v>
      </c>
      <c r="B104" s="100">
        <v>6.56</v>
      </c>
      <c r="C104" s="100">
        <v>26.51</v>
      </c>
      <c r="D104" s="100">
        <v>20.46</v>
      </c>
      <c r="E104" s="100">
        <v>8.99</v>
      </c>
      <c r="F104" s="151" t="s">
        <v>8</v>
      </c>
      <c r="G104" s="100">
        <v>110.61</v>
      </c>
      <c r="H104" s="100">
        <v>43.11</v>
      </c>
      <c r="I104" s="100">
        <v>21.05</v>
      </c>
      <c r="J104" s="100">
        <v>0.17</v>
      </c>
      <c r="K104" s="100">
        <v>168.35</v>
      </c>
      <c r="L104" s="100">
        <v>19.899999999999999</v>
      </c>
      <c r="M104" s="100">
        <v>83.1</v>
      </c>
      <c r="N104" s="100">
        <v>1.2</v>
      </c>
      <c r="O104" s="100">
        <v>0</v>
      </c>
      <c r="P104" s="100">
        <v>1.5</v>
      </c>
      <c r="Q104" s="100">
        <v>12.95</v>
      </c>
      <c r="R104" s="6"/>
      <c r="S104" s="6"/>
      <c r="T104" s="156"/>
      <c r="U104" s="6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57" t="s">
        <v>48</v>
      </c>
      <c r="B106" s="158">
        <f>MIN(B9:B104)</f>
        <v>3.11</v>
      </c>
      <c r="C106" s="158">
        <f>MIN(C9:C104)</f>
        <v>24.52</v>
      </c>
      <c r="D106" s="158">
        <f t="shared" ref="D106:Q106" si="0">MIN(D9:D104)</f>
        <v>16.760000000000002</v>
      </c>
      <c r="E106" s="158">
        <f t="shared" si="0"/>
        <v>7.5</v>
      </c>
      <c r="F106" s="158">
        <f t="shared" si="0"/>
        <v>0</v>
      </c>
      <c r="G106" s="158">
        <f t="shared" si="0"/>
        <v>0</v>
      </c>
      <c r="H106" s="158">
        <f t="shared" si="0"/>
        <v>0</v>
      </c>
      <c r="I106" s="158">
        <f t="shared" si="0"/>
        <v>12.9</v>
      </c>
      <c r="J106" s="158">
        <f t="shared" si="0"/>
        <v>0.04</v>
      </c>
      <c r="K106" s="158">
        <f t="shared" si="0"/>
        <v>10.99</v>
      </c>
      <c r="L106" s="158">
        <f t="shared" si="0"/>
        <v>15.51</v>
      </c>
      <c r="M106" s="158">
        <f t="shared" si="0"/>
        <v>46.53</v>
      </c>
      <c r="N106" s="158">
        <f t="shared" si="0"/>
        <v>0.6</v>
      </c>
      <c r="O106" s="158">
        <f t="shared" si="0"/>
        <v>0</v>
      </c>
      <c r="P106" s="158">
        <f t="shared" si="0"/>
        <v>0.95</v>
      </c>
      <c r="Q106" s="158">
        <f t="shared" si="0"/>
        <v>12.94</v>
      </c>
      <c r="R106" s="158"/>
      <c r="S106" s="158"/>
      <c r="T106" s="158"/>
      <c r="U106" s="158"/>
    </row>
    <row r="107" spans="1:21">
      <c r="A107" s="157" t="s">
        <v>49</v>
      </c>
      <c r="B107" s="157">
        <f>MAX(B9:B104)</f>
        <v>35.06</v>
      </c>
      <c r="C107" s="157">
        <f t="shared" ref="C107:Q107" si="1">MAX(C9:C104)</f>
        <v>34.42</v>
      </c>
      <c r="D107" s="157">
        <f t="shared" si="1"/>
        <v>44.66</v>
      </c>
      <c r="E107" s="157">
        <f t="shared" si="1"/>
        <v>52.21</v>
      </c>
      <c r="F107" s="157">
        <f t="shared" si="1"/>
        <v>0</v>
      </c>
      <c r="G107" s="157">
        <f t="shared" si="1"/>
        <v>209.88</v>
      </c>
      <c r="H107" s="157">
        <f t="shared" si="1"/>
        <v>45.66</v>
      </c>
      <c r="I107" s="157">
        <f t="shared" si="1"/>
        <v>21.05</v>
      </c>
      <c r="J107" s="157">
        <f t="shared" si="1"/>
        <v>1.19</v>
      </c>
      <c r="K107" s="157">
        <f t="shared" si="1"/>
        <v>355.89</v>
      </c>
      <c r="L107" s="157">
        <f t="shared" si="1"/>
        <v>30.32</v>
      </c>
      <c r="M107" s="157">
        <f t="shared" si="1"/>
        <v>94.12</v>
      </c>
      <c r="N107" s="157">
        <f t="shared" si="1"/>
        <v>365.1</v>
      </c>
      <c r="O107" s="157">
        <f t="shared" si="1"/>
        <v>0</v>
      </c>
      <c r="P107" s="157">
        <f t="shared" si="1"/>
        <v>1.5</v>
      </c>
      <c r="Q107" s="157">
        <f t="shared" si="1"/>
        <v>13.23</v>
      </c>
      <c r="R107" s="157"/>
      <c r="S107" s="157"/>
      <c r="T107" s="157"/>
      <c r="U107" s="157"/>
    </row>
    <row r="108" spans="1:21">
      <c r="A108" s="157" t="s">
        <v>50</v>
      </c>
      <c r="B108" s="158">
        <f>AVERAGE(B9:B104)</f>
        <v>13.925833333333335</v>
      </c>
      <c r="C108" s="158">
        <f t="shared" ref="C108:Q108" si="2">AVERAGE(C9:C104)</f>
        <v>28.697395833333331</v>
      </c>
      <c r="D108" s="158">
        <f t="shared" si="2"/>
        <v>27.51229166666667</v>
      </c>
      <c r="E108" s="158">
        <f t="shared" si="2"/>
        <v>13.735520833333338</v>
      </c>
      <c r="F108" s="158" t="e">
        <f t="shared" si="2"/>
        <v>#DIV/0!</v>
      </c>
      <c r="G108" s="158">
        <f t="shared" si="2"/>
        <v>110.99395833333337</v>
      </c>
      <c r="H108" s="158">
        <f t="shared" si="2"/>
        <v>32.129583333333329</v>
      </c>
      <c r="I108" s="158">
        <f t="shared" si="2"/>
        <v>16.49291666666667</v>
      </c>
      <c r="J108" s="158">
        <f t="shared" si="2"/>
        <v>0.26781250000000006</v>
      </c>
      <c r="K108" s="158">
        <f t="shared" si="2"/>
        <v>184.24854166666663</v>
      </c>
      <c r="L108" s="158">
        <f t="shared" si="2"/>
        <v>22.362395833333334</v>
      </c>
      <c r="M108" s="158">
        <f t="shared" si="2"/>
        <v>70.232187500000038</v>
      </c>
      <c r="N108" s="158">
        <f t="shared" si="2"/>
        <v>82.484374999999986</v>
      </c>
      <c r="O108" s="158">
        <f t="shared" si="2"/>
        <v>0</v>
      </c>
      <c r="P108" s="158">
        <f t="shared" si="2"/>
        <v>1.1689583333333331</v>
      </c>
      <c r="Q108" s="158">
        <f t="shared" si="2"/>
        <v>13.016041666666686</v>
      </c>
      <c r="R108" s="158"/>
      <c r="S108" s="158"/>
      <c r="T108" s="158"/>
      <c r="U108" s="158"/>
    </row>
    <row r="109" spans="1:21">
      <c r="A109" s="157" t="s">
        <v>51</v>
      </c>
      <c r="B109" s="158">
        <f>STDEV(B9:B104)</f>
        <v>11.857782580200153</v>
      </c>
      <c r="C109" s="158">
        <f t="shared" ref="C109:Q109" si="3">STDEV(C9:C104)</f>
        <v>2.1269673220421343</v>
      </c>
      <c r="D109" s="158">
        <f t="shared" si="3"/>
        <v>9.9606030761370246</v>
      </c>
      <c r="E109" s="158">
        <f t="shared" si="3"/>
        <v>9.2007381705910909</v>
      </c>
      <c r="F109" s="158" t="e">
        <f t="shared" si="3"/>
        <v>#DIV/0!</v>
      </c>
      <c r="G109" s="158">
        <f t="shared" si="3"/>
        <v>36.989722825306082</v>
      </c>
      <c r="H109" s="158">
        <f t="shared" si="3"/>
        <v>9.5566037698565314</v>
      </c>
      <c r="I109" s="158">
        <f t="shared" si="3"/>
        <v>2.3374123869498478</v>
      </c>
      <c r="J109" s="158">
        <f t="shared" si="3"/>
        <v>0.16614010020081485</v>
      </c>
      <c r="K109" s="158">
        <f t="shared" si="3"/>
        <v>72.132028800689667</v>
      </c>
      <c r="L109" s="158">
        <f t="shared" si="3"/>
        <v>5.1915221872408477</v>
      </c>
      <c r="M109" s="158">
        <f t="shared" si="3"/>
        <v>14.126232350758876</v>
      </c>
      <c r="N109" s="158">
        <f t="shared" si="3"/>
        <v>127.14945894963226</v>
      </c>
      <c r="O109" s="158">
        <f t="shared" si="3"/>
        <v>0</v>
      </c>
      <c r="P109" s="158">
        <f t="shared" si="3"/>
        <v>0.14966263230603843</v>
      </c>
      <c r="Q109" s="158">
        <f t="shared" si="3"/>
        <v>7.4019615702676567E-2</v>
      </c>
      <c r="R109" s="158"/>
      <c r="S109" s="158"/>
      <c r="T109" s="158"/>
      <c r="U109" s="158"/>
    </row>
    <row r="110" spans="1:21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</row>
    <row r="111" spans="1:21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60"/>
      <c r="O113" s="160"/>
      <c r="P113" s="160"/>
      <c r="Q113" s="160"/>
      <c r="R113" s="160"/>
      <c r="S113" s="160"/>
      <c r="T113" s="160"/>
      <c r="U113" s="160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5" t="s">
        <v>56</v>
      </c>
      <c r="C115" s="165"/>
      <c r="D115" s="16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17"/>
  <sheetViews>
    <sheetView zoomScale="85" zoomScaleNormal="85" workbookViewId="0">
      <pane ySplit="1" topLeftCell="A92" activePane="bottomLeft" state="frozen"/>
      <selection pane="bottomLef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30/01/2025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3023</v>
      </c>
      <c r="B9" s="100">
        <v>7.15</v>
      </c>
      <c r="C9" s="100">
        <v>26.54</v>
      </c>
      <c r="D9" s="100">
        <v>20.95</v>
      </c>
      <c r="E9" s="100">
        <v>8.7899999999999991</v>
      </c>
      <c r="F9" s="151" t="s">
        <v>8</v>
      </c>
      <c r="G9" s="100">
        <v>110.61</v>
      </c>
      <c r="H9" s="100">
        <v>43.11</v>
      </c>
      <c r="I9" s="100">
        <v>21.11</v>
      </c>
      <c r="J9" s="100">
        <v>0.17</v>
      </c>
      <c r="K9" s="100">
        <v>171.05</v>
      </c>
      <c r="L9" s="100">
        <v>19.62</v>
      </c>
      <c r="M9" s="100">
        <v>84.91</v>
      </c>
      <c r="N9" s="100">
        <v>1.3</v>
      </c>
      <c r="O9" s="100">
        <v>0</v>
      </c>
      <c r="P9" s="100">
        <v>1.51</v>
      </c>
      <c r="Q9" s="100">
        <v>12.96</v>
      </c>
      <c r="R9" s="6"/>
      <c r="S9" s="6"/>
      <c r="T9" s="156"/>
      <c r="U9" s="6"/>
    </row>
    <row r="10" spans="1:21" customFormat="1">
      <c r="A10" s="163" t="s">
        <v>3024</v>
      </c>
      <c r="B10" s="100">
        <v>7.31</v>
      </c>
      <c r="C10" s="100">
        <v>26.43</v>
      </c>
      <c r="D10" s="100">
        <v>21.02</v>
      </c>
      <c r="E10" s="100">
        <v>8.81</v>
      </c>
      <c r="F10" s="151" t="s">
        <v>8</v>
      </c>
      <c r="G10" s="100">
        <v>110.61</v>
      </c>
      <c r="H10" s="100">
        <v>43.11</v>
      </c>
      <c r="I10" s="100">
        <v>21.62</v>
      </c>
      <c r="J10" s="100">
        <v>0.14000000000000001</v>
      </c>
      <c r="K10" s="100">
        <v>166.12</v>
      </c>
      <c r="L10" s="100">
        <v>19.510000000000002</v>
      </c>
      <c r="M10" s="100">
        <v>85.93</v>
      </c>
      <c r="N10" s="100">
        <v>1.3</v>
      </c>
      <c r="O10" s="100">
        <v>0</v>
      </c>
      <c r="P10" s="100">
        <v>1.52</v>
      </c>
      <c r="Q10" s="100">
        <v>12.95</v>
      </c>
      <c r="R10" s="6"/>
      <c r="S10" s="6"/>
      <c r="T10" s="156"/>
      <c r="U10" s="6"/>
    </row>
    <row r="11" spans="1:21" customFormat="1">
      <c r="A11" s="163" t="s">
        <v>3025</v>
      </c>
      <c r="B11" s="100">
        <v>7.47</v>
      </c>
      <c r="C11" s="100">
        <v>26.36</v>
      </c>
      <c r="D11" s="100">
        <v>21.11</v>
      </c>
      <c r="E11" s="100">
        <v>8.58</v>
      </c>
      <c r="F11" s="151" t="s">
        <v>8</v>
      </c>
      <c r="G11" s="100">
        <v>110.4</v>
      </c>
      <c r="H11" s="100">
        <v>42.86</v>
      </c>
      <c r="I11" s="100">
        <v>22.76</v>
      </c>
      <c r="J11" s="100">
        <v>0.14000000000000001</v>
      </c>
      <c r="K11" s="100">
        <v>180.32</v>
      </c>
      <c r="L11" s="100">
        <v>19.440000000000001</v>
      </c>
      <c r="M11" s="100">
        <v>86.45</v>
      </c>
      <c r="N11" s="100">
        <v>1.3</v>
      </c>
      <c r="O11" s="100">
        <v>0</v>
      </c>
      <c r="P11" s="100">
        <v>1.52</v>
      </c>
      <c r="Q11" s="100">
        <v>12.96</v>
      </c>
      <c r="R11" s="6"/>
      <c r="S11" s="6"/>
      <c r="T11" s="156"/>
      <c r="U11" s="6"/>
    </row>
    <row r="12" spans="1:21" customFormat="1">
      <c r="A12" s="163" t="s">
        <v>3026</v>
      </c>
      <c r="B12" s="100">
        <v>7.65</v>
      </c>
      <c r="C12" s="100">
        <v>26.41</v>
      </c>
      <c r="D12" s="100">
        <v>21.28</v>
      </c>
      <c r="E12" s="100">
        <v>9.06</v>
      </c>
      <c r="F12" s="151" t="s">
        <v>8</v>
      </c>
      <c r="G12" s="100">
        <v>105.91</v>
      </c>
      <c r="H12" s="100">
        <v>34.93</v>
      </c>
      <c r="I12" s="100">
        <v>23.56</v>
      </c>
      <c r="J12" s="100">
        <v>0.12</v>
      </c>
      <c r="K12" s="100">
        <v>163.63</v>
      </c>
      <c r="L12" s="100">
        <v>19.41</v>
      </c>
      <c r="M12" s="100">
        <v>85.73</v>
      </c>
      <c r="N12" s="100">
        <v>1.2</v>
      </c>
      <c r="O12" s="100">
        <v>0</v>
      </c>
      <c r="P12" s="100">
        <v>1.51</v>
      </c>
      <c r="Q12" s="100">
        <v>12.96</v>
      </c>
      <c r="R12" s="6"/>
      <c r="S12" s="6"/>
      <c r="T12" s="156"/>
      <c r="U12" s="6"/>
    </row>
    <row r="13" spans="1:21" customFormat="1">
      <c r="A13" s="163" t="s">
        <v>3027</v>
      </c>
      <c r="B13" s="100">
        <v>7.8</v>
      </c>
      <c r="C13" s="100">
        <v>26.23</v>
      </c>
      <c r="D13" s="100">
        <v>21.31</v>
      </c>
      <c r="E13" s="100">
        <v>8.67</v>
      </c>
      <c r="F13" s="151" t="s">
        <v>8</v>
      </c>
      <c r="G13" s="100">
        <v>105.91</v>
      </c>
      <c r="H13" s="100">
        <v>34.93</v>
      </c>
      <c r="I13" s="100">
        <v>23.92</v>
      </c>
      <c r="J13" s="100">
        <v>0.14000000000000001</v>
      </c>
      <c r="K13" s="100">
        <v>152.96</v>
      </c>
      <c r="L13" s="100">
        <v>19.399999999999999</v>
      </c>
      <c r="M13" s="100">
        <v>87.2</v>
      </c>
      <c r="N13" s="100">
        <v>1.2</v>
      </c>
      <c r="O13" s="100">
        <v>0</v>
      </c>
      <c r="P13" s="100">
        <v>1.49</v>
      </c>
      <c r="Q13" s="100">
        <v>12.95</v>
      </c>
      <c r="R13" s="6"/>
      <c r="S13" s="6"/>
      <c r="T13" s="156"/>
      <c r="U13" s="6"/>
    </row>
    <row r="14" spans="1:21" customFormat="1">
      <c r="A14" s="163" t="s">
        <v>3028</v>
      </c>
      <c r="B14" s="100">
        <v>7.96</v>
      </c>
      <c r="C14" s="100">
        <v>26.17</v>
      </c>
      <c r="D14" s="100">
        <v>21.41</v>
      </c>
      <c r="E14" s="100">
        <v>8.6300000000000008</v>
      </c>
      <c r="F14" s="151" t="s">
        <v>8</v>
      </c>
      <c r="G14" s="100">
        <v>105.91</v>
      </c>
      <c r="H14" s="100">
        <v>34.93</v>
      </c>
      <c r="I14" s="100">
        <v>23.92</v>
      </c>
      <c r="J14" s="100">
        <v>0.14000000000000001</v>
      </c>
      <c r="K14" s="100">
        <v>158.38</v>
      </c>
      <c r="L14" s="100">
        <v>19.309999999999999</v>
      </c>
      <c r="M14" s="100">
        <v>87.8</v>
      </c>
      <c r="N14" s="100">
        <v>1.3</v>
      </c>
      <c r="O14" s="100">
        <v>0</v>
      </c>
      <c r="P14" s="100">
        <v>1.49</v>
      </c>
      <c r="Q14" s="100">
        <v>12.96</v>
      </c>
      <c r="R14" s="6"/>
      <c r="S14" s="6"/>
      <c r="T14" s="156"/>
      <c r="U14" s="6"/>
    </row>
    <row r="15" spans="1:21" customFormat="1">
      <c r="A15" s="163" t="s">
        <v>3029</v>
      </c>
      <c r="B15" s="100">
        <v>8.08</v>
      </c>
      <c r="C15" s="100">
        <v>25.94</v>
      </c>
      <c r="D15" s="100">
        <v>21.38</v>
      </c>
      <c r="E15" s="100">
        <v>8.58</v>
      </c>
      <c r="F15" s="151" t="s">
        <v>8</v>
      </c>
      <c r="G15" s="100">
        <v>104.97</v>
      </c>
      <c r="H15" s="100">
        <v>34.89</v>
      </c>
      <c r="I15" s="100">
        <v>23.71</v>
      </c>
      <c r="J15" s="100">
        <v>0.23</v>
      </c>
      <c r="K15" s="100">
        <v>184</v>
      </c>
      <c r="L15" s="100">
        <v>18.96</v>
      </c>
      <c r="M15" s="100">
        <v>89.57</v>
      </c>
      <c r="N15" s="100">
        <v>1.6</v>
      </c>
      <c r="O15" s="100">
        <v>0</v>
      </c>
      <c r="P15" s="100">
        <v>1.46</v>
      </c>
      <c r="Q15" s="100">
        <v>12.96</v>
      </c>
      <c r="R15" s="6"/>
      <c r="S15" s="6"/>
      <c r="T15" s="156"/>
      <c r="U15" s="6"/>
    </row>
    <row r="16" spans="1:21" customFormat="1">
      <c r="A16" s="163" t="s">
        <v>3030</v>
      </c>
      <c r="B16" s="100">
        <v>8.19</v>
      </c>
      <c r="C16" s="100">
        <v>24.92</v>
      </c>
      <c r="D16" s="100">
        <v>20.94</v>
      </c>
      <c r="E16" s="100">
        <v>8.56</v>
      </c>
      <c r="F16" s="151" t="s">
        <v>8</v>
      </c>
      <c r="G16" s="100">
        <v>77.849999999999994</v>
      </c>
      <c r="H16" s="100">
        <v>33.6</v>
      </c>
      <c r="I16" s="100">
        <v>23.38</v>
      </c>
      <c r="J16" s="100">
        <v>0.18</v>
      </c>
      <c r="K16" s="100">
        <v>152.83000000000001</v>
      </c>
      <c r="L16" s="100">
        <v>18.600000000000001</v>
      </c>
      <c r="M16" s="100">
        <v>89.46</v>
      </c>
      <c r="N16" s="100">
        <v>1.5</v>
      </c>
      <c r="O16" s="100">
        <v>0</v>
      </c>
      <c r="P16" s="100">
        <v>1.44</v>
      </c>
      <c r="Q16" s="100">
        <v>12.96</v>
      </c>
      <c r="R16" s="6"/>
      <c r="S16" s="6"/>
      <c r="T16" s="156"/>
      <c r="U16" s="6"/>
    </row>
    <row r="17" spans="1:21" customFormat="1">
      <c r="A17" s="163" t="s">
        <v>3031</v>
      </c>
      <c r="B17" s="100">
        <v>8.17</v>
      </c>
      <c r="C17" s="100">
        <v>24.56</v>
      </c>
      <c r="D17" s="100">
        <v>20.73</v>
      </c>
      <c r="E17" s="100">
        <v>8.5299999999999994</v>
      </c>
      <c r="F17" s="151" t="s">
        <v>8</v>
      </c>
      <c r="G17" s="100">
        <v>77.849999999999994</v>
      </c>
      <c r="H17" s="100">
        <v>33.6</v>
      </c>
      <c r="I17" s="100">
        <v>23.07</v>
      </c>
      <c r="J17" s="100">
        <v>0.18</v>
      </c>
      <c r="K17" s="100">
        <v>148.86000000000001</v>
      </c>
      <c r="L17" s="100">
        <v>18.63</v>
      </c>
      <c r="M17" s="100">
        <v>89.72</v>
      </c>
      <c r="N17" s="100">
        <v>1.4</v>
      </c>
      <c r="O17" s="100">
        <v>0</v>
      </c>
      <c r="P17" s="100">
        <v>1.43</v>
      </c>
      <c r="Q17" s="100">
        <v>12.98</v>
      </c>
      <c r="R17" s="6"/>
      <c r="S17" s="6"/>
      <c r="T17" s="156"/>
      <c r="U17" s="6"/>
    </row>
    <row r="18" spans="1:21" customFormat="1">
      <c r="A18" s="163" t="s">
        <v>3032</v>
      </c>
      <c r="B18" s="100">
        <v>8.1300000000000008</v>
      </c>
      <c r="C18" s="100">
        <v>24.05</v>
      </c>
      <c r="D18" s="100">
        <v>20.440000000000001</v>
      </c>
      <c r="E18" s="100">
        <v>9.57</v>
      </c>
      <c r="F18" s="151" t="s">
        <v>8</v>
      </c>
      <c r="G18" s="100">
        <v>77.849999999999994</v>
      </c>
      <c r="H18" s="100">
        <v>33.6</v>
      </c>
      <c r="I18" s="100">
        <v>22.71</v>
      </c>
      <c r="J18" s="100">
        <v>0.14000000000000001</v>
      </c>
      <c r="K18" s="100">
        <v>197.75</v>
      </c>
      <c r="L18" s="100">
        <v>18.559999999999999</v>
      </c>
      <c r="M18" s="100">
        <v>88.61</v>
      </c>
      <c r="N18" s="100">
        <v>1.3</v>
      </c>
      <c r="O18" s="100">
        <v>0</v>
      </c>
      <c r="P18" s="100">
        <v>1.42</v>
      </c>
      <c r="Q18" s="100">
        <v>12.97</v>
      </c>
      <c r="R18" s="6"/>
      <c r="S18" s="6"/>
      <c r="T18" s="156"/>
      <c r="U18" s="6"/>
    </row>
    <row r="19" spans="1:21" customFormat="1">
      <c r="A19" s="163" t="s">
        <v>3033</v>
      </c>
      <c r="B19" s="100">
        <v>8.06</v>
      </c>
      <c r="C19" s="100">
        <v>23.97</v>
      </c>
      <c r="D19" s="100">
        <v>20.34</v>
      </c>
      <c r="E19" s="100">
        <v>10.07</v>
      </c>
      <c r="F19" s="151" t="s">
        <v>8</v>
      </c>
      <c r="G19" s="100">
        <v>77.62</v>
      </c>
      <c r="H19" s="100">
        <v>33.57</v>
      </c>
      <c r="I19" s="100">
        <v>22.37</v>
      </c>
      <c r="J19" s="100">
        <v>0.1</v>
      </c>
      <c r="K19" s="100">
        <v>218.33</v>
      </c>
      <c r="L19" s="100">
        <v>18.37</v>
      </c>
      <c r="M19" s="100">
        <v>90.23</v>
      </c>
      <c r="N19" s="100">
        <v>1.4</v>
      </c>
      <c r="O19" s="100">
        <v>0</v>
      </c>
      <c r="P19" s="100">
        <v>1.4</v>
      </c>
      <c r="Q19" s="100">
        <v>12.96</v>
      </c>
      <c r="R19" s="6"/>
      <c r="S19" s="6"/>
      <c r="T19" s="156"/>
      <c r="U19" s="6"/>
    </row>
    <row r="20" spans="1:21" customFormat="1">
      <c r="A20" s="163" t="s">
        <v>3034</v>
      </c>
      <c r="B20" s="100">
        <v>8.01</v>
      </c>
      <c r="C20" s="100">
        <v>23.59</v>
      </c>
      <c r="D20" s="100">
        <v>20.100000000000001</v>
      </c>
      <c r="E20" s="100">
        <v>10.27</v>
      </c>
      <c r="F20" s="151" t="s">
        <v>8</v>
      </c>
      <c r="G20" s="100">
        <v>71.03</v>
      </c>
      <c r="H20" s="100">
        <v>32.770000000000003</v>
      </c>
      <c r="I20" s="100">
        <v>21.94</v>
      </c>
      <c r="J20" s="100">
        <v>0.11</v>
      </c>
      <c r="K20" s="100">
        <v>149.94</v>
      </c>
      <c r="L20" s="100">
        <v>18.420000000000002</v>
      </c>
      <c r="M20" s="100">
        <v>90.54</v>
      </c>
      <c r="N20" s="100">
        <v>1.2</v>
      </c>
      <c r="O20" s="100">
        <v>0</v>
      </c>
      <c r="P20" s="100">
        <v>1.36</v>
      </c>
      <c r="Q20" s="100">
        <v>12.96</v>
      </c>
      <c r="R20" s="6"/>
      <c r="S20" s="6"/>
      <c r="T20" s="156"/>
      <c r="U20" s="6"/>
    </row>
    <row r="21" spans="1:21" customFormat="1">
      <c r="A21" s="163" t="s">
        <v>3035</v>
      </c>
      <c r="B21" s="100">
        <v>7.86</v>
      </c>
      <c r="C21" s="100">
        <v>23.42</v>
      </c>
      <c r="D21" s="100">
        <v>19.89</v>
      </c>
      <c r="E21" s="100">
        <v>9.85</v>
      </c>
      <c r="F21" s="151" t="s">
        <v>8</v>
      </c>
      <c r="G21" s="100">
        <v>71.03</v>
      </c>
      <c r="H21" s="100">
        <v>32.770000000000003</v>
      </c>
      <c r="I21" s="100">
        <v>21.49</v>
      </c>
      <c r="J21" s="100">
        <v>0.08</v>
      </c>
      <c r="K21" s="100">
        <v>157.54</v>
      </c>
      <c r="L21" s="100">
        <v>18.47</v>
      </c>
      <c r="M21" s="100">
        <v>90.62</v>
      </c>
      <c r="N21" s="100">
        <v>1.2</v>
      </c>
      <c r="O21" s="100">
        <v>0</v>
      </c>
      <c r="P21" s="100">
        <v>1.34</v>
      </c>
      <c r="Q21" s="100">
        <v>12.96</v>
      </c>
      <c r="R21" s="6"/>
      <c r="S21" s="6"/>
      <c r="T21" s="156"/>
      <c r="U21" s="6"/>
    </row>
    <row r="22" spans="1:21" customFormat="1">
      <c r="A22" s="163" t="s">
        <v>3036</v>
      </c>
      <c r="B22" s="100">
        <v>7.72</v>
      </c>
      <c r="C22" s="100">
        <v>23.22</v>
      </c>
      <c r="D22" s="100">
        <v>19.670000000000002</v>
      </c>
      <c r="E22" s="100">
        <v>9.82</v>
      </c>
      <c r="F22" s="151" t="s">
        <v>8</v>
      </c>
      <c r="G22" s="100">
        <v>71.03</v>
      </c>
      <c r="H22" s="100">
        <v>32.770000000000003</v>
      </c>
      <c r="I22" s="100">
        <v>21.07</v>
      </c>
      <c r="J22" s="100">
        <v>0.16</v>
      </c>
      <c r="K22" s="100">
        <v>160.07</v>
      </c>
      <c r="L22" s="100">
        <v>18.559999999999999</v>
      </c>
      <c r="M22" s="100">
        <v>90.88</v>
      </c>
      <c r="N22" s="100">
        <v>1.2</v>
      </c>
      <c r="O22" s="100">
        <v>0</v>
      </c>
      <c r="P22" s="100">
        <v>1.31</v>
      </c>
      <c r="Q22" s="100">
        <v>12.96</v>
      </c>
      <c r="R22" s="6"/>
      <c r="S22" s="6"/>
      <c r="T22" s="156"/>
      <c r="U22" s="6"/>
    </row>
    <row r="23" spans="1:21" customFormat="1">
      <c r="A23" s="163" t="s">
        <v>3037</v>
      </c>
      <c r="B23" s="100">
        <v>7.57</v>
      </c>
      <c r="C23" s="100">
        <v>23.15</v>
      </c>
      <c r="D23" s="100">
        <v>19.52</v>
      </c>
      <c r="E23" s="100">
        <v>9.64</v>
      </c>
      <c r="F23" s="151" t="s">
        <v>8</v>
      </c>
      <c r="G23" s="100">
        <v>70.08</v>
      </c>
      <c r="H23" s="100">
        <v>32.75</v>
      </c>
      <c r="I23" s="100">
        <v>20.56</v>
      </c>
      <c r="J23" s="100">
        <v>0.15</v>
      </c>
      <c r="K23" s="100">
        <v>192.64</v>
      </c>
      <c r="L23" s="100">
        <v>18.57</v>
      </c>
      <c r="M23" s="100">
        <v>91.35</v>
      </c>
      <c r="N23" s="100">
        <v>1.3</v>
      </c>
      <c r="O23" s="100">
        <v>0</v>
      </c>
      <c r="P23" s="100">
        <v>1.28</v>
      </c>
      <c r="Q23" s="100">
        <v>12.94</v>
      </c>
      <c r="R23" s="6"/>
      <c r="S23" s="6"/>
      <c r="T23" s="156"/>
      <c r="U23" s="6"/>
    </row>
    <row r="24" spans="1:21" customFormat="1">
      <c r="A24" s="163" t="s">
        <v>3038</v>
      </c>
      <c r="B24" s="100">
        <v>7.52</v>
      </c>
      <c r="C24" s="100">
        <v>22.85</v>
      </c>
      <c r="D24" s="100">
        <v>19.32</v>
      </c>
      <c r="E24" s="100">
        <v>9.91</v>
      </c>
      <c r="F24" s="151" t="s">
        <v>8</v>
      </c>
      <c r="G24" s="100">
        <v>49.67</v>
      </c>
      <c r="H24" s="100">
        <v>31.97</v>
      </c>
      <c r="I24" s="100">
        <v>20.170000000000002</v>
      </c>
      <c r="J24" s="100">
        <v>0.15</v>
      </c>
      <c r="K24" s="100">
        <v>165.6</v>
      </c>
      <c r="L24" s="100">
        <v>18.39</v>
      </c>
      <c r="M24" s="100">
        <v>91.67</v>
      </c>
      <c r="N24" s="100">
        <v>1.4</v>
      </c>
      <c r="O24" s="100">
        <v>0</v>
      </c>
      <c r="P24" s="100">
        <v>1.25</v>
      </c>
      <c r="Q24" s="100">
        <v>12.94</v>
      </c>
      <c r="R24" s="6"/>
      <c r="S24" s="6"/>
      <c r="T24" s="156"/>
      <c r="U24" s="6"/>
    </row>
    <row r="25" spans="1:21" customFormat="1">
      <c r="A25" s="163" t="s">
        <v>3039</v>
      </c>
      <c r="B25" s="100">
        <v>7.51</v>
      </c>
      <c r="C25" s="100">
        <v>22.63</v>
      </c>
      <c r="D25" s="100">
        <v>19.190000000000001</v>
      </c>
      <c r="E25" s="100">
        <v>9.74</v>
      </c>
      <c r="F25" s="151" t="s">
        <v>8</v>
      </c>
      <c r="G25" s="100">
        <v>49.67</v>
      </c>
      <c r="H25" s="100">
        <v>31.97</v>
      </c>
      <c r="I25" s="100">
        <v>19.79</v>
      </c>
      <c r="J25" s="100">
        <v>0.15</v>
      </c>
      <c r="K25" s="100">
        <v>147.37</v>
      </c>
      <c r="L25" s="100">
        <v>18.39</v>
      </c>
      <c r="M25" s="100">
        <v>91.38</v>
      </c>
      <c r="N25" s="100">
        <v>1.3</v>
      </c>
      <c r="O25" s="100">
        <v>0</v>
      </c>
      <c r="P25" s="100">
        <v>1.23</v>
      </c>
      <c r="Q25" s="100">
        <v>12.95</v>
      </c>
      <c r="R25" s="6"/>
      <c r="S25" s="6"/>
      <c r="T25" s="156"/>
      <c r="U25" s="6"/>
    </row>
    <row r="26" spans="1:21" customFormat="1">
      <c r="A26" s="163" t="s">
        <v>3040</v>
      </c>
      <c r="B26" s="100">
        <v>7.48</v>
      </c>
      <c r="C26" s="100">
        <v>22.38</v>
      </c>
      <c r="D26" s="100">
        <v>19.04</v>
      </c>
      <c r="E26" s="100">
        <v>10.02</v>
      </c>
      <c r="F26" s="151" t="s">
        <v>8</v>
      </c>
      <c r="G26" s="100">
        <v>49.67</v>
      </c>
      <c r="H26" s="100">
        <v>31.97</v>
      </c>
      <c r="I26" s="100">
        <v>19.489999999999998</v>
      </c>
      <c r="J26" s="100">
        <v>0.21</v>
      </c>
      <c r="K26" s="100">
        <v>158.1</v>
      </c>
      <c r="L26" s="100">
        <v>18.48</v>
      </c>
      <c r="M26" s="100">
        <v>91.14</v>
      </c>
      <c r="N26" s="100">
        <v>1.3</v>
      </c>
      <c r="O26" s="100">
        <v>0</v>
      </c>
      <c r="P26" s="100">
        <v>1.21</v>
      </c>
      <c r="Q26" s="100">
        <v>12.97</v>
      </c>
      <c r="R26" s="6"/>
      <c r="S26" s="6"/>
      <c r="T26" s="156"/>
      <c r="U26" s="6"/>
    </row>
    <row r="27" spans="1:21" customFormat="1">
      <c r="A27" s="163" t="s">
        <v>3041</v>
      </c>
      <c r="B27" s="100">
        <v>7.46</v>
      </c>
      <c r="C27" s="100">
        <v>22.28</v>
      </c>
      <c r="D27" s="100">
        <v>18.97</v>
      </c>
      <c r="E27" s="100">
        <v>9.67</v>
      </c>
      <c r="F27" s="151" t="s">
        <v>8</v>
      </c>
      <c r="G27" s="100">
        <v>49.6</v>
      </c>
      <c r="H27" s="100">
        <v>31.84</v>
      </c>
      <c r="I27" s="100">
        <v>19.29</v>
      </c>
      <c r="J27" s="100">
        <v>0.16</v>
      </c>
      <c r="K27" s="100">
        <v>187.94</v>
      </c>
      <c r="L27" s="100">
        <v>18.420000000000002</v>
      </c>
      <c r="M27" s="100">
        <v>92.12</v>
      </c>
      <c r="N27" s="100">
        <v>1.3</v>
      </c>
      <c r="O27" s="100">
        <v>0</v>
      </c>
      <c r="P27" s="100">
        <v>1.18</v>
      </c>
      <c r="Q27" s="100">
        <v>12.95</v>
      </c>
      <c r="R27" s="6"/>
      <c r="S27" s="6"/>
      <c r="T27" s="156"/>
      <c r="U27" s="6"/>
    </row>
    <row r="28" spans="1:21" customFormat="1">
      <c r="A28" s="163" t="s">
        <v>3042</v>
      </c>
      <c r="B28" s="100">
        <v>7.5</v>
      </c>
      <c r="C28" s="100">
        <v>22.04</v>
      </c>
      <c r="D28" s="100">
        <v>18.88</v>
      </c>
      <c r="E28" s="100">
        <v>9.8699999999999992</v>
      </c>
      <c r="F28" s="151" t="s">
        <v>8</v>
      </c>
      <c r="G28" s="100">
        <v>47.7</v>
      </c>
      <c r="H28" s="100">
        <v>27.63</v>
      </c>
      <c r="I28" s="100">
        <v>19</v>
      </c>
      <c r="J28" s="100">
        <v>0.14000000000000001</v>
      </c>
      <c r="K28" s="100">
        <v>186.02</v>
      </c>
      <c r="L28" s="100">
        <v>18.28</v>
      </c>
      <c r="M28" s="100">
        <v>94.1</v>
      </c>
      <c r="N28" s="100">
        <v>1.4</v>
      </c>
      <c r="O28" s="100">
        <v>0</v>
      </c>
      <c r="P28" s="100">
        <v>1.1599999999999999</v>
      </c>
      <c r="Q28" s="100">
        <v>12.94</v>
      </c>
      <c r="R28" s="6"/>
      <c r="S28" s="6"/>
      <c r="T28" s="156"/>
      <c r="U28" s="6"/>
    </row>
    <row r="29" spans="1:21" customFormat="1">
      <c r="A29" s="163" t="s">
        <v>3043</v>
      </c>
      <c r="B29" s="100">
        <v>7.51</v>
      </c>
      <c r="C29" s="100">
        <v>21.74</v>
      </c>
      <c r="D29" s="100">
        <v>18.739999999999998</v>
      </c>
      <c r="E29" s="100">
        <v>9.9600000000000009</v>
      </c>
      <c r="F29" s="151" t="s">
        <v>8</v>
      </c>
      <c r="G29" s="100">
        <v>47.7</v>
      </c>
      <c r="H29" s="100">
        <v>27.63</v>
      </c>
      <c r="I29" s="100">
        <v>18.73</v>
      </c>
      <c r="J29" s="100">
        <v>0.15</v>
      </c>
      <c r="K29" s="100">
        <v>195.69</v>
      </c>
      <c r="L29" s="100">
        <v>18.239999999999998</v>
      </c>
      <c r="M29" s="100">
        <v>94.74</v>
      </c>
      <c r="N29" s="100">
        <v>1.4</v>
      </c>
      <c r="O29" s="100">
        <v>0</v>
      </c>
      <c r="P29" s="100">
        <v>1.1399999999999999</v>
      </c>
      <c r="Q29" s="100">
        <v>12.95</v>
      </c>
      <c r="R29" s="6"/>
      <c r="S29" s="6"/>
      <c r="T29" s="156"/>
      <c r="U29" s="6"/>
    </row>
    <row r="30" spans="1:21" customFormat="1">
      <c r="A30" s="163" t="s">
        <v>3044</v>
      </c>
      <c r="B30" s="100">
        <v>7.58</v>
      </c>
      <c r="C30" s="100">
        <v>21.39</v>
      </c>
      <c r="D30" s="100">
        <v>18.600000000000001</v>
      </c>
      <c r="E30" s="100">
        <v>9.67</v>
      </c>
      <c r="F30" s="151" t="s">
        <v>8</v>
      </c>
      <c r="G30" s="100">
        <v>47.7</v>
      </c>
      <c r="H30" s="100">
        <v>27.63</v>
      </c>
      <c r="I30" s="100">
        <v>18.399999999999999</v>
      </c>
      <c r="J30" s="100">
        <v>0.13</v>
      </c>
      <c r="K30" s="100">
        <v>177.79</v>
      </c>
      <c r="L30" s="100">
        <v>18.079999999999998</v>
      </c>
      <c r="M30" s="100">
        <v>95.35</v>
      </c>
      <c r="N30" s="100">
        <v>1.4</v>
      </c>
      <c r="O30" s="100">
        <v>0</v>
      </c>
      <c r="P30" s="100">
        <v>1.1200000000000001</v>
      </c>
      <c r="Q30" s="100">
        <v>12.94</v>
      </c>
      <c r="R30" s="6"/>
      <c r="S30" s="6"/>
      <c r="T30" s="156"/>
      <c r="U30" s="6"/>
    </row>
    <row r="31" spans="1:21" customFormat="1">
      <c r="A31" s="163" t="s">
        <v>3045</v>
      </c>
      <c r="B31" s="100">
        <v>7.64</v>
      </c>
      <c r="C31" s="100">
        <v>21.27</v>
      </c>
      <c r="D31" s="100">
        <v>18.59</v>
      </c>
      <c r="E31" s="100">
        <v>9.9</v>
      </c>
      <c r="F31" s="151" t="s">
        <v>8</v>
      </c>
      <c r="G31" s="100">
        <v>47.96</v>
      </c>
      <c r="H31" s="100">
        <v>27.58</v>
      </c>
      <c r="I31" s="100">
        <v>18.149999999999999</v>
      </c>
      <c r="J31" s="100">
        <v>0.14000000000000001</v>
      </c>
      <c r="K31" s="100">
        <v>153.88999999999999</v>
      </c>
      <c r="L31" s="100">
        <v>18.02</v>
      </c>
      <c r="M31" s="100">
        <v>95.68</v>
      </c>
      <c r="N31" s="100">
        <v>1.4</v>
      </c>
      <c r="O31" s="100">
        <v>0</v>
      </c>
      <c r="P31" s="100">
        <v>1.1100000000000001</v>
      </c>
      <c r="Q31" s="100">
        <v>12.94</v>
      </c>
      <c r="R31" s="6"/>
      <c r="S31" s="6"/>
      <c r="T31" s="156"/>
      <c r="U31" s="6"/>
    </row>
    <row r="32" spans="1:21" customFormat="1">
      <c r="A32" s="163" t="s">
        <v>3046</v>
      </c>
      <c r="B32" s="100">
        <v>7.73</v>
      </c>
      <c r="C32" s="100">
        <v>21.14</v>
      </c>
      <c r="D32" s="100">
        <v>18.59</v>
      </c>
      <c r="E32" s="100">
        <v>9.57</v>
      </c>
      <c r="F32" s="151" t="s">
        <v>8</v>
      </c>
      <c r="G32" s="100">
        <v>55.64</v>
      </c>
      <c r="H32" s="100">
        <v>25.79</v>
      </c>
      <c r="I32" s="100">
        <v>17.89</v>
      </c>
      <c r="J32" s="100">
        <v>0.11</v>
      </c>
      <c r="K32" s="100">
        <v>184.35</v>
      </c>
      <c r="L32" s="100">
        <v>17.95</v>
      </c>
      <c r="M32" s="100">
        <v>96.6</v>
      </c>
      <c r="N32" s="100">
        <v>1.3</v>
      </c>
      <c r="O32" s="100">
        <v>0</v>
      </c>
      <c r="P32" s="100">
        <v>1.1000000000000001</v>
      </c>
      <c r="Q32" s="100">
        <v>12.94</v>
      </c>
      <c r="R32" s="6"/>
      <c r="S32" s="6"/>
      <c r="T32" s="156"/>
      <c r="U32" s="6"/>
    </row>
    <row r="33" spans="1:21" customFormat="1">
      <c r="A33" s="163" t="s">
        <v>3047</v>
      </c>
      <c r="B33" s="100">
        <v>7.83</v>
      </c>
      <c r="C33" s="100">
        <v>20.87</v>
      </c>
      <c r="D33" s="100">
        <v>18.54</v>
      </c>
      <c r="E33" s="100">
        <v>9.43</v>
      </c>
      <c r="F33" s="151" t="s">
        <v>8</v>
      </c>
      <c r="G33" s="100">
        <v>55.64</v>
      </c>
      <c r="H33" s="100">
        <v>25.79</v>
      </c>
      <c r="I33" s="100">
        <v>17.7</v>
      </c>
      <c r="J33" s="100">
        <v>0.15</v>
      </c>
      <c r="K33" s="100">
        <v>152.99</v>
      </c>
      <c r="L33" s="100">
        <v>17.91</v>
      </c>
      <c r="M33" s="100">
        <v>96.87</v>
      </c>
      <c r="N33" s="100">
        <v>1.4</v>
      </c>
      <c r="O33" s="100">
        <v>0</v>
      </c>
      <c r="P33" s="100">
        <v>1.1000000000000001</v>
      </c>
      <c r="Q33" s="100">
        <v>12.96</v>
      </c>
      <c r="R33" s="6"/>
      <c r="S33" s="6"/>
      <c r="T33" s="156"/>
      <c r="U33" s="6"/>
    </row>
    <row r="34" spans="1:21" customFormat="1">
      <c r="A34" s="163" t="s">
        <v>3048</v>
      </c>
      <c r="B34" s="100">
        <v>7.93</v>
      </c>
      <c r="C34" s="100">
        <v>20.83</v>
      </c>
      <c r="D34" s="100">
        <v>18.600000000000001</v>
      </c>
      <c r="E34" s="100">
        <v>10.220000000000001</v>
      </c>
      <c r="F34" s="151" t="s">
        <v>8</v>
      </c>
      <c r="G34" s="100">
        <v>55.64</v>
      </c>
      <c r="H34" s="100">
        <v>25.79</v>
      </c>
      <c r="I34" s="100">
        <v>17.54</v>
      </c>
      <c r="J34" s="100">
        <v>0.2</v>
      </c>
      <c r="K34" s="100">
        <v>161.6</v>
      </c>
      <c r="L34" s="100">
        <v>17.93</v>
      </c>
      <c r="M34" s="100">
        <v>97.1</v>
      </c>
      <c r="N34" s="100">
        <v>1.5</v>
      </c>
      <c r="O34" s="100">
        <v>0</v>
      </c>
      <c r="P34" s="100">
        <v>1.07</v>
      </c>
      <c r="Q34" s="100">
        <v>12.93</v>
      </c>
      <c r="R34" s="6"/>
      <c r="S34" s="6"/>
      <c r="T34" s="156"/>
      <c r="U34" s="6"/>
    </row>
    <row r="35" spans="1:21" customFormat="1">
      <c r="A35" s="163" t="s">
        <v>3049</v>
      </c>
      <c r="B35" s="100">
        <v>8.0299999999999994</v>
      </c>
      <c r="C35" s="100">
        <v>20.63</v>
      </c>
      <c r="D35" s="100">
        <v>18.57</v>
      </c>
      <c r="E35" s="100">
        <v>9.6</v>
      </c>
      <c r="F35" s="151" t="s">
        <v>8</v>
      </c>
      <c r="G35" s="100">
        <v>55.53</v>
      </c>
      <c r="H35" s="100">
        <v>25.81</v>
      </c>
      <c r="I35" s="100">
        <v>17.36</v>
      </c>
      <c r="J35" s="100">
        <v>0.17</v>
      </c>
      <c r="K35" s="100">
        <v>182.23</v>
      </c>
      <c r="L35" s="100">
        <v>17.940000000000001</v>
      </c>
      <c r="M35" s="100">
        <v>97.25</v>
      </c>
      <c r="N35" s="100">
        <v>3</v>
      </c>
      <c r="O35" s="100">
        <v>0</v>
      </c>
      <c r="P35" s="100">
        <v>1.06</v>
      </c>
      <c r="Q35" s="100">
        <v>12.94</v>
      </c>
      <c r="R35" s="6"/>
      <c r="S35" s="6"/>
      <c r="T35" s="156"/>
      <c r="U35" s="6"/>
    </row>
    <row r="36" spans="1:21" customFormat="1">
      <c r="A36" s="163" t="s">
        <v>3050</v>
      </c>
      <c r="B36" s="100">
        <v>8.18</v>
      </c>
      <c r="C36" s="100">
        <v>21.21</v>
      </c>
      <c r="D36" s="100">
        <v>19</v>
      </c>
      <c r="E36" s="100">
        <v>10.01</v>
      </c>
      <c r="F36" s="151" t="s">
        <v>8</v>
      </c>
      <c r="G36" s="100">
        <v>52.47</v>
      </c>
      <c r="H36" s="100">
        <v>26.36</v>
      </c>
      <c r="I36" s="100">
        <v>17.18</v>
      </c>
      <c r="J36" s="100">
        <v>0.2</v>
      </c>
      <c r="K36" s="100">
        <v>169.16</v>
      </c>
      <c r="L36" s="100">
        <v>17.989999999999998</v>
      </c>
      <c r="M36" s="100">
        <v>98.07</v>
      </c>
      <c r="N36" s="100">
        <v>7</v>
      </c>
      <c r="O36" s="100">
        <v>0</v>
      </c>
      <c r="P36" s="100">
        <v>1.05</v>
      </c>
      <c r="Q36" s="100">
        <v>12.94</v>
      </c>
      <c r="R36" s="6"/>
      <c r="S36" s="6"/>
      <c r="T36" s="156"/>
      <c r="U36" s="6"/>
    </row>
    <row r="37" spans="1:21" customFormat="1">
      <c r="A37" s="163" t="s">
        <v>3051</v>
      </c>
      <c r="B37" s="100">
        <v>8.5</v>
      </c>
      <c r="C37" s="100">
        <v>21.77</v>
      </c>
      <c r="D37" s="100">
        <v>19.54</v>
      </c>
      <c r="E37" s="100">
        <v>10.42</v>
      </c>
      <c r="F37" s="151" t="s">
        <v>8</v>
      </c>
      <c r="G37" s="100">
        <v>52.47</v>
      </c>
      <c r="H37" s="100">
        <v>26.36</v>
      </c>
      <c r="I37" s="100">
        <v>16.95</v>
      </c>
      <c r="J37" s="100">
        <v>0.11</v>
      </c>
      <c r="K37" s="100">
        <v>157.41</v>
      </c>
      <c r="L37" s="100">
        <v>18.09</v>
      </c>
      <c r="M37" s="100">
        <v>98.41</v>
      </c>
      <c r="N37" s="100">
        <v>13.8</v>
      </c>
      <c r="O37" s="100">
        <v>0</v>
      </c>
      <c r="P37" s="100">
        <v>1.03</v>
      </c>
      <c r="Q37" s="100">
        <v>12.94</v>
      </c>
      <c r="R37" s="6"/>
      <c r="S37" s="6"/>
      <c r="T37" s="156"/>
      <c r="U37" s="6"/>
    </row>
    <row r="38" spans="1:21" customFormat="1">
      <c r="A38" s="163" t="s">
        <v>3052</v>
      </c>
      <c r="B38" s="100">
        <v>8.7799999999999994</v>
      </c>
      <c r="C38" s="100">
        <v>22.25</v>
      </c>
      <c r="D38" s="100">
        <v>20.02</v>
      </c>
      <c r="E38" s="100">
        <v>10.32</v>
      </c>
      <c r="F38" s="151" t="s">
        <v>8</v>
      </c>
      <c r="G38" s="100">
        <v>52.47</v>
      </c>
      <c r="H38" s="100">
        <v>26.36</v>
      </c>
      <c r="I38" s="100">
        <v>16.77</v>
      </c>
      <c r="J38" s="100">
        <v>0.12</v>
      </c>
      <c r="K38" s="100">
        <v>157.94999999999999</v>
      </c>
      <c r="L38" s="100">
        <v>18.510000000000002</v>
      </c>
      <c r="M38" s="100">
        <v>98.05</v>
      </c>
      <c r="N38" s="100">
        <v>22.2</v>
      </c>
      <c r="O38" s="100">
        <v>0</v>
      </c>
      <c r="P38" s="100">
        <v>1.02</v>
      </c>
      <c r="Q38" s="100">
        <v>12.92</v>
      </c>
      <c r="R38" s="6"/>
      <c r="S38" s="6"/>
      <c r="T38" s="156"/>
      <c r="U38" s="6"/>
    </row>
    <row r="39" spans="1:21" customFormat="1">
      <c r="A39" s="163" t="s">
        <v>3053</v>
      </c>
      <c r="B39" s="100">
        <v>9.1199999999999992</v>
      </c>
      <c r="C39" s="100">
        <v>22.33</v>
      </c>
      <c r="D39" s="100">
        <v>20.329999999999998</v>
      </c>
      <c r="E39" s="100">
        <v>10.39</v>
      </c>
      <c r="F39" s="151" t="s">
        <v>8</v>
      </c>
      <c r="G39" s="100">
        <v>52.42</v>
      </c>
      <c r="H39" s="100">
        <v>26.28</v>
      </c>
      <c r="I39" s="100">
        <v>16.53</v>
      </c>
      <c r="J39" s="100">
        <v>0.16</v>
      </c>
      <c r="K39" s="100">
        <v>140.18</v>
      </c>
      <c r="L39" s="100">
        <v>19.13</v>
      </c>
      <c r="M39" s="100">
        <v>96.13</v>
      </c>
      <c r="N39" s="100">
        <v>31.4</v>
      </c>
      <c r="O39" s="100">
        <v>0</v>
      </c>
      <c r="P39" s="100">
        <v>1.02</v>
      </c>
      <c r="Q39" s="100">
        <v>12.93</v>
      </c>
      <c r="R39" s="6"/>
      <c r="S39" s="6"/>
      <c r="T39" s="156"/>
      <c r="U39" s="6"/>
    </row>
    <row r="40" spans="1:21" customFormat="1">
      <c r="A40" s="163" t="s">
        <v>3054</v>
      </c>
      <c r="B40" s="100">
        <v>9.43</v>
      </c>
      <c r="C40" s="100">
        <v>22.62</v>
      </c>
      <c r="D40" s="100">
        <v>20.73</v>
      </c>
      <c r="E40" s="100">
        <v>10.54</v>
      </c>
      <c r="F40" s="151" t="s">
        <v>8</v>
      </c>
      <c r="G40" s="100">
        <v>51.03</v>
      </c>
      <c r="H40" s="100">
        <v>23.7</v>
      </c>
      <c r="I40" s="100">
        <v>16.36</v>
      </c>
      <c r="J40" s="100">
        <v>0.1</v>
      </c>
      <c r="K40" s="100">
        <v>145.1</v>
      </c>
      <c r="L40" s="100">
        <v>19.91</v>
      </c>
      <c r="M40" s="100">
        <v>91.91</v>
      </c>
      <c r="N40" s="100">
        <v>41.1</v>
      </c>
      <c r="O40" s="100">
        <v>0</v>
      </c>
      <c r="P40" s="100">
        <v>1.01</v>
      </c>
      <c r="Q40" s="100">
        <v>12.94</v>
      </c>
      <c r="R40" s="6"/>
      <c r="S40" s="6"/>
      <c r="T40" s="156"/>
      <c r="U40" s="6"/>
    </row>
    <row r="41" spans="1:21" customFormat="1">
      <c r="A41" s="163" t="s">
        <v>3055</v>
      </c>
      <c r="B41" s="100">
        <v>9.65</v>
      </c>
      <c r="C41" s="100">
        <v>22.96</v>
      </c>
      <c r="D41" s="100">
        <v>21.09</v>
      </c>
      <c r="E41" s="100">
        <v>10.43</v>
      </c>
      <c r="F41" s="151" t="s">
        <v>8</v>
      </c>
      <c r="G41" s="100">
        <v>51.03</v>
      </c>
      <c r="H41" s="100">
        <v>23.7</v>
      </c>
      <c r="I41" s="100">
        <v>16.23</v>
      </c>
      <c r="J41" s="100">
        <v>0.2</v>
      </c>
      <c r="K41" s="100">
        <v>268.61</v>
      </c>
      <c r="L41" s="100">
        <v>20.86</v>
      </c>
      <c r="M41" s="100">
        <v>86.83</v>
      </c>
      <c r="N41" s="100">
        <v>69.2</v>
      </c>
      <c r="O41" s="100">
        <v>0</v>
      </c>
      <c r="P41" s="100">
        <v>1</v>
      </c>
      <c r="Q41" s="100">
        <v>12.95</v>
      </c>
      <c r="R41" s="6"/>
      <c r="S41" s="6"/>
      <c r="T41" s="156"/>
      <c r="U41" s="6"/>
    </row>
    <row r="42" spans="1:21" customFormat="1">
      <c r="A42" s="163" t="s">
        <v>3056</v>
      </c>
      <c r="B42" s="100">
        <v>9.81</v>
      </c>
      <c r="C42" s="100">
        <v>23.28</v>
      </c>
      <c r="D42" s="100">
        <v>21.38</v>
      </c>
      <c r="E42" s="100">
        <v>10.3</v>
      </c>
      <c r="F42" s="151" t="s">
        <v>8</v>
      </c>
      <c r="G42" s="100">
        <v>51.03</v>
      </c>
      <c r="H42" s="100">
        <v>23.7</v>
      </c>
      <c r="I42" s="100">
        <v>16.09</v>
      </c>
      <c r="J42" s="100">
        <v>0.12</v>
      </c>
      <c r="K42" s="100">
        <v>268.95999999999998</v>
      </c>
      <c r="L42" s="100">
        <v>21.98</v>
      </c>
      <c r="M42" s="100">
        <v>80.819999999999993</v>
      </c>
      <c r="N42" s="100">
        <v>137.69999999999999</v>
      </c>
      <c r="O42" s="100">
        <v>0</v>
      </c>
      <c r="P42" s="100">
        <v>0.98</v>
      </c>
      <c r="Q42" s="100">
        <v>12.95</v>
      </c>
      <c r="R42" s="6"/>
      <c r="S42" s="6"/>
      <c r="T42" s="156"/>
      <c r="U42" s="6"/>
    </row>
    <row r="43" spans="1:21" customFormat="1">
      <c r="A43" s="163" t="s">
        <v>3057</v>
      </c>
      <c r="B43" s="100">
        <v>9.91</v>
      </c>
      <c r="C43" s="100">
        <v>23.55</v>
      </c>
      <c r="D43" s="100">
        <v>21.61</v>
      </c>
      <c r="E43" s="100">
        <v>10.1</v>
      </c>
      <c r="F43" s="151" t="s">
        <v>8</v>
      </c>
      <c r="G43" s="100">
        <v>51.28</v>
      </c>
      <c r="H43" s="100">
        <v>23.74</v>
      </c>
      <c r="I43" s="100">
        <v>15.89</v>
      </c>
      <c r="J43" s="100">
        <v>0.28999999999999998</v>
      </c>
      <c r="K43" s="100">
        <v>256.27</v>
      </c>
      <c r="L43" s="100">
        <v>22.82</v>
      </c>
      <c r="M43" s="100">
        <v>77.55</v>
      </c>
      <c r="N43" s="100">
        <v>162.80000000000001</v>
      </c>
      <c r="O43" s="100">
        <v>0</v>
      </c>
      <c r="P43" s="100">
        <v>0.98</v>
      </c>
      <c r="Q43" s="100">
        <v>12.97</v>
      </c>
      <c r="R43" s="6"/>
      <c r="S43" s="6"/>
      <c r="T43" s="156"/>
      <c r="U43" s="6"/>
    </row>
    <row r="44" spans="1:21" customFormat="1">
      <c r="A44" s="163" t="s">
        <v>3058</v>
      </c>
      <c r="B44" s="100">
        <v>9.83</v>
      </c>
      <c r="C44" s="100">
        <v>23.86</v>
      </c>
      <c r="D44" s="100">
        <v>21.7</v>
      </c>
      <c r="E44" s="100">
        <v>10.76</v>
      </c>
      <c r="F44" s="151" t="s">
        <v>8</v>
      </c>
      <c r="G44" s="100">
        <v>56.56</v>
      </c>
      <c r="H44" s="100">
        <v>24.96</v>
      </c>
      <c r="I44" s="100">
        <v>15.67</v>
      </c>
      <c r="J44" s="100">
        <v>0.53</v>
      </c>
      <c r="K44" s="100">
        <v>264.25</v>
      </c>
      <c r="L44" s="100">
        <v>23.76</v>
      </c>
      <c r="M44" s="100">
        <v>73.12</v>
      </c>
      <c r="N44" s="100">
        <v>160.1</v>
      </c>
      <c r="O44" s="100">
        <v>0</v>
      </c>
      <c r="P44" s="100">
        <v>0.97</v>
      </c>
      <c r="Q44" s="100">
        <v>12.97</v>
      </c>
      <c r="R44" s="6"/>
      <c r="S44" s="6"/>
      <c r="T44" s="156"/>
      <c r="U44" s="6"/>
    </row>
    <row r="45" spans="1:21" customFormat="1">
      <c r="A45" s="163" t="s">
        <v>3059</v>
      </c>
      <c r="B45" s="100">
        <v>9.69</v>
      </c>
      <c r="C45" s="100">
        <v>23.88</v>
      </c>
      <c r="D45" s="100">
        <v>21.6</v>
      </c>
      <c r="E45" s="100">
        <v>10.8</v>
      </c>
      <c r="F45" s="151" t="s">
        <v>8</v>
      </c>
      <c r="G45" s="100">
        <v>56.56</v>
      </c>
      <c r="H45" s="100">
        <v>24.96</v>
      </c>
      <c r="I45" s="100">
        <v>15.5</v>
      </c>
      <c r="J45" s="100">
        <v>0.51</v>
      </c>
      <c r="K45" s="100">
        <v>265.72000000000003</v>
      </c>
      <c r="L45" s="100">
        <v>24.44</v>
      </c>
      <c r="M45" s="100">
        <v>69.849999999999994</v>
      </c>
      <c r="N45" s="100">
        <v>190.6</v>
      </c>
      <c r="O45" s="100">
        <v>0</v>
      </c>
      <c r="P45" s="100">
        <v>0.96</v>
      </c>
      <c r="Q45" s="100">
        <v>12.95</v>
      </c>
      <c r="R45" s="6"/>
      <c r="S45" s="6"/>
      <c r="T45" s="156"/>
      <c r="U45" s="6"/>
    </row>
    <row r="46" spans="1:21" customFormat="1">
      <c r="A46" s="163" t="s">
        <v>3060</v>
      </c>
      <c r="B46" s="100">
        <v>9.49</v>
      </c>
      <c r="C46" s="100">
        <v>23.81</v>
      </c>
      <c r="D46" s="100">
        <v>21.4</v>
      </c>
      <c r="E46" s="100">
        <v>10.65</v>
      </c>
      <c r="F46" s="151" t="s">
        <v>8</v>
      </c>
      <c r="G46" s="100">
        <v>56.56</v>
      </c>
      <c r="H46" s="100">
        <v>24.96</v>
      </c>
      <c r="I46" s="100">
        <v>15.33</v>
      </c>
      <c r="J46" s="100">
        <v>0.5</v>
      </c>
      <c r="K46" s="100">
        <v>267.43</v>
      </c>
      <c r="L46" s="100">
        <v>25.27</v>
      </c>
      <c r="M46" s="100">
        <v>67.19</v>
      </c>
      <c r="N46" s="100">
        <v>236.3</v>
      </c>
      <c r="O46" s="100">
        <v>0</v>
      </c>
      <c r="P46" s="100">
        <v>0.97</v>
      </c>
      <c r="Q46" s="100">
        <v>12.94</v>
      </c>
      <c r="R46" s="6"/>
      <c r="S46" s="6"/>
      <c r="T46" s="156"/>
      <c r="U46" s="6"/>
    </row>
    <row r="47" spans="1:21" customFormat="1">
      <c r="A47" s="163" t="s">
        <v>3061</v>
      </c>
      <c r="B47" s="100">
        <v>9.1999999999999993</v>
      </c>
      <c r="C47" s="100">
        <v>24.08</v>
      </c>
      <c r="D47" s="100">
        <v>21.31</v>
      </c>
      <c r="E47" s="100">
        <v>11.24</v>
      </c>
      <c r="F47" s="151" t="s">
        <v>8</v>
      </c>
      <c r="G47" s="100">
        <v>57.12</v>
      </c>
      <c r="H47" s="100">
        <v>25.05</v>
      </c>
      <c r="I47" s="100">
        <v>15.29</v>
      </c>
      <c r="J47" s="100">
        <v>0.61</v>
      </c>
      <c r="K47" s="100">
        <v>266.62</v>
      </c>
      <c r="L47" s="100">
        <v>25.77</v>
      </c>
      <c r="M47" s="100">
        <v>64.59</v>
      </c>
      <c r="N47" s="100">
        <v>260.2</v>
      </c>
      <c r="O47" s="100">
        <v>0</v>
      </c>
      <c r="P47" s="100">
        <v>0.97</v>
      </c>
      <c r="Q47" s="100">
        <v>12.94</v>
      </c>
      <c r="R47" s="6"/>
      <c r="S47" s="6"/>
      <c r="T47" s="156"/>
      <c r="U47" s="6"/>
    </row>
    <row r="48" spans="1:21" customFormat="1">
      <c r="A48" s="163" t="s">
        <v>3062</v>
      </c>
      <c r="B48" s="100">
        <v>8.8800000000000008</v>
      </c>
      <c r="C48" s="100">
        <v>24.33</v>
      </c>
      <c r="D48" s="100">
        <v>21.18</v>
      </c>
      <c r="E48" s="100">
        <v>11.44</v>
      </c>
      <c r="F48" s="151" t="s">
        <v>8</v>
      </c>
      <c r="G48" s="100">
        <v>73.569999999999993</v>
      </c>
      <c r="H48" s="100">
        <v>27.84</v>
      </c>
      <c r="I48" s="100">
        <v>15.62</v>
      </c>
      <c r="J48" s="100">
        <v>0.59</v>
      </c>
      <c r="K48" s="100">
        <v>267.73</v>
      </c>
      <c r="L48" s="100">
        <v>26.37</v>
      </c>
      <c r="M48" s="100">
        <v>62.98</v>
      </c>
      <c r="N48" s="100">
        <v>278.60000000000002</v>
      </c>
      <c r="O48" s="100">
        <v>0</v>
      </c>
      <c r="P48" s="100">
        <v>0.97</v>
      </c>
      <c r="Q48" s="100">
        <v>12.95</v>
      </c>
      <c r="R48" s="6"/>
      <c r="S48" s="6"/>
      <c r="T48" s="156"/>
      <c r="U48" s="6"/>
    </row>
    <row r="49" spans="1:21" customFormat="1">
      <c r="A49" s="163" t="s">
        <v>3063</v>
      </c>
      <c r="B49" s="100">
        <v>8.5299999999999994</v>
      </c>
      <c r="C49" s="100">
        <v>24.3</v>
      </c>
      <c r="D49" s="100">
        <v>20.88</v>
      </c>
      <c r="E49" s="100">
        <v>9.4700000000000006</v>
      </c>
      <c r="F49" s="151" t="s">
        <v>8</v>
      </c>
      <c r="G49" s="100">
        <v>73.569999999999993</v>
      </c>
      <c r="H49" s="100">
        <v>27.84</v>
      </c>
      <c r="I49" s="100">
        <v>16.190000000000001</v>
      </c>
      <c r="J49" s="100">
        <v>0.72</v>
      </c>
      <c r="K49" s="100">
        <v>288.11</v>
      </c>
      <c r="L49" s="100">
        <v>26.93</v>
      </c>
      <c r="M49" s="100">
        <v>60.59</v>
      </c>
      <c r="N49" s="100">
        <v>236.3</v>
      </c>
      <c r="O49" s="100">
        <v>0</v>
      </c>
      <c r="P49" s="100">
        <v>0.95</v>
      </c>
      <c r="Q49" s="100">
        <v>12.95</v>
      </c>
      <c r="R49" s="6"/>
      <c r="S49" s="6"/>
      <c r="T49" s="156"/>
      <c r="U49" s="6"/>
    </row>
    <row r="50" spans="1:21" customFormat="1">
      <c r="A50" s="163" t="s">
        <v>3064</v>
      </c>
      <c r="B50" s="100">
        <v>8.1</v>
      </c>
      <c r="C50" s="100">
        <v>23.82</v>
      </c>
      <c r="D50" s="100">
        <v>20.29</v>
      </c>
      <c r="E50" s="100">
        <v>11.41</v>
      </c>
      <c r="F50" s="151" t="s">
        <v>8</v>
      </c>
      <c r="G50" s="100">
        <v>73.569999999999993</v>
      </c>
      <c r="H50" s="100">
        <v>27.84</v>
      </c>
      <c r="I50" s="100">
        <v>16.21</v>
      </c>
      <c r="J50" s="100">
        <v>0.86</v>
      </c>
      <c r="K50" s="100">
        <v>282.12</v>
      </c>
      <c r="L50" s="100">
        <v>27.12</v>
      </c>
      <c r="M50" s="100">
        <v>59.1</v>
      </c>
      <c r="N50" s="100">
        <v>308.39999999999998</v>
      </c>
      <c r="O50" s="100">
        <v>0</v>
      </c>
      <c r="P50" s="100">
        <v>0.92</v>
      </c>
      <c r="Q50" s="100">
        <v>12.96</v>
      </c>
      <c r="R50" s="6"/>
      <c r="S50" s="6"/>
      <c r="T50" s="156"/>
      <c r="U50" s="6"/>
    </row>
    <row r="51" spans="1:21" customFormat="1">
      <c r="A51" s="163" t="s">
        <v>3065</v>
      </c>
      <c r="B51" s="100">
        <v>7.61</v>
      </c>
      <c r="C51" s="100">
        <v>24.35</v>
      </c>
      <c r="D51" s="100">
        <v>20.18</v>
      </c>
      <c r="E51" s="100">
        <v>11.16</v>
      </c>
      <c r="F51" s="151" t="s">
        <v>8</v>
      </c>
      <c r="G51" s="100">
        <v>73.180000000000007</v>
      </c>
      <c r="H51" s="100">
        <v>27.71</v>
      </c>
      <c r="I51" s="100">
        <v>15.89</v>
      </c>
      <c r="J51" s="100">
        <v>0.66</v>
      </c>
      <c r="K51" s="100">
        <v>264.07</v>
      </c>
      <c r="L51" s="100">
        <v>27.84</v>
      </c>
      <c r="M51" s="100">
        <v>56.87</v>
      </c>
      <c r="N51" s="100">
        <v>325</v>
      </c>
      <c r="O51" s="100">
        <v>0</v>
      </c>
      <c r="P51" s="100">
        <v>0.9</v>
      </c>
      <c r="Q51" s="100">
        <v>12.94</v>
      </c>
      <c r="R51" s="6"/>
      <c r="S51" s="6"/>
      <c r="T51" s="156"/>
      <c r="U51" s="6"/>
    </row>
    <row r="52" spans="1:21" customFormat="1">
      <c r="A52" s="163" t="s">
        <v>3066</v>
      </c>
      <c r="B52" s="100">
        <v>7.16</v>
      </c>
      <c r="C52" s="100">
        <v>23.84</v>
      </c>
      <c r="D52" s="100">
        <v>19.55</v>
      </c>
      <c r="E52" s="100">
        <v>10.92</v>
      </c>
      <c r="F52" s="151" t="s">
        <v>8</v>
      </c>
      <c r="G52" s="100">
        <v>64.790000000000006</v>
      </c>
      <c r="H52" s="100">
        <v>23.75</v>
      </c>
      <c r="I52" s="100">
        <v>15.49</v>
      </c>
      <c r="J52" s="100">
        <v>0.7</v>
      </c>
      <c r="K52" s="100">
        <v>281.48</v>
      </c>
      <c r="L52" s="100">
        <v>28.13</v>
      </c>
      <c r="M52" s="100">
        <v>55.76</v>
      </c>
      <c r="N52" s="100">
        <v>332.7</v>
      </c>
      <c r="O52" s="100">
        <v>0</v>
      </c>
      <c r="P52" s="100">
        <v>0.88</v>
      </c>
      <c r="Q52" s="100">
        <v>12.95</v>
      </c>
      <c r="R52" s="6"/>
      <c r="S52" s="6"/>
      <c r="T52" s="156"/>
      <c r="U52" s="6"/>
    </row>
    <row r="53" spans="1:21" customFormat="1">
      <c r="A53" s="163" t="s">
        <v>3067</v>
      </c>
      <c r="B53" s="100">
        <v>6.74</v>
      </c>
      <c r="C53" s="100">
        <v>23.77</v>
      </c>
      <c r="D53" s="100">
        <v>19.18</v>
      </c>
      <c r="E53" s="100">
        <v>11.35</v>
      </c>
      <c r="F53" s="151" t="s">
        <v>8</v>
      </c>
      <c r="G53" s="100">
        <v>64.790000000000006</v>
      </c>
      <c r="H53" s="100">
        <v>23.75</v>
      </c>
      <c r="I53" s="100">
        <v>14.99</v>
      </c>
      <c r="J53" s="100">
        <v>0.44</v>
      </c>
      <c r="K53" s="100">
        <v>267.51</v>
      </c>
      <c r="L53" s="100">
        <v>29.11</v>
      </c>
      <c r="M53" s="100">
        <v>53.1</v>
      </c>
      <c r="N53" s="100">
        <v>333</v>
      </c>
      <c r="O53" s="100">
        <v>0</v>
      </c>
      <c r="P53" s="100">
        <v>0.86</v>
      </c>
      <c r="Q53" s="100">
        <v>12.95</v>
      </c>
      <c r="R53" s="6"/>
      <c r="S53" s="6"/>
      <c r="T53" s="156"/>
      <c r="U53" s="6"/>
    </row>
    <row r="54" spans="1:21" customFormat="1">
      <c r="A54" s="163" t="s">
        <v>3068</v>
      </c>
      <c r="B54" s="100">
        <v>6.3</v>
      </c>
      <c r="C54" s="100">
        <v>24.2</v>
      </c>
      <c r="D54" s="100">
        <v>19.05</v>
      </c>
      <c r="E54" s="100">
        <v>11.38</v>
      </c>
      <c r="F54" s="151" t="s">
        <v>8</v>
      </c>
      <c r="G54" s="100">
        <v>64.790000000000006</v>
      </c>
      <c r="H54" s="100">
        <v>23.75</v>
      </c>
      <c r="I54" s="100">
        <v>14.71</v>
      </c>
      <c r="J54" s="100">
        <v>0.55000000000000004</v>
      </c>
      <c r="K54" s="100">
        <v>271.36</v>
      </c>
      <c r="L54" s="100">
        <v>29.2</v>
      </c>
      <c r="M54" s="100">
        <v>52.1</v>
      </c>
      <c r="N54" s="100">
        <v>309</v>
      </c>
      <c r="O54" s="100">
        <v>0</v>
      </c>
      <c r="P54" s="100">
        <v>0.85</v>
      </c>
      <c r="Q54" s="100">
        <v>12.94</v>
      </c>
      <c r="R54" s="6"/>
      <c r="S54" s="6"/>
      <c r="T54" s="156"/>
      <c r="U54" s="6"/>
    </row>
    <row r="55" spans="1:21" customFormat="1">
      <c r="A55" s="163" t="s">
        <v>3069</v>
      </c>
      <c r="B55" s="100">
        <v>5.93</v>
      </c>
      <c r="C55" s="100">
        <v>23.82</v>
      </c>
      <c r="D55" s="100">
        <v>18.55</v>
      </c>
      <c r="E55" s="100">
        <v>11.38</v>
      </c>
      <c r="F55" s="151" t="s">
        <v>8</v>
      </c>
      <c r="G55" s="100">
        <v>64.489999999999995</v>
      </c>
      <c r="H55" s="100">
        <v>23.71</v>
      </c>
      <c r="I55" s="100">
        <v>14.36</v>
      </c>
      <c r="J55" s="100">
        <v>0.67</v>
      </c>
      <c r="K55" s="100">
        <v>284.91000000000003</v>
      </c>
      <c r="L55" s="100">
        <v>29.67</v>
      </c>
      <c r="M55" s="100">
        <v>50.21</v>
      </c>
      <c r="N55" s="100">
        <v>337.9</v>
      </c>
      <c r="O55" s="100">
        <v>0</v>
      </c>
      <c r="P55" s="100">
        <v>0.83</v>
      </c>
      <c r="Q55" s="100">
        <v>12.94</v>
      </c>
      <c r="R55" s="6"/>
      <c r="S55" s="6"/>
      <c r="T55" s="156"/>
      <c r="U55" s="6"/>
    </row>
    <row r="56" spans="1:21" customFormat="1">
      <c r="A56" s="163" t="s">
        <v>3070</v>
      </c>
      <c r="B56" s="100">
        <v>5.38</v>
      </c>
      <c r="C56" s="100">
        <v>23.33</v>
      </c>
      <c r="D56" s="100">
        <v>17.850000000000001</v>
      </c>
      <c r="E56" s="100">
        <v>10.99</v>
      </c>
      <c r="F56" s="151" t="s">
        <v>8</v>
      </c>
      <c r="G56" s="100">
        <v>57.91</v>
      </c>
      <c r="H56" s="100">
        <v>22.31</v>
      </c>
      <c r="I56" s="100">
        <v>14.05</v>
      </c>
      <c r="J56" s="100">
        <v>1</v>
      </c>
      <c r="K56" s="100">
        <v>307.91000000000003</v>
      </c>
      <c r="L56" s="100">
        <v>29.72</v>
      </c>
      <c r="M56" s="100">
        <v>49.5</v>
      </c>
      <c r="N56" s="100">
        <v>339.2</v>
      </c>
      <c r="O56" s="100">
        <v>0</v>
      </c>
      <c r="P56" s="100">
        <v>0.82</v>
      </c>
      <c r="Q56" s="100">
        <v>12.93</v>
      </c>
      <c r="R56" s="6"/>
      <c r="S56" s="6"/>
      <c r="T56" s="156"/>
      <c r="U56" s="6"/>
    </row>
    <row r="57" spans="1:21" customFormat="1">
      <c r="A57" s="163" t="s">
        <v>3071</v>
      </c>
      <c r="B57" s="100">
        <v>4.92</v>
      </c>
      <c r="C57" s="100">
        <v>23.83</v>
      </c>
      <c r="D57" s="100">
        <v>17.75</v>
      </c>
      <c r="E57" s="100">
        <v>11.24</v>
      </c>
      <c r="F57" s="151" t="s">
        <v>8</v>
      </c>
      <c r="G57" s="100">
        <v>57.91</v>
      </c>
      <c r="H57" s="100">
        <v>22.31</v>
      </c>
      <c r="I57" s="100">
        <v>13.65</v>
      </c>
      <c r="J57" s="100">
        <v>0.71</v>
      </c>
      <c r="K57" s="100">
        <v>277.92</v>
      </c>
      <c r="L57" s="100">
        <v>30.16</v>
      </c>
      <c r="M57" s="100">
        <v>49.06</v>
      </c>
      <c r="N57" s="100">
        <v>357.5</v>
      </c>
      <c r="O57" s="100">
        <v>0</v>
      </c>
      <c r="P57" s="100">
        <v>0.82</v>
      </c>
      <c r="Q57" s="100">
        <v>12.95</v>
      </c>
      <c r="R57" s="6"/>
      <c r="S57" s="6"/>
      <c r="T57" s="156"/>
      <c r="U57" s="6"/>
    </row>
    <row r="58" spans="1:21" customFormat="1">
      <c r="A58" s="163" t="s">
        <v>3072</v>
      </c>
      <c r="B58" s="100">
        <v>4.6100000000000003</v>
      </c>
      <c r="C58" s="100">
        <v>24.11</v>
      </c>
      <c r="D58" s="100">
        <v>17.649999999999999</v>
      </c>
      <c r="E58" s="100">
        <v>12</v>
      </c>
      <c r="F58" s="151" t="s">
        <v>8</v>
      </c>
      <c r="G58" s="100">
        <v>57.91</v>
      </c>
      <c r="H58" s="100">
        <v>22.31</v>
      </c>
      <c r="I58" s="100">
        <v>13.33</v>
      </c>
      <c r="J58" s="100">
        <v>0.88</v>
      </c>
      <c r="K58" s="100">
        <v>277.14999999999998</v>
      </c>
      <c r="L58" s="100">
        <v>30.41</v>
      </c>
      <c r="M58" s="100">
        <v>48.53</v>
      </c>
      <c r="N58" s="100">
        <v>356.6</v>
      </c>
      <c r="O58" s="100">
        <v>0</v>
      </c>
      <c r="P58" s="100">
        <v>0.83</v>
      </c>
      <c r="Q58" s="100">
        <v>12.95</v>
      </c>
      <c r="R58" s="6"/>
      <c r="S58" s="6"/>
      <c r="T58" s="156"/>
      <c r="U58" s="6"/>
    </row>
    <row r="59" spans="1:21" customFormat="1">
      <c r="A59" s="163" t="s">
        <v>3073</v>
      </c>
      <c r="B59" s="100">
        <v>4.38</v>
      </c>
      <c r="C59" s="100">
        <v>24.49</v>
      </c>
      <c r="D59" s="100">
        <v>17.66</v>
      </c>
      <c r="E59" s="100">
        <v>12.56</v>
      </c>
      <c r="F59" s="151" t="s">
        <v>8</v>
      </c>
      <c r="G59" s="100">
        <v>58.13</v>
      </c>
      <c r="H59" s="100">
        <v>22.43</v>
      </c>
      <c r="I59" s="100">
        <v>13.22</v>
      </c>
      <c r="J59" s="100">
        <v>1.23</v>
      </c>
      <c r="K59" s="100">
        <v>302</v>
      </c>
      <c r="L59" s="100">
        <v>30.37</v>
      </c>
      <c r="M59" s="100">
        <v>47.44</v>
      </c>
      <c r="N59" s="100">
        <v>351.6</v>
      </c>
      <c r="O59" s="100">
        <v>0</v>
      </c>
      <c r="P59" s="100">
        <v>0.83</v>
      </c>
      <c r="Q59" s="100">
        <v>12.94</v>
      </c>
      <c r="R59" s="6"/>
      <c r="S59" s="6"/>
      <c r="T59" s="156"/>
      <c r="U59" s="6"/>
    </row>
    <row r="60" spans="1:21" customFormat="1">
      <c r="A60" s="163" t="s">
        <v>3074</v>
      </c>
      <c r="B60" s="100">
        <v>4.33</v>
      </c>
      <c r="C60" s="100">
        <v>24.94</v>
      </c>
      <c r="D60" s="100">
        <v>17.850000000000001</v>
      </c>
      <c r="E60" s="100">
        <v>12.86</v>
      </c>
      <c r="F60" s="151" t="s">
        <v>8</v>
      </c>
      <c r="G60" s="100">
        <v>62.85</v>
      </c>
      <c r="H60" s="100">
        <v>26.46</v>
      </c>
      <c r="I60" s="100">
        <v>13.19</v>
      </c>
      <c r="J60" s="100">
        <v>0.89</v>
      </c>
      <c r="K60" s="100">
        <v>331.27</v>
      </c>
      <c r="L60" s="100">
        <v>30.42</v>
      </c>
      <c r="M60" s="100">
        <v>46.88</v>
      </c>
      <c r="N60" s="100">
        <v>352.4</v>
      </c>
      <c r="O60" s="100">
        <v>0</v>
      </c>
      <c r="P60" s="100">
        <v>0.83</v>
      </c>
      <c r="Q60" s="100">
        <v>12.94</v>
      </c>
      <c r="R60" s="6"/>
      <c r="S60" s="6"/>
      <c r="T60" s="156"/>
      <c r="U60" s="6"/>
    </row>
    <row r="61" spans="1:21" customFormat="1">
      <c r="A61" s="163" t="s">
        <v>3075</v>
      </c>
      <c r="B61" s="100">
        <v>4.33</v>
      </c>
      <c r="C61" s="100">
        <v>25.35</v>
      </c>
      <c r="D61" s="100">
        <v>18.059999999999999</v>
      </c>
      <c r="E61" s="100">
        <v>12.25</v>
      </c>
      <c r="F61" s="151" t="s">
        <v>8</v>
      </c>
      <c r="G61" s="100">
        <v>62.85</v>
      </c>
      <c r="H61" s="100">
        <v>26.46</v>
      </c>
      <c r="I61" s="100">
        <v>13.07</v>
      </c>
      <c r="J61" s="100">
        <v>0.62</v>
      </c>
      <c r="K61" s="100">
        <v>275.58</v>
      </c>
      <c r="L61" s="100">
        <v>31.34</v>
      </c>
      <c r="M61" s="100">
        <v>44.77</v>
      </c>
      <c r="N61" s="100">
        <v>336.6</v>
      </c>
      <c r="O61" s="100">
        <v>0</v>
      </c>
      <c r="P61" s="100">
        <v>0.84</v>
      </c>
      <c r="Q61" s="100">
        <v>12.96</v>
      </c>
      <c r="R61" s="6"/>
      <c r="S61" s="6"/>
      <c r="T61" s="156"/>
      <c r="U61" s="6"/>
    </row>
    <row r="62" spans="1:21" customFormat="1">
      <c r="A62" s="163" t="s">
        <v>3076</v>
      </c>
      <c r="B62" s="100">
        <v>4.1900000000000004</v>
      </c>
      <c r="C62" s="100">
        <v>25.32</v>
      </c>
      <c r="D62" s="100">
        <v>17.940000000000001</v>
      </c>
      <c r="E62" s="100">
        <v>12.98</v>
      </c>
      <c r="F62" s="151" t="s">
        <v>8</v>
      </c>
      <c r="G62" s="100">
        <v>62.85</v>
      </c>
      <c r="H62" s="100">
        <v>26.46</v>
      </c>
      <c r="I62" s="100">
        <v>13.07</v>
      </c>
      <c r="J62" s="100">
        <v>0.72</v>
      </c>
      <c r="K62" s="100">
        <v>282.24</v>
      </c>
      <c r="L62" s="100">
        <v>31.2</v>
      </c>
      <c r="M62" s="100">
        <v>45.08</v>
      </c>
      <c r="N62" s="100">
        <v>310.3</v>
      </c>
      <c r="O62" s="100">
        <v>0</v>
      </c>
      <c r="P62" s="100">
        <v>0.84</v>
      </c>
      <c r="Q62" s="100">
        <v>12.96</v>
      </c>
      <c r="R62" s="6"/>
      <c r="S62" s="6"/>
      <c r="T62" s="156"/>
      <c r="U62" s="6"/>
    </row>
    <row r="63" spans="1:21" customFormat="1">
      <c r="A63" s="163" t="s">
        <v>3077</v>
      </c>
      <c r="B63" s="100">
        <v>4.0999999999999996</v>
      </c>
      <c r="C63" s="100">
        <v>25.29</v>
      </c>
      <c r="D63" s="100">
        <v>17.850000000000001</v>
      </c>
      <c r="E63" s="100">
        <v>12.79</v>
      </c>
      <c r="F63" s="151" t="s">
        <v>8</v>
      </c>
      <c r="G63" s="100">
        <v>63.21</v>
      </c>
      <c r="H63" s="100">
        <v>26.4</v>
      </c>
      <c r="I63" s="100">
        <v>13.04</v>
      </c>
      <c r="J63" s="100">
        <v>0.56999999999999995</v>
      </c>
      <c r="K63" s="100">
        <v>312.32</v>
      </c>
      <c r="L63" s="100">
        <v>31.26</v>
      </c>
      <c r="M63" s="100">
        <v>43.69</v>
      </c>
      <c r="N63" s="100">
        <v>311.10000000000002</v>
      </c>
      <c r="O63" s="100">
        <v>0</v>
      </c>
      <c r="P63" s="100">
        <v>0.84</v>
      </c>
      <c r="Q63" s="100">
        <v>12.94</v>
      </c>
      <c r="R63" s="6"/>
      <c r="S63" s="6"/>
      <c r="T63" s="156"/>
      <c r="U63" s="6"/>
    </row>
    <row r="64" spans="1:21" customFormat="1">
      <c r="A64" s="163" t="s">
        <v>3078</v>
      </c>
      <c r="B64" s="100">
        <v>4.08</v>
      </c>
      <c r="C64" s="100">
        <v>25.53</v>
      </c>
      <c r="D64" s="100">
        <v>17.96</v>
      </c>
      <c r="E64" s="100">
        <v>13.1</v>
      </c>
      <c r="F64" s="151" t="s">
        <v>8</v>
      </c>
      <c r="G64" s="100">
        <v>71</v>
      </c>
      <c r="H64" s="100">
        <v>24.56</v>
      </c>
      <c r="I64" s="100">
        <v>13.02</v>
      </c>
      <c r="J64" s="100">
        <v>0.88</v>
      </c>
      <c r="K64" s="100">
        <v>284.10000000000002</v>
      </c>
      <c r="L64" s="100">
        <v>31.53</v>
      </c>
      <c r="M64" s="100">
        <v>42.35</v>
      </c>
      <c r="N64" s="100">
        <v>317.8</v>
      </c>
      <c r="O64" s="100">
        <v>0</v>
      </c>
      <c r="P64" s="100">
        <v>0.85</v>
      </c>
      <c r="Q64" s="100">
        <v>12.95</v>
      </c>
      <c r="R64" s="6"/>
      <c r="S64" s="6"/>
      <c r="T64" s="156"/>
      <c r="U64" s="6"/>
    </row>
    <row r="65" spans="1:21" customFormat="1">
      <c r="A65" s="163" t="s">
        <v>3079</v>
      </c>
      <c r="B65" s="100">
        <v>4.05</v>
      </c>
      <c r="C65" s="100">
        <v>25.26</v>
      </c>
      <c r="D65" s="100">
        <v>17.8</v>
      </c>
      <c r="E65" s="100">
        <v>12.87</v>
      </c>
      <c r="F65" s="151" t="s">
        <v>8</v>
      </c>
      <c r="G65" s="100">
        <v>71</v>
      </c>
      <c r="H65" s="100">
        <v>24.56</v>
      </c>
      <c r="I65" s="100">
        <v>12.97</v>
      </c>
      <c r="J65" s="100">
        <v>0.57999999999999996</v>
      </c>
      <c r="K65" s="100">
        <v>265.82</v>
      </c>
      <c r="L65" s="100">
        <v>31.89</v>
      </c>
      <c r="M65" s="100">
        <v>39.32</v>
      </c>
      <c r="N65" s="100">
        <v>309.39999999999998</v>
      </c>
      <c r="O65" s="100">
        <v>0</v>
      </c>
      <c r="P65" s="100">
        <v>0.82</v>
      </c>
      <c r="Q65" s="100">
        <v>12.95</v>
      </c>
      <c r="R65" s="6"/>
      <c r="S65" s="6"/>
      <c r="T65" s="156"/>
      <c r="U65" s="6"/>
    </row>
    <row r="66" spans="1:21" customFormat="1">
      <c r="A66" s="163" t="s">
        <v>3080</v>
      </c>
      <c r="B66" s="100">
        <v>3.99</v>
      </c>
      <c r="C66" s="100">
        <v>25.05</v>
      </c>
      <c r="D66" s="100">
        <v>17.64</v>
      </c>
      <c r="E66" s="100">
        <v>14.05</v>
      </c>
      <c r="F66" s="151" t="s">
        <v>8</v>
      </c>
      <c r="G66" s="100">
        <v>71</v>
      </c>
      <c r="H66" s="100">
        <v>24.56</v>
      </c>
      <c r="I66" s="100">
        <v>12.92</v>
      </c>
      <c r="J66" s="100">
        <v>0.77</v>
      </c>
      <c r="K66" s="100">
        <v>257.22000000000003</v>
      </c>
      <c r="L66" s="100">
        <v>31.75</v>
      </c>
      <c r="M66" s="100">
        <v>40.130000000000003</v>
      </c>
      <c r="N66" s="100">
        <v>173.3</v>
      </c>
      <c r="O66" s="100">
        <v>0</v>
      </c>
      <c r="P66" s="100">
        <v>0.82</v>
      </c>
      <c r="Q66" s="100">
        <v>12.93</v>
      </c>
      <c r="R66" s="6"/>
      <c r="S66" s="6"/>
      <c r="T66" s="156"/>
      <c r="U66" s="6"/>
    </row>
    <row r="67" spans="1:21" customFormat="1">
      <c r="A67" s="163" t="s">
        <v>3081</v>
      </c>
      <c r="B67" s="100">
        <v>3.93</v>
      </c>
      <c r="C67" s="100">
        <v>24.8</v>
      </c>
      <c r="D67" s="100">
        <v>17.46</v>
      </c>
      <c r="E67" s="100">
        <v>14.5</v>
      </c>
      <c r="F67" s="151" t="s">
        <v>8</v>
      </c>
      <c r="G67" s="100">
        <v>71.23</v>
      </c>
      <c r="H67" s="100">
        <v>24.57</v>
      </c>
      <c r="I67" s="100">
        <v>12.68</v>
      </c>
      <c r="J67" s="100">
        <v>0.82</v>
      </c>
      <c r="K67" s="100">
        <v>291.91000000000003</v>
      </c>
      <c r="L67" s="100">
        <v>31.29</v>
      </c>
      <c r="M67" s="100">
        <v>40.71</v>
      </c>
      <c r="N67" s="100">
        <v>111.1</v>
      </c>
      <c r="O67" s="100">
        <v>0</v>
      </c>
      <c r="P67" s="100">
        <v>0.81</v>
      </c>
      <c r="Q67" s="100">
        <v>12.95</v>
      </c>
      <c r="R67" s="6"/>
      <c r="S67" s="6"/>
      <c r="T67" s="156"/>
      <c r="U67" s="6"/>
    </row>
    <row r="68" spans="1:21" customFormat="1">
      <c r="A68" s="163" t="s">
        <v>3082</v>
      </c>
      <c r="B68" s="100">
        <v>3.91</v>
      </c>
      <c r="C68" s="100">
        <v>24.86</v>
      </c>
      <c r="D68" s="100">
        <v>17.48</v>
      </c>
      <c r="E68" s="100">
        <v>15.94</v>
      </c>
      <c r="F68" s="151" t="s">
        <v>8</v>
      </c>
      <c r="G68" s="100">
        <v>76.040000000000006</v>
      </c>
      <c r="H68" s="100">
        <v>25.01</v>
      </c>
      <c r="I68" s="100">
        <v>12.36</v>
      </c>
      <c r="J68" s="100">
        <v>0.53</v>
      </c>
      <c r="K68" s="100">
        <v>274.31</v>
      </c>
      <c r="L68" s="100">
        <v>31.43</v>
      </c>
      <c r="M68" s="100">
        <v>40.700000000000003</v>
      </c>
      <c r="N68" s="100">
        <v>82.3</v>
      </c>
      <c r="O68" s="100">
        <v>0</v>
      </c>
      <c r="P68" s="100">
        <v>0.81</v>
      </c>
      <c r="Q68" s="100">
        <v>12.95</v>
      </c>
      <c r="R68" s="6"/>
      <c r="S68" s="6"/>
      <c r="T68" s="156"/>
      <c r="U68" s="6"/>
    </row>
    <row r="69" spans="1:21" customFormat="1">
      <c r="A69" s="163" t="s">
        <v>3083</v>
      </c>
      <c r="B69" s="100">
        <v>3.91</v>
      </c>
      <c r="C69" s="100">
        <v>24.78</v>
      </c>
      <c r="D69" s="100">
        <v>17.440000000000001</v>
      </c>
      <c r="E69" s="100">
        <v>15.42</v>
      </c>
      <c r="F69" s="151" t="s">
        <v>8</v>
      </c>
      <c r="G69" s="100">
        <v>76.040000000000006</v>
      </c>
      <c r="H69" s="100">
        <v>25.01</v>
      </c>
      <c r="I69" s="100">
        <v>12.21</v>
      </c>
      <c r="J69" s="100">
        <v>0.44</v>
      </c>
      <c r="K69" s="100">
        <v>300.45</v>
      </c>
      <c r="L69" s="100">
        <v>31.38</v>
      </c>
      <c r="M69" s="100">
        <v>39.9</v>
      </c>
      <c r="N69" s="100">
        <v>73.900000000000006</v>
      </c>
      <c r="O69" s="100">
        <v>0</v>
      </c>
      <c r="P69" s="100">
        <v>0.8</v>
      </c>
      <c r="Q69" s="100">
        <v>12.95</v>
      </c>
      <c r="R69" s="6"/>
      <c r="S69" s="6"/>
      <c r="T69" s="156"/>
      <c r="U69" s="6"/>
    </row>
    <row r="70" spans="1:21" customFormat="1">
      <c r="A70" s="163" t="s">
        <v>3084</v>
      </c>
      <c r="B70" s="100">
        <v>3.95</v>
      </c>
      <c r="C70" s="100">
        <v>24.93</v>
      </c>
      <c r="D70" s="100">
        <v>17.55</v>
      </c>
      <c r="E70" s="100">
        <v>15.05</v>
      </c>
      <c r="F70" s="151" t="s">
        <v>8</v>
      </c>
      <c r="G70" s="100">
        <v>76.040000000000006</v>
      </c>
      <c r="H70" s="100">
        <v>25.01</v>
      </c>
      <c r="I70" s="100">
        <v>12.08</v>
      </c>
      <c r="J70" s="100">
        <v>0.76</v>
      </c>
      <c r="K70" s="100">
        <v>273.83</v>
      </c>
      <c r="L70" s="100">
        <v>31.26</v>
      </c>
      <c r="M70" s="100">
        <v>40.869999999999997</v>
      </c>
      <c r="N70" s="100">
        <v>81.099999999999994</v>
      </c>
      <c r="O70" s="100">
        <v>0</v>
      </c>
      <c r="P70" s="100">
        <v>0.79</v>
      </c>
      <c r="Q70" s="100">
        <v>12.94</v>
      </c>
      <c r="R70" s="6"/>
      <c r="S70" s="6"/>
      <c r="T70" s="156"/>
      <c r="U70" s="6"/>
    </row>
    <row r="71" spans="1:21" customFormat="1">
      <c r="A71" s="163" t="s">
        <v>3085</v>
      </c>
      <c r="B71" s="100">
        <v>3.89</v>
      </c>
      <c r="C71" s="100">
        <v>24.54</v>
      </c>
      <c r="D71" s="100">
        <v>17.29</v>
      </c>
      <c r="E71" s="100">
        <v>14.5</v>
      </c>
      <c r="F71" s="151" t="s">
        <v>8</v>
      </c>
      <c r="G71" s="100">
        <v>75.3</v>
      </c>
      <c r="H71" s="100">
        <v>25.03</v>
      </c>
      <c r="I71" s="100">
        <v>11.85</v>
      </c>
      <c r="J71" s="100">
        <v>0.77</v>
      </c>
      <c r="K71" s="100">
        <v>284.19</v>
      </c>
      <c r="L71" s="100">
        <v>31.21</v>
      </c>
      <c r="M71" s="100">
        <v>40.880000000000003</v>
      </c>
      <c r="N71" s="100">
        <v>63.7</v>
      </c>
      <c r="O71" s="100">
        <v>0</v>
      </c>
      <c r="P71" s="100">
        <v>0.78</v>
      </c>
      <c r="Q71" s="100">
        <v>12.94</v>
      </c>
      <c r="R71" s="6"/>
      <c r="S71" s="6"/>
      <c r="T71" s="156"/>
      <c r="U71" s="6"/>
    </row>
    <row r="72" spans="1:21" customFormat="1">
      <c r="A72" s="163" t="s">
        <v>3086</v>
      </c>
      <c r="B72" s="100">
        <v>3.88</v>
      </c>
      <c r="C72" s="100">
        <v>24.54</v>
      </c>
      <c r="D72" s="100">
        <v>17.29</v>
      </c>
      <c r="E72" s="100">
        <v>13.88</v>
      </c>
      <c r="F72" s="151" t="s">
        <v>8</v>
      </c>
      <c r="G72" s="100">
        <v>59.33</v>
      </c>
      <c r="H72" s="100">
        <v>25.5</v>
      </c>
      <c r="I72" s="100">
        <v>11.69</v>
      </c>
      <c r="J72" s="100">
        <v>0.55000000000000004</v>
      </c>
      <c r="K72" s="100">
        <v>260.87</v>
      </c>
      <c r="L72" s="100">
        <v>31.14</v>
      </c>
      <c r="M72" s="100">
        <v>41.51</v>
      </c>
      <c r="N72" s="100">
        <v>51.3</v>
      </c>
      <c r="O72" s="100">
        <v>0</v>
      </c>
      <c r="P72" s="100">
        <v>0.74</v>
      </c>
      <c r="Q72" s="100">
        <v>12.93</v>
      </c>
      <c r="R72" s="6"/>
      <c r="S72" s="6"/>
      <c r="T72" s="156"/>
      <c r="U72" s="6"/>
    </row>
    <row r="73" spans="1:21" customFormat="1">
      <c r="A73" s="163" t="s">
        <v>3087</v>
      </c>
      <c r="B73" s="100">
        <v>3.88</v>
      </c>
      <c r="C73" s="100">
        <v>24.12</v>
      </c>
      <c r="D73" s="100">
        <v>17.07</v>
      </c>
      <c r="E73" s="100">
        <v>13.72</v>
      </c>
      <c r="F73" s="151" t="s">
        <v>8</v>
      </c>
      <c r="G73" s="100">
        <v>59.33</v>
      </c>
      <c r="H73" s="100">
        <v>25.5</v>
      </c>
      <c r="I73" s="100">
        <v>11.36</v>
      </c>
      <c r="J73" s="100">
        <v>0.7</v>
      </c>
      <c r="K73" s="100">
        <v>265.83</v>
      </c>
      <c r="L73" s="100">
        <v>30.81</v>
      </c>
      <c r="M73" s="100">
        <v>42.72</v>
      </c>
      <c r="N73" s="100">
        <v>44.4</v>
      </c>
      <c r="O73" s="100">
        <v>0</v>
      </c>
      <c r="P73" s="100">
        <v>0.73</v>
      </c>
      <c r="Q73" s="100">
        <v>12.93</v>
      </c>
      <c r="R73" s="6"/>
      <c r="S73" s="6"/>
      <c r="T73" s="156"/>
      <c r="U73" s="6"/>
    </row>
    <row r="74" spans="1:21" customFormat="1">
      <c r="A74" s="163" t="s">
        <v>3088</v>
      </c>
      <c r="B74" s="100">
        <v>3.88</v>
      </c>
      <c r="C74" s="100">
        <v>23.76</v>
      </c>
      <c r="D74" s="100">
        <v>16.88</v>
      </c>
      <c r="E74" s="100">
        <v>13.96</v>
      </c>
      <c r="F74" s="151" t="s">
        <v>8</v>
      </c>
      <c r="G74" s="100">
        <v>59.33</v>
      </c>
      <c r="H74" s="100">
        <v>25.5</v>
      </c>
      <c r="I74" s="100">
        <v>11.01</v>
      </c>
      <c r="J74" s="100">
        <v>0.6</v>
      </c>
      <c r="K74" s="100">
        <v>267.32</v>
      </c>
      <c r="L74" s="100">
        <v>30.56</v>
      </c>
      <c r="M74" s="100">
        <v>44.47</v>
      </c>
      <c r="N74" s="100">
        <v>45</v>
      </c>
      <c r="O74" s="100">
        <v>0</v>
      </c>
      <c r="P74" s="100">
        <v>0.74</v>
      </c>
      <c r="Q74" s="100">
        <v>12.93</v>
      </c>
      <c r="R74" s="6"/>
      <c r="S74" s="6"/>
      <c r="T74" s="156"/>
      <c r="U74" s="6"/>
    </row>
    <row r="75" spans="1:21" customFormat="1">
      <c r="A75" s="163" t="s">
        <v>3089</v>
      </c>
      <c r="B75" s="100">
        <v>3.87</v>
      </c>
      <c r="C75" s="100">
        <v>23.19</v>
      </c>
      <c r="D75" s="100">
        <v>16.57</v>
      </c>
      <c r="E75" s="100">
        <v>13.91</v>
      </c>
      <c r="F75" s="151" t="s">
        <v>8</v>
      </c>
      <c r="G75" s="100">
        <v>58.71</v>
      </c>
      <c r="H75" s="100">
        <v>25.38</v>
      </c>
      <c r="I75" s="100">
        <v>11.01</v>
      </c>
      <c r="J75" s="100">
        <v>0.6</v>
      </c>
      <c r="K75" s="100">
        <v>268.32</v>
      </c>
      <c r="L75" s="100">
        <v>30.39</v>
      </c>
      <c r="M75" s="100">
        <v>43.86</v>
      </c>
      <c r="N75" s="100">
        <v>37.4</v>
      </c>
      <c r="O75" s="100">
        <v>0</v>
      </c>
      <c r="P75" s="100">
        <v>0.7</v>
      </c>
      <c r="Q75" s="100">
        <v>12.92</v>
      </c>
      <c r="R75" s="6"/>
      <c r="S75" s="6"/>
      <c r="T75" s="156"/>
      <c r="U75" s="6"/>
    </row>
    <row r="76" spans="1:21" customFormat="1">
      <c r="A76" s="163" t="s">
        <v>3090</v>
      </c>
      <c r="B76" s="100">
        <v>3.98</v>
      </c>
      <c r="C76" s="100">
        <v>22.03</v>
      </c>
      <c r="D76" s="100">
        <v>16.059999999999999</v>
      </c>
      <c r="E76" s="100">
        <v>15.53</v>
      </c>
      <c r="F76" s="151" t="s">
        <v>8</v>
      </c>
      <c r="G76" s="100">
        <v>45.35</v>
      </c>
      <c r="H76" s="100">
        <v>22.83</v>
      </c>
      <c r="I76" s="100">
        <v>10.91</v>
      </c>
      <c r="J76" s="100">
        <v>0.5</v>
      </c>
      <c r="K76" s="100">
        <v>263.82</v>
      </c>
      <c r="L76" s="100">
        <v>29.97</v>
      </c>
      <c r="M76" s="100">
        <v>44.98</v>
      </c>
      <c r="N76" s="100">
        <v>25.2</v>
      </c>
      <c r="O76" s="100">
        <v>0</v>
      </c>
      <c r="P76" s="100">
        <v>0.67</v>
      </c>
      <c r="Q76" s="100">
        <v>12.92</v>
      </c>
      <c r="R76" s="6"/>
      <c r="S76" s="6"/>
      <c r="T76" s="156"/>
      <c r="U76" s="6"/>
    </row>
    <row r="77" spans="1:21" customFormat="1">
      <c r="A77" s="163" t="s">
        <v>3091</v>
      </c>
      <c r="B77" s="100">
        <v>4.1500000000000004</v>
      </c>
      <c r="C77" s="100">
        <v>21.09</v>
      </c>
      <c r="D77" s="100">
        <v>15.7</v>
      </c>
      <c r="E77" s="100">
        <v>14.91</v>
      </c>
      <c r="F77" s="151" t="s">
        <v>8</v>
      </c>
      <c r="G77" s="100">
        <v>45.35</v>
      </c>
      <c r="H77" s="100">
        <v>22.83</v>
      </c>
      <c r="I77" s="100">
        <v>10.36</v>
      </c>
      <c r="J77" s="100">
        <v>0.35</v>
      </c>
      <c r="K77" s="100">
        <v>261.08</v>
      </c>
      <c r="L77" s="100">
        <v>29.57</v>
      </c>
      <c r="M77" s="100">
        <v>46.42</v>
      </c>
      <c r="N77" s="100">
        <v>17.8</v>
      </c>
      <c r="O77" s="100">
        <v>0</v>
      </c>
      <c r="P77" s="100">
        <v>0.66</v>
      </c>
      <c r="Q77" s="100">
        <v>12.93</v>
      </c>
      <c r="R77" s="6"/>
      <c r="S77" s="6"/>
      <c r="T77" s="156"/>
      <c r="U77" s="6"/>
    </row>
    <row r="78" spans="1:21" customFormat="1">
      <c r="A78" s="163" t="s">
        <v>3092</v>
      </c>
      <c r="B78" s="100">
        <v>4.28</v>
      </c>
      <c r="C78" s="100">
        <v>21.82</v>
      </c>
      <c r="D78" s="100">
        <v>16.190000000000001</v>
      </c>
      <c r="E78" s="100">
        <v>14.06</v>
      </c>
      <c r="F78" s="151" t="s">
        <v>8</v>
      </c>
      <c r="G78" s="100">
        <v>45.35</v>
      </c>
      <c r="H78" s="100">
        <v>22.83</v>
      </c>
      <c r="I78" s="100">
        <v>10.02</v>
      </c>
      <c r="J78" s="100">
        <v>0.14000000000000001</v>
      </c>
      <c r="K78" s="100">
        <v>222.36</v>
      </c>
      <c r="L78" s="100">
        <v>28.9</v>
      </c>
      <c r="M78" s="100">
        <v>49.25</v>
      </c>
      <c r="N78" s="100">
        <v>11.4</v>
      </c>
      <c r="O78" s="100">
        <v>0</v>
      </c>
      <c r="P78" s="100">
        <v>0.67</v>
      </c>
      <c r="Q78" s="100">
        <v>12.92</v>
      </c>
      <c r="R78" s="6"/>
      <c r="S78" s="6"/>
      <c r="T78" s="156"/>
      <c r="U78" s="6"/>
    </row>
    <row r="79" spans="1:21" customFormat="1">
      <c r="A79" s="163" t="s">
        <v>3093</v>
      </c>
      <c r="B79" s="100">
        <v>4.45</v>
      </c>
      <c r="C79" s="100">
        <v>21.88</v>
      </c>
      <c r="D79" s="100">
        <v>16.350000000000001</v>
      </c>
      <c r="E79" s="100">
        <v>13.11</v>
      </c>
      <c r="F79" s="151" t="s">
        <v>8</v>
      </c>
      <c r="G79" s="100">
        <v>45.84</v>
      </c>
      <c r="H79" s="100">
        <v>22.69</v>
      </c>
      <c r="I79" s="100">
        <v>9.91</v>
      </c>
      <c r="J79" s="100">
        <v>0.15</v>
      </c>
      <c r="K79" s="100">
        <v>170.63</v>
      </c>
      <c r="L79" s="100">
        <v>28.15</v>
      </c>
      <c r="M79" s="100">
        <v>51.73</v>
      </c>
      <c r="N79" s="100">
        <v>5.7</v>
      </c>
      <c r="O79" s="100">
        <v>0</v>
      </c>
      <c r="P79" s="100">
        <v>0.67</v>
      </c>
      <c r="Q79" s="100">
        <v>12.93</v>
      </c>
      <c r="R79" s="6"/>
      <c r="S79" s="6"/>
      <c r="T79" s="156"/>
      <c r="U79" s="6"/>
    </row>
    <row r="80" spans="1:21" customFormat="1">
      <c r="A80" s="163" t="s">
        <v>3094</v>
      </c>
      <c r="B80" s="100">
        <v>4.6100000000000003</v>
      </c>
      <c r="C80" s="100">
        <v>22.4</v>
      </c>
      <c r="D80" s="100">
        <v>16.760000000000002</v>
      </c>
      <c r="E80" s="100">
        <v>13.76</v>
      </c>
      <c r="F80" s="151" t="s">
        <v>8</v>
      </c>
      <c r="G80" s="100">
        <v>56.2</v>
      </c>
      <c r="H80" s="100">
        <v>19.739999999999998</v>
      </c>
      <c r="I80" s="100">
        <v>9.7899999999999991</v>
      </c>
      <c r="J80" s="100">
        <v>0.15</v>
      </c>
      <c r="K80" s="100">
        <v>174.7</v>
      </c>
      <c r="L80" s="100">
        <v>27.5</v>
      </c>
      <c r="M80" s="100">
        <v>53.33</v>
      </c>
      <c r="N80" s="100">
        <v>2.7</v>
      </c>
      <c r="O80" s="100">
        <v>0</v>
      </c>
      <c r="P80" s="100">
        <v>0.67</v>
      </c>
      <c r="Q80" s="100">
        <v>12.93</v>
      </c>
      <c r="R80" s="6"/>
      <c r="S80" s="6"/>
      <c r="T80" s="156"/>
      <c r="U80" s="6"/>
    </row>
    <row r="81" spans="1:21" customFormat="1">
      <c r="A81" s="163" t="s">
        <v>3095</v>
      </c>
      <c r="B81" s="100">
        <v>4.79</v>
      </c>
      <c r="C81" s="100">
        <v>22.06</v>
      </c>
      <c r="D81" s="100">
        <v>16.72</v>
      </c>
      <c r="E81" s="100">
        <v>8.56</v>
      </c>
      <c r="F81" s="151" t="s">
        <v>8</v>
      </c>
      <c r="G81" s="100">
        <v>56.2</v>
      </c>
      <c r="H81" s="100">
        <v>19.739999999999998</v>
      </c>
      <c r="I81" s="100">
        <v>9.9499999999999993</v>
      </c>
      <c r="J81" s="100">
        <v>0.16</v>
      </c>
      <c r="K81" s="100">
        <v>172.37</v>
      </c>
      <c r="L81" s="100">
        <v>27.1</v>
      </c>
      <c r="M81" s="100">
        <v>54.73</v>
      </c>
      <c r="N81" s="100">
        <v>1.7</v>
      </c>
      <c r="O81" s="100">
        <v>0</v>
      </c>
      <c r="P81" s="100">
        <v>0.67</v>
      </c>
      <c r="Q81" s="100">
        <v>12.93</v>
      </c>
      <c r="R81" s="6"/>
      <c r="S81" s="6"/>
      <c r="T81" s="156"/>
      <c r="U81" s="6"/>
    </row>
    <row r="82" spans="1:21" customFormat="1">
      <c r="A82" s="163" t="s">
        <v>3096</v>
      </c>
      <c r="B82" s="100">
        <v>4.9800000000000004</v>
      </c>
      <c r="C82" s="100">
        <v>21.79</v>
      </c>
      <c r="D82" s="100">
        <v>16.73</v>
      </c>
      <c r="E82" s="100">
        <v>9.76</v>
      </c>
      <c r="F82" s="151" t="s">
        <v>8</v>
      </c>
      <c r="G82" s="100">
        <v>56.2</v>
      </c>
      <c r="H82" s="100">
        <v>19.739999999999998</v>
      </c>
      <c r="I82" s="100">
        <v>9.91</v>
      </c>
      <c r="J82" s="100">
        <v>0.24</v>
      </c>
      <c r="K82" s="100">
        <v>169.96</v>
      </c>
      <c r="L82" s="100">
        <v>26.65</v>
      </c>
      <c r="M82" s="100">
        <v>56.97</v>
      </c>
      <c r="N82" s="100">
        <v>1.7</v>
      </c>
      <c r="O82" s="100">
        <v>0</v>
      </c>
      <c r="P82" s="100">
        <v>0.68</v>
      </c>
      <c r="Q82" s="100">
        <v>12.97</v>
      </c>
      <c r="R82" s="6"/>
      <c r="S82" s="6"/>
      <c r="T82" s="156"/>
      <c r="U82" s="6"/>
    </row>
    <row r="83" spans="1:21" customFormat="1">
      <c r="A83" s="163" t="s">
        <v>3097</v>
      </c>
      <c r="B83" s="100">
        <v>5.18</v>
      </c>
      <c r="C83" s="100">
        <v>21.75</v>
      </c>
      <c r="D83" s="100">
        <v>16.86</v>
      </c>
      <c r="E83" s="100">
        <v>9.77</v>
      </c>
      <c r="F83" s="151" t="s">
        <v>8</v>
      </c>
      <c r="G83" s="100">
        <v>56.28</v>
      </c>
      <c r="H83" s="100">
        <v>19.760000000000002</v>
      </c>
      <c r="I83" s="100">
        <v>9.9499999999999993</v>
      </c>
      <c r="J83" s="100">
        <v>0.26</v>
      </c>
      <c r="K83" s="100">
        <v>172.01</v>
      </c>
      <c r="L83" s="100">
        <v>26.24</v>
      </c>
      <c r="M83" s="100">
        <v>59.29</v>
      </c>
      <c r="N83" s="100">
        <v>1.7</v>
      </c>
      <c r="O83" s="100">
        <v>0</v>
      </c>
      <c r="P83" s="100">
        <v>0.68</v>
      </c>
      <c r="Q83" s="100">
        <v>12.95</v>
      </c>
      <c r="R83" s="6"/>
      <c r="S83" s="6"/>
      <c r="T83" s="156"/>
      <c r="U83" s="6"/>
    </row>
    <row r="84" spans="1:21" customFormat="1">
      <c r="A84" s="163" t="s">
        <v>3098</v>
      </c>
      <c r="B84" s="100">
        <v>5.42</v>
      </c>
      <c r="C84" s="100">
        <v>22.13</v>
      </c>
      <c r="D84" s="100">
        <v>17.260000000000002</v>
      </c>
      <c r="E84" s="100">
        <v>9.5500000000000007</v>
      </c>
      <c r="F84" s="151" t="s">
        <v>8</v>
      </c>
      <c r="G84" s="100">
        <v>57.95</v>
      </c>
      <c r="H84" s="100">
        <v>20.420000000000002</v>
      </c>
      <c r="I84" s="100">
        <v>10.09</v>
      </c>
      <c r="J84" s="100">
        <v>0.25</v>
      </c>
      <c r="K84" s="100">
        <v>167.46</v>
      </c>
      <c r="L84" s="100">
        <v>25.75</v>
      </c>
      <c r="M84" s="100">
        <v>62.91</v>
      </c>
      <c r="N84" s="100">
        <v>1.8</v>
      </c>
      <c r="O84" s="100">
        <v>0</v>
      </c>
      <c r="P84" s="100">
        <v>0.69</v>
      </c>
      <c r="Q84" s="100">
        <v>12.94</v>
      </c>
      <c r="R84" s="6"/>
      <c r="S84" s="6"/>
      <c r="T84" s="156"/>
      <c r="U84" s="6"/>
    </row>
    <row r="85" spans="1:21" customFormat="1">
      <c r="A85" s="163" t="s">
        <v>3099</v>
      </c>
      <c r="B85" s="100">
        <v>5.73</v>
      </c>
      <c r="C85" s="100">
        <v>22.25</v>
      </c>
      <c r="D85" s="100">
        <v>17.57</v>
      </c>
      <c r="E85" s="100">
        <v>9.99</v>
      </c>
      <c r="F85" s="151" t="s">
        <v>8</v>
      </c>
      <c r="G85" s="100">
        <v>57.95</v>
      </c>
      <c r="H85" s="100">
        <v>20.420000000000002</v>
      </c>
      <c r="I85" s="100">
        <v>10.18</v>
      </c>
      <c r="J85" s="100">
        <v>0.23</v>
      </c>
      <c r="K85" s="100">
        <v>166.32</v>
      </c>
      <c r="L85" s="100">
        <v>25.28</v>
      </c>
      <c r="M85" s="100">
        <v>67.95</v>
      </c>
      <c r="N85" s="100">
        <v>1.7</v>
      </c>
      <c r="O85" s="100">
        <v>0</v>
      </c>
      <c r="P85" s="100">
        <v>0.7</v>
      </c>
      <c r="Q85" s="100">
        <v>12.94</v>
      </c>
      <c r="R85" s="6"/>
      <c r="S85" s="6"/>
      <c r="T85" s="156"/>
      <c r="U85" s="6"/>
    </row>
    <row r="86" spans="1:21" customFormat="1">
      <c r="A86" s="163" t="s">
        <v>3100</v>
      </c>
      <c r="B86" s="100">
        <v>6.08</v>
      </c>
      <c r="C86" s="100">
        <v>22.19</v>
      </c>
      <c r="D86" s="100">
        <v>17.82</v>
      </c>
      <c r="E86" s="100">
        <v>9.57</v>
      </c>
      <c r="F86" s="151" t="s">
        <v>8</v>
      </c>
      <c r="G86" s="100">
        <v>57.95</v>
      </c>
      <c r="H86" s="100">
        <v>20.420000000000002</v>
      </c>
      <c r="I86" s="100">
        <v>10.220000000000001</v>
      </c>
      <c r="J86" s="100">
        <v>0.23</v>
      </c>
      <c r="K86" s="100">
        <v>166.99</v>
      </c>
      <c r="L86" s="100">
        <v>24.84</v>
      </c>
      <c r="M86" s="100">
        <v>69.86</v>
      </c>
      <c r="N86" s="100">
        <v>1.7</v>
      </c>
      <c r="O86" s="100">
        <v>0</v>
      </c>
      <c r="P86" s="100">
        <v>0.71</v>
      </c>
      <c r="Q86" s="100">
        <v>12.97</v>
      </c>
      <c r="R86" s="6"/>
      <c r="S86" s="6"/>
      <c r="T86" s="156"/>
      <c r="U86" s="6"/>
    </row>
    <row r="87" spans="1:21" customFormat="1">
      <c r="A87" s="163" t="s">
        <v>3101</v>
      </c>
      <c r="B87" s="100">
        <v>6.43</v>
      </c>
      <c r="C87" s="100">
        <v>22.15</v>
      </c>
      <c r="D87" s="100">
        <v>18.079999999999998</v>
      </c>
      <c r="E87" s="100">
        <v>9.83</v>
      </c>
      <c r="F87" s="151" t="s">
        <v>8</v>
      </c>
      <c r="G87" s="100">
        <v>58.55</v>
      </c>
      <c r="H87" s="100">
        <v>20.55</v>
      </c>
      <c r="I87" s="100">
        <v>10.28</v>
      </c>
      <c r="J87" s="100">
        <v>0.24</v>
      </c>
      <c r="K87" s="100">
        <v>165.09</v>
      </c>
      <c r="L87" s="100">
        <v>24.4</v>
      </c>
      <c r="M87" s="100">
        <v>70.44</v>
      </c>
      <c r="N87" s="100">
        <v>1.7</v>
      </c>
      <c r="O87" s="100">
        <v>0</v>
      </c>
      <c r="P87" s="100">
        <v>0.72</v>
      </c>
      <c r="Q87" s="100">
        <v>13.06</v>
      </c>
      <c r="R87" s="6"/>
      <c r="S87" s="6"/>
      <c r="T87" s="156"/>
      <c r="U87" s="6"/>
    </row>
    <row r="88" spans="1:21" customFormat="1">
      <c r="A88" s="163" t="s">
        <v>3102</v>
      </c>
      <c r="B88" s="100">
        <v>6.79</v>
      </c>
      <c r="C88" s="100">
        <v>22.02</v>
      </c>
      <c r="D88" s="100">
        <v>18.3</v>
      </c>
      <c r="E88" s="100">
        <v>10.11</v>
      </c>
      <c r="F88" s="151" t="s">
        <v>8</v>
      </c>
      <c r="G88" s="100">
        <v>71.33</v>
      </c>
      <c r="H88" s="100">
        <v>23.28</v>
      </c>
      <c r="I88" s="100">
        <v>10.34</v>
      </c>
      <c r="J88" s="100">
        <v>0.19</v>
      </c>
      <c r="K88" s="100">
        <v>166.04</v>
      </c>
      <c r="L88" s="100">
        <v>23.99</v>
      </c>
      <c r="M88" s="100">
        <v>72.06</v>
      </c>
      <c r="N88" s="100">
        <v>1.7</v>
      </c>
      <c r="O88" s="100">
        <v>0</v>
      </c>
      <c r="P88" s="100">
        <v>0.73</v>
      </c>
      <c r="Q88" s="100">
        <v>13.04</v>
      </c>
      <c r="R88" s="6"/>
      <c r="S88" s="6"/>
      <c r="T88" s="156"/>
      <c r="U88" s="6"/>
    </row>
    <row r="89" spans="1:21" customFormat="1">
      <c r="A89" s="163" t="s">
        <v>3103</v>
      </c>
      <c r="B89" s="100">
        <v>7.13</v>
      </c>
      <c r="C89" s="100">
        <v>22.11</v>
      </c>
      <c r="D89" s="100">
        <v>18.62</v>
      </c>
      <c r="E89" s="100">
        <v>9.94</v>
      </c>
      <c r="F89" s="151" t="s">
        <v>8</v>
      </c>
      <c r="G89" s="100">
        <v>71.33</v>
      </c>
      <c r="H89" s="100">
        <v>23.28</v>
      </c>
      <c r="I89" s="100">
        <v>10.45</v>
      </c>
      <c r="J89" s="100">
        <v>0.23</v>
      </c>
      <c r="K89" s="100">
        <v>165.86</v>
      </c>
      <c r="L89" s="100">
        <v>23.82</v>
      </c>
      <c r="M89" s="100">
        <v>72.16</v>
      </c>
      <c r="N89" s="100">
        <v>1.4</v>
      </c>
      <c r="O89" s="100">
        <v>0</v>
      </c>
      <c r="P89" s="100">
        <v>0.74</v>
      </c>
      <c r="Q89" s="100">
        <v>13.12</v>
      </c>
      <c r="R89" s="6"/>
      <c r="S89" s="6"/>
      <c r="T89" s="156"/>
      <c r="U89" s="6"/>
    </row>
    <row r="90" spans="1:21" customFormat="1">
      <c r="A90" s="163" t="s">
        <v>3104</v>
      </c>
      <c r="B90" s="100">
        <v>7.49</v>
      </c>
      <c r="C90" s="100">
        <v>22.21</v>
      </c>
      <c r="D90" s="100">
        <v>18.96</v>
      </c>
      <c r="E90" s="100">
        <v>9.8000000000000007</v>
      </c>
      <c r="F90" s="151" t="s">
        <v>8</v>
      </c>
      <c r="G90" s="100">
        <v>71.33</v>
      </c>
      <c r="H90" s="100">
        <v>23.28</v>
      </c>
      <c r="I90" s="100">
        <v>10.55</v>
      </c>
      <c r="J90" s="100">
        <v>0.2</v>
      </c>
      <c r="K90" s="100">
        <v>173.22</v>
      </c>
      <c r="L90" s="100">
        <v>23.75</v>
      </c>
      <c r="M90" s="100">
        <v>73.47</v>
      </c>
      <c r="N90" s="100">
        <v>1.3</v>
      </c>
      <c r="O90" s="100">
        <v>0</v>
      </c>
      <c r="P90" s="100">
        <v>0.76</v>
      </c>
      <c r="Q90" s="100">
        <v>13.12</v>
      </c>
      <c r="R90" s="6"/>
      <c r="S90" s="6"/>
      <c r="T90" s="156"/>
      <c r="U90" s="6"/>
    </row>
    <row r="91" spans="1:21" customFormat="1">
      <c r="A91" s="163" t="s">
        <v>3105</v>
      </c>
      <c r="B91" s="100">
        <v>7.82</v>
      </c>
      <c r="C91" s="100">
        <v>21.87</v>
      </c>
      <c r="D91" s="100">
        <v>19.05</v>
      </c>
      <c r="E91" s="100">
        <v>10.06</v>
      </c>
      <c r="F91" s="151" t="s">
        <v>8</v>
      </c>
      <c r="G91" s="100">
        <v>71.209999999999994</v>
      </c>
      <c r="H91" s="100">
        <v>23.26</v>
      </c>
      <c r="I91" s="100">
        <v>10.86</v>
      </c>
      <c r="J91" s="100">
        <v>0.25</v>
      </c>
      <c r="K91" s="100">
        <v>170.86</v>
      </c>
      <c r="L91" s="100">
        <v>23.83</v>
      </c>
      <c r="M91" s="100">
        <v>72.400000000000006</v>
      </c>
      <c r="N91" s="100">
        <v>1.3</v>
      </c>
      <c r="O91" s="100">
        <v>0</v>
      </c>
      <c r="P91" s="100">
        <v>0.78</v>
      </c>
      <c r="Q91" s="100">
        <v>12.99</v>
      </c>
      <c r="R91" s="6"/>
      <c r="S91" s="6"/>
      <c r="T91" s="156"/>
      <c r="U91" s="6"/>
    </row>
    <row r="92" spans="1:21" customFormat="1">
      <c r="A92" s="163" t="s">
        <v>3106</v>
      </c>
      <c r="B92" s="100">
        <v>8.08</v>
      </c>
      <c r="C92" s="100">
        <v>22.22</v>
      </c>
      <c r="D92" s="100">
        <v>19.440000000000001</v>
      </c>
      <c r="E92" s="100">
        <v>9.64</v>
      </c>
      <c r="F92" s="151" t="s">
        <v>8</v>
      </c>
      <c r="G92" s="100">
        <v>68.58</v>
      </c>
      <c r="H92" s="100">
        <v>22.81</v>
      </c>
      <c r="I92" s="100">
        <v>11.07</v>
      </c>
      <c r="J92" s="100">
        <v>0.14000000000000001</v>
      </c>
      <c r="K92" s="100">
        <v>164.86</v>
      </c>
      <c r="L92" s="100">
        <v>23.67</v>
      </c>
      <c r="M92" s="100">
        <v>72.66</v>
      </c>
      <c r="N92" s="100">
        <v>1.5</v>
      </c>
      <c r="O92" s="100">
        <v>0</v>
      </c>
      <c r="P92" s="100">
        <v>0.79</v>
      </c>
      <c r="Q92" s="100">
        <v>12.95</v>
      </c>
      <c r="R92" s="6"/>
      <c r="S92" s="6"/>
      <c r="T92" s="156"/>
      <c r="U92" s="6"/>
    </row>
    <row r="93" spans="1:21" customFormat="1">
      <c r="A93" s="163" t="s">
        <v>3107</v>
      </c>
      <c r="B93" s="100">
        <v>8.2899999999999991</v>
      </c>
      <c r="C93" s="100">
        <v>22.62</v>
      </c>
      <c r="D93" s="100">
        <v>19.82</v>
      </c>
      <c r="E93" s="100">
        <v>9.82</v>
      </c>
      <c r="F93" s="151" t="s">
        <v>8</v>
      </c>
      <c r="G93" s="100">
        <v>68.58</v>
      </c>
      <c r="H93" s="100">
        <v>22.81</v>
      </c>
      <c r="I93" s="100">
        <v>11.14</v>
      </c>
      <c r="J93" s="100">
        <v>0.23</v>
      </c>
      <c r="K93" s="100">
        <v>169.68</v>
      </c>
      <c r="L93" s="100">
        <v>23.37</v>
      </c>
      <c r="M93" s="100">
        <v>72.75</v>
      </c>
      <c r="N93" s="100">
        <v>1.5</v>
      </c>
      <c r="O93" s="100">
        <v>0</v>
      </c>
      <c r="P93" s="100">
        <v>0.79</v>
      </c>
      <c r="Q93" s="100">
        <v>12.97</v>
      </c>
      <c r="R93" s="6"/>
      <c r="S93" s="6"/>
      <c r="T93" s="156"/>
      <c r="U93" s="6"/>
    </row>
    <row r="94" spans="1:21" customFormat="1">
      <c r="A94" s="163" t="s">
        <v>3108</v>
      </c>
      <c r="B94" s="100">
        <v>8.49</v>
      </c>
      <c r="C94" s="100">
        <v>22.1</v>
      </c>
      <c r="D94" s="100">
        <v>19.7</v>
      </c>
      <c r="E94" s="100">
        <v>9.81</v>
      </c>
      <c r="F94" s="151" t="s">
        <v>8</v>
      </c>
      <c r="G94" s="100">
        <v>68.58</v>
      </c>
      <c r="H94" s="100">
        <v>22.81</v>
      </c>
      <c r="I94" s="100">
        <v>11.26</v>
      </c>
      <c r="J94" s="100">
        <v>0.27</v>
      </c>
      <c r="K94" s="100">
        <v>177.28</v>
      </c>
      <c r="L94" s="100">
        <v>22.95</v>
      </c>
      <c r="M94" s="100">
        <v>75.69</v>
      </c>
      <c r="N94" s="100">
        <v>1.7</v>
      </c>
      <c r="O94" s="100">
        <v>0</v>
      </c>
      <c r="P94" s="100">
        <v>0.8</v>
      </c>
      <c r="Q94" s="100">
        <v>13.11</v>
      </c>
      <c r="R94" s="6"/>
      <c r="S94" s="6"/>
      <c r="T94" s="156"/>
      <c r="U94" s="6"/>
    </row>
    <row r="95" spans="1:21" customFormat="1">
      <c r="A95" s="163" t="s">
        <v>3109</v>
      </c>
      <c r="B95" s="100">
        <v>8.43</v>
      </c>
      <c r="C95" s="100">
        <v>22.33</v>
      </c>
      <c r="D95" s="100">
        <v>19.78</v>
      </c>
      <c r="E95" s="100">
        <v>8.9600000000000009</v>
      </c>
      <c r="F95" s="151" t="s">
        <v>8</v>
      </c>
      <c r="G95" s="100">
        <v>68.88</v>
      </c>
      <c r="H95" s="100">
        <v>22.82</v>
      </c>
      <c r="I95" s="100">
        <v>11.27</v>
      </c>
      <c r="J95" s="100">
        <v>0.12</v>
      </c>
      <c r="K95" s="100">
        <v>167.23</v>
      </c>
      <c r="L95" s="100">
        <v>22.8</v>
      </c>
      <c r="M95" s="100">
        <v>72.91</v>
      </c>
      <c r="N95" s="100">
        <v>1.4</v>
      </c>
      <c r="O95" s="100">
        <v>0</v>
      </c>
      <c r="P95" s="100">
        <v>0.81</v>
      </c>
      <c r="Q95" s="100">
        <v>13.1</v>
      </c>
      <c r="R95" s="6"/>
      <c r="S95" s="6"/>
      <c r="T95" s="156"/>
      <c r="U95" s="6"/>
    </row>
    <row r="96" spans="1:21" customFormat="1">
      <c r="A96" s="163" t="s">
        <v>3110</v>
      </c>
      <c r="B96" s="100">
        <v>8.14</v>
      </c>
      <c r="C96" s="100">
        <v>22.56</v>
      </c>
      <c r="D96" s="100">
        <v>19.66</v>
      </c>
      <c r="E96" s="100">
        <v>9.23</v>
      </c>
      <c r="F96" s="151" t="s">
        <v>8</v>
      </c>
      <c r="G96" s="100">
        <v>75.12</v>
      </c>
      <c r="H96" s="100">
        <v>22.92</v>
      </c>
      <c r="I96" s="100">
        <v>11.32</v>
      </c>
      <c r="J96" s="100">
        <v>0.1</v>
      </c>
      <c r="K96" s="100">
        <v>161.08000000000001</v>
      </c>
      <c r="L96" s="100">
        <v>22.83</v>
      </c>
      <c r="M96" s="100">
        <v>72.41</v>
      </c>
      <c r="N96" s="100">
        <v>1.3</v>
      </c>
      <c r="O96" s="100">
        <v>0</v>
      </c>
      <c r="P96" s="100">
        <v>0.8</v>
      </c>
      <c r="Q96" s="100">
        <v>13</v>
      </c>
      <c r="R96" s="6"/>
      <c r="S96" s="6"/>
      <c r="T96" s="156"/>
      <c r="U96" s="6"/>
    </row>
    <row r="97" spans="1:28" customFormat="1">
      <c r="A97" s="163" t="s">
        <v>3111</v>
      </c>
      <c r="B97" s="100">
        <v>7.77</v>
      </c>
      <c r="C97" s="100">
        <v>22.65</v>
      </c>
      <c r="D97" s="100">
        <v>19.41</v>
      </c>
      <c r="E97" s="100">
        <v>9.43</v>
      </c>
      <c r="F97" s="151" t="s">
        <v>8</v>
      </c>
      <c r="G97" s="100">
        <v>75.12</v>
      </c>
      <c r="H97" s="100">
        <v>22.92</v>
      </c>
      <c r="I97" s="100">
        <v>11.27</v>
      </c>
      <c r="J97" s="100">
        <v>0.06</v>
      </c>
      <c r="K97" s="100">
        <v>222.82</v>
      </c>
      <c r="L97" s="100">
        <v>22.69</v>
      </c>
      <c r="M97" s="100">
        <v>73.47</v>
      </c>
      <c r="N97" s="100">
        <v>1.3</v>
      </c>
      <c r="O97" s="100">
        <v>0</v>
      </c>
      <c r="P97" s="100">
        <v>0.8</v>
      </c>
      <c r="Q97" s="100">
        <v>13.13</v>
      </c>
      <c r="R97" s="6"/>
      <c r="S97" s="6"/>
      <c r="T97" s="156"/>
      <c r="U97" s="6"/>
    </row>
    <row r="98" spans="1:28" customFormat="1">
      <c r="A98" s="163" t="s">
        <v>3112</v>
      </c>
      <c r="B98" s="100">
        <v>7.37</v>
      </c>
      <c r="C98" s="100">
        <v>22.7</v>
      </c>
      <c r="D98" s="100">
        <v>19.12</v>
      </c>
      <c r="E98" s="100">
        <v>9.15</v>
      </c>
      <c r="F98" s="151" t="s">
        <v>8</v>
      </c>
      <c r="G98" s="100">
        <v>75.12</v>
      </c>
      <c r="H98" s="100">
        <v>22.92</v>
      </c>
      <c r="I98" s="100">
        <v>11.18</v>
      </c>
      <c r="J98" s="100">
        <v>0.13</v>
      </c>
      <c r="K98" s="100">
        <v>155.33000000000001</v>
      </c>
      <c r="L98" s="100">
        <v>22.63</v>
      </c>
      <c r="M98" s="100">
        <v>73.91</v>
      </c>
      <c r="N98" s="100">
        <v>1.3</v>
      </c>
      <c r="O98" s="100">
        <v>0</v>
      </c>
      <c r="P98" s="100">
        <v>0.79</v>
      </c>
      <c r="Q98" s="100">
        <v>13.33</v>
      </c>
      <c r="R98" s="6"/>
      <c r="S98" s="6"/>
      <c r="T98" s="156"/>
      <c r="U98" s="6"/>
    </row>
    <row r="99" spans="1:28" customFormat="1">
      <c r="A99" s="163" t="s">
        <v>3113</v>
      </c>
      <c r="B99" s="100">
        <v>7.07</v>
      </c>
      <c r="C99" s="100">
        <v>22.7</v>
      </c>
      <c r="D99" s="100">
        <v>18.88</v>
      </c>
      <c r="E99" s="100">
        <v>9.1300000000000008</v>
      </c>
      <c r="F99" s="151" t="s">
        <v>8</v>
      </c>
      <c r="G99" s="100">
        <v>74.900000000000006</v>
      </c>
      <c r="H99" s="100">
        <v>22.85</v>
      </c>
      <c r="I99" s="100">
        <v>11.07</v>
      </c>
      <c r="J99" s="100">
        <v>0.13</v>
      </c>
      <c r="K99" s="100">
        <v>141.38999999999999</v>
      </c>
      <c r="L99" s="100">
        <v>22.51</v>
      </c>
      <c r="M99" s="100">
        <v>75.319999999999993</v>
      </c>
      <c r="N99" s="100">
        <v>1.4</v>
      </c>
      <c r="O99" s="100">
        <v>0</v>
      </c>
      <c r="P99" s="100">
        <v>0.8</v>
      </c>
      <c r="Q99" s="100">
        <v>13.11</v>
      </c>
      <c r="R99" s="6"/>
      <c r="S99" s="6"/>
      <c r="T99" s="156"/>
      <c r="U99" s="6"/>
    </row>
    <row r="100" spans="1:28" customFormat="1">
      <c r="A100" s="163" t="s">
        <v>3114</v>
      </c>
      <c r="B100" s="100">
        <v>6.86</v>
      </c>
      <c r="C100" s="100">
        <v>22.68</v>
      </c>
      <c r="D100" s="100">
        <v>18.7</v>
      </c>
      <c r="E100" s="100">
        <v>9.02</v>
      </c>
      <c r="F100" s="151" t="s">
        <v>8</v>
      </c>
      <c r="G100" s="100">
        <v>70.17</v>
      </c>
      <c r="H100" s="100">
        <v>20.79</v>
      </c>
      <c r="I100" s="100">
        <v>10.96</v>
      </c>
      <c r="J100" s="100">
        <v>0.15</v>
      </c>
      <c r="K100" s="100">
        <v>149.75</v>
      </c>
      <c r="L100" s="100">
        <v>22.3</v>
      </c>
      <c r="M100" s="100">
        <v>77</v>
      </c>
      <c r="N100" s="100">
        <v>1.3</v>
      </c>
      <c r="O100" s="100">
        <v>0</v>
      </c>
      <c r="P100" s="100">
        <v>0.79</v>
      </c>
      <c r="Q100" s="100">
        <v>12.98</v>
      </c>
      <c r="R100" s="6"/>
      <c r="S100" s="6"/>
      <c r="T100" s="156"/>
      <c r="U100" s="6"/>
      <c r="AB100" s="161"/>
    </row>
    <row r="101" spans="1:28" customFormat="1">
      <c r="A101" s="163" t="s">
        <v>3115</v>
      </c>
      <c r="B101" s="100">
        <v>6.72</v>
      </c>
      <c r="C101" s="100">
        <v>22.48</v>
      </c>
      <c r="D101" s="100">
        <v>18.489999999999998</v>
      </c>
      <c r="E101" s="100">
        <v>8.6</v>
      </c>
      <c r="F101" s="151" t="s">
        <v>8</v>
      </c>
      <c r="G101" s="100">
        <v>70.17</v>
      </c>
      <c r="H101" s="100">
        <v>20.79</v>
      </c>
      <c r="I101" s="100">
        <v>10.82</v>
      </c>
      <c r="J101" s="100">
        <v>0.13</v>
      </c>
      <c r="K101" s="100">
        <v>147.04</v>
      </c>
      <c r="L101" s="100">
        <v>22.22</v>
      </c>
      <c r="M101" s="100">
        <v>77.36</v>
      </c>
      <c r="N101" s="100">
        <v>1.3</v>
      </c>
      <c r="O101" s="100">
        <v>0</v>
      </c>
      <c r="P101" s="100">
        <v>0.78</v>
      </c>
      <c r="Q101" s="100">
        <v>12.95</v>
      </c>
      <c r="R101" s="6"/>
      <c r="S101" s="6"/>
      <c r="T101" s="156"/>
      <c r="U101" s="6"/>
    </row>
    <row r="102" spans="1:28" customFormat="1">
      <c r="A102" s="163" t="s">
        <v>3116</v>
      </c>
      <c r="B102" s="100">
        <v>6.6</v>
      </c>
      <c r="C102" s="100">
        <v>22.35</v>
      </c>
      <c r="D102" s="100">
        <v>18.32</v>
      </c>
      <c r="E102" s="100">
        <v>9.1</v>
      </c>
      <c r="F102" s="151" t="s">
        <v>8</v>
      </c>
      <c r="G102" s="100">
        <v>70.17</v>
      </c>
      <c r="H102" s="100">
        <v>20.79</v>
      </c>
      <c r="I102" s="100">
        <v>10.71</v>
      </c>
      <c r="J102" s="100">
        <v>0.2</v>
      </c>
      <c r="K102" s="100">
        <v>146.27000000000001</v>
      </c>
      <c r="L102" s="100">
        <v>22.16</v>
      </c>
      <c r="M102" s="100">
        <v>78.540000000000006</v>
      </c>
      <c r="N102" s="100">
        <v>1.3</v>
      </c>
      <c r="O102" s="100">
        <v>0</v>
      </c>
      <c r="P102" s="100">
        <v>0.77</v>
      </c>
      <c r="Q102" s="100">
        <v>12.95</v>
      </c>
      <c r="R102" s="6"/>
      <c r="S102" s="6"/>
      <c r="T102" s="156"/>
      <c r="U102" s="6"/>
    </row>
    <row r="103" spans="1:28" customFormat="1">
      <c r="A103" s="163" t="s">
        <v>3117</v>
      </c>
      <c r="B103" s="100">
        <v>6.51</v>
      </c>
      <c r="C103" s="100">
        <v>22.12</v>
      </c>
      <c r="D103" s="100">
        <v>18.13</v>
      </c>
      <c r="E103" s="100">
        <v>8.85</v>
      </c>
      <c r="F103" s="151" t="s">
        <v>8</v>
      </c>
      <c r="G103" s="100">
        <v>69.849999999999994</v>
      </c>
      <c r="H103" s="100">
        <v>20.82</v>
      </c>
      <c r="I103" s="100">
        <v>10.58</v>
      </c>
      <c r="J103" s="100">
        <v>0.12</v>
      </c>
      <c r="K103" s="100">
        <v>151.71</v>
      </c>
      <c r="L103" s="100">
        <v>21.94</v>
      </c>
      <c r="M103" s="100">
        <v>80.03</v>
      </c>
      <c r="N103" s="100">
        <v>1.4</v>
      </c>
      <c r="O103" s="100">
        <v>0</v>
      </c>
      <c r="P103" s="100">
        <v>0.75</v>
      </c>
      <c r="Q103" s="100">
        <v>13</v>
      </c>
      <c r="R103" s="6"/>
      <c r="S103" s="6"/>
      <c r="T103" s="156"/>
      <c r="U103" s="6"/>
    </row>
    <row r="104" spans="1:28" customFormat="1">
      <c r="A104" s="163" t="s">
        <v>3118</v>
      </c>
      <c r="B104" s="100">
        <v>6.4</v>
      </c>
      <c r="C104" s="100">
        <v>21.97</v>
      </c>
      <c r="D104" s="100">
        <v>17.96</v>
      </c>
      <c r="E104" s="100">
        <v>8.43</v>
      </c>
      <c r="F104" s="151" t="s">
        <v>8</v>
      </c>
      <c r="G104" s="100">
        <v>63.1</v>
      </c>
      <c r="H104" s="100">
        <v>21.82</v>
      </c>
      <c r="I104" s="100">
        <v>10.47</v>
      </c>
      <c r="J104" s="100">
        <v>0.08</v>
      </c>
      <c r="K104" s="100">
        <v>171.3</v>
      </c>
      <c r="L104" s="100">
        <v>21.87</v>
      </c>
      <c r="M104" s="100">
        <v>80.989999999999995</v>
      </c>
      <c r="N104" s="100">
        <v>1.3</v>
      </c>
      <c r="O104" s="100">
        <v>0</v>
      </c>
      <c r="P104" s="100">
        <v>0.73</v>
      </c>
      <c r="Q104" s="100">
        <v>12.97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3.87</v>
      </c>
      <c r="C106" s="158">
        <f>MIN(C9:C104)</f>
        <v>20.63</v>
      </c>
      <c r="D106" s="158">
        <f t="shared" ref="D106:Q106" si="0">MIN(D9:D104)</f>
        <v>15.7</v>
      </c>
      <c r="E106" s="158">
        <f t="shared" si="0"/>
        <v>8.43</v>
      </c>
      <c r="F106" s="158">
        <f t="shared" si="0"/>
        <v>0</v>
      </c>
      <c r="G106" s="158">
        <f t="shared" si="0"/>
        <v>45.35</v>
      </c>
      <c r="H106" s="158">
        <f t="shared" si="0"/>
        <v>19.739999999999998</v>
      </c>
      <c r="I106" s="158">
        <f t="shared" si="0"/>
        <v>9.7899999999999991</v>
      </c>
      <c r="J106" s="158">
        <f t="shared" si="0"/>
        <v>0.06</v>
      </c>
      <c r="K106" s="158">
        <f t="shared" si="0"/>
        <v>140.18</v>
      </c>
      <c r="L106" s="158">
        <f t="shared" si="0"/>
        <v>17.91</v>
      </c>
      <c r="M106" s="158">
        <f t="shared" si="0"/>
        <v>39.32</v>
      </c>
      <c r="N106" s="158">
        <f t="shared" si="0"/>
        <v>1.2</v>
      </c>
      <c r="O106" s="158">
        <f t="shared" si="0"/>
        <v>0</v>
      </c>
      <c r="P106" s="158">
        <f t="shared" si="0"/>
        <v>0.66</v>
      </c>
      <c r="Q106" s="158">
        <f t="shared" si="0"/>
        <v>12.92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9.91</v>
      </c>
      <c r="C107" s="157">
        <f t="shared" ref="C107:Q107" si="1">MAX(C9:C104)</f>
        <v>26.54</v>
      </c>
      <c r="D107" s="157">
        <f t="shared" si="1"/>
        <v>21.7</v>
      </c>
      <c r="E107" s="157">
        <f t="shared" si="1"/>
        <v>15.94</v>
      </c>
      <c r="F107" s="157">
        <f t="shared" si="1"/>
        <v>0</v>
      </c>
      <c r="G107" s="157">
        <f t="shared" si="1"/>
        <v>110.61</v>
      </c>
      <c r="H107" s="157">
        <f t="shared" si="1"/>
        <v>43.11</v>
      </c>
      <c r="I107" s="157">
        <f t="shared" si="1"/>
        <v>23.92</v>
      </c>
      <c r="J107" s="157">
        <f t="shared" si="1"/>
        <v>1.23</v>
      </c>
      <c r="K107" s="157">
        <f t="shared" si="1"/>
        <v>331.27</v>
      </c>
      <c r="L107" s="157">
        <f t="shared" si="1"/>
        <v>31.89</v>
      </c>
      <c r="M107" s="157">
        <f t="shared" si="1"/>
        <v>98.41</v>
      </c>
      <c r="N107" s="157">
        <f t="shared" si="1"/>
        <v>357.5</v>
      </c>
      <c r="O107" s="157">
        <f t="shared" si="1"/>
        <v>0</v>
      </c>
      <c r="P107" s="157">
        <f t="shared" si="1"/>
        <v>1.52</v>
      </c>
      <c r="Q107" s="157">
        <f t="shared" si="1"/>
        <v>13.33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6.7623958333333354</v>
      </c>
      <c r="C108" s="158">
        <f t="shared" ref="C108:Q108" si="2">AVERAGE(C9:C104)</f>
        <v>23.31552083333332</v>
      </c>
      <c r="D108" s="158">
        <f t="shared" si="2"/>
        <v>18.955937499999994</v>
      </c>
      <c r="E108" s="158">
        <f t="shared" si="2"/>
        <v>10.7865625</v>
      </c>
      <c r="F108" s="158" t="e">
        <f t="shared" si="2"/>
        <v>#DIV/0!</v>
      </c>
      <c r="G108" s="158">
        <f t="shared" si="2"/>
        <v>65.679270833333334</v>
      </c>
      <c r="H108" s="158">
        <f t="shared" si="2"/>
        <v>26.147708333333345</v>
      </c>
      <c r="I108" s="158">
        <f t="shared" si="2"/>
        <v>14.964791666666665</v>
      </c>
      <c r="J108" s="158">
        <f t="shared" si="2"/>
        <v>0.34302083333333339</v>
      </c>
      <c r="K108" s="158">
        <f t="shared" si="2"/>
        <v>210.18760416666669</v>
      </c>
      <c r="L108" s="158">
        <f t="shared" si="2"/>
        <v>24.145416666666673</v>
      </c>
      <c r="M108" s="158">
        <f t="shared" si="2"/>
        <v>70.308229166666635</v>
      </c>
      <c r="N108" s="158">
        <f t="shared" si="2"/>
        <v>83.704166666666666</v>
      </c>
      <c r="O108" s="158">
        <f t="shared" si="2"/>
        <v>0</v>
      </c>
      <c r="P108" s="158">
        <f t="shared" si="2"/>
        <v>0.95593750000000044</v>
      </c>
      <c r="Q108" s="158">
        <f t="shared" si="2"/>
        <v>12.965729166666671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1.8225290379849231</v>
      </c>
      <c r="C109" s="158">
        <f t="shared" ref="C109:Q109" si="3">STDEV(C9:C104)</f>
        <v>1.4691572018582393</v>
      </c>
      <c r="D109" s="158">
        <f t="shared" si="3"/>
        <v>1.5254387311093225</v>
      </c>
      <c r="E109" s="158">
        <f t="shared" si="3"/>
        <v>1.9213798923662861</v>
      </c>
      <c r="F109" s="158" t="e">
        <f t="shared" si="3"/>
        <v>#DIV/0!</v>
      </c>
      <c r="G109" s="158">
        <f t="shared" si="3"/>
        <v>15.13232081165769</v>
      </c>
      <c r="H109" s="158">
        <f t="shared" si="3"/>
        <v>5.0608893495878471</v>
      </c>
      <c r="I109" s="158">
        <f t="shared" si="3"/>
        <v>4.2945745403306415</v>
      </c>
      <c r="J109" s="158">
        <f t="shared" si="3"/>
        <v>0.26900643620422576</v>
      </c>
      <c r="K109" s="158">
        <f t="shared" si="3"/>
        <v>56.010024342354299</v>
      </c>
      <c r="L109" s="158">
        <f t="shared" si="3"/>
        <v>4.8720325201288226</v>
      </c>
      <c r="M109" s="158">
        <f t="shared" si="3"/>
        <v>19.370089095509776</v>
      </c>
      <c r="N109" s="158">
        <f t="shared" si="3"/>
        <v>126.79903446142988</v>
      </c>
      <c r="O109" s="158">
        <f t="shared" si="3"/>
        <v>0</v>
      </c>
      <c r="P109" s="158">
        <f t="shared" si="3"/>
        <v>0.25121422238065022</v>
      </c>
      <c r="Q109" s="158">
        <f t="shared" si="3"/>
        <v>5.875452576819612E-2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117"/>
  <sheetViews>
    <sheetView zoomScale="85" zoomScaleNormal="85" workbookViewId="0">
      <pane ySplit="8" topLeftCell="A99" activePane="bottomLeft" state="frozen"/>
      <selection pane="bottomLeft" activeCell="S110" sqref="S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31/01/2025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3119</v>
      </c>
      <c r="B9" s="100">
        <v>5.95</v>
      </c>
      <c r="C9" s="100">
        <v>21.31</v>
      </c>
      <c r="D9" s="100">
        <v>17.25</v>
      </c>
      <c r="E9" s="100">
        <v>8.77</v>
      </c>
      <c r="F9" s="152" t="s">
        <v>15</v>
      </c>
      <c r="G9" s="100">
        <v>63.1</v>
      </c>
      <c r="H9" s="100">
        <v>21.82</v>
      </c>
      <c r="I9" s="100">
        <v>10.34</v>
      </c>
      <c r="J9" s="100">
        <v>0.08</v>
      </c>
      <c r="K9" s="100">
        <v>225.69</v>
      </c>
      <c r="L9" s="100">
        <v>21.95</v>
      </c>
      <c r="M9" s="100">
        <v>80.95</v>
      </c>
      <c r="N9" s="100">
        <v>1.2</v>
      </c>
      <c r="O9" s="100">
        <v>0</v>
      </c>
      <c r="P9" s="100">
        <v>0.72</v>
      </c>
      <c r="Q9" s="100">
        <v>12.94</v>
      </c>
      <c r="R9" s="6"/>
      <c r="S9" s="6"/>
      <c r="T9" s="156"/>
      <c r="U9" s="6"/>
    </row>
    <row r="10" spans="1:21" customFormat="1">
      <c r="A10" s="163" t="s">
        <v>3120</v>
      </c>
      <c r="B10" s="100">
        <v>5.92</v>
      </c>
      <c r="C10" s="100">
        <v>21.62</v>
      </c>
      <c r="D10" s="100">
        <v>17.399999999999999</v>
      </c>
      <c r="E10" s="100">
        <v>8.51</v>
      </c>
      <c r="F10" s="152" t="s">
        <v>15</v>
      </c>
      <c r="G10" s="100">
        <v>63.1</v>
      </c>
      <c r="H10" s="100">
        <v>21.82</v>
      </c>
      <c r="I10" s="100">
        <v>10.16</v>
      </c>
      <c r="J10" s="100">
        <v>0.24</v>
      </c>
      <c r="K10" s="100">
        <v>260.7</v>
      </c>
      <c r="L10" s="100">
        <v>22.36</v>
      </c>
      <c r="M10" s="100">
        <v>79.58</v>
      </c>
      <c r="N10" s="100">
        <v>0.7</v>
      </c>
      <c r="O10" s="100">
        <v>0</v>
      </c>
      <c r="P10" s="100">
        <v>0.72</v>
      </c>
      <c r="Q10" s="100">
        <v>12.95</v>
      </c>
      <c r="R10" s="6"/>
      <c r="S10" s="6"/>
      <c r="T10" s="156"/>
      <c r="U10" s="6"/>
    </row>
    <row r="11" spans="1:21" customFormat="1">
      <c r="A11" s="163" t="s">
        <v>3121</v>
      </c>
      <c r="B11" s="100">
        <v>5.82</v>
      </c>
      <c r="C11" s="100">
        <v>21.56</v>
      </c>
      <c r="D11" s="100">
        <v>17.28</v>
      </c>
      <c r="E11" s="100">
        <v>8.58</v>
      </c>
      <c r="F11" s="152" t="s">
        <v>15</v>
      </c>
      <c r="G11" s="100">
        <v>62.83</v>
      </c>
      <c r="H11" s="100">
        <v>21.75</v>
      </c>
      <c r="I11" s="100">
        <v>9.9499999999999993</v>
      </c>
      <c r="J11" s="100">
        <v>0.39</v>
      </c>
      <c r="K11" s="100">
        <v>264.22000000000003</v>
      </c>
      <c r="L11" s="100">
        <v>22.62</v>
      </c>
      <c r="M11" s="100">
        <v>78.67</v>
      </c>
      <c r="N11" s="100">
        <v>1</v>
      </c>
      <c r="O11" s="100">
        <v>0</v>
      </c>
      <c r="P11" s="100">
        <v>0.7</v>
      </c>
      <c r="Q11" s="100">
        <v>12.96</v>
      </c>
      <c r="R11" s="6"/>
      <c r="S11" s="6"/>
      <c r="T11" s="156"/>
      <c r="U11" s="6"/>
    </row>
    <row r="12" spans="1:21" customFormat="1">
      <c r="A12" s="163" t="s">
        <v>3122</v>
      </c>
      <c r="B12" s="100">
        <v>5.65</v>
      </c>
      <c r="C12" s="100">
        <v>21.42</v>
      </c>
      <c r="D12" s="100">
        <v>17.07</v>
      </c>
      <c r="E12" s="100">
        <v>9</v>
      </c>
      <c r="F12" s="152" t="s">
        <v>15</v>
      </c>
      <c r="G12" s="100">
        <v>56.98</v>
      </c>
      <c r="H12" s="100">
        <v>19.61</v>
      </c>
      <c r="I12" s="100">
        <v>9.6999999999999993</v>
      </c>
      <c r="J12" s="100">
        <v>0.23</v>
      </c>
      <c r="K12" s="100">
        <v>259.70999999999998</v>
      </c>
      <c r="L12" s="100">
        <v>22.56</v>
      </c>
      <c r="M12" s="100">
        <v>79.290000000000006</v>
      </c>
      <c r="N12" s="100">
        <v>1.4</v>
      </c>
      <c r="O12" s="100">
        <v>0</v>
      </c>
      <c r="P12" s="100">
        <v>0.68</v>
      </c>
      <c r="Q12" s="100">
        <v>12.94</v>
      </c>
      <c r="R12" s="6"/>
      <c r="S12" s="6"/>
      <c r="T12" s="156"/>
      <c r="U12" s="6"/>
    </row>
    <row r="13" spans="1:21" customFormat="1">
      <c r="A13" s="163" t="s">
        <v>3123</v>
      </c>
      <c r="B13" s="100">
        <v>5.46</v>
      </c>
      <c r="C13" s="100">
        <v>21.34</v>
      </c>
      <c r="D13" s="100">
        <v>16.88</v>
      </c>
      <c r="E13" s="100">
        <v>8.68</v>
      </c>
      <c r="F13" s="152" t="s">
        <v>15</v>
      </c>
      <c r="G13" s="100">
        <v>56.98</v>
      </c>
      <c r="H13" s="100">
        <v>19.61</v>
      </c>
      <c r="I13" s="100">
        <v>9.44</v>
      </c>
      <c r="J13" s="100">
        <v>0.21</v>
      </c>
      <c r="K13" s="100">
        <v>265.13</v>
      </c>
      <c r="L13" s="100">
        <v>22.43</v>
      </c>
      <c r="M13" s="100">
        <v>80.13</v>
      </c>
      <c r="N13" s="100">
        <v>1.4</v>
      </c>
      <c r="O13" s="100">
        <v>0</v>
      </c>
      <c r="P13" s="100">
        <v>0.67</v>
      </c>
      <c r="Q13" s="100">
        <v>12.94</v>
      </c>
      <c r="R13" s="6"/>
      <c r="S13" s="6"/>
      <c r="T13" s="156"/>
      <c r="U13" s="6"/>
    </row>
    <row r="14" spans="1:21" customFormat="1">
      <c r="A14" s="163" t="s">
        <v>3124</v>
      </c>
      <c r="B14" s="100">
        <v>5.37</v>
      </c>
      <c r="C14" s="100">
        <v>21.21</v>
      </c>
      <c r="D14" s="100">
        <v>16.739999999999998</v>
      </c>
      <c r="E14" s="100">
        <v>8.65</v>
      </c>
      <c r="F14" s="152" t="s">
        <v>15</v>
      </c>
      <c r="G14" s="100">
        <v>56.98</v>
      </c>
      <c r="H14" s="100">
        <v>19.61</v>
      </c>
      <c r="I14" s="100">
        <v>9.2899999999999991</v>
      </c>
      <c r="J14" s="100">
        <v>0.19</v>
      </c>
      <c r="K14" s="100">
        <v>274.16000000000003</v>
      </c>
      <c r="L14" s="100">
        <v>22.32</v>
      </c>
      <c r="M14" s="100">
        <v>80.8</v>
      </c>
      <c r="N14" s="100">
        <v>1.4</v>
      </c>
      <c r="O14" s="100">
        <v>0</v>
      </c>
      <c r="P14" s="100">
        <v>0.66</v>
      </c>
      <c r="Q14" s="100">
        <v>12.95</v>
      </c>
      <c r="R14" s="6"/>
      <c r="S14" s="6"/>
      <c r="T14" s="156"/>
      <c r="U14" s="6"/>
    </row>
    <row r="15" spans="1:21" customFormat="1">
      <c r="A15" s="163" t="s">
        <v>3125</v>
      </c>
      <c r="B15" s="100">
        <v>5.34</v>
      </c>
      <c r="C15" s="100">
        <v>21.02</v>
      </c>
      <c r="D15" s="100">
        <v>16.61</v>
      </c>
      <c r="E15" s="100">
        <v>9.24</v>
      </c>
      <c r="F15" s="152" t="s">
        <v>15</v>
      </c>
      <c r="G15" s="100">
        <v>56.69</v>
      </c>
      <c r="H15" s="100">
        <v>19.649999999999999</v>
      </c>
      <c r="I15" s="100">
        <v>9.02</v>
      </c>
      <c r="J15" s="100">
        <v>0.3</v>
      </c>
      <c r="K15" s="100">
        <v>255.25</v>
      </c>
      <c r="L15" s="100">
        <v>22.32</v>
      </c>
      <c r="M15" s="100">
        <v>80.7</v>
      </c>
      <c r="N15" s="100">
        <v>1.3</v>
      </c>
      <c r="O15" s="100">
        <v>0</v>
      </c>
      <c r="P15" s="100">
        <v>0.66</v>
      </c>
      <c r="Q15" s="100">
        <v>12.96</v>
      </c>
      <c r="R15" s="6"/>
      <c r="S15" s="6"/>
      <c r="T15" s="156"/>
      <c r="U15" s="6"/>
    </row>
    <row r="16" spans="1:21" customFormat="1">
      <c r="A16" s="163" t="s">
        <v>3126</v>
      </c>
      <c r="B16" s="100">
        <v>5.27</v>
      </c>
      <c r="C16" s="100">
        <v>20.95</v>
      </c>
      <c r="D16" s="100">
        <v>16.52</v>
      </c>
      <c r="E16" s="100">
        <v>9.01</v>
      </c>
      <c r="F16" s="152" t="s">
        <v>15</v>
      </c>
      <c r="G16" s="100">
        <v>48.36</v>
      </c>
      <c r="H16" s="100">
        <v>20.79</v>
      </c>
      <c r="I16" s="100">
        <v>8.85</v>
      </c>
      <c r="J16" s="100">
        <v>0.32</v>
      </c>
      <c r="K16" s="100">
        <v>264.86</v>
      </c>
      <c r="L16" s="100">
        <v>22.4</v>
      </c>
      <c r="M16" s="100">
        <v>80.63</v>
      </c>
      <c r="N16" s="100">
        <v>1.3</v>
      </c>
      <c r="O16" s="100">
        <v>0</v>
      </c>
      <c r="P16" s="100">
        <v>0.64</v>
      </c>
      <c r="Q16" s="100">
        <v>12.98</v>
      </c>
      <c r="R16" s="6"/>
      <c r="S16" s="6"/>
      <c r="T16" s="156"/>
      <c r="U16" s="6"/>
    </row>
    <row r="17" spans="1:21" customFormat="1">
      <c r="A17" s="163" t="s">
        <v>3127</v>
      </c>
      <c r="B17" s="100">
        <v>5.23</v>
      </c>
      <c r="C17" s="100">
        <v>20.78</v>
      </c>
      <c r="D17" s="100">
        <v>16.41</v>
      </c>
      <c r="E17" s="100">
        <v>7.94</v>
      </c>
      <c r="F17" s="152" t="s">
        <v>15</v>
      </c>
      <c r="G17" s="100">
        <v>48.36</v>
      </c>
      <c r="H17" s="100">
        <v>20.79</v>
      </c>
      <c r="I17" s="100">
        <v>8.68</v>
      </c>
      <c r="J17" s="100">
        <v>0.12</v>
      </c>
      <c r="K17" s="100">
        <v>255.47</v>
      </c>
      <c r="L17" s="100">
        <v>22.27</v>
      </c>
      <c r="M17" s="100">
        <v>81.790000000000006</v>
      </c>
      <c r="N17" s="100">
        <v>1.6</v>
      </c>
      <c r="O17" s="100">
        <v>0</v>
      </c>
      <c r="P17" s="100">
        <v>0.62</v>
      </c>
      <c r="Q17" s="100">
        <v>12.95</v>
      </c>
      <c r="R17" s="6"/>
      <c r="S17" s="6"/>
      <c r="T17" s="156"/>
      <c r="U17" s="6"/>
    </row>
    <row r="18" spans="1:21" customFormat="1">
      <c r="A18" s="163" t="s">
        <v>3128</v>
      </c>
      <c r="B18" s="100">
        <v>5.22</v>
      </c>
      <c r="C18" s="100">
        <v>20.7</v>
      </c>
      <c r="D18" s="100">
        <v>16.350000000000001</v>
      </c>
      <c r="E18" s="100">
        <v>9.6199999999999992</v>
      </c>
      <c r="F18" s="152" t="s">
        <v>15</v>
      </c>
      <c r="G18" s="100">
        <v>48.36</v>
      </c>
      <c r="H18" s="100">
        <v>20.79</v>
      </c>
      <c r="I18" s="100">
        <v>8.52</v>
      </c>
      <c r="J18" s="100">
        <v>0.22</v>
      </c>
      <c r="K18" s="100">
        <v>248.32</v>
      </c>
      <c r="L18" s="100">
        <v>22.17</v>
      </c>
      <c r="M18" s="100">
        <v>82.59</v>
      </c>
      <c r="N18" s="100">
        <v>1.4</v>
      </c>
      <c r="O18" s="100">
        <v>0</v>
      </c>
      <c r="P18" s="100">
        <v>0.62</v>
      </c>
      <c r="Q18" s="100">
        <v>12.94</v>
      </c>
      <c r="R18" s="6"/>
      <c r="S18" s="6"/>
      <c r="T18" s="156"/>
      <c r="U18" s="6"/>
    </row>
    <row r="19" spans="1:21" customFormat="1">
      <c r="A19" s="163" t="s">
        <v>3129</v>
      </c>
      <c r="B19" s="100">
        <v>5.35</v>
      </c>
      <c r="C19" s="100">
        <v>20.05</v>
      </c>
      <c r="D19" s="100">
        <v>16.12</v>
      </c>
      <c r="E19" s="100">
        <v>9.56</v>
      </c>
      <c r="F19" s="152" t="s">
        <v>15</v>
      </c>
      <c r="G19" s="100">
        <v>48.38</v>
      </c>
      <c r="H19" s="100">
        <v>20.68</v>
      </c>
      <c r="I19" s="100">
        <v>8.33</v>
      </c>
      <c r="J19" s="100">
        <v>0.43</v>
      </c>
      <c r="K19" s="100">
        <v>262.89999999999998</v>
      </c>
      <c r="L19" s="100">
        <v>22.12</v>
      </c>
      <c r="M19" s="100">
        <v>83.17</v>
      </c>
      <c r="N19" s="100">
        <v>1.4</v>
      </c>
      <c r="O19" s="100">
        <v>0</v>
      </c>
      <c r="P19" s="100">
        <v>0.61</v>
      </c>
      <c r="Q19" s="100">
        <v>12.97</v>
      </c>
      <c r="R19" s="6"/>
      <c r="S19" s="6"/>
      <c r="T19" s="156"/>
      <c r="U19" s="6"/>
    </row>
    <row r="20" spans="1:21" customFormat="1">
      <c r="A20" s="163" t="s">
        <v>3130</v>
      </c>
      <c r="B20" s="100">
        <v>5.66</v>
      </c>
      <c r="C20" s="100">
        <v>20.059999999999999</v>
      </c>
      <c r="D20" s="100">
        <v>16.37</v>
      </c>
      <c r="E20" s="100">
        <v>9.61</v>
      </c>
      <c r="F20" s="152" t="s">
        <v>15</v>
      </c>
      <c r="G20" s="100">
        <v>48.86</v>
      </c>
      <c r="H20" s="100">
        <v>17.14</v>
      </c>
      <c r="I20" s="100">
        <v>8.18</v>
      </c>
      <c r="J20" s="100">
        <v>0.47</v>
      </c>
      <c r="K20" s="100">
        <v>265.37</v>
      </c>
      <c r="L20" s="100">
        <v>21.99</v>
      </c>
      <c r="M20" s="100">
        <v>84.08</v>
      </c>
      <c r="N20" s="100">
        <v>1.5</v>
      </c>
      <c r="O20" s="100">
        <v>0</v>
      </c>
      <c r="P20" s="100">
        <v>0.59</v>
      </c>
      <c r="Q20" s="100">
        <v>12.95</v>
      </c>
      <c r="R20" s="6"/>
      <c r="S20" s="6"/>
      <c r="T20" s="156"/>
      <c r="U20" s="6"/>
    </row>
    <row r="21" spans="1:21" customFormat="1">
      <c r="A21" s="163" t="s">
        <v>3131</v>
      </c>
      <c r="B21" s="100">
        <v>5.98</v>
      </c>
      <c r="C21" s="100">
        <v>20.57</v>
      </c>
      <c r="D21" s="100">
        <v>16.89</v>
      </c>
      <c r="E21" s="100">
        <v>10.23</v>
      </c>
      <c r="F21" s="152" t="s">
        <v>15</v>
      </c>
      <c r="G21" s="100">
        <v>48.86</v>
      </c>
      <c r="H21" s="100">
        <v>17.14</v>
      </c>
      <c r="I21" s="100">
        <v>8.11</v>
      </c>
      <c r="J21" s="100">
        <v>0.41</v>
      </c>
      <c r="K21" s="100">
        <v>262.89999999999998</v>
      </c>
      <c r="L21" s="100">
        <v>21.9</v>
      </c>
      <c r="M21" s="100">
        <v>85.13</v>
      </c>
      <c r="N21" s="100">
        <v>1.4</v>
      </c>
      <c r="O21" s="100">
        <v>0</v>
      </c>
      <c r="P21" s="100">
        <v>0.57999999999999996</v>
      </c>
      <c r="Q21" s="100">
        <v>12.96</v>
      </c>
      <c r="R21" s="6"/>
      <c r="S21" s="6"/>
      <c r="T21" s="156"/>
      <c r="U21" s="6"/>
    </row>
    <row r="22" spans="1:21" customFormat="1">
      <c r="A22" s="163" t="s">
        <v>3132</v>
      </c>
      <c r="B22" s="100">
        <v>6.34</v>
      </c>
      <c r="C22" s="100">
        <v>20.95</v>
      </c>
      <c r="D22" s="100">
        <v>17.38</v>
      </c>
      <c r="E22" s="100">
        <v>10.33</v>
      </c>
      <c r="F22" s="152" t="s">
        <v>15</v>
      </c>
      <c r="G22" s="100">
        <v>48.86</v>
      </c>
      <c r="H22" s="100">
        <v>17.14</v>
      </c>
      <c r="I22" s="100">
        <v>8.1199999999999992</v>
      </c>
      <c r="J22" s="100">
        <v>0.43</v>
      </c>
      <c r="K22" s="100">
        <v>257.02</v>
      </c>
      <c r="L22" s="100">
        <v>21.9</v>
      </c>
      <c r="M22" s="100">
        <v>84.68</v>
      </c>
      <c r="N22" s="100">
        <v>1.5</v>
      </c>
      <c r="O22" s="100">
        <v>0</v>
      </c>
      <c r="P22" s="100">
        <v>0.57999999999999996</v>
      </c>
      <c r="Q22" s="100">
        <v>12.98</v>
      </c>
      <c r="R22" s="6"/>
      <c r="S22" s="6"/>
      <c r="T22" s="156"/>
      <c r="U22" s="6"/>
    </row>
    <row r="23" spans="1:21" customFormat="1">
      <c r="A23" s="163" t="s">
        <v>3133</v>
      </c>
      <c r="B23" s="100">
        <v>6.67</v>
      </c>
      <c r="C23" s="100">
        <v>21.26</v>
      </c>
      <c r="D23" s="100">
        <v>17.809999999999999</v>
      </c>
      <c r="E23" s="100">
        <v>9.94</v>
      </c>
      <c r="F23" s="152" t="s">
        <v>15</v>
      </c>
      <c r="G23" s="100">
        <v>48.84</v>
      </c>
      <c r="H23" s="100">
        <v>17.23</v>
      </c>
      <c r="I23" s="100">
        <v>8.06</v>
      </c>
      <c r="J23" s="100">
        <v>0.38</v>
      </c>
      <c r="K23" s="100">
        <v>261.56</v>
      </c>
      <c r="L23" s="100">
        <v>21.88</v>
      </c>
      <c r="M23" s="100">
        <v>84.59</v>
      </c>
      <c r="N23" s="100">
        <v>1.4</v>
      </c>
      <c r="O23" s="100">
        <v>0</v>
      </c>
      <c r="P23" s="100">
        <v>0.59</v>
      </c>
      <c r="Q23" s="100">
        <v>13</v>
      </c>
      <c r="R23" s="6"/>
      <c r="S23" s="6"/>
      <c r="T23" s="156"/>
      <c r="U23" s="6"/>
    </row>
    <row r="24" spans="1:21" customFormat="1">
      <c r="A24" s="163" t="s">
        <v>3134</v>
      </c>
      <c r="B24" s="100">
        <v>6.98</v>
      </c>
      <c r="C24" s="100">
        <v>21.85</v>
      </c>
      <c r="D24" s="100">
        <v>18.36</v>
      </c>
      <c r="E24" s="100">
        <v>10.18</v>
      </c>
      <c r="F24" s="152" t="s">
        <v>15</v>
      </c>
      <c r="G24" s="100">
        <v>48.43</v>
      </c>
      <c r="H24" s="100">
        <v>19.22</v>
      </c>
      <c r="I24" s="100">
        <v>8.02</v>
      </c>
      <c r="J24" s="100">
        <v>0.31</v>
      </c>
      <c r="K24" s="100">
        <v>253.85</v>
      </c>
      <c r="L24" s="100">
        <v>21.8</v>
      </c>
      <c r="M24" s="100">
        <v>85.12</v>
      </c>
      <c r="N24" s="100">
        <v>1.5</v>
      </c>
      <c r="O24" s="100">
        <v>0</v>
      </c>
      <c r="P24" s="100">
        <v>0.56999999999999995</v>
      </c>
      <c r="Q24" s="100">
        <v>12.98</v>
      </c>
      <c r="R24" s="6"/>
      <c r="S24" s="6"/>
      <c r="T24" s="156"/>
      <c r="U24" s="6"/>
    </row>
    <row r="25" spans="1:21" customFormat="1">
      <c r="A25" s="163" t="s">
        <v>3135</v>
      </c>
      <c r="B25" s="100">
        <v>7.29</v>
      </c>
      <c r="C25" s="100">
        <v>22.02</v>
      </c>
      <c r="D25" s="100">
        <v>18.7</v>
      </c>
      <c r="E25" s="100">
        <v>10.72</v>
      </c>
      <c r="F25" s="152" t="s">
        <v>15</v>
      </c>
      <c r="G25" s="100">
        <v>48.43</v>
      </c>
      <c r="H25" s="100">
        <v>19.22</v>
      </c>
      <c r="I25" s="100">
        <v>7.97</v>
      </c>
      <c r="J25" s="100">
        <v>0.17</v>
      </c>
      <c r="K25" s="100">
        <v>226.01</v>
      </c>
      <c r="L25" s="100">
        <v>21.58</v>
      </c>
      <c r="M25" s="100">
        <v>86.2</v>
      </c>
      <c r="N25" s="100">
        <v>1.6</v>
      </c>
      <c r="O25" s="100">
        <v>0</v>
      </c>
      <c r="P25" s="100">
        <v>0.57999999999999996</v>
      </c>
      <c r="Q25" s="100">
        <v>12.97</v>
      </c>
      <c r="R25" s="6"/>
      <c r="S25" s="6"/>
      <c r="T25" s="156"/>
      <c r="U25" s="6"/>
    </row>
    <row r="26" spans="1:21" customFormat="1">
      <c r="A26" s="163" t="s">
        <v>3136</v>
      </c>
      <c r="B26" s="100">
        <v>7.61</v>
      </c>
      <c r="C26" s="100">
        <v>21.78</v>
      </c>
      <c r="D26" s="100">
        <v>18.829999999999998</v>
      </c>
      <c r="E26" s="100">
        <v>10.59</v>
      </c>
      <c r="F26" s="152" t="s">
        <v>15</v>
      </c>
      <c r="G26" s="100">
        <v>48.43</v>
      </c>
      <c r="H26" s="100">
        <v>19.22</v>
      </c>
      <c r="I26" s="100">
        <v>7.9</v>
      </c>
      <c r="J26" s="100">
        <v>0.2</v>
      </c>
      <c r="K26" s="100">
        <v>171.62</v>
      </c>
      <c r="L26" s="100">
        <v>21.27</v>
      </c>
      <c r="M26" s="100">
        <v>88.1</v>
      </c>
      <c r="N26" s="100">
        <v>1.7</v>
      </c>
      <c r="O26" s="100">
        <v>0</v>
      </c>
      <c r="P26" s="100">
        <v>0.57999999999999996</v>
      </c>
      <c r="Q26" s="100">
        <v>12.99</v>
      </c>
      <c r="R26" s="6"/>
      <c r="S26" s="6"/>
      <c r="T26" s="156"/>
      <c r="U26" s="6"/>
    </row>
    <row r="27" spans="1:21" customFormat="1">
      <c r="A27" s="163" t="s">
        <v>3137</v>
      </c>
      <c r="B27" s="100">
        <v>7.95</v>
      </c>
      <c r="C27" s="100">
        <v>22.06</v>
      </c>
      <c r="D27" s="100">
        <v>19.25</v>
      </c>
      <c r="E27" s="100">
        <v>10.43</v>
      </c>
      <c r="F27" s="152" t="s">
        <v>15</v>
      </c>
      <c r="G27" s="100">
        <v>48.17</v>
      </c>
      <c r="H27" s="100">
        <v>19.190000000000001</v>
      </c>
      <c r="I27" s="100">
        <v>7.85</v>
      </c>
      <c r="J27" s="100">
        <v>0.18</v>
      </c>
      <c r="K27" s="100">
        <v>172.45</v>
      </c>
      <c r="L27" s="100">
        <v>20.88</v>
      </c>
      <c r="M27" s="100">
        <v>91.19</v>
      </c>
      <c r="N27" s="100">
        <v>1.7</v>
      </c>
      <c r="O27" s="100">
        <v>0</v>
      </c>
      <c r="P27" s="100">
        <v>0.57999999999999996</v>
      </c>
      <c r="Q27" s="100">
        <v>12.99</v>
      </c>
      <c r="R27" s="6"/>
      <c r="S27" s="6"/>
      <c r="T27" s="156"/>
      <c r="U27" s="6"/>
    </row>
    <row r="28" spans="1:21" customFormat="1">
      <c r="A28" s="163" t="s">
        <v>3138</v>
      </c>
      <c r="B28" s="100">
        <v>8.31</v>
      </c>
      <c r="C28" s="100">
        <v>21.84</v>
      </c>
      <c r="D28" s="100">
        <v>19.43</v>
      </c>
      <c r="E28" s="100">
        <v>10.36</v>
      </c>
      <c r="F28" s="152" t="s">
        <v>15</v>
      </c>
      <c r="G28" s="100">
        <v>42.39</v>
      </c>
      <c r="H28" s="100">
        <v>18.23</v>
      </c>
      <c r="I28" s="100">
        <v>7.84</v>
      </c>
      <c r="J28" s="100">
        <v>0.17</v>
      </c>
      <c r="K28" s="100">
        <v>154.69999999999999</v>
      </c>
      <c r="L28" s="100">
        <v>20.57</v>
      </c>
      <c r="M28" s="100">
        <v>92.87</v>
      </c>
      <c r="N28" s="100">
        <v>1.6</v>
      </c>
      <c r="O28" s="100">
        <v>0</v>
      </c>
      <c r="P28" s="100">
        <v>0.57999999999999996</v>
      </c>
      <c r="Q28" s="100">
        <v>12.93</v>
      </c>
      <c r="R28" s="6"/>
      <c r="S28" s="6"/>
      <c r="T28" s="156"/>
      <c r="U28" s="6"/>
    </row>
    <row r="29" spans="1:21" customFormat="1">
      <c r="A29" s="163" t="s">
        <v>3139</v>
      </c>
      <c r="B29" s="100">
        <v>8.76</v>
      </c>
      <c r="C29" s="100">
        <v>21.94</v>
      </c>
      <c r="D29" s="100">
        <v>19.84</v>
      </c>
      <c r="E29" s="100">
        <v>10.14</v>
      </c>
      <c r="F29" s="152" t="s">
        <v>15</v>
      </c>
      <c r="G29" s="100">
        <v>42.39</v>
      </c>
      <c r="H29" s="100">
        <v>18.23</v>
      </c>
      <c r="I29" s="100">
        <v>7.82</v>
      </c>
      <c r="J29" s="100">
        <v>0.21</v>
      </c>
      <c r="K29" s="100">
        <v>158.91999999999999</v>
      </c>
      <c r="L29" s="100">
        <v>20.47</v>
      </c>
      <c r="M29" s="100">
        <v>93.38</v>
      </c>
      <c r="N29" s="100">
        <v>1.5</v>
      </c>
      <c r="O29" s="100">
        <v>0</v>
      </c>
      <c r="P29" s="100">
        <v>0.57999999999999996</v>
      </c>
      <c r="Q29" s="100">
        <v>12.93</v>
      </c>
      <c r="R29" s="6"/>
      <c r="S29" s="6"/>
      <c r="T29" s="156"/>
      <c r="U29" s="6"/>
    </row>
    <row r="30" spans="1:21" customFormat="1">
      <c r="A30" s="163" t="s">
        <v>3140</v>
      </c>
      <c r="B30" s="100">
        <v>9.24</v>
      </c>
      <c r="C30" s="100">
        <v>21.95</v>
      </c>
      <c r="D30" s="100">
        <v>20.23</v>
      </c>
      <c r="E30" s="100">
        <v>9.92</v>
      </c>
      <c r="F30" s="152" t="s">
        <v>15</v>
      </c>
      <c r="G30" s="100">
        <v>42.39</v>
      </c>
      <c r="H30" s="100">
        <v>18.23</v>
      </c>
      <c r="I30" s="100">
        <v>7.82</v>
      </c>
      <c r="J30" s="100">
        <v>0.24</v>
      </c>
      <c r="K30" s="100">
        <v>172.39</v>
      </c>
      <c r="L30" s="100">
        <v>20.329999999999998</v>
      </c>
      <c r="M30" s="100">
        <v>94.15</v>
      </c>
      <c r="N30" s="100">
        <v>1.5</v>
      </c>
      <c r="O30" s="100">
        <v>0</v>
      </c>
      <c r="P30" s="100">
        <v>0.59</v>
      </c>
      <c r="Q30" s="100">
        <v>12.94</v>
      </c>
      <c r="R30" s="6"/>
      <c r="S30" s="6"/>
      <c r="T30" s="156"/>
      <c r="U30" s="6"/>
    </row>
    <row r="31" spans="1:21" customFormat="1">
      <c r="A31" s="163" t="s">
        <v>3141</v>
      </c>
      <c r="B31" s="100">
        <v>9.68</v>
      </c>
      <c r="C31" s="100">
        <v>21.98</v>
      </c>
      <c r="D31" s="100">
        <v>20.6</v>
      </c>
      <c r="E31" s="100">
        <v>9.73</v>
      </c>
      <c r="F31" s="152" t="s">
        <v>15</v>
      </c>
      <c r="G31" s="100">
        <v>42.51</v>
      </c>
      <c r="H31" s="100">
        <v>18.2</v>
      </c>
      <c r="I31" s="100">
        <v>7.84</v>
      </c>
      <c r="J31" s="100">
        <v>0.14000000000000001</v>
      </c>
      <c r="K31" s="100">
        <v>169.43</v>
      </c>
      <c r="L31" s="100">
        <v>20.07</v>
      </c>
      <c r="M31" s="100">
        <v>94.85</v>
      </c>
      <c r="N31" s="100">
        <v>1.6</v>
      </c>
      <c r="O31" s="100">
        <v>0</v>
      </c>
      <c r="P31" s="100">
        <v>0.59</v>
      </c>
      <c r="Q31" s="100">
        <v>12.94</v>
      </c>
      <c r="R31" s="6"/>
      <c r="S31" s="6"/>
      <c r="T31" s="156"/>
      <c r="U31" s="6"/>
    </row>
    <row r="32" spans="1:21" customFormat="1">
      <c r="A32" s="163" t="s">
        <v>3142</v>
      </c>
      <c r="B32" s="100">
        <v>10.029999999999999</v>
      </c>
      <c r="C32" s="100">
        <v>22.14</v>
      </c>
      <c r="D32" s="100">
        <v>20.96</v>
      </c>
      <c r="E32" s="100">
        <v>10.15</v>
      </c>
      <c r="F32" s="152" t="s">
        <v>15</v>
      </c>
      <c r="G32" s="100">
        <v>45.02</v>
      </c>
      <c r="H32" s="100">
        <v>17.21</v>
      </c>
      <c r="I32" s="100">
        <v>7.87</v>
      </c>
      <c r="J32" s="100">
        <v>0.13</v>
      </c>
      <c r="K32" s="100">
        <v>166.5</v>
      </c>
      <c r="L32" s="100">
        <v>19.940000000000001</v>
      </c>
      <c r="M32" s="100">
        <v>95.49</v>
      </c>
      <c r="N32" s="100">
        <v>1.4</v>
      </c>
      <c r="O32" s="100">
        <v>0</v>
      </c>
      <c r="P32" s="100">
        <v>0.59</v>
      </c>
      <c r="Q32" s="100">
        <v>12.95</v>
      </c>
      <c r="R32" s="6"/>
      <c r="S32" s="6"/>
      <c r="T32" s="156"/>
      <c r="U32" s="6"/>
    </row>
    <row r="33" spans="1:21" customFormat="1">
      <c r="A33" s="163" t="s">
        <v>3143</v>
      </c>
      <c r="B33" s="100">
        <v>10.36</v>
      </c>
      <c r="C33" s="100">
        <v>21.76</v>
      </c>
      <c r="D33" s="100">
        <v>21.03</v>
      </c>
      <c r="E33" s="100">
        <v>10.44</v>
      </c>
      <c r="F33" s="152" t="s">
        <v>15</v>
      </c>
      <c r="G33" s="100">
        <v>45.02</v>
      </c>
      <c r="H33" s="100">
        <v>17.21</v>
      </c>
      <c r="I33" s="100">
        <v>7.89</v>
      </c>
      <c r="J33" s="100">
        <v>0.15</v>
      </c>
      <c r="K33" s="100">
        <v>171.38</v>
      </c>
      <c r="L33" s="100">
        <v>19.77</v>
      </c>
      <c r="M33" s="100">
        <v>96.18</v>
      </c>
      <c r="N33" s="100">
        <v>1.5</v>
      </c>
      <c r="O33" s="100">
        <v>0</v>
      </c>
      <c r="P33" s="100">
        <v>0.59</v>
      </c>
      <c r="Q33" s="100">
        <v>12.96</v>
      </c>
      <c r="R33" s="6"/>
      <c r="S33" s="6"/>
      <c r="T33" s="156"/>
      <c r="U33" s="6"/>
    </row>
    <row r="34" spans="1:21" customFormat="1">
      <c r="A34" s="163" t="s">
        <v>3144</v>
      </c>
      <c r="B34" s="100">
        <v>10.65</v>
      </c>
      <c r="C34" s="100">
        <v>21.57</v>
      </c>
      <c r="D34" s="100">
        <v>21.16</v>
      </c>
      <c r="E34" s="100">
        <v>10.37</v>
      </c>
      <c r="F34" s="152" t="s">
        <v>15</v>
      </c>
      <c r="G34" s="100">
        <v>45.02</v>
      </c>
      <c r="H34" s="100">
        <v>17.21</v>
      </c>
      <c r="I34" s="100">
        <v>7.88</v>
      </c>
      <c r="J34" s="100">
        <v>0.27</v>
      </c>
      <c r="K34" s="100">
        <v>177.65</v>
      </c>
      <c r="L34" s="100">
        <v>19.52</v>
      </c>
      <c r="M34" s="100">
        <v>97.77</v>
      </c>
      <c r="N34" s="100">
        <v>1.8</v>
      </c>
      <c r="O34" s="100">
        <v>0</v>
      </c>
      <c r="P34" s="100">
        <v>0.57999999999999996</v>
      </c>
      <c r="Q34" s="100">
        <v>12.96</v>
      </c>
      <c r="R34" s="6"/>
      <c r="S34" s="6"/>
      <c r="T34" s="156"/>
      <c r="U34" s="6"/>
    </row>
    <row r="35" spans="1:21" customFormat="1">
      <c r="A35" s="163" t="s">
        <v>3145</v>
      </c>
      <c r="B35" s="100">
        <v>10.92</v>
      </c>
      <c r="C35" s="100">
        <v>21.32</v>
      </c>
      <c r="D35" s="100">
        <v>21.25</v>
      </c>
      <c r="E35" s="100">
        <v>9.77</v>
      </c>
      <c r="F35" s="152" t="s">
        <v>15</v>
      </c>
      <c r="G35" s="100">
        <v>44.97</v>
      </c>
      <c r="H35" s="100">
        <v>17.21</v>
      </c>
      <c r="I35" s="100">
        <v>7.86</v>
      </c>
      <c r="J35" s="100">
        <v>0.12</v>
      </c>
      <c r="K35" s="100">
        <v>157.87</v>
      </c>
      <c r="L35" s="100">
        <v>19.399999999999999</v>
      </c>
      <c r="M35" s="100">
        <v>98.54</v>
      </c>
      <c r="N35" s="100">
        <v>3</v>
      </c>
      <c r="O35" s="100">
        <v>0</v>
      </c>
      <c r="P35" s="100">
        <v>0.6</v>
      </c>
      <c r="Q35" s="100">
        <v>12.97</v>
      </c>
      <c r="R35" s="6"/>
      <c r="S35" s="6"/>
      <c r="T35" s="156"/>
      <c r="U35" s="6"/>
    </row>
    <row r="36" spans="1:21" customFormat="1">
      <c r="A36" s="163" t="s">
        <v>3146</v>
      </c>
      <c r="B36" s="100">
        <v>11.19</v>
      </c>
      <c r="C36" s="100">
        <v>21.5</v>
      </c>
      <c r="D36" s="100">
        <v>21.55</v>
      </c>
      <c r="E36" s="100">
        <v>10.15</v>
      </c>
      <c r="F36" s="152" t="s">
        <v>15</v>
      </c>
      <c r="G36" s="100">
        <v>43.99</v>
      </c>
      <c r="H36" s="100">
        <v>17.13</v>
      </c>
      <c r="I36" s="100">
        <v>7.87</v>
      </c>
      <c r="J36" s="100">
        <v>0.13</v>
      </c>
      <c r="K36" s="100">
        <v>156.22</v>
      </c>
      <c r="L36" s="100">
        <v>19.440000000000001</v>
      </c>
      <c r="M36" s="100">
        <v>98.95</v>
      </c>
      <c r="N36" s="100">
        <v>6.8</v>
      </c>
      <c r="O36" s="100">
        <v>0</v>
      </c>
      <c r="P36" s="100">
        <v>0.6</v>
      </c>
      <c r="Q36" s="100">
        <v>13.01</v>
      </c>
      <c r="R36" s="6"/>
      <c r="S36" s="6"/>
      <c r="T36" s="156"/>
      <c r="U36" s="6"/>
    </row>
    <row r="37" spans="1:21" customFormat="1">
      <c r="A37" s="163" t="s">
        <v>3147</v>
      </c>
      <c r="B37" s="100">
        <v>11.42</v>
      </c>
      <c r="C37" s="100">
        <v>21.53</v>
      </c>
      <c r="D37" s="100">
        <v>21.76</v>
      </c>
      <c r="E37" s="100">
        <v>9.9600000000000009</v>
      </c>
      <c r="F37" s="152" t="s">
        <v>15</v>
      </c>
      <c r="G37" s="100">
        <v>43.99</v>
      </c>
      <c r="H37" s="100">
        <v>17.13</v>
      </c>
      <c r="I37" s="100">
        <v>7.93</v>
      </c>
      <c r="J37" s="100">
        <v>0.32</v>
      </c>
      <c r="K37" s="100">
        <v>166.66</v>
      </c>
      <c r="L37" s="100">
        <v>19.600000000000001</v>
      </c>
      <c r="M37" s="100">
        <v>98.9</v>
      </c>
      <c r="N37" s="100">
        <v>13.7</v>
      </c>
      <c r="O37" s="100">
        <v>0</v>
      </c>
      <c r="P37" s="100">
        <v>0.61</v>
      </c>
      <c r="Q37" s="100">
        <v>12.99</v>
      </c>
      <c r="R37" s="6"/>
      <c r="S37" s="6"/>
      <c r="T37" s="156"/>
      <c r="U37" s="6"/>
    </row>
    <row r="38" spans="1:21" customFormat="1">
      <c r="A38" s="163" t="s">
        <v>3148</v>
      </c>
      <c r="B38" s="100">
        <v>11.56</v>
      </c>
      <c r="C38" s="100">
        <v>21.56</v>
      </c>
      <c r="D38" s="100">
        <v>21.88</v>
      </c>
      <c r="E38" s="100">
        <v>9.98</v>
      </c>
      <c r="F38" s="152" t="s">
        <v>15</v>
      </c>
      <c r="G38" s="100">
        <v>43.99</v>
      </c>
      <c r="H38" s="100">
        <v>17.13</v>
      </c>
      <c r="I38" s="100">
        <v>8.02</v>
      </c>
      <c r="J38" s="100">
        <v>0.28000000000000003</v>
      </c>
      <c r="K38" s="100">
        <v>167.1</v>
      </c>
      <c r="L38" s="100">
        <v>19.93</v>
      </c>
      <c r="M38" s="100">
        <v>97.8</v>
      </c>
      <c r="N38" s="100">
        <v>21.9</v>
      </c>
      <c r="O38" s="100">
        <v>0</v>
      </c>
      <c r="P38" s="100">
        <v>0.62</v>
      </c>
      <c r="Q38" s="100">
        <v>12.95</v>
      </c>
      <c r="R38" s="6"/>
      <c r="S38" s="6"/>
      <c r="T38" s="156"/>
      <c r="U38" s="6"/>
    </row>
    <row r="39" spans="1:21" customFormat="1">
      <c r="A39" s="163" t="s">
        <v>3149</v>
      </c>
      <c r="B39" s="100">
        <v>11.53</v>
      </c>
      <c r="C39" s="100">
        <v>20.95</v>
      </c>
      <c r="D39" s="100">
        <v>21.54</v>
      </c>
      <c r="E39" s="100">
        <v>9.8699999999999992</v>
      </c>
      <c r="F39" s="152" t="s">
        <v>15</v>
      </c>
      <c r="G39" s="100">
        <v>44.11</v>
      </c>
      <c r="H39" s="100">
        <v>17.100000000000001</v>
      </c>
      <c r="I39" s="100">
        <v>8.11</v>
      </c>
      <c r="J39" s="100">
        <v>0.28000000000000003</v>
      </c>
      <c r="K39" s="100">
        <v>159.24</v>
      </c>
      <c r="L39" s="100">
        <v>20.55</v>
      </c>
      <c r="M39" s="100">
        <v>94.15</v>
      </c>
      <c r="N39" s="100">
        <v>31.3</v>
      </c>
      <c r="O39" s="100">
        <v>0</v>
      </c>
      <c r="P39" s="100">
        <v>0.63</v>
      </c>
      <c r="Q39" s="100">
        <v>12.95</v>
      </c>
      <c r="R39" s="6"/>
      <c r="S39" s="6"/>
      <c r="T39" s="156"/>
      <c r="U39" s="6"/>
    </row>
    <row r="40" spans="1:21" customFormat="1">
      <c r="A40" s="163" t="s">
        <v>3150</v>
      </c>
      <c r="B40" s="100">
        <v>11.44</v>
      </c>
      <c r="C40" s="100">
        <v>21.02</v>
      </c>
      <c r="D40" s="100">
        <v>21.51</v>
      </c>
      <c r="E40" s="100">
        <v>9.39</v>
      </c>
      <c r="F40" s="152" t="s">
        <v>15</v>
      </c>
      <c r="G40" s="100">
        <v>47.68</v>
      </c>
      <c r="H40" s="100">
        <v>16.350000000000001</v>
      </c>
      <c r="I40" s="100">
        <v>8.14</v>
      </c>
      <c r="J40" s="100">
        <v>0.19</v>
      </c>
      <c r="K40" s="100">
        <v>94.51</v>
      </c>
      <c r="L40" s="100">
        <v>21.08</v>
      </c>
      <c r="M40" s="100">
        <v>91.55</v>
      </c>
      <c r="N40" s="100">
        <v>42.3</v>
      </c>
      <c r="O40" s="100">
        <v>0</v>
      </c>
      <c r="P40" s="100">
        <v>0.63</v>
      </c>
      <c r="Q40" s="100">
        <v>12.98</v>
      </c>
      <c r="R40" s="6"/>
      <c r="S40" s="6"/>
      <c r="T40" s="156"/>
      <c r="U40" s="6"/>
    </row>
    <row r="41" spans="1:21" customFormat="1">
      <c r="A41" s="163" t="s">
        <v>3151</v>
      </c>
      <c r="B41" s="100">
        <v>11.31</v>
      </c>
      <c r="C41" s="100">
        <v>21</v>
      </c>
      <c r="D41" s="100">
        <v>21.39</v>
      </c>
      <c r="E41" s="100">
        <v>9.25</v>
      </c>
      <c r="F41" s="152" t="s">
        <v>15</v>
      </c>
      <c r="G41" s="100">
        <v>47.68</v>
      </c>
      <c r="H41" s="100">
        <v>16.350000000000001</v>
      </c>
      <c r="I41" s="100">
        <v>8.23</v>
      </c>
      <c r="J41" s="100">
        <v>0.17</v>
      </c>
      <c r="K41" s="100">
        <v>118.83</v>
      </c>
      <c r="L41" s="100">
        <v>21.66</v>
      </c>
      <c r="M41" s="100">
        <v>90.12</v>
      </c>
      <c r="N41" s="100">
        <v>64.599999999999994</v>
      </c>
      <c r="O41" s="100">
        <v>0</v>
      </c>
      <c r="P41" s="100">
        <v>0.64</v>
      </c>
      <c r="Q41" s="100">
        <v>13.02</v>
      </c>
      <c r="R41" s="6"/>
      <c r="S41" s="6"/>
      <c r="T41" s="156"/>
      <c r="U41" s="6"/>
    </row>
    <row r="42" spans="1:21" customFormat="1">
      <c r="A42" s="163" t="s">
        <v>3152</v>
      </c>
      <c r="B42" s="100">
        <v>11.06</v>
      </c>
      <c r="C42" s="100">
        <v>21.03</v>
      </c>
      <c r="D42" s="100">
        <v>21.21</v>
      </c>
      <c r="E42" s="100">
        <v>10.06</v>
      </c>
      <c r="F42" s="152" t="s">
        <v>15</v>
      </c>
      <c r="G42" s="100">
        <v>47.68</v>
      </c>
      <c r="H42" s="100">
        <v>16.350000000000001</v>
      </c>
      <c r="I42" s="100">
        <v>8.33</v>
      </c>
      <c r="J42" s="100">
        <v>0.22</v>
      </c>
      <c r="K42" s="100">
        <v>244.19</v>
      </c>
      <c r="L42" s="100">
        <v>22.62</v>
      </c>
      <c r="M42" s="100">
        <v>85.06</v>
      </c>
      <c r="N42" s="100">
        <v>107.5</v>
      </c>
      <c r="O42" s="100">
        <v>0</v>
      </c>
      <c r="P42" s="100">
        <v>0.64</v>
      </c>
      <c r="Q42" s="100">
        <v>13</v>
      </c>
      <c r="R42" s="6"/>
      <c r="S42" s="6"/>
      <c r="T42" s="156"/>
      <c r="U42" s="6"/>
    </row>
    <row r="43" spans="1:21" customFormat="1">
      <c r="A43" s="163" t="s">
        <v>3153</v>
      </c>
      <c r="B43" s="100">
        <v>10.62</v>
      </c>
      <c r="C43" s="100">
        <v>21.11</v>
      </c>
      <c r="D43" s="100">
        <v>20.89</v>
      </c>
      <c r="E43" s="100">
        <v>9.67</v>
      </c>
      <c r="F43" s="152" t="s">
        <v>15</v>
      </c>
      <c r="G43" s="100">
        <v>47.88</v>
      </c>
      <c r="H43" s="100">
        <v>16.489999999999998</v>
      </c>
      <c r="I43" s="100">
        <v>8.42</v>
      </c>
      <c r="J43" s="100">
        <v>0.12</v>
      </c>
      <c r="K43" s="100">
        <v>243.15</v>
      </c>
      <c r="L43" s="100">
        <v>23.31</v>
      </c>
      <c r="M43" s="100">
        <v>81.760000000000005</v>
      </c>
      <c r="N43" s="100">
        <v>129</v>
      </c>
      <c r="O43" s="100">
        <v>0</v>
      </c>
      <c r="P43" s="100">
        <v>0.65</v>
      </c>
      <c r="Q43" s="100">
        <v>12.98</v>
      </c>
      <c r="R43" s="6"/>
      <c r="S43" s="6"/>
      <c r="T43" s="156"/>
      <c r="U43" s="6"/>
    </row>
    <row r="44" spans="1:21" customFormat="1">
      <c r="A44" s="163" t="s">
        <v>3154</v>
      </c>
      <c r="B44" s="100">
        <v>10.08</v>
      </c>
      <c r="C44" s="100">
        <v>21.43</v>
      </c>
      <c r="D44" s="100">
        <v>20.63</v>
      </c>
      <c r="E44" s="100">
        <v>9.5399999999999991</v>
      </c>
      <c r="F44" s="152" t="s">
        <v>15</v>
      </c>
      <c r="G44" s="100">
        <v>52.36</v>
      </c>
      <c r="H44" s="100">
        <v>20.93</v>
      </c>
      <c r="I44" s="100">
        <v>8.5299999999999994</v>
      </c>
      <c r="J44" s="100">
        <v>0.01</v>
      </c>
      <c r="K44" s="100">
        <v>77.849999999999994</v>
      </c>
      <c r="L44" s="100">
        <v>24.03</v>
      </c>
      <c r="M44" s="100">
        <v>78.290000000000006</v>
      </c>
      <c r="N44" s="100">
        <v>137.4</v>
      </c>
      <c r="O44" s="100">
        <v>0</v>
      </c>
      <c r="P44" s="100">
        <v>0.64</v>
      </c>
      <c r="Q44" s="100">
        <v>12.95</v>
      </c>
      <c r="R44" s="6"/>
      <c r="S44" s="6"/>
      <c r="T44" s="156"/>
      <c r="U44" s="6"/>
    </row>
    <row r="45" spans="1:21" customFormat="1">
      <c r="A45" s="163" t="s">
        <v>3155</v>
      </c>
      <c r="B45" s="100">
        <v>9.43</v>
      </c>
      <c r="C45" s="100">
        <v>21.94</v>
      </c>
      <c r="D45" s="100">
        <v>20.38</v>
      </c>
      <c r="E45" s="100">
        <v>9.77</v>
      </c>
      <c r="F45" s="152" t="s">
        <v>15</v>
      </c>
      <c r="G45" s="100">
        <v>52.36</v>
      </c>
      <c r="H45" s="100">
        <v>20.93</v>
      </c>
      <c r="I45" s="100">
        <v>8.61</v>
      </c>
      <c r="J45" s="100">
        <v>0.12</v>
      </c>
      <c r="K45" s="100">
        <v>246.13</v>
      </c>
      <c r="L45" s="100">
        <v>24.83</v>
      </c>
      <c r="M45" s="100">
        <v>75.05</v>
      </c>
      <c r="N45" s="100">
        <v>159.1</v>
      </c>
      <c r="O45" s="100">
        <v>0</v>
      </c>
      <c r="P45" s="100">
        <v>0.66</v>
      </c>
      <c r="Q45" s="100">
        <v>12.95</v>
      </c>
      <c r="R45" s="6"/>
      <c r="S45" s="6"/>
      <c r="T45" s="156"/>
      <c r="U45" s="6"/>
    </row>
    <row r="46" spans="1:21" customFormat="1">
      <c r="A46" s="163" t="s">
        <v>3156</v>
      </c>
      <c r="B46" s="100">
        <v>8.7200000000000006</v>
      </c>
      <c r="C46" s="100">
        <v>22.41</v>
      </c>
      <c r="D46" s="100">
        <v>20.05</v>
      </c>
      <c r="E46" s="100">
        <v>9.51</v>
      </c>
      <c r="F46" s="152" t="s">
        <v>15</v>
      </c>
      <c r="G46" s="100">
        <v>52.36</v>
      </c>
      <c r="H46" s="100">
        <v>20.93</v>
      </c>
      <c r="I46" s="100">
        <v>8.75</v>
      </c>
      <c r="J46" s="100">
        <v>0.4</v>
      </c>
      <c r="K46" s="100">
        <v>276.94</v>
      </c>
      <c r="L46" s="100">
        <v>25.53</v>
      </c>
      <c r="M46" s="100">
        <v>71.540000000000006</v>
      </c>
      <c r="N46" s="100">
        <v>197.6</v>
      </c>
      <c r="O46" s="100">
        <v>0</v>
      </c>
      <c r="P46" s="100">
        <v>0.67</v>
      </c>
      <c r="Q46" s="100">
        <v>12.95</v>
      </c>
      <c r="R46" s="6"/>
      <c r="S46" s="6"/>
      <c r="T46" s="156"/>
      <c r="U46" s="6"/>
    </row>
    <row r="47" spans="1:21" customFormat="1">
      <c r="A47" s="163" t="s">
        <v>3157</v>
      </c>
      <c r="B47" s="100">
        <v>7.98</v>
      </c>
      <c r="C47" s="100">
        <v>22.83</v>
      </c>
      <c r="D47" s="100">
        <v>19.68</v>
      </c>
      <c r="E47" s="100">
        <v>9.82</v>
      </c>
      <c r="F47" s="152" t="s">
        <v>15</v>
      </c>
      <c r="G47" s="100">
        <v>52.52</v>
      </c>
      <c r="H47" s="100">
        <v>21</v>
      </c>
      <c r="I47" s="100">
        <v>8.91</v>
      </c>
      <c r="J47" s="100">
        <v>0.64</v>
      </c>
      <c r="K47" s="100">
        <v>273.61</v>
      </c>
      <c r="L47" s="100">
        <v>25.79</v>
      </c>
      <c r="M47" s="100">
        <v>69.7</v>
      </c>
      <c r="N47" s="100">
        <v>226.1</v>
      </c>
      <c r="O47" s="100">
        <v>0</v>
      </c>
      <c r="P47" s="100">
        <v>0.68</v>
      </c>
      <c r="Q47" s="100">
        <v>12.95</v>
      </c>
      <c r="R47" s="6"/>
      <c r="S47" s="6"/>
      <c r="T47" s="156"/>
      <c r="U47" s="6"/>
    </row>
    <row r="48" spans="1:21" customFormat="1">
      <c r="A48" s="163" t="s">
        <v>3158</v>
      </c>
      <c r="B48" s="100">
        <v>7.22</v>
      </c>
      <c r="C48" s="100">
        <v>23.27</v>
      </c>
      <c r="D48" s="100">
        <v>19.3</v>
      </c>
      <c r="E48" s="100">
        <v>10.029999999999999</v>
      </c>
      <c r="F48" s="152" t="s">
        <v>15</v>
      </c>
      <c r="G48" s="100">
        <v>55.83</v>
      </c>
      <c r="H48" s="100">
        <v>23.32</v>
      </c>
      <c r="I48" s="100">
        <v>9.06</v>
      </c>
      <c r="J48" s="100">
        <v>0.56999999999999995</v>
      </c>
      <c r="K48" s="100">
        <v>275.24</v>
      </c>
      <c r="L48" s="100">
        <v>26.19</v>
      </c>
      <c r="M48" s="100">
        <v>67.63</v>
      </c>
      <c r="N48" s="100">
        <v>237.7</v>
      </c>
      <c r="O48" s="100">
        <v>0</v>
      </c>
      <c r="P48" s="100">
        <v>0.66</v>
      </c>
      <c r="Q48" s="100">
        <v>12.95</v>
      </c>
      <c r="R48" s="6"/>
      <c r="S48" s="6"/>
      <c r="T48" s="156"/>
      <c r="U48" s="6"/>
    </row>
    <row r="49" spans="1:21" customFormat="1">
      <c r="A49" s="163" t="s">
        <v>3159</v>
      </c>
      <c r="B49" s="100">
        <v>6.58</v>
      </c>
      <c r="C49" s="100">
        <v>23.39</v>
      </c>
      <c r="D49" s="100">
        <v>18.850000000000001</v>
      </c>
      <c r="E49" s="100">
        <v>9.6</v>
      </c>
      <c r="F49" s="152" t="s">
        <v>15</v>
      </c>
      <c r="G49" s="100">
        <v>55.83</v>
      </c>
      <c r="H49" s="100">
        <v>23.32</v>
      </c>
      <c r="I49" s="100">
        <v>9.1</v>
      </c>
      <c r="J49" s="100">
        <v>0.52</v>
      </c>
      <c r="K49" s="100">
        <v>278.73</v>
      </c>
      <c r="L49" s="100">
        <v>26.46</v>
      </c>
      <c r="M49" s="100">
        <v>66.66</v>
      </c>
      <c r="N49" s="100">
        <v>218</v>
      </c>
      <c r="O49" s="100">
        <v>0</v>
      </c>
      <c r="P49" s="100">
        <v>0.65</v>
      </c>
      <c r="Q49" s="100">
        <v>12.94</v>
      </c>
      <c r="R49" s="6"/>
      <c r="S49" s="6"/>
      <c r="T49" s="156"/>
      <c r="U49" s="6"/>
    </row>
    <row r="50" spans="1:21" customFormat="1">
      <c r="A50" s="163" t="s">
        <v>3160</v>
      </c>
      <c r="B50" s="100">
        <v>5.98</v>
      </c>
      <c r="C50" s="100">
        <v>23.34</v>
      </c>
      <c r="D50" s="100">
        <v>18.34</v>
      </c>
      <c r="E50" s="100">
        <v>10.44</v>
      </c>
      <c r="F50" s="152" t="s">
        <v>15</v>
      </c>
      <c r="G50" s="100">
        <v>55.83</v>
      </c>
      <c r="H50" s="100">
        <v>23.32</v>
      </c>
      <c r="I50" s="100">
        <v>9.09</v>
      </c>
      <c r="J50" s="100">
        <v>0.72</v>
      </c>
      <c r="K50" s="100">
        <v>268.81</v>
      </c>
      <c r="L50" s="100">
        <v>26.92</v>
      </c>
      <c r="M50" s="100">
        <v>64.209999999999994</v>
      </c>
      <c r="N50" s="100">
        <v>282</v>
      </c>
      <c r="O50" s="100">
        <v>0</v>
      </c>
      <c r="P50" s="100">
        <v>0.64</v>
      </c>
      <c r="Q50" s="100">
        <v>12.94</v>
      </c>
      <c r="R50" s="6"/>
      <c r="S50" s="6"/>
      <c r="T50" s="156"/>
      <c r="U50" s="6"/>
    </row>
    <row r="51" spans="1:21" customFormat="1">
      <c r="A51" s="163" t="s">
        <v>3161</v>
      </c>
      <c r="B51" s="100">
        <v>5.39</v>
      </c>
      <c r="C51" s="100">
        <v>23.07</v>
      </c>
      <c r="D51" s="100">
        <v>17.73</v>
      </c>
      <c r="E51" s="100">
        <v>11.19</v>
      </c>
      <c r="F51" s="152" t="s">
        <v>15</v>
      </c>
      <c r="G51" s="100">
        <v>55.74</v>
      </c>
      <c r="H51" s="100">
        <v>23.39</v>
      </c>
      <c r="I51" s="100">
        <v>8.9</v>
      </c>
      <c r="J51" s="100">
        <v>0.7</v>
      </c>
      <c r="K51" s="100">
        <v>279.8</v>
      </c>
      <c r="L51" s="100">
        <v>27.43</v>
      </c>
      <c r="M51" s="100">
        <v>62.56</v>
      </c>
      <c r="N51" s="100">
        <v>294.10000000000002</v>
      </c>
      <c r="O51" s="100">
        <v>0</v>
      </c>
      <c r="P51" s="100">
        <v>0.64</v>
      </c>
      <c r="Q51" s="100">
        <v>12.93</v>
      </c>
      <c r="R51" s="6"/>
      <c r="S51" s="6"/>
      <c r="T51" s="156"/>
      <c r="U51" s="6"/>
    </row>
    <row r="52" spans="1:21" customFormat="1">
      <c r="A52" s="163" t="s">
        <v>3162</v>
      </c>
      <c r="B52" s="100">
        <v>4.9400000000000004</v>
      </c>
      <c r="C52" s="100">
        <v>23.14</v>
      </c>
      <c r="D52" s="100">
        <v>17.399999999999999</v>
      </c>
      <c r="E52" s="100">
        <v>11.37</v>
      </c>
      <c r="F52" s="152" t="s">
        <v>15</v>
      </c>
      <c r="G52" s="100">
        <v>53.78</v>
      </c>
      <c r="H52" s="100">
        <v>25.58</v>
      </c>
      <c r="I52" s="100">
        <v>8.65</v>
      </c>
      <c r="J52" s="100">
        <v>0.47</v>
      </c>
      <c r="K52" s="100">
        <v>261.70999999999998</v>
      </c>
      <c r="L52" s="100">
        <v>27.92</v>
      </c>
      <c r="M52" s="100">
        <v>61.11</v>
      </c>
      <c r="N52" s="100">
        <v>304.7</v>
      </c>
      <c r="O52" s="100">
        <v>0</v>
      </c>
      <c r="P52" s="100">
        <v>0.62</v>
      </c>
      <c r="Q52" s="100">
        <v>12.94</v>
      </c>
      <c r="R52" s="6"/>
      <c r="S52" s="6"/>
      <c r="T52" s="156"/>
      <c r="U52" s="6"/>
    </row>
    <row r="53" spans="1:21" customFormat="1">
      <c r="A53" s="163" t="s">
        <v>3163</v>
      </c>
      <c r="B53" s="100">
        <v>4.6500000000000004</v>
      </c>
      <c r="C53" s="100">
        <v>22.65</v>
      </c>
      <c r="D53" s="100">
        <v>16.920000000000002</v>
      </c>
      <c r="E53" s="100">
        <v>11.27</v>
      </c>
      <c r="F53" s="152" t="s">
        <v>15</v>
      </c>
      <c r="G53" s="100">
        <v>53.78</v>
      </c>
      <c r="H53" s="100">
        <v>25.58</v>
      </c>
      <c r="I53" s="100">
        <v>8.5</v>
      </c>
      <c r="J53" s="100">
        <v>0.55000000000000004</v>
      </c>
      <c r="K53" s="100">
        <v>273.33</v>
      </c>
      <c r="L53" s="100">
        <v>28.35</v>
      </c>
      <c r="M53" s="100">
        <v>59.44</v>
      </c>
      <c r="N53" s="100">
        <v>311.2</v>
      </c>
      <c r="O53" s="100">
        <v>0</v>
      </c>
      <c r="P53" s="100">
        <v>0.6</v>
      </c>
      <c r="Q53" s="100">
        <v>12.92</v>
      </c>
      <c r="R53" s="6"/>
      <c r="S53" s="6"/>
      <c r="T53" s="156"/>
      <c r="U53" s="6"/>
    </row>
    <row r="54" spans="1:21" customFormat="1">
      <c r="A54" s="163" t="s">
        <v>3164</v>
      </c>
      <c r="B54" s="100">
        <v>4.41</v>
      </c>
      <c r="C54" s="100">
        <v>22.51</v>
      </c>
      <c r="D54" s="100">
        <v>16.649999999999999</v>
      </c>
      <c r="E54" s="100">
        <v>11.07</v>
      </c>
      <c r="F54" s="152" t="s">
        <v>15</v>
      </c>
      <c r="G54" s="100">
        <v>53.78</v>
      </c>
      <c r="H54" s="100">
        <v>25.58</v>
      </c>
      <c r="I54" s="100">
        <v>8.33</v>
      </c>
      <c r="J54" s="100">
        <v>0.69</v>
      </c>
      <c r="K54" s="100">
        <v>262.17</v>
      </c>
      <c r="L54" s="100">
        <v>28.76</v>
      </c>
      <c r="M54" s="100">
        <v>57.49</v>
      </c>
      <c r="N54" s="100">
        <v>291.3</v>
      </c>
      <c r="O54" s="100">
        <v>0</v>
      </c>
      <c r="P54" s="100">
        <v>0.59</v>
      </c>
      <c r="Q54" s="100">
        <v>12.92</v>
      </c>
      <c r="R54" s="6"/>
      <c r="S54" s="6"/>
      <c r="T54" s="156"/>
      <c r="U54" s="6"/>
    </row>
    <row r="55" spans="1:21" customFormat="1">
      <c r="A55" s="163" t="s">
        <v>3165</v>
      </c>
      <c r="B55" s="100">
        <v>4.2300000000000004</v>
      </c>
      <c r="C55" s="100">
        <v>21.86</v>
      </c>
      <c r="D55" s="100">
        <v>16.16</v>
      </c>
      <c r="E55" s="100">
        <v>11.36</v>
      </c>
      <c r="F55" s="152" t="s">
        <v>15</v>
      </c>
      <c r="G55" s="100">
        <v>53.85</v>
      </c>
      <c r="H55" s="100">
        <v>25.58</v>
      </c>
      <c r="I55" s="100">
        <v>8.19</v>
      </c>
      <c r="J55" s="100">
        <v>0.59</v>
      </c>
      <c r="K55" s="100">
        <v>267.88</v>
      </c>
      <c r="L55" s="100">
        <v>28.99</v>
      </c>
      <c r="M55" s="100">
        <v>56.4</v>
      </c>
      <c r="N55" s="100">
        <v>302.60000000000002</v>
      </c>
      <c r="O55" s="100">
        <v>0</v>
      </c>
      <c r="P55" s="100">
        <v>0.59</v>
      </c>
      <c r="Q55" s="100">
        <v>12.92</v>
      </c>
      <c r="R55" s="6"/>
      <c r="S55" s="6"/>
      <c r="T55" s="156"/>
      <c r="U55" s="6"/>
    </row>
    <row r="56" spans="1:21" customFormat="1">
      <c r="A56" s="163" t="s">
        <v>3166</v>
      </c>
      <c r="B56" s="100">
        <v>4.0999999999999996</v>
      </c>
      <c r="C56" s="100">
        <v>21.84</v>
      </c>
      <c r="D56" s="100">
        <v>16.05</v>
      </c>
      <c r="E56" s="100">
        <v>11.1</v>
      </c>
      <c r="F56" s="152" t="s">
        <v>15</v>
      </c>
      <c r="G56" s="100">
        <v>55.39</v>
      </c>
      <c r="H56" s="100">
        <v>25.64</v>
      </c>
      <c r="I56" s="100">
        <v>8.02</v>
      </c>
      <c r="J56" s="100">
        <v>0.54</v>
      </c>
      <c r="K56" s="100">
        <v>253.84</v>
      </c>
      <c r="L56" s="100">
        <v>29.57</v>
      </c>
      <c r="M56" s="100">
        <v>54.98</v>
      </c>
      <c r="N56" s="100">
        <v>333.8</v>
      </c>
      <c r="O56" s="100">
        <v>0</v>
      </c>
      <c r="P56" s="100">
        <v>0.57999999999999996</v>
      </c>
      <c r="Q56" s="100">
        <v>12.93</v>
      </c>
      <c r="R56" s="6"/>
      <c r="S56" s="6"/>
      <c r="T56" s="156"/>
      <c r="U56" s="6"/>
    </row>
    <row r="57" spans="1:21" customFormat="1">
      <c r="A57" s="163" t="s">
        <v>3167</v>
      </c>
      <c r="B57" s="100">
        <v>3.9</v>
      </c>
      <c r="C57" s="100">
        <v>18.52</v>
      </c>
      <c r="D57" s="100">
        <v>14.15</v>
      </c>
      <c r="E57" s="100">
        <v>11.15</v>
      </c>
      <c r="F57" s="152" t="s">
        <v>15</v>
      </c>
      <c r="G57" s="100">
        <v>55.39</v>
      </c>
      <c r="H57" s="100">
        <v>25.64</v>
      </c>
      <c r="I57" s="100">
        <v>7.84</v>
      </c>
      <c r="J57" s="100">
        <v>0.62</v>
      </c>
      <c r="K57" s="100">
        <v>276.83999999999997</v>
      </c>
      <c r="L57" s="100">
        <v>30.06</v>
      </c>
      <c r="M57" s="100">
        <v>52.32</v>
      </c>
      <c r="N57" s="100">
        <v>339</v>
      </c>
      <c r="O57" s="100">
        <v>0</v>
      </c>
      <c r="P57" s="100">
        <v>0.55000000000000004</v>
      </c>
      <c r="Q57" s="100">
        <v>12.94</v>
      </c>
      <c r="R57" s="6"/>
      <c r="S57" s="6"/>
      <c r="T57" s="156"/>
      <c r="U57" s="6"/>
    </row>
    <row r="58" spans="1:21" customFormat="1">
      <c r="A58" s="163" t="s">
        <v>3168</v>
      </c>
      <c r="B58" s="100">
        <v>3.66</v>
      </c>
      <c r="C58" s="100">
        <v>18.440000000000001</v>
      </c>
      <c r="D58" s="100">
        <v>13.92</v>
      </c>
      <c r="E58" s="100">
        <v>10.66</v>
      </c>
      <c r="F58" s="152" t="s">
        <v>15</v>
      </c>
      <c r="G58" s="100">
        <v>55.39</v>
      </c>
      <c r="H58" s="100">
        <v>25.64</v>
      </c>
      <c r="I58" s="100">
        <v>7.67</v>
      </c>
      <c r="J58" s="100">
        <v>0.79</v>
      </c>
      <c r="K58" s="100">
        <v>285.8</v>
      </c>
      <c r="L58" s="100">
        <v>30.12</v>
      </c>
      <c r="M58" s="100">
        <v>51.01</v>
      </c>
      <c r="N58" s="100">
        <v>341.9</v>
      </c>
      <c r="O58" s="100">
        <v>0</v>
      </c>
      <c r="P58" s="100">
        <v>0.53</v>
      </c>
      <c r="Q58" s="100">
        <v>12.92</v>
      </c>
      <c r="R58" s="6"/>
      <c r="S58" s="6"/>
      <c r="T58" s="156"/>
      <c r="U58" s="6"/>
    </row>
    <row r="59" spans="1:21" customFormat="1">
      <c r="A59" s="163" t="s">
        <v>3169</v>
      </c>
      <c r="B59" s="100">
        <v>3.68</v>
      </c>
      <c r="C59" s="100">
        <v>18.88</v>
      </c>
      <c r="D59" s="100">
        <v>14.17</v>
      </c>
      <c r="E59" s="100">
        <v>11.62</v>
      </c>
      <c r="F59" s="152" t="s">
        <v>15</v>
      </c>
      <c r="G59" s="100">
        <v>55.56</v>
      </c>
      <c r="H59" s="100">
        <v>25.57</v>
      </c>
      <c r="I59" s="100">
        <v>7.03</v>
      </c>
      <c r="J59" s="100">
        <v>0.8</v>
      </c>
      <c r="K59" s="100">
        <v>286.14</v>
      </c>
      <c r="L59" s="100">
        <v>30.34</v>
      </c>
      <c r="M59" s="100">
        <v>49.59</v>
      </c>
      <c r="N59" s="100">
        <v>345</v>
      </c>
      <c r="O59" s="100">
        <v>0</v>
      </c>
      <c r="P59" s="100">
        <v>0.52</v>
      </c>
      <c r="Q59" s="100">
        <v>12.91</v>
      </c>
      <c r="R59" s="6"/>
      <c r="S59" s="6"/>
      <c r="T59" s="156"/>
      <c r="U59" s="6"/>
    </row>
    <row r="60" spans="1:21" customFormat="1">
      <c r="A60" s="163" t="s">
        <v>3170</v>
      </c>
      <c r="B60" s="100">
        <v>3.6</v>
      </c>
      <c r="C60" s="100">
        <v>17.25</v>
      </c>
      <c r="D60" s="100">
        <v>13.25</v>
      </c>
      <c r="E60" s="100">
        <v>11.68</v>
      </c>
      <c r="F60" s="152" t="s">
        <v>15</v>
      </c>
      <c r="G60" s="100">
        <v>59.21</v>
      </c>
      <c r="H60" s="100">
        <v>23.32</v>
      </c>
      <c r="I60" s="100">
        <v>6.63</v>
      </c>
      <c r="J60" s="100">
        <v>0.72</v>
      </c>
      <c r="K60" s="100">
        <v>289.76</v>
      </c>
      <c r="L60" s="100">
        <v>30.74</v>
      </c>
      <c r="M60" s="100">
        <v>48.09</v>
      </c>
      <c r="N60" s="100">
        <v>343.9</v>
      </c>
      <c r="O60" s="100">
        <v>0</v>
      </c>
      <c r="P60" s="100">
        <v>0.5</v>
      </c>
      <c r="Q60" s="100">
        <v>12.91</v>
      </c>
      <c r="R60" s="6"/>
      <c r="S60" s="6"/>
      <c r="T60" s="156"/>
      <c r="U60" s="6"/>
    </row>
    <row r="61" spans="1:21" customFormat="1">
      <c r="A61" s="163" t="s">
        <v>3171</v>
      </c>
      <c r="B61" s="100">
        <v>3.67</v>
      </c>
      <c r="C61" s="100">
        <v>16.03</v>
      </c>
      <c r="D61" s="100">
        <v>12.67</v>
      </c>
      <c r="E61" s="100">
        <v>12.84</v>
      </c>
      <c r="F61" s="152" t="s">
        <v>15</v>
      </c>
      <c r="G61" s="100">
        <v>59.21</v>
      </c>
      <c r="H61" s="100">
        <v>23.32</v>
      </c>
      <c r="I61" s="100">
        <v>6.3</v>
      </c>
      <c r="J61" s="100">
        <v>1</v>
      </c>
      <c r="K61" s="100">
        <v>296.27</v>
      </c>
      <c r="L61" s="100">
        <v>30.35</v>
      </c>
      <c r="M61" s="100">
        <v>48.64</v>
      </c>
      <c r="N61" s="100">
        <v>326.3</v>
      </c>
      <c r="O61" s="100">
        <v>0</v>
      </c>
      <c r="P61" s="100">
        <v>0.49</v>
      </c>
      <c r="Q61" s="100">
        <v>12.9</v>
      </c>
      <c r="R61" s="6"/>
      <c r="S61" s="6"/>
      <c r="T61" s="156"/>
      <c r="U61" s="6"/>
    </row>
    <row r="62" spans="1:21" customFormat="1">
      <c r="A62" s="163" t="s">
        <v>3172</v>
      </c>
      <c r="B62" s="100">
        <v>3.66</v>
      </c>
      <c r="C62" s="100">
        <v>15.82</v>
      </c>
      <c r="D62" s="100">
        <v>12.55</v>
      </c>
      <c r="E62" s="100">
        <v>12.91</v>
      </c>
      <c r="F62" s="152" t="s">
        <v>15</v>
      </c>
      <c r="G62" s="100">
        <v>59.21</v>
      </c>
      <c r="H62" s="100">
        <v>23.32</v>
      </c>
      <c r="I62" s="100">
        <v>5.99</v>
      </c>
      <c r="J62" s="100">
        <v>0.76</v>
      </c>
      <c r="K62" s="100">
        <v>273.57</v>
      </c>
      <c r="L62" s="100">
        <v>30.76</v>
      </c>
      <c r="M62" s="100">
        <v>48.16</v>
      </c>
      <c r="N62" s="100">
        <v>307</v>
      </c>
      <c r="O62" s="100">
        <v>0</v>
      </c>
      <c r="P62" s="100">
        <v>0.48</v>
      </c>
      <c r="Q62" s="100">
        <v>12.91</v>
      </c>
      <c r="R62" s="6"/>
      <c r="S62" s="6"/>
      <c r="T62" s="156"/>
      <c r="U62" s="6"/>
    </row>
    <row r="63" spans="1:21" customFormat="1">
      <c r="A63" s="163" t="s">
        <v>3173</v>
      </c>
      <c r="B63" s="100">
        <v>3.6</v>
      </c>
      <c r="C63" s="100">
        <v>15.01</v>
      </c>
      <c r="D63" s="100">
        <v>12.08</v>
      </c>
      <c r="E63" s="100">
        <v>12.28</v>
      </c>
      <c r="F63" s="152" t="s">
        <v>15</v>
      </c>
      <c r="G63" s="100">
        <v>59.15</v>
      </c>
      <c r="H63" s="100">
        <v>23.33</v>
      </c>
      <c r="I63" s="100">
        <v>5.73</v>
      </c>
      <c r="J63" s="100">
        <v>0.82</v>
      </c>
      <c r="K63" s="100">
        <v>308.86</v>
      </c>
      <c r="L63" s="100">
        <v>30.82</v>
      </c>
      <c r="M63" s="100">
        <v>47.32</v>
      </c>
      <c r="N63" s="100">
        <v>306.39999999999998</v>
      </c>
      <c r="O63" s="100">
        <v>0</v>
      </c>
      <c r="P63" s="100">
        <v>0.47</v>
      </c>
      <c r="Q63" s="100">
        <v>12.91</v>
      </c>
      <c r="R63" s="6"/>
      <c r="S63" s="6"/>
      <c r="T63" s="156"/>
      <c r="U63" s="6"/>
    </row>
    <row r="64" spans="1:21" customFormat="1">
      <c r="A64" s="163" t="s">
        <v>3174</v>
      </c>
      <c r="B64" s="100">
        <v>3.59</v>
      </c>
      <c r="C64" s="100">
        <v>14.54</v>
      </c>
      <c r="D64" s="100">
        <v>11.82</v>
      </c>
      <c r="E64" s="100">
        <v>12.33</v>
      </c>
      <c r="F64" s="152" t="s">
        <v>15</v>
      </c>
      <c r="G64" s="100">
        <v>57.44</v>
      </c>
      <c r="H64" s="100">
        <v>23.41</v>
      </c>
      <c r="I64" s="100">
        <v>5.51</v>
      </c>
      <c r="J64" s="100">
        <v>0.54</v>
      </c>
      <c r="K64" s="100">
        <v>263.10000000000002</v>
      </c>
      <c r="L64" s="100">
        <v>31.14</v>
      </c>
      <c r="M64" s="100">
        <v>46.6</v>
      </c>
      <c r="N64" s="100">
        <v>302.3</v>
      </c>
      <c r="O64" s="100">
        <v>0</v>
      </c>
      <c r="P64" s="100">
        <v>0.46</v>
      </c>
      <c r="Q64" s="100">
        <v>12.91</v>
      </c>
      <c r="R64" s="6"/>
      <c r="S64" s="6"/>
      <c r="T64" s="156"/>
      <c r="U64" s="6"/>
    </row>
    <row r="65" spans="1:21" customFormat="1">
      <c r="A65" s="163" t="s">
        <v>3175</v>
      </c>
      <c r="B65" s="100">
        <v>3.5</v>
      </c>
      <c r="C65" s="100">
        <v>13.61</v>
      </c>
      <c r="D65" s="100">
        <v>11.27</v>
      </c>
      <c r="E65" s="100">
        <v>11.19</v>
      </c>
      <c r="F65" s="152" t="s">
        <v>15</v>
      </c>
      <c r="G65" s="100">
        <v>57.44</v>
      </c>
      <c r="H65" s="100">
        <v>23.41</v>
      </c>
      <c r="I65" s="100">
        <v>5.24</v>
      </c>
      <c r="J65" s="100">
        <v>0.48</v>
      </c>
      <c r="K65" s="100">
        <v>268.81</v>
      </c>
      <c r="L65" s="100">
        <v>31.42</v>
      </c>
      <c r="M65" s="100">
        <v>46.32</v>
      </c>
      <c r="N65" s="100">
        <v>290.3</v>
      </c>
      <c r="O65" s="100">
        <v>0</v>
      </c>
      <c r="P65" s="100">
        <v>0.45</v>
      </c>
      <c r="Q65" s="100">
        <v>12.91</v>
      </c>
      <c r="R65" s="6"/>
      <c r="S65" s="6"/>
      <c r="T65" s="156"/>
      <c r="U65" s="6"/>
    </row>
    <row r="66" spans="1:21" customFormat="1">
      <c r="A66" s="163" t="s">
        <v>3176</v>
      </c>
      <c r="B66" s="100">
        <v>3.48</v>
      </c>
      <c r="C66" s="100">
        <v>12.86</v>
      </c>
      <c r="D66" s="100">
        <v>10.86</v>
      </c>
      <c r="E66" s="100">
        <v>10.15</v>
      </c>
      <c r="F66" s="152" t="s">
        <v>15</v>
      </c>
      <c r="G66" s="100">
        <v>57.44</v>
      </c>
      <c r="H66" s="100">
        <v>23.41</v>
      </c>
      <c r="I66" s="100">
        <v>5.05</v>
      </c>
      <c r="J66" s="100">
        <v>0.76</v>
      </c>
      <c r="K66" s="100">
        <v>290.61</v>
      </c>
      <c r="L66" s="100">
        <v>31.09</v>
      </c>
      <c r="M66" s="100">
        <v>46.62</v>
      </c>
      <c r="N66" s="100">
        <v>193.4</v>
      </c>
      <c r="O66" s="100">
        <v>0</v>
      </c>
      <c r="P66" s="100">
        <v>0.47</v>
      </c>
      <c r="Q66" s="100">
        <v>12.92</v>
      </c>
      <c r="R66" s="6"/>
      <c r="S66" s="6"/>
      <c r="T66" s="156"/>
      <c r="U66" s="6"/>
    </row>
    <row r="67" spans="1:21" customFormat="1">
      <c r="A67" s="163" t="s">
        <v>3177</v>
      </c>
      <c r="B67" s="100">
        <v>3.59</v>
      </c>
      <c r="C67" s="100">
        <v>12.73</v>
      </c>
      <c r="D67" s="100">
        <v>10.88</v>
      </c>
      <c r="E67" s="100">
        <v>9.7100000000000009</v>
      </c>
      <c r="F67" s="152" t="s">
        <v>15</v>
      </c>
      <c r="G67" s="100">
        <v>57.32</v>
      </c>
      <c r="H67" s="100">
        <v>23.38</v>
      </c>
      <c r="I67" s="100">
        <v>4.92</v>
      </c>
      <c r="J67" s="100">
        <v>0.38</v>
      </c>
      <c r="K67" s="100">
        <v>237.83</v>
      </c>
      <c r="L67" s="100">
        <v>31.28</v>
      </c>
      <c r="M67" s="100">
        <v>46.45</v>
      </c>
      <c r="N67" s="100">
        <v>119.9</v>
      </c>
      <c r="O67" s="100">
        <v>0</v>
      </c>
      <c r="P67" s="100">
        <v>0.46</v>
      </c>
      <c r="Q67" s="100">
        <v>12.92</v>
      </c>
      <c r="R67" s="6"/>
      <c r="S67" s="6"/>
      <c r="T67" s="156"/>
      <c r="U67" s="6"/>
    </row>
    <row r="68" spans="1:21" customFormat="1">
      <c r="A68" s="163" t="s">
        <v>3178</v>
      </c>
      <c r="B68" s="100">
        <v>3.7</v>
      </c>
      <c r="C68" s="100">
        <v>12.59</v>
      </c>
      <c r="D68" s="100">
        <v>10.9</v>
      </c>
      <c r="E68" s="100">
        <v>10.210000000000001</v>
      </c>
      <c r="F68" s="152" t="s">
        <v>15</v>
      </c>
      <c r="G68" s="100">
        <v>54.8</v>
      </c>
      <c r="H68" s="100">
        <v>22.42</v>
      </c>
      <c r="I68" s="100">
        <v>4.99</v>
      </c>
      <c r="J68" s="100">
        <v>0.43</v>
      </c>
      <c r="K68" s="100">
        <v>260</v>
      </c>
      <c r="L68" s="100">
        <v>31.18</v>
      </c>
      <c r="M68" s="100">
        <v>47.1</v>
      </c>
      <c r="N68" s="100">
        <v>90.8</v>
      </c>
      <c r="O68" s="100">
        <v>0</v>
      </c>
      <c r="P68" s="100">
        <v>0.45</v>
      </c>
      <c r="Q68" s="100">
        <v>12.9</v>
      </c>
      <c r="R68" s="6"/>
      <c r="S68" s="6"/>
      <c r="T68" s="156"/>
      <c r="U68" s="6"/>
    </row>
    <row r="69" spans="1:21" customFormat="1">
      <c r="A69" s="163" t="s">
        <v>3179</v>
      </c>
      <c r="B69" s="100">
        <v>3.72</v>
      </c>
      <c r="C69" s="100">
        <v>14.28</v>
      </c>
      <c r="D69" s="100">
        <v>11.8</v>
      </c>
      <c r="E69" s="100">
        <v>10.61</v>
      </c>
      <c r="F69" s="152" t="s">
        <v>15</v>
      </c>
      <c r="G69" s="100">
        <v>54.8</v>
      </c>
      <c r="H69" s="100">
        <v>22.42</v>
      </c>
      <c r="I69" s="100">
        <v>5.01</v>
      </c>
      <c r="J69" s="100">
        <v>0.5</v>
      </c>
      <c r="K69" s="100">
        <v>275.77999999999997</v>
      </c>
      <c r="L69" s="100">
        <v>30.95</v>
      </c>
      <c r="M69" s="100">
        <v>47.45</v>
      </c>
      <c r="N69" s="100">
        <v>82</v>
      </c>
      <c r="O69" s="100">
        <v>0</v>
      </c>
      <c r="P69" s="100">
        <v>0.46</v>
      </c>
      <c r="Q69" s="100">
        <v>12.9</v>
      </c>
      <c r="R69" s="6"/>
      <c r="S69" s="6"/>
      <c r="T69" s="156"/>
      <c r="U69" s="6"/>
    </row>
    <row r="70" spans="1:21" customFormat="1">
      <c r="A70" s="163" t="s">
        <v>3180</v>
      </c>
      <c r="B70" s="100">
        <v>3.86</v>
      </c>
      <c r="C70" s="100">
        <v>14.58</v>
      </c>
      <c r="D70" s="100">
        <v>12.06</v>
      </c>
      <c r="E70" s="100">
        <v>10.36</v>
      </c>
      <c r="F70" s="152" t="s">
        <v>15</v>
      </c>
      <c r="G70" s="100">
        <v>54.8</v>
      </c>
      <c r="H70" s="100">
        <v>22.42</v>
      </c>
      <c r="I70" s="100">
        <v>4.99</v>
      </c>
      <c r="J70" s="100">
        <v>0.46</v>
      </c>
      <c r="K70" s="100">
        <v>294.27999999999997</v>
      </c>
      <c r="L70" s="100">
        <v>30.89</v>
      </c>
      <c r="M70" s="100">
        <v>47.26</v>
      </c>
      <c r="N70" s="100">
        <v>80.5</v>
      </c>
      <c r="O70" s="100">
        <v>0</v>
      </c>
      <c r="P70" s="100">
        <v>0.47</v>
      </c>
      <c r="Q70" s="100">
        <v>12.93</v>
      </c>
      <c r="R70" s="6"/>
      <c r="S70" s="6"/>
      <c r="T70" s="156"/>
      <c r="U70" s="6"/>
    </row>
    <row r="71" spans="1:21" customFormat="1">
      <c r="A71" s="163" t="s">
        <v>3181</v>
      </c>
      <c r="B71" s="100">
        <v>4</v>
      </c>
      <c r="C71" s="100">
        <v>13.56</v>
      </c>
      <c r="D71" s="100">
        <v>11.64</v>
      </c>
      <c r="E71" s="100">
        <v>10.8</v>
      </c>
      <c r="F71" s="152" t="s">
        <v>15</v>
      </c>
      <c r="G71" s="100">
        <v>54.91</v>
      </c>
      <c r="H71" s="100">
        <v>22.33</v>
      </c>
      <c r="I71" s="100">
        <v>5.0999999999999996</v>
      </c>
      <c r="J71" s="100">
        <v>0.34</v>
      </c>
      <c r="K71" s="100">
        <v>254.36</v>
      </c>
      <c r="L71" s="100">
        <v>31.04</v>
      </c>
      <c r="M71" s="100">
        <v>46.49</v>
      </c>
      <c r="N71" s="100">
        <v>77.099999999999994</v>
      </c>
      <c r="O71" s="100">
        <v>0</v>
      </c>
      <c r="P71" s="100">
        <v>0.46</v>
      </c>
      <c r="Q71" s="100">
        <v>12.94</v>
      </c>
      <c r="R71" s="6"/>
      <c r="S71" s="6"/>
      <c r="T71" s="156"/>
      <c r="U71" s="6"/>
    </row>
    <row r="72" spans="1:21" customFormat="1">
      <c r="A72" s="163" t="s">
        <v>3182</v>
      </c>
      <c r="B72" s="100">
        <v>4.08</v>
      </c>
      <c r="C72" s="100">
        <v>16.04</v>
      </c>
      <c r="D72" s="100">
        <v>13</v>
      </c>
      <c r="E72" s="100">
        <v>11.03</v>
      </c>
      <c r="F72" s="152" t="s">
        <v>15</v>
      </c>
      <c r="G72" s="100">
        <v>57.28</v>
      </c>
      <c r="H72" s="100">
        <v>19.55</v>
      </c>
      <c r="I72" s="100">
        <v>5.08</v>
      </c>
      <c r="J72" s="100">
        <v>0.24</v>
      </c>
      <c r="K72" s="100">
        <v>255.26</v>
      </c>
      <c r="L72" s="100">
        <v>30.88</v>
      </c>
      <c r="M72" s="100">
        <v>47.14</v>
      </c>
      <c r="N72" s="100">
        <v>55.9</v>
      </c>
      <c r="O72" s="100">
        <v>0</v>
      </c>
      <c r="P72" s="100">
        <v>0.46</v>
      </c>
      <c r="Q72" s="100">
        <v>12.93</v>
      </c>
      <c r="R72" s="6"/>
      <c r="S72" s="6"/>
      <c r="T72" s="156"/>
      <c r="U72" s="6"/>
    </row>
    <row r="73" spans="1:21" customFormat="1">
      <c r="A73" s="163" t="s">
        <v>3183</v>
      </c>
      <c r="B73" s="100">
        <v>4.16</v>
      </c>
      <c r="C73" s="100">
        <v>16.7</v>
      </c>
      <c r="D73" s="100">
        <v>13.41</v>
      </c>
      <c r="E73" s="100">
        <v>11.33</v>
      </c>
      <c r="F73" s="152" t="s">
        <v>15</v>
      </c>
      <c r="G73" s="100">
        <v>57.28</v>
      </c>
      <c r="H73" s="100">
        <v>19.55</v>
      </c>
      <c r="I73" s="100">
        <v>5.05</v>
      </c>
      <c r="J73" s="100">
        <v>0.47</v>
      </c>
      <c r="K73" s="100">
        <v>263.32</v>
      </c>
      <c r="L73" s="100">
        <v>30.63</v>
      </c>
      <c r="M73" s="100">
        <v>48.1</v>
      </c>
      <c r="N73" s="100">
        <v>49.5</v>
      </c>
      <c r="O73" s="100">
        <v>0</v>
      </c>
      <c r="P73" s="100">
        <v>0.47</v>
      </c>
      <c r="Q73" s="100">
        <v>12.92</v>
      </c>
      <c r="R73" s="6"/>
      <c r="S73" s="6"/>
      <c r="T73" s="156"/>
      <c r="U73" s="6"/>
    </row>
    <row r="74" spans="1:21" customFormat="1">
      <c r="A74" s="163" t="s">
        <v>3184</v>
      </c>
      <c r="B74" s="100">
        <v>4.2699999999999996</v>
      </c>
      <c r="C74" s="100">
        <v>15.89</v>
      </c>
      <c r="D74" s="100">
        <v>13.08</v>
      </c>
      <c r="E74" s="100">
        <v>12.3</v>
      </c>
      <c r="F74" s="152" t="s">
        <v>15</v>
      </c>
      <c r="G74" s="100">
        <v>57.28</v>
      </c>
      <c r="H74" s="100">
        <v>19.55</v>
      </c>
      <c r="I74" s="100">
        <v>4.99</v>
      </c>
      <c r="J74" s="100">
        <v>0.61</v>
      </c>
      <c r="K74" s="100">
        <v>315.49</v>
      </c>
      <c r="L74" s="100">
        <v>30.57</v>
      </c>
      <c r="M74" s="100">
        <v>46.89</v>
      </c>
      <c r="N74" s="100">
        <v>42.4</v>
      </c>
      <c r="O74" s="100">
        <v>0</v>
      </c>
      <c r="P74" s="100">
        <v>0.49</v>
      </c>
      <c r="Q74" s="100">
        <v>12.93</v>
      </c>
      <c r="R74" s="6"/>
      <c r="S74" s="6"/>
      <c r="T74" s="156"/>
      <c r="U74" s="6"/>
    </row>
    <row r="75" spans="1:21" customFormat="1">
      <c r="A75" s="163" t="s">
        <v>3185</v>
      </c>
      <c r="B75" s="100">
        <v>4.45</v>
      </c>
      <c r="C75" s="100">
        <v>15.25</v>
      </c>
      <c r="D75" s="100">
        <v>12.89</v>
      </c>
      <c r="E75" s="100">
        <v>13.48</v>
      </c>
      <c r="F75" s="152" t="s">
        <v>15</v>
      </c>
      <c r="G75" s="100">
        <v>57.04</v>
      </c>
      <c r="H75" s="100">
        <v>19.5</v>
      </c>
      <c r="I75" s="100">
        <v>5.13</v>
      </c>
      <c r="J75" s="100">
        <v>0.56000000000000005</v>
      </c>
      <c r="K75" s="100">
        <v>303.38</v>
      </c>
      <c r="L75" s="100">
        <v>30.48</v>
      </c>
      <c r="M75" s="100">
        <v>47.03</v>
      </c>
      <c r="N75" s="100">
        <v>37.1</v>
      </c>
      <c r="O75" s="100">
        <v>0</v>
      </c>
      <c r="P75" s="100">
        <v>0.5</v>
      </c>
      <c r="Q75" s="100">
        <v>12.92</v>
      </c>
      <c r="R75" s="6"/>
      <c r="S75" s="6"/>
      <c r="T75" s="156"/>
      <c r="U75" s="6"/>
    </row>
    <row r="76" spans="1:21" customFormat="1">
      <c r="A76" s="163" t="s">
        <v>3186</v>
      </c>
      <c r="B76" s="100">
        <v>4.59</v>
      </c>
      <c r="C76" s="100">
        <v>18.010000000000002</v>
      </c>
      <c r="D76" s="100">
        <v>14.44</v>
      </c>
      <c r="E76" s="100">
        <v>12.85</v>
      </c>
      <c r="F76" s="152" t="s">
        <v>15</v>
      </c>
      <c r="G76" s="100">
        <v>51.9</v>
      </c>
      <c r="H76" s="100">
        <v>17.98</v>
      </c>
      <c r="I76" s="100">
        <v>5.25</v>
      </c>
      <c r="J76" s="100">
        <v>0.41</v>
      </c>
      <c r="K76" s="100">
        <v>259.08</v>
      </c>
      <c r="L76" s="100">
        <v>30.06</v>
      </c>
      <c r="M76" s="100">
        <v>48.79</v>
      </c>
      <c r="N76" s="100">
        <v>25.9</v>
      </c>
      <c r="O76" s="100">
        <v>0</v>
      </c>
      <c r="P76" s="100">
        <v>0.49</v>
      </c>
      <c r="Q76" s="100">
        <v>12.92</v>
      </c>
      <c r="R76" s="6"/>
      <c r="S76" s="6"/>
      <c r="T76" s="156"/>
      <c r="U76" s="6"/>
    </row>
    <row r="77" spans="1:21" customFormat="1">
      <c r="A77" s="163" t="s">
        <v>3187</v>
      </c>
      <c r="B77" s="100">
        <v>4.66</v>
      </c>
      <c r="C77" s="100">
        <v>16.71</v>
      </c>
      <c r="D77" s="100">
        <v>13.82</v>
      </c>
      <c r="E77" s="100">
        <v>12.95</v>
      </c>
      <c r="F77" s="152" t="s">
        <v>15</v>
      </c>
      <c r="G77" s="100">
        <v>51.9</v>
      </c>
      <c r="H77" s="100">
        <v>17.98</v>
      </c>
      <c r="I77" s="100">
        <v>5.38</v>
      </c>
      <c r="J77" s="100">
        <v>0.21</v>
      </c>
      <c r="K77" s="100">
        <v>227.97</v>
      </c>
      <c r="L77" s="100">
        <v>29.48</v>
      </c>
      <c r="M77" s="100">
        <v>50.81</v>
      </c>
      <c r="N77" s="100">
        <v>18.5</v>
      </c>
      <c r="O77" s="100">
        <v>0</v>
      </c>
      <c r="P77" s="100">
        <v>0.48</v>
      </c>
      <c r="Q77" s="100">
        <v>12.92</v>
      </c>
      <c r="R77" s="6"/>
      <c r="S77" s="6"/>
      <c r="T77" s="156"/>
      <c r="U77" s="6"/>
    </row>
    <row r="78" spans="1:21" customFormat="1">
      <c r="A78" s="163" t="s">
        <v>3188</v>
      </c>
      <c r="B78" s="100">
        <v>4.5</v>
      </c>
      <c r="C78" s="100">
        <v>15.79</v>
      </c>
      <c r="D78" s="100">
        <v>13.21</v>
      </c>
      <c r="E78" s="100">
        <v>12.18</v>
      </c>
      <c r="F78" s="152" t="s">
        <v>15</v>
      </c>
      <c r="G78" s="100">
        <v>51.9</v>
      </c>
      <c r="H78" s="100">
        <v>17.98</v>
      </c>
      <c r="I78" s="100">
        <v>5.29</v>
      </c>
      <c r="J78" s="100">
        <v>0.2</v>
      </c>
      <c r="K78" s="100">
        <v>178.1</v>
      </c>
      <c r="L78" s="100">
        <v>28.88</v>
      </c>
      <c r="M78" s="100">
        <v>53.4</v>
      </c>
      <c r="N78" s="100">
        <v>11.6</v>
      </c>
      <c r="O78" s="100">
        <v>0</v>
      </c>
      <c r="P78" s="100">
        <v>0.5</v>
      </c>
      <c r="Q78" s="100">
        <v>12.91</v>
      </c>
      <c r="R78" s="6"/>
      <c r="S78" s="6"/>
      <c r="T78" s="156"/>
      <c r="U78" s="6"/>
    </row>
    <row r="79" spans="1:21" customFormat="1">
      <c r="A79" s="163" t="s">
        <v>3189</v>
      </c>
      <c r="B79" s="100">
        <v>4.3099999999999996</v>
      </c>
      <c r="C79" s="100">
        <v>16.399999999999999</v>
      </c>
      <c r="D79" s="100">
        <v>13.37</v>
      </c>
      <c r="E79" s="100">
        <v>11.99</v>
      </c>
      <c r="F79" s="152" t="s">
        <v>15</v>
      </c>
      <c r="G79" s="100">
        <v>52.09</v>
      </c>
      <c r="H79" s="100">
        <v>18.02</v>
      </c>
      <c r="I79" s="100">
        <v>5.32</v>
      </c>
      <c r="J79" s="100">
        <v>0.27</v>
      </c>
      <c r="K79" s="100">
        <v>166.71</v>
      </c>
      <c r="L79" s="100">
        <v>28.3</v>
      </c>
      <c r="M79" s="100">
        <v>55.54</v>
      </c>
      <c r="N79" s="100">
        <v>5.9</v>
      </c>
      <c r="O79" s="100">
        <v>0</v>
      </c>
      <c r="P79" s="100">
        <v>0.5</v>
      </c>
      <c r="Q79" s="100">
        <v>12.9</v>
      </c>
      <c r="R79" s="6"/>
      <c r="S79" s="6"/>
      <c r="T79" s="156"/>
      <c r="U79" s="6"/>
    </row>
    <row r="80" spans="1:21" customFormat="1">
      <c r="A80" s="163" t="s">
        <v>3190</v>
      </c>
      <c r="B80" s="100">
        <v>4.22</v>
      </c>
      <c r="C80" s="100">
        <v>17.11</v>
      </c>
      <c r="D80" s="100">
        <v>13.67</v>
      </c>
      <c r="E80" s="100">
        <v>11.78</v>
      </c>
      <c r="F80" s="152" t="s">
        <v>15</v>
      </c>
      <c r="G80" s="100">
        <v>56.24</v>
      </c>
      <c r="H80" s="100">
        <v>19.13</v>
      </c>
      <c r="I80" s="100">
        <v>5.42</v>
      </c>
      <c r="J80" s="100">
        <v>0.33</v>
      </c>
      <c r="K80" s="100">
        <v>163.93</v>
      </c>
      <c r="L80" s="100">
        <v>27.73</v>
      </c>
      <c r="M80" s="100">
        <v>59.03</v>
      </c>
      <c r="N80" s="100">
        <v>2.9</v>
      </c>
      <c r="O80" s="100">
        <v>0</v>
      </c>
      <c r="P80" s="100">
        <v>0.51</v>
      </c>
      <c r="Q80" s="100">
        <v>12.91</v>
      </c>
      <c r="R80" s="6"/>
      <c r="S80" s="6"/>
      <c r="T80" s="156"/>
      <c r="U80" s="6"/>
    </row>
    <row r="81" spans="1:21" customFormat="1">
      <c r="A81" s="163" t="s">
        <v>3191</v>
      </c>
      <c r="B81" s="100">
        <v>4.2</v>
      </c>
      <c r="C81" s="100">
        <v>17.559999999999999</v>
      </c>
      <c r="D81" s="100">
        <v>13.89</v>
      </c>
      <c r="E81" s="100">
        <v>6.95</v>
      </c>
      <c r="F81" s="152" t="s">
        <v>15</v>
      </c>
      <c r="G81" s="100">
        <v>56.24</v>
      </c>
      <c r="H81" s="100">
        <v>19.13</v>
      </c>
      <c r="I81" s="100">
        <v>5.48</v>
      </c>
      <c r="J81" s="100">
        <v>0.25</v>
      </c>
      <c r="K81" s="100">
        <v>169.97</v>
      </c>
      <c r="L81" s="100">
        <v>26.92</v>
      </c>
      <c r="M81" s="100">
        <v>64.27</v>
      </c>
      <c r="N81" s="100">
        <v>2.1</v>
      </c>
      <c r="O81" s="100">
        <v>0</v>
      </c>
      <c r="P81" s="100">
        <v>0.52</v>
      </c>
      <c r="Q81" s="100">
        <v>12.93</v>
      </c>
      <c r="R81" s="6"/>
      <c r="S81" s="6"/>
      <c r="T81" s="156"/>
      <c r="U81" s="6"/>
    </row>
    <row r="82" spans="1:21" customFormat="1">
      <c r="A82" s="163" t="s">
        <v>3192</v>
      </c>
      <c r="B82" s="100">
        <v>4.2699999999999996</v>
      </c>
      <c r="C82" s="100">
        <v>17.93</v>
      </c>
      <c r="D82" s="100">
        <v>14.14</v>
      </c>
      <c r="E82" s="100">
        <v>7.8</v>
      </c>
      <c r="F82" s="152" t="s">
        <v>15</v>
      </c>
      <c r="G82" s="100">
        <v>56.24</v>
      </c>
      <c r="H82" s="100">
        <v>19.13</v>
      </c>
      <c r="I82" s="100">
        <v>5.56</v>
      </c>
      <c r="J82" s="100">
        <v>0.23</v>
      </c>
      <c r="K82" s="100">
        <v>160.68</v>
      </c>
      <c r="L82" s="100">
        <v>26.42</v>
      </c>
      <c r="M82" s="100">
        <v>66.61</v>
      </c>
      <c r="N82" s="100">
        <v>1.8</v>
      </c>
      <c r="O82" s="100">
        <v>0</v>
      </c>
      <c r="P82" s="100">
        <v>0.53</v>
      </c>
      <c r="Q82" s="100">
        <v>12.91</v>
      </c>
      <c r="R82" s="6"/>
      <c r="S82" s="6"/>
      <c r="T82" s="156"/>
      <c r="U82" s="6"/>
    </row>
    <row r="83" spans="1:21" customFormat="1">
      <c r="A83" s="163" t="s">
        <v>3193</v>
      </c>
      <c r="B83" s="100">
        <v>4.37</v>
      </c>
      <c r="C83" s="100">
        <v>18.329999999999998</v>
      </c>
      <c r="D83" s="100">
        <v>14.43</v>
      </c>
      <c r="E83" s="100">
        <v>8.08</v>
      </c>
      <c r="F83" s="152" t="s">
        <v>15</v>
      </c>
      <c r="G83" s="100">
        <v>56.62</v>
      </c>
      <c r="H83" s="100">
        <v>19.16</v>
      </c>
      <c r="I83" s="100">
        <v>5.75</v>
      </c>
      <c r="J83" s="100">
        <v>0.25</v>
      </c>
      <c r="K83" s="100">
        <v>162.78</v>
      </c>
      <c r="L83" s="100">
        <v>25.96</v>
      </c>
      <c r="M83" s="100">
        <v>69.209999999999994</v>
      </c>
      <c r="N83" s="100">
        <v>1.7</v>
      </c>
      <c r="O83" s="100">
        <v>0</v>
      </c>
      <c r="P83" s="100">
        <v>0.55000000000000004</v>
      </c>
      <c r="Q83" s="100">
        <v>12.92</v>
      </c>
      <c r="R83" s="6"/>
      <c r="S83" s="6"/>
      <c r="T83" s="156"/>
      <c r="U83" s="6"/>
    </row>
    <row r="84" spans="1:21" customFormat="1">
      <c r="A84" s="163" t="s">
        <v>3194</v>
      </c>
      <c r="B84" s="100">
        <v>4.51</v>
      </c>
      <c r="C84" s="100">
        <v>18.54</v>
      </c>
      <c r="D84" s="100">
        <v>14.66</v>
      </c>
      <c r="E84" s="100">
        <v>8.0299999999999994</v>
      </c>
      <c r="F84" s="152" t="s">
        <v>15</v>
      </c>
      <c r="G84" s="100">
        <v>64.75</v>
      </c>
      <c r="H84" s="100">
        <v>19.88</v>
      </c>
      <c r="I84" s="100">
        <v>5.87</v>
      </c>
      <c r="J84" s="100">
        <v>0.23</v>
      </c>
      <c r="K84" s="100">
        <v>160.63999999999999</v>
      </c>
      <c r="L84" s="100">
        <v>25.52</v>
      </c>
      <c r="M84" s="100">
        <v>71.739999999999995</v>
      </c>
      <c r="N84" s="100">
        <v>1.7</v>
      </c>
      <c r="O84" s="100">
        <v>0</v>
      </c>
      <c r="P84" s="100">
        <v>0.55000000000000004</v>
      </c>
      <c r="Q84" s="100">
        <v>12.92</v>
      </c>
      <c r="R84" s="6"/>
      <c r="S84" s="6"/>
      <c r="T84" s="156"/>
      <c r="U84" s="6"/>
    </row>
    <row r="85" spans="1:21" customFormat="1">
      <c r="A85" s="163" t="s">
        <v>3195</v>
      </c>
      <c r="B85" s="100">
        <v>4.6399999999999997</v>
      </c>
      <c r="C85" s="100">
        <v>18.68</v>
      </c>
      <c r="D85" s="100">
        <v>14.83</v>
      </c>
      <c r="E85" s="100">
        <v>8.16</v>
      </c>
      <c r="F85" s="152" t="s">
        <v>15</v>
      </c>
      <c r="G85" s="100">
        <v>64.75</v>
      </c>
      <c r="H85" s="100">
        <v>19.88</v>
      </c>
      <c r="I85" s="100">
        <v>6.19</v>
      </c>
      <c r="J85" s="100">
        <v>0.23</v>
      </c>
      <c r="K85" s="100">
        <v>162.38999999999999</v>
      </c>
      <c r="L85" s="100">
        <v>25.19</v>
      </c>
      <c r="M85" s="100">
        <v>74.849999999999994</v>
      </c>
      <c r="N85" s="100">
        <v>1.6</v>
      </c>
      <c r="O85" s="100">
        <v>0</v>
      </c>
      <c r="P85" s="100">
        <v>0.57999999999999996</v>
      </c>
      <c r="Q85" s="100">
        <v>12.91</v>
      </c>
      <c r="R85" s="6"/>
      <c r="S85" s="6"/>
      <c r="T85" s="156"/>
      <c r="U85" s="6"/>
    </row>
    <row r="86" spans="1:21" customFormat="1">
      <c r="A86" s="163" t="s">
        <v>3196</v>
      </c>
      <c r="B86" s="100">
        <v>4.8099999999999996</v>
      </c>
      <c r="C86" s="100">
        <v>18.72</v>
      </c>
      <c r="D86" s="100">
        <v>14.98</v>
      </c>
      <c r="E86" s="100">
        <v>7.66</v>
      </c>
      <c r="F86" s="152" t="s">
        <v>15</v>
      </c>
      <c r="G86" s="100">
        <v>64.75</v>
      </c>
      <c r="H86" s="100">
        <v>19.88</v>
      </c>
      <c r="I86" s="100">
        <v>6.43</v>
      </c>
      <c r="J86" s="100">
        <v>0.28999999999999998</v>
      </c>
      <c r="K86" s="100">
        <v>161.59</v>
      </c>
      <c r="L86" s="100">
        <v>25.1</v>
      </c>
      <c r="M86" s="100">
        <v>73.53</v>
      </c>
      <c r="N86" s="100">
        <v>1.5</v>
      </c>
      <c r="O86" s="100">
        <v>0</v>
      </c>
      <c r="P86" s="100">
        <v>0.6</v>
      </c>
      <c r="Q86" s="100">
        <v>12.9</v>
      </c>
      <c r="R86" s="6"/>
      <c r="S86" s="6"/>
      <c r="T86" s="156"/>
      <c r="U86" s="6"/>
    </row>
    <row r="87" spans="1:21" customFormat="1">
      <c r="A87" s="163" t="s">
        <v>3197</v>
      </c>
      <c r="B87" s="100">
        <v>4.95</v>
      </c>
      <c r="C87" s="100">
        <v>19.03</v>
      </c>
      <c r="D87" s="100">
        <v>15.26</v>
      </c>
      <c r="E87" s="100">
        <v>7.99</v>
      </c>
      <c r="F87" s="152" t="s">
        <v>15</v>
      </c>
      <c r="G87" s="100">
        <v>65.19</v>
      </c>
      <c r="H87" s="100">
        <v>19.97</v>
      </c>
      <c r="I87" s="100">
        <v>6.74</v>
      </c>
      <c r="J87" s="100">
        <v>0.19</v>
      </c>
      <c r="K87" s="100">
        <v>188.5</v>
      </c>
      <c r="L87" s="100">
        <v>24.62</v>
      </c>
      <c r="M87" s="100">
        <v>75.53</v>
      </c>
      <c r="N87" s="100">
        <v>1.6</v>
      </c>
      <c r="O87" s="100">
        <v>0</v>
      </c>
      <c r="P87" s="100">
        <v>0.63</v>
      </c>
      <c r="Q87" s="100">
        <v>12.91</v>
      </c>
      <c r="R87" s="6"/>
      <c r="S87" s="6"/>
      <c r="T87" s="156"/>
      <c r="U87" s="6"/>
    </row>
    <row r="88" spans="1:21" customFormat="1">
      <c r="A88" s="163" t="s">
        <v>3198</v>
      </c>
      <c r="B88" s="100">
        <v>5.1100000000000003</v>
      </c>
      <c r="C88" s="100">
        <v>19.309999999999999</v>
      </c>
      <c r="D88" s="100">
        <v>15.54</v>
      </c>
      <c r="E88" s="100">
        <v>8.2799999999999994</v>
      </c>
      <c r="F88" s="152" t="s">
        <v>15</v>
      </c>
      <c r="G88" s="100">
        <v>74.790000000000006</v>
      </c>
      <c r="H88" s="100">
        <v>21.89</v>
      </c>
      <c r="I88" s="100">
        <v>7.09</v>
      </c>
      <c r="J88" s="100">
        <v>0.24</v>
      </c>
      <c r="K88" s="100">
        <v>158.36000000000001</v>
      </c>
      <c r="L88" s="100">
        <v>24.45</v>
      </c>
      <c r="M88" s="100">
        <v>75.92</v>
      </c>
      <c r="N88" s="100">
        <v>1.5</v>
      </c>
      <c r="O88" s="100">
        <v>0</v>
      </c>
      <c r="P88" s="100">
        <v>0.64</v>
      </c>
      <c r="Q88" s="100">
        <v>12.92</v>
      </c>
      <c r="R88" s="6"/>
      <c r="S88" s="6"/>
      <c r="T88" s="156"/>
      <c r="U88" s="6"/>
    </row>
    <row r="89" spans="1:21" customFormat="1">
      <c r="A89" s="163" t="s">
        <v>3199</v>
      </c>
      <c r="B89" s="100">
        <v>5.34</v>
      </c>
      <c r="C89" s="100">
        <v>19.57</v>
      </c>
      <c r="D89" s="100">
        <v>15.86</v>
      </c>
      <c r="E89" s="100">
        <v>8.4</v>
      </c>
      <c r="F89" s="152" t="s">
        <v>15</v>
      </c>
      <c r="G89" s="100">
        <v>74.790000000000006</v>
      </c>
      <c r="H89" s="100">
        <v>21.89</v>
      </c>
      <c r="I89" s="100">
        <v>7.45</v>
      </c>
      <c r="J89" s="100">
        <v>0.25</v>
      </c>
      <c r="K89" s="100">
        <v>159.05000000000001</v>
      </c>
      <c r="L89" s="100">
        <v>24.3</v>
      </c>
      <c r="M89" s="100">
        <v>77.75</v>
      </c>
      <c r="N89" s="100">
        <v>1.4</v>
      </c>
      <c r="O89" s="100">
        <v>0</v>
      </c>
      <c r="P89" s="100">
        <v>0.67</v>
      </c>
      <c r="Q89" s="100">
        <v>12.91</v>
      </c>
      <c r="R89" s="6"/>
      <c r="S89" s="6"/>
      <c r="T89" s="156"/>
      <c r="U89" s="6"/>
    </row>
    <row r="90" spans="1:21" customFormat="1">
      <c r="A90" s="163" t="s">
        <v>3200</v>
      </c>
      <c r="B90" s="100">
        <v>5.6</v>
      </c>
      <c r="C90" s="100">
        <v>20.079999999999998</v>
      </c>
      <c r="D90" s="100">
        <v>16.329999999999998</v>
      </c>
      <c r="E90" s="100">
        <v>8.25</v>
      </c>
      <c r="F90" s="152" t="s">
        <v>15</v>
      </c>
      <c r="G90" s="100">
        <v>74.790000000000006</v>
      </c>
      <c r="H90" s="100">
        <v>21.89</v>
      </c>
      <c r="I90" s="100">
        <v>7.82</v>
      </c>
      <c r="J90" s="100">
        <v>0.21</v>
      </c>
      <c r="K90" s="100">
        <v>161.22</v>
      </c>
      <c r="L90" s="100">
        <v>23.98</v>
      </c>
      <c r="M90" s="100">
        <v>78.45</v>
      </c>
      <c r="N90" s="100">
        <v>1.4</v>
      </c>
      <c r="O90" s="100">
        <v>0</v>
      </c>
      <c r="P90" s="100">
        <v>0.7</v>
      </c>
      <c r="Q90" s="100">
        <v>12.93</v>
      </c>
      <c r="R90" s="6"/>
      <c r="S90" s="6"/>
      <c r="T90" s="156"/>
      <c r="U90" s="6"/>
    </row>
    <row r="91" spans="1:21" customFormat="1">
      <c r="A91" s="163" t="s">
        <v>3201</v>
      </c>
      <c r="B91" s="100">
        <v>5.86</v>
      </c>
      <c r="C91" s="100">
        <v>20.41</v>
      </c>
      <c r="D91" s="100">
        <v>16.71</v>
      </c>
      <c r="E91" s="100">
        <v>8.7799999999999994</v>
      </c>
      <c r="F91" s="152" t="s">
        <v>15</v>
      </c>
      <c r="G91" s="100">
        <v>75.11</v>
      </c>
      <c r="H91" s="100">
        <v>21.98</v>
      </c>
      <c r="I91" s="100">
        <v>8.16</v>
      </c>
      <c r="J91" s="100">
        <v>0.18</v>
      </c>
      <c r="K91" s="100">
        <v>166.11</v>
      </c>
      <c r="L91" s="100">
        <v>23.77</v>
      </c>
      <c r="M91" s="100">
        <v>77.31</v>
      </c>
      <c r="N91" s="100">
        <v>1.4</v>
      </c>
      <c r="O91" s="100">
        <v>0</v>
      </c>
      <c r="P91" s="100">
        <v>0.72</v>
      </c>
      <c r="Q91" s="100">
        <v>12.92</v>
      </c>
      <c r="R91" s="6"/>
      <c r="S91" s="6"/>
      <c r="T91" s="156"/>
      <c r="U91" s="6"/>
    </row>
    <row r="92" spans="1:21" customFormat="1">
      <c r="A92" s="163" t="s">
        <v>3202</v>
      </c>
      <c r="B92" s="100">
        <v>6.14</v>
      </c>
      <c r="C92" s="100">
        <v>20.57</v>
      </c>
      <c r="D92" s="100">
        <v>17.02</v>
      </c>
      <c r="E92" s="100">
        <v>8.61</v>
      </c>
      <c r="F92" s="152" t="s">
        <v>15</v>
      </c>
      <c r="G92" s="100">
        <v>82.01</v>
      </c>
      <c r="H92" s="100">
        <v>23.8</v>
      </c>
      <c r="I92" s="100">
        <v>8.52</v>
      </c>
      <c r="J92" s="100">
        <v>0.17</v>
      </c>
      <c r="K92" s="100">
        <v>169.69</v>
      </c>
      <c r="L92" s="100">
        <v>23.58</v>
      </c>
      <c r="M92" s="100">
        <v>79.56</v>
      </c>
      <c r="N92" s="100">
        <v>1.4</v>
      </c>
      <c r="O92" s="100">
        <v>0</v>
      </c>
      <c r="P92" s="100">
        <v>0.74</v>
      </c>
      <c r="Q92" s="100">
        <v>12.93</v>
      </c>
      <c r="R92" s="6"/>
      <c r="S92" s="6"/>
      <c r="T92" s="156"/>
      <c r="U92" s="6"/>
    </row>
    <row r="93" spans="1:21" customFormat="1">
      <c r="A93" s="163" t="s">
        <v>3203</v>
      </c>
      <c r="B93" s="100">
        <v>6.37</v>
      </c>
      <c r="C93" s="100">
        <v>20.85</v>
      </c>
      <c r="D93" s="100">
        <v>17.36</v>
      </c>
      <c r="E93" s="100">
        <v>8.09</v>
      </c>
      <c r="F93" s="152" t="s">
        <v>15</v>
      </c>
      <c r="G93" s="100">
        <v>82.01</v>
      </c>
      <c r="H93" s="100">
        <v>23.8</v>
      </c>
      <c r="I93" s="100">
        <v>8.9</v>
      </c>
      <c r="J93" s="100">
        <v>0.21</v>
      </c>
      <c r="K93" s="100">
        <v>163.03</v>
      </c>
      <c r="L93" s="100">
        <v>23.43</v>
      </c>
      <c r="M93" s="100">
        <v>80.97</v>
      </c>
      <c r="N93" s="100">
        <v>1.4</v>
      </c>
      <c r="O93" s="100">
        <v>0</v>
      </c>
      <c r="P93" s="100">
        <v>0.77</v>
      </c>
      <c r="Q93" s="100">
        <v>12.95</v>
      </c>
      <c r="R93" s="6"/>
      <c r="S93" s="6"/>
      <c r="T93" s="156"/>
      <c r="U93" s="6"/>
    </row>
    <row r="94" spans="1:21" customFormat="1">
      <c r="A94" s="163" t="s">
        <v>3204</v>
      </c>
      <c r="B94" s="100">
        <v>6.59</v>
      </c>
      <c r="C94" s="100">
        <v>20.86</v>
      </c>
      <c r="D94" s="100">
        <v>17.53</v>
      </c>
      <c r="E94" s="100">
        <v>8.3800000000000008</v>
      </c>
      <c r="F94" s="152" t="s">
        <v>15</v>
      </c>
      <c r="G94" s="100">
        <v>82.01</v>
      </c>
      <c r="H94" s="100">
        <v>23.8</v>
      </c>
      <c r="I94" s="100">
        <v>9.23</v>
      </c>
      <c r="J94" s="100">
        <v>0.13</v>
      </c>
      <c r="K94" s="100">
        <v>174.04</v>
      </c>
      <c r="L94" s="100">
        <v>23.13</v>
      </c>
      <c r="M94" s="100">
        <v>81.709999999999994</v>
      </c>
      <c r="N94" s="100">
        <v>1.4</v>
      </c>
      <c r="O94" s="100">
        <v>0</v>
      </c>
      <c r="P94" s="100">
        <v>0.79</v>
      </c>
      <c r="Q94" s="100">
        <v>12.93</v>
      </c>
      <c r="R94" s="6"/>
      <c r="S94" s="6"/>
      <c r="T94" s="156"/>
      <c r="U94" s="6"/>
    </row>
    <row r="95" spans="1:21" customFormat="1">
      <c r="A95" s="163" t="s">
        <v>3205</v>
      </c>
      <c r="B95" s="100">
        <v>6.77</v>
      </c>
      <c r="C95" s="100">
        <v>21.12</v>
      </c>
      <c r="D95" s="100">
        <v>17.82</v>
      </c>
      <c r="E95" s="100">
        <v>8.2899999999999991</v>
      </c>
      <c r="F95" s="152" t="s">
        <v>15</v>
      </c>
      <c r="G95" s="100">
        <v>81.91</v>
      </c>
      <c r="H95" s="100">
        <v>23.87</v>
      </c>
      <c r="I95" s="100">
        <v>9.5399999999999991</v>
      </c>
      <c r="J95" s="100">
        <v>0.19</v>
      </c>
      <c r="K95" s="100">
        <v>181.5</v>
      </c>
      <c r="L95" s="100">
        <v>23.09</v>
      </c>
      <c r="M95" s="100">
        <v>80.02</v>
      </c>
      <c r="N95" s="100">
        <v>1.3</v>
      </c>
      <c r="O95" s="100">
        <v>0</v>
      </c>
      <c r="P95" s="100">
        <v>0.82</v>
      </c>
      <c r="Q95" s="100">
        <v>12.92</v>
      </c>
      <c r="R95" s="6"/>
      <c r="S95" s="6"/>
      <c r="T95" s="156"/>
      <c r="U95" s="6"/>
    </row>
    <row r="96" spans="1:21" customFormat="1">
      <c r="A96" s="163" t="s">
        <v>3206</v>
      </c>
      <c r="B96" s="100">
        <v>6.94</v>
      </c>
      <c r="C96" s="100">
        <v>21.33</v>
      </c>
      <c r="D96" s="100">
        <v>18.059999999999999</v>
      </c>
      <c r="E96" s="100">
        <v>8.4700000000000006</v>
      </c>
      <c r="F96" s="152" t="s">
        <v>15</v>
      </c>
      <c r="G96" s="100">
        <v>79.81</v>
      </c>
      <c r="H96" s="100">
        <v>26.11</v>
      </c>
      <c r="I96" s="100">
        <v>9.8000000000000007</v>
      </c>
      <c r="J96" s="100">
        <v>0.22</v>
      </c>
      <c r="K96" s="100">
        <v>199.52</v>
      </c>
      <c r="L96" s="100">
        <v>22.68</v>
      </c>
      <c r="M96" s="100">
        <v>83.16</v>
      </c>
      <c r="N96" s="100">
        <v>1.7</v>
      </c>
      <c r="O96" s="100">
        <v>0</v>
      </c>
      <c r="P96" s="100">
        <v>0.83</v>
      </c>
      <c r="Q96" s="100">
        <v>12.93</v>
      </c>
      <c r="R96" s="6"/>
      <c r="S96" s="6"/>
      <c r="T96" s="156"/>
      <c r="U96" s="6"/>
    </row>
    <row r="97" spans="1:28" customFormat="1">
      <c r="A97" s="163" t="s">
        <v>3207</v>
      </c>
      <c r="B97" s="100">
        <v>7.17</v>
      </c>
      <c r="C97" s="100">
        <v>21.59</v>
      </c>
      <c r="D97" s="100">
        <v>18.38</v>
      </c>
      <c r="E97" s="100">
        <v>8.7899999999999991</v>
      </c>
      <c r="F97" s="152" t="s">
        <v>15</v>
      </c>
      <c r="G97" s="100">
        <v>79.81</v>
      </c>
      <c r="H97" s="100">
        <v>26.11</v>
      </c>
      <c r="I97" s="100">
        <v>9.99</v>
      </c>
      <c r="J97" s="100">
        <v>0.17</v>
      </c>
      <c r="K97" s="100">
        <v>190.86</v>
      </c>
      <c r="L97" s="100">
        <v>22.51</v>
      </c>
      <c r="M97" s="100">
        <v>82.82</v>
      </c>
      <c r="N97" s="100">
        <v>1.4</v>
      </c>
      <c r="O97" s="100">
        <v>0</v>
      </c>
      <c r="P97" s="100">
        <v>0.85</v>
      </c>
      <c r="Q97" s="100">
        <v>12.93</v>
      </c>
      <c r="R97" s="6"/>
      <c r="S97" s="6"/>
      <c r="T97" s="156"/>
      <c r="U97" s="6"/>
    </row>
    <row r="98" spans="1:28" customFormat="1">
      <c r="A98" s="163" t="s">
        <v>3208</v>
      </c>
      <c r="B98" s="100">
        <v>7.53</v>
      </c>
      <c r="C98" s="100">
        <v>23.26</v>
      </c>
      <c r="D98" s="100">
        <v>19.54</v>
      </c>
      <c r="E98" s="100">
        <v>9.06</v>
      </c>
      <c r="F98" s="152" t="s">
        <v>15</v>
      </c>
      <c r="G98" s="100">
        <v>79.81</v>
      </c>
      <c r="H98" s="100">
        <v>26.11</v>
      </c>
      <c r="I98" s="100">
        <v>10.25</v>
      </c>
      <c r="J98" s="100">
        <v>0.11</v>
      </c>
      <c r="K98" s="100">
        <v>208.89</v>
      </c>
      <c r="L98" s="100">
        <v>22.27</v>
      </c>
      <c r="M98" s="100">
        <v>85.54</v>
      </c>
      <c r="N98" s="100">
        <v>1.5</v>
      </c>
      <c r="O98" s="100">
        <v>0</v>
      </c>
      <c r="P98" s="100">
        <v>0.88</v>
      </c>
      <c r="Q98" s="100">
        <v>12.94</v>
      </c>
      <c r="R98" s="6"/>
      <c r="S98" s="6"/>
      <c r="T98" s="156"/>
      <c r="U98" s="6"/>
    </row>
    <row r="99" spans="1:28" customFormat="1">
      <c r="A99" s="163" t="s">
        <v>3209</v>
      </c>
      <c r="B99" s="100">
        <v>8.02</v>
      </c>
      <c r="C99" s="100">
        <v>23.02</v>
      </c>
      <c r="D99" s="100">
        <v>19.809999999999999</v>
      </c>
      <c r="E99" s="100">
        <v>8.8699999999999992</v>
      </c>
      <c r="F99" s="152" t="s">
        <v>15</v>
      </c>
      <c r="G99" s="100">
        <v>79.56</v>
      </c>
      <c r="H99" s="100">
        <v>25.89</v>
      </c>
      <c r="I99" s="100">
        <v>10.49</v>
      </c>
      <c r="J99" s="100">
        <v>0.16</v>
      </c>
      <c r="K99" s="100">
        <v>191.9</v>
      </c>
      <c r="L99" s="100">
        <v>22.18</v>
      </c>
      <c r="M99" s="100">
        <v>86.02</v>
      </c>
      <c r="N99" s="100">
        <v>1.4</v>
      </c>
      <c r="O99" s="100">
        <v>0</v>
      </c>
      <c r="P99" s="100">
        <v>0.88</v>
      </c>
      <c r="Q99" s="100">
        <v>12.94</v>
      </c>
      <c r="R99" s="6"/>
      <c r="S99" s="6"/>
      <c r="T99" s="156"/>
      <c r="U99" s="6"/>
    </row>
    <row r="100" spans="1:28" customFormat="1">
      <c r="A100" s="163" t="s">
        <v>3210</v>
      </c>
      <c r="B100" s="100">
        <v>8.51</v>
      </c>
      <c r="C100" s="100">
        <v>22.69</v>
      </c>
      <c r="D100" s="100">
        <v>20.03</v>
      </c>
      <c r="E100" s="100">
        <v>9.31</v>
      </c>
      <c r="F100" s="152" t="s">
        <v>15</v>
      </c>
      <c r="G100" s="100">
        <v>74.11</v>
      </c>
      <c r="H100" s="100">
        <v>18.72</v>
      </c>
      <c r="I100" s="100">
        <v>10.64</v>
      </c>
      <c r="J100" s="100">
        <v>0.09</v>
      </c>
      <c r="K100" s="100">
        <v>208.54</v>
      </c>
      <c r="L100" s="100">
        <v>21.97</v>
      </c>
      <c r="M100" s="100">
        <v>86.18</v>
      </c>
      <c r="N100" s="100">
        <v>1.4</v>
      </c>
      <c r="O100" s="100">
        <v>0</v>
      </c>
      <c r="P100" s="100">
        <v>0.88</v>
      </c>
      <c r="Q100" s="100">
        <v>12.94</v>
      </c>
      <c r="R100" s="6"/>
      <c r="S100" s="6"/>
      <c r="T100" s="156"/>
      <c r="U100" s="6"/>
      <c r="AB100" s="161"/>
    </row>
    <row r="101" spans="1:28" customFormat="1">
      <c r="A101" s="163" t="s">
        <v>3211</v>
      </c>
      <c r="B101" s="100">
        <v>9.06</v>
      </c>
      <c r="C101" s="100">
        <v>23.45</v>
      </c>
      <c r="D101" s="100">
        <v>20.87</v>
      </c>
      <c r="E101" s="100">
        <v>9.91</v>
      </c>
      <c r="F101" s="152" t="s">
        <v>15</v>
      </c>
      <c r="G101" s="100">
        <v>74.11</v>
      </c>
      <c r="H101" s="100">
        <v>18.72</v>
      </c>
      <c r="I101" s="100">
        <v>10.78</v>
      </c>
      <c r="J101" s="100">
        <v>0.21</v>
      </c>
      <c r="K101" s="100">
        <v>186.57</v>
      </c>
      <c r="L101" s="100">
        <v>21.98</v>
      </c>
      <c r="M101" s="100">
        <v>85.51</v>
      </c>
      <c r="N101" s="100">
        <v>1.4</v>
      </c>
      <c r="O101" s="100">
        <v>0</v>
      </c>
      <c r="P101" s="100">
        <v>0.9</v>
      </c>
      <c r="Q101" s="100">
        <v>12.95</v>
      </c>
      <c r="R101" s="6"/>
      <c r="S101" s="6"/>
      <c r="T101" s="156"/>
      <c r="U101" s="6"/>
    </row>
    <row r="102" spans="1:28" customFormat="1">
      <c r="A102" s="163" t="s">
        <v>3212</v>
      </c>
      <c r="B102" s="100">
        <v>9.5399999999999991</v>
      </c>
      <c r="C102" s="100">
        <v>24.13</v>
      </c>
      <c r="D102" s="100">
        <v>21.61</v>
      </c>
      <c r="E102" s="100">
        <v>9.7799999999999994</v>
      </c>
      <c r="F102" s="152" t="s">
        <v>15</v>
      </c>
      <c r="G102" s="100">
        <v>74.11</v>
      </c>
      <c r="H102" s="100">
        <v>18.72</v>
      </c>
      <c r="I102" s="100">
        <v>10.89</v>
      </c>
      <c r="J102" s="100">
        <v>0.13</v>
      </c>
      <c r="K102" s="100">
        <v>181.98</v>
      </c>
      <c r="L102" s="100">
        <v>21.87</v>
      </c>
      <c r="M102" s="100">
        <v>84.84</v>
      </c>
      <c r="N102" s="100">
        <v>1.3</v>
      </c>
      <c r="O102" s="100">
        <v>0</v>
      </c>
      <c r="P102" s="100">
        <v>0.93</v>
      </c>
      <c r="Q102" s="100">
        <v>12.96</v>
      </c>
      <c r="R102" s="6"/>
      <c r="S102" s="6"/>
      <c r="T102" s="156"/>
      <c r="U102" s="6"/>
    </row>
    <row r="103" spans="1:28" customFormat="1">
      <c r="A103" s="163" t="s">
        <v>3213</v>
      </c>
      <c r="B103" s="100">
        <v>10.01</v>
      </c>
      <c r="C103" s="100">
        <v>23.61</v>
      </c>
      <c r="D103" s="100">
        <v>21.72</v>
      </c>
      <c r="E103" s="100">
        <v>9.39</v>
      </c>
      <c r="F103" s="152" t="s">
        <v>15</v>
      </c>
      <c r="G103" s="100">
        <v>74.63</v>
      </c>
      <c r="H103" s="100">
        <v>18.95</v>
      </c>
      <c r="I103" s="100">
        <v>11.04</v>
      </c>
      <c r="J103" s="100">
        <v>0.09</v>
      </c>
      <c r="K103" s="100">
        <v>187.07</v>
      </c>
      <c r="L103" s="100">
        <v>21.84</v>
      </c>
      <c r="M103" s="100">
        <v>84.97</v>
      </c>
      <c r="N103" s="100">
        <v>1.4</v>
      </c>
      <c r="O103" s="100">
        <v>0</v>
      </c>
      <c r="P103" s="100">
        <v>0.94</v>
      </c>
      <c r="Q103" s="100">
        <v>12.95</v>
      </c>
      <c r="R103" s="6"/>
      <c r="S103" s="6"/>
      <c r="T103" s="156"/>
      <c r="U103" s="6"/>
    </row>
    <row r="104" spans="1:28" customFormat="1">
      <c r="A104" s="163" t="s">
        <v>3214</v>
      </c>
      <c r="B104" s="100">
        <v>10.39</v>
      </c>
      <c r="C104" s="100">
        <v>23.14</v>
      </c>
      <c r="D104" s="100">
        <v>21.78</v>
      </c>
      <c r="E104" s="100">
        <v>9.57</v>
      </c>
      <c r="F104" s="152" t="s">
        <v>15</v>
      </c>
      <c r="G104" s="100">
        <v>85.7</v>
      </c>
      <c r="H104" s="100">
        <v>26.02</v>
      </c>
      <c r="I104" s="100">
        <v>11.18</v>
      </c>
      <c r="J104" s="100">
        <v>0.09</v>
      </c>
      <c r="K104" s="100">
        <v>222.93</v>
      </c>
      <c r="L104" s="100">
        <v>21.81</v>
      </c>
      <c r="M104" s="100">
        <v>83.33</v>
      </c>
      <c r="N104" s="100">
        <v>1.3</v>
      </c>
      <c r="O104" s="100">
        <v>0</v>
      </c>
      <c r="P104" s="100">
        <v>0.95</v>
      </c>
      <c r="Q104" s="100">
        <v>12.96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3.48</v>
      </c>
      <c r="C106" s="158">
        <f>MIN(C9:C104)</f>
        <v>12.59</v>
      </c>
      <c r="D106" s="158">
        <f t="shared" ref="D106:Q106" si="0">MIN(D9:D104)</f>
        <v>10.86</v>
      </c>
      <c r="E106" s="158">
        <f t="shared" si="0"/>
        <v>6.95</v>
      </c>
      <c r="F106" s="158">
        <f t="shared" si="0"/>
        <v>0</v>
      </c>
      <c r="G106" s="158">
        <f t="shared" si="0"/>
        <v>42.39</v>
      </c>
      <c r="H106" s="158">
        <f t="shared" si="0"/>
        <v>16.350000000000001</v>
      </c>
      <c r="I106" s="158">
        <f t="shared" si="0"/>
        <v>4.92</v>
      </c>
      <c r="J106" s="158">
        <f t="shared" si="0"/>
        <v>0.01</v>
      </c>
      <c r="K106" s="158">
        <f t="shared" si="0"/>
        <v>77.849999999999994</v>
      </c>
      <c r="L106" s="158">
        <f t="shared" si="0"/>
        <v>19.399999999999999</v>
      </c>
      <c r="M106" s="158">
        <f t="shared" si="0"/>
        <v>46.32</v>
      </c>
      <c r="N106" s="158">
        <f t="shared" si="0"/>
        <v>0.7</v>
      </c>
      <c r="O106" s="158">
        <f t="shared" si="0"/>
        <v>0</v>
      </c>
      <c r="P106" s="158">
        <f t="shared" si="0"/>
        <v>0.45</v>
      </c>
      <c r="Q106" s="158">
        <f t="shared" si="0"/>
        <v>12.9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11.56</v>
      </c>
      <c r="C107" s="157">
        <f t="shared" ref="C107:Q107" si="1">MAX(C9:C104)</f>
        <v>24.13</v>
      </c>
      <c r="D107" s="157">
        <f t="shared" si="1"/>
        <v>21.88</v>
      </c>
      <c r="E107" s="157">
        <f t="shared" si="1"/>
        <v>13.48</v>
      </c>
      <c r="F107" s="157">
        <f t="shared" si="1"/>
        <v>0</v>
      </c>
      <c r="G107" s="157">
        <f t="shared" si="1"/>
        <v>85.7</v>
      </c>
      <c r="H107" s="157">
        <f t="shared" si="1"/>
        <v>26.11</v>
      </c>
      <c r="I107" s="157">
        <f t="shared" si="1"/>
        <v>11.18</v>
      </c>
      <c r="J107" s="157">
        <f t="shared" si="1"/>
        <v>1</v>
      </c>
      <c r="K107" s="157">
        <f t="shared" si="1"/>
        <v>315.49</v>
      </c>
      <c r="L107" s="157">
        <f t="shared" si="1"/>
        <v>31.42</v>
      </c>
      <c r="M107" s="157">
        <f t="shared" si="1"/>
        <v>98.95</v>
      </c>
      <c r="N107" s="157">
        <f t="shared" si="1"/>
        <v>345</v>
      </c>
      <c r="O107" s="157">
        <f t="shared" si="1"/>
        <v>0</v>
      </c>
      <c r="P107" s="157">
        <f t="shared" si="1"/>
        <v>0.95</v>
      </c>
      <c r="Q107" s="157">
        <f t="shared" si="1"/>
        <v>13.02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6.4375</v>
      </c>
      <c r="C108" s="158">
        <f t="shared" ref="C108:Q108" si="2">AVERAGE(C9:C104)</f>
        <v>19.945520833333326</v>
      </c>
      <c r="D108" s="158">
        <f t="shared" si="2"/>
        <v>16.933958333333326</v>
      </c>
      <c r="E108" s="158">
        <f t="shared" si="2"/>
        <v>9.9808333333333312</v>
      </c>
      <c r="F108" s="158" t="e">
        <f t="shared" si="2"/>
        <v>#DIV/0!</v>
      </c>
      <c r="G108" s="158">
        <f t="shared" si="2"/>
        <v>57.517812500000012</v>
      </c>
      <c r="H108" s="158">
        <f t="shared" si="2"/>
        <v>20.845416666666676</v>
      </c>
      <c r="I108" s="158">
        <f t="shared" si="2"/>
        <v>7.7677083333333314</v>
      </c>
      <c r="J108" s="158">
        <f t="shared" si="2"/>
        <v>0.33500000000000002</v>
      </c>
      <c r="K108" s="158">
        <f t="shared" si="2"/>
        <v>221.40656249999995</v>
      </c>
      <c r="L108" s="158">
        <f t="shared" si="2"/>
        <v>24.953229166666663</v>
      </c>
      <c r="M108" s="158">
        <f t="shared" si="2"/>
        <v>72.811666666666696</v>
      </c>
      <c r="N108" s="158">
        <f t="shared" si="2"/>
        <v>79.005208333333286</v>
      </c>
      <c r="O108" s="158">
        <f t="shared" si="2"/>
        <v>0</v>
      </c>
      <c r="P108" s="158">
        <f t="shared" si="2"/>
        <v>0.61833333333333351</v>
      </c>
      <c r="Q108" s="158">
        <f t="shared" si="2"/>
        <v>12.940104166666666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2.4820161583934781</v>
      </c>
      <c r="C109" s="158">
        <f t="shared" ref="C109:Q109" si="3">STDEV(C9:C104)</f>
        <v>2.8925337171457528</v>
      </c>
      <c r="D109" s="158">
        <f t="shared" si="3"/>
        <v>3.1805029324792531</v>
      </c>
      <c r="E109" s="158">
        <f t="shared" si="3"/>
        <v>1.3704364780430032</v>
      </c>
      <c r="F109" s="158" t="e">
        <f t="shared" si="3"/>
        <v>#DIV/0!</v>
      </c>
      <c r="G109" s="158">
        <f t="shared" si="3"/>
        <v>11.13392645576433</v>
      </c>
      <c r="H109" s="158">
        <f t="shared" si="3"/>
        <v>2.9062527570256274</v>
      </c>
      <c r="I109" s="158">
        <f t="shared" si="3"/>
        <v>1.7006398047834963</v>
      </c>
      <c r="J109" s="158">
        <f t="shared" si="3"/>
        <v>0.20994234797601991</v>
      </c>
      <c r="K109" s="158">
        <f t="shared" si="3"/>
        <v>53.902637838550888</v>
      </c>
      <c r="L109" s="158">
        <f t="shared" si="3"/>
        <v>3.8522820290238773</v>
      </c>
      <c r="M109" s="158">
        <f t="shared" si="3"/>
        <v>16.742795318814444</v>
      </c>
      <c r="N109" s="158">
        <f t="shared" si="3"/>
        <v>119.08309117656741</v>
      </c>
      <c r="O109" s="158">
        <f t="shared" si="3"/>
        <v>0</v>
      </c>
      <c r="P109" s="158">
        <f t="shared" si="3"/>
        <v>0.12025119906758805</v>
      </c>
      <c r="Q109" s="158">
        <f t="shared" si="3"/>
        <v>2.6576396003999594E-2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L41" sqref="L41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01/01/2025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01/01/2025 00:15</v>
      </c>
      <c r="B9" s="83">
        <f>'01'!B108</f>
        <v>10.324166666666665</v>
      </c>
      <c r="C9" s="83">
        <f>'01'!C108</f>
        <v>22.072187500000013</v>
      </c>
      <c r="D9" s="83">
        <f>'01'!D108</f>
        <v>21.163020833333327</v>
      </c>
      <c r="E9" s="83">
        <f>'01'!E108</f>
        <v>9.3011458333333366</v>
      </c>
      <c r="F9" s="151" t="s">
        <v>8</v>
      </c>
      <c r="G9" s="83">
        <f>'01'!G108</f>
        <v>65.997187499999995</v>
      </c>
      <c r="H9" s="83">
        <f>'01'!H108</f>
        <v>20.154895833333331</v>
      </c>
      <c r="I9" s="83">
        <f>'01'!I108</f>
        <v>9.2403125000000035</v>
      </c>
      <c r="J9" s="83">
        <f>'01'!J108</f>
        <v>0.34697916666666667</v>
      </c>
      <c r="K9" s="83">
        <f>'01'!K108</f>
        <v>132.35062500000001</v>
      </c>
      <c r="L9" s="83">
        <f>'01'!L108</f>
        <v>18.552395833333339</v>
      </c>
      <c r="M9" s="83">
        <f>'01'!M108</f>
        <v>63.390729166666667</v>
      </c>
      <c r="N9" s="83">
        <f>'01'!N108</f>
        <v>91.921875000000014</v>
      </c>
      <c r="O9" s="83">
        <f>'01'!O108</f>
        <v>0</v>
      </c>
      <c r="P9" s="83">
        <f>'01'!P108</f>
        <v>0.72072916666666653</v>
      </c>
      <c r="Q9" s="83">
        <f>'01'!Q108</f>
        <v>12.987395833333345</v>
      </c>
      <c r="R9" s="76"/>
      <c r="S9" s="76"/>
      <c r="T9" s="76"/>
      <c r="U9" s="76"/>
    </row>
    <row r="10" spans="1:21">
      <c r="A10" s="139" t="str">
        <f>'02'!$B$2</f>
        <v>02/01/2025 00:15</v>
      </c>
      <c r="B10" s="83">
        <f>'02'!B108</f>
        <v>16.968125000000004</v>
      </c>
      <c r="C10" s="83">
        <f>'02'!C108</f>
        <v>23.482291666666672</v>
      </c>
      <c r="D10" s="83">
        <f>'02'!D108</f>
        <v>27.227083333333326</v>
      </c>
      <c r="E10" s="83">
        <f>'02'!E108</f>
        <v>9.2840624999999992</v>
      </c>
      <c r="F10" s="151" t="s">
        <v>8</v>
      </c>
      <c r="G10" s="83">
        <f>'02'!G108</f>
        <v>71.10343749999997</v>
      </c>
      <c r="H10" s="83">
        <f>'02'!H108</f>
        <v>22.108958333333344</v>
      </c>
      <c r="I10" s="83">
        <f>'02'!I108</f>
        <v>10.751249999999997</v>
      </c>
      <c r="J10" s="83">
        <f>'02'!J108</f>
        <v>0.30291666666666678</v>
      </c>
      <c r="K10" s="83">
        <f>'02'!K108</f>
        <v>145.92812500000002</v>
      </c>
      <c r="L10" s="83">
        <f>'02'!L108</f>
        <v>18.506666666666671</v>
      </c>
      <c r="M10" s="83">
        <f>'02'!M108</f>
        <v>60.978958333333374</v>
      </c>
      <c r="N10" s="83">
        <f>'02'!N108</f>
        <v>93.1145833333333</v>
      </c>
      <c r="O10" s="83">
        <f>'02'!O108</f>
        <v>0</v>
      </c>
      <c r="P10" s="83">
        <f>'02'!P108</f>
        <v>0.86822916666666661</v>
      </c>
      <c r="Q10" s="83">
        <f>'02'!Q108</f>
        <v>13.023333333333332</v>
      </c>
      <c r="R10" s="76"/>
      <c r="S10" s="76"/>
      <c r="T10" s="76"/>
      <c r="U10" s="76"/>
    </row>
    <row r="11" spans="1:21">
      <c r="A11" s="139" t="str">
        <f>'03'!$B$2</f>
        <v>03/01/2025 00:15</v>
      </c>
      <c r="B11" s="83">
        <f>'03'!B108</f>
        <v>17.402708333333333</v>
      </c>
      <c r="C11" s="83">
        <f>'03'!C108</f>
        <v>23.037499999999998</v>
      </c>
      <c r="D11" s="83">
        <f>'03'!D108</f>
        <v>27.343229166666664</v>
      </c>
      <c r="E11" s="83">
        <f>'03'!E108</f>
        <v>8.6712500000000006</v>
      </c>
      <c r="F11" s="151" t="s">
        <v>8</v>
      </c>
      <c r="G11" s="83">
        <f>'03'!G108</f>
        <v>78.954583333333332</v>
      </c>
      <c r="H11" s="83">
        <f>'03'!H108</f>
        <v>20.976562499999989</v>
      </c>
      <c r="I11" s="83">
        <f>'03'!I108</f>
        <v>11.215416666666664</v>
      </c>
      <c r="J11" s="83">
        <f>'03'!J108</f>
        <v>0.26229166666666665</v>
      </c>
      <c r="K11" s="83">
        <f>'03'!K108</f>
        <v>160.13270833333334</v>
      </c>
      <c r="L11" s="83">
        <f>'03'!L108</f>
        <v>19.025729166666668</v>
      </c>
      <c r="M11" s="83">
        <f>'03'!M108</f>
        <v>58.763333333333314</v>
      </c>
      <c r="N11" s="83">
        <f>'03'!N108</f>
        <v>94.282291666666694</v>
      </c>
      <c r="O11" s="83">
        <f>'03'!O108</f>
        <v>0</v>
      </c>
      <c r="P11" s="83">
        <f>'03'!P108</f>
        <v>0.84989583333333252</v>
      </c>
      <c r="Q11" s="83">
        <f>'03'!Q108</f>
        <v>13.023124999999999</v>
      </c>
      <c r="R11" s="76"/>
      <c r="S11" s="76"/>
      <c r="T11" s="76"/>
      <c r="U11" s="76"/>
    </row>
    <row r="12" spans="1:21">
      <c r="A12" s="139" t="str">
        <f>'04'!$B$2</f>
        <v>04/01/2025 00:15</v>
      </c>
      <c r="B12" s="83">
        <f>'04'!B108</f>
        <v>30.313582089552238</v>
      </c>
      <c r="C12" s="83">
        <f>'04'!C108</f>
        <v>27.096268656716422</v>
      </c>
      <c r="D12" s="83">
        <f>'04'!D108</f>
        <v>39.817462686567154</v>
      </c>
      <c r="E12" s="83">
        <f>'04'!E108</f>
        <v>9.3691044776119412</v>
      </c>
      <c r="F12" s="152" t="s">
        <v>15</v>
      </c>
      <c r="G12" s="83">
        <f>'04'!G108</f>
        <v>101.85298507462691</v>
      </c>
      <c r="H12" s="83">
        <f>'04'!H108</f>
        <v>32.903582089552231</v>
      </c>
      <c r="I12" s="83">
        <f>'04'!I108</f>
        <v>16.2144776119403</v>
      </c>
      <c r="J12" s="83">
        <f>'04'!J108</f>
        <v>0.30955223880597016</v>
      </c>
      <c r="K12" s="83">
        <f>'04'!K108</f>
        <v>116.81671641791048</v>
      </c>
      <c r="L12" s="83">
        <f>'04'!L108</f>
        <v>18.521641791044772</v>
      </c>
      <c r="M12" s="83">
        <f>'04'!M108</f>
        <v>55.918358208955219</v>
      </c>
      <c r="N12" s="83">
        <f>'04'!N108</f>
        <v>130.91791044776116</v>
      </c>
      <c r="O12" s="83">
        <f>'04'!O108</f>
        <v>0</v>
      </c>
      <c r="P12" s="83">
        <f>'04'!P108</f>
        <v>1.0647761194029854</v>
      </c>
      <c r="Q12" s="83">
        <f>'04'!Q108</f>
        <v>11.25</v>
      </c>
      <c r="R12" s="76"/>
      <c r="S12" s="76"/>
      <c r="T12" s="76"/>
      <c r="U12" s="76"/>
    </row>
    <row r="13" spans="1:21">
      <c r="A13" s="139" t="str">
        <f>'05'!$B$2</f>
        <v>05/01/2025 00:15</v>
      </c>
      <c r="B13" s="83">
        <f>'05'!B108</f>
        <v>20.680937499999995</v>
      </c>
      <c r="C13" s="83">
        <f>'05'!C108</f>
        <v>23.930833333333339</v>
      </c>
      <c r="D13" s="83">
        <f>'05'!D108</f>
        <v>30.438645833333329</v>
      </c>
      <c r="E13" s="83">
        <f>'05'!E108</f>
        <v>9.4478124999999995</v>
      </c>
      <c r="F13" s="152" t="s">
        <v>15</v>
      </c>
      <c r="G13" s="83">
        <f>'05'!G108</f>
        <v>91.342708333333348</v>
      </c>
      <c r="H13" s="83">
        <f>'05'!H108</f>
        <v>33.471354166666693</v>
      </c>
      <c r="I13" s="83">
        <f>'05'!I108</f>
        <v>12.663333333333329</v>
      </c>
      <c r="J13" s="83">
        <f>'05'!J108</f>
        <v>0.29010416666666666</v>
      </c>
      <c r="K13" s="83">
        <f>'05'!K108</f>
        <v>139.63093750000007</v>
      </c>
      <c r="L13" s="83">
        <f>'05'!L108</f>
        <v>19.103124999999999</v>
      </c>
      <c r="M13" s="83">
        <f>'05'!M108</f>
        <v>63.608125000000008</v>
      </c>
      <c r="N13" s="83">
        <f>'05'!N108</f>
        <v>92.104166666666686</v>
      </c>
      <c r="O13" s="83">
        <f>'05'!O108</f>
        <v>0</v>
      </c>
      <c r="P13" s="83">
        <f>'05'!P108</f>
        <v>0.94239583333333365</v>
      </c>
      <c r="Q13" s="83">
        <f>'05'!Q108</f>
        <v>13.039791666666661</v>
      </c>
      <c r="R13" s="76"/>
      <c r="S13" s="76"/>
      <c r="T13" s="76"/>
      <c r="U13" s="76"/>
    </row>
    <row r="14" spans="1:21">
      <c r="A14" s="139" t="str">
        <f>'06'!$B$2</f>
        <v>06/01/2025 00:15</v>
      </c>
      <c r="B14" s="83">
        <f>'06'!B108</f>
        <v>9.853678160919543</v>
      </c>
      <c r="C14" s="83">
        <f>'06'!C108</f>
        <v>23.454367816091963</v>
      </c>
      <c r="D14" s="83">
        <f>'06'!D108</f>
        <v>21.507701149425287</v>
      </c>
      <c r="E14" s="83">
        <f>'06'!E108</f>
        <v>0.33499999999999824</v>
      </c>
      <c r="F14" s="152" t="s">
        <v>15</v>
      </c>
      <c r="G14" s="83">
        <f>'06'!G108</f>
        <v>114.67295454545462</v>
      </c>
      <c r="H14" s="83">
        <f>'06'!H108</f>
        <v>42.479431818181808</v>
      </c>
      <c r="I14" s="83">
        <f>'06'!I108</f>
        <v>14.399883720930228</v>
      </c>
      <c r="J14" s="83">
        <f>'06'!J108</f>
        <v>0.19561797752808993</v>
      </c>
      <c r="K14" s="83">
        <f>'06'!K108</f>
        <v>180.65449438202248</v>
      </c>
      <c r="L14" s="83">
        <f>'06'!L108</f>
        <v>18.796404494382028</v>
      </c>
      <c r="M14" s="83">
        <f>'06'!M108</f>
        <v>72.542359550561798</v>
      </c>
      <c r="N14" s="83">
        <f>'06'!N108</f>
        <v>57.568539325842671</v>
      </c>
      <c r="O14" s="83">
        <f>'06'!O108</f>
        <v>0</v>
      </c>
      <c r="P14" s="83">
        <f>'06'!P108</f>
        <v>1.0140909090909089</v>
      </c>
      <c r="Q14" s="83">
        <f>'06'!Q108</f>
        <v>12.85662790697674</v>
      </c>
      <c r="R14" s="76"/>
      <c r="S14" s="76"/>
      <c r="T14" s="76"/>
      <c r="U14" s="76"/>
    </row>
    <row r="15" spans="1:21">
      <c r="A15" s="139" t="str">
        <f>'07'!$B$2</f>
        <v>07/01/2025 00:15</v>
      </c>
      <c r="B15" s="83">
        <f>'07'!B108</f>
        <v>6.7502083333333323</v>
      </c>
      <c r="C15" s="83">
        <f>'07'!C108</f>
        <v>22.986979166666657</v>
      </c>
      <c r="D15" s="83">
        <f>'07'!D108</f>
        <v>18.773333333333333</v>
      </c>
      <c r="E15" s="83">
        <f>'07'!E108</f>
        <v>9.4868749999999995</v>
      </c>
      <c r="F15" s="152" t="s">
        <v>15</v>
      </c>
      <c r="G15" s="83">
        <f>'07'!G108</f>
        <v>86.317708333333314</v>
      </c>
      <c r="H15" s="83">
        <f>'07'!H108</f>
        <v>36.142604166666672</v>
      </c>
      <c r="I15" s="83">
        <f>'07'!I108</f>
        <v>12.758437500000001</v>
      </c>
      <c r="J15" s="83">
        <f>'07'!J108</f>
        <v>0.37937500000000002</v>
      </c>
      <c r="K15" s="83">
        <f>'07'!K108</f>
        <v>133.47989583333325</v>
      </c>
      <c r="L15" s="83">
        <f>'07'!L108</f>
        <v>20.420624999999994</v>
      </c>
      <c r="M15" s="83">
        <f>'07'!M108</f>
        <v>62.050416666666671</v>
      </c>
      <c r="N15" s="83">
        <f>'07'!N108</f>
        <v>77.72708333333334</v>
      </c>
      <c r="O15" s="83">
        <f>'07'!O108</f>
        <v>0</v>
      </c>
      <c r="P15" s="83">
        <f>'07'!P108</f>
        <v>0.85395833333333326</v>
      </c>
      <c r="Q15" s="83">
        <f>'07'!Q108</f>
        <v>11.240000000000007</v>
      </c>
      <c r="R15" s="76"/>
      <c r="S15" s="76"/>
      <c r="T15" s="76"/>
      <c r="U15" s="76"/>
    </row>
    <row r="16" spans="1:21">
      <c r="A16" s="139" t="str">
        <f>'08'!$B$2</f>
        <v>08/01/2025 00:15</v>
      </c>
      <c r="B16" s="83">
        <f>'08'!B108</f>
        <v>9.4236458333333335</v>
      </c>
      <c r="C16" s="83">
        <f>'08'!C108</f>
        <v>23.755729166666679</v>
      </c>
      <c r="D16" s="83">
        <f>'08'!D108</f>
        <v>21.319895833333327</v>
      </c>
      <c r="E16" s="83">
        <f>'08'!E108</f>
        <v>8.9471875000000001</v>
      </c>
      <c r="F16" s="152" t="s">
        <v>15</v>
      </c>
      <c r="G16" s="83">
        <f>'08'!G108</f>
        <v>78.422083333333333</v>
      </c>
      <c r="H16" s="83">
        <f>'08'!H108</f>
        <v>21.620104166666678</v>
      </c>
      <c r="I16" s="83">
        <f>'08'!I108</f>
        <v>10.340208333333335</v>
      </c>
      <c r="J16" s="83">
        <f>'08'!J108</f>
        <v>0.30510416666666673</v>
      </c>
      <c r="K16" s="83">
        <f>'08'!K108</f>
        <v>155.6961458333333</v>
      </c>
      <c r="L16" s="83">
        <f>'08'!L108</f>
        <v>17.728229166666665</v>
      </c>
      <c r="M16" s="83">
        <f>'08'!M108</f>
        <v>60.082708333333322</v>
      </c>
      <c r="N16" s="83">
        <f>'08'!N108</f>
        <v>92.458333333333314</v>
      </c>
      <c r="O16" s="83">
        <f>'08'!O108</f>
        <v>0</v>
      </c>
      <c r="P16" s="83">
        <f>'08'!P108</f>
        <v>0.73697916666666652</v>
      </c>
      <c r="Q16" s="83">
        <f>'08'!Q108</f>
        <v>11.25</v>
      </c>
      <c r="R16" s="76"/>
      <c r="S16" s="76"/>
      <c r="T16" s="76"/>
      <c r="U16" s="76"/>
    </row>
    <row r="17" spans="1:21">
      <c r="A17" s="139" t="str">
        <f>'09'!$B$2</f>
        <v>09/01/2025 00:15</v>
      </c>
      <c r="B17" s="83">
        <f>'09'!B108</f>
        <v>22.1753125</v>
      </c>
      <c r="C17" s="83">
        <f>'09'!C108</f>
        <v>26.130833333333339</v>
      </c>
      <c r="D17" s="83">
        <f>'09'!D108</f>
        <v>32.786979166666676</v>
      </c>
      <c r="E17" s="83">
        <f>'09'!E108</f>
        <v>8.8311458333333324</v>
      </c>
      <c r="F17" s="152" t="s">
        <v>15</v>
      </c>
      <c r="G17" s="83">
        <f>'09'!G108</f>
        <v>97.728020833333389</v>
      </c>
      <c r="H17" s="83">
        <f>'09'!H108</f>
        <v>28.212187499999985</v>
      </c>
      <c r="I17" s="83">
        <f>'09'!I108</f>
        <v>13.730624999999998</v>
      </c>
      <c r="J17" s="83">
        <f>'09'!J108</f>
        <v>0.2987499999999999</v>
      </c>
      <c r="K17" s="83">
        <f>'09'!K108</f>
        <v>123.4340625</v>
      </c>
      <c r="L17" s="83">
        <f>'09'!L108</f>
        <v>17.613125</v>
      </c>
      <c r="M17" s="83">
        <f>'09'!M108</f>
        <v>58.235312499999992</v>
      </c>
      <c r="N17" s="83">
        <f>'09'!N108</f>
        <v>94.878124999999997</v>
      </c>
      <c r="O17" s="83">
        <f>'09'!O108</f>
        <v>0</v>
      </c>
      <c r="P17" s="83">
        <f>'09'!P108</f>
        <v>1.0218750000000001</v>
      </c>
      <c r="Q17" s="83">
        <f>'09'!Q108</f>
        <v>11.25</v>
      </c>
      <c r="R17" s="76"/>
      <c r="S17" s="76"/>
      <c r="T17" s="76"/>
      <c r="U17" s="76"/>
    </row>
    <row r="18" spans="1:21">
      <c r="A18" s="139" t="str">
        <f>'10'!$B$2</f>
        <v>10/01/2025 00:15</v>
      </c>
      <c r="B18" s="83">
        <f>'10'!B108</f>
        <v>25.825000000000003</v>
      </c>
      <c r="C18" s="83">
        <f>'10'!C108</f>
        <v>27.459375000000012</v>
      </c>
      <c r="D18" s="83">
        <f>'10'!D108</f>
        <v>36.407500000000006</v>
      </c>
      <c r="E18" s="83">
        <f>'10'!E108</f>
        <v>9.3956250000000008</v>
      </c>
      <c r="F18" s="152" t="s">
        <v>15</v>
      </c>
      <c r="G18" s="83">
        <f>'10'!G108</f>
        <v>104.63750000000003</v>
      </c>
      <c r="H18" s="83">
        <f>'10'!H108</f>
        <v>32.246354166666642</v>
      </c>
      <c r="I18" s="83">
        <f>'10'!I108</f>
        <v>14.937395833333339</v>
      </c>
      <c r="J18" s="83">
        <f>'10'!J108</f>
        <v>0.27552083333333349</v>
      </c>
      <c r="K18" s="83">
        <f>'10'!K108</f>
        <v>133.43791666666669</v>
      </c>
      <c r="L18" s="83">
        <f>'10'!L108</f>
        <v>18.249062500000004</v>
      </c>
      <c r="M18" s="83">
        <f>'10'!M108</f>
        <v>58.202187500000001</v>
      </c>
      <c r="N18" s="83">
        <f>'10'!N108</f>
        <v>92.04479166666664</v>
      </c>
      <c r="O18" s="83">
        <f>'10'!O108</f>
        <v>0</v>
      </c>
      <c r="P18" s="83">
        <f>'10'!P108</f>
        <v>1.0285416666666671</v>
      </c>
      <c r="Q18" s="83">
        <f>'10'!Q108</f>
        <v>11.25</v>
      </c>
      <c r="R18" s="76"/>
      <c r="S18" s="76"/>
      <c r="T18" s="76"/>
      <c r="U18" s="76"/>
    </row>
    <row r="19" spans="1:21">
      <c r="A19" s="139" t="str">
        <f>'11'!$B$2</f>
        <v>11/01/2025 00:15</v>
      </c>
      <c r="B19" s="83">
        <f>'11'!B108</f>
        <v>17.861041666666672</v>
      </c>
      <c r="C19" s="83">
        <f>'11'!C108</f>
        <v>26.686250000000001</v>
      </c>
      <c r="D19" s="83">
        <f>'11'!D108</f>
        <v>29.616770833333323</v>
      </c>
      <c r="E19" s="83">
        <f>'11'!E108</f>
        <v>8.9447916666666636</v>
      </c>
      <c r="F19" s="152" t="s">
        <v>15</v>
      </c>
      <c r="G19" s="83">
        <f>'11'!G108</f>
        <v>89.577916666666667</v>
      </c>
      <c r="H19" s="83">
        <f>'11'!H108</f>
        <v>32.200208333333343</v>
      </c>
      <c r="I19" s="83">
        <f>'11'!I108</f>
        <v>12.240104166666669</v>
      </c>
      <c r="J19" s="83">
        <f>'11'!J108</f>
        <v>0.32468750000000007</v>
      </c>
      <c r="K19" s="83">
        <f>'11'!K108</f>
        <v>120.72395833333337</v>
      </c>
      <c r="L19" s="83">
        <f>'11'!L108</f>
        <v>19.136979166666666</v>
      </c>
      <c r="M19" s="83">
        <f>'11'!M108</f>
        <v>61.82739583333332</v>
      </c>
      <c r="N19" s="83">
        <f>'11'!N108</f>
        <v>88.943750000000009</v>
      </c>
      <c r="O19" s="83">
        <f>'11'!O108</f>
        <v>0</v>
      </c>
      <c r="P19" s="83">
        <f>'11'!P108</f>
        <v>0.97406249999999972</v>
      </c>
      <c r="Q19" s="83">
        <f>'11'!Q108</f>
        <v>12.539999999999983</v>
      </c>
      <c r="R19" s="76"/>
      <c r="S19" s="76"/>
      <c r="T19" s="76"/>
      <c r="U19" s="76"/>
    </row>
    <row r="20" spans="1:21">
      <c r="A20" s="139" t="str">
        <f>'12'!$B$2</f>
        <v>12/01/2025 00:15</v>
      </c>
      <c r="B20" s="83">
        <f>'12'!B108</f>
        <v>11.355937499999998</v>
      </c>
      <c r="C20" s="83">
        <f>'12'!C108</f>
        <v>25.644687499999989</v>
      </c>
      <c r="D20" s="83">
        <f>'12'!D108</f>
        <v>23.856145833333333</v>
      </c>
      <c r="E20" s="83">
        <f>'12'!E108</f>
        <v>9.228645833333335</v>
      </c>
      <c r="F20" s="152" t="s">
        <v>15</v>
      </c>
      <c r="G20" s="83">
        <f>'12'!G108</f>
        <v>93.399166666666574</v>
      </c>
      <c r="H20" s="83">
        <f>'12'!H108</f>
        <v>30.997291666666683</v>
      </c>
      <c r="I20" s="83">
        <f>'12'!I108</f>
        <v>12.635624999999999</v>
      </c>
      <c r="J20" s="83">
        <f>'12'!J108</f>
        <v>0.30031249999999987</v>
      </c>
      <c r="K20" s="83">
        <f>'12'!K108</f>
        <v>192.95281249999991</v>
      </c>
      <c r="L20" s="83">
        <f>'12'!L108</f>
        <v>20.336041666666663</v>
      </c>
      <c r="M20" s="83">
        <f>'12'!M108</f>
        <v>65.953958333333318</v>
      </c>
      <c r="N20" s="83">
        <f>'12'!N108</f>
        <v>77.659375000000011</v>
      </c>
      <c r="O20" s="83">
        <f>'12'!O108</f>
        <v>0</v>
      </c>
      <c r="P20" s="83">
        <f>'12'!P108</f>
        <v>0.9443750000000003</v>
      </c>
      <c r="Q20" s="83">
        <f>'12'!Q108</f>
        <v>13.53999999999998</v>
      </c>
      <c r="R20" s="76"/>
      <c r="S20" s="76"/>
      <c r="T20" s="76"/>
      <c r="U20" s="76"/>
    </row>
    <row r="21" spans="1:21">
      <c r="A21" s="139" t="str">
        <f>'13'!$B$2</f>
        <v>13/01/2025 00:15</v>
      </c>
      <c r="B21" s="83">
        <f>'13'!B108</f>
        <v>10.808229166666663</v>
      </c>
      <c r="C21" s="83">
        <f>'13'!C108</f>
        <v>30.514583333333338</v>
      </c>
      <c r="D21" s="83">
        <f>'13'!D108</f>
        <v>25.959791666666661</v>
      </c>
      <c r="E21" s="83">
        <f>'13'!E108</f>
        <v>9.8380208333333368</v>
      </c>
      <c r="F21" s="152" t="s">
        <v>15</v>
      </c>
      <c r="G21" s="83">
        <f>'13'!G108</f>
        <v>107.90666666666665</v>
      </c>
      <c r="H21" s="83">
        <f>'13'!H108</f>
        <v>36.7034375</v>
      </c>
      <c r="I21" s="83">
        <f>'13'!I108</f>
        <v>12.930937500000006</v>
      </c>
      <c r="J21" s="83">
        <f>'13'!J108</f>
        <v>0.44312499999999994</v>
      </c>
      <c r="K21" s="83">
        <f>'13'!K108</f>
        <v>80.780833333333334</v>
      </c>
      <c r="L21" s="83">
        <f>'13'!L108</f>
        <v>20.929479166666667</v>
      </c>
      <c r="M21" s="83">
        <f>'13'!M108</f>
        <v>65.888541666666654</v>
      </c>
      <c r="N21" s="83">
        <f>'13'!N108</f>
        <v>60.590625000000017</v>
      </c>
      <c r="O21" s="83">
        <f>'13'!O108</f>
        <v>0</v>
      </c>
      <c r="P21" s="83">
        <f>'13'!P108</f>
        <v>1.0895833333333338</v>
      </c>
      <c r="Q21" s="83">
        <f>'13'!Q108</f>
        <v>12.036250000000001</v>
      </c>
      <c r="R21" s="76"/>
      <c r="S21" s="76"/>
      <c r="T21" s="76"/>
      <c r="U21" s="76"/>
    </row>
    <row r="22" spans="1:21">
      <c r="A22" s="139" t="str">
        <f>'14'!$B$2</f>
        <v>14/01/2025 00:15</v>
      </c>
      <c r="B22" s="140">
        <f>'14'!B108</f>
        <v>7.4527083333333364</v>
      </c>
      <c r="C22" s="140">
        <f>'14'!C108</f>
        <v>25.951770833333324</v>
      </c>
      <c r="D22" s="140">
        <f>'14'!D108</f>
        <v>20.886666666666667</v>
      </c>
      <c r="E22" s="140">
        <f>'14'!E108</f>
        <v>9.3127083333333314</v>
      </c>
      <c r="F22" s="140">
        <f>'14'!F108</f>
        <v>11.71036144578313</v>
      </c>
      <c r="G22" s="140">
        <f>'14'!G108</f>
        <v>93.624062500000051</v>
      </c>
      <c r="H22" s="140">
        <f>'14'!H108</f>
        <v>36.668020833333351</v>
      </c>
      <c r="I22" s="140">
        <f>'14'!I108</f>
        <v>11.125312500000005</v>
      </c>
      <c r="J22" s="140">
        <f>'14'!J108</f>
        <v>0.46229166666666682</v>
      </c>
      <c r="K22" s="140">
        <f>'14'!K108</f>
        <v>82.261666666666684</v>
      </c>
      <c r="L22" s="140">
        <f>'14'!L108</f>
        <v>20.210937500000004</v>
      </c>
      <c r="M22" s="140">
        <f>'14'!M108</f>
        <v>70.146145833333378</v>
      </c>
      <c r="N22" s="140">
        <f>'14'!N108</f>
        <v>69.9166666666667</v>
      </c>
      <c r="O22" s="140">
        <f>'14'!O108</f>
        <v>0</v>
      </c>
      <c r="P22" s="140">
        <f>'14'!P108</f>
        <v>0.90864583333333337</v>
      </c>
      <c r="Q22" s="140">
        <f>'14'!Q108</f>
        <v>12.978020833333348</v>
      </c>
      <c r="R22" s="153"/>
      <c r="S22" s="153"/>
      <c r="T22" s="153"/>
      <c r="U22" s="153"/>
    </row>
    <row r="23" spans="1:21">
      <c r="A23" s="139" t="str">
        <f>'15'!$B$2</f>
        <v>15/01/2025 00:15</v>
      </c>
      <c r="B23" s="83">
        <f>'15'!B108</f>
        <v>9.4217708333333352</v>
      </c>
      <c r="C23" s="83">
        <f>'15'!C108</f>
        <v>26.743125000000003</v>
      </c>
      <c r="D23" s="83">
        <f>'15'!D108</f>
        <v>22.879374999999996</v>
      </c>
      <c r="E23" s="83">
        <f>'15'!E108</f>
        <v>8.6783333333333292</v>
      </c>
      <c r="F23" s="83">
        <f>'15'!F108</f>
        <v>6.6763541666666688</v>
      </c>
      <c r="G23" s="83">
        <f>'15'!G108</f>
        <v>96.839687499999982</v>
      </c>
      <c r="H23" s="83">
        <f>'15'!H108</f>
        <v>35.094375000000021</v>
      </c>
      <c r="I23" s="83">
        <f>'15'!I108</f>
        <v>11.291874999999997</v>
      </c>
      <c r="J23" s="83">
        <f>'15'!J108</f>
        <v>0.36437500000000006</v>
      </c>
      <c r="K23" s="83">
        <f>'15'!K108</f>
        <v>98.31197916666666</v>
      </c>
      <c r="L23" s="83">
        <f>'15'!L108</f>
        <v>20.503124999999994</v>
      </c>
      <c r="M23" s="83">
        <f>'15'!M108</f>
        <v>63.825520833333307</v>
      </c>
      <c r="N23" s="83">
        <f>'15'!N108</f>
        <v>70.39791666666666</v>
      </c>
      <c r="O23" s="83">
        <f>'15'!O108</f>
        <v>0</v>
      </c>
      <c r="P23" s="83">
        <f>'15'!P108</f>
        <v>0.87989583333333321</v>
      </c>
      <c r="Q23" s="83">
        <f>'15'!Q108</f>
        <v>12.981770833333345</v>
      </c>
      <c r="R23" s="76"/>
      <c r="S23" s="76"/>
      <c r="T23" s="76"/>
      <c r="U23" s="76"/>
    </row>
    <row r="24" spans="1:21">
      <c r="A24" s="139" t="str">
        <f>'16'!$B$2</f>
        <v>16/01/2025 00:15</v>
      </c>
      <c r="B24" s="83">
        <f>'16'!B108</f>
        <v>18.26163043478261</v>
      </c>
      <c r="C24" s="83">
        <f>'16'!C108</f>
        <v>27.518804347826073</v>
      </c>
      <c r="D24" s="83">
        <f>'16'!D108</f>
        <v>30.37391304347825</v>
      </c>
      <c r="E24" s="83">
        <f>'16'!E108</f>
        <v>8.216413043478255</v>
      </c>
      <c r="F24" s="83">
        <f>'16'!F108</f>
        <v>4.4249999999999998</v>
      </c>
      <c r="G24" s="83">
        <f>'16'!G108</f>
        <v>100.08354838709678</v>
      </c>
      <c r="H24" s="83">
        <f>'16'!H108</f>
        <v>33.544408602150519</v>
      </c>
      <c r="I24" s="83">
        <f>'16'!I108</f>
        <v>13.694945054945057</v>
      </c>
      <c r="J24" s="83">
        <f>'16'!J108</f>
        <v>0.4287096774193549</v>
      </c>
      <c r="K24" s="83">
        <f>'16'!K108</f>
        <v>102.29365591397843</v>
      </c>
      <c r="L24" s="83">
        <f>'16'!L108</f>
        <v>21.697849462365589</v>
      </c>
      <c r="M24" s="83">
        <f>'16'!M108</f>
        <v>60.444086021505377</v>
      </c>
      <c r="N24" s="83">
        <f>'16'!N108</f>
        <v>73.448387096774155</v>
      </c>
      <c r="O24" s="83">
        <f>'16'!O108</f>
        <v>0</v>
      </c>
      <c r="P24" s="83">
        <f>'16'!P108</f>
        <v>1.0119354838709678</v>
      </c>
      <c r="Q24" s="83">
        <f>'16'!Q108</f>
        <v>12.340000000000012</v>
      </c>
      <c r="R24" s="76"/>
      <c r="S24" s="76"/>
      <c r="T24" s="76"/>
      <c r="U24" s="76"/>
    </row>
    <row r="25" spans="1:21">
      <c r="A25" s="139" t="str">
        <f>'17'!$B$2</f>
        <v>17/01/2025 00:15</v>
      </c>
      <c r="B25" s="83">
        <f>'17'!B108</f>
        <v>13.104270833333331</v>
      </c>
      <c r="C25" s="83">
        <f>'17'!C108</f>
        <v>28.375208333333333</v>
      </c>
      <c r="D25" s="83">
        <f>'17'!D108</f>
        <v>26.685000000000006</v>
      </c>
      <c r="E25" s="83">
        <f>'17'!E108</f>
        <v>10.967604166666669</v>
      </c>
      <c r="F25" s="83">
        <f>'17'!F108</f>
        <v>3.725208333333335</v>
      </c>
      <c r="G25" s="83">
        <f>'17'!G108</f>
        <v>72.78125</v>
      </c>
      <c r="H25" s="83">
        <f>'17'!H108</f>
        <v>27.244375000000005</v>
      </c>
      <c r="I25" s="83">
        <f>'17'!I108</f>
        <v>8.4494791666666629</v>
      </c>
      <c r="J25" s="83">
        <f>'17'!J108</f>
        <v>0.80708333333333349</v>
      </c>
      <c r="K25" s="83">
        <f>'17'!K108</f>
        <v>49.386249999999997</v>
      </c>
      <c r="L25" s="83">
        <f>'17'!L108</f>
        <v>21.763541666666665</v>
      </c>
      <c r="M25" s="83">
        <f>'17'!M108</f>
        <v>43.984166666666681</v>
      </c>
      <c r="N25" s="83">
        <f>'17'!N108</f>
        <v>83.64687499999998</v>
      </c>
      <c r="O25" s="83">
        <f>'17'!O108</f>
        <v>0</v>
      </c>
      <c r="P25" s="83">
        <f>'17'!P108</f>
        <v>0.68822916666666734</v>
      </c>
      <c r="Q25" s="83">
        <f>'17'!Q108</f>
        <v>12.539999999999983</v>
      </c>
      <c r="R25" s="76"/>
      <c r="S25" s="76"/>
      <c r="T25" s="76"/>
      <c r="U25" s="76"/>
    </row>
    <row r="26" spans="1:21">
      <c r="A26" s="139" t="str">
        <f>'18'!$B$2</f>
        <v>18/01/2025 00:15</v>
      </c>
      <c r="B26" s="83">
        <f>'18'!B108</f>
        <v>20.678229166666668</v>
      </c>
      <c r="C26" s="83">
        <f>'18'!C108</f>
        <v>28.728437500000013</v>
      </c>
      <c r="D26" s="83">
        <f>'18'!D108</f>
        <v>32.873020833333335</v>
      </c>
      <c r="E26" s="83">
        <f>'18'!E108</f>
        <v>9.5134375000000073</v>
      </c>
      <c r="F26" s="83">
        <f>'18'!F108</f>
        <v>0.96739583333333323</v>
      </c>
      <c r="G26" s="83">
        <f>'18'!G108</f>
        <v>89.546875000000071</v>
      </c>
      <c r="H26" s="83">
        <f>'18'!H108</f>
        <v>32.568125000000016</v>
      </c>
      <c r="I26" s="83">
        <f>'18'!I108</f>
        <v>9.4008333333333347</v>
      </c>
      <c r="J26" s="83">
        <f>'18'!J108</f>
        <v>0.46052083333333299</v>
      </c>
      <c r="K26" s="83">
        <f>'18'!K108</f>
        <v>83.813541666666666</v>
      </c>
      <c r="L26" s="83">
        <f>'18'!L108</f>
        <v>19.742604166666666</v>
      </c>
      <c r="M26" s="83">
        <f>'18'!M108</f>
        <v>52.745000000000026</v>
      </c>
      <c r="N26" s="83">
        <f>'18'!N108</f>
        <v>85.302083333333343</v>
      </c>
      <c r="O26" s="83">
        <f>'18'!O108</f>
        <v>0</v>
      </c>
      <c r="P26" s="83">
        <f>'18'!P108</f>
        <v>0.77479166666666632</v>
      </c>
      <c r="Q26" s="83">
        <f>'18'!Q108</f>
        <v>11.240000000000007</v>
      </c>
      <c r="R26" s="76"/>
      <c r="S26" s="76"/>
      <c r="T26" s="76"/>
      <c r="U26" s="76"/>
    </row>
    <row r="27" spans="1:21">
      <c r="A27" s="139" t="str">
        <f>'19'!$B$2</f>
        <v>19/01/2025 00:15</v>
      </c>
      <c r="B27" s="83">
        <f>'19'!B108</f>
        <v>20.038645833333341</v>
      </c>
      <c r="C27" s="83">
        <f>'19'!C108</f>
        <v>29.187708333333337</v>
      </c>
      <c r="D27" s="83">
        <f>'19'!D108</f>
        <v>32.670000000000016</v>
      </c>
      <c r="E27" s="83">
        <f>'19'!E108</f>
        <v>11.15374999999999</v>
      </c>
      <c r="F27" s="83">
        <f>'19'!F108</f>
        <v>0.82635416666666683</v>
      </c>
      <c r="G27" s="83">
        <f>'19'!G108</f>
        <v>114.4083333333333</v>
      </c>
      <c r="H27" s="83">
        <f>'19'!H108</f>
        <v>42.502916666666657</v>
      </c>
      <c r="I27" s="83">
        <f>'19'!I108</f>
        <v>13.376875</v>
      </c>
      <c r="J27" s="83">
        <f>'19'!J108</f>
        <v>0.29416666666666669</v>
      </c>
      <c r="K27" s="83">
        <f>'19'!K108</f>
        <v>132.00895833333331</v>
      </c>
      <c r="L27" s="83">
        <f>'19'!L108</f>
        <v>19.76635416666667</v>
      </c>
      <c r="M27" s="83">
        <f>'19'!M108</f>
        <v>59.605312499999997</v>
      </c>
      <c r="N27" s="83">
        <f>'19'!N108</f>
        <v>96.844791666666708</v>
      </c>
      <c r="O27" s="83">
        <f>'19'!O108</f>
        <v>0</v>
      </c>
      <c r="P27" s="83">
        <f>'19'!P108</f>
        <v>1.1301041666666662</v>
      </c>
      <c r="Q27" s="83">
        <f>'19'!Q108</f>
        <v>12.539999999999983</v>
      </c>
      <c r="R27" s="76"/>
      <c r="S27" s="76"/>
      <c r="T27" s="76"/>
      <c r="U27" s="76"/>
    </row>
    <row r="28" spans="1:21">
      <c r="A28" s="139" t="str">
        <f>'20'!$B$2</f>
        <v>20/01/2025 00:15</v>
      </c>
      <c r="B28" s="83">
        <f>'20'!B108</f>
        <v>20.168125000000014</v>
      </c>
      <c r="C28" s="83">
        <f>'20'!C108</f>
        <v>27.332395833333326</v>
      </c>
      <c r="D28" s="83">
        <f>'20'!D108</f>
        <v>31.80374999999999</v>
      </c>
      <c r="E28" s="83">
        <f>'20'!E108</f>
        <v>9.9248958333333324</v>
      </c>
      <c r="F28" s="83">
        <f>'20'!F108</f>
        <v>0.95895833333333325</v>
      </c>
      <c r="G28" s="83">
        <f>'20'!G108</f>
        <v>96.562604166666688</v>
      </c>
      <c r="H28" s="83">
        <f>'20'!H108</f>
        <v>33.270520833333336</v>
      </c>
      <c r="I28" s="83">
        <f>'20'!I108</f>
        <v>13.20927083333334</v>
      </c>
      <c r="J28" s="83">
        <f>'20'!J108</f>
        <v>0.31427083333333322</v>
      </c>
      <c r="K28" s="83">
        <f>'20'!K108</f>
        <v>160.86677083333339</v>
      </c>
      <c r="L28" s="83">
        <f>'20'!L108</f>
        <v>19.757916666666659</v>
      </c>
      <c r="M28" s="83">
        <f>'20'!M108</f>
        <v>59.15760416666668</v>
      </c>
      <c r="N28" s="83">
        <f>'20'!N108</f>
        <v>100.89895833333333</v>
      </c>
      <c r="O28" s="83">
        <f>'20'!O108</f>
        <v>0</v>
      </c>
      <c r="P28" s="83">
        <f>'20'!P108</f>
        <v>1.0881249999999996</v>
      </c>
      <c r="Q28" s="83">
        <f>'20'!Q108</f>
        <v>12.570000000000009</v>
      </c>
      <c r="R28" s="76"/>
      <c r="S28" s="76"/>
      <c r="T28" s="76"/>
      <c r="U28" s="76"/>
    </row>
    <row r="29" spans="1:21">
      <c r="A29" s="139" t="str">
        <f>'21'!$B$2</f>
        <v>21/01/2025 00:15</v>
      </c>
      <c r="B29" s="83">
        <f>'21'!B108</f>
        <v>13.206458333333329</v>
      </c>
      <c r="C29" s="83">
        <f>'21'!C108</f>
        <v>28.28468749999999</v>
      </c>
      <c r="D29" s="83">
        <f>'21'!D108</f>
        <v>26.720208333333343</v>
      </c>
      <c r="E29" s="83">
        <f>'21'!E108</f>
        <v>12.457916666666664</v>
      </c>
      <c r="F29" s="83">
        <f>'21'!F108</f>
        <v>0.98666666666666625</v>
      </c>
      <c r="G29" s="83">
        <f>'21'!G108</f>
        <v>91.157395833333339</v>
      </c>
      <c r="H29" s="83">
        <f>'21'!H108</f>
        <v>28.565624999999994</v>
      </c>
      <c r="I29" s="83">
        <f>'21'!I108</f>
        <v>12.306354166666667</v>
      </c>
      <c r="J29" s="83">
        <f>'21'!J108</f>
        <v>0.34718749999999998</v>
      </c>
      <c r="K29" s="83">
        <f>'21'!K108</f>
        <v>129.03104166666665</v>
      </c>
      <c r="L29" s="83">
        <f>'21'!L108</f>
        <v>20.623541666666668</v>
      </c>
      <c r="M29" s="83">
        <f>'21'!M108</f>
        <v>62.594166666666645</v>
      </c>
      <c r="N29" s="83">
        <f>'21'!N108</f>
        <v>97.957291666666649</v>
      </c>
      <c r="O29" s="83">
        <f>'21'!O108</f>
        <v>0</v>
      </c>
      <c r="P29" s="83">
        <f>'21'!P108</f>
        <v>1.0021875000000005</v>
      </c>
      <c r="Q29" s="83">
        <f>'21'!Q108</f>
        <v>11.25</v>
      </c>
      <c r="R29" s="76"/>
      <c r="S29" s="76"/>
      <c r="T29" s="76"/>
      <c r="U29" s="76"/>
    </row>
    <row r="30" spans="1:21">
      <c r="A30" s="139" t="str">
        <f>'22'!$B$2</f>
        <v>22/01/2025 00:15</v>
      </c>
      <c r="B30" s="83">
        <f>'22'!B108</f>
        <v>21.806041666666662</v>
      </c>
      <c r="C30" s="83">
        <f>'22'!C108</f>
        <v>30.607291666666683</v>
      </c>
      <c r="D30" s="83">
        <f>'22'!D108</f>
        <v>34.829374999999999</v>
      </c>
      <c r="E30" s="83">
        <f>'22'!E108</f>
        <v>12.788541666666665</v>
      </c>
      <c r="F30" s="83">
        <f>'22'!F108</f>
        <v>1.6969791666666667</v>
      </c>
      <c r="G30" s="83">
        <f>'22'!G108</f>
        <v>127.38875000000009</v>
      </c>
      <c r="H30" s="83">
        <f>'22'!H108</f>
        <v>32.952812499999993</v>
      </c>
      <c r="I30" s="83">
        <f>'22'!I108</f>
        <v>14.965312500000008</v>
      </c>
      <c r="J30" s="83">
        <f>'22'!J108</f>
        <v>0.31468750000000001</v>
      </c>
      <c r="K30" s="83">
        <f>'22'!K108</f>
        <v>131.59322916666667</v>
      </c>
      <c r="L30" s="83">
        <f>'22'!L108</f>
        <v>21.343125000000001</v>
      </c>
      <c r="M30" s="83">
        <f>'22'!M108</f>
        <v>64.591770833333328</v>
      </c>
      <c r="N30" s="83">
        <f>'22'!N108</f>
        <v>93.833333333333329</v>
      </c>
      <c r="O30" s="83">
        <f>'22'!O108</f>
        <v>0</v>
      </c>
      <c r="P30" s="83">
        <f>'22'!P108</f>
        <v>1.2538541666666665</v>
      </c>
      <c r="Q30" s="83">
        <f>'22'!Q108</f>
        <v>12.240000000000007</v>
      </c>
      <c r="R30" s="76"/>
      <c r="S30" s="76"/>
      <c r="T30" s="76"/>
      <c r="U30" s="76"/>
    </row>
    <row r="31" spans="1:21">
      <c r="A31" s="139" t="str">
        <f>'23'!$B$2</f>
        <v>23/01/2025 00:15</v>
      </c>
      <c r="B31" s="83">
        <f>'23'!B108</f>
        <v>20.603229166666654</v>
      </c>
      <c r="C31" s="83">
        <f>'23'!C108</f>
        <v>27.291666666666671</v>
      </c>
      <c r="D31" s="83">
        <f>'23'!D108</f>
        <v>32.132187500000001</v>
      </c>
      <c r="E31" s="83">
        <f>'23'!E108</f>
        <v>10.251145833333334</v>
      </c>
      <c r="F31" s="83">
        <f>'23'!F108</f>
        <v>1.2463541666666669</v>
      </c>
      <c r="G31" s="83">
        <f>'23'!G108</f>
        <v>102.0489583333334</v>
      </c>
      <c r="H31" s="83">
        <f>'23'!H108</f>
        <v>35.416249999999998</v>
      </c>
      <c r="I31" s="83">
        <f>'23'!I108</f>
        <v>13.735312499999997</v>
      </c>
      <c r="J31" s="83">
        <f>'23'!J108</f>
        <v>0.23291666666666674</v>
      </c>
      <c r="K31" s="83">
        <f>'23'!K108</f>
        <v>194.05708333333334</v>
      </c>
      <c r="L31" s="83">
        <f>'23'!L108</f>
        <v>22.712916666666661</v>
      </c>
      <c r="M31" s="83">
        <f>'23'!M108</f>
        <v>61.544999999999995</v>
      </c>
      <c r="N31" s="83">
        <f>'23'!N108</f>
        <v>93.293749999999932</v>
      </c>
      <c r="O31" s="83">
        <f>'23'!O108</f>
        <v>0</v>
      </c>
      <c r="P31" s="83">
        <f>'23'!P108</f>
        <v>1.0248958333333336</v>
      </c>
      <c r="Q31" s="83">
        <f>'23'!Q108</f>
        <v>12.240000000000007</v>
      </c>
      <c r="R31" s="76"/>
      <c r="S31" s="154"/>
      <c r="T31" s="76"/>
      <c r="U31" s="76"/>
    </row>
    <row r="32" spans="1:21">
      <c r="A32" s="139" t="str">
        <f>'24'!$B$2</f>
        <v>24/01/2025 00:15</v>
      </c>
      <c r="B32" s="83">
        <f>'24'!B108</f>
        <v>12.996666666666668</v>
      </c>
      <c r="C32" s="83">
        <f>'24'!C108</f>
        <v>29.575937500000013</v>
      </c>
      <c r="D32" s="83">
        <f>'24'!D108</f>
        <v>27.225937499999983</v>
      </c>
      <c r="E32" s="83">
        <f>'24'!E108</f>
        <v>10.405312499999999</v>
      </c>
      <c r="F32" s="83">
        <f>'24'!F108</f>
        <v>1.1142708333333338</v>
      </c>
      <c r="G32" s="83">
        <f>'24'!G108</f>
        <v>124.31593750000003</v>
      </c>
      <c r="H32" s="83">
        <f>'24'!H108</f>
        <v>45.136770833333351</v>
      </c>
      <c r="I32" s="83">
        <f>'24'!I108</f>
        <v>16.467083333333338</v>
      </c>
      <c r="J32" s="83">
        <f>'24'!J108</f>
        <v>0.25947916666666671</v>
      </c>
      <c r="K32" s="83">
        <f>'24'!K108</f>
        <v>187.38218750000007</v>
      </c>
      <c r="L32" s="83">
        <f>'24'!L108</f>
        <v>22.751666666666676</v>
      </c>
      <c r="M32" s="83">
        <f>'24'!M108</f>
        <v>65.20604166666665</v>
      </c>
      <c r="N32" s="83">
        <f>'24'!N108</f>
        <v>78.256249999999966</v>
      </c>
      <c r="O32" s="83">
        <f>'24'!O108</f>
        <v>0</v>
      </c>
      <c r="P32" s="83">
        <f>'24'!P108</f>
        <v>1.3474999999999999</v>
      </c>
      <c r="Q32" s="83">
        <f>'24'!Q108</f>
        <v>12.25</v>
      </c>
      <c r="R32" s="76"/>
      <c r="S32" s="76"/>
      <c r="T32" s="76"/>
      <c r="U32" s="76"/>
    </row>
    <row r="33" spans="1:21">
      <c r="A33" s="139" t="str">
        <f>'25'!$B$2</f>
        <v>25/01/2025 00:15</v>
      </c>
      <c r="B33" s="83">
        <f>'25'!B108</f>
        <v>19.560000000000009</v>
      </c>
      <c r="C33" s="83">
        <f>'25'!C108</f>
        <v>28.436562499999997</v>
      </c>
      <c r="D33" s="83">
        <f>'25'!D108</f>
        <v>31.894062500000008</v>
      </c>
      <c r="E33" s="83">
        <f>'25'!E108</f>
        <v>10.868541666666664</v>
      </c>
      <c r="F33" s="83">
        <f>'25'!F108</f>
        <v>1.295520833333333</v>
      </c>
      <c r="G33" s="83">
        <f>'25'!G108</f>
        <v>94.783854166666728</v>
      </c>
      <c r="H33" s="83">
        <f>'25'!H108</f>
        <v>32.468020833333334</v>
      </c>
      <c r="I33" s="83">
        <f>'25'!I108</f>
        <v>15.804895833333347</v>
      </c>
      <c r="J33" s="83">
        <f>'25'!J108</f>
        <v>0.29520833333333324</v>
      </c>
      <c r="K33" s="83">
        <f>'25'!K108</f>
        <v>169.97468749999999</v>
      </c>
      <c r="L33" s="83">
        <f>'25'!L108</f>
        <v>22.543229166666674</v>
      </c>
      <c r="M33" s="83">
        <f>'25'!M108</f>
        <v>66.391249999999999</v>
      </c>
      <c r="N33" s="83">
        <f>'25'!N108</f>
        <v>86.023958333333312</v>
      </c>
      <c r="O33" s="83">
        <f>'25'!O108</f>
        <v>0</v>
      </c>
      <c r="P33" s="83">
        <f>'25'!P108</f>
        <v>1.1271875</v>
      </c>
      <c r="Q33" s="83">
        <f>'25'!Q108</f>
        <v>12.25</v>
      </c>
      <c r="R33" s="76"/>
      <c r="S33" s="154"/>
      <c r="T33" s="76"/>
      <c r="U33" s="76"/>
    </row>
    <row r="34" spans="1:21">
      <c r="A34" s="139" t="str">
        <f>'26'!$B$2</f>
        <v>26/01/2025 00:15</v>
      </c>
      <c r="B34" s="83">
        <f>'26'!B108</f>
        <v>16.739791666666669</v>
      </c>
      <c r="C34" s="83">
        <f>'26'!C108</f>
        <v>28.131250000000005</v>
      </c>
      <c r="D34" s="83">
        <f>'26'!D108</f>
        <v>29.473333333333315</v>
      </c>
      <c r="E34" s="83">
        <f>'26'!E108</f>
        <v>10.316145833333339</v>
      </c>
      <c r="F34" s="83">
        <f>'26'!F108</f>
        <v>1.3583333333333334</v>
      </c>
      <c r="G34" s="83">
        <f>'26'!G108</f>
        <v>87.328645833333326</v>
      </c>
      <c r="H34" s="83">
        <f>'26'!H108</f>
        <v>24.822812500000001</v>
      </c>
      <c r="I34" s="83">
        <f>'26'!I108</f>
        <v>13.371458333333331</v>
      </c>
      <c r="J34" s="83">
        <f>'26'!J108</f>
        <v>0.3540625</v>
      </c>
      <c r="K34" s="83">
        <f>'26'!K108</f>
        <v>115.64312500000001</v>
      </c>
      <c r="L34" s="83">
        <f>'26'!L108</f>
        <v>21.953749999999985</v>
      </c>
      <c r="M34" s="83">
        <f>'26'!M108</f>
        <v>61.957916666666669</v>
      </c>
      <c r="N34" s="83">
        <f>'26'!N108</f>
        <v>91.735416666666652</v>
      </c>
      <c r="O34" s="83">
        <f>'26'!O108</f>
        <v>0</v>
      </c>
      <c r="P34" s="83">
        <f>'26'!P108</f>
        <v>0.94364583333333363</v>
      </c>
      <c r="Q34" s="83">
        <f>'26'!Q108</f>
        <v>12.049999999999978</v>
      </c>
      <c r="R34" s="76"/>
      <c r="S34" s="76"/>
      <c r="T34" s="76"/>
      <c r="U34" s="76"/>
    </row>
    <row r="35" spans="1:21">
      <c r="A35" s="139" t="str">
        <f>'27'!$B$2</f>
        <v>27/01/2025 00:15</v>
      </c>
      <c r="B35" s="83">
        <f>'27'!B108</f>
        <v>14.103020833333337</v>
      </c>
      <c r="C35" s="83">
        <f>'27'!C108</f>
        <v>27.861041666666654</v>
      </c>
      <c r="D35" s="83">
        <f>'27'!D108</f>
        <v>27.216666666666683</v>
      </c>
      <c r="E35" s="83">
        <f>'27'!E108</f>
        <v>9.5147916666666692</v>
      </c>
      <c r="F35" s="83">
        <f>'27'!F108</f>
        <v>0.58333333333333393</v>
      </c>
      <c r="G35" s="83">
        <f>'27'!G108</f>
        <v>80.420520833333299</v>
      </c>
      <c r="H35" s="83">
        <f>'27'!H108</f>
        <v>21.75322916666666</v>
      </c>
      <c r="I35" s="83">
        <f>'27'!I108</f>
        <v>9.7794791666666736</v>
      </c>
      <c r="J35" s="83">
        <f>'27'!J108</f>
        <v>0.38156250000000008</v>
      </c>
      <c r="K35" s="83">
        <f>'27'!K108</f>
        <v>164.68760416666666</v>
      </c>
      <c r="L35" s="83">
        <f>'27'!L108</f>
        <v>21.373229166666661</v>
      </c>
      <c r="M35" s="83">
        <f>'27'!M108</f>
        <v>53.823229166666664</v>
      </c>
      <c r="N35" s="83">
        <f>'27'!N108</f>
        <v>95.548958333333289</v>
      </c>
      <c r="O35" s="83">
        <f>'27'!O108</f>
        <v>0</v>
      </c>
      <c r="P35" s="83">
        <f>'27'!P108</f>
        <v>0.75333333333333341</v>
      </c>
      <c r="Q35" s="83">
        <f>'27'!Q108</f>
        <v>13.108541666666682</v>
      </c>
      <c r="R35" s="76"/>
      <c r="S35" s="76"/>
      <c r="T35" s="76"/>
      <c r="U35" s="76"/>
    </row>
    <row r="36" spans="1:21">
      <c r="A36" s="139" t="str">
        <f>'28'!$B$2</f>
        <v>28/01/2025 00:15</v>
      </c>
      <c r="B36" s="83">
        <f>'28'!B108</f>
        <v>16.129062499999993</v>
      </c>
      <c r="C36" s="83">
        <f>'28'!C108</f>
        <v>27.469895833333339</v>
      </c>
      <c r="D36" s="83">
        <f>'28'!D108</f>
        <v>28.637604166666666</v>
      </c>
      <c r="E36" s="83">
        <f>'28'!E108</f>
        <v>11.403958333333334</v>
      </c>
      <c r="F36" s="151" t="s">
        <v>8</v>
      </c>
      <c r="G36" s="83">
        <f>'28'!G108</f>
        <v>88.740000000000009</v>
      </c>
      <c r="H36" s="83">
        <f>'28'!H108</f>
        <v>25.098645833333332</v>
      </c>
      <c r="I36" s="83">
        <f>'28'!I108</f>
        <v>11.315729166666669</v>
      </c>
      <c r="J36" s="83">
        <f>'28'!J108</f>
        <v>0.33447916666666672</v>
      </c>
      <c r="K36" s="83">
        <f>'28'!K108</f>
        <v>117.80968750000004</v>
      </c>
      <c r="L36" s="83">
        <f>'28'!L108</f>
        <v>21.608437500000004</v>
      </c>
      <c r="M36" s="83">
        <f>'28'!M108</f>
        <v>55.274062500000007</v>
      </c>
      <c r="N36" s="83">
        <f>'28'!N108</f>
        <v>94.01354166666664</v>
      </c>
      <c r="O36" s="83">
        <f>'28'!O108</f>
        <v>0</v>
      </c>
      <c r="P36" s="83">
        <f>'28'!P108</f>
        <v>0.87687500000000007</v>
      </c>
      <c r="Q36" s="83">
        <f>'28'!Q108</f>
        <v>13.000416666666679</v>
      </c>
      <c r="R36" s="76"/>
      <c r="S36" s="76"/>
      <c r="T36" s="76"/>
      <c r="U36" s="76"/>
    </row>
    <row r="37" spans="1:21" s="2" customFormat="1">
      <c r="A37" s="139" t="str">
        <f>'29'!$B$2</f>
        <v>29/01/2025 00:15</v>
      </c>
      <c r="B37" s="83">
        <f>'29'!B108</f>
        <v>13.925833333333335</v>
      </c>
      <c r="C37" s="83">
        <f>'29'!C108</f>
        <v>28.697395833333331</v>
      </c>
      <c r="D37" s="83">
        <f>'29'!D108</f>
        <v>27.51229166666667</v>
      </c>
      <c r="E37" s="83">
        <f>'29'!E108</f>
        <v>13.735520833333338</v>
      </c>
      <c r="F37" s="151" t="s">
        <v>8</v>
      </c>
      <c r="G37" s="83">
        <f>'29'!G108</f>
        <v>110.99395833333337</v>
      </c>
      <c r="H37" s="83">
        <f>'29'!H108</f>
        <v>32.129583333333329</v>
      </c>
      <c r="I37" s="83">
        <f>'29'!I108</f>
        <v>16.49291666666667</v>
      </c>
      <c r="J37" s="83">
        <f>'29'!J108</f>
        <v>0.26781250000000006</v>
      </c>
      <c r="K37" s="83">
        <f>'29'!K108</f>
        <v>184.24854166666663</v>
      </c>
      <c r="L37" s="83">
        <f>'29'!L108</f>
        <v>22.362395833333334</v>
      </c>
      <c r="M37" s="83">
        <f>'29'!M108</f>
        <v>70.232187500000038</v>
      </c>
      <c r="N37" s="83">
        <f>'29'!N108</f>
        <v>82.484374999999986</v>
      </c>
      <c r="O37" s="83">
        <f>'29'!O108</f>
        <v>0</v>
      </c>
      <c r="P37" s="83">
        <f>'29'!P108</f>
        <v>1.1689583333333331</v>
      </c>
      <c r="Q37" s="83">
        <f>'29'!Q108</f>
        <v>13.016041666666686</v>
      </c>
      <c r="R37" s="76"/>
      <c r="S37" s="76"/>
      <c r="T37" s="76"/>
      <c r="U37" s="76"/>
    </row>
    <row r="38" spans="1:21" s="2" customFormat="1">
      <c r="A38" s="139" t="str">
        <f>'30'!$B$2</f>
        <v>30/01/2025 00:15</v>
      </c>
      <c r="B38" s="83">
        <f>'30'!B108</f>
        <v>6.7623958333333354</v>
      </c>
      <c r="C38" s="83">
        <f>'30'!C108</f>
        <v>23.31552083333332</v>
      </c>
      <c r="D38" s="83">
        <f>'30'!D108</f>
        <v>18.955937499999994</v>
      </c>
      <c r="E38" s="83">
        <f>'30'!E108</f>
        <v>10.7865625</v>
      </c>
      <c r="F38" s="151" t="s">
        <v>8</v>
      </c>
      <c r="G38" s="83">
        <f>'30'!G108</f>
        <v>65.679270833333334</v>
      </c>
      <c r="H38" s="83">
        <f>'30'!H108</f>
        <v>26.147708333333345</v>
      </c>
      <c r="I38" s="83">
        <f>'30'!I108</f>
        <v>14.964791666666665</v>
      </c>
      <c r="J38" s="83">
        <f>'30'!J108</f>
        <v>0.34302083333333339</v>
      </c>
      <c r="K38" s="83">
        <f>'30'!K108</f>
        <v>210.18760416666669</v>
      </c>
      <c r="L38" s="83">
        <f>'30'!L108</f>
        <v>24.145416666666673</v>
      </c>
      <c r="M38" s="83">
        <f>'30'!M108</f>
        <v>70.308229166666635</v>
      </c>
      <c r="N38" s="83">
        <f>'30'!N108</f>
        <v>83.704166666666666</v>
      </c>
      <c r="O38" s="83">
        <f>'30'!O108</f>
        <v>0</v>
      </c>
      <c r="P38" s="83">
        <f>'30'!P108</f>
        <v>0.95593750000000044</v>
      </c>
      <c r="Q38" s="83">
        <f>'30'!Q108</f>
        <v>12.965729166666671</v>
      </c>
      <c r="R38" s="76"/>
      <c r="S38" s="76"/>
      <c r="T38" s="76"/>
      <c r="U38" s="76"/>
    </row>
    <row r="39" spans="1:21" s="2" customFormat="1">
      <c r="A39" s="139" t="str">
        <f>'31'!$B$2</f>
        <v>31/01/2025 00:15</v>
      </c>
      <c r="B39" s="83">
        <f>'31'!B108</f>
        <v>6.4375</v>
      </c>
      <c r="C39" s="83">
        <f>'31'!C108</f>
        <v>19.945520833333326</v>
      </c>
      <c r="D39" s="83">
        <f>'31'!D108</f>
        <v>16.933958333333326</v>
      </c>
      <c r="E39" s="83">
        <f>'31'!E108</f>
        <v>9.9808333333333312</v>
      </c>
      <c r="F39" s="152" t="s">
        <v>15</v>
      </c>
      <c r="G39" s="83">
        <f>'31'!G108</f>
        <v>57.517812500000012</v>
      </c>
      <c r="H39" s="83">
        <f>'31'!H108</f>
        <v>20.845416666666676</v>
      </c>
      <c r="I39" s="83">
        <f>'31'!I108</f>
        <v>7.7677083333333314</v>
      </c>
      <c r="J39" s="83">
        <f>'31'!J108</f>
        <v>0.33500000000000002</v>
      </c>
      <c r="K39" s="83">
        <f>'31'!K108</f>
        <v>221.40656249999995</v>
      </c>
      <c r="L39" s="83">
        <f>'31'!L108</f>
        <v>24.953229166666663</v>
      </c>
      <c r="M39" s="83">
        <f>'31'!M108</f>
        <v>72.811666666666696</v>
      </c>
      <c r="N39" s="83">
        <f>'31'!N108</f>
        <v>79.005208333333286</v>
      </c>
      <c r="O39" s="83">
        <f>'31'!O108</f>
        <v>0</v>
      </c>
      <c r="P39" s="83">
        <f>'31'!P108</f>
        <v>0.61833333333333351</v>
      </c>
      <c r="Q39" s="83">
        <f>'31'!Q108</f>
        <v>12.940104166666666</v>
      </c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6.4375</v>
      </c>
      <c r="C41" s="141">
        <f t="shared" si="0"/>
        <v>19.945520833333326</v>
      </c>
      <c r="D41" s="141">
        <f t="shared" si="0"/>
        <v>16.933958333333326</v>
      </c>
      <c r="E41" s="141">
        <f t="shared" si="0"/>
        <v>0.33499999999999824</v>
      </c>
      <c r="F41" s="141">
        <f t="shared" si="0"/>
        <v>0.58333333333333393</v>
      </c>
      <c r="G41" s="141">
        <f t="shared" si="0"/>
        <v>57.517812500000012</v>
      </c>
      <c r="H41" s="141">
        <f t="shared" si="0"/>
        <v>20.154895833333331</v>
      </c>
      <c r="I41" s="141">
        <f t="shared" si="0"/>
        <v>7.7677083333333314</v>
      </c>
      <c r="J41" s="141">
        <f t="shared" si="0"/>
        <v>0.19561797752808993</v>
      </c>
      <c r="K41" s="141">
        <f t="shared" si="0"/>
        <v>49.386249999999997</v>
      </c>
      <c r="L41" s="141">
        <f t="shared" si="0"/>
        <v>17.613125</v>
      </c>
      <c r="M41" s="141">
        <f t="shared" si="0"/>
        <v>43.984166666666681</v>
      </c>
      <c r="N41" s="141">
        <f t="shared" si="0"/>
        <v>57.568539325842671</v>
      </c>
      <c r="O41" s="141">
        <f t="shared" si="0"/>
        <v>0</v>
      </c>
      <c r="P41" s="141">
        <f t="shared" si="0"/>
        <v>0.61833333333333351</v>
      </c>
      <c r="Q41" s="141">
        <f t="shared" si="0"/>
        <v>11.240000000000007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30.313582089552238</v>
      </c>
      <c r="C42" s="141">
        <f t="shared" si="1"/>
        <v>30.607291666666683</v>
      </c>
      <c r="D42" s="141">
        <f t="shared" si="1"/>
        <v>39.817462686567154</v>
      </c>
      <c r="E42" s="141">
        <f t="shared" si="1"/>
        <v>13.735520833333338</v>
      </c>
      <c r="F42" s="141">
        <f t="shared" si="1"/>
        <v>11.71036144578313</v>
      </c>
      <c r="G42" s="141">
        <f t="shared" si="1"/>
        <v>127.38875000000009</v>
      </c>
      <c r="H42" s="141">
        <f t="shared" si="1"/>
        <v>45.136770833333351</v>
      </c>
      <c r="I42" s="141">
        <f t="shared" si="1"/>
        <v>16.49291666666667</v>
      </c>
      <c r="J42" s="141">
        <f t="shared" si="1"/>
        <v>0.80708333333333349</v>
      </c>
      <c r="K42" s="141">
        <f t="shared" si="1"/>
        <v>221.40656249999995</v>
      </c>
      <c r="L42" s="141">
        <f t="shared" si="1"/>
        <v>24.953229166666663</v>
      </c>
      <c r="M42" s="141">
        <f t="shared" si="1"/>
        <v>72.811666666666696</v>
      </c>
      <c r="N42" s="141">
        <f t="shared" si="1"/>
        <v>130.91791044776116</v>
      </c>
      <c r="O42" s="141">
        <f t="shared" si="1"/>
        <v>0</v>
      </c>
      <c r="P42" s="141">
        <f t="shared" si="1"/>
        <v>1.3474999999999999</v>
      </c>
      <c r="Q42" s="141">
        <f t="shared" si="1"/>
        <v>13.53999999999998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15.520579135008211</v>
      </c>
      <c r="C43" s="141">
        <f t="shared" si="2"/>
        <v>26.442132499590361</v>
      </c>
      <c r="D43" s="141">
        <f t="shared" si="2"/>
        <v>27.610349926219481</v>
      </c>
      <c r="E43" s="141">
        <f t="shared" si="2"/>
        <v>9.72119612971259</v>
      </c>
      <c r="F43" s="141">
        <f t="shared" si="2"/>
        <v>2.6836493294607005</v>
      </c>
      <c r="G43" s="141">
        <f t="shared" si="2"/>
        <v>92.778528510984259</v>
      </c>
      <c r="H43" s="141">
        <f t="shared" si="2"/>
        <v>30.853115779888746</v>
      </c>
      <c r="I43" s="141">
        <f t="shared" si="2"/>
        <v>12.631536765198351</v>
      </c>
      <c r="J43" s="141">
        <f t="shared" si="2"/>
        <v>0.34294101807806715</v>
      </c>
      <c r="K43" s="141">
        <f t="shared" si="2"/>
        <v>140.35430349614768</v>
      </c>
      <c r="L43" s="141">
        <f t="shared" si="2"/>
        <v>20.539766798315881</v>
      </c>
      <c r="M43" s="141">
        <f t="shared" si="2"/>
        <v>62.002765847774924</v>
      </c>
      <c r="N43" s="141">
        <f t="shared" si="2"/>
        <v>87.113657372162734</v>
      </c>
      <c r="O43" s="141">
        <f t="shared" si="2"/>
        <v>0</v>
      </c>
      <c r="P43" s="141">
        <f t="shared" si="2"/>
        <v>0.95690088749564084</v>
      </c>
      <c r="Q43" s="141">
        <f t="shared" si="2"/>
        <v>12.380230604526135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5.9527452707053552</v>
      </c>
      <c r="C44" s="141">
        <f t="shared" si="3"/>
        <v>2.6439623605775631</v>
      </c>
      <c r="D44" s="141">
        <f t="shared" si="3"/>
        <v>5.5109768710815441</v>
      </c>
      <c r="E44" s="141">
        <f t="shared" si="3"/>
        <v>2.1517336068301205</v>
      </c>
      <c r="F44" s="141">
        <f t="shared" si="3"/>
        <v>3.1303320810957747</v>
      </c>
      <c r="G44" s="141">
        <f t="shared" si="3"/>
        <v>16.684081364335896</v>
      </c>
      <c r="H44" s="141">
        <f t="shared" si="3"/>
        <v>6.6402038212942456</v>
      </c>
      <c r="I44" s="141">
        <f t="shared" si="3"/>
        <v>2.3454066824499695</v>
      </c>
      <c r="J44" s="141">
        <f t="shared" si="3"/>
        <v>0.10634100526341818</v>
      </c>
      <c r="K44" s="141">
        <f t="shared" si="3"/>
        <v>40.742226402992095</v>
      </c>
      <c r="L44" s="141">
        <f t="shared" si="3"/>
        <v>1.8453197057590189</v>
      </c>
      <c r="M44" s="141">
        <f t="shared" si="3"/>
        <v>6.1264559284272897</v>
      </c>
      <c r="N44" s="141">
        <f t="shared" si="3"/>
        <v>13.54751113307538</v>
      </c>
      <c r="O44" s="141">
        <f t="shared" si="3"/>
        <v>0</v>
      </c>
      <c r="P44" s="141">
        <f t="shared" si="3"/>
        <v>0.16577825160185355</v>
      </c>
      <c r="Q44" s="141">
        <f t="shared" si="3"/>
        <v>0.71413280861171125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31</v>
      </c>
      <c r="C45" s="132">
        <f t="shared" si="4"/>
        <v>31</v>
      </c>
      <c r="D45" s="132">
        <f t="shared" si="4"/>
        <v>31</v>
      </c>
      <c r="E45" s="132">
        <f t="shared" si="4"/>
        <v>31</v>
      </c>
      <c r="F45" s="132">
        <f>COUNT(F9:F39)+6</f>
        <v>20</v>
      </c>
      <c r="G45" s="132">
        <f t="shared" si="4"/>
        <v>31</v>
      </c>
      <c r="H45" s="132">
        <f t="shared" si="4"/>
        <v>31</v>
      </c>
      <c r="I45" s="132">
        <f t="shared" si="4"/>
        <v>31</v>
      </c>
      <c r="J45" s="132">
        <f t="shared" si="4"/>
        <v>31</v>
      </c>
      <c r="K45" s="132">
        <f t="shared" si="4"/>
        <v>31</v>
      </c>
      <c r="L45" s="132">
        <f t="shared" si="4"/>
        <v>31</v>
      </c>
      <c r="M45" s="132">
        <f t="shared" si="4"/>
        <v>31</v>
      </c>
      <c r="N45" s="132">
        <f t="shared" si="4"/>
        <v>31</v>
      </c>
      <c r="O45" s="132">
        <f t="shared" si="4"/>
        <v>31</v>
      </c>
      <c r="P45" s="132">
        <f t="shared" si="4"/>
        <v>31</v>
      </c>
      <c r="Q45" s="132">
        <f t="shared" si="4"/>
        <v>31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5">IF(C45&gt;=28,"&gt;90%",IF(C45&lt;=28,"&lt;90%"))</f>
        <v>&gt;90%</v>
      </c>
      <c r="D46" s="132" t="str">
        <f t="shared" si="5"/>
        <v>&gt;90%</v>
      </c>
      <c r="E46" s="132" t="str">
        <f t="shared" si="5"/>
        <v>&gt;90%</v>
      </c>
      <c r="F46" s="132" t="str">
        <f t="shared" si="5"/>
        <v>&lt;90%</v>
      </c>
      <c r="G46" s="132" t="str">
        <f t="shared" si="5"/>
        <v>&gt;90%</v>
      </c>
      <c r="H46" s="132" t="str">
        <f t="shared" si="5"/>
        <v>&gt;90%</v>
      </c>
      <c r="I46" s="132" t="str">
        <f t="shared" si="5"/>
        <v>&gt;90%</v>
      </c>
      <c r="J46" s="132" t="str">
        <f t="shared" si="5"/>
        <v>&gt;90%</v>
      </c>
      <c r="K46" s="132" t="str">
        <f t="shared" si="5"/>
        <v>&gt;90%</v>
      </c>
      <c r="L46" s="132" t="str">
        <f t="shared" si="5"/>
        <v>&gt;90%</v>
      </c>
      <c r="M46" s="132" t="str">
        <f t="shared" si="5"/>
        <v>&gt;90%</v>
      </c>
      <c r="N46" s="132" t="str">
        <f t="shared" si="5"/>
        <v>&gt;90%</v>
      </c>
      <c r="O46" s="132" t="str">
        <f t="shared" si="5"/>
        <v>&gt;90%</v>
      </c>
      <c r="P46" s="132" t="str">
        <f t="shared" si="5"/>
        <v>&gt;90%</v>
      </c>
      <c r="Q46" s="132" t="str">
        <f t="shared" si="5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6">IF(C45&gt;=28,"OK",IF(C45&lt;=28,"LESS"))</f>
        <v>OK</v>
      </c>
      <c r="D47" s="132" t="str">
        <f t="shared" si="6"/>
        <v>OK</v>
      </c>
      <c r="E47" s="132" t="str">
        <f t="shared" si="6"/>
        <v>OK</v>
      </c>
      <c r="F47" s="132" t="str">
        <f t="shared" si="6"/>
        <v>LESS</v>
      </c>
      <c r="G47" s="132" t="str">
        <f t="shared" si="6"/>
        <v>OK</v>
      </c>
      <c r="H47" s="132" t="str">
        <f t="shared" si="6"/>
        <v>OK</v>
      </c>
      <c r="I47" s="132" t="str">
        <f t="shared" si="6"/>
        <v>OK</v>
      </c>
      <c r="J47" s="132" t="str">
        <f t="shared" si="6"/>
        <v>OK</v>
      </c>
      <c r="K47" s="132" t="str">
        <f t="shared" si="6"/>
        <v>OK</v>
      </c>
      <c r="L47" s="132" t="str">
        <f t="shared" si="6"/>
        <v>OK</v>
      </c>
      <c r="M47" s="132" t="str">
        <f t="shared" si="6"/>
        <v>OK</v>
      </c>
      <c r="N47" s="132" t="str">
        <f t="shared" si="6"/>
        <v>OK</v>
      </c>
      <c r="O47" s="132" t="str">
        <f t="shared" si="6"/>
        <v>OK</v>
      </c>
      <c r="P47" s="132" t="str">
        <f t="shared" si="6"/>
        <v>OK</v>
      </c>
      <c r="Q47" s="132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5" t="s">
        <v>56</v>
      </c>
      <c r="C50" s="165"/>
      <c r="D50" s="165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tabSelected="1" zoomScale="85" zoomScaleNormal="85" workbookViewId="0">
      <selection activeCell="O16" sqref="O16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72" t="s">
        <v>61</v>
      </c>
      <c r="E1" s="172"/>
      <c r="F1" s="172"/>
      <c r="G1" s="172"/>
      <c r="H1" s="172"/>
      <c r="I1" s="172"/>
      <c r="J1" s="173"/>
    </row>
    <row r="2" spans="2:24" ht="22.5" customHeight="1">
      <c r="B2" s="2"/>
      <c r="C2" s="79" t="s">
        <v>2</v>
      </c>
      <c r="D2" s="174" t="s">
        <v>62</v>
      </c>
      <c r="E2" s="175"/>
      <c r="F2" s="175"/>
      <c r="G2" s="175"/>
      <c r="H2" s="175"/>
      <c r="I2" s="175"/>
      <c r="J2" s="176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70" t="s">
        <v>63</v>
      </c>
      <c r="H5" s="170"/>
      <c r="I5" s="81"/>
      <c r="J5" s="81"/>
      <c r="K5" s="81"/>
      <c r="L5" s="81"/>
      <c r="M5" s="95"/>
      <c r="O5" s="96"/>
      <c r="P5" s="97"/>
      <c r="Q5" s="97"/>
      <c r="R5" s="97"/>
      <c r="S5" s="114" t="s">
        <v>64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65</v>
      </c>
      <c r="C7" s="85" t="s">
        <v>66</v>
      </c>
      <c r="D7" s="85" t="s">
        <v>67</v>
      </c>
      <c r="E7" s="85" t="s">
        <v>68</v>
      </c>
      <c r="F7" s="85" t="s">
        <v>69</v>
      </c>
      <c r="G7" s="85" t="s">
        <v>70</v>
      </c>
      <c r="H7" s="86" t="s">
        <v>71</v>
      </c>
      <c r="I7" s="85" t="s">
        <v>72</v>
      </c>
      <c r="J7" s="85" t="s">
        <v>73</v>
      </c>
      <c r="K7" s="85" t="s">
        <v>74</v>
      </c>
      <c r="L7" s="85" t="s">
        <v>54</v>
      </c>
      <c r="M7" s="33" t="s">
        <v>75</v>
      </c>
      <c r="O7" s="101" t="s">
        <v>65</v>
      </c>
      <c r="P7" s="102" t="s">
        <v>66</v>
      </c>
      <c r="Q7" s="102" t="s">
        <v>76</v>
      </c>
      <c r="R7" s="102" t="s">
        <v>11</v>
      </c>
      <c r="S7" s="102" t="s">
        <v>77</v>
      </c>
      <c r="T7" s="102" t="s">
        <v>78</v>
      </c>
      <c r="U7" s="119" t="s">
        <v>79</v>
      </c>
      <c r="V7" s="119" t="s">
        <v>80</v>
      </c>
      <c r="W7" s="102" t="s">
        <v>54</v>
      </c>
      <c r="X7" s="120" t="s">
        <v>75</v>
      </c>
    </row>
    <row r="8" spans="2:24" ht="15.75">
      <c r="B8" s="72">
        <v>45670.543749999997</v>
      </c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83">
        <v>189.9</v>
      </c>
      <c r="I8" s="6">
        <v>0</v>
      </c>
      <c r="J8" s="83">
        <f>F8/H8</f>
        <v>1.05318588730911</v>
      </c>
      <c r="K8" s="83">
        <f>(H8-F8)*100/F8</f>
        <v>-5.0499999999999972</v>
      </c>
      <c r="L8" s="6" t="s">
        <v>81</v>
      </c>
      <c r="M8" s="103" t="s">
        <v>56</v>
      </c>
      <c r="O8" s="72">
        <v>45670.467361111114</v>
      </c>
      <c r="P8" s="100" t="s">
        <v>64</v>
      </c>
      <c r="Q8" s="100">
        <v>4893.67</v>
      </c>
      <c r="R8" s="100">
        <v>3751.83</v>
      </c>
      <c r="S8" s="100" t="s">
        <v>82</v>
      </c>
      <c r="T8" s="100">
        <v>883.37</v>
      </c>
      <c r="U8" s="117">
        <v>0.97370000000000001</v>
      </c>
      <c r="V8" s="117">
        <v>0.95230000000000004</v>
      </c>
      <c r="W8" s="6" t="s">
        <v>81</v>
      </c>
      <c r="X8" s="103" t="s">
        <v>56</v>
      </c>
    </row>
    <row r="9" spans="2:24" ht="15.75">
      <c r="B9" s="72">
        <v>45686.552083333336</v>
      </c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83">
        <v>199.5</v>
      </c>
      <c r="I9" s="6">
        <v>0</v>
      </c>
      <c r="J9" s="83">
        <f t="shared" ref="J9:J14" si="0">F9/H9</f>
        <v>1.0025062656641603</v>
      </c>
      <c r="K9" s="83">
        <f t="shared" ref="K9:K14" si="1">(H9-F9)*100/F9</f>
        <v>-0.25</v>
      </c>
      <c r="L9" s="6" t="s">
        <v>81</v>
      </c>
      <c r="M9" s="103" t="s">
        <v>56</v>
      </c>
      <c r="O9" s="72">
        <v>45686.586805555555</v>
      </c>
      <c r="P9" s="100" t="s">
        <v>64</v>
      </c>
      <c r="Q9" s="100">
        <v>5182.79</v>
      </c>
      <c r="R9" s="100">
        <v>4005.16</v>
      </c>
      <c r="S9" s="100" t="s">
        <v>82</v>
      </c>
      <c r="T9" s="100">
        <v>833.36</v>
      </c>
      <c r="U9" s="117">
        <v>0.95230000000000004</v>
      </c>
      <c r="V9" s="117">
        <v>0.98729999999999996</v>
      </c>
      <c r="W9" s="6" t="s">
        <v>81</v>
      </c>
      <c r="X9" s="103" t="s">
        <v>56</v>
      </c>
    </row>
    <row r="10" spans="2:24" ht="15.75">
      <c r="B10" s="72"/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83"/>
      <c r="I10" s="6">
        <v>0</v>
      </c>
      <c r="J10" s="83" t="e">
        <f t="shared" si="0"/>
        <v>#DIV/0!</v>
      </c>
      <c r="K10" s="83">
        <f t="shared" si="1"/>
        <v>-100</v>
      </c>
      <c r="L10" s="6" t="s">
        <v>81</v>
      </c>
      <c r="M10" s="103" t="s">
        <v>56</v>
      </c>
      <c r="O10" s="72"/>
      <c r="P10" s="100" t="s">
        <v>64</v>
      </c>
      <c r="Q10" s="100"/>
      <c r="R10" s="100"/>
      <c r="S10" s="100" t="s">
        <v>82</v>
      </c>
      <c r="T10" s="100"/>
      <c r="U10" s="117"/>
      <c r="V10" s="117"/>
      <c r="W10" s="6" t="s">
        <v>81</v>
      </c>
      <c r="X10" s="103" t="s">
        <v>56</v>
      </c>
    </row>
    <row r="11" spans="2:24" ht="15.75">
      <c r="B11" s="72"/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81</v>
      </c>
      <c r="M11" s="103" t="s">
        <v>56</v>
      </c>
      <c r="O11" s="72"/>
      <c r="P11" s="100" t="s">
        <v>64</v>
      </c>
      <c r="Q11" s="100"/>
      <c r="R11" s="100"/>
      <c r="S11" s="100" t="s">
        <v>82</v>
      </c>
      <c r="T11" s="100"/>
      <c r="U11" s="117"/>
      <c r="V11" s="117"/>
      <c r="W11" s="6" t="s">
        <v>81</v>
      </c>
      <c r="X11" s="103" t="s">
        <v>56</v>
      </c>
    </row>
    <row r="12" spans="2:24" ht="15.75">
      <c r="B12" s="7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81</v>
      </c>
      <c r="M12" s="103" t="s">
        <v>56</v>
      </c>
      <c r="O12" s="72"/>
      <c r="P12" s="100" t="s">
        <v>64</v>
      </c>
      <c r="Q12" s="100"/>
      <c r="R12" s="100"/>
      <c r="S12" s="100" t="s">
        <v>82</v>
      </c>
      <c r="T12" s="100"/>
      <c r="U12" s="117"/>
      <c r="V12" s="117"/>
      <c r="W12" s="6" t="s">
        <v>81</v>
      </c>
      <c r="X12" s="103" t="s">
        <v>56</v>
      </c>
    </row>
    <row r="13" spans="2:24" ht="15.75">
      <c r="B13" s="7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81</v>
      </c>
      <c r="M13" s="103" t="s">
        <v>56</v>
      </c>
      <c r="O13" s="72"/>
      <c r="P13" s="100" t="s">
        <v>64</v>
      </c>
      <c r="Q13" s="100"/>
      <c r="R13" s="100"/>
      <c r="S13" s="100" t="s">
        <v>82</v>
      </c>
      <c r="T13" s="100"/>
      <c r="U13" s="117"/>
      <c r="V13" s="117"/>
      <c r="W13" s="6" t="s">
        <v>81</v>
      </c>
      <c r="X13" s="103" t="s">
        <v>56</v>
      </c>
    </row>
    <row r="14" spans="2:24" ht="15.75">
      <c r="B14" s="7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81</v>
      </c>
      <c r="M14" s="103" t="s">
        <v>56</v>
      </c>
      <c r="O14" s="72"/>
      <c r="P14" s="100" t="s">
        <v>64</v>
      </c>
      <c r="Q14" s="100"/>
      <c r="R14" s="100"/>
      <c r="S14" s="100" t="s">
        <v>82</v>
      </c>
      <c r="T14" s="100"/>
      <c r="U14" s="117"/>
      <c r="V14" s="117"/>
      <c r="W14" s="6" t="s">
        <v>81</v>
      </c>
      <c r="X14" s="103" t="s">
        <v>56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64</v>
      </c>
      <c r="Q15" s="100"/>
      <c r="R15" s="100"/>
      <c r="S15" s="100" t="s">
        <v>82</v>
      </c>
      <c r="T15" s="100"/>
      <c r="U15" s="117"/>
      <c r="V15" s="117"/>
      <c r="W15" s="6" t="s">
        <v>81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64</v>
      </c>
      <c r="Q16" s="100"/>
      <c r="R16" s="100"/>
      <c r="S16" s="100" t="s">
        <v>82</v>
      </c>
      <c r="T16" s="100"/>
      <c r="U16" s="117"/>
      <c r="V16" s="117"/>
      <c r="W16" s="6" t="s">
        <v>81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64</v>
      </c>
      <c r="Q17" s="100"/>
      <c r="R17" s="100"/>
      <c r="S17" s="100" t="s">
        <v>82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68" t="s">
        <v>83</v>
      </c>
      <c r="D21" s="168"/>
      <c r="E21" s="168"/>
      <c r="F21" s="168"/>
      <c r="G21" s="168"/>
      <c r="H21" s="168"/>
      <c r="I21" s="106">
        <f>COUNT(B8:B20)</f>
        <v>2</v>
      </c>
      <c r="J21" s="107"/>
      <c r="K21" s="107"/>
      <c r="L21" s="94"/>
      <c r="M21" s="108"/>
      <c r="O21" s="109"/>
      <c r="P21" s="171" t="s">
        <v>84</v>
      </c>
      <c r="Q21" s="171"/>
      <c r="R21" s="171"/>
      <c r="S21" s="171"/>
      <c r="T21" s="121">
        <f>COUNT(O8:O20)</f>
        <v>2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69" t="s">
        <v>85</v>
      </c>
      <c r="H24" s="169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65</v>
      </c>
      <c r="C26" s="85" t="s">
        <v>66</v>
      </c>
      <c r="D26" s="85" t="s">
        <v>67</v>
      </c>
      <c r="E26" s="85" t="s">
        <v>68</v>
      </c>
      <c r="F26" s="85" t="s">
        <v>69</v>
      </c>
      <c r="G26" s="85" t="s">
        <v>70</v>
      </c>
      <c r="H26" s="86" t="s">
        <v>71</v>
      </c>
      <c r="I26" s="85" t="s">
        <v>72</v>
      </c>
      <c r="J26" s="85" t="s">
        <v>73</v>
      </c>
      <c r="K26" s="85" t="s">
        <v>74</v>
      </c>
      <c r="L26" s="85" t="s">
        <v>54</v>
      </c>
      <c r="M26" s="33" t="s">
        <v>75</v>
      </c>
      <c r="O26" s="101" t="s">
        <v>65</v>
      </c>
      <c r="P26" s="102" t="s">
        <v>66</v>
      </c>
      <c r="Q26" s="102" t="s">
        <v>76</v>
      </c>
      <c r="R26" s="102" t="s">
        <v>11</v>
      </c>
      <c r="S26" s="102" t="s">
        <v>77</v>
      </c>
      <c r="T26" s="102" t="s">
        <v>78</v>
      </c>
      <c r="U26" s="119" t="s">
        <v>79</v>
      </c>
      <c r="V26" s="119" t="s">
        <v>80</v>
      </c>
      <c r="W26" s="102" t="s">
        <v>54</v>
      </c>
      <c r="X26" s="120" t="s">
        <v>75</v>
      </c>
    </row>
    <row r="27" spans="2:24" ht="15.75">
      <c r="B27" s="72">
        <v>45670.592361111114</v>
      </c>
      <c r="C27" s="6" t="s">
        <v>86</v>
      </c>
      <c r="D27" s="6" t="s">
        <v>39</v>
      </c>
      <c r="E27" s="6">
        <v>0</v>
      </c>
      <c r="F27" s="6">
        <v>200</v>
      </c>
      <c r="G27" s="6"/>
      <c r="H27" s="83">
        <v>199.4</v>
      </c>
      <c r="I27" s="6">
        <v>0</v>
      </c>
      <c r="J27" s="83">
        <f>F27/H27</f>
        <v>1.0030090270812437</v>
      </c>
      <c r="K27" s="83">
        <f>(H27-F27)*100/F27</f>
        <v>-0.29999999999999716</v>
      </c>
      <c r="L27" s="6" t="s">
        <v>81</v>
      </c>
      <c r="M27" s="103" t="s">
        <v>56</v>
      </c>
      <c r="O27" s="72">
        <v>45670.467361111114</v>
      </c>
      <c r="P27" s="100" t="s">
        <v>64</v>
      </c>
      <c r="Q27" s="100">
        <v>4893.67</v>
      </c>
      <c r="R27" s="100">
        <v>3751.83</v>
      </c>
      <c r="S27" s="100" t="s">
        <v>82</v>
      </c>
      <c r="T27" s="100">
        <v>883.37</v>
      </c>
      <c r="U27" s="117">
        <v>0.97370000000000001</v>
      </c>
      <c r="V27" s="117">
        <v>0.95230000000000004</v>
      </c>
      <c r="W27" s="6" t="s">
        <v>81</v>
      </c>
      <c r="X27" s="103" t="s">
        <v>56</v>
      </c>
    </row>
    <row r="28" spans="2:24" ht="15.75">
      <c r="B28" s="72">
        <v>45686.586805555555</v>
      </c>
      <c r="C28" s="6" t="s">
        <v>86</v>
      </c>
      <c r="D28" s="6" t="s">
        <v>39</v>
      </c>
      <c r="E28" s="6">
        <v>0</v>
      </c>
      <c r="F28" s="6">
        <v>200</v>
      </c>
      <c r="G28" s="6"/>
      <c r="H28" s="83">
        <v>200.3</v>
      </c>
      <c r="I28" s="6">
        <v>0</v>
      </c>
      <c r="J28" s="83">
        <f t="shared" ref="J28:J33" si="2">F28/H28</f>
        <v>0.99850224663005482</v>
      </c>
      <c r="K28" s="83">
        <f t="shared" ref="K28:K33" si="3">(H28-F28)*100/F28</f>
        <v>0.15000000000000568</v>
      </c>
      <c r="L28" s="6" t="s">
        <v>81</v>
      </c>
      <c r="M28" s="103" t="s">
        <v>56</v>
      </c>
      <c r="O28" s="72">
        <v>45686.586805555555</v>
      </c>
      <c r="P28" s="100" t="s">
        <v>64</v>
      </c>
      <c r="Q28" s="100">
        <v>5182.79</v>
      </c>
      <c r="R28" s="100">
        <v>4005.16</v>
      </c>
      <c r="S28" s="100" t="s">
        <v>82</v>
      </c>
      <c r="T28" s="100">
        <v>833.36</v>
      </c>
      <c r="U28" s="117">
        <v>0.95230000000000004</v>
      </c>
      <c r="V28" s="117">
        <v>0.98729999999999996</v>
      </c>
      <c r="W28" s="6" t="s">
        <v>81</v>
      </c>
      <c r="X28" s="103" t="s">
        <v>56</v>
      </c>
    </row>
    <row r="29" spans="2:24" ht="15.75">
      <c r="B29" s="72"/>
      <c r="C29" s="6" t="s">
        <v>86</v>
      </c>
      <c r="D29" s="6" t="s">
        <v>39</v>
      </c>
      <c r="E29" s="6">
        <v>0</v>
      </c>
      <c r="F29" s="6">
        <v>200</v>
      </c>
      <c r="G29" s="6"/>
      <c r="H29" s="83"/>
      <c r="I29" s="6">
        <v>0</v>
      </c>
      <c r="J29" s="83" t="e">
        <f t="shared" si="2"/>
        <v>#DIV/0!</v>
      </c>
      <c r="K29" s="83">
        <f t="shared" si="3"/>
        <v>-100</v>
      </c>
      <c r="L29" s="6" t="s">
        <v>81</v>
      </c>
      <c r="M29" s="103" t="s">
        <v>56</v>
      </c>
      <c r="O29" s="72"/>
      <c r="P29" s="100" t="s">
        <v>29</v>
      </c>
      <c r="Q29" s="100"/>
      <c r="R29" s="100"/>
      <c r="S29" s="100" t="s">
        <v>87</v>
      </c>
      <c r="T29" s="100"/>
      <c r="U29" s="117"/>
      <c r="V29" s="117"/>
      <c r="W29" s="6" t="s">
        <v>81</v>
      </c>
      <c r="X29" s="103" t="s">
        <v>56</v>
      </c>
    </row>
    <row r="30" spans="2:24" ht="15.75">
      <c r="B30" s="72"/>
      <c r="C30" s="6" t="s">
        <v>86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81</v>
      </c>
      <c r="M30" s="103" t="s">
        <v>56</v>
      </c>
      <c r="O30" s="72"/>
      <c r="P30" s="100" t="s">
        <v>29</v>
      </c>
      <c r="Q30" s="100"/>
      <c r="R30" s="100"/>
      <c r="S30" s="100" t="s">
        <v>87</v>
      </c>
      <c r="T30" s="100"/>
      <c r="U30" s="117"/>
      <c r="V30" s="117"/>
      <c r="W30" s="6" t="s">
        <v>81</v>
      </c>
      <c r="X30" s="103" t="s">
        <v>56</v>
      </c>
    </row>
    <row r="31" spans="2:24" ht="15.75">
      <c r="B31" s="72"/>
      <c r="C31" s="6" t="s">
        <v>86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81</v>
      </c>
      <c r="M31" s="103" t="s">
        <v>56</v>
      </c>
      <c r="O31" s="72"/>
      <c r="P31" s="100" t="s">
        <v>29</v>
      </c>
      <c r="Q31" s="100"/>
      <c r="R31" s="100"/>
      <c r="S31" s="100" t="s">
        <v>87</v>
      </c>
      <c r="T31" s="100"/>
      <c r="U31" s="117"/>
      <c r="V31" s="117"/>
      <c r="W31" s="6" t="s">
        <v>81</v>
      </c>
      <c r="X31" s="103" t="s">
        <v>56</v>
      </c>
    </row>
    <row r="32" spans="2:24" ht="15.75">
      <c r="B32" s="72"/>
      <c r="C32" s="6" t="s">
        <v>86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81</v>
      </c>
      <c r="M32" s="103" t="s">
        <v>56</v>
      </c>
      <c r="O32" s="72"/>
      <c r="P32" s="100" t="s">
        <v>29</v>
      </c>
      <c r="Q32" s="100"/>
      <c r="R32" s="100"/>
      <c r="S32" s="100" t="s">
        <v>87</v>
      </c>
      <c r="T32" s="100"/>
      <c r="U32" s="117"/>
      <c r="V32" s="117"/>
      <c r="W32" s="6" t="s">
        <v>81</v>
      </c>
      <c r="X32" s="103" t="s">
        <v>56</v>
      </c>
    </row>
    <row r="33" spans="2:24" ht="15.75">
      <c r="B33" s="72"/>
      <c r="C33" s="6" t="s">
        <v>86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81</v>
      </c>
      <c r="M33" s="103" t="s">
        <v>56</v>
      </c>
      <c r="O33" s="72"/>
      <c r="P33" s="100" t="s">
        <v>29</v>
      </c>
      <c r="Q33" s="100"/>
      <c r="R33" s="100"/>
      <c r="S33" s="100" t="s">
        <v>87</v>
      </c>
      <c r="T33" s="100"/>
      <c r="U33" s="117"/>
      <c r="V33" s="117"/>
      <c r="W33" s="6" t="s">
        <v>81</v>
      </c>
      <c r="X33" s="103" t="s">
        <v>56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87</v>
      </c>
      <c r="T34" s="100"/>
      <c r="U34" s="117"/>
      <c r="V34" s="117"/>
      <c r="W34" s="6" t="s">
        <v>81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87</v>
      </c>
      <c r="T35" s="100"/>
      <c r="U35" s="117"/>
      <c r="V35" s="117"/>
      <c r="W35" s="6" t="s">
        <v>81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87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87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71" t="s">
        <v>88</v>
      </c>
      <c r="Q40" s="171"/>
      <c r="R40" s="171"/>
      <c r="S40" s="171"/>
      <c r="T40" s="121">
        <f>COUNT(O27:O39)</f>
        <v>2</v>
      </c>
      <c r="U40" s="122"/>
      <c r="V40" s="122"/>
      <c r="W40" s="123"/>
      <c r="X40" s="124"/>
    </row>
    <row r="41" spans="2:24">
      <c r="B41" s="87"/>
      <c r="C41" s="94"/>
      <c r="D41" s="168" t="s">
        <v>89</v>
      </c>
      <c r="E41" s="168"/>
      <c r="F41" s="168"/>
      <c r="G41" s="168"/>
      <c r="H41" s="168"/>
      <c r="I41" s="168"/>
      <c r="J41" s="113">
        <f>COUNT(B27:B39)</f>
        <v>2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69" t="s">
        <v>38</v>
      </c>
      <c r="H44" s="169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65</v>
      </c>
      <c r="C46" s="85" t="s">
        <v>66</v>
      </c>
      <c r="D46" s="85" t="s">
        <v>67</v>
      </c>
      <c r="E46" s="85" t="s">
        <v>68</v>
      </c>
      <c r="F46" s="85" t="s">
        <v>69</v>
      </c>
      <c r="G46" s="85" t="s">
        <v>70</v>
      </c>
      <c r="H46" s="86" t="s">
        <v>71</v>
      </c>
      <c r="I46" s="85" t="s">
        <v>72</v>
      </c>
      <c r="J46" s="85" t="s">
        <v>73</v>
      </c>
      <c r="K46" s="85" t="s">
        <v>74</v>
      </c>
      <c r="L46" s="85" t="s">
        <v>54</v>
      </c>
      <c r="M46" s="33" t="s">
        <v>75</v>
      </c>
    </row>
    <row r="47" spans="2:24" ht="15.75">
      <c r="B47" s="7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81</v>
      </c>
      <c r="M47" s="103" t="s">
        <v>56</v>
      </c>
    </row>
    <row r="48" spans="2:24" ht="15.75">
      <c r="B48" s="7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81</v>
      </c>
      <c r="M48" s="103" t="s">
        <v>56</v>
      </c>
    </row>
    <row r="49" spans="2:13" ht="15.75">
      <c r="B49" s="7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81</v>
      </c>
      <c r="M49" s="103" t="s">
        <v>56</v>
      </c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81</v>
      </c>
      <c r="M50" s="103" t="s">
        <v>56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81</v>
      </c>
      <c r="M51" s="103" t="s">
        <v>56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56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56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68" t="s">
        <v>90</v>
      </c>
      <c r="E61" s="168"/>
      <c r="F61" s="168"/>
      <c r="G61" s="168"/>
      <c r="H61" s="168"/>
      <c r="I61" s="168"/>
      <c r="J61" s="113">
        <f>COUNT(B47:B59)</f>
        <v>0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69" t="s">
        <v>37</v>
      </c>
      <c r="H64" s="169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65</v>
      </c>
      <c r="C66" s="85" t="s">
        <v>66</v>
      </c>
      <c r="D66" s="85" t="s">
        <v>67</v>
      </c>
      <c r="E66" s="85" t="s">
        <v>68</v>
      </c>
      <c r="F66" s="85" t="s">
        <v>69</v>
      </c>
      <c r="G66" s="85" t="s">
        <v>70</v>
      </c>
      <c r="H66" s="86" t="s">
        <v>71</v>
      </c>
      <c r="I66" s="85" t="s">
        <v>72</v>
      </c>
      <c r="J66" s="85" t="s">
        <v>73</v>
      </c>
      <c r="K66" s="85" t="s">
        <v>74</v>
      </c>
      <c r="L66" s="85" t="s">
        <v>54</v>
      </c>
      <c r="M66" s="33" t="s">
        <v>75</v>
      </c>
    </row>
    <row r="67" spans="2:13" ht="15.75">
      <c r="B67" s="72">
        <v>45670.509027777778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>
        <v>200.1</v>
      </c>
      <c r="I67" s="6">
        <v>0</v>
      </c>
      <c r="J67" s="83">
        <f>F67/H67</f>
        <v>2.4987506246876564E-2</v>
      </c>
      <c r="K67" s="83">
        <f>(H67-F67)*100/F67</f>
        <v>3902</v>
      </c>
      <c r="L67" s="6" t="s">
        <v>81</v>
      </c>
      <c r="M67" s="103" t="s">
        <v>56</v>
      </c>
    </row>
    <row r="68" spans="2:13" ht="15.75">
      <c r="B68" s="72">
        <v>45686.503472222219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>
        <v>199.2</v>
      </c>
      <c r="I68" s="6">
        <v>0</v>
      </c>
      <c r="J68" s="83">
        <f t="shared" ref="J68:J73" si="4">F68/H68</f>
        <v>2.5100401606425703E-2</v>
      </c>
      <c r="K68" s="83">
        <f t="shared" ref="K68:K73" si="5">(H68-F68)*100/F68</f>
        <v>3884</v>
      </c>
      <c r="L68" s="6" t="s">
        <v>81</v>
      </c>
      <c r="M68" s="103" t="s">
        <v>56</v>
      </c>
    </row>
    <row r="69" spans="2:13" ht="15.75">
      <c r="B69" s="7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/>
      <c r="I69" s="6">
        <v>0</v>
      </c>
      <c r="J69" s="83" t="e">
        <f t="shared" si="4"/>
        <v>#DIV/0!</v>
      </c>
      <c r="K69" s="83">
        <f t="shared" si="5"/>
        <v>-100</v>
      </c>
      <c r="L69" s="6" t="s">
        <v>81</v>
      </c>
      <c r="M69" s="103" t="s">
        <v>56</v>
      </c>
    </row>
    <row r="70" spans="2:13" ht="15.75">
      <c r="B70" s="7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81</v>
      </c>
      <c r="M70" s="103" t="s">
        <v>56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81</v>
      </c>
      <c r="M71" s="103" t="s">
        <v>56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81</v>
      </c>
      <c r="M72" s="103" t="s">
        <v>56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81</v>
      </c>
      <c r="M73" s="103" t="s">
        <v>56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68" t="s">
        <v>91</v>
      </c>
      <c r="E81" s="168"/>
      <c r="F81" s="168"/>
      <c r="G81" s="168"/>
      <c r="H81" s="168"/>
      <c r="I81" s="168"/>
      <c r="J81" s="113">
        <f>COUNT(B67:B79)</f>
        <v>2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69" t="s">
        <v>92</v>
      </c>
      <c r="H84" s="169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65</v>
      </c>
      <c r="C86" s="85" t="s">
        <v>66</v>
      </c>
      <c r="D86" s="85" t="s">
        <v>67</v>
      </c>
      <c r="E86" s="85" t="s">
        <v>68</v>
      </c>
      <c r="F86" s="85" t="s">
        <v>69</v>
      </c>
      <c r="G86" s="85" t="s">
        <v>70</v>
      </c>
      <c r="H86" s="86" t="s">
        <v>71</v>
      </c>
      <c r="I86" s="85" t="s">
        <v>72</v>
      </c>
      <c r="J86" s="85" t="s">
        <v>73</v>
      </c>
      <c r="K86" s="85" t="s">
        <v>74</v>
      </c>
      <c r="L86" s="85" t="s">
        <v>54</v>
      </c>
      <c r="M86" s="33" t="s">
        <v>75</v>
      </c>
    </row>
    <row r="87" spans="2:13" ht="15.75">
      <c r="B87" s="72"/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81</v>
      </c>
      <c r="M87" s="103" t="s">
        <v>56</v>
      </c>
    </row>
    <row r="88" spans="2:13" ht="15.75">
      <c r="B88" s="72"/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81</v>
      </c>
      <c r="M88" s="103" t="s">
        <v>56</v>
      </c>
    </row>
    <row r="89" spans="2:13" ht="15.75">
      <c r="B89" s="72"/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81</v>
      </c>
      <c r="M89" s="103" t="s">
        <v>56</v>
      </c>
    </row>
    <row r="90" spans="2:13" ht="15.75">
      <c r="B90" s="72"/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81</v>
      </c>
      <c r="M90" s="103" t="s">
        <v>56</v>
      </c>
    </row>
    <row r="91" spans="2:13" ht="15.75">
      <c r="B91" s="7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81</v>
      </c>
      <c r="M91" s="103" t="s">
        <v>56</v>
      </c>
    </row>
    <row r="92" spans="2:13" ht="15.75">
      <c r="B92" s="7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81</v>
      </c>
      <c r="M92" s="103" t="s">
        <v>56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56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68" t="s">
        <v>93</v>
      </c>
      <c r="E101" s="168"/>
      <c r="F101" s="168"/>
      <c r="G101" s="168"/>
      <c r="H101" s="168"/>
      <c r="I101" s="168"/>
      <c r="J101" s="113">
        <f>COUNT(B87:B99)</f>
        <v>0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70" t="s">
        <v>94</v>
      </c>
      <c r="H104" s="170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65</v>
      </c>
      <c r="C106" s="85" t="s">
        <v>66</v>
      </c>
      <c r="D106" s="85" t="s">
        <v>67</v>
      </c>
      <c r="E106" s="85" t="s">
        <v>68</v>
      </c>
      <c r="F106" s="85" t="s">
        <v>69</v>
      </c>
      <c r="G106" s="85" t="s">
        <v>70</v>
      </c>
      <c r="H106" s="86" t="s">
        <v>71</v>
      </c>
      <c r="I106" s="85" t="s">
        <v>72</v>
      </c>
      <c r="J106" s="85" t="s">
        <v>73</v>
      </c>
      <c r="K106" s="85" t="s">
        <v>74</v>
      </c>
      <c r="L106" s="85" t="s">
        <v>54</v>
      </c>
      <c r="M106" s="127" t="s">
        <v>75</v>
      </c>
    </row>
    <row r="107" spans="2:13" ht="15.75">
      <c r="B107" s="72">
        <v>45670.680555555555</v>
      </c>
      <c r="C107" s="6" t="s">
        <v>94</v>
      </c>
      <c r="D107" s="6" t="s">
        <v>39</v>
      </c>
      <c r="E107" s="6">
        <v>0</v>
      </c>
      <c r="F107" s="6">
        <v>320</v>
      </c>
      <c r="G107" s="6">
        <v>0</v>
      </c>
      <c r="H107" s="83">
        <v>325.14</v>
      </c>
      <c r="I107" s="6">
        <f>G107-E107</f>
        <v>0</v>
      </c>
      <c r="J107" s="83">
        <f>F107/H107</f>
        <v>0.98419142523220771</v>
      </c>
      <c r="K107" s="83">
        <f>(H107-F107)*100/F107</f>
        <v>1.6062499999999957</v>
      </c>
      <c r="L107" s="6" t="s">
        <v>81</v>
      </c>
      <c r="M107" s="103" t="s">
        <v>56</v>
      </c>
    </row>
    <row r="108" spans="2:13" ht="15.75">
      <c r="B108" s="72">
        <v>45686.677083333336</v>
      </c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83">
        <v>133.19999999999999</v>
      </c>
      <c r="I108" s="6">
        <f>G108-E108</f>
        <v>0</v>
      </c>
      <c r="J108" s="83">
        <f>F108/H108</f>
        <v>2.4024024024024024</v>
      </c>
      <c r="K108" s="83">
        <f>(H108-F108)*100/F108</f>
        <v>-58.375</v>
      </c>
      <c r="L108" s="6" t="s">
        <v>81</v>
      </c>
      <c r="M108" s="103" t="s">
        <v>56</v>
      </c>
    </row>
    <row r="109" spans="2:13" ht="15.75">
      <c r="B109" s="72"/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83"/>
      <c r="I109" s="6">
        <f t="shared" ref="I109:I115" si="8">G109-E109</f>
        <v>0</v>
      </c>
      <c r="J109" s="83" t="e">
        <f t="shared" ref="J109:J115" si="9">F109/H109</f>
        <v>#DIV/0!</v>
      </c>
      <c r="K109" s="83">
        <f t="shared" ref="K109:K115" si="10">(H109-F109)*100/F109</f>
        <v>-100</v>
      </c>
      <c r="L109" s="6" t="s">
        <v>81</v>
      </c>
      <c r="M109" s="103" t="s">
        <v>56</v>
      </c>
    </row>
    <row r="110" spans="2:13" ht="15.75">
      <c r="B110" s="72"/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81</v>
      </c>
      <c r="M110" s="103" t="s">
        <v>56</v>
      </c>
    </row>
    <row r="111" spans="2:13" ht="15.75">
      <c r="B111" s="7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81</v>
      </c>
      <c r="M111" s="103" t="s">
        <v>56</v>
      </c>
    </row>
    <row r="112" spans="2:13" ht="15.75">
      <c r="B112" s="7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81</v>
      </c>
      <c r="M112" s="103" t="s">
        <v>56</v>
      </c>
    </row>
    <row r="113" spans="2:13" ht="15.75">
      <c r="B113" s="7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81</v>
      </c>
      <c r="M113" s="103" t="s">
        <v>56</v>
      </c>
    </row>
    <row r="114" spans="2:13" ht="15.75">
      <c r="B114" s="7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81</v>
      </c>
      <c r="M114" s="104"/>
    </row>
    <row r="115" spans="2:13" ht="15.75">
      <c r="B115" s="7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81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68" t="s">
        <v>95</v>
      </c>
      <c r="D119" s="168"/>
      <c r="E119" s="168"/>
      <c r="F119" s="168"/>
      <c r="G119" s="168"/>
      <c r="H119" s="168"/>
      <c r="I119" s="113">
        <f>COUNT(B107:B118)</f>
        <v>2</v>
      </c>
      <c r="J119" s="107"/>
      <c r="K119" s="107"/>
      <c r="L119" s="94"/>
      <c r="M119" s="108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7" t="s">
        <v>96</v>
      </c>
      <c r="C2" s="177"/>
      <c r="D2" s="179" t="str">
        <f>'MONTHLY 31'!$B$2</f>
        <v>01/01/2025 00:15</v>
      </c>
      <c r="E2" s="179"/>
    </row>
    <row r="3" spans="2:5">
      <c r="B3" s="177" t="s">
        <v>97</v>
      </c>
      <c r="C3" s="177"/>
      <c r="D3" s="179"/>
      <c r="E3" s="179"/>
    </row>
    <row r="7" spans="2:5" s="2" customFormat="1">
      <c r="B7" s="68" t="s">
        <v>98</v>
      </c>
      <c r="C7" s="68" t="s">
        <v>99</v>
      </c>
      <c r="D7" s="69" t="s">
        <v>100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101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78" t="s">
        <v>101</v>
      </c>
      <c r="C44" s="178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80" t="s">
        <v>102</v>
      </c>
      <c r="C2" s="180"/>
      <c r="D2" s="180"/>
      <c r="E2" s="180"/>
      <c r="F2" s="181">
        <v>1</v>
      </c>
      <c r="G2" s="182"/>
      <c r="H2" s="182"/>
    </row>
    <row r="3" spans="2:24" customFormat="1" ht="15" customHeight="1">
      <c r="B3" s="180"/>
      <c r="C3" s="180"/>
      <c r="D3" s="180"/>
      <c r="E3" s="180"/>
      <c r="F3" s="182"/>
      <c r="G3" s="182"/>
      <c r="H3" s="182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5" t="s">
        <v>94</v>
      </c>
      <c r="C12" s="196" t="s">
        <v>103</v>
      </c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40"/>
      <c r="U12" s="39"/>
    </row>
    <row r="13" spans="2:24" ht="15" customHeight="1">
      <c r="B13" s="186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0" t="s">
        <v>117</v>
      </c>
      <c r="Q13" s="4" t="s">
        <v>118</v>
      </c>
      <c r="R13" s="41"/>
      <c r="U13" s="39"/>
    </row>
    <row r="14" spans="2:24" ht="15" customHeight="1">
      <c r="B14" s="186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6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1" t="s">
        <v>132</v>
      </c>
      <c r="Q15" s="8" t="s">
        <v>133</v>
      </c>
      <c r="R15" s="43" t="s">
        <v>75</v>
      </c>
      <c r="X15" s="42"/>
    </row>
    <row r="16" spans="2:24" ht="15.75" customHeight="1">
      <c r="B16" s="186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6"/>
      <c r="C17" s="10"/>
      <c r="P17" s="1"/>
      <c r="Q17" s="1"/>
      <c r="R17" s="45"/>
      <c r="X17" s="42"/>
    </row>
    <row r="18" spans="2:28" ht="15.75" customHeight="1">
      <c r="B18" s="186"/>
      <c r="C18" s="8" t="s">
        <v>104</v>
      </c>
      <c r="D18" s="8" t="s">
        <v>105</v>
      </c>
      <c r="E18" s="8" t="s">
        <v>106</v>
      </c>
      <c r="F18" s="8" t="s">
        <v>134</v>
      </c>
      <c r="G18" s="8" t="s">
        <v>108</v>
      </c>
      <c r="H18" s="8" t="s">
        <v>109</v>
      </c>
      <c r="I18" s="8" t="s">
        <v>110</v>
      </c>
      <c r="J18" s="8" t="s">
        <v>111</v>
      </c>
      <c r="K18" s="8" t="s">
        <v>112</v>
      </c>
      <c r="L18" s="8" t="s">
        <v>113</v>
      </c>
      <c r="M18" s="8" t="s">
        <v>114</v>
      </c>
      <c r="N18" s="8" t="s">
        <v>115</v>
      </c>
      <c r="O18" s="8" t="s">
        <v>116</v>
      </c>
      <c r="P18" s="31" t="s">
        <v>117</v>
      </c>
      <c r="Q18" s="8" t="s">
        <v>118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1" t="s">
        <v>132</v>
      </c>
      <c r="Q20" s="8" t="s">
        <v>133</v>
      </c>
      <c r="R20" s="46" t="s">
        <v>75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7" t="s">
        <v>85</v>
      </c>
      <c r="C25" s="198" t="s">
        <v>103</v>
      </c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83"/>
      <c r="S25" s="49"/>
      <c r="T25" s="50"/>
    </row>
    <row r="26" spans="2:28" ht="15" customHeight="1">
      <c r="B26" s="187"/>
      <c r="C26" s="14" t="s">
        <v>104</v>
      </c>
      <c r="D26" s="15" t="s">
        <v>135</v>
      </c>
      <c r="E26" s="15" t="s">
        <v>136</v>
      </c>
      <c r="F26" s="15" t="s">
        <v>137</v>
      </c>
      <c r="G26" s="15" t="s">
        <v>138</v>
      </c>
      <c r="H26" s="15" t="s">
        <v>139</v>
      </c>
      <c r="I26" s="15" t="s">
        <v>140</v>
      </c>
      <c r="J26" s="15" t="s">
        <v>141</v>
      </c>
      <c r="K26" s="15" t="s">
        <v>142</v>
      </c>
      <c r="L26" s="15" t="s">
        <v>143</v>
      </c>
      <c r="M26" s="15" t="s">
        <v>144</v>
      </c>
      <c r="N26" s="15" t="s">
        <v>145</v>
      </c>
      <c r="O26" s="15" t="s">
        <v>146</v>
      </c>
      <c r="P26" s="15" t="s">
        <v>147</v>
      </c>
      <c r="Q26" s="15" t="s">
        <v>148</v>
      </c>
      <c r="R26" s="15" t="s">
        <v>149</v>
      </c>
      <c r="S26" s="15" t="s">
        <v>150</v>
      </c>
      <c r="T26" s="51" t="s">
        <v>75</v>
      </c>
      <c r="Z26" s="1"/>
      <c r="AA26" s="1"/>
      <c r="AB26" s="1"/>
    </row>
    <row r="27" spans="2:28" ht="15.75" customHeight="1">
      <c r="B27" s="187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7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88"/>
      <c r="C29" s="18" t="s">
        <v>104</v>
      </c>
      <c r="D29" s="19" t="s">
        <v>135</v>
      </c>
      <c r="E29" s="19" t="s">
        <v>136</v>
      </c>
      <c r="F29" s="19" t="s">
        <v>137</v>
      </c>
      <c r="G29" s="19" t="s">
        <v>138</v>
      </c>
      <c r="H29" s="19" t="s">
        <v>139</v>
      </c>
      <c r="I29" s="19" t="s">
        <v>140</v>
      </c>
      <c r="J29" s="19" t="s">
        <v>141</v>
      </c>
      <c r="K29" s="19" t="s">
        <v>142</v>
      </c>
      <c r="L29" s="19" t="s">
        <v>143</v>
      </c>
      <c r="M29" s="19" t="s">
        <v>144</v>
      </c>
      <c r="N29" s="19" t="s">
        <v>145</v>
      </c>
      <c r="O29" s="19" t="s">
        <v>146</v>
      </c>
      <c r="P29" s="19" t="s">
        <v>147</v>
      </c>
      <c r="Q29" s="19" t="s">
        <v>148</v>
      </c>
      <c r="R29" s="19" t="s">
        <v>149</v>
      </c>
      <c r="S29" s="19" t="s">
        <v>150</v>
      </c>
      <c r="T29" s="53" t="s">
        <v>75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89" t="s">
        <v>37</v>
      </c>
      <c r="C36" s="200" t="s">
        <v>103</v>
      </c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1"/>
    </row>
    <row r="37" spans="2:25" ht="15.75" customHeight="1">
      <c r="B37" s="190"/>
      <c r="C37" s="22" t="s">
        <v>104</v>
      </c>
      <c r="D37" s="8" t="s">
        <v>135</v>
      </c>
      <c r="E37" s="8" t="s">
        <v>136</v>
      </c>
      <c r="F37" s="8" t="s">
        <v>151</v>
      </c>
      <c r="G37" s="8" t="s">
        <v>152</v>
      </c>
      <c r="H37" s="8" t="s">
        <v>153</v>
      </c>
      <c r="I37" s="8" t="s">
        <v>154</v>
      </c>
      <c r="J37" s="8" t="s">
        <v>155</v>
      </c>
      <c r="K37" s="8" t="s">
        <v>156</v>
      </c>
      <c r="L37" s="8" t="s">
        <v>157</v>
      </c>
      <c r="M37" s="8" t="s">
        <v>158</v>
      </c>
      <c r="N37" s="8" t="s">
        <v>159</v>
      </c>
      <c r="O37" s="32" t="s">
        <v>160</v>
      </c>
    </row>
    <row r="38" spans="2:25">
      <c r="B38" s="190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90"/>
      <c r="C39" s="22" t="s">
        <v>161</v>
      </c>
      <c r="D39" s="8" t="s">
        <v>162</v>
      </c>
      <c r="E39" s="8" t="s">
        <v>163</v>
      </c>
      <c r="F39" s="8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3" t="s">
        <v>75</v>
      </c>
      <c r="W39" s="1"/>
      <c r="X39" s="1"/>
      <c r="Y39" s="1"/>
    </row>
    <row r="40" spans="2:25">
      <c r="B40" s="190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104</v>
      </c>
      <c r="D42" s="8" t="s">
        <v>135</v>
      </c>
      <c r="E42" s="8" t="s">
        <v>136</v>
      </c>
      <c r="F42" s="8" t="s">
        <v>151</v>
      </c>
      <c r="G42" s="8" t="s">
        <v>152</v>
      </c>
      <c r="H42" s="8" t="s">
        <v>153</v>
      </c>
      <c r="I42" s="8" t="s">
        <v>154</v>
      </c>
      <c r="J42" s="8" t="s">
        <v>155</v>
      </c>
      <c r="K42" s="8" t="s">
        <v>156</v>
      </c>
      <c r="L42" s="8" t="s">
        <v>157</v>
      </c>
      <c r="M42" s="8" t="s">
        <v>158</v>
      </c>
      <c r="N42" s="8" t="s">
        <v>159</v>
      </c>
      <c r="O42" s="32" t="s">
        <v>160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161</v>
      </c>
      <c r="D44" s="8" t="s">
        <v>162</v>
      </c>
      <c r="E44" s="8" t="s">
        <v>163</v>
      </c>
      <c r="F44" s="8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3" t="s">
        <v>75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91" t="s">
        <v>63</v>
      </c>
      <c r="C48" s="25" t="s">
        <v>103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2"/>
      <c r="C49" s="22" t="s">
        <v>104</v>
      </c>
      <c r="D49" s="8" t="s">
        <v>126</v>
      </c>
      <c r="E49" s="8" t="s">
        <v>173</v>
      </c>
      <c r="F49" s="8" t="s">
        <v>174</v>
      </c>
      <c r="G49" s="8" t="s">
        <v>175</v>
      </c>
      <c r="H49" s="8" t="s">
        <v>176</v>
      </c>
      <c r="I49" s="8" t="s">
        <v>177</v>
      </c>
      <c r="J49" s="8" t="s">
        <v>111</v>
      </c>
      <c r="K49" s="8" t="s">
        <v>178</v>
      </c>
      <c r="L49" s="8" t="s">
        <v>179</v>
      </c>
      <c r="M49" s="8" t="s">
        <v>180</v>
      </c>
      <c r="N49" s="8" t="s">
        <v>181</v>
      </c>
      <c r="O49" s="8" t="s">
        <v>182</v>
      </c>
      <c r="P49" s="8" t="s">
        <v>183</v>
      </c>
      <c r="Q49" s="32" t="s">
        <v>184</v>
      </c>
    </row>
    <row r="50" spans="2:20">
      <c r="B50" s="192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2"/>
      <c r="C51" s="22" t="s">
        <v>185</v>
      </c>
      <c r="D51" s="8" t="s">
        <v>186</v>
      </c>
      <c r="E51" s="8" t="s">
        <v>187</v>
      </c>
      <c r="F51" s="8" t="s">
        <v>188</v>
      </c>
      <c r="G51" s="8" t="s">
        <v>189</v>
      </c>
      <c r="H51" s="8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3" t="s">
        <v>75</v>
      </c>
    </row>
    <row r="52" spans="2:20" ht="15.75">
      <c r="B52" s="192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104</v>
      </c>
      <c r="D54" s="8" t="s">
        <v>126</v>
      </c>
      <c r="E54" s="8" t="s">
        <v>173</v>
      </c>
      <c r="F54" s="8" t="s">
        <v>174</v>
      </c>
      <c r="G54" s="8" t="s">
        <v>175</v>
      </c>
      <c r="H54" s="8" t="s">
        <v>176</v>
      </c>
      <c r="I54" s="8" t="s">
        <v>177</v>
      </c>
      <c r="J54" s="8" t="s">
        <v>111</v>
      </c>
      <c r="K54" s="8" t="s">
        <v>178</v>
      </c>
      <c r="L54" s="8" t="s">
        <v>179</v>
      </c>
      <c r="M54" s="8" t="s">
        <v>180</v>
      </c>
      <c r="N54" s="8" t="s">
        <v>181</v>
      </c>
      <c r="O54" s="8" t="s">
        <v>182</v>
      </c>
      <c r="P54" s="8" t="s">
        <v>183</v>
      </c>
      <c r="Q54" s="32" t="s">
        <v>184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185</v>
      </c>
      <c r="D56" s="8" t="s">
        <v>186</v>
      </c>
      <c r="E56" s="8" t="s">
        <v>187</v>
      </c>
      <c r="F56" s="8" t="s">
        <v>188</v>
      </c>
      <c r="G56" s="8" t="s">
        <v>189</v>
      </c>
      <c r="H56" s="8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3" t="s">
        <v>75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7" t="s">
        <v>197</v>
      </c>
      <c r="C61" s="198" t="s">
        <v>103</v>
      </c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83"/>
      <c r="S61" s="57"/>
      <c r="T61" s="58"/>
    </row>
    <row r="62" spans="2:20" ht="15.75">
      <c r="B62" s="187"/>
      <c r="C62" s="27" t="s">
        <v>104</v>
      </c>
      <c r="D62" s="27" t="s">
        <v>198</v>
      </c>
      <c r="E62" s="27" t="s">
        <v>199</v>
      </c>
      <c r="F62" s="27" t="s">
        <v>200</v>
      </c>
      <c r="G62" s="27" t="s">
        <v>201</v>
      </c>
      <c r="H62" s="27" t="s">
        <v>202</v>
      </c>
      <c r="I62" s="27" t="s">
        <v>203</v>
      </c>
      <c r="J62" s="27" t="s">
        <v>204</v>
      </c>
      <c r="K62" s="27" t="s">
        <v>205</v>
      </c>
      <c r="L62" s="27" t="s">
        <v>206</v>
      </c>
      <c r="M62" s="27" t="s">
        <v>207</v>
      </c>
      <c r="N62" s="27" t="s">
        <v>208</v>
      </c>
      <c r="O62" s="27" t="s">
        <v>209</v>
      </c>
      <c r="P62" s="27" t="s">
        <v>210</v>
      </c>
      <c r="Q62" s="27" t="s">
        <v>211</v>
      </c>
      <c r="R62" s="27" t="s">
        <v>212</v>
      </c>
      <c r="S62" s="27" t="s">
        <v>213</v>
      </c>
      <c r="T62" s="51" t="s">
        <v>75</v>
      </c>
    </row>
    <row r="63" spans="2:20" ht="15.75">
      <c r="B63" s="193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3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88"/>
      <c r="C65" s="60" t="s">
        <v>104</v>
      </c>
      <c r="D65" s="60" t="s">
        <v>198</v>
      </c>
      <c r="E65" s="60" t="s">
        <v>199</v>
      </c>
      <c r="F65" s="60" t="s">
        <v>200</v>
      </c>
      <c r="G65" s="60" t="s">
        <v>201</v>
      </c>
      <c r="H65" s="60" t="s">
        <v>202</v>
      </c>
      <c r="I65" s="60" t="s">
        <v>203</v>
      </c>
      <c r="J65" s="60" t="s">
        <v>204</v>
      </c>
      <c r="K65" s="60" t="s">
        <v>205</v>
      </c>
      <c r="L65" s="60" t="s">
        <v>206</v>
      </c>
      <c r="M65" s="60" t="s">
        <v>207</v>
      </c>
      <c r="N65" s="60" t="s">
        <v>208</v>
      </c>
      <c r="O65" s="60" t="s">
        <v>209</v>
      </c>
      <c r="P65" s="60" t="s">
        <v>210</v>
      </c>
      <c r="Q65" s="60" t="s">
        <v>211</v>
      </c>
      <c r="R65" s="60" t="s">
        <v>212</v>
      </c>
      <c r="S65" s="60" t="s">
        <v>213</v>
      </c>
      <c r="T65" s="53" t="s">
        <v>75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7" t="s">
        <v>214</v>
      </c>
      <c r="C69" s="198" t="s">
        <v>103</v>
      </c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83"/>
      <c r="S69" s="57"/>
      <c r="T69" s="58"/>
    </row>
    <row r="70" spans="2:20" ht="15.75">
      <c r="B70" s="187"/>
      <c r="C70" s="60" t="s">
        <v>104</v>
      </c>
      <c r="D70" s="60" t="s">
        <v>198</v>
      </c>
      <c r="E70" s="60" t="s">
        <v>199</v>
      </c>
      <c r="F70" s="60" t="s">
        <v>200</v>
      </c>
      <c r="G70" s="60" t="s">
        <v>201</v>
      </c>
      <c r="H70" s="60" t="s">
        <v>202</v>
      </c>
      <c r="I70" s="60" t="s">
        <v>203</v>
      </c>
      <c r="J70" s="60" t="s">
        <v>204</v>
      </c>
      <c r="K70" s="60" t="s">
        <v>205</v>
      </c>
      <c r="L70" s="60" t="s">
        <v>206</v>
      </c>
      <c r="M70" s="60" t="s">
        <v>207</v>
      </c>
      <c r="N70" s="60" t="s">
        <v>208</v>
      </c>
      <c r="O70" s="60" t="s">
        <v>209</v>
      </c>
      <c r="P70" s="60" t="s">
        <v>210</v>
      </c>
      <c r="Q70" s="60" t="s">
        <v>211</v>
      </c>
      <c r="R70" s="60" t="s">
        <v>212</v>
      </c>
      <c r="S70" s="60" t="s">
        <v>213</v>
      </c>
      <c r="T70" s="53" t="s">
        <v>75</v>
      </c>
    </row>
    <row r="71" spans="2:20" ht="15.75">
      <c r="B71" s="187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3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88"/>
      <c r="C73" s="60" t="s">
        <v>104</v>
      </c>
      <c r="D73" s="60" t="s">
        <v>198</v>
      </c>
      <c r="E73" s="60" t="s">
        <v>199</v>
      </c>
      <c r="F73" s="60" t="s">
        <v>200</v>
      </c>
      <c r="G73" s="60" t="s">
        <v>201</v>
      </c>
      <c r="H73" s="60" t="s">
        <v>202</v>
      </c>
      <c r="I73" s="60" t="s">
        <v>203</v>
      </c>
      <c r="J73" s="60" t="s">
        <v>204</v>
      </c>
      <c r="K73" s="60" t="s">
        <v>205</v>
      </c>
      <c r="L73" s="60" t="s">
        <v>206</v>
      </c>
      <c r="M73" s="60" t="s">
        <v>207</v>
      </c>
      <c r="N73" s="60" t="s">
        <v>208</v>
      </c>
      <c r="O73" s="60" t="s">
        <v>209</v>
      </c>
      <c r="P73" s="60" t="s">
        <v>210</v>
      </c>
      <c r="Q73" s="60" t="s">
        <v>211</v>
      </c>
      <c r="R73" s="60" t="s">
        <v>212</v>
      </c>
      <c r="S73" s="60" t="s">
        <v>213</v>
      </c>
      <c r="T73" s="53" t="s">
        <v>75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4" t="s">
        <v>92</v>
      </c>
      <c r="C77" s="183" t="s">
        <v>103</v>
      </c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61"/>
      <c r="S77" s="61"/>
      <c r="T77" s="13"/>
    </row>
    <row r="78" spans="2:20">
      <c r="B78" s="195"/>
      <c r="C78" s="15" t="s">
        <v>104</v>
      </c>
      <c r="D78" s="15" t="s">
        <v>215</v>
      </c>
      <c r="E78" s="15" t="s">
        <v>216</v>
      </c>
      <c r="F78" s="15" t="s">
        <v>217</v>
      </c>
      <c r="G78" s="15" t="s">
        <v>218</v>
      </c>
      <c r="H78" s="62" t="s">
        <v>219</v>
      </c>
      <c r="I78" s="62" t="s">
        <v>220</v>
      </c>
      <c r="J78" s="62" t="s">
        <v>221</v>
      </c>
      <c r="K78" s="62" t="s">
        <v>222</v>
      </c>
      <c r="L78" s="62" t="s">
        <v>135</v>
      </c>
      <c r="M78" s="15" t="s">
        <v>223</v>
      </c>
      <c r="N78" s="62" t="s">
        <v>224</v>
      </c>
      <c r="O78" s="62" t="s">
        <v>216</v>
      </c>
      <c r="P78" s="62" t="s">
        <v>225</v>
      </c>
      <c r="Q78" s="62" t="s">
        <v>226</v>
      </c>
      <c r="R78" s="62" t="s">
        <v>216</v>
      </c>
      <c r="S78" s="62" t="s">
        <v>227</v>
      </c>
      <c r="T78" s="60" t="s">
        <v>216</v>
      </c>
    </row>
    <row r="79" spans="2:20">
      <c r="B79" s="195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5"/>
      <c r="C80" s="60" t="s">
        <v>228</v>
      </c>
      <c r="D80" s="60" t="s">
        <v>229</v>
      </c>
      <c r="E80" s="60" t="s">
        <v>230</v>
      </c>
      <c r="F80" s="60" t="s">
        <v>216</v>
      </c>
      <c r="G80" s="60" t="s">
        <v>225</v>
      </c>
      <c r="H80" s="60" t="s">
        <v>231</v>
      </c>
      <c r="I80" s="60" t="s">
        <v>216</v>
      </c>
      <c r="J80" s="60" t="s">
        <v>232</v>
      </c>
      <c r="K80" s="60" t="s">
        <v>233</v>
      </c>
      <c r="L80" s="60" t="s">
        <v>234</v>
      </c>
      <c r="M80" s="60" t="s">
        <v>216</v>
      </c>
      <c r="N80" s="60" t="s">
        <v>235</v>
      </c>
      <c r="O80" s="60" t="s">
        <v>216</v>
      </c>
      <c r="P80" s="60" t="s">
        <v>236</v>
      </c>
      <c r="Q80" s="60" t="s">
        <v>216</v>
      </c>
      <c r="R80" s="60" t="s">
        <v>237</v>
      </c>
      <c r="S80" s="60" t="s">
        <v>216</v>
      </c>
      <c r="T80" s="53" t="s">
        <v>75</v>
      </c>
    </row>
    <row r="81" spans="2:20" ht="15.75">
      <c r="B81" s="19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238</v>
      </c>
    </row>
    <row r="82" spans="2:20">
      <c r="B82" s="195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5"/>
      <c r="C83" s="19" t="s">
        <v>104</v>
      </c>
      <c r="D83" s="19" t="s">
        <v>215</v>
      </c>
      <c r="E83" s="19" t="s">
        <v>216</v>
      </c>
      <c r="F83" s="19" t="s">
        <v>217</v>
      </c>
      <c r="G83" s="19" t="s">
        <v>218</v>
      </c>
      <c r="H83" s="60" t="s">
        <v>219</v>
      </c>
      <c r="I83" s="60" t="s">
        <v>220</v>
      </c>
      <c r="J83" s="60" t="s">
        <v>221</v>
      </c>
      <c r="K83" s="60" t="s">
        <v>222</v>
      </c>
      <c r="L83" s="60" t="s">
        <v>135</v>
      </c>
      <c r="M83" s="19" t="s">
        <v>223</v>
      </c>
      <c r="N83" s="60" t="s">
        <v>224</v>
      </c>
      <c r="O83" s="60" t="s">
        <v>216</v>
      </c>
      <c r="P83" s="60" t="s">
        <v>225</v>
      </c>
      <c r="Q83" s="60" t="s">
        <v>226</v>
      </c>
      <c r="R83" s="60" t="s">
        <v>216</v>
      </c>
      <c r="S83" s="60" t="s">
        <v>227</v>
      </c>
      <c r="T83" s="60" t="s">
        <v>216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228</v>
      </c>
      <c r="D85" s="60" t="s">
        <v>229</v>
      </c>
      <c r="E85" s="60" t="s">
        <v>230</v>
      </c>
      <c r="F85" s="60" t="s">
        <v>216</v>
      </c>
      <c r="G85" s="60" t="s">
        <v>225</v>
      </c>
      <c r="H85" s="60" t="s">
        <v>231</v>
      </c>
      <c r="I85" s="60" t="s">
        <v>216</v>
      </c>
      <c r="J85" s="60" t="s">
        <v>232</v>
      </c>
      <c r="K85" s="60" t="s">
        <v>233</v>
      </c>
      <c r="L85" s="60" t="s">
        <v>234</v>
      </c>
      <c r="M85" s="60" t="s">
        <v>216</v>
      </c>
      <c r="N85" s="60" t="s">
        <v>235</v>
      </c>
      <c r="O85" s="60" t="s">
        <v>216</v>
      </c>
      <c r="P85" s="60" t="s">
        <v>236</v>
      </c>
      <c r="Q85" s="60" t="s">
        <v>216</v>
      </c>
      <c r="R85" s="60" t="s">
        <v>237</v>
      </c>
      <c r="S85" s="60" t="s">
        <v>216</v>
      </c>
      <c r="T85" s="51" t="s">
        <v>75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2026-01-21T11:34:17Z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